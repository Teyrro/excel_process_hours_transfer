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Январь" sheetId="1" state="visible" r:id="rId1"/>
    <sheet name="Февраль" sheetId="2" state="visible" r:id="rId2"/>
    <sheet name="авыф" sheetId="3" state="visible" r:id="rId3"/>
    <sheet name="Апрель" sheetId="4" state="visible" r:id="rId4"/>
    <sheet name="Март" sheetId="5" state="visible" r:id="rId5"/>
    <sheet name="Июнь" sheetId="6" state="visible" r:id="rId6"/>
    <sheet name="Июль" sheetId="7" state="visible" r:id="rId7"/>
    <sheet name="Август" sheetId="8" state="visible" r:id="rId8"/>
  </sheets>
  <definedNames>
    <definedName name="_xlnm._FilterDatabase" localSheetId="0" hidden="1">'Январь'!$A$8:$KF$58</definedName>
    <definedName name="_xlnm.Print_Titles" localSheetId="0">'Январь'!$2:$7,'Январь'!$B:$B</definedName>
    <definedName name="_xlnm.Print_Area" localSheetId="0">'Январь'!$A$1:$KC$58</definedName>
    <definedName name="_xlnm._FilterDatabase" localSheetId="1" hidden="1">'Февраль'!$B$8:$C$59</definedName>
    <definedName name="_xlnm.Print_Titles" localSheetId="1">'Февраль'!$2:$7,'Февраль'!$B:$B</definedName>
    <definedName name="_xlnm.Print_Area" localSheetId="1">'Февраль'!$A$1:$KC$59</definedName>
    <definedName name="_xlnm._FilterDatabase" localSheetId="2" hidden="1">'авыф'!$A$8:$KF$60</definedName>
    <definedName name="_xlnm.Print_Titles" localSheetId="2">'авыф'!$2:$7,'авыф'!$B:$B</definedName>
    <definedName name="_xlnm.Print_Area" localSheetId="2">'авыф'!$A$1:$KC$60</definedName>
    <definedName name="_xlnm._FilterDatabase" localSheetId="3" hidden="1">'Апрель'!$A$8:$KF$59</definedName>
    <definedName name="_xlnm.Print_Titles" localSheetId="3">'Апрель'!$2:$7,'Апрель'!$B:$B</definedName>
    <definedName name="_xlnm.Print_Area" localSheetId="3">'Апрель'!$A$1:$KC$59</definedName>
    <definedName name="_xlnm._FilterDatabase" localSheetId="4" hidden="1">'Март'!$A$8:$KF$59</definedName>
    <definedName name="_xlnm.Print_Titles" localSheetId="4">'Март'!$2:$7,'Март'!$B:$B</definedName>
    <definedName name="_xlnm.Print_Area" localSheetId="4">'Март'!$A$1:$KC$59</definedName>
    <definedName name="_xlnm._FilterDatabase" localSheetId="5" hidden="1">'Июнь'!$A$8:$KF$59</definedName>
    <definedName name="_xlnm.Print_Titles" localSheetId="5">'Июнь'!$2:$7,'Июнь'!$B:$B</definedName>
    <definedName name="_xlnm.Print_Area" localSheetId="5">'Июнь'!$A$1:$KC$59</definedName>
    <definedName name="_xlnm._FilterDatabase" localSheetId="6" hidden="1">'Июль'!$A$8:$KF$59</definedName>
    <definedName name="_xlnm.Print_Titles" localSheetId="6">'Июль'!$2:$7,'Июль'!$B:$B</definedName>
    <definedName name="_xlnm.Print_Area" localSheetId="6">'Июль'!$A$1:$KC$59</definedName>
    <definedName name="_xlnm._FilterDatabase" localSheetId="7" hidden="1">'Август'!$A$8:$KF$59</definedName>
    <definedName name="_xlnm.Print_Titles" localSheetId="7">'Август'!$2:$7,'Август'!$B:$B</definedName>
    <definedName name="_xlnm.Print_Area" localSheetId="7">'Август'!$A$1:$KC$59</definedName>
  </definedNames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23">
    <font>
      <name val="Calibri"/>
      <charset val="204"/>
      <color rgb="FF000000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b val="1"/>
      <color rgb="FF000000"/>
      <sz val="10"/>
    </font>
    <font>
      <name val="Arial"/>
      <charset val="204"/>
      <family val="2"/>
      <color rgb="FF000000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b val="1"/>
      <color rgb="FF000000"/>
      <sz val="9"/>
    </font>
    <font>
      <name val="Times New Roman"/>
      <charset val="204"/>
      <family val="1"/>
      <i val="1"/>
      <color rgb="FF000000"/>
      <sz val="9"/>
    </font>
    <font>
      <name val="Times New Roman"/>
      <charset val="204"/>
      <family val="1"/>
      <color rgb="FFFF0000"/>
      <sz val="12"/>
    </font>
    <font>
      <name val="Times New Roman"/>
      <charset val="204"/>
      <family val="1"/>
      <b val="1"/>
      <color rgb="FFFF0000"/>
      <sz val="10"/>
    </font>
    <font>
      <name val="Times New Roman"/>
      <charset val="204"/>
      <family val="1"/>
      <b val="1"/>
      <i val="1"/>
      <color rgb="FF000000"/>
      <sz val="10"/>
    </font>
    <font>
      <name val="Times New Roman"/>
      <charset val="204"/>
      <family val="1"/>
      <b val="1"/>
      <i val="1"/>
      <color rgb="FF000000"/>
      <sz val="9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color theme="1"/>
      <sz val="11"/>
    </font>
    <font>
      <name val="Times New Roman CYR"/>
      <charset val="204"/>
      <b val="1"/>
      <color rgb="FF000000"/>
      <sz val="9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0"/>
    </font>
    <font>
      <name val="Times New Roman"/>
      <charset val="204"/>
      <family val="1"/>
      <sz val="10"/>
    </font>
    <font>
      <name val="Times New Roman"/>
      <charset val="204"/>
      <family val="1"/>
      <color theme="1"/>
      <sz val="9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sz val="9"/>
    </font>
    <font>
      <name val="Times New Roman"/>
      <charset val="204"/>
      <family val="1"/>
      <b val="1"/>
      <sz val="9"/>
    </font>
  </fonts>
  <fills count="4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E2F0D9"/>
        <bgColor rgb="FFE2F0D9"/>
      </patternFill>
    </fill>
    <fill>
      <patternFill patternType="solid">
        <fgColor rgb="FF92D050"/>
        <bgColor rgb="FF92D050"/>
      </patternFill>
    </fill>
    <fill>
      <patternFill patternType="solid">
        <fgColor rgb="FFDEEBF7"/>
        <bgColor rgb="FFDEEBF7"/>
      </patternFill>
    </fill>
    <fill>
      <patternFill patternType="solid">
        <fgColor rgb="FFBFBFBF"/>
        <bgColor rgb="FFBFBFBF"/>
      </patternFill>
    </fill>
    <fill>
      <patternFill patternType="solid">
        <fgColor rgb="FFB4C7E7"/>
        <bgColor rgb="FFB4C7E7"/>
      </patternFill>
    </fill>
    <fill>
      <patternFill patternType="solid">
        <fgColor rgb="FFADB9CA"/>
        <bgColor rgb="FFADB9CA"/>
      </patternFill>
    </fill>
    <fill>
      <patternFill patternType="solid">
        <fgColor rgb="FFDAE3F3"/>
        <bgColor rgb="FFDAE3F3"/>
      </patternFill>
    </fill>
    <fill>
      <patternFill patternType="solid">
        <fgColor rgb="FFDBDBDB"/>
        <bgColor rgb="FFDBDBDB"/>
      </patternFill>
    </fill>
    <fill>
      <patternFill patternType="solid">
        <fgColor rgb="FFC5E0B4"/>
        <bgColor rgb="FFC5E0B4"/>
      </patternFill>
    </fill>
    <fill>
      <patternFill patternType="solid">
        <fgColor rgb="FFFFF2CC"/>
        <bgColor rgb="FFFFF2CC"/>
      </patternFill>
    </fill>
    <fill>
      <patternFill patternType="solid">
        <fgColor rgb="FFFBE5D6"/>
        <bgColor rgb="FFFBE5D6"/>
      </patternFill>
    </fill>
    <fill>
      <patternFill patternType="solid">
        <fgColor rgb="FFBDD7EE"/>
        <bgColor rgb="FFBDD7EE"/>
      </patternFill>
    </fill>
    <fill>
      <patternFill patternType="solid">
        <fgColor rgb="FFA9D18E"/>
        <bgColor rgb="FFA9D18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5999938962981048"/>
        <bgColor rgb="FFC5E0B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DAE3F3"/>
      </patternFill>
    </fill>
    <fill>
      <patternFill patternType="solid">
        <fgColor theme="0"/>
        <bgColor rgb="FFA9D18E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E2F0D9"/>
      </patternFill>
    </fill>
    <fill>
      <patternFill patternType="solid">
        <fgColor theme="0"/>
        <bgColor rgb="FFFFE699"/>
      </patternFill>
    </fill>
    <fill>
      <patternFill patternType="solid">
        <fgColor theme="0"/>
        <bgColor rgb="FFC5E0B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DEEBF7"/>
      </patternFill>
    </fill>
    <fill>
      <patternFill patternType="solid">
        <fgColor theme="0"/>
        <bgColor rgb="FFBFBFBF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DBDBDB"/>
      </patternFill>
    </fill>
    <fill>
      <patternFill patternType="solid">
        <fgColor theme="0"/>
        <bgColor rgb="FFB4C7E7"/>
      </patternFill>
    </fill>
    <fill>
      <patternFill patternType="solid">
        <fgColor theme="0"/>
        <bgColor rgb="FFADB9CA"/>
      </patternFill>
    </fill>
    <fill>
      <patternFill patternType="solid">
        <fgColor theme="0"/>
        <bgColor rgb="FFBDD7EE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66FF"/>
        <bgColor indexed="64"/>
      </patternFill>
    </fill>
  </fills>
  <borders count="9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medium">
        <color indexed="64"/>
      </top>
      <bottom/>
      <diagonal/>
    </border>
    <border>
      <left style="hair">
        <color auto="1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2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4" fontId="2" fillId="0" borderId="0" pivotButton="0" quotePrefix="0" xfId="0"/>
    <xf numFmtId="0" fontId="5" fillId="0" borderId="25" applyAlignment="1" pivotButton="0" quotePrefix="0" xfId="0">
      <alignment horizontal="left" vertical="top" wrapText="1" indent="2"/>
    </xf>
    <xf numFmtId="0" fontId="5" fillId="0" borderId="0" applyAlignment="1" pivotButton="0" quotePrefix="0" xfId="0">
      <alignment horizontal="left" vertical="top" wrapText="1" indent="2"/>
    </xf>
    <xf numFmtId="0" fontId="1" fillId="0" borderId="6" applyAlignment="1" pivotButton="0" quotePrefix="0" xfId="0">
      <alignment horizontal="center" wrapText="1"/>
    </xf>
    <xf numFmtId="0" fontId="1" fillId="0" borderId="38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6" fillId="4" borderId="0" pivotButton="0" quotePrefix="0" xfId="0"/>
    <xf numFmtId="0" fontId="6" fillId="5" borderId="43" pivotButton="0" quotePrefix="0" xfId="0"/>
    <xf numFmtId="0" fontId="6" fillId="6" borderId="33" pivotButton="0" quotePrefix="0" xfId="0"/>
    <xf numFmtId="0" fontId="6" fillId="7" borderId="43" pivotButton="0" quotePrefix="0" xfId="0"/>
    <xf numFmtId="0" fontId="6" fillId="8" borderId="0" pivotButton="0" quotePrefix="0" xfId="0"/>
    <xf numFmtId="0" fontId="6" fillId="10" borderId="43" pivotButton="0" quotePrefix="0" xfId="0"/>
    <xf numFmtId="0" fontId="6" fillId="5" borderId="0" pivotButton="0" quotePrefix="0" xfId="0"/>
    <xf numFmtId="0" fontId="6" fillId="4" borderId="13" pivotButton="0" quotePrefix="0" xfId="0"/>
    <xf numFmtId="0" fontId="6" fillId="10" borderId="0" pivotButton="0" quotePrefix="0" xfId="0"/>
    <xf numFmtId="0" fontId="6" fillId="11" borderId="43" pivotButton="0" quotePrefix="0" xfId="0"/>
    <xf numFmtId="0" fontId="6" fillId="13" borderId="0" pivotButton="0" quotePrefix="0" xfId="0"/>
    <xf numFmtId="0" fontId="6" fillId="14" borderId="0" pivotButton="0" quotePrefix="0" xfId="0"/>
    <xf numFmtId="0" fontId="6" fillId="6" borderId="0" pivotButton="0" quotePrefix="0" xfId="0"/>
    <xf numFmtId="0" fontId="6" fillId="2" borderId="0" pivotButton="0" quotePrefix="0" xfId="0"/>
    <xf numFmtId="0" fontId="6" fillId="15" borderId="0" pivotButton="0" quotePrefix="0" xfId="0"/>
    <xf numFmtId="0" fontId="6" fillId="12" borderId="0" pivotButton="0" quotePrefix="0" xfId="0"/>
    <xf numFmtId="0" fontId="6" fillId="9" borderId="0" pivotButton="0" quotePrefix="0" xfId="0"/>
    <xf numFmtId="0" fontId="6" fillId="17" borderId="0" pivotButton="0" quotePrefix="0" xfId="0"/>
    <xf numFmtId="0" fontId="6" fillId="18" borderId="0" pivotButton="0" quotePrefix="0" xfId="0"/>
    <xf numFmtId="0" fontId="6" fillId="16" borderId="0" pivotButton="0" quotePrefix="0" xfId="0"/>
    <xf numFmtId="0" fontId="4" fillId="0" borderId="8" applyAlignment="1" pivotButton="0" quotePrefix="0" xfId="0">
      <alignment horizontal="center"/>
    </xf>
    <xf numFmtId="0" fontId="1" fillId="2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1" fillId="14" borderId="0" pivotButton="0" quotePrefix="0" xfId="0"/>
    <xf numFmtId="0" fontId="9" fillId="3" borderId="0" pivotButton="0" quotePrefix="0" xfId="0"/>
    <xf numFmtId="0" fontId="2" fillId="3" borderId="0" pivotButton="0" quotePrefix="0" xfId="0"/>
    <xf numFmtId="0" fontId="1" fillId="0" borderId="58" applyAlignment="1" pivotButton="0" quotePrefix="0" xfId="0">
      <alignment horizontal="center" wrapText="1"/>
    </xf>
    <xf numFmtId="0" fontId="2" fillId="19" borderId="0" pivotButton="0" quotePrefix="0" xfId="0"/>
    <xf numFmtId="0" fontId="2" fillId="20" borderId="0" pivotButton="0" quotePrefix="0" xfId="0"/>
    <xf numFmtId="0" fontId="2" fillId="21" borderId="0" pivotButton="0" quotePrefix="0" xfId="0"/>
    <xf numFmtId="0" fontId="4" fillId="0" borderId="13" applyAlignment="1" pivotButton="0" quotePrefix="0" xfId="0">
      <alignment horizontal="center"/>
    </xf>
    <xf numFmtId="0" fontId="4" fillId="0" borderId="15" pivotButton="0" quotePrefix="0" xfId="0"/>
    <xf numFmtId="4" fontId="6" fillId="0" borderId="0" pivotButton="0" quotePrefix="0" xfId="0"/>
    <xf numFmtId="164" fontId="6" fillId="0" borderId="43" pivotButton="0" quotePrefix="0" xfId="0"/>
    <xf numFmtId="164" fontId="6" fillId="0" borderId="0" pivotButton="0" quotePrefix="0" xfId="0"/>
    <xf numFmtId="0" fontId="1" fillId="0" borderId="59" pivotButton="0" quotePrefix="0" xfId="0"/>
    <xf numFmtId="0" fontId="1" fillId="0" borderId="60" pivotButton="0" quotePrefix="0" xfId="0"/>
    <xf numFmtId="0" fontId="4" fillId="19" borderId="15" pivotButton="0" quotePrefix="0" xfId="0"/>
    <xf numFmtId="0" fontId="4" fillId="0" borderId="65" pivotButton="0" quotePrefix="0" xfId="0"/>
    <xf numFmtId="4" fontId="6" fillId="0" borderId="40" pivotButton="0" quotePrefix="0" xfId="0"/>
    <xf numFmtId="4" fontId="6" fillId="0" borderId="46" pivotButton="0" quotePrefix="0" xfId="0"/>
    <xf numFmtId="2" fontId="8" fillId="0" borderId="49" pivotButton="0" quotePrefix="0" xfId="0"/>
    <xf numFmtId="0" fontId="10" fillId="0" borderId="15" pivotButton="0" quotePrefix="0" xfId="0"/>
    <xf numFmtId="4" fontId="8" fillId="0" borderId="48" pivotButton="0" quotePrefix="0" xfId="0"/>
    <xf numFmtId="0" fontId="1" fillId="0" borderId="57" applyAlignment="1" pivotButton="0" quotePrefix="0" xfId="0">
      <alignment horizontal="center" wrapText="1"/>
    </xf>
    <xf numFmtId="4" fontId="1" fillId="0" borderId="71" applyAlignment="1" pivotButton="0" quotePrefix="0" xfId="0">
      <alignment horizontal="center" wrapText="1"/>
    </xf>
    <xf numFmtId="4" fontId="1" fillId="0" borderId="72" applyAlignment="1" pivotButton="0" quotePrefix="0" xfId="0">
      <alignment horizontal="center" wrapText="1"/>
    </xf>
    <xf numFmtId="0" fontId="1" fillId="0" borderId="76" applyAlignment="1" pivotButton="0" quotePrefix="0" xfId="0">
      <alignment horizontal="center" wrapText="1"/>
    </xf>
    <xf numFmtId="0" fontId="1" fillId="0" borderId="59" applyAlignment="1" pivotButton="0" quotePrefix="0" xfId="0">
      <alignment horizontal="center" wrapText="1"/>
    </xf>
    <xf numFmtId="0" fontId="1" fillId="0" borderId="7" applyAlignment="1" pivotButton="0" quotePrefix="0" xfId="0">
      <alignment horizontal="center" wrapText="1"/>
    </xf>
    <xf numFmtId="0" fontId="4" fillId="0" borderId="41" pivotButton="0" quotePrefix="0" xfId="0"/>
    <xf numFmtId="0" fontId="4" fillId="0" borderId="69" pivotButton="0" quotePrefix="0" xfId="0"/>
    <xf numFmtId="4" fontId="7" fillId="0" borderId="48" pivotButton="0" quotePrefix="0" xfId="0"/>
    <xf numFmtId="0" fontId="4" fillId="0" borderId="6" applyAlignment="1" pivotButton="0" quotePrefix="0" xfId="0">
      <alignment horizontal="center" wrapText="1"/>
    </xf>
    <xf numFmtId="4" fontId="7" fillId="0" borderId="14" pivotButton="0" quotePrefix="0" xfId="0"/>
    <xf numFmtId="0" fontId="6" fillId="7" borderId="0" pivotButton="0" quotePrefix="0" xfId="0"/>
    <xf numFmtId="0" fontId="4" fillId="0" borderId="13" pivotButton="0" quotePrefix="0" xfId="0"/>
    <xf numFmtId="0" fontId="10" fillId="0" borderId="13" pivotButton="0" quotePrefix="0" xfId="0"/>
    <xf numFmtId="0" fontId="1" fillId="0" borderId="29" applyAlignment="1" pivotButton="0" quotePrefix="0" xfId="0">
      <alignment horizontal="center" wrapText="1"/>
    </xf>
    <xf numFmtId="0" fontId="1" fillId="0" borderId="74" applyAlignment="1" pivotButton="0" quotePrefix="0" xfId="0">
      <alignment horizontal="center" wrapText="1"/>
    </xf>
    <xf numFmtId="0" fontId="1" fillId="0" borderId="67" applyAlignment="1" pivotButton="0" quotePrefix="0" xfId="0">
      <alignment horizontal="center" wrapText="1"/>
    </xf>
    <xf numFmtId="0" fontId="1" fillId="0" borderId="83" applyAlignment="1" pivotButton="0" quotePrefix="0" xfId="0">
      <alignment horizontal="center" wrapText="1"/>
    </xf>
    <xf numFmtId="0" fontId="4" fillId="0" borderId="67" applyAlignment="1" pivotButton="0" quotePrefix="0" xfId="0">
      <alignment horizontal="center" wrapText="1"/>
    </xf>
    <xf numFmtId="0" fontId="4" fillId="0" borderId="83" applyAlignment="1" pivotButton="0" quotePrefix="0" xfId="0">
      <alignment horizont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4" fontId="1" fillId="0" borderId="59" applyAlignment="1" pivotButton="0" quotePrefix="0" xfId="0">
      <alignment horizontal="center" wrapText="1"/>
    </xf>
    <xf numFmtId="4" fontId="1" fillId="0" borderId="38" applyAlignment="1" pivotButton="0" quotePrefix="0" xfId="0">
      <alignment horizontal="center" wrapText="1"/>
    </xf>
    <xf numFmtId="4" fontId="1" fillId="0" borderId="7" applyAlignment="1" pivotButton="0" quotePrefix="0" xfId="0">
      <alignment horizontal="center" wrapText="1"/>
    </xf>
    <xf numFmtId="4" fontId="1" fillId="0" borderId="57" applyAlignment="1" pivotButton="0" quotePrefix="0" xfId="0">
      <alignment horizontal="center" wrapText="1"/>
    </xf>
    <xf numFmtId="4" fontId="1" fillId="0" borderId="8" applyAlignment="1" pivotButton="0" quotePrefix="0" xfId="0">
      <alignment horizontal="center" wrapText="1"/>
    </xf>
    <xf numFmtId="4" fontId="1" fillId="0" borderId="60" applyAlignment="1" pivotButton="0" quotePrefix="0" xfId="0">
      <alignment horizontal="center" wrapText="1"/>
    </xf>
    <xf numFmtId="0" fontId="4" fillId="0" borderId="60" applyAlignment="1" pivotButton="0" quotePrefix="0" xfId="0">
      <alignment horizontal="center" wrapText="1"/>
    </xf>
    <xf numFmtId="165" fontId="1" fillId="0" borderId="0" pivotButton="0" quotePrefix="0" xfId="0"/>
    <xf numFmtId="165" fontId="4" fillId="0" borderId="6" pivotButton="0" quotePrefix="0" xfId="0"/>
    <xf numFmtId="4" fontId="12" fillId="0" borderId="54" pivotButton="0" quotePrefix="0" xfId="0"/>
    <xf numFmtId="0" fontId="4" fillId="0" borderId="56" pivotButton="0" quotePrefix="0" xfId="0"/>
    <xf numFmtId="3" fontId="4" fillId="0" borderId="6" pivotButton="0" quotePrefix="0" xfId="0"/>
    <xf numFmtId="4" fontId="11" fillId="0" borderId="57" pivotButton="0" quotePrefix="0" xfId="0"/>
    <xf numFmtId="4" fontId="11" fillId="0" borderId="7" pivotButton="0" quotePrefix="0" xfId="0"/>
    <xf numFmtId="165" fontId="4" fillId="0" borderId="57" pivotButton="0" quotePrefix="0" xfId="0"/>
    <xf numFmtId="4" fontId="4" fillId="0" borderId="8" pivotButton="0" quotePrefix="0" xfId="0"/>
    <xf numFmtId="4" fontId="4" fillId="0" borderId="0" pivotButton="0" quotePrefix="0" xfId="0"/>
    <xf numFmtId="0" fontId="4" fillId="0" borderId="0" pivotButton="0" quotePrefix="0" xfId="0"/>
    <xf numFmtId="0" fontId="7" fillId="16" borderId="0" pivotButton="0" quotePrefix="0" xfId="0"/>
    <xf numFmtId="0" fontId="7" fillId="7" borderId="43" pivotButton="0" quotePrefix="0" xfId="0"/>
    <xf numFmtId="4" fontId="6" fillId="5" borderId="43" pivotButton="0" quotePrefix="0" xfId="0"/>
    <xf numFmtId="4" fontId="12" fillId="0" borderId="7" pivotButton="0" quotePrefix="0" xfId="0"/>
    <xf numFmtId="2" fontId="12" fillId="0" borderId="7" pivotButton="0" quotePrefix="0" xfId="0"/>
    <xf numFmtId="4" fontId="7" fillId="0" borderId="6" pivotButton="0" quotePrefix="0" xfId="0"/>
    <xf numFmtId="3" fontId="4" fillId="0" borderId="8" pivotButton="0" quotePrefix="0" xfId="0"/>
    <xf numFmtId="2" fontId="12" fillId="0" borderId="38" pivotButton="0" quotePrefix="0" xfId="0"/>
    <xf numFmtId="4" fontId="12" fillId="0" borderId="17" pivotButton="0" quotePrefix="0" xfId="0"/>
    <xf numFmtId="165" fontId="15" fillId="0" borderId="52" pivotButton="0" quotePrefix="0" xfId="0"/>
    <xf numFmtId="0" fontId="1" fillId="22" borderId="14" applyAlignment="1" pivotButton="0" quotePrefix="0" xfId="0">
      <alignment vertical="center" wrapText="1"/>
    </xf>
    <xf numFmtId="0" fontId="1" fillId="0" borderId="55" applyAlignment="1" pivotButton="0" quotePrefix="0" xfId="0">
      <alignment horizontal="center" wrapText="1"/>
    </xf>
    <xf numFmtId="0" fontId="1" fillId="0" borderId="4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4" fontId="1" fillId="0" borderId="6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4" fontId="7" fillId="0" borderId="60" pivotButton="0" quotePrefix="0" xfId="0"/>
    <xf numFmtId="165" fontId="15" fillId="0" borderId="70" pivotButton="0" quotePrefix="0" xfId="0"/>
    <xf numFmtId="4" fontId="1" fillId="0" borderId="8" applyAlignment="1" pivotButton="0" quotePrefix="0" xfId="0">
      <alignment horizontal="center" vertical="center"/>
    </xf>
    <xf numFmtId="165" fontId="15" fillId="0" borderId="75" pivotButton="0" quotePrefix="0" xfId="0"/>
    <xf numFmtId="4" fontId="12" fillId="0" borderId="78" pivotButton="0" quotePrefix="0" xfId="0"/>
    <xf numFmtId="4" fontId="12" fillId="0" borderId="51" pivotButton="0" quotePrefix="0" xfId="0"/>
    <xf numFmtId="4" fontId="12" fillId="0" borderId="22" pivotButton="0" quotePrefix="0" xfId="0"/>
    <xf numFmtId="4" fontId="12" fillId="0" borderId="42" pivotButton="0" quotePrefix="0" xfId="0"/>
    <xf numFmtId="165" fontId="15" fillId="0" borderId="68" pivotButton="0" quotePrefix="0" xfId="0"/>
    <xf numFmtId="165" fontId="15" fillId="0" borderId="66" pivotButton="0" quotePrefix="0" xfId="0"/>
    <xf numFmtId="0" fontId="6" fillId="19" borderId="20" pivotButton="0" quotePrefix="0" xfId="0"/>
    <xf numFmtId="0" fontId="1" fillId="0" borderId="67" applyAlignment="1" pivotButton="0" quotePrefix="0" xfId="0">
      <alignment horizontal="center" vertical="center" wrapText="1"/>
    </xf>
    <xf numFmtId="0" fontId="1" fillId="0" borderId="83" applyAlignment="1" pivotButton="0" quotePrefix="0" xfId="0">
      <alignment horizontal="center" vertical="center" wrapText="1"/>
    </xf>
    <xf numFmtId="0" fontId="4" fillId="0" borderId="12" pivotButton="0" quotePrefix="0" xfId="0"/>
    <xf numFmtId="0" fontId="6" fillId="19" borderId="16" pivotButton="0" quotePrefix="0" xfId="0"/>
    <xf numFmtId="0" fontId="4" fillId="0" borderId="6" applyAlignment="1" pivotButton="0" quotePrefix="0" xfId="0">
      <alignment horizontal="center"/>
    </xf>
    <xf numFmtId="165" fontId="15" fillId="0" borderId="47" pivotButton="0" quotePrefix="0" xfId="0"/>
    <xf numFmtId="165" fontId="15" fillId="19" borderId="52" pivotButton="0" quotePrefix="0" xfId="0"/>
    <xf numFmtId="0" fontId="1" fillId="19" borderId="0" applyAlignment="1" pivotButton="0" quotePrefix="0" xfId="0">
      <alignment wrapText="1"/>
    </xf>
    <xf numFmtId="0" fontId="4" fillId="28" borderId="56" pivotButton="0" quotePrefix="0" xfId="0"/>
    <xf numFmtId="0" fontId="1" fillId="0" borderId="56" applyAlignment="1" pivotButton="0" quotePrefix="0" xfId="0">
      <alignment horizontal="center" wrapText="1"/>
    </xf>
    <xf numFmtId="0" fontId="1" fillId="0" borderId="60" applyAlignment="1" pivotButton="0" quotePrefix="0" xfId="0">
      <alignment horizontal="center" wrapText="1"/>
    </xf>
    <xf numFmtId="0" fontId="6" fillId="11" borderId="0" pivotButton="0" quotePrefix="0" xfId="0"/>
    <xf numFmtId="4" fontId="12" fillId="19" borderId="22" pivotButton="0" quotePrefix="0" xfId="0"/>
    <xf numFmtId="4" fontId="12" fillId="19" borderId="17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4" fillId="19" borderId="13" pivotButton="0" quotePrefix="0" xfId="0"/>
    <xf numFmtId="0" fontId="17" fillId="19" borderId="13" pivotButton="0" quotePrefix="0" xfId="0"/>
    <xf numFmtId="0" fontId="1" fillId="23" borderId="83" applyAlignment="1" pivotButton="0" quotePrefix="0" xfId="0">
      <alignment horizontal="center" wrapText="1"/>
    </xf>
    <xf numFmtId="0" fontId="1" fillId="23" borderId="30" applyAlignment="1" pivotButton="0" quotePrefix="0" xfId="0">
      <alignment horizontal="center" wrapText="1"/>
    </xf>
    <xf numFmtId="0" fontId="1" fillId="28" borderId="55" applyAlignment="1" pivotButton="0" quotePrefix="0" xfId="0">
      <alignment horizontal="center" vertical="center"/>
    </xf>
    <xf numFmtId="0" fontId="1" fillId="19" borderId="53" applyAlignment="1" pivotButton="0" quotePrefix="0" xfId="0">
      <alignment horizontal="center" wrapText="1"/>
    </xf>
    <xf numFmtId="0" fontId="1" fillId="19" borderId="1" applyAlignment="1" pivotButton="0" quotePrefix="0" xfId="0">
      <alignment horizontal="center" wrapText="1"/>
    </xf>
    <xf numFmtId="4" fontId="1" fillId="19" borderId="28" applyAlignment="1" pivotButton="0" quotePrefix="0" xfId="0">
      <alignment horizontal="center" wrapText="1"/>
    </xf>
    <xf numFmtId="0" fontId="1" fillId="19" borderId="29" applyAlignment="1" pivotButton="0" quotePrefix="0" xfId="0">
      <alignment horizontal="center" wrapText="1"/>
    </xf>
    <xf numFmtId="0" fontId="1" fillId="19" borderId="67" applyAlignment="1" pivotButton="0" quotePrefix="0" xfId="0">
      <alignment horizontal="center" wrapText="1"/>
    </xf>
    <xf numFmtId="4" fontId="1" fillId="19" borderId="83" applyAlignment="1" pivotButton="0" quotePrefix="0" xfId="0">
      <alignment horizontal="center" wrapText="1"/>
    </xf>
    <xf numFmtId="4" fontId="1" fillId="19" borderId="53" applyAlignment="1" pivotButton="0" quotePrefix="0" xfId="0">
      <alignment horizontal="center" wrapText="1"/>
    </xf>
    <xf numFmtId="4" fontId="1" fillId="19" borderId="1" applyAlignment="1" pivotButton="0" quotePrefix="0" xfId="0">
      <alignment horizontal="center" wrapText="1"/>
    </xf>
    <xf numFmtId="4" fontId="1" fillId="19" borderId="30" applyAlignment="1" pivotButton="0" quotePrefix="0" xfId="0">
      <alignment horizontal="center" wrapText="1"/>
    </xf>
    <xf numFmtId="4" fontId="1" fillId="19" borderId="73" applyAlignment="1" pivotButton="0" quotePrefix="0" xfId="0">
      <alignment horizontal="center" wrapText="1"/>
    </xf>
    <xf numFmtId="0" fontId="1" fillId="19" borderId="73" applyAlignment="1" pivotButton="0" quotePrefix="0" xfId="0">
      <alignment horizontal="center" wrapText="1"/>
    </xf>
    <xf numFmtId="4" fontId="1" fillId="19" borderId="74" applyAlignment="1" pivotButton="0" quotePrefix="0" xfId="0">
      <alignment horizontal="center" wrapText="1"/>
    </xf>
    <xf numFmtId="0" fontId="1" fillId="19" borderId="75" applyAlignment="1" pivotButton="0" quotePrefix="0" xfId="0">
      <alignment horizontal="center" wrapText="1"/>
    </xf>
    <xf numFmtId="4" fontId="1" fillId="19" borderId="81" applyAlignment="1" pivotButton="0" quotePrefix="0" xfId="0">
      <alignment horizontal="center" wrapText="1"/>
    </xf>
    <xf numFmtId="4" fontId="1" fillId="19" borderId="82" applyAlignment="1" pivotButton="0" quotePrefix="0" xfId="0">
      <alignment horizontal="center" wrapText="1"/>
    </xf>
    <xf numFmtId="4" fontId="1" fillId="19" borderId="5" applyAlignment="1" pivotButton="0" quotePrefix="0" xfId="0">
      <alignment horizontal="center" wrapText="1"/>
    </xf>
    <xf numFmtId="0" fontId="1" fillId="19" borderId="77" applyAlignment="1" pivotButton="0" quotePrefix="0" xfId="0">
      <alignment horizontal="center" wrapText="1"/>
    </xf>
    <xf numFmtId="4" fontId="1" fillId="19" borderId="80" applyAlignment="1" pivotButton="0" quotePrefix="0" xfId="0">
      <alignment horizontal="center" wrapText="1"/>
    </xf>
    <xf numFmtId="0" fontId="1" fillId="19" borderId="83" applyAlignment="1" pivotButton="0" quotePrefix="0" xfId="0">
      <alignment horizontal="center" wrapText="1"/>
    </xf>
    <xf numFmtId="0" fontId="1" fillId="19" borderId="79" applyAlignment="1" pivotButton="0" quotePrefix="0" xfId="0">
      <alignment horizontal="center" wrapText="1"/>
    </xf>
    <xf numFmtId="0" fontId="1" fillId="19" borderId="65" applyAlignment="1" pivotButton="0" quotePrefix="0" xfId="0">
      <alignment horizontal="center" wrapText="1"/>
    </xf>
    <xf numFmtId="0" fontId="1" fillId="19" borderId="5" applyAlignment="1" pivotButton="0" quotePrefix="0" xfId="0">
      <alignment horizontal="center" wrapText="1"/>
    </xf>
    <xf numFmtId="0" fontId="18" fillId="19" borderId="73" applyAlignment="1" pivotButton="0" quotePrefix="0" xfId="0">
      <alignment horizontal="center" wrapText="1"/>
    </xf>
    <xf numFmtId="0" fontId="1" fillId="19" borderId="74" applyAlignment="1" pivotButton="0" quotePrefix="0" xfId="0">
      <alignment horizontal="center" wrapText="1"/>
    </xf>
    <xf numFmtId="0" fontId="1" fillId="22" borderId="13" applyAlignment="1" pivotButton="0" quotePrefix="0" xfId="0">
      <alignment vertical="center" wrapText="1"/>
    </xf>
    <xf numFmtId="0" fontId="1" fillId="19" borderId="0" pivotButton="0" quotePrefix="0" xfId="0"/>
    <xf numFmtId="0" fontId="13" fillId="19" borderId="20" pivotButton="0" quotePrefix="0" xfId="0"/>
    <xf numFmtId="0" fontId="6" fillId="19" borderId="16" applyAlignment="1" pivotButton="0" quotePrefix="0" xfId="0">
      <alignment horizontal="center"/>
    </xf>
    <xf numFmtId="0" fontId="6" fillId="19" borderId="45" applyAlignment="1" pivotButton="0" quotePrefix="0" xfId="0">
      <alignment horizontal="center"/>
    </xf>
    <xf numFmtId="3" fontId="7" fillId="19" borderId="48" pivotButton="0" quotePrefix="0" xfId="0"/>
    <xf numFmtId="4" fontId="6" fillId="19" borderId="46" pivotButton="0" quotePrefix="0" xfId="0"/>
    <xf numFmtId="165" fontId="15" fillId="19" borderId="66" pivotButton="0" quotePrefix="0" xfId="0"/>
    <xf numFmtId="4" fontId="12" fillId="19" borderId="54" pivotButton="0" quotePrefix="0" xfId="0"/>
    <xf numFmtId="4" fontId="12" fillId="19" borderId="51" pivotButton="0" quotePrefix="0" xfId="0"/>
    <xf numFmtId="4" fontId="8" fillId="19" borderId="48" pivotButton="0" quotePrefix="0" xfId="0"/>
    <xf numFmtId="2" fontId="8" fillId="19" borderId="49" pivotButton="0" quotePrefix="0" xfId="0"/>
    <xf numFmtId="4" fontId="7" fillId="19" borderId="48" pivotButton="0" quotePrefix="0" xfId="0"/>
    <xf numFmtId="4" fontId="7" fillId="19" borderId="14" pivotButton="0" quotePrefix="0" xfId="0"/>
    <xf numFmtId="4" fontId="6" fillId="19" borderId="0" pivotButton="0" quotePrefix="0" xfId="0"/>
    <xf numFmtId="164" fontId="6" fillId="19" borderId="43" pivotButton="0" quotePrefix="0" xfId="0"/>
    <xf numFmtId="4" fontId="6" fillId="29" borderId="43" pivotButton="0" quotePrefix="0" xfId="0"/>
    <xf numFmtId="3" fontId="7" fillId="19" borderId="21" pivotButton="0" quotePrefix="0" xfId="0"/>
    <xf numFmtId="3" fontId="7" fillId="19" borderId="45" pivotButton="0" quotePrefix="0" xfId="0"/>
    <xf numFmtId="0" fontId="14" fillId="19" borderId="20" pivotButton="0" quotePrefix="0" xfId="0"/>
    <xf numFmtId="3" fontId="7" fillId="19" borderId="31" pivotButton="0" quotePrefix="0" xfId="0"/>
    <xf numFmtId="0" fontId="6" fillId="19" borderId="16" applyAlignment="1" pivotButton="0" quotePrefix="0" xfId="0">
      <alignment horizontal="center" wrapText="1"/>
    </xf>
    <xf numFmtId="0" fontId="6" fillId="30" borderId="0" pivotButton="0" quotePrefix="0" xfId="0"/>
    <xf numFmtId="0" fontId="6" fillId="31" borderId="0" pivotButton="0" quotePrefix="0" xfId="0"/>
    <xf numFmtId="3" fontId="7" fillId="19" borderId="39" pivotButton="0" quotePrefix="0" xfId="0"/>
    <xf numFmtId="0" fontId="1" fillId="19" borderId="20" applyAlignment="1" pivotButton="0" quotePrefix="0" xfId="0">
      <alignment horizontal="left" wrapText="1"/>
    </xf>
    <xf numFmtId="0" fontId="13" fillId="19" borderId="50" pivotButton="0" quotePrefix="0" xfId="0"/>
    <xf numFmtId="0" fontId="6" fillId="19" borderId="26" applyAlignment="1" pivotButton="0" quotePrefix="0" xfId="0">
      <alignment horizontal="center"/>
    </xf>
    <xf numFmtId="0" fontId="16" fillId="19" borderId="20" applyAlignment="1" pivotButton="0" quotePrefix="0" xfId="0">
      <alignment horizontal="left" wrapText="1"/>
    </xf>
    <xf numFmtId="0" fontId="7" fillId="19" borderId="46" applyAlignment="1" pivotButton="0" quotePrefix="0" xfId="0">
      <alignment horizontal="center"/>
    </xf>
    <xf numFmtId="0" fontId="7" fillId="19" borderId="49" applyAlignment="1" pivotButton="0" quotePrefix="0" xfId="0">
      <alignment horizontal="center"/>
    </xf>
    <xf numFmtId="0" fontId="19" fillId="19" borderId="16" applyAlignment="1" pivotButton="0" quotePrefix="0" xfId="0">
      <alignment horizontal="center"/>
    </xf>
    <xf numFmtId="3" fontId="20" fillId="19" borderId="31" pivotButton="0" quotePrefix="0" xfId="0"/>
    <xf numFmtId="0" fontId="19" fillId="19" borderId="45" applyAlignment="1" pivotButton="0" quotePrefix="0" xfId="0">
      <alignment horizontal="center"/>
    </xf>
    <xf numFmtId="0" fontId="20" fillId="19" borderId="46" applyAlignment="1" pivotButton="0" quotePrefix="0" xfId="0">
      <alignment horizontal="center"/>
    </xf>
    <xf numFmtId="165" fontId="15" fillId="23" borderId="52" pivotButton="0" quotePrefix="0" xfId="0"/>
    <xf numFmtId="0" fontId="6" fillId="33" borderId="0" pivotButton="0" quotePrefix="0" xfId="0"/>
    <xf numFmtId="0" fontId="6" fillId="34" borderId="0" pivotButton="0" quotePrefix="0" xfId="0"/>
    <xf numFmtId="0" fontId="6" fillId="20" borderId="0" pivotButton="0" quotePrefix="0" xfId="0"/>
    <xf numFmtId="0" fontId="6" fillId="35" borderId="0" pivotButton="0" quotePrefix="0" xfId="0"/>
    <xf numFmtId="0" fontId="6" fillId="36" borderId="0" pivotButton="0" quotePrefix="0" xfId="0"/>
    <xf numFmtId="0" fontId="6" fillId="37" borderId="0" pivotButton="0" quotePrefix="0" xfId="0"/>
    <xf numFmtId="0" fontId="6" fillId="29" borderId="0" pivotButton="0" quotePrefix="0" xfId="0"/>
    <xf numFmtId="0" fontId="6" fillId="38" borderId="0" pivotButton="0" quotePrefix="0" xfId="0"/>
    <xf numFmtId="4" fontId="6" fillId="19" borderId="40" pivotButton="0" quotePrefix="0" xfId="0"/>
    <xf numFmtId="4" fontId="19" fillId="19" borderId="46" pivotButton="0" quotePrefix="0" xfId="0"/>
    <xf numFmtId="0" fontId="16" fillId="19" borderId="20" pivotButton="0" quotePrefix="0" xfId="0"/>
    <xf numFmtId="0" fontId="21" fillId="19" borderId="16" applyAlignment="1" pivotButton="0" quotePrefix="0" xfId="0">
      <alignment horizontal="center"/>
    </xf>
    <xf numFmtId="3" fontId="22" fillId="19" borderId="31" pivotButton="0" quotePrefix="0" xfId="0"/>
    <xf numFmtId="3" fontId="7" fillId="19" borderId="84" pivotButton="0" quotePrefix="0" xfId="0"/>
    <xf numFmtId="165" fontId="15" fillId="19" borderId="47" pivotButton="0" quotePrefix="0" xfId="0"/>
    <xf numFmtId="165" fontId="15" fillId="19" borderId="68" pivotButton="0" quotePrefix="0" xfId="0"/>
    <xf numFmtId="165" fontId="15" fillId="19" borderId="70" pivotButton="0" quotePrefix="0" xfId="0"/>
    <xf numFmtId="4" fontId="12" fillId="19" borderId="78" pivotButton="0" quotePrefix="0" xfId="0"/>
    <xf numFmtId="4" fontId="12" fillId="19" borderId="42" pivotButton="0" quotePrefix="0" xfId="0"/>
    <xf numFmtId="165" fontId="15" fillId="19" borderId="75" pivotButton="0" quotePrefix="0" xfId="0"/>
    <xf numFmtId="0" fontId="6" fillId="29" borderId="43" pivotButton="0" quotePrefix="0" xfId="0"/>
    <xf numFmtId="0" fontId="6" fillId="40" borderId="43" pivotButton="0" quotePrefix="0" xfId="0"/>
    <xf numFmtId="0" fontId="6" fillId="40" borderId="0" pivotButton="0" quotePrefix="0" xfId="0"/>
    <xf numFmtId="0" fontId="6" fillId="41" borderId="0" pivotButton="0" quotePrefix="0" xfId="0"/>
    <xf numFmtId="0" fontId="6" fillId="42" borderId="43" pivotButton="0" quotePrefix="0" xfId="0"/>
    <xf numFmtId="164" fontId="6" fillId="19" borderId="0" pivotButton="0" quotePrefix="0" xfId="0"/>
    <xf numFmtId="0" fontId="6" fillId="42" borderId="0" pivotButton="0" quotePrefix="0" xfId="0"/>
    <xf numFmtId="0" fontId="6" fillId="34" borderId="13" pivotButton="0" quotePrefix="0" xfId="0"/>
    <xf numFmtId="0" fontId="6" fillId="43" borderId="43" pivotButton="0" quotePrefix="0" xfId="0"/>
    <xf numFmtId="0" fontId="6" fillId="43" borderId="0" pivotButton="0" quotePrefix="0" xfId="0"/>
    <xf numFmtId="0" fontId="6" fillId="44" borderId="0" pivotButton="0" quotePrefix="0" xfId="0"/>
    <xf numFmtId="165" fontId="15" fillId="39" borderId="52" pivotButton="0" quotePrefix="0" xfId="0"/>
    <xf numFmtId="0" fontId="6" fillId="33" borderId="33" pivotButton="0" quotePrefix="0" xfId="0"/>
    <xf numFmtId="0" fontId="13" fillId="19" borderId="20" applyAlignment="1" pivotButton="0" quotePrefix="0" xfId="0">
      <alignment horizontal="left" wrapText="1"/>
    </xf>
    <xf numFmtId="0" fontId="4" fillId="46" borderId="0" applyAlignment="1" pivotButton="0" quotePrefix="0" xfId="0">
      <alignment wrapText="1"/>
    </xf>
    <xf numFmtId="0" fontId="1" fillId="19" borderId="30" applyAlignment="1" pivotButton="0" quotePrefix="0" xfId="0">
      <alignment horizontal="center" wrapText="1"/>
    </xf>
    <xf numFmtId="4" fontId="1" fillId="0" borderId="55" applyAlignment="1" pivotButton="0" quotePrefix="0" xfId="0">
      <alignment horizontal="center" vertical="center"/>
    </xf>
    <xf numFmtId="0" fontId="0" fillId="0" borderId="60" pivotButton="0" quotePrefix="0" xfId="0"/>
    <xf numFmtId="0" fontId="4" fillId="24" borderId="20" applyAlignment="1" pivotButton="0" quotePrefix="0" xfId="0">
      <alignment horizontal="center" vertical="center" wrapText="1"/>
    </xf>
    <xf numFmtId="0" fontId="0" fillId="0" borderId="19" pivotButton="0" quotePrefix="0" xfId="0"/>
    <xf numFmtId="0" fontId="6" fillId="32" borderId="20" applyAlignment="1" pivotButton="0" quotePrefix="0" xfId="0">
      <alignment horizontal="center" vertical="center" wrapText="1"/>
    </xf>
    <xf numFmtId="4" fontId="1" fillId="0" borderId="6" applyAlignment="1" pivotButton="0" quotePrefix="0" xfId="0">
      <alignment horizontal="center" vertical="center"/>
    </xf>
    <xf numFmtId="0" fontId="0" fillId="0" borderId="57" pivotButton="0" quotePrefix="0" xfId="0"/>
    <xf numFmtId="0" fontId="4" fillId="32" borderId="20" applyAlignment="1" pivotButton="0" quotePrefix="0" xfId="0">
      <alignment horizontal="center" vertical="center" wrapText="1"/>
    </xf>
    <xf numFmtId="4" fontId="1" fillId="27" borderId="55" applyAlignment="1" pivotButton="0" quotePrefix="0" xfId="0">
      <alignment horizontal="center" vertical="center"/>
    </xf>
    <xf numFmtId="4" fontId="1" fillId="0" borderId="56" applyAlignment="1" pivotButton="0" quotePrefix="0" xfId="0">
      <alignment horizontal="center" vertical="center"/>
    </xf>
    <xf numFmtId="0" fontId="0" fillId="0" borderId="59" pivotButton="0" quotePrefix="0" xfId="0"/>
    <xf numFmtId="0" fontId="1" fillId="0" borderId="20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6" fillId="24" borderId="20" applyAlignment="1" pivotButton="0" quotePrefix="0" xfId="0">
      <alignment horizontal="center" vertical="center" wrapText="1"/>
    </xf>
    <xf numFmtId="4" fontId="1" fillId="27" borderId="6" applyAlignment="1" pivotButton="0" quotePrefix="0" xfId="0">
      <alignment horizontal="center" vertical="center"/>
    </xf>
    <xf numFmtId="4" fontId="1" fillId="0" borderId="86" applyAlignment="1" pivotButton="0" quotePrefix="0" xfId="0">
      <alignment horizontal="center" vertical="center"/>
    </xf>
    <xf numFmtId="0" fontId="0" fillId="0" borderId="35" pivotButton="0" quotePrefix="0" xfId="0"/>
    <xf numFmtId="4" fontId="1" fillId="27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26" borderId="87" applyAlignment="1" pivotButton="0" quotePrefix="0" xfId="0">
      <alignment horizontal="center" vertical="center"/>
    </xf>
    <xf numFmtId="0" fontId="0" fillId="0" borderId="24" pivotButton="0" quotePrefix="0" xfId="0"/>
    <xf numFmtId="4" fontId="1" fillId="0" borderId="6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/>
    </xf>
    <xf numFmtId="0" fontId="0" fillId="0" borderId="15" pivotButton="0" quotePrefix="0" xfId="0"/>
    <xf numFmtId="0" fontId="0" fillId="0" borderId="18" pivotButton="0" quotePrefix="0" xfId="0"/>
    <xf numFmtId="4" fontId="1" fillId="0" borderId="57" applyAlignment="1" pivotButton="0" quotePrefix="0" xfId="0">
      <alignment horizontal="center" vertical="center"/>
    </xf>
    <xf numFmtId="4" fontId="1" fillId="27" borderId="56" applyAlignment="1" pivotButton="0" quotePrefix="0" xfId="0">
      <alignment horizontal="center" vertical="center"/>
    </xf>
    <xf numFmtId="4" fontId="1" fillId="0" borderId="2" applyAlignment="1" pivotButton="0" quotePrefix="0" xfId="0">
      <alignment horizontal="center" vertical="center"/>
    </xf>
    <xf numFmtId="4" fontId="1" fillId="0" borderId="63" applyAlignment="1" pivotButton="0" quotePrefix="0" xfId="0">
      <alignment horizontal="center" vertical="center"/>
    </xf>
    <xf numFmtId="0" fontId="0" fillId="0" borderId="63" pivotButton="0" quotePrefix="0" xfId="0"/>
    <xf numFmtId="4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89" applyAlignment="1" pivotButton="0" quotePrefix="0" xfId="0">
      <alignment horizontal="center" vertical="center" wrapText="1"/>
    </xf>
    <xf numFmtId="0" fontId="0" fillId="0" borderId="14" pivotButton="0" quotePrefix="0" xfId="0"/>
    <xf numFmtId="4" fontId="1" fillId="0" borderId="6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2" fillId="3" borderId="0" applyAlignment="1" pivotButton="0" quotePrefix="0" xfId="0">
      <alignment horizontal="center"/>
    </xf>
    <xf numFmtId="0" fontId="2" fillId="0" borderId="0" pivotButton="0" quotePrefix="0" xfId="0"/>
    <xf numFmtId="4" fontId="1" fillId="27" borderId="57" applyAlignment="1" pivotButton="0" quotePrefix="0" xfId="0">
      <alignment horizontal="center" vertical="center"/>
    </xf>
    <xf numFmtId="4" fontId="1" fillId="0" borderId="59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6" fillId="16" borderId="0" pivotButton="0" quotePrefix="0" xfId="0"/>
    <xf numFmtId="4" fontId="1" fillId="14" borderId="55" applyAlignment="1" pivotButton="0" quotePrefix="0" xfId="0">
      <alignment horizontal="center" vertical="center"/>
    </xf>
    <xf numFmtId="4" fontId="1" fillId="14" borderId="56" applyAlignment="1" pivotButton="0" quotePrefix="0" xfId="0">
      <alignment horizontal="center" vertical="center"/>
    </xf>
    <xf numFmtId="4" fontId="1" fillId="0" borderId="35" applyAlignment="1" pivotButton="0" quotePrefix="0" xfId="0">
      <alignment horizontal="center" vertical="center"/>
    </xf>
    <xf numFmtId="4" fontId="1" fillId="27" borderId="86" applyAlignment="1" pivotButton="0" quotePrefix="0" xfId="0">
      <alignment horizontal="center" vertical="center"/>
    </xf>
    <xf numFmtId="4" fontId="1" fillId="0" borderId="37" applyAlignment="1" pivotButton="0" quotePrefix="0" xfId="0">
      <alignment horizontal="center" vertical="center"/>
    </xf>
    <xf numFmtId="4" fontId="4" fillId="0" borderId="5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4" fontId="1" fillId="27" borderId="5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4" fontId="1" fillId="27" borderId="8" applyAlignment="1" pivotButton="0" quotePrefix="0" xfId="0">
      <alignment horizontal="center" vertical="center"/>
    </xf>
    <xf numFmtId="4" fontId="4" fillId="19" borderId="55" applyAlignment="1" pivotButton="0" quotePrefix="0" xfId="0">
      <alignment horizontal="center" vertical="center"/>
    </xf>
    <xf numFmtId="0" fontId="1" fillId="22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4" fontId="1" fillId="0" borderId="65" applyAlignment="1" pivotButton="0" quotePrefix="0" xfId="0">
      <alignment horizontal="center"/>
    </xf>
    <xf numFmtId="0" fontId="0" fillId="0" borderId="65" pivotButton="0" quotePrefix="0" xfId="0"/>
    <xf numFmtId="0" fontId="4" fillId="26" borderId="8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wrapText="1"/>
    </xf>
    <xf numFmtId="4" fontId="1" fillId="0" borderId="9" applyAlignment="1" pivotButton="0" quotePrefix="0" xfId="0">
      <alignment horizontal="center" vertical="center"/>
    </xf>
    <xf numFmtId="4" fontId="1" fillId="0" borderId="64" applyAlignment="1" pivotButton="0" quotePrefix="0" xfId="0">
      <alignment horizontal="center" vertical="center"/>
    </xf>
    <xf numFmtId="4" fontId="1" fillId="27" borderId="6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88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4" pivotButton="0" quotePrefix="0" xfId="0"/>
    <xf numFmtId="4" fontId="1" fillId="27" borderId="37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 wrapText="1"/>
    </xf>
    <xf numFmtId="0" fontId="0" fillId="0" borderId="30" pivotButton="0" quotePrefix="0" xfId="0"/>
    <xf numFmtId="0" fontId="4" fillId="39" borderId="20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6" fillId="0" borderId="31" applyAlignment="1" pivotButton="0" quotePrefix="0" xfId="0">
      <alignment horizontal="center" vertical="center" wrapText="1"/>
    </xf>
    <xf numFmtId="0" fontId="1" fillId="19" borderId="19" applyAlignment="1" pivotButton="0" quotePrefix="0" xfId="0">
      <alignment horizontal="center" vertical="center" wrapText="1"/>
    </xf>
    <xf numFmtId="0" fontId="0" fillId="0" borderId="13" pivotButton="0" quotePrefix="0" xfId="0"/>
    <xf numFmtId="0" fontId="4" fillId="25" borderId="27" applyAlignment="1" pivotButton="0" quotePrefix="0" xfId="0">
      <alignment horizontal="center" wrapText="1"/>
    </xf>
    <xf numFmtId="4" fontId="1" fillId="0" borderId="36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wrapText="1"/>
    </xf>
    <xf numFmtId="4" fontId="1" fillId="14" borderId="5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0" fillId="0" borderId="33" pivotButton="0" quotePrefix="0" xfId="0"/>
    <xf numFmtId="0" fontId="1" fillId="0" borderId="59" applyAlignment="1" pivotButton="0" quotePrefix="0" xfId="0">
      <alignment horizontal="center"/>
    </xf>
    <xf numFmtId="0" fontId="4" fillId="19" borderId="15" applyAlignment="1" pivotButton="0" quotePrefix="0" xfId="0">
      <alignment horizontal="center"/>
    </xf>
    <xf numFmtId="0" fontId="1" fillId="0" borderId="90" applyAlignment="1" pivotButton="0" quotePrefix="0" xfId="0">
      <alignment horizontal="center" vertical="center" wrapText="1"/>
    </xf>
    <xf numFmtId="0" fontId="0" fillId="0" borderId="12" pivotButton="0" quotePrefix="0" xfId="0"/>
    <xf numFmtId="0" fontId="4" fillId="25" borderId="19" applyAlignment="1" pivotButton="0" quotePrefix="0" xfId="0">
      <alignment horizontal="center"/>
    </xf>
    <xf numFmtId="0" fontId="0" fillId="0" borderId="17" pivotButton="0" quotePrefix="0" xfId="0"/>
    <xf numFmtId="0" fontId="1" fillId="0" borderId="3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4" fillId="23" borderId="20" applyAlignment="1" pivotButton="0" quotePrefix="0" xfId="0">
      <alignment horizontal="center" vertical="center" wrapText="1"/>
    </xf>
    <xf numFmtId="0" fontId="4" fillId="45" borderId="20" applyAlignment="1" pivotButton="0" quotePrefix="0" xfId="0">
      <alignment horizontal="center" vertical="center" wrapText="1"/>
    </xf>
    <xf numFmtId="0" fontId="4" fillId="47" borderId="20" applyAlignment="1" pivotButton="0" quotePrefix="0" xfId="0">
      <alignment horizontal="center" vertical="center" wrapText="1"/>
    </xf>
    <xf numFmtId="0" fontId="6" fillId="47" borderId="20" applyAlignment="1" pivotButton="0" quotePrefix="0" xfId="0">
      <alignment horizontal="center" vertical="center" wrapText="1"/>
    </xf>
    <xf numFmtId="0" fontId="6" fillId="39" borderId="20" applyAlignment="1" pivotButton="0" quotePrefix="0" xfId="0">
      <alignment horizontal="center" vertical="center" wrapText="1"/>
    </xf>
    <xf numFmtId="0" fontId="6" fillId="45" borderId="20" applyAlignment="1" pivotButton="0" quotePrefix="0" xfId="0">
      <alignment horizontal="center" vertical="center" wrapText="1"/>
    </xf>
    <xf numFmtId="0" fontId="6" fillId="23" borderId="20" applyAlignment="1" pivotButton="0" quotePrefix="0" xfId="0">
      <alignment horizontal="center" vertical="center" wrapText="1"/>
    </xf>
    <xf numFmtId="0" fontId="4" fillId="19" borderId="55" applyAlignment="1" pivotButton="0" quotePrefix="0" xfId="0">
      <alignment horizontal="center" wrapText="1"/>
    </xf>
    <xf numFmtId="0" fontId="4" fillId="24" borderId="85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O459"/>
  <sheetViews>
    <sheetView showGridLines="0" view="pageBreakPreview" zoomScale="80" zoomScaleNormal="80" zoomScaleSheetLayoutView="80" workbookViewId="0">
      <pane xSplit="7" ySplit="8" topLeftCell="IV42" activePane="bottomRight" state="frozen"/>
      <selection pane="topRight" activeCell="H1" sqref="H1"/>
      <selection pane="bottomLeft" activeCell="A9" sqref="A9"/>
      <selection pane="bottomRight" activeCell="FL48" sqref="FL48"/>
    </sheetView>
  </sheetViews>
  <sheetFormatPr baseColWidth="8" defaultColWidth="9.109375" defaultRowHeight="12.75" customHeight="1"/>
  <cols>
    <col width="4.33203125" customWidth="1" style="279" min="1" max="1"/>
    <col width="21.88671875" customWidth="1" style="279" min="2" max="2"/>
    <col width="15.44140625" customWidth="1" style="279" min="3" max="3"/>
    <col width="7.109375" customWidth="1" style="279" min="4" max="4"/>
    <col width="6.88671875" customWidth="1" style="279" min="5" max="5"/>
    <col width="9.5546875" customWidth="1" style="279" min="6" max="6"/>
    <col width="11.5546875" customWidth="1" style="279" min="7" max="7"/>
    <col width="6.5546875" customWidth="1" style="279" min="8" max="8"/>
    <col width="7.88671875" customWidth="1" style="279" min="9" max="9"/>
    <col width="6" customWidth="1" style="279" min="10" max="11"/>
    <col hidden="1" outlineLevel="1" width="6" customWidth="1" style="279" min="12" max="12"/>
    <col hidden="1" outlineLevel="1" width="6" customWidth="1" style="2" min="13" max="13"/>
    <col hidden="1" outlineLevel="1" width="6" customWidth="1" style="279" min="14" max="17"/>
    <col hidden="1" outlineLevel="1" collapsed="1" width="6.33203125" customWidth="1" style="279" min="18" max="18"/>
    <col hidden="1" outlineLevel="1" width="6.33203125" customWidth="1" style="279" min="19" max="19"/>
    <col hidden="1" outlineLevel="1" width="7.33203125" customWidth="1" style="279" min="20" max="27"/>
    <col collapsed="1" width="6.6640625" customWidth="1" style="279" min="28" max="28"/>
    <col width="6.6640625" customWidth="1" style="279" min="29" max="29"/>
    <col width="6.88671875" customWidth="1" style="279" min="30" max="31"/>
    <col collapsed="1" width="6.44140625" customWidth="1" style="279" min="32" max="32"/>
    <col width="6.44140625" customWidth="1" style="279" min="33" max="33"/>
    <col width="6.88671875" customWidth="1" style="279" min="34" max="35"/>
    <col width="5.5546875" customWidth="1" style="279" min="36" max="36"/>
    <col width="7" customWidth="1" style="279" min="37" max="37"/>
    <col width="6.44140625" customWidth="1" style="279" min="38" max="38"/>
    <col width="7.5546875" customWidth="1" style="279" min="39" max="39"/>
    <col width="6.44140625" customWidth="1" style="279" min="40" max="40"/>
    <col width="7.33203125" customWidth="1" style="279" min="41" max="41"/>
    <col collapsed="1" width="6.109375" customWidth="1" style="279" min="42" max="42"/>
    <col width="6.109375" customWidth="1" style="279" min="43" max="43"/>
    <col width="6.44140625" customWidth="1" style="279" min="44" max="44"/>
    <col width="5.88671875" customWidth="1" style="279" min="45" max="45"/>
    <col width="5.109375" customWidth="1" style="279" min="46" max="46"/>
    <col width="6" customWidth="1" style="279" min="47" max="47"/>
    <col width="6.44140625" customWidth="1" style="279" min="48" max="50"/>
    <col width="7.88671875" customWidth="1" style="279" min="51" max="51"/>
    <col width="6" customWidth="1" style="279" min="52" max="53"/>
    <col collapsed="1" width="6" customWidth="1" style="279" min="54" max="54"/>
    <col width="6" customWidth="1" style="279" min="55" max="55"/>
    <col outlineLevel="1" width="6.88671875" customWidth="1" style="279" min="56" max="57"/>
    <col width="6.88671875" customWidth="1" style="279" min="58" max="59"/>
    <col width="6" customWidth="1" style="279" min="60" max="67"/>
    <col width="7.33203125" customWidth="1" style="279" min="68" max="69"/>
    <col width="6.6640625" customWidth="1" style="279" min="70" max="83"/>
    <col width="6.5546875" customWidth="1" style="279" min="84" max="93"/>
    <col width="7.33203125" customWidth="1" style="279" min="94" max="97"/>
    <col width="7.33203125" customWidth="1" style="3" min="98" max="99"/>
    <col width="5.6640625" customWidth="1" style="279" min="100" max="101"/>
    <col width="6.5546875" customWidth="1" style="279" min="102" max="103"/>
    <col width="7.33203125" customWidth="1" style="279" min="104" max="109"/>
    <col width="6.33203125" customWidth="1" style="279" min="110" max="110"/>
    <col width="6.88671875" customWidth="1" style="279" min="111" max="111"/>
    <col width="6.33203125" customWidth="1" style="279" min="112" max="114"/>
    <col width="8.5546875" customWidth="1" style="279" min="115" max="115"/>
    <col width="6.33203125" customWidth="1" style="279" min="116" max="117"/>
    <col collapsed="1" width="6.33203125" customWidth="1" style="279" min="118" max="118"/>
    <col width="6.33203125" customWidth="1" style="279" min="119" max="123"/>
    <col width="7" customWidth="1" style="279" min="124" max="124"/>
    <col width="6.109375" customWidth="1" style="279" min="125" max="125"/>
    <col width="6.33203125" customWidth="1" style="279" min="126" max="127"/>
    <col width="7.109375" customWidth="1" style="279" min="128" max="129"/>
    <col width="6.6640625" customWidth="1" style="279" min="130" max="133"/>
    <col collapsed="1" width="6.6640625" customWidth="1" style="279" min="134" max="134"/>
    <col width="6.6640625" customWidth="1" style="279" min="135" max="135"/>
    <col collapsed="1" width="7.33203125" customWidth="1" style="279" min="136" max="136"/>
    <col width="7.33203125" customWidth="1" style="279" min="137" max="139"/>
    <col width="6.6640625" customWidth="1" style="279" min="140" max="143"/>
    <col width="6.109375" customWidth="1" style="279" min="144" max="145"/>
    <col width="6.5546875" customWidth="1" style="279" min="146" max="147"/>
    <col collapsed="1" width="5.109375" customWidth="1" style="279" min="148" max="148"/>
    <col width="6.6640625" customWidth="1" style="279" min="149" max="149"/>
    <col width="6.88671875" customWidth="1" style="279" min="150" max="150"/>
    <col width="7.33203125" customWidth="1" style="279" min="151" max="165"/>
    <col collapsed="1" width="7.33203125" customWidth="1" style="279" min="166" max="166"/>
    <col width="7.33203125" customWidth="1" style="279" min="167" max="171"/>
    <col hidden="1" outlineLevel="1" width="7.33203125" customWidth="1" style="279" min="172" max="181"/>
    <col collapsed="1" width="7.33203125" customWidth="1" style="279" min="182" max="182"/>
    <col width="7.33203125" customWidth="1" style="279" min="183" max="187"/>
    <col hidden="1" outlineLevel="1" width="7.33203125" customWidth="1" style="279" min="188" max="191"/>
    <col hidden="1" outlineLevel="1" collapsed="1" width="7.33203125" customWidth="1" style="279" min="192" max="192"/>
    <col hidden="1" outlineLevel="1" width="7.33203125" customWidth="1" style="279" min="193" max="195"/>
    <col hidden="1" outlineLevel="1" collapsed="1" width="7.33203125" customWidth="1" style="279" min="196" max="196"/>
    <col hidden="1" outlineLevel="1" width="7.33203125" customWidth="1" style="279" min="197" max="231"/>
    <col hidden="1" outlineLevel="1" collapsed="1" width="7.33203125" customWidth="1" style="279" min="232" max="232"/>
    <col hidden="1" outlineLevel="1" width="7.33203125" customWidth="1" style="279" min="233" max="241"/>
    <col hidden="1" outlineLevel="1" collapsed="1" width="7.33203125" customWidth="1" style="279" min="242" max="242"/>
    <col hidden="1" outlineLevel="1" width="7.33203125" customWidth="1" style="279" min="243" max="249"/>
    <col collapsed="1" width="7.33203125" customWidth="1" style="279" min="250" max="250"/>
    <col width="7.33203125" customWidth="1" style="279" min="251" max="259"/>
    <col hidden="1" outlineLevel="1" width="7.33203125" customWidth="1" style="279" min="260" max="263"/>
    <col hidden="1" outlineLevel="1" width="7" customWidth="1" style="279" min="264" max="264"/>
    <col hidden="1" outlineLevel="1" width="7.33203125" customWidth="1" style="279" min="265" max="265"/>
    <col collapsed="1" width="7.33203125" customWidth="1" style="279" min="266" max="266"/>
    <col width="7.33203125" customWidth="1" style="279" min="267" max="267"/>
    <col hidden="1" outlineLevel="1" width="7.33203125" customWidth="1" style="279" min="268" max="271"/>
    <col collapsed="1" width="6.88671875" customWidth="1" style="279" min="272" max="272"/>
    <col width="8.33203125" customWidth="1" style="279" min="273" max="273"/>
    <col width="6.44140625" customWidth="1" style="279" min="274" max="274"/>
    <col width="6.88671875" customWidth="1" style="279" min="275" max="275"/>
    <col width="7.109375" customWidth="1" style="279" min="276" max="276"/>
    <col width="8.44140625" customWidth="1" style="279" min="277" max="277"/>
    <col hidden="1" outlineLevel="1" width="6.44140625" customWidth="1" style="279" min="278" max="279"/>
    <col hidden="1" outlineLevel="1" width="6" customWidth="1" style="279" min="280" max="280"/>
    <col hidden="1" outlineLevel="1" width="5.5546875" customWidth="1" style="279" min="281" max="281"/>
    <col hidden="1" outlineLevel="1" width="5.88671875" customWidth="1" style="279" min="282" max="282"/>
    <col hidden="1" outlineLevel="1" width="6.5546875" customWidth="1" style="279" min="283" max="283"/>
    <col hidden="1" outlineLevel="1" width="5.44140625" customWidth="1" style="279" min="284" max="284"/>
    <col hidden="1" outlineLevel="1" width="2.33203125" customWidth="1" style="279" min="285" max="285"/>
    <col collapsed="1" width="7.33203125" customWidth="1" style="279" min="286" max="286"/>
    <col width="9.88671875" customWidth="1" style="279" min="287" max="287"/>
    <col width="9.44140625" customWidth="1" style="279" min="288" max="288"/>
    <col width="15.88671875" customWidth="1" style="279" min="289" max="289"/>
    <col width="17.5546875" customWidth="1" style="279" min="290" max="290"/>
    <col width="11" customWidth="1" style="279" min="291" max="291"/>
    <col width="15.44140625" customWidth="1" style="279" min="292" max="292"/>
    <col width="9.109375" customWidth="1" style="279" min="293" max="293"/>
    <col width="9.109375" customWidth="1" style="279" min="294" max="16384"/>
  </cols>
  <sheetData>
    <row r="1" ht="17.25" customFormat="1" customHeight="1" s="288" thickBot="1">
      <c r="A1" s="265" t="inlineStr">
        <is>
          <t>Расшифровка зарплаты рабочих за Январь 2024 г</t>
        </is>
      </c>
      <c r="B1" s="266" t="n"/>
      <c r="C1" s="266" t="n"/>
      <c r="D1" s="266" t="n"/>
      <c r="E1" s="266" t="n"/>
      <c r="F1" s="266" t="n"/>
      <c r="G1" s="266" t="n"/>
      <c r="M1" s="5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V1" s="39" t="n"/>
      <c r="AW1" s="39" t="n"/>
      <c r="BB1" s="37" t="n"/>
      <c r="BC1" s="37" t="n"/>
      <c r="BD1" s="37" t="n"/>
      <c r="BE1" s="37" t="n"/>
      <c r="BJ1" s="287" t="n"/>
      <c r="BP1" s="287" t="n"/>
      <c r="CD1" s="36" t="n"/>
      <c r="DM1" s="310" t="n"/>
      <c r="DQ1" s="41" t="n"/>
      <c r="DR1" s="37" t="n"/>
      <c r="DS1" s="37" t="n"/>
      <c r="DT1" s="37" t="n"/>
      <c r="DU1" s="37" t="n"/>
      <c r="DV1" s="37" t="n"/>
      <c r="DW1" s="37" t="n"/>
      <c r="DX1" s="37" t="n"/>
      <c r="DY1" s="37" t="n"/>
      <c r="ER1" s="36" t="n"/>
      <c r="ES1" s="36" t="n"/>
      <c r="GZ1" s="39" t="n"/>
      <c r="HA1" s="39" t="n"/>
      <c r="HD1" s="37" t="n"/>
      <c r="HE1" s="37" t="n"/>
      <c r="HK1" s="39" t="n"/>
      <c r="HL1" s="39" t="n"/>
      <c r="HM1" s="40" t="n"/>
      <c r="HN1" s="39" t="n"/>
      <c r="HO1" s="39" t="n"/>
      <c r="HP1" s="39" t="n"/>
      <c r="HQ1" s="40" t="n"/>
      <c r="IO1" s="37" t="n"/>
      <c r="IQ1" s="37" t="n"/>
    </row>
    <row r="2" ht="11.25" customHeight="1" thickBot="1">
      <c r="A2" s="283" t="inlineStr">
        <is>
          <t>№ П/П</t>
        </is>
      </c>
      <c r="B2" s="299" t="inlineStr">
        <is>
          <t>Работники</t>
        </is>
      </c>
      <c r="C2" s="285" t="n"/>
      <c r="D2" s="337" t="inlineStr">
        <is>
          <t>Отработано часов</t>
        </is>
      </c>
      <c r="E2" s="305" t="n"/>
      <c r="F2" s="285" t="inlineStr">
        <is>
          <t>Оклад с РК</t>
        </is>
      </c>
      <c r="G2" s="308" t="n"/>
      <c r="H2" s="335" t="inlineStr">
        <is>
          <t>Распределение по заказам</t>
        </is>
      </c>
      <c r="I2" s="255" t="n"/>
      <c r="J2" s="255" t="n"/>
      <c r="K2" s="255" t="n"/>
      <c r="L2" s="255" t="n"/>
      <c r="M2" s="255" t="n"/>
      <c r="N2" s="255" t="n"/>
      <c r="O2" s="255" t="n"/>
      <c r="P2" s="255" t="n"/>
      <c r="Q2" s="255" t="n"/>
      <c r="R2" s="255" t="n"/>
      <c r="S2" s="255" t="n"/>
      <c r="T2" s="255" t="n"/>
      <c r="U2" s="255" t="n"/>
      <c r="V2" s="255" t="n"/>
      <c r="W2" s="255" t="n"/>
      <c r="X2" s="255" t="n"/>
      <c r="Y2" s="255" t="n"/>
      <c r="Z2" s="255" t="n"/>
      <c r="AA2" s="255" t="n"/>
      <c r="AB2" s="255" t="n"/>
      <c r="AC2" s="255" t="n"/>
      <c r="AD2" s="255" t="n"/>
      <c r="AE2" s="255" t="n"/>
      <c r="AF2" s="255" t="n"/>
      <c r="AG2" s="255" t="n"/>
      <c r="AH2" s="255" t="n"/>
      <c r="AI2" s="255" t="n"/>
      <c r="AJ2" s="255" t="n"/>
      <c r="AK2" s="255" t="n"/>
      <c r="AL2" s="255" t="n"/>
      <c r="AM2" s="255" t="n"/>
      <c r="AN2" s="255" t="n"/>
      <c r="AO2" s="255" t="n"/>
      <c r="AP2" s="255" t="n"/>
      <c r="AQ2" s="255" t="n"/>
      <c r="AR2" s="255" t="n"/>
      <c r="AS2" s="255" t="n"/>
      <c r="AT2" s="255" t="n"/>
      <c r="AU2" s="255" t="n"/>
      <c r="AV2" s="255" t="n"/>
      <c r="AW2" s="255" t="n"/>
      <c r="AX2" s="255" t="n"/>
      <c r="AY2" s="255" t="n"/>
      <c r="AZ2" s="255" t="n"/>
      <c r="BA2" s="255" t="n"/>
      <c r="BB2" s="255" t="n"/>
      <c r="BC2" s="255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  <c r="BN2" s="47" t="n"/>
      <c r="BO2" s="47" t="n"/>
      <c r="BP2" s="47" t="n"/>
      <c r="BQ2" s="47" t="n"/>
      <c r="BR2" s="47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  <c r="CO2" s="47" t="n"/>
      <c r="CP2" s="47" t="n"/>
      <c r="CQ2" s="47" t="n"/>
      <c r="CR2" s="47" t="n"/>
      <c r="CS2" s="47" t="n"/>
      <c r="CT2" s="47" t="n"/>
      <c r="CU2" s="47" t="n"/>
      <c r="CV2" s="47" t="n"/>
      <c r="CW2" s="47" t="n"/>
      <c r="CX2" s="47" t="n"/>
      <c r="CY2" s="47" t="n"/>
      <c r="CZ2" s="47" t="n"/>
      <c r="DA2" s="47" t="n"/>
      <c r="DB2" s="47" t="n"/>
      <c r="DC2" s="47" t="n"/>
      <c r="DD2" s="47" t="n"/>
      <c r="DE2" s="47" t="n"/>
      <c r="DF2" s="47" t="n"/>
      <c r="DG2" s="47" t="n"/>
      <c r="DH2" s="47" t="n"/>
      <c r="DI2" s="47" t="n"/>
      <c r="DJ2" s="47" t="n"/>
      <c r="DK2" s="47" t="n"/>
      <c r="DL2" s="47" t="n"/>
      <c r="DM2" s="47" t="n"/>
      <c r="DN2" s="47" t="n"/>
      <c r="DO2" s="47" t="n"/>
      <c r="DP2" s="47" t="n"/>
      <c r="DQ2" s="47" t="n"/>
      <c r="DR2" s="47" t="n"/>
      <c r="DS2" s="47" t="n"/>
      <c r="DT2" s="47" t="n"/>
      <c r="DU2" s="47" t="n"/>
      <c r="DV2" s="47" t="n"/>
      <c r="DW2" s="47" t="n"/>
      <c r="DX2" s="47" t="n"/>
      <c r="DY2" s="47" t="n"/>
      <c r="DZ2" s="47" t="n"/>
      <c r="EA2" s="47" t="n"/>
      <c r="EB2" s="47" t="n"/>
      <c r="EC2" s="47" t="n"/>
      <c r="ED2" s="47" t="n"/>
      <c r="EE2" s="47" t="n"/>
      <c r="EF2" s="47" t="n"/>
      <c r="EG2" s="47" t="n"/>
      <c r="EH2" s="47" t="n"/>
      <c r="EI2" s="47" t="n"/>
      <c r="EJ2" s="47" t="n"/>
      <c r="EK2" s="47" t="n"/>
      <c r="EL2" s="47" t="n"/>
      <c r="EM2" s="47" t="n"/>
      <c r="EN2" s="47" t="n"/>
      <c r="EO2" s="47" t="n"/>
      <c r="EP2" s="47" t="n"/>
      <c r="EQ2" s="47" t="n"/>
      <c r="ER2" s="47" t="n"/>
      <c r="ES2" s="47" t="n"/>
      <c r="ET2" s="47" t="n"/>
      <c r="EU2" s="47" t="n"/>
      <c r="EV2" s="47" t="n"/>
      <c r="EW2" s="47" t="n"/>
      <c r="EX2" s="47" t="n"/>
      <c r="EY2" s="47" t="n"/>
      <c r="EZ2" s="47" t="n"/>
      <c r="FA2" s="47" t="n"/>
      <c r="FB2" s="47" t="n"/>
      <c r="FC2" s="47" t="n"/>
      <c r="FD2" s="47" t="n"/>
      <c r="FE2" s="47" t="n"/>
      <c r="FF2" s="47" t="n"/>
      <c r="FG2" s="47" t="n"/>
      <c r="FH2" s="47" t="n"/>
      <c r="FI2" s="47" t="n"/>
      <c r="FJ2" s="47" t="n"/>
      <c r="FK2" s="47" t="n"/>
      <c r="FL2" s="47" t="n"/>
      <c r="FM2" s="47" t="n"/>
      <c r="FN2" s="47" t="n"/>
      <c r="FO2" s="47" t="n"/>
      <c r="FP2" s="47" t="n"/>
      <c r="FQ2" s="47" t="n"/>
      <c r="FR2" s="47" t="n"/>
      <c r="FS2" s="47" t="n"/>
      <c r="FT2" s="47" t="n"/>
      <c r="FU2" s="47" t="n"/>
      <c r="FV2" s="47" t="n"/>
      <c r="FW2" s="47" t="n"/>
      <c r="FX2" s="47" t="n"/>
      <c r="FY2" s="47" t="n"/>
      <c r="FZ2" s="47" t="n"/>
      <c r="GA2" s="47" t="n"/>
      <c r="GB2" s="47" t="n"/>
      <c r="GC2" s="47" t="n"/>
      <c r="GD2" s="47" t="n"/>
      <c r="GE2" s="47" t="n"/>
      <c r="GF2" s="47" t="n"/>
      <c r="GG2" s="47" t="n"/>
      <c r="GH2" s="47" t="n"/>
      <c r="GI2" s="47" t="n"/>
      <c r="GJ2" s="47" t="n"/>
      <c r="GK2" s="47" t="n"/>
      <c r="GL2" s="47" t="n"/>
      <c r="GM2" s="47" t="n"/>
      <c r="GN2" s="47" t="n"/>
      <c r="GO2" s="47" t="n"/>
      <c r="GP2" s="47" t="n"/>
      <c r="GQ2" s="47" t="n"/>
      <c r="GR2" s="47" t="n"/>
      <c r="GS2" s="47" t="n"/>
      <c r="GT2" s="47" t="n"/>
      <c r="GU2" s="47" t="n"/>
      <c r="GV2" s="47" t="n"/>
      <c r="GW2" s="47" t="n"/>
      <c r="GX2" s="47" t="n"/>
      <c r="GY2" s="47" t="n"/>
      <c r="GZ2" s="47" t="n"/>
      <c r="HA2" s="47" t="n"/>
      <c r="HB2" s="47" t="n"/>
      <c r="HC2" s="47" t="n"/>
      <c r="HD2" s="47" t="n"/>
      <c r="HE2" s="47" t="n"/>
      <c r="HF2" s="47" t="n"/>
      <c r="HG2" s="47" t="n"/>
      <c r="HH2" s="47" t="n"/>
      <c r="HI2" s="47" t="n"/>
      <c r="HJ2" s="47" t="n"/>
      <c r="HK2" s="47" t="n"/>
      <c r="HL2" s="47" t="n"/>
      <c r="HM2" s="47" t="n"/>
      <c r="HN2" s="47" t="n"/>
      <c r="HO2" s="47" t="n"/>
      <c r="HP2" s="47" t="n"/>
      <c r="HQ2" s="47" t="n"/>
      <c r="HR2" s="47" t="n"/>
      <c r="HS2" s="47" t="n"/>
      <c r="HT2" s="47" t="n"/>
      <c r="HU2" s="47" t="n"/>
      <c r="HV2" s="47" t="n"/>
      <c r="HW2" s="47" t="n"/>
      <c r="HX2" s="47" t="n"/>
      <c r="HY2" s="47" t="n"/>
      <c r="HZ2" s="47" t="n"/>
      <c r="IA2" s="47" t="n"/>
      <c r="IB2" s="47" t="n"/>
      <c r="IC2" s="47" t="n"/>
      <c r="ID2" s="47" t="n"/>
      <c r="IE2" s="47" t="n"/>
      <c r="IF2" s="47" t="n"/>
      <c r="IG2" s="47" t="n"/>
      <c r="IH2" s="47" t="n"/>
      <c r="II2" s="47" t="n"/>
      <c r="IJ2" s="47" t="n"/>
      <c r="IK2" s="47" t="n"/>
      <c r="IL2" s="47" t="n"/>
      <c r="IM2" s="47" t="n"/>
      <c r="IN2" s="47" t="n"/>
      <c r="IO2" s="47" t="n"/>
      <c r="IP2" s="47" t="n"/>
      <c r="IQ2" s="47" t="n"/>
      <c r="IR2" s="47" t="n"/>
      <c r="IS2" s="47" t="n"/>
      <c r="IT2" s="47" t="n"/>
      <c r="IU2" s="47" t="n"/>
      <c r="IV2" s="47" t="n"/>
      <c r="IW2" s="47" t="n"/>
      <c r="IX2" s="47" t="n"/>
      <c r="IY2" s="47" t="n"/>
      <c r="IZ2" s="47" t="n"/>
      <c r="JA2" s="47" t="n"/>
      <c r="JB2" s="47" t="n"/>
      <c r="JC2" s="47" t="n"/>
      <c r="JD2" s="47" t="n"/>
      <c r="JE2" s="47" t="n"/>
      <c r="JF2" s="47" t="n"/>
      <c r="JG2" s="47" t="n"/>
      <c r="JH2" s="47" t="n"/>
      <c r="JI2" s="47" t="n"/>
      <c r="JJ2" s="47" t="n"/>
      <c r="JK2" s="47" t="n"/>
      <c r="JL2" s="47" t="n"/>
      <c r="JM2" s="47" t="n"/>
      <c r="JN2" s="47" t="n"/>
      <c r="JO2" s="47" t="n"/>
      <c r="JP2" s="47" t="n"/>
      <c r="JQ2" s="47" t="n"/>
      <c r="JR2" s="47" t="n"/>
      <c r="JS2" s="47" t="n"/>
      <c r="JT2" s="47" t="n"/>
      <c r="JU2" s="47" t="n"/>
      <c r="JV2" s="47" t="n"/>
      <c r="JW2" s="47" t="n"/>
      <c r="JX2" s="47" t="n"/>
      <c r="JY2" s="47" t="n"/>
      <c r="JZ2" s="47" t="n"/>
      <c r="KA2" s="47" t="n"/>
      <c r="KB2" s="47" t="n"/>
      <c r="KC2" s="48" t="n"/>
    </row>
    <row r="3" ht="14.25" customHeight="1">
      <c r="A3" s="284" t="n"/>
      <c r="B3" s="284" t="n"/>
      <c r="C3" s="286" t="n"/>
      <c r="D3" s="286" t="n"/>
      <c r="E3" s="306" t="n"/>
      <c r="F3" s="286" t="n"/>
      <c r="H3" s="339" t="inlineStr">
        <is>
          <t>ОСНАСТКА</t>
        </is>
      </c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0" t="n"/>
      <c r="S3" s="340" t="n"/>
      <c r="T3" s="340" t="n"/>
      <c r="U3" s="340" t="n"/>
      <c r="V3" s="340" t="n"/>
      <c r="W3" s="340" t="n"/>
      <c r="X3" s="340" t="n"/>
      <c r="Y3" s="340" t="n"/>
      <c r="Z3" s="340" t="n"/>
      <c r="AA3" s="248" t="n"/>
      <c r="AB3" s="68" t="n"/>
      <c r="AC3" s="68" t="n"/>
      <c r="AD3" s="68" t="n"/>
      <c r="AE3" s="68" t="n"/>
      <c r="AF3" s="68" t="n"/>
      <c r="AG3" s="68" t="n"/>
      <c r="AH3" s="68" t="n"/>
      <c r="AI3" s="144" t="n"/>
      <c r="AJ3" s="145" t="n"/>
      <c r="AK3" s="145" t="n"/>
      <c r="AL3" s="336" t="n"/>
      <c r="AM3" s="271" t="n"/>
      <c r="AN3" s="68" t="n"/>
      <c r="AO3" s="68" t="n"/>
      <c r="AP3" s="68" t="n"/>
      <c r="AQ3" s="68" t="n"/>
      <c r="AR3" s="68" t="n"/>
      <c r="AS3" s="68" t="n"/>
      <c r="AT3" s="68" t="n"/>
      <c r="AU3" s="68" t="n"/>
      <c r="AV3" s="68" t="n"/>
      <c r="AW3" s="68" t="n"/>
      <c r="AX3" s="69" t="n"/>
      <c r="AY3" s="68" t="n"/>
      <c r="AZ3" s="68" t="n"/>
      <c r="BA3" s="68" t="n"/>
      <c r="BB3" s="68" t="n"/>
      <c r="BC3" s="68" t="n"/>
      <c r="BD3" s="43" t="n"/>
      <c r="BE3" s="43" t="n"/>
      <c r="BF3" s="43" t="n"/>
      <c r="BG3" s="43" t="n"/>
      <c r="BH3" s="43" t="n"/>
      <c r="BI3" s="43" t="n"/>
      <c r="BJ3" s="43" t="n"/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  <c r="CO3" s="43" t="n"/>
      <c r="CP3" s="43" t="n"/>
      <c r="CQ3" s="43" t="n"/>
      <c r="CR3" s="43" t="n"/>
      <c r="CS3" s="43" t="n"/>
      <c r="CT3" s="43" t="n"/>
      <c r="CU3" s="43" t="n"/>
      <c r="CV3" s="43" t="n"/>
      <c r="CW3" s="43" t="n"/>
      <c r="CX3" s="43" t="n"/>
      <c r="CY3" s="43" t="n"/>
      <c r="CZ3" s="43" t="n"/>
      <c r="DA3" s="43" t="n"/>
      <c r="DB3" s="43" t="n"/>
      <c r="DC3" s="43" t="n"/>
      <c r="DD3" s="43" t="n"/>
      <c r="DE3" s="43" t="n"/>
      <c r="DF3" s="43" t="n"/>
      <c r="DG3" s="43" t="n"/>
      <c r="DH3" s="43" t="n"/>
      <c r="DI3" s="43" t="n"/>
      <c r="DJ3" s="43" t="n"/>
      <c r="DK3" s="43" t="n"/>
      <c r="DL3" s="43" t="n"/>
      <c r="DM3" s="43" t="n"/>
      <c r="DN3" s="43" t="n"/>
      <c r="DO3" s="43" t="n"/>
      <c r="DP3" s="43" t="n"/>
      <c r="DQ3" s="43" t="n"/>
      <c r="DR3" s="43" t="n"/>
      <c r="DS3" s="43" t="n"/>
      <c r="DT3" s="43" t="n"/>
      <c r="DU3" s="43" t="n"/>
      <c r="DV3" s="43" t="n"/>
      <c r="DW3" s="43" t="n"/>
      <c r="DX3" s="43" t="n"/>
      <c r="DY3" s="43" t="n"/>
      <c r="DZ3" s="43" t="n"/>
      <c r="EA3" s="43" t="n"/>
      <c r="EB3" s="43" t="n"/>
      <c r="EC3" s="43" t="n"/>
      <c r="ED3" s="43" t="n"/>
      <c r="EE3" s="43" t="n"/>
      <c r="EF3" s="43" t="n"/>
      <c r="EG3" s="43" t="n"/>
      <c r="EH3" s="43" t="n"/>
      <c r="EI3" s="43" t="n"/>
      <c r="EJ3" s="43" t="n"/>
      <c r="EK3" s="43" t="n"/>
      <c r="EL3" s="43" t="n"/>
      <c r="EM3" s="43" t="n"/>
      <c r="EN3" s="43" t="n"/>
      <c r="EO3" s="43" t="n"/>
      <c r="EP3" s="43" t="n"/>
      <c r="EQ3" s="43" t="n"/>
      <c r="ER3" s="43" t="n"/>
      <c r="ES3" s="43" t="n"/>
      <c r="ET3" s="43" t="n"/>
      <c r="EU3" s="43" t="n"/>
      <c r="EV3" s="43" t="n"/>
      <c r="EW3" s="43" t="n"/>
      <c r="EX3" s="43" t="n"/>
      <c r="EY3" s="43" t="n"/>
      <c r="EZ3" s="43" t="n"/>
      <c r="FA3" s="62" t="n"/>
      <c r="FB3" s="63" t="n"/>
      <c r="FC3" s="62" t="n"/>
      <c r="FD3" s="63" t="n"/>
      <c r="FE3" s="62" t="n"/>
      <c r="FF3" s="63" t="n"/>
      <c r="FG3" s="62" t="n"/>
      <c r="FH3" s="43" t="n"/>
      <c r="FI3" s="62" t="n"/>
      <c r="FJ3" s="43" t="n"/>
      <c r="FK3" s="43" t="n"/>
      <c r="FL3" s="43" t="n"/>
      <c r="FM3" s="43" t="n"/>
      <c r="FN3" s="43" t="n"/>
      <c r="FO3" s="43" t="n"/>
      <c r="FP3" s="43" t="n"/>
      <c r="FQ3" s="43" t="n"/>
      <c r="FR3" s="43" t="n"/>
      <c r="FS3" s="43" t="n"/>
      <c r="FT3" s="43" t="n"/>
      <c r="FU3" s="43" t="n"/>
      <c r="FV3" s="43" t="n"/>
      <c r="FW3" s="43" t="n"/>
      <c r="FX3" s="43" t="n"/>
      <c r="FY3" s="43" t="n"/>
      <c r="FZ3" s="43" t="n"/>
      <c r="GA3" s="43" t="n"/>
      <c r="GB3" s="43" t="n"/>
      <c r="GC3" s="43" t="n"/>
      <c r="GD3" s="43" t="n"/>
      <c r="GE3" s="43" t="n"/>
      <c r="GF3" s="43" t="n"/>
      <c r="GG3" s="43" t="n"/>
      <c r="GH3" s="43" t="n"/>
      <c r="GI3" s="54" t="n"/>
      <c r="GJ3" s="43" t="n"/>
      <c r="GK3" s="43" t="n"/>
      <c r="GL3" s="43" t="n"/>
      <c r="GM3" s="43" t="n"/>
      <c r="GN3" s="43" t="n"/>
      <c r="GO3" s="43" t="n"/>
      <c r="GP3" s="43" t="n"/>
      <c r="GQ3" s="43" t="n"/>
      <c r="GR3" s="43" t="n"/>
      <c r="GS3" s="43" t="n"/>
      <c r="GT3" s="43" t="n"/>
      <c r="GU3" s="43" t="n"/>
      <c r="GV3" s="50" t="n"/>
      <c r="GW3" s="50" t="n"/>
      <c r="GX3" s="50" t="n"/>
      <c r="GY3" s="50" t="n"/>
      <c r="GZ3" s="50" t="n"/>
      <c r="HA3" s="50" t="n"/>
      <c r="HB3" s="43" t="n"/>
      <c r="HC3" s="43" t="n"/>
      <c r="HD3" s="43" t="n"/>
      <c r="HE3" s="43" t="n"/>
      <c r="HF3" s="49" t="n"/>
      <c r="HG3" s="43" t="n"/>
      <c r="HH3" s="43" t="n"/>
      <c r="HI3" s="43" t="n"/>
      <c r="HJ3" s="43" t="n"/>
      <c r="HK3" s="43" t="n"/>
      <c r="HL3" s="43" t="n"/>
      <c r="HM3" s="43" t="n"/>
      <c r="HN3" s="43" t="n"/>
      <c r="HO3" s="43" t="n"/>
      <c r="HP3" s="43" t="n"/>
      <c r="HQ3" s="43" t="n"/>
      <c r="HR3" s="43" t="n"/>
      <c r="HS3" s="43" t="n"/>
      <c r="HT3" s="43" t="n"/>
      <c r="HU3" s="43" t="n"/>
      <c r="HV3" s="43" t="n"/>
      <c r="HW3" s="43" t="n"/>
      <c r="HX3" s="43" t="n"/>
      <c r="HY3" s="43" t="n"/>
      <c r="HZ3" s="43" t="n"/>
      <c r="IA3" s="43" t="n"/>
      <c r="IB3" s="43" t="n"/>
      <c r="IC3" s="43" t="n"/>
      <c r="ID3" s="43" t="n"/>
      <c r="IE3" s="43" t="n"/>
      <c r="IF3" s="43" t="n"/>
      <c r="IG3" s="43" t="n"/>
      <c r="IH3" s="43" t="n"/>
      <c r="II3" s="43" t="n"/>
      <c r="IJ3" s="43" t="n"/>
      <c r="IK3" s="43" t="n"/>
      <c r="IL3" s="43" t="n"/>
      <c r="IM3" s="43" t="n"/>
      <c r="IN3" s="43" t="n"/>
      <c r="IO3" s="43" t="n"/>
      <c r="IP3" s="43" t="n"/>
      <c r="IQ3" s="43" t="n"/>
      <c r="IR3" s="43" t="n"/>
      <c r="IS3" s="43" t="n"/>
      <c r="IT3" s="43" t="n"/>
      <c r="IU3" s="43" t="n"/>
      <c r="IV3" s="43" t="n"/>
      <c r="IW3" s="43" t="n"/>
      <c r="IX3" s="43" t="n"/>
      <c r="IY3" s="43" t="n"/>
      <c r="IZ3" s="50" t="n"/>
      <c r="JA3" s="50" t="n"/>
      <c r="JB3" s="50" t="n"/>
      <c r="JC3" s="50" t="n"/>
      <c r="JD3" s="50" t="n"/>
      <c r="JE3" s="50" t="n"/>
      <c r="JF3" s="42" t="n"/>
      <c r="JG3" s="42" t="n"/>
      <c r="JH3" s="42" t="n"/>
      <c r="JI3" s="42" t="n"/>
      <c r="JJ3" s="342" t="n"/>
      <c r="JK3" s="340" t="n"/>
      <c r="JL3" s="304" t="inlineStr">
        <is>
          <t>Работы с обслуживанием цеха и оборудования</t>
        </is>
      </c>
      <c r="JM3" s="305" t="n"/>
      <c r="JN3" s="270" t="inlineStr">
        <is>
          <t>Подготовительные работы по ОС</t>
        </is>
      </c>
      <c r="JO3" s="271" t="n"/>
      <c r="JP3" s="271" t="n"/>
      <c r="JQ3" s="271" t="n"/>
      <c r="JR3" s="271" t="n"/>
      <c r="JS3" s="271" t="n"/>
      <c r="JT3" s="271" t="n"/>
      <c r="JU3" s="271" t="n"/>
      <c r="JV3" s="271" t="n"/>
      <c r="JW3" s="271" t="n"/>
      <c r="JX3" s="271" t="n"/>
      <c r="JY3" s="271" t="n"/>
      <c r="JZ3" s="271" t="n"/>
      <c r="KA3" s="272" t="n"/>
      <c r="KB3" s="316" t="inlineStr">
        <is>
          <t>ВСЕГО</t>
        </is>
      </c>
      <c r="KC3" s="306" t="n"/>
    </row>
    <row r="4" ht="130.5" customHeight="1">
      <c r="A4" s="284" t="n"/>
      <c r="B4" s="284" t="n"/>
      <c r="C4" s="286" t="n"/>
      <c r="D4" s="338" t="n"/>
      <c r="E4" s="281" t="n"/>
      <c r="F4" s="286" t="n"/>
      <c r="H4" s="260" t="inlineStr">
        <is>
          <t>Опора закладная ТК.163.00.000</t>
        </is>
      </c>
      <c r="I4" s="248" t="n"/>
      <c r="J4" s="260" t="inlineStr">
        <is>
          <t>Стеллаж передвижной ТК.134.00000</t>
        </is>
      </c>
      <c r="K4" s="248" t="n"/>
      <c r="L4" s="260" t="n"/>
      <c r="M4" s="248" t="n"/>
      <c r="N4" s="260" t="n"/>
      <c r="O4" s="248" t="n"/>
      <c r="P4" s="260" t="n"/>
      <c r="Q4" s="248" t="n"/>
      <c r="R4" s="260" t="n"/>
      <c r="S4" s="248" t="n"/>
      <c r="T4" s="260" t="n"/>
      <c r="U4" s="248" t="n"/>
      <c r="V4" s="260" t="n"/>
      <c r="W4" s="248" t="n"/>
      <c r="X4" s="260" t="n"/>
      <c r="Y4" s="248" t="n"/>
      <c r="Z4" s="260" t="n"/>
      <c r="AA4" s="248" t="n"/>
      <c r="AB4" s="260" t="inlineStr">
        <is>
          <t>Ремонт блока звезды лавного конвейера</t>
        </is>
      </c>
      <c r="AC4" s="248" t="n"/>
      <c r="AD4" s="249" t="inlineStr">
        <is>
          <t>Ремонт блока звезды лавного перегружателя</t>
        </is>
      </c>
      <c r="AE4" s="248" t="n"/>
      <c r="AF4" s="249" t="inlineStr">
        <is>
          <t>Ремонт редуктора SIEMENS</t>
        </is>
      </c>
      <c r="AG4" s="248" t="n"/>
      <c r="AH4" s="249" t="inlineStr">
        <is>
          <t>Закалка заготовки буровой штанги БГА2В L=0.6м</t>
        </is>
      </c>
      <c r="AI4" s="248" t="n"/>
      <c r="AJ4" s="260" t="inlineStr">
        <is>
          <t>Звездочка 100134501 конвейер JOY AFC</t>
        </is>
      </c>
      <c r="AK4" s="248" t="n"/>
      <c r="AL4" s="260" t="inlineStr">
        <is>
          <t>Ремонт редуктора внешнего барабана режущего органа комбайна проходческого МБ-1670 инв.№СО54570</t>
        </is>
      </c>
      <c r="AM4" s="248" t="n"/>
      <c r="AN4" s="260" t="inlineStr">
        <is>
          <t>Ремонт редуктора внешнего барабана режущего органа МВ-670 зав.295 инв.№СО54558</t>
        </is>
      </c>
      <c r="AO4" s="248" t="n"/>
      <c r="AP4" s="260" t="inlineStr">
        <is>
          <t>Направляющая захвата EICKHOFF S 291897Y комбайна SL-900</t>
        </is>
      </c>
      <c r="AQ4" s="248" t="n"/>
      <c r="AR4" s="260" t="inlineStr">
        <is>
          <t>КОНСОЛЬ СЪЕМНИКА ДЛЯ КОНЦЕВОЙ СЕКЦИИ В СБОРЕ СИТК BE 1503201 КОНВЕЙЕР PF6</t>
        </is>
      </c>
      <c r="AS4" s="248" t="n"/>
      <c r="AT4" s="260" t="inlineStr">
        <is>
          <t>ЦЕПЕСЪЕМНИК BE668510 КОНВЕЙЕР PF6/1142</t>
        </is>
      </c>
      <c r="AU4" s="248" t="n"/>
      <c r="AV4" s="260" t="inlineStr">
        <is>
          <t>Вал с подшипниковой опорой 5408099 BSW220*10 конвейер PF6/1142</t>
        </is>
      </c>
      <c r="AW4" s="248" t="n"/>
      <c r="AX4" s="260" t="inlineStr">
        <is>
          <t>Ремонт редуктора J350 комбайна JOY4 LS20</t>
        </is>
      </c>
      <c r="AY4" s="248" t="n"/>
      <c r="AZ4" s="249" t="inlineStr">
        <is>
          <t>Цепесъемник 5408101 конвейер PF6/1342</t>
        </is>
      </c>
      <c r="BA4" s="248" t="n"/>
      <c r="BB4" s="260" t="inlineStr">
        <is>
          <t>Вал с подшипниковой опорой 5408099 BSW220*10 конвейер PF6/1142</t>
        </is>
      </c>
      <c r="BC4" s="248" t="n"/>
      <c r="BD4" s="249" t="inlineStr">
        <is>
          <t>Ремонт редуктора SIEMENS</t>
        </is>
      </c>
      <c r="BE4" s="248" t="n"/>
      <c r="BF4" s="260" t="inlineStr">
        <is>
          <t>Вал S262640 комбайн SL-300</t>
        </is>
      </c>
      <c r="BG4" s="248" t="n"/>
      <c r="BH4" s="260" t="inlineStr">
        <is>
          <t>Звездочка 100980237 конвейер JOY AFC</t>
        </is>
      </c>
      <c r="BI4" s="248" t="n"/>
      <c r="BJ4" s="260" t="inlineStr">
        <is>
          <t>Комплект кулачков САТ5316972 конвейер AFC PF6/1142</t>
        </is>
      </c>
      <c r="BK4" s="248" t="n"/>
      <c r="BL4" s="260" t="inlineStr">
        <is>
          <t>Опора звездочки 1300 112162</t>
        </is>
      </c>
      <c r="BM4" s="248" t="n"/>
      <c r="BN4" s="260" t="inlineStr">
        <is>
          <t>УЗЕЛ ПРИВОДА MR65-1100 5320018 КОНВЕЙЕР PF6/1142</t>
        </is>
      </c>
      <c r="BO4" s="248" t="n"/>
      <c r="BP4" s="249" t="inlineStr">
        <is>
          <t>Вал приводной 286 ФППЗ.МЧ.40 ФПП-3000МЧ</t>
        </is>
      </c>
      <c r="BQ4" s="248" t="n"/>
      <c r="BR4" s="260" t="inlineStr">
        <is>
          <t>Барабан перфорированный 3 D440 ФПП3.МЧ.56 ФПП-3000МЧ</t>
        </is>
      </c>
      <c r="BS4" s="248" t="n"/>
      <c r="BT4" s="260" t="inlineStr">
        <is>
          <t>Опора S262941 (СИТК.294.000.СБ)</t>
        </is>
      </c>
      <c r="BU4" s="248" t="n"/>
      <c r="BV4" s="260" t="inlineStr">
        <is>
          <t>Соединитель 3000 КН WY20.091.01-01.003</t>
        </is>
      </c>
      <c r="BW4" s="248" t="n"/>
      <c r="BX4" s="260" t="inlineStr">
        <is>
          <t>Звездочка DKB 34*126-7-330 BE668500 PF6</t>
        </is>
      </c>
      <c r="BY4" s="248" t="n"/>
      <c r="BZ4" s="249" t="inlineStr">
        <is>
          <t>Вал срезной S252748 (Вал срезной S253055)</t>
        </is>
      </c>
      <c r="CA4" s="248" t="n"/>
      <c r="CB4" s="249" t="inlineStr">
        <is>
          <t>Вал срезной S254290 SL900</t>
        </is>
      </c>
      <c r="CC4" s="248" t="n"/>
      <c r="CD4" s="249" t="inlineStr">
        <is>
          <t>Колесо цевочное 03069850-2007</t>
        </is>
      </c>
      <c r="CE4" s="248" t="n"/>
      <c r="CF4" s="249" t="inlineStr">
        <is>
          <t>Направляющая съемника 668330 PF4</t>
        </is>
      </c>
      <c r="CG4" s="248" t="n"/>
      <c r="CH4" s="249" t="inlineStr">
        <is>
          <t>Корпус подшипника 4398621 SK1111</t>
        </is>
      </c>
      <c r="CI4" s="248" t="n"/>
      <c r="CJ4" s="260" t="inlineStr">
        <is>
          <t>ОПОРА САМОУСТАНАВЛИВАЮЩАЯ СЯ S287324 SL900</t>
        </is>
      </c>
      <c r="CK4" s="248" t="n"/>
      <c r="CL4" s="260" t="inlineStr">
        <is>
          <t>ВАЛ ПРИВОДНОЙ ESW260-D280 531-9847 КОНВЕЙЕР PF4/1132</t>
        </is>
      </c>
      <c r="CM4" s="248" t="n"/>
      <c r="CN4" s="249" t="inlineStr">
        <is>
          <t>Лыжа забойная S253003 SL-300</t>
        </is>
      </c>
      <c r="CO4" s="248" t="n"/>
      <c r="CP4" s="249" t="inlineStr">
        <is>
          <t>Цепесъемник DKB34*126-7Z-КА130 668313</t>
        </is>
      </c>
      <c r="CQ4" s="248" t="n"/>
      <c r="CR4" s="260" t="inlineStr">
        <is>
          <t>Боек ДУ910.38.011А в сборе</t>
        </is>
      </c>
      <c r="CS4" s="248" t="n"/>
      <c r="CT4" s="260" t="inlineStr">
        <is>
          <t>Вал S252748 для комбайна SL-300 срезной</t>
        </is>
      </c>
      <c r="CU4" s="248" t="n"/>
      <c r="CV4" s="260" t="inlineStr">
        <is>
          <t>ВАЛ_ШЛИЦЕВОЙ_01069528-0529</t>
        </is>
      </c>
      <c r="CW4" s="248" t="n"/>
      <c r="CX4" s="260" t="inlineStr">
        <is>
          <t>Вал шлицевой 01069528-2156</t>
        </is>
      </c>
      <c r="CY4" s="248" t="n"/>
      <c r="CZ4" s="249" t="inlineStr">
        <is>
          <t>Вал 01069528-2116</t>
        </is>
      </c>
      <c r="DA4" s="248" t="n"/>
      <c r="DB4" s="249" t="inlineStr">
        <is>
          <t>Цепесъемник DKB 34*126-7Z-KA130 668313</t>
        </is>
      </c>
      <c r="DC4" s="248" t="n"/>
      <c r="DD4" s="260" t="inlineStr">
        <is>
          <t>ЦЕПЕСЪЕМНИК 5408101 КОНВЕЙЕР PF6/1342</t>
        </is>
      </c>
      <c r="DE4" s="248" t="n"/>
      <c r="DF4" s="260" t="inlineStr">
        <is>
          <t>Цевочное колесо sprocket парт№ 100026187(00571157-0062) (СИБ/503/00011292)</t>
        </is>
      </c>
      <c r="DG4" s="248" t="n"/>
      <c r="DH4" s="249" t="inlineStr">
        <is>
          <t xml:space="preserve">Вал СИТК.00.111 аналог, вал торсионный SG8W562M-4В 250кВТ 114В (203-026506-N) </t>
        </is>
      </c>
      <c r="DI4" s="248" t="n"/>
      <c r="DJ4" s="260" t="inlineStr">
        <is>
          <t>Направляющая захвата EICKHOFF S 291897Y комбайна SL-900</t>
        </is>
      </c>
      <c r="DK4" s="248" t="n"/>
      <c r="DL4" s="249" t="inlineStr">
        <is>
          <t>Направляющая захвата EICKHOFF S 291897Y комбайна SL-900</t>
        </is>
      </c>
      <c r="DM4" s="248" t="n"/>
      <c r="DN4" s="249" t="inlineStr">
        <is>
          <t>Вал срезной S253055</t>
        </is>
      </c>
      <c r="DO4" s="248" t="n"/>
      <c r="DP4" s="249" t="inlineStr">
        <is>
          <t>КОМПЛЕКТ УПОРНЫХ УГОЛКОВ 140138 MRHS35</t>
        </is>
      </c>
      <c r="DQ4" s="248" t="n"/>
      <c r="DR4" s="249" t="inlineStr">
        <is>
          <t>Лыжа забойная S235003 SL-500</t>
        </is>
      </c>
      <c r="DS4" s="248" t="n"/>
      <c r="DT4" s="249" t="inlineStr">
        <is>
          <t>Лыжа забойная S235003 SL-500</t>
        </is>
      </c>
      <c r="DU4" s="248" t="n"/>
      <c r="DV4" s="249" t="inlineStr">
        <is>
          <t>КОМПЛЕКТ УПОРНЫХ УГОЛКОВ 140138 MRHS35</t>
        </is>
      </c>
      <c r="DW4" s="248" t="n"/>
      <c r="DX4" s="260" t="inlineStr">
        <is>
          <t>ЦЕПЕСЪЕМНИК CAT 5410007 КОНВЕЙЕР PF6/1142</t>
        </is>
      </c>
      <c r="DY4" s="248" t="n"/>
      <c r="DZ4" s="260" t="inlineStr">
        <is>
          <t>Комплект профилей 668880 MRKR3535 конвейер PF/4</t>
        </is>
      </c>
      <c r="EA4" s="248" t="n"/>
      <c r="EB4" s="249" t="inlineStr">
        <is>
          <t>Звездочка DKB42х146-7Z-КА 165-972 PF4/1132</t>
        </is>
      </c>
      <c r="EC4" s="248" t="n"/>
      <c r="ED4" s="260" t="inlineStr">
        <is>
          <t>Вал приводной BSW260-D280 ВЕ668730 КР15</t>
        </is>
      </c>
      <c r="EE4" s="248" t="n"/>
      <c r="EF4" s="249" t="inlineStr">
        <is>
          <t>ВАЛ ПРИВОДНОЙ BSW260-D280 5319890 КОНВЕЙЕРPF4/1132</t>
        </is>
      </c>
      <c r="EG4" s="248" t="n"/>
      <c r="EH4" s="249" t="inlineStr">
        <is>
          <t>Направляющая кабеля СИТК.491.00.01.000СБ вагон самоходный</t>
        </is>
      </c>
      <c r="EI4" s="248" t="n"/>
      <c r="EJ4" s="260" t="inlineStr">
        <is>
          <t>Колесо цевочное S239573ZA комбайн SL300/500/900</t>
        </is>
      </c>
      <c r="EK4" s="248" t="n"/>
      <c r="EL4" s="260" t="inlineStr">
        <is>
          <t>ВАЛ ПРИВОДНОЙ ESW260-D280 531-9847 КОНВЕЙЕР PF4/1132</t>
        </is>
      </c>
      <c r="EM4" s="248" t="n"/>
      <c r="EN4" s="260" t="inlineStr">
        <is>
          <t>ремонт вентилятора УВЦГ-9</t>
        </is>
      </c>
      <c r="EO4" s="248" t="n"/>
      <c r="EP4" s="260" t="inlineStr">
        <is>
          <t>Вал приводной MR65-1100 4838907 конвейер забойный PF-6</t>
        </is>
      </c>
      <c r="EQ4" s="248" t="n"/>
      <c r="ER4" s="260" t="inlineStr">
        <is>
          <t>Колесо ведомое цевочное S239573ZA</t>
        </is>
      </c>
      <c r="ES4" s="248" t="n"/>
      <c r="ET4" s="260" t="inlineStr">
        <is>
          <t>Фланец промежуточный S252666 SL-300</t>
        </is>
      </c>
      <c r="EU4" s="248" t="n"/>
      <c r="EV4" s="260" t="inlineStr">
        <is>
          <t>Фиксатор 5086997 PF AFC</t>
        </is>
      </c>
      <c r="EW4" s="248" t="n"/>
      <c r="EX4" s="260" t="inlineStr">
        <is>
          <t>ЗВЕЗДОЧКА DKB 34*126-7-330 ВЕ668500 PF6</t>
        </is>
      </c>
      <c r="EY4" s="248" t="n"/>
      <c r="EZ4" s="260" t="inlineStr">
        <is>
          <t>КОМПЛЕКТ НАПРАВЛЯЮЩИХ ПРИНУДИТЕЛЬНЫХ SPR3-1300 PF4 ООО СИТК BE668509+5325509 КОНВЕЙЕР PF6</t>
        </is>
      </c>
      <c r="FA4" s="248" t="n"/>
      <c r="FB4" s="260" t="inlineStr">
        <is>
          <t>ВАЛ_ШЛИЦЕВОЙ_01069528-0529</t>
        </is>
      </c>
      <c r="FC4" s="248" t="n"/>
      <c r="FD4" s="260" t="inlineStr">
        <is>
          <t>ВАЛ_ШЛИЦЕВОЙ_01069528-0529</t>
        </is>
      </c>
      <c r="FE4" s="248" t="n"/>
      <c r="FF4" s="260" t="inlineStr">
        <is>
          <t>СРЕЗНОЙ ПАЛЕЦ ф60*180 PART. №ГТМ-70.00.11</t>
        </is>
      </c>
      <c r="FG4" s="248" t="n"/>
      <c r="FH4" s="260" t="inlineStr">
        <is>
          <t>Звездочка DKB 34*126-7-330 BE668500 PF6</t>
        </is>
      </c>
      <c r="FI4" s="248" t="n"/>
      <c r="FJ4" s="249" t="inlineStr">
        <is>
          <t>Нож кпл - исп.01 (рис. 22434/2)</t>
        </is>
      </c>
      <c r="FK4" s="248" t="n"/>
      <c r="FL4" s="260" t="inlineStr">
        <is>
          <t>Вал шлицевой 01069528-2156</t>
        </is>
      </c>
      <c r="FM4" s="248" t="n"/>
      <c r="FN4" s="260" t="inlineStr">
        <is>
          <t>Вал срезной поворотного редуктора S253055 00</t>
        </is>
      </c>
      <c r="FO4" s="248" t="n"/>
      <c r="FP4" s="260" t="n"/>
      <c r="FQ4" s="248" t="n"/>
      <c r="FR4" s="260" t="n"/>
      <c r="FS4" s="248" t="n"/>
      <c r="FT4" s="260" t="n"/>
      <c r="FU4" s="248" t="n"/>
      <c r="FV4" s="260" t="n"/>
      <c r="FW4" s="248" t="n"/>
      <c r="FX4" s="260" t="n"/>
      <c r="FY4" s="248" t="n"/>
      <c r="FZ4" s="260" t="inlineStr">
        <is>
          <t>Звездочка 100101581СБ</t>
        </is>
      </c>
      <c r="GA4" s="248" t="n"/>
      <c r="GB4" s="260" t="inlineStr">
        <is>
          <t>Захват 100100710</t>
        </is>
      </c>
      <c r="GC4" s="248" t="n"/>
      <c r="GD4" s="260" t="inlineStr">
        <is>
          <t>Колесо зубчатое Z10 m46, 791 (G-1914.01), ZZM</t>
        </is>
      </c>
      <c r="GE4" s="248" t="n"/>
      <c r="GF4" s="260" t="n"/>
      <c r="GG4" s="248" t="n"/>
      <c r="GH4" s="260" t="n"/>
      <c r="GI4" s="248" t="n"/>
      <c r="GJ4" s="260" t="n"/>
      <c r="GK4" s="248" t="n"/>
      <c r="GL4" s="260" t="n"/>
      <c r="GM4" s="248" t="n"/>
      <c r="GN4" s="260" t="n"/>
      <c r="GO4" s="248" t="n"/>
      <c r="GP4" s="260" t="n"/>
      <c r="GQ4" s="248" t="n"/>
      <c r="GR4" s="260" t="n"/>
      <c r="GS4" s="248" t="n"/>
      <c r="GT4" s="260" t="n"/>
      <c r="GU4" s="248" t="n"/>
      <c r="GV4" s="260" t="n"/>
      <c r="GW4" s="248" t="n"/>
      <c r="GX4" s="260" t="n"/>
      <c r="GY4" s="248" t="n"/>
      <c r="GZ4" s="260" t="n"/>
      <c r="HA4" s="248" t="n"/>
      <c r="HB4" s="260" t="n"/>
      <c r="HC4" s="248" t="n"/>
      <c r="HD4" s="260" t="n"/>
      <c r="HE4" s="248" t="n"/>
      <c r="HF4" s="260" t="n"/>
      <c r="HG4" s="248" t="n"/>
      <c r="HH4" s="260" t="n"/>
      <c r="HI4" s="248" t="n"/>
      <c r="HJ4" s="260" t="n"/>
      <c r="HK4" s="248" t="n"/>
      <c r="HL4" s="260" t="n"/>
      <c r="HM4" s="248" t="n"/>
      <c r="HN4" s="260" t="n"/>
      <c r="HO4" s="248" t="n"/>
      <c r="HP4" s="260" t="n"/>
      <c r="HQ4" s="248" t="n"/>
      <c r="HR4" s="260" t="n"/>
      <c r="HS4" s="248" t="n"/>
      <c r="HT4" s="260" t="n"/>
      <c r="HU4" s="248" t="n"/>
      <c r="HV4" s="260" t="n"/>
      <c r="HW4" s="248" t="n"/>
      <c r="HX4" s="260" t="n"/>
      <c r="HY4" s="248" t="n"/>
      <c r="HZ4" s="260" t="n"/>
      <c r="IA4" s="248" t="n"/>
      <c r="IB4" s="260" t="n"/>
      <c r="IC4" s="248" t="n"/>
      <c r="ID4" s="260" t="n"/>
      <c r="IE4" s="248" t="n"/>
      <c r="IF4" s="260" t="n"/>
      <c r="IG4" s="248" t="n"/>
      <c r="IH4" s="260" t="n"/>
      <c r="II4" s="248" t="n"/>
      <c r="IJ4" s="260" t="n"/>
      <c r="IK4" s="248" t="n"/>
      <c r="IL4" s="260" t="n"/>
      <c r="IM4" s="248" t="n"/>
      <c r="IN4" s="260" t="n"/>
      <c r="IO4" s="248" t="n"/>
      <c r="IP4" s="260" t="inlineStr">
        <is>
          <t>Барабан цепной 2х34х126 Z-5 хвостовой рамы скребкового перегружателя GROT 950</t>
        </is>
      </c>
      <c r="IQ4" s="248" t="n"/>
      <c r="IR4" s="260" t="inlineStr">
        <is>
          <t>Вал срезной СИТК.00.064</t>
        </is>
      </c>
      <c r="IS4" s="248" t="n"/>
      <c r="IT4" s="260" t="inlineStr">
        <is>
          <t>Вал приводной Арт № 668279 (531-9856) к PF4/1132 (ЦБ-00184594)</t>
        </is>
      </c>
      <c r="IU4" s="248" t="n"/>
      <c r="IV4" s="260" t="inlineStr">
        <is>
          <t>Ремонт вибровозбудителя HAVER NIAGARA YD55 поз.62</t>
        </is>
      </c>
      <c r="IW4" s="248" t="n"/>
      <c r="IX4" s="249" t="inlineStr">
        <is>
          <t>ремонт вала приводного 161373</t>
        </is>
      </c>
      <c r="IY4" s="248" t="n"/>
      <c r="IZ4" s="260" t="n"/>
      <c r="JA4" s="248" t="n"/>
      <c r="JB4" s="260" t="n"/>
      <c r="JC4" s="248" t="n"/>
      <c r="JD4" s="260" t="n"/>
      <c r="JE4" s="248" t="n"/>
      <c r="JF4" s="260" t="inlineStr">
        <is>
          <t>Звездочка 5114187</t>
        </is>
      </c>
      <c r="JG4" s="248" t="n"/>
      <c r="JH4" s="260" t="n"/>
      <c r="JI4" s="248" t="n"/>
      <c r="JJ4" s="260" t="n"/>
      <c r="JK4" s="248" t="n"/>
      <c r="JL4" s="286" t="n"/>
      <c r="JM4" s="306" t="n"/>
      <c r="JN4" s="327" t="inlineStr">
        <is>
          <t>Фундамент станок токарный</t>
        </is>
      </c>
      <c r="JO4" s="257" t="n"/>
      <c r="JP4" s="256" t="inlineStr">
        <is>
          <t>Гараж</t>
        </is>
      </c>
      <c r="JQ4" s="257" t="n"/>
      <c r="JR4" s="256" t="n"/>
      <c r="JS4" s="257" t="n"/>
      <c r="JT4" s="256" t="n"/>
      <c r="JU4" s="257" t="n"/>
      <c r="JV4" s="256" t="n"/>
      <c r="JW4" s="257" t="n"/>
      <c r="JX4" s="256" t="n"/>
      <c r="JY4" s="257" t="n"/>
      <c r="JZ4" s="317" t="inlineStr">
        <is>
          <t>Итого сч. 08</t>
        </is>
      </c>
      <c r="KA4" s="268" t="n"/>
      <c r="KC4" s="306" t="n"/>
      <c r="KF4" s="6" t="n"/>
    </row>
    <row r="5" ht="30.75" customHeight="1">
      <c r="A5" s="284" t="n"/>
      <c r="B5" s="284" t="n"/>
      <c r="C5" s="286" t="n"/>
      <c r="D5" s="280" t="n">
        <v>168</v>
      </c>
      <c r="E5" s="281" t="n"/>
      <c r="F5" s="286" t="n"/>
      <c r="H5" s="247" t="inlineStr">
        <is>
          <t>00 07 4 421</t>
        </is>
      </c>
      <c r="I5" s="248" t="n"/>
      <c r="J5" s="247" t="inlineStr">
        <is>
          <t>00 07 1 112</t>
        </is>
      </c>
      <c r="K5" s="248" t="n"/>
      <c r="L5" s="247" t="n"/>
      <c r="M5" s="248" t="n"/>
      <c r="N5" s="247" t="n"/>
      <c r="O5" s="248" t="n"/>
      <c r="P5" s="247" t="n"/>
      <c r="Q5" s="248" t="n"/>
      <c r="R5" s="247" t="n"/>
      <c r="S5" s="248" t="n"/>
      <c r="T5" s="247" t="n"/>
      <c r="U5" s="248" t="n"/>
      <c r="V5" s="247" t="n"/>
      <c r="W5" s="248" t="n"/>
      <c r="X5" s="247" t="n"/>
      <c r="Y5" s="248" t="n"/>
      <c r="Z5" s="247" t="n"/>
      <c r="AA5" s="248" t="n"/>
      <c r="AB5" s="247" t="inlineStr">
        <is>
          <t>00 03 4 424</t>
        </is>
      </c>
      <c r="AC5" s="248" t="n"/>
      <c r="AD5" s="252" t="inlineStr">
        <is>
          <t>00 03 4 425</t>
        </is>
      </c>
      <c r="AE5" s="248" t="n"/>
      <c r="AF5" s="252" t="inlineStr">
        <is>
          <t>00 03 4 422</t>
        </is>
      </c>
      <c r="AG5" s="248" t="n"/>
      <c r="AH5" s="252" t="inlineStr">
        <is>
          <t>00 05 2 159</t>
        </is>
      </c>
      <c r="AI5" s="248" t="n"/>
      <c r="AJ5" s="247" t="inlineStr">
        <is>
          <t>01 01 3 281</t>
        </is>
      </c>
      <c r="AK5" s="248" t="n"/>
      <c r="AL5" s="247" t="inlineStr">
        <is>
          <t>01 04 4 406</t>
        </is>
      </c>
      <c r="AM5" s="248" t="n"/>
      <c r="AN5" s="247" t="inlineStr">
        <is>
          <t>01 03 4 376</t>
        </is>
      </c>
      <c r="AO5" s="248" t="n"/>
      <c r="AP5" s="247" t="inlineStr">
        <is>
          <t>01 01 4 393</t>
        </is>
      </c>
      <c r="AQ5" s="248" t="n"/>
      <c r="AR5" s="247" t="inlineStr">
        <is>
          <t>01 01 3 330</t>
        </is>
      </c>
      <c r="AS5" s="248" t="n"/>
      <c r="AT5" s="247" t="inlineStr">
        <is>
          <t>01 01 3 333</t>
        </is>
      </c>
      <c r="AU5" s="248" t="n"/>
      <c r="AV5" s="247" t="inlineStr">
        <is>
          <t>01 01 3 292</t>
        </is>
      </c>
      <c r="AW5" s="248" t="n"/>
      <c r="AX5" s="323" t="inlineStr">
        <is>
          <t>02 03 3 339</t>
        </is>
      </c>
      <c r="AY5" s="248" t="n"/>
      <c r="AZ5" s="252" t="inlineStr">
        <is>
          <t>01 01 3 296</t>
        </is>
      </c>
      <c r="BA5" s="248" t="n"/>
      <c r="BB5" s="247" t="inlineStr">
        <is>
          <t>01 01 3 322</t>
        </is>
      </c>
      <c r="BC5" s="248" t="n"/>
      <c r="BD5" s="252" t="inlineStr">
        <is>
          <t>00 03 4 423</t>
        </is>
      </c>
      <c r="BE5" s="248" t="n"/>
      <c r="BF5" s="247" t="inlineStr">
        <is>
          <t>01 01 1 012</t>
        </is>
      </c>
      <c r="BG5" s="248" t="n"/>
      <c r="BH5" s="247" t="inlineStr">
        <is>
          <t>01 01 3 282</t>
        </is>
      </c>
      <c r="BI5" s="248" t="n"/>
      <c r="BJ5" s="247" t="inlineStr">
        <is>
          <t>01 01 3 294</t>
        </is>
      </c>
      <c r="BK5" s="248" t="n"/>
      <c r="BL5" s="247" t="inlineStr">
        <is>
          <t>01 01 3 283</t>
        </is>
      </c>
      <c r="BM5" s="248" t="n"/>
      <c r="BN5" s="247" t="inlineStr">
        <is>
          <t>01 01 3 327</t>
        </is>
      </c>
      <c r="BO5" s="248" t="n"/>
      <c r="BP5" s="252" t="inlineStr">
        <is>
          <t>10 01 2 218</t>
        </is>
      </c>
      <c r="BQ5" s="248" t="n"/>
      <c r="BR5" s="247" t="inlineStr">
        <is>
          <t>10 01 2 211</t>
        </is>
      </c>
      <c r="BS5" s="248" t="n"/>
      <c r="BT5" s="247" t="inlineStr">
        <is>
          <t>10 01 4 364</t>
        </is>
      </c>
      <c r="BU5" s="248" t="n"/>
      <c r="BV5" s="247" t="inlineStr">
        <is>
          <t>12 01 4 428</t>
        </is>
      </c>
      <c r="BW5" s="248" t="n"/>
      <c r="BX5" s="247" t="inlineStr">
        <is>
          <t>01 01 3 328</t>
        </is>
      </c>
      <c r="BY5" s="248" t="n"/>
      <c r="BZ5" s="252" t="inlineStr">
        <is>
          <t>01 01 4 394</t>
        </is>
      </c>
      <c r="CA5" s="248" t="n"/>
      <c r="CB5" s="252" t="inlineStr">
        <is>
          <t>01 01 4 418</t>
        </is>
      </c>
      <c r="CC5" s="248" t="n"/>
      <c r="CD5" s="252" t="inlineStr">
        <is>
          <t>00 01 4 408</t>
        </is>
      </c>
      <c r="CE5" s="248" t="n"/>
      <c r="CF5" s="252" t="inlineStr">
        <is>
          <t>10 01 1 025</t>
        </is>
      </c>
      <c r="CG5" s="248" t="n"/>
      <c r="CH5" s="252" t="inlineStr">
        <is>
          <t>10 01 1 027</t>
        </is>
      </c>
      <c r="CI5" s="248" t="n"/>
      <c r="CJ5" s="247" t="inlineStr">
        <is>
          <t>10 01 1 049</t>
        </is>
      </c>
      <c r="CK5" s="248" t="n"/>
      <c r="CL5" s="247" t="inlineStr">
        <is>
          <t>10 01 2 210</t>
        </is>
      </c>
      <c r="CM5" s="248" t="n"/>
      <c r="CN5" s="252" t="inlineStr">
        <is>
          <t>10 01 4 388</t>
        </is>
      </c>
      <c r="CO5" s="248" t="n"/>
      <c r="CP5" s="252" t="inlineStr">
        <is>
          <t>10 01 4 411</t>
        </is>
      </c>
      <c r="CQ5" s="248" t="n"/>
      <c r="CR5" s="247" t="inlineStr">
        <is>
          <t>12 01 4 385</t>
        </is>
      </c>
      <c r="CS5" s="248" t="n"/>
      <c r="CT5" s="247" t="inlineStr">
        <is>
          <t>12 01 4 426</t>
        </is>
      </c>
      <c r="CU5" s="248" t="n"/>
      <c r="CV5" s="247" t="inlineStr">
        <is>
          <t>12 01 4 431</t>
        </is>
      </c>
      <c r="CW5" s="248" t="n"/>
      <c r="CX5" s="247" t="inlineStr">
        <is>
          <t>12 01 4 433</t>
        </is>
      </c>
      <c r="CY5" s="248" t="n"/>
      <c r="CZ5" s="252" t="inlineStr">
        <is>
          <t>12 03 2 134</t>
        </is>
      </c>
      <c r="DA5" s="248" t="n"/>
      <c r="DB5" s="252" t="inlineStr">
        <is>
          <t>01 01 3 241</t>
        </is>
      </c>
      <c r="DC5" s="248" t="n"/>
      <c r="DD5" s="247" t="inlineStr">
        <is>
          <t>01 01 3 331</t>
        </is>
      </c>
      <c r="DE5" s="248" t="n"/>
      <c r="DF5" s="247" t="inlineStr">
        <is>
          <t>12 01 4 392</t>
        </is>
      </c>
      <c r="DG5" s="248" t="n"/>
      <c r="DH5" s="252" t="inlineStr">
        <is>
          <t>21 01 4 400</t>
        </is>
      </c>
      <c r="DI5" s="248" t="n"/>
      <c r="DJ5" s="247" t="inlineStr">
        <is>
          <t>01 01 3 249</t>
        </is>
      </c>
      <c r="DK5" s="248" t="n"/>
      <c r="DL5" s="252" t="inlineStr">
        <is>
          <t>01 01 3 245</t>
        </is>
      </c>
      <c r="DM5" s="248" t="n"/>
      <c r="DN5" s="252" t="inlineStr">
        <is>
          <t>01 01 4 395</t>
        </is>
      </c>
      <c r="DO5" s="248" t="n"/>
      <c r="DP5" s="252" t="inlineStr">
        <is>
          <t>10 01 2 163</t>
        </is>
      </c>
      <c r="DQ5" s="248" t="n"/>
      <c r="DR5" s="252" t="inlineStr">
        <is>
          <t>10 01 3 307</t>
        </is>
      </c>
      <c r="DS5" s="248" t="n"/>
      <c r="DT5" s="252" t="inlineStr">
        <is>
          <t>10 01 4 358</t>
        </is>
      </c>
      <c r="DU5" s="248" t="n"/>
      <c r="DV5" s="252" t="inlineStr">
        <is>
          <t>10 01 4 482</t>
        </is>
      </c>
      <c r="DW5" s="248" t="n"/>
      <c r="DX5" s="247" t="inlineStr">
        <is>
          <t>01 01 3 332</t>
        </is>
      </c>
      <c r="DY5" s="248" t="n"/>
      <c r="DZ5" s="247" t="inlineStr">
        <is>
          <t>10 01 1 024</t>
        </is>
      </c>
      <c r="EA5" s="248" t="n"/>
      <c r="EB5" s="252" t="inlineStr">
        <is>
          <t>01 01 1 051</t>
        </is>
      </c>
      <c r="EC5" s="248" t="n"/>
      <c r="ED5" s="247" t="inlineStr">
        <is>
          <t>10 01 2 209</t>
        </is>
      </c>
      <c r="EE5" s="248" t="n"/>
      <c r="EF5" s="252" t="inlineStr">
        <is>
          <t>10 01 4 500</t>
        </is>
      </c>
      <c r="EG5" s="248" t="n"/>
      <c r="EH5" s="252" t="inlineStr">
        <is>
          <t>01 01 3 256</t>
        </is>
      </c>
      <c r="EI5" s="248" t="n"/>
      <c r="EJ5" s="247" t="inlineStr">
        <is>
          <t>01 01 3 260</t>
        </is>
      </c>
      <c r="EK5" s="248" t="n"/>
      <c r="EL5" s="247" t="inlineStr">
        <is>
          <t>10 01 4 506</t>
        </is>
      </c>
      <c r="EM5" s="248" t="n"/>
      <c r="EN5" s="247" t="inlineStr">
        <is>
          <t>12 03 1 008</t>
        </is>
      </c>
      <c r="EO5" s="248" t="n"/>
      <c r="EP5" s="247" t="inlineStr">
        <is>
          <t>01 01 3 253</t>
        </is>
      </c>
      <c r="EQ5" s="248" t="n"/>
      <c r="ER5" s="247" t="inlineStr">
        <is>
          <t>34 01 3 297</t>
        </is>
      </c>
      <c r="ES5" s="248" t="n"/>
      <c r="ET5" s="247" t="inlineStr">
        <is>
          <t>01 01 3 252</t>
        </is>
      </c>
      <c r="EU5" s="248" t="n"/>
      <c r="EV5" s="247" t="inlineStr">
        <is>
          <t>01 01 1 096</t>
        </is>
      </c>
      <c r="EW5" s="248" t="n"/>
      <c r="EX5" s="247" t="inlineStr">
        <is>
          <t>01 01 3 254</t>
        </is>
      </c>
      <c r="EY5" s="248" t="n"/>
      <c r="EZ5" s="247" t="inlineStr">
        <is>
          <t>01 01 3 323</t>
        </is>
      </c>
      <c r="FA5" s="248" t="n"/>
      <c r="FB5" s="247" t="inlineStr">
        <is>
          <t>12 01 4 429</t>
        </is>
      </c>
      <c r="FC5" s="248" t="n"/>
      <c r="FD5" s="247" t="inlineStr">
        <is>
          <t>12 01 4 430</t>
        </is>
      </c>
      <c r="FE5" s="248" t="n"/>
      <c r="FF5" s="247" t="inlineStr">
        <is>
          <t>12 01 4 436</t>
        </is>
      </c>
      <c r="FG5" s="248" t="n"/>
      <c r="FH5" s="247" t="inlineStr">
        <is>
          <t>01 01 3 293</t>
        </is>
      </c>
      <c r="FI5" s="248" t="n"/>
      <c r="FJ5" s="252" t="inlineStr">
        <is>
          <t>07 01 4 348</t>
        </is>
      </c>
      <c r="FK5" s="248" t="n"/>
      <c r="FL5" s="247" t="inlineStr">
        <is>
          <t>12 01 4 432</t>
        </is>
      </c>
      <c r="FM5" s="248" t="n"/>
      <c r="FN5" s="247" t="inlineStr">
        <is>
          <t>19 01 4 387</t>
        </is>
      </c>
      <c r="FO5" s="248" t="n"/>
      <c r="FP5" s="247" t="n"/>
      <c r="FQ5" s="248" t="n"/>
      <c r="FR5" s="247" t="n"/>
      <c r="FS5" s="248" t="n"/>
      <c r="FT5" s="247" t="n"/>
      <c r="FU5" s="248" t="n"/>
      <c r="FV5" s="247" t="n"/>
      <c r="FW5" s="248" t="n"/>
      <c r="FX5" s="247" t="n"/>
      <c r="FY5" s="248" t="n"/>
      <c r="FZ5" s="247" t="inlineStr">
        <is>
          <t>01 01 2 216</t>
        </is>
      </c>
      <c r="GA5" s="248" t="n"/>
      <c r="GB5" s="247" t="inlineStr">
        <is>
          <t>01 01 3 251</t>
        </is>
      </c>
      <c r="GC5" s="248" t="n"/>
      <c r="GD5" s="247" t="inlineStr">
        <is>
          <t>23 01 4 350</t>
        </is>
      </c>
      <c r="GE5" s="248" t="n"/>
      <c r="GF5" s="247" t="n"/>
      <c r="GG5" s="248" t="n"/>
      <c r="GH5" s="247" t="n"/>
      <c r="GI5" s="248" t="n"/>
      <c r="GJ5" s="247" t="n"/>
      <c r="GK5" s="248" t="n"/>
      <c r="GL5" s="247" t="n"/>
      <c r="GM5" s="248" t="n"/>
      <c r="GN5" s="247" t="n"/>
      <c r="GO5" s="248" t="n"/>
      <c r="GP5" s="247" t="n"/>
      <c r="GQ5" s="248" t="n"/>
      <c r="GR5" s="247" t="n"/>
      <c r="GS5" s="248" t="n"/>
      <c r="GT5" s="247" t="n"/>
      <c r="GU5" s="248" t="n"/>
      <c r="GV5" s="247" t="n"/>
      <c r="GW5" s="248" t="n"/>
      <c r="GX5" s="247" t="n"/>
      <c r="GY5" s="248" t="n"/>
      <c r="GZ5" s="247" t="n"/>
      <c r="HA5" s="248" t="n"/>
      <c r="HB5" s="247" t="n"/>
      <c r="HC5" s="248" t="n"/>
      <c r="HD5" s="247" t="n"/>
      <c r="HE5" s="248" t="n"/>
      <c r="HF5" s="247" t="n"/>
      <c r="HG5" s="248" t="n"/>
      <c r="HH5" s="247" t="n"/>
      <c r="HI5" s="248" t="n"/>
      <c r="HJ5" s="247" t="n"/>
      <c r="HK5" s="248" t="n"/>
      <c r="HL5" s="247" t="n"/>
      <c r="HM5" s="248" t="n"/>
      <c r="HN5" s="247" t="n"/>
      <c r="HO5" s="248" t="n"/>
      <c r="HP5" s="247" t="n"/>
      <c r="HQ5" s="248" t="n"/>
      <c r="HR5" s="247" t="n"/>
      <c r="HS5" s="248" t="n"/>
      <c r="HT5" s="247" t="n"/>
      <c r="HU5" s="248" t="n"/>
      <c r="HV5" s="247" t="n"/>
      <c r="HW5" s="248" t="n"/>
      <c r="HX5" s="247" t="n"/>
      <c r="HY5" s="248" t="n"/>
      <c r="HZ5" s="247" t="n"/>
      <c r="IA5" s="248" t="n"/>
      <c r="IB5" s="247" t="n"/>
      <c r="IC5" s="248" t="n"/>
      <c r="ID5" s="247" t="n"/>
      <c r="IE5" s="248" t="n"/>
      <c r="IF5" s="247" t="n"/>
      <c r="IG5" s="248" t="n"/>
      <c r="IH5" s="247" t="n"/>
      <c r="II5" s="248" t="n"/>
      <c r="IJ5" s="247" t="n"/>
      <c r="IK5" s="248" t="n"/>
      <c r="IL5" s="247" t="n"/>
      <c r="IM5" s="248" t="n"/>
      <c r="IN5" s="247" t="n"/>
      <c r="IO5" s="248" t="n"/>
      <c r="IP5" s="247" t="inlineStr">
        <is>
          <t>36 01 3 269</t>
        </is>
      </c>
      <c r="IQ5" s="248" t="n"/>
      <c r="IR5" s="247" t="inlineStr">
        <is>
          <t>49 01 4 389</t>
        </is>
      </c>
      <c r="IS5" s="248" t="n"/>
      <c r="IT5" s="247" t="inlineStr">
        <is>
          <t>49 01 2 190</t>
        </is>
      </c>
      <c r="IU5" s="248" t="n"/>
      <c r="IV5" s="247" t="inlineStr">
        <is>
          <t>47 03 2 175</t>
        </is>
      </c>
      <c r="IW5" s="248" t="n"/>
      <c r="IX5" s="252" t="inlineStr">
        <is>
          <t>49 03 1 081</t>
        </is>
      </c>
      <c r="IY5" s="248" t="n"/>
      <c r="IZ5" s="247" t="n"/>
      <c r="JA5" s="248" t="n"/>
      <c r="JB5" s="247" t="n"/>
      <c r="JC5" s="248" t="n"/>
      <c r="JD5" s="247" t="n"/>
      <c r="JE5" s="248" t="n"/>
      <c r="JF5" s="247" t="inlineStr">
        <is>
          <t>10 01 2 215</t>
        </is>
      </c>
      <c r="JG5" s="248" t="n"/>
      <c r="JH5" s="247" t="n"/>
      <c r="JI5" s="248" t="n"/>
      <c r="JJ5" s="247" t="n"/>
      <c r="JK5" s="248" t="n"/>
      <c r="JL5" s="173" t="n"/>
      <c r="JM5" s="109" t="n"/>
      <c r="JN5" s="328" t="n"/>
      <c r="JO5" s="259" t="n"/>
      <c r="JP5" s="258" t="n"/>
      <c r="JQ5" s="259" t="n"/>
      <c r="JR5" s="258" t="n"/>
      <c r="JS5" s="259" t="n"/>
      <c r="JT5" s="258" t="n"/>
      <c r="JU5" s="259" t="n"/>
      <c r="JV5" s="258" t="n"/>
      <c r="JW5" s="259" t="n"/>
      <c r="JX5" s="258" t="n"/>
      <c r="JY5" s="259" t="n"/>
      <c r="JZ5" s="318" t="n"/>
      <c r="KA5" s="306" t="n"/>
      <c r="KC5" s="306" t="n"/>
      <c r="KF5" s="7" t="n"/>
    </row>
    <row r="6" ht="17.25" customHeight="1" thickBot="1">
      <c r="A6" s="284" t="n"/>
      <c r="B6" s="284" t="n"/>
      <c r="C6" s="286" t="n"/>
      <c r="D6" s="324" t="inlineStr">
        <is>
          <t>План</t>
        </is>
      </c>
      <c r="E6" s="341" t="inlineStr">
        <is>
          <t>Факт</t>
        </is>
      </c>
      <c r="F6" s="326" t="inlineStr">
        <is>
          <t>Месяц</t>
        </is>
      </c>
      <c r="G6" s="321" t="inlineStr">
        <is>
          <t>Часовая ставка</t>
        </is>
      </c>
      <c r="H6" s="329" t="inlineStr">
        <is>
          <t>23 счет</t>
        </is>
      </c>
      <c r="I6" s="328" t="n"/>
      <c r="J6" s="328" t="n"/>
      <c r="K6" s="328" t="n"/>
      <c r="L6" s="328" t="n"/>
      <c r="M6" s="328" t="n"/>
      <c r="N6" s="328" t="n"/>
      <c r="O6" s="328" t="n"/>
      <c r="P6" s="328" t="n"/>
      <c r="Q6" s="328" t="n"/>
      <c r="R6" s="328" t="n"/>
      <c r="S6" s="328" t="n"/>
      <c r="T6" s="328" t="n"/>
      <c r="U6" s="328" t="n"/>
      <c r="V6" s="328" t="n"/>
      <c r="W6" s="328" t="n"/>
      <c r="X6" s="328" t="n"/>
      <c r="Y6" s="328" t="n"/>
      <c r="Z6" s="328" t="n"/>
      <c r="AA6" s="259" t="n"/>
      <c r="AB6" s="134" t="n"/>
      <c r="AC6" s="331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34" t="n"/>
      <c r="CC6" s="134" t="n"/>
      <c r="CD6" s="134" t="n"/>
      <c r="CE6" s="134" t="n"/>
      <c r="CF6" s="134" t="n"/>
      <c r="CG6" s="134" t="n"/>
      <c r="CH6" s="134" t="n"/>
      <c r="CI6" s="134" t="n"/>
      <c r="CJ6" s="134" t="n"/>
      <c r="CK6" s="134" t="n"/>
      <c r="CL6" s="134" t="n"/>
      <c r="CM6" s="134" t="n"/>
      <c r="CN6" s="134" t="n"/>
      <c r="CO6" s="134" t="n"/>
      <c r="CP6" s="134" t="n"/>
      <c r="CQ6" s="134" t="n"/>
      <c r="CR6" s="134" t="n"/>
      <c r="CS6" s="134" t="n"/>
      <c r="CT6" s="134" t="n"/>
      <c r="CU6" s="134" t="n"/>
      <c r="CV6" s="134" t="n"/>
      <c r="CW6" s="134" t="n"/>
      <c r="CX6" s="134" t="n"/>
      <c r="CY6" s="134" t="n"/>
      <c r="CZ6" s="134" t="n"/>
      <c r="DA6" s="134" t="n"/>
      <c r="DB6" s="134" t="n"/>
      <c r="DC6" s="134" t="n"/>
      <c r="DD6" s="134" t="n"/>
      <c r="DE6" s="134" t="n"/>
      <c r="DF6" s="134" t="n"/>
      <c r="DG6" s="134" t="n"/>
      <c r="DH6" s="134" t="n"/>
      <c r="DI6" s="134" t="n"/>
      <c r="DJ6" s="134" t="n"/>
      <c r="DK6" s="134" t="n"/>
      <c r="DL6" s="134" t="n"/>
      <c r="DM6" s="134" t="n"/>
      <c r="DN6" s="134" t="n"/>
      <c r="DO6" s="134" t="n"/>
      <c r="DP6" s="134" t="n"/>
      <c r="DQ6" s="134" t="n"/>
      <c r="DR6" s="134" t="n"/>
      <c r="DS6" s="134" t="n"/>
      <c r="DT6" s="134" t="n"/>
      <c r="DU6" s="134" t="n"/>
      <c r="DV6" s="134" t="n"/>
      <c r="DW6" s="134" t="n"/>
      <c r="DX6" s="134" t="n"/>
      <c r="DY6" s="134" t="n"/>
      <c r="DZ6" s="134" t="n"/>
      <c r="EA6" s="134" t="n"/>
      <c r="EB6" s="134" t="n"/>
      <c r="EC6" s="134" t="n"/>
      <c r="ED6" s="134" t="n"/>
      <c r="EE6" s="134" t="n"/>
      <c r="EF6" s="134" t="n"/>
      <c r="EG6" s="134" t="n"/>
      <c r="EH6" s="134" t="n"/>
      <c r="EI6" s="134" t="n"/>
      <c r="EJ6" s="134" t="n"/>
      <c r="EK6" s="134" t="n"/>
      <c r="EL6" s="134" t="n"/>
      <c r="EM6" s="134" t="n"/>
      <c r="EN6" s="134" t="n"/>
      <c r="EO6" s="134" t="n"/>
      <c r="EP6" s="134" t="n"/>
      <c r="EQ6" s="134" t="n"/>
      <c r="ER6" s="134" t="n"/>
      <c r="ES6" s="134" t="n"/>
      <c r="ET6" s="134" t="n"/>
      <c r="EU6" s="134" t="n"/>
      <c r="EV6" s="134" t="n"/>
      <c r="EW6" s="174" t="n"/>
      <c r="EX6" s="174" t="n"/>
      <c r="EY6" s="174" t="n"/>
      <c r="EZ6" s="174" t="n"/>
      <c r="FA6" s="174" t="n"/>
      <c r="FB6" s="174" t="n"/>
      <c r="FC6" s="174" t="n"/>
      <c r="FD6" s="134" t="n"/>
      <c r="FE6" s="134" t="n"/>
      <c r="FF6" s="134" t="n"/>
      <c r="FG6" s="134" t="n"/>
      <c r="FH6" s="134" t="n"/>
      <c r="FI6" s="134" t="n"/>
      <c r="FJ6" s="134" t="n"/>
      <c r="FK6" s="134" t="n"/>
      <c r="FL6" s="134" t="n"/>
      <c r="FM6" s="134" t="n"/>
      <c r="FN6" s="134" t="n"/>
      <c r="FO6" s="134" t="n"/>
      <c r="FP6" s="134" t="n"/>
      <c r="FQ6" s="134" t="n"/>
      <c r="FR6" s="134" t="n"/>
      <c r="FS6" s="134" t="n"/>
      <c r="FT6" s="134" t="n"/>
      <c r="FU6" s="134" t="n"/>
      <c r="FV6" s="134" t="n"/>
      <c r="FW6" s="134" t="n"/>
      <c r="FX6" s="134" t="n"/>
      <c r="FY6" s="134" t="n"/>
      <c r="FZ6" s="134" t="n"/>
      <c r="GA6" s="134" t="n"/>
      <c r="GB6" s="134" t="n"/>
      <c r="GC6" s="134" t="n"/>
      <c r="GD6" s="134" t="n"/>
      <c r="GE6" s="134" t="n"/>
      <c r="GF6" s="134" t="n"/>
      <c r="GG6" s="134" t="n"/>
      <c r="GH6" s="134" t="n"/>
      <c r="GI6" s="134" t="n"/>
      <c r="GJ6" s="134" t="n"/>
      <c r="GK6" s="134" t="n"/>
      <c r="GL6" s="134" t="n"/>
      <c r="GM6" s="134" t="n"/>
      <c r="GN6" s="134" t="n"/>
      <c r="GO6" s="134" t="n"/>
      <c r="GP6" s="134" t="n"/>
      <c r="GQ6" s="134" t="n"/>
      <c r="GR6" s="134" t="n"/>
      <c r="GS6" s="134" t="n"/>
      <c r="GT6" s="134" t="n"/>
      <c r="GU6" s="134" t="n"/>
      <c r="GV6" s="134" t="n"/>
      <c r="GW6" s="134" t="n"/>
      <c r="GX6" s="134" t="n"/>
      <c r="GY6" s="134" t="n"/>
      <c r="GZ6" s="134" t="n"/>
      <c r="HA6" s="134" t="n"/>
      <c r="HB6" s="134" t="n"/>
      <c r="HC6" s="134" t="n"/>
      <c r="HD6" s="134" t="n"/>
      <c r="HE6" s="134" t="n"/>
      <c r="HF6" s="134" t="n"/>
      <c r="HG6" s="134" t="n"/>
      <c r="HH6" s="134" t="n"/>
      <c r="HI6" s="134" t="n"/>
      <c r="HJ6" s="134" t="n"/>
      <c r="HK6" s="134" t="n"/>
      <c r="HL6" s="134" t="n"/>
      <c r="HM6" s="134" t="n"/>
      <c r="HN6" s="134" t="n"/>
      <c r="HO6" s="134" t="n"/>
      <c r="HP6" s="134" t="n"/>
      <c r="HQ6" s="134" t="n"/>
      <c r="HR6" s="134" t="n"/>
      <c r="HS6" s="134" t="n"/>
      <c r="HT6" s="134" t="n"/>
      <c r="HU6" s="134" t="n"/>
      <c r="HV6" s="134" t="n"/>
      <c r="HW6" s="134" t="n"/>
      <c r="HX6" s="134" t="n"/>
      <c r="HY6" s="134" t="n"/>
      <c r="HZ6" s="134" t="n"/>
      <c r="IA6" s="134" t="n"/>
      <c r="IB6" s="134" t="n"/>
      <c r="IC6" s="134" t="n"/>
      <c r="ID6" s="134" t="n"/>
      <c r="IE6" s="134" t="n"/>
      <c r="IF6" s="134" t="n"/>
      <c r="IG6" s="134" t="n"/>
      <c r="IH6" s="134" t="n"/>
      <c r="II6" s="134" t="n"/>
      <c r="IJ6" s="134" t="n"/>
      <c r="IK6" s="134" t="n"/>
      <c r="IL6" s="134" t="n"/>
      <c r="IM6" s="134" t="n"/>
      <c r="IN6" s="134" t="n"/>
      <c r="IO6" s="134" t="n"/>
      <c r="IP6" s="134" t="n"/>
      <c r="IQ6" s="134" t="n"/>
      <c r="IR6" s="134" t="n"/>
      <c r="IS6" s="134" t="n"/>
      <c r="IT6" s="134" t="n"/>
      <c r="IU6" s="134" t="n"/>
      <c r="IV6" s="134" t="n"/>
      <c r="IW6" s="134" t="n"/>
      <c r="IX6" s="134" t="n"/>
      <c r="IY6" s="134" t="n"/>
      <c r="IZ6" s="134" t="n"/>
      <c r="JA6" s="134" t="n"/>
      <c r="JB6" s="134" t="n"/>
      <c r="JC6" s="134" t="n"/>
      <c r="JD6" s="134" t="n"/>
      <c r="JE6" s="134" t="n"/>
      <c r="JF6" s="309" t="inlineStr">
        <is>
          <t>28 сч</t>
        </is>
      </c>
      <c r="JG6" s="263" t="n"/>
      <c r="JH6" s="309" t="inlineStr">
        <is>
          <t>28 сч</t>
        </is>
      </c>
      <c r="JI6" s="263" t="n"/>
      <c r="JJ6" s="312" t="n"/>
      <c r="JK6" s="306" t="n"/>
      <c r="JL6" s="267" t="inlineStr">
        <is>
          <t>25 счет</t>
        </is>
      </c>
      <c r="JM6" s="268" t="n"/>
      <c r="JN6" s="333" t="inlineStr">
        <is>
          <t>08 cч</t>
        </is>
      </c>
      <c r="JO6" s="334" t="n"/>
      <c r="JP6" s="334" t="n"/>
      <c r="JQ6" s="334" t="n"/>
      <c r="JR6" s="334" t="n"/>
      <c r="JS6" s="334" t="n"/>
      <c r="JT6" s="334" t="n"/>
      <c r="JU6" s="334" t="n"/>
      <c r="JV6" s="334" t="n"/>
      <c r="JW6" s="334" t="n"/>
      <c r="JX6" s="334" t="n"/>
      <c r="JY6" s="257" t="n"/>
      <c r="JZ6" s="319" t="n"/>
      <c r="KA6" s="263" t="n"/>
      <c r="KC6" s="306" t="n"/>
      <c r="KE6" s="2" t="n"/>
    </row>
    <row r="7" ht="18.75" customHeight="1" thickBot="1">
      <c r="A7" s="284" t="n"/>
      <c r="B7" s="284" t="n"/>
      <c r="C7" s="286" t="n"/>
      <c r="D7" s="325" t="n"/>
      <c r="E7" s="322" t="n"/>
      <c r="F7" s="325" t="n"/>
      <c r="G7" s="322" t="n"/>
      <c r="H7" s="149" t="inlineStr">
        <is>
          <t>часы</t>
        </is>
      </c>
      <c r="I7" s="150" t="inlineStr">
        <is>
          <t>доля</t>
        </is>
      </c>
      <c r="J7" s="149" t="inlineStr">
        <is>
          <t>часы</t>
        </is>
      </c>
      <c r="K7" s="150" t="inlineStr">
        <is>
          <t>доля</t>
        </is>
      </c>
      <c r="L7" s="149" t="inlineStr">
        <is>
          <t>часы</t>
        </is>
      </c>
      <c r="M7" s="151" t="inlineStr">
        <is>
          <t>доля</t>
        </is>
      </c>
      <c r="N7" s="152" t="inlineStr">
        <is>
          <t>часы</t>
        </is>
      </c>
      <c r="O7" s="151" t="inlineStr">
        <is>
          <t>доля</t>
        </is>
      </c>
      <c r="P7" s="153" t="inlineStr">
        <is>
          <t>часы</t>
        </is>
      </c>
      <c r="Q7" s="154" t="inlineStr">
        <is>
          <t>доля</t>
        </is>
      </c>
      <c r="R7" s="155" t="inlineStr">
        <is>
          <t>часы</t>
        </is>
      </c>
      <c r="S7" s="156" t="inlineStr">
        <is>
          <t>доля</t>
        </is>
      </c>
      <c r="T7" s="156" t="inlineStr">
        <is>
          <t>часы</t>
        </is>
      </c>
      <c r="U7" s="156" t="inlineStr">
        <is>
          <t>доля</t>
        </is>
      </c>
      <c r="V7" s="156" t="inlineStr">
        <is>
          <t>часы</t>
        </is>
      </c>
      <c r="W7" s="156" t="inlineStr">
        <is>
          <t>доля</t>
        </is>
      </c>
      <c r="X7" s="156" t="inlineStr">
        <is>
          <t>часы</t>
        </is>
      </c>
      <c r="Y7" s="156" t="inlineStr">
        <is>
          <t>доля</t>
        </is>
      </c>
      <c r="Z7" s="156" t="inlineStr">
        <is>
          <t>часы</t>
        </is>
      </c>
      <c r="AA7" s="157" t="inlineStr">
        <is>
          <t>доля</t>
        </is>
      </c>
      <c r="AB7" s="158" t="inlineStr">
        <is>
          <t>часы</t>
        </is>
      </c>
      <c r="AC7" s="154" t="inlineStr">
        <is>
          <t>доля</t>
        </is>
      </c>
      <c r="AD7" s="159" t="inlineStr">
        <is>
          <t>часы</t>
        </is>
      </c>
      <c r="AE7" s="160" t="inlineStr">
        <is>
          <t>доля</t>
        </is>
      </c>
      <c r="AF7" s="161" t="inlineStr">
        <is>
          <t>часы</t>
        </is>
      </c>
      <c r="AG7" s="162" t="inlineStr">
        <is>
          <t>доля</t>
        </is>
      </c>
      <c r="AH7" s="161" t="inlineStr">
        <is>
          <t>часы</t>
        </is>
      </c>
      <c r="AI7" s="162" t="inlineStr">
        <is>
          <t>доля</t>
        </is>
      </c>
      <c r="AJ7" s="161" t="inlineStr">
        <is>
          <t>часы</t>
        </is>
      </c>
      <c r="AK7" s="162" t="inlineStr">
        <is>
          <t>доля</t>
        </is>
      </c>
      <c r="AL7" s="161" t="inlineStr">
        <is>
          <t>часы</t>
        </is>
      </c>
      <c r="AM7" s="162" t="inlineStr">
        <is>
          <t>доля</t>
        </is>
      </c>
      <c r="AN7" s="161" t="inlineStr">
        <is>
          <t>часы</t>
        </is>
      </c>
      <c r="AO7" s="162" t="inlineStr">
        <is>
          <t>доля</t>
        </is>
      </c>
      <c r="AP7" s="161" t="inlineStr">
        <is>
          <t>часы</t>
        </is>
      </c>
      <c r="AQ7" s="162" t="inlineStr">
        <is>
          <t>доля</t>
        </is>
      </c>
      <c r="AR7" s="161" t="inlineStr">
        <is>
          <t>часы</t>
        </is>
      </c>
      <c r="AS7" s="162" t="inlineStr">
        <is>
          <t>доля</t>
        </is>
      </c>
      <c r="AT7" s="161" t="inlineStr">
        <is>
          <t>часы</t>
        </is>
      </c>
      <c r="AU7" s="162" t="inlineStr">
        <is>
          <t>доля</t>
        </is>
      </c>
      <c r="AV7" s="161" t="inlineStr">
        <is>
          <t>часы</t>
        </is>
      </c>
      <c r="AW7" s="162" t="inlineStr">
        <is>
          <t>доля</t>
        </is>
      </c>
      <c r="AX7" s="161" t="inlineStr">
        <is>
          <t>часы</t>
        </is>
      </c>
      <c r="AY7" s="162" t="inlineStr">
        <is>
          <t>доля</t>
        </is>
      </c>
      <c r="AZ7" s="161" t="inlineStr">
        <is>
          <t>часы</t>
        </is>
      </c>
      <c r="BA7" s="162" t="inlineStr">
        <is>
          <t>доля</t>
        </is>
      </c>
      <c r="BB7" s="161" t="inlineStr">
        <is>
          <t>часы</t>
        </is>
      </c>
      <c r="BC7" s="162" t="inlineStr">
        <is>
          <t>доля</t>
        </is>
      </c>
      <c r="BD7" s="161" t="inlineStr">
        <is>
          <t>часы</t>
        </is>
      </c>
      <c r="BE7" s="162" t="inlineStr">
        <is>
          <t>доля</t>
        </is>
      </c>
      <c r="BF7" s="161" t="inlineStr">
        <is>
          <t>часы</t>
        </is>
      </c>
      <c r="BG7" s="162" t="inlineStr">
        <is>
          <t>доля</t>
        </is>
      </c>
      <c r="BH7" s="161" t="inlineStr">
        <is>
          <t>часы</t>
        </is>
      </c>
      <c r="BI7" s="162" t="inlineStr">
        <is>
          <t>доля</t>
        </is>
      </c>
      <c r="BJ7" s="161" t="inlineStr">
        <is>
          <t>часы</t>
        </is>
      </c>
      <c r="BK7" s="162" t="inlineStr">
        <is>
          <t>доля</t>
        </is>
      </c>
      <c r="BL7" s="161" t="inlineStr">
        <is>
          <t>часы</t>
        </is>
      </c>
      <c r="BM7" s="163" t="inlineStr">
        <is>
          <t>доля</t>
        </is>
      </c>
      <c r="BN7" s="161" t="inlineStr">
        <is>
          <t>часы</t>
        </is>
      </c>
      <c r="BO7" s="163" t="inlineStr">
        <is>
          <t>доля</t>
        </is>
      </c>
      <c r="BP7" s="161" t="inlineStr">
        <is>
          <t>часы</t>
        </is>
      </c>
      <c r="BQ7" s="163" t="inlineStr">
        <is>
          <t>доля</t>
        </is>
      </c>
      <c r="BR7" s="161" t="inlineStr">
        <is>
          <t>часы</t>
        </is>
      </c>
      <c r="BS7" s="163" t="inlineStr">
        <is>
          <t>доля</t>
        </is>
      </c>
      <c r="BT7" s="161" t="inlineStr">
        <is>
          <t>часы</t>
        </is>
      </c>
      <c r="BU7" s="163" t="inlineStr">
        <is>
          <t>доля</t>
        </is>
      </c>
      <c r="BV7" s="161" t="inlineStr">
        <is>
          <t>часы</t>
        </is>
      </c>
      <c r="BW7" s="163" t="inlineStr">
        <is>
          <t>доля</t>
        </is>
      </c>
      <c r="BX7" s="161" t="inlineStr">
        <is>
          <t>часы</t>
        </is>
      </c>
      <c r="BY7" s="163" t="inlineStr">
        <is>
          <t>доля</t>
        </is>
      </c>
      <c r="BZ7" s="161" t="inlineStr">
        <is>
          <t>часы</t>
        </is>
      </c>
      <c r="CA7" s="163" t="inlineStr">
        <is>
          <t>доля</t>
        </is>
      </c>
      <c r="CB7" s="161" t="inlineStr">
        <is>
          <t>часы</t>
        </is>
      </c>
      <c r="CC7" s="162" t="inlineStr">
        <is>
          <t>доля</t>
        </is>
      </c>
      <c r="CD7" s="161" t="inlineStr">
        <is>
          <t>часы</t>
        </is>
      </c>
      <c r="CE7" s="162" t="inlineStr">
        <is>
          <t>доля</t>
        </is>
      </c>
      <c r="CF7" s="161" t="inlineStr">
        <is>
          <t>часы</t>
        </is>
      </c>
      <c r="CG7" s="163" t="inlineStr">
        <is>
          <t>доля</t>
        </is>
      </c>
      <c r="CH7" s="161" t="inlineStr">
        <is>
          <t>часы</t>
        </is>
      </c>
      <c r="CI7" s="163" t="inlineStr">
        <is>
          <t>доля</t>
        </is>
      </c>
      <c r="CJ7" s="161" t="inlineStr">
        <is>
          <t>часы</t>
        </is>
      </c>
      <c r="CK7" s="163" t="inlineStr">
        <is>
          <t>доля</t>
        </is>
      </c>
      <c r="CL7" s="161" t="inlineStr">
        <is>
          <t>часы</t>
        </is>
      </c>
      <c r="CM7" s="163" t="inlineStr">
        <is>
          <t>доля</t>
        </is>
      </c>
      <c r="CN7" s="153" t="inlineStr">
        <is>
          <t>часы</t>
        </is>
      </c>
      <c r="CO7" s="164" t="inlineStr">
        <is>
          <t>доля</t>
        </is>
      </c>
      <c r="CP7" s="165" t="inlineStr">
        <is>
          <t>часы</t>
        </is>
      </c>
      <c r="CQ7" s="166" t="inlineStr">
        <is>
          <t>доля</t>
        </is>
      </c>
      <c r="CR7" s="161" t="inlineStr">
        <is>
          <t>часы</t>
        </is>
      </c>
      <c r="CS7" s="163" t="inlineStr">
        <is>
          <t>доля</t>
        </is>
      </c>
      <c r="CT7" s="161" t="inlineStr">
        <is>
          <t>часы</t>
        </is>
      </c>
      <c r="CU7" s="163" t="inlineStr">
        <is>
          <t>доля</t>
        </is>
      </c>
      <c r="CV7" s="165" t="inlineStr">
        <is>
          <t>часы</t>
        </is>
      </c>
      <c r="CW7" s="166" t="inlineStr">
        <is>
          <t>доля</t>
        </is>
      </c>
      <c r="CX7" s="161" t="inlineStr">
        <is>
          <t>часы</t>
        </is>
      </c>
      <c r="CY7" s="163" t="inlineStr">
        <is>
          <t>доля</t>
        </is>
      </c>
      <c r="CZ7" s="161" t="inlineStr">
        <is>
          <t>часы</t>
        </is>
      </c>
      <c r="DA7" s="163" t="inlineStr">
        <is>
          <t>доля</t>
        </is>
      </c>
      <c r="DB7" s="165" t="inlineStr">
        <is>
          <t>часы</t>
        </is>
      </c>
      <c r="DC7" s="163" t="inlineStr">
        <is>
          <t>доля</t>
        </is>
      </c>
      <c r="DD7" s="161" t="inlineStr">
        <is>
          <t>часы</t>
        </is>
      </c>
      <c r="DE7" s="163" t="inlineStr">
        <is>
          <t>доля</t>
        </is>
      </c>
      <c r="DF7" s="161" t="inlineStr">
        <is>
          <t>часы</t>
        </is>
      </c>
      <c r="DG7" s="162" t="inlineStr">
        <is>
          <t>доля</t>
        </is>
      </c>
      <c r="DH7" s="161" t="inlineStr">
        <is>
          <t>часы</t>
        </is>
      </c>
      <c r="DI7" s="163" t="inlineStr">
        <is>
          <t>доля</t>
        </is>
      </c>
      <c r="DJ7" s="161" t="inlineStr">
        <is>
          <t>часы</t>
        </is>
      </c>
      <c r="DK7" s="163" t="inlineStr">
        <is>
          <t>доля</t>
        </is>
      </c>
      <c r="DL7" s="161" t="inlineStr">
        <is>
          <t>часы</t>
        </is>
      </c>
      <c r="DM7" s="162" t="inlineStr">
        <is>
          <t>доля</t>
        </is>
      </c>
      <c r="DN7" s="161" t="inlineStr">
        <is>
          <t>часы</t>
        </is>
      </c>
      <c r="DO7" s="166" t="inlineStr">
        <is>
          <t>доля</t>
        </is>
      </c>
      <c r="DP7" s="161" t="inlineStr">
        <is>
          <t>часы</t>
        </is>
      </c>
      <c r="DQ7" s="163" t="inlineStr">
        <is>
          <t>доля</t>
        </is>
      </c>
      <c r="DR7" s="161" t="inlineStr">
        <is>
          <t>доля</t>
        </is>
      </c>
      <c r="DS7" s="163" t="inlineStr">
        <is>
          <t>доля</t>
        </is>
      </c>
      <c r="DT7" s="161" t="inlineStr">
        <is>
          <t>часы</t>
        </is>
      </c>
      <c r="DU7" s="162" t="inlineStr">
        <is>
          <t>доля</t>
        </is>
      </c>
      <c r="DV7" s="161" t="inlineStr">
        <is>
          <t>часы</t>
        </is>
      </c>
      <c r="DW7" s="163" t="inlineStr">
        <is>
          <t>доля</t>
        </is>
      </c>
      <c r="DX7" s="153" t="inlineStr">
        <is>
          <t>часы</t>
        </is>
      </c>
      <c r="DY7" s="167" t="inlineStr">
        <is>
          <t>доля</t>
        </is>
      </c>
      <c r="DZ7" s="153" t="inlineStr">
        <is>
          <t>часы</t>
        </is>
      </c>
      <c r="EA7" s="167" t="inlineStr">
        <is>
          <t>доля</t>
        </is>
      </c>
      <c r="EB7" s="153" t="inlineStr">
        <is>
          <t>часы</t>
        </is>
      </c>
      <c r="EC7" s="167" t="inlineStr">
        <is>
          <t>доля</t>
        </is>
      </c>
      <c r="ED7" s="153" t="inlineStr">
        <is>
          <t>часы</t>
        </is>
      </c>
      <c r="EE7" s="167" t="inlineStr">
        <is>
          <t>доля</t>
        </is>
      </c>
      <c r="EF7" s="159" t="inlineStr">
        <is>
          <t>часы</t>
        </is>
      </c>
      <c r="EG7" s="168" t="inlineStr">
        <is>
          <t>доля</t>
        </is>
      </c>
      <c r="EH7" s="153" t="inlineStr">
        <is>
          <t>часы</t>
        </is>
      </c>
      <c r="EI7" s="167" t="inlineStr">
        <is>
          <t>доля</t>
        </is>
      </c>
      <c r="EJ7" s="153" t="inlineStr">
        <is>
          <t>часы</t>
        </is>
      </c>
      <c r="EK7" s="167" t="inlineStr">
        <is>
          <t>доля</t>
        </is>
      </c>
      <c r="EL7" s="153" t="inlineStr">
        <is>
          <t>часы</t>
        </is>
      </c>
      <c r="EM7" s="167" t="inlineStr">
        <is>
          <t>доля</t>
        </is>
      </c>
      <c r="EN7" s="153" t="inlineStr">
        <is>
          <t>часы</t>
        </is>
      </c>
      <c r="EO7" s="167" t="inlineStr">
        <is>
          <t>доля</t>
        </is>
      </c>
      <c r="EP7" s="153" t="inlineStr">
        <is>
          <t>часы</t>
        </is>
      </c>
      <c r="EQ7" s="167" t="inlineStr">
        <is>
          <t>доля</t>
        </is>
      </c>
      <c r="ER7" s="153" t="inlineStr">
        <is>
          <t>часы</t>
        </is>
      </c>
      <c r="ES7" s="167" t="inlineStr">
        <is>
          <t>доля</t>
        </is>
      </c>
      <c r="ET7" s="153" t="inlineStr">
        <is>
          <t>часы</t>
        </is>
      </c>
      <c r="EU7" s="167" t="inlineStr">
        <is>
          <t>доля</t>
        </is>
      </c>
      <c r="EV7" s="153" t="inlineStr">
        <is>
          <t>часы</t>
        </is>
      </c>
      <c r="EW7" s="167" t="inlineStr">
        <is>
          <t>доля</t>
        </is>
      </c>
      <c r="EX7" s="159" t="inlineStr">
        <is>
          <t>часы</t>
        </is>
      </c>
      <c r="EY7" s="169" t="inlineStr">
        <is>
          <t>доля</t>
        </is>
      </c>
      <c r="EZ7" s="153" t="inlineStr">
        <is>
          <t>часы</t>
        </is>
      </c>
      <c r="FA7" s="170" t="inlineStr">
        <is>
          <t>доля</t>
        </is>
      </c>
      <c r="FB7" s="153" t="inlineStr">
        <is>
          <t>часы</t>
        </is>
      </c>
      <c r="FC7" s="170" t="inlineStr">
        <is>
          <t>доля</t>
        </is>
      </c>
      <c r="FD7" s="153" t="inlineStr">
        <is>
          <t>часы</t>
        </is>
      </c>
      <c r="FE7" s="170" t="inlineStr">
        <is>
          <t>доля</t>
        </is>
      </c>
      <c r="FF7" s="153" t="inlineStr">
        <is>
          <t>часы</t>
        </is>
      </c>
      <c r="FG7" s="170" t="inlineStr">
        <is>
          <t>доля</t>
        </is>
      </c>
      <c r="FH7" s="153" t="inlineStr">
        <is>
          <t>часы</t>
        </is>
      </c>
      <c r="FI7" s="170" t="inlineStr">
        <is>
          <t>доля</t>
        </is>
      </c>
      <c r="FJ7" s="159" t="inlineStr">
        <is>
          <t>часы</t>
        </is>
      </c>
      <c r="FK7" s="171" t="inlineStr">
        <is>
          <t>доля</t>
        </is>
      </c>
      <c r="FL7" s="172" t="inlineStr">
        <is>
          <t>часы</t>
        </is>
      </c>
      <c r="FM7" s="170" t="inlineStr">
        <is>
          <t>доля</t>
        </is>
      </c>
      <c r="FN7" s="153" t="inlineStr">
        <is>
          <t>часы</t>
        </is>
      </c>
      <c r="FO7" s="167" t="inlineStr">
        <is>
          <t>доля</t>
        </is>
      </c>
      <c r="FP7" s="153" t="inlineStr">
        <is>
          <t>часы</t>
        </is>
      </c>
      <c r="FQ7" s="167" t="inlineStr">
        <is>
          <t>доля</t>
        </is>
      </c>
      <c r="FR7" s="153" t="inlineStr">
        <is>
          <t>часы</t>
        </is>
      </c>
      <c r="FS7" s="167" t="inlineStr">
        <is>
          <t>доля</t>
        </is>
      </c>
      <c r="FT7" s="153" t="inlineStr">
        <is>
          <t>часы</t>
        </is>
      </c>
      <c r="FU7" s="167" t="inlineStr">
        <is>
          <t>доля</t>
        </is>
      </c>
      <c r="FV7" s="153" t="inlineStr">
        <is>
          <t>часы</t>
        </is>
      </c>
      <c r="FW7" s="167" t="inlineStr">
        <is>
          <t>доля</t>
        </is>
      </c>
      <c r="FX7" s="153" t="inlineStr">
        <is>
          <t>часы</t>
        </is>
      </c>
      <c r="FY7" s="168" t="inlineStr">
        <is>
          <t>доля</t>
        </is>
      </c>
      <c r="FZ7" s="153" t="inlineStr">
        <is>
          <t>часы</t>
        </is>
      </c>
      <c r="GA7" s="168" t="inlineStr">
        <is>
          <t>доля</t>
        </is>
      </c>
      <c r="GB7" s="153" t="inlineStr">
        <is>
          <t>часы</t>
        </is>
      </c>
      <c r="GC7" s="168" t="inlineStr">
        <is>
          <t>доля</t>
        </is>
      </c>
      <c r="GD7" s="153" t="inlineStr">
        <is>
          <t>часы</t>
        </is>
      </c>
      <c r="GE7" s="168" t="inlineStr">
        <is>
          <t>доля</t>
        </is>
      </c>
      <c r="GF7" s="153" t="inlineStr">
        <is>
          <t>часы</t>
        </is>
      </c>
      <c r="GG7" s="167" t="inlineStr">
        <is>
          <t>доля</t>
        </is>
      </c>
      <c r="GH7" s="153" t="inlineStr">
        <is>
          <t>часы</t>
        </is>
      </c>
      <c r="GI7" s="170" t="inlineStr">
        <is>
          <t>доля</t>
        </is>
      </c>
      <c r="GJ7" s="153" t="inlineStr">
        <is>
          <t>часы</t>
        </is>
      </c>
      <c r="GK7" s="167" t="inlineStr">
        <is>
          <t>доля</t>
        </is>
      </c>
      <c r="GL7" s="153" t="inlineStr">
        <is>
          <t>часы</t>
        </is>
      </c>
      <c r="GM7" s="167" t="inlineStr">
        <is>
          <t>доля</t>
        </is>
      </c>
      <c r="GN7" s="153" t="inlineStr">
        <is>
          <t>часы</t>
        </is>
      </c>
      <c r="GO7" s="167" t="inlineStr">
        <is>
          <t>доля</t>
        </is>
      </c>
      <c r="GP7" s="153" t="inlineStr">
        <is>
          <t>часы</t>
        </is>
      </c>
      <c r="GQ7" s="167" t="inlineStr">
        <is>
          <t>доля</t>
        </is>
      </c>
      <c r="GR7" s="153" t="inlineStr">
        <is>
          <t>часы</t>
        </is>
      </c>
      <c r="GS7" s="167" t="inlineStr">
        <is>
          <t>доля</t>
        </is>
      </c>
      <c r="GT7" s="153" t="inlineStr">
        <is>
          <t>часы</t>
        </is>
      </c>
      <c r="GU7" s="167" t="inlineStr">
        <is>
          <t>доля</t>
        </is>
      </c>
      <c r="GV7" s="153" t="inlineStr">
        <is>
          <t>часы</t>
        </is>
      </c>
      <c r="GW7" s="167" t="inlineStr">
        <is>
          <t>доля</t>
        </is>
      </c>
      <c r="GX7" s="153" t="inlineStr">
        <is>
          <t>часы</t>
        </is>
      </c>
      <c r="GY7" s="167" t="inlineStr">
        <is>
          <t>доля</t>
        </is>
      </c>
      <c r="GZ7" s="153" t="inlineStr">
        <is>
          <t>часы</t>
        </is>
      </c>
      <c r="HA7" s="167" t="inlineStr">
        <is>
          <t>доля</t>
        </is>
      </c>
      <c r="HB7" s="153" t="inlineStr">
        <is>
          <t>часы</t>
        </is>
      </c>
      <c r="HC7" s="167" t="inlineStr">
        <is>
          <t>доля</t>
        </is>
      </c>
      <c r="HD7" s="153" t="inlineStr">
        <is>
          <t>часы</t>
        </is>
      </c>
      <c r="HE7" s="167" t="inlineStr">
        <is>
          <t>доля</t>
        </is>
      </c>
      <c r="HF7" s="153" t="inlineStr">
        <is>
          <t>часы</t>
        </is>
      </c>
      <c r="HG7" s="167" t="inlineStr">
        <is>
          <t>доля</t>
        </is>
      </c>
      <c r="HH7" s="153" t="inlineStr">
        <is>
          <t>часы</t>
        </is>
      </c>
      <c r="HI7" s="167" t="inlineStr">
        <is>
          <t>доля</t>
        </is>
      </c>
      <c r="HJ7" s="153" t="inlineStr">
        <is>
          <t>часы</t>
        </is>
      </c>
      <c r="HK7" s="167" t="inlineStr">
        <is>
          <t>доля</t>
        </is>
      </c>
      <c r="HL7" s="153" t="inlineStr">
        <is>
          <t>часы</t>
        </is>
      </c>
      <c r="HM7" s="167" t="inlineStr">
        <is>
          <t>доля</t>
        </is>
      </c>
      <c r="HN7" s="153" t="inlineStr">
        <is>
          <t>часы</t>
        </is>
      </c>
      <c r="HO7" s="167" t="inlineStr">
        <is>
          <t>доля</t>
        </is>
      </c>
      <c r="HP7" s="153" t="inlineStr">
        <is>
          <t>часы</t>
        </is>
      </c>
      <c r="HQ7" s="167" t="inlineStr">
        <is>
          <t>доля</t>
        </is>
      </c>
      <c r="HR7" s="153" t="inlineStr">
        <is>
          <t>часы</t>
        </is>
      </c>
      <c r="HS7" s="167" t="inlineStr">
        <is>
          <t>доля</t>
        </is>
      </c>
      <c r="HT7" s="153" t="inlineStr">
        <is>
          <t>часы</t>
        </is>
      </c>
      <c r="HU7" s="168" t="inlineStr">
        <is>
          <t>доля</t>
        </is>
      </c>
      <c r="HV7" s="153" t="inlineStr">
        <is>
          <t>часы</t>
        </is>
      </c>
      <c r="HW7" s="167" t="inlineStr">
        <is>
          <t>доля</t>
        </is>
      </c>
      <c r="HX7" s="153" t="inlineStr">
        <is>
          <t>часы</t>
        </is>
      </c>
      <c r="HY7" s="168" t="inlineStr">
        <is>
          <t>доля</t>
        </is>
      </c>
      <c r="HZ7" s="153" t="inlineStr">
        <is>
          <t>часы</t>
        </is>
      </c>
      <c r="IA7" s="168" t="inlineStr">
        <is>
          <t>доля</t>
        </is>
      </c>
      <c r="IB7" s="153" t="inlineStr">
        <is>
          <t>часы</t>
        </is>
      </c>
      <c r="IC7" s="167" t="inlineStr">
        <is>
          <t>доля</t>
        </is>
      </c>
      <c r="ID7" s="159" t="inlineStr">
        <is>
          <t>часы</t>
        </is>
      </c>
      <c r="IE7" s="167" t="inlineStr">
        <is>
          <t>доля</t>
        </is>
      </c>
      <c r="IF7" s="153" t="inlineStr">
        <is>
          <t>часы</t>
        </is>
      </c>
      <c r="IG7" s="167" t="inlineStr">
        <is>
          <t>доля</t>
        </is>
      </c>
      <c r="IH7" s="153" t="inlineStr">
        <is>
          <t>часы</t>
        </is>
      </c>
      <c r="II7" s="167" t="inlineStr">
        <is>
          <t>доля</t>
        </is>
      </c>
      <c r="IJ7" s="153" t="inlineStr">
        <is>
          <t>часы</t>
        </is>
      </c>
      <c r="IK7" s="167" t="inlineStr">
        <is>
          <t>доля</t>
        </is>
      </c>
      <c r="IL7" s="153" t="inlineStr">
        <is>
          <t>часы</t>
        </is>
      </c>
      <c r="IM7" s="167" t="inlineStr">
        <is>
          <t>доля</t>
        </is>
      </c>
      <c r="IN7" s="153" t="inlineStr">
        <is>
          <t>часы</t>
        </is>
      </c>
      <c r="IO7" s="167" t="inlineStr">
        <is>
          <t>доля</t>
        </is>
      </c>
      <c r="IP7" s="153" t="inlineStr">
        <is>
          <t>часы</t>
        </is>
      </c>
      <c r="IQ7" s="167" t="inlineStr">
        <is>
          <t>доля</t>
        </is>
      </c>
      <c r="IR7" s="153" t="inlineStr">
        <is>
          <t>часы</t>
        </is>
      </c>
      <c r="IS7" s="167" t="inlineStr">
        <is>
          <t>доля</t>
        </is>
      </c>
      <c r="IT7" s="153" t="inlineStr">
        <is>
          <t>часы</t>
        </is>
      </c>
      <c r="IU7" s="167" t="inlineStr">
        <is>
          <t>доля</t>
        </is>
      </c>
      <c r="IV7" s="153" t="inlineStr">
        <is>
          <t>часы</t>
        </is>
      </c>
      <c r="IW7" s="167" t="inlineStr">
        <is>
          <t>доля</t>
        </is>
      </c>
      <c r="IX7" s="153" t="inlineStr">
        <is>
          <t>часы</t>
        </is>
      </c>
      <c r="IY7" s="167" t="inlineStr">
        <is>
          <t>доля</t>
        </is>
      </c>
      <c r="IZ7" s="153" t="inlineStr">
        <is>
          <t>часы</t>
        </is>
      </c>
      <c r="JA7" s="167" t="inlineStr">
        <is>
          <t>доля</t>
        </is>
      </c>
      <c r="JB7" s="153" t="inlineStr">
        <is>
          <t>часы</t>
        </is>
      </c>
      <c r="JC7" s="167" t="inlineStr">
        <is>
          <t>доля</t>
        </is>
      </c>
      <c r="JD7" s="153" t="inlineStr">
        <is>
          <t>часы</t>
        </is>
      </c>
      <c r="JE7" s="167" t="inlineStr">
        <is>
          <t>доля</t>
        </is>
      </c>
      <c r="JF7" s="72" t="inlineStr">
        <is>
          <t>часы</t>
        </is>
      </c>
      <c r="JG7" s="146" t="inlineStr">
        <is>
          <t>доля</t>
        </is>
      </c>
      <c r="JH7" s="70" t="inlineStr">
        <is>
          <t>часы</t>
        </is>
      </c>
      <c r="JI7" s="147" t="inlineStr">
        <is>
          <t>доля</t>
        </is>
      </c>
      <c r="JJ7" s="72" t="inlineStr">
        <is>
          <t>часы</t>
        </is>
      </c>
      <c r="JK7" s="73" t="inlineStr">
        <is>
          <t>доля</t>
        </is>
      </c>
      <c r="JL7" s="72" t="inlineStr">
        <is>
          <t>часы</t>
        </is>
      </c>
      <c r="JM7" s="73" t="inlineStr">
        <is>
          <t>доля</t>
        </is>
      </c>
      <c r="JN7" s="72" t="inlineStr">
        <is>
          <t>часы</t>
        </is>
      </c>
      <c r="JO7" s="71" t="inlineStr">
        <is>
          <t>доля</t>
        </is>
      </c>
      <c r="JP7" s="71" t="inlineStr">
        <is>
          <t>часы</t>
        </is>
      </c>
      <c r="JQ7" s="71" t="inlineStr">
        <is>
          <t>доля</t>
        </is>
      </c>
      <c r="JR7" s="71" t="inlineStr">
        <is>
          <t>часы</t>
        </is>
      </c>
      <c r="JS7" s="71" t="inlineStr">
        <is>
          <t>доля</t>
        </is>
      </c>
      <c r="JT7" s="71" t="inlineStr">
        <is>
          <t>часы</t>
        </is>
      </c>
      <c r="JU7" s="71" t="inlineStr">
        <is>
          <t>доля</t>
        </is>
      </c>
      <c r="JV7" s="71" t="inlineStr">
        <is>
          <t>часы</t>
        </is>
      </c>
      <c r="JW7" s="71" t="inlineStr">
        <is>
          <t>доля</t>
        </is>
      </c>
      <c r="JX7" s="71" t="inlineStr">
        <is>
          <t>часы</t>
        </is>
      </c>
      <c r="JY7" s="73" t="inlineStr">
        <is>
          <t>доля</t>
        </is>
      </c>
      <c r="JZ7" s="72" t="inlineStr">
        <is>
          <t>часы</t>
        </is>
      </c>
      <c r="KA7" s="73" t="inlineStr">
        <is>
          <t>доля</t>
        </is>
      </c>
      <c r="KB7" s="74" t="inlineStr">
        <is>
          <t>часы</t>
        </is>
      </c>
      <c r="KC7" s="75" t="inlineStr">
        <is>
          <t>доля</t>
        </is>
      </c>
      <c r="KE7" s="279" t="inlineStr">
        <is>
          <t>проверка</t>
        </is>
      </c>
    </row>
    <row r="8" ht="16.5" customHeight="1" thickBot="1">
      <c r="A8" s="283" t="n"/>
      <c r="B8" s="299" t="n"/>
      <c r="C8" s="285" t="n"/>
      <c r="D8" s="127" t="n"/>
      <c r="E8" s="128" t="n"/>
      <c r="F8" s="80" t="n"/>
      <c r="G8" s="79" t="n"/>
      <c r="H8" s="56" t="n"/>
      <c r="I8" s="61" t="n"/>
      <c r="J8" s="56" t="n"/>
      <c r="K8" s="61" t="n"/>
      <c r="L8" s="56" t="n"/>
      <c r="M8" s="81" t="n"/>
      <c r="N8" s="8" t="n"/>
      <c r="O8" s="82" t="n"/>
      <c r="P8" s="8" t="n"/>
      <c r="Q8" s="85" t="n"/>
      <c r="R8" s="84" t="n"/>
      <c r="S8" s="83" t="n"/>
      <c r="T8" s="83" t="n"/>
      <c r="U8" s="83" t="n"/>
      <c r="V8" s="84" t="n"/>
      <c r="W8" s="83" t="n"/>
      <c r="X8" s="83" t="n"/>
      <c r="Y8" s="83" t="n"/>
      <c r="Z8" s="83" t="n"/>
      <c r="AA8" s="85" t="n"/>
      <c r="AB8" s="84" t="n"/>
      <c r="AC8" s="85" t="n"/>
      <c r="AD8" s="56" t="n"/>
      <c r="AE8" s="82" t="n"/>
      <c r="AF8" s="38" t="n"/>
      <c r="AG8" s="84" t="n"/>
      <c r="AH8" s="38" t="n"/>
      <c r="AI8" s="84" t="n"/>
      <c r="AJ8" s="38" t="n"/>
      <c r="AK8" s="84" t="n"/>
      <c r="AL8" s="38" t="n"/>
      <c r="AM8" s="84" t="n"/>
      <c r="AN8" s="38" t="n"/>
      <c r="AO8" s="84" t="n"/>
      <c r="AP8" s="38" t="n"/>
      <c r="AQ8" s="84" t="n"/>
      <c r="AR8" s="38" t="n"/>
      <c r="AS8" s="84" t="n"/>
      <c r="AT8" s="38" t="n"/>
      <c r="AU8" s="84" t="n"/>
      <c r="AV8" s="38" t="n"/>
      <c r="AW8" s="84" t="n"/>
      <c r="AX8" s="38" t="n"/>
      <c r="AY8" s="84" t="n"/>
      <c r="AZ8" s="38" t="n"/>
      <c r="BA8" s="84" t="n"/>
      <c r="BB8" s="38" t="n"/>
      <c r="BC8" s="84" t="n"/>
      <c r="BD8" s="38" t="n"/>
      <c r="BE8" s="84" t="n"/>
      <c r="BF8" s="38" t="n"/>
      <c r="BG8" s="84" t="n"/>
      <c r="BH8" s="38" t="n"/>
      <c r="BI8" s="84" t="n"/>
      <c r="BJ8" s="38" t="n"/>
      <c r="BK8" s="84" t="n"/>
      <c r="BL8" s="38" t="n"/>
      <c r="BM8" s="86" t="n"/>
      <c r="BN8" s="38" t="n"/>
      <c r="BO8" s="86" t="n"/>
      <c r="BP8" s="38" t="n"/>
      <c r="BQ8" s="86" t="n"/>
      <c r="BR8" s="38" t="n"/>
      <c r="BS8" s="86" t="n"/>
      <c r="BT8" s="38" t="n"/>
      <c r="BU8" s="58" t="n"/>
      <c r="BV8" s="38" t="n"/>
      <c r="BW8" s="86" t="n"/>
      <c r="BX8" s="38" t="n"/>
      <c r="BY8" s="86" t="n"/>
      <c r="BZ8" s="38" t="n"/>
      <c r="CA8" s="86" t="n"/>
      <c r="CB8" s="38" t="n"/>
      <c r="CC8" s="84" t="n"/>
      <c r="CD8" s="38" t="n"/>
      <c r="CE8" s="84" t="n"/>
      <c r="CF8" s="38" t="n"/>
      <c r="CG8" s="86" t="n"/>
      <c r="CH8" s="38" t="n"/>
      <c r="CI8" s="86" t="n"/>
      <c r="CJ8" s="136" t="n"/>
      <c r="CK8" s="86" t="n"/>
      <c r="CL8" s="136" t="n"/>
      <c r="CM8" s="86" t="n"/>
      <c r="CN8" s="8" t="n"/>
      <c r="CO8" s="86" t="n"/>
      <c r="CP8" s="60" t="n"/>
      <c r="CQ8" s="81" t="n"/>
      <c r="CR8" s="136" t="n"/>
      <c r="CS8" s="86" t="n"/>
      <c r="CT8" s="136" t="n"/>
      <c r="CU8" s="86" t="n"/>
      <c r="CV8" s="60" t="n"/>
      <c r="CW8" s="81" t="n"/>
      <c r="CX8" s="136" t="n"/>
      <c r="CY8" s="86" t="n"/>
      <c r="CZ8" s="38" t="n"/>
      <c r="DA8" s="86" t="n"/>
      <c r="DB8" s="59" t="n"/>
      <c r="DC8" s="81" t="n"/>
      <c r="DD8" s="38" t="n"/>
      <c r="DE8" s="86" t="n"/>
      <c r="DF8" s="38" t="n"/>
      <c r="DG8" s="84" t="n"/>
      <c r="DH8" s="38" t="n"/>
      <c r="DI8" s="86" t="n"/>
      <c r="DJ8" s="38" t="n"/>
      <c r="DK8" s="86" t="n"/>
      <c r="DL8" s="38" t="n"/>
      <c r="DM8" s="84" t="n"/>
      <c r="DN8" s="38" t="n"/>
      <c r="DO8" s="81" t="n"/>
      <c r="DP8" s="38" t="n"/>
      <c r="DQ8" s="58" t="n"/>
      <c r="DR8" s="136" t="n"/>
      <c r="DS8" s="86" t="n"/>
      <c r="DT8" s="38" t="n"/>
      <c r="DU8" s="57" t="n"/>
      <c r="DV8" s="38" t="n"/>
      <c r="DW8" s="58" t="n"/>
      <c r="DX8" s="136" t="n"/>
      <c r="DY8" s="60" t="n"/>
      <c r="DZ8" s="136" t="n"/>
      <c r="EA8" s="137" t="n"/>
      <c r="EB8" s="136" t="n"/>
      <c r="EC8" s="137" t="n"/>
      <c r="ED8" s="8" t="n"/>
      <c r="EE8" s="10" t="n"/>
      <c r="EF8" s="56" t="n"/>
      <c r="EG8" s="9" t="n"/>
      <c r="EH8" s="8" t="n"/>
      <c r="EI8" s="10" t="n"/>
      <c r="EJ8" s="8" t="n"/>
      <c r="EK8" s="10" t="n"/>
      <c r="EL8" s="8" t="n"/>
      <c r="EM8" s="10" t="n"/>
      <c r="EN8" s="136" t="n"/>
      <c r="EO8" s="137" t="n"/>
      <c r="EP8" s="136" t="n"/>
      <c r="EQ8" s="137" t="n"/>
      <c r="ER8" s="136" t="n"/>
      <c r="ES8" s="137" t="n"/>
      <c r="ET8" s="136" t="n"/>
      <c r="EU8" s="137" t="n"/>
      <c r="EV8" s="136" t="n"/>
      <c r="EW8" s="137" t="n"/>
      <c r="EX8" s="56" t="n"/>
      <c r="EY8" s="60" t="n"/>
      <c r="EZ8" s="8" t="n"/>
      <c r="FA8" s="137" t="n"/>
      <c r="FB8" s="8" t="n"/>
      <c r="FC8" s="137" t="n"/>
      <c r="FD8" s="8" t="n"/>
      <c r="FE8" s="137" t="n"/>
      <c r="FF8" s="8" t="n"/>
      <c r="FG8" s="137" t="n"/>
      <c r="FH8" s="8" t="n"/>
      <c r="FI8" s="137" t="n"/>
      <c r="FJ8" s="56" t="n"/>
      <c r="FK8" s="56" t="n"/>
      <c r="FL8" s="61" t="n"/>
      <c r="FM8" s="60" t="n"/>
      <c r="FN8" s="136" t="n"/>
      <c r="FO8" s="137" t="n"/>
      <c r="FP8" s="136" t="n"/>
      <c r="FQ8" s="137" t="n"/>
      <c r="FR8" s="136" t="n"/>
      <c r="FS8" s="137" t="n"/>
      <c r="FT8" s="136" t="n"/>
      <c r="FU8" s="137" t="n"/>
      <c r="FV8" s="136" t="n"/>
      <c r="FW8" s="137" t="n"/>
      <c r="FX8" s="136" t="n"/>
      <c r="FY8" s="60" t="n"/>
      <c r="FZ8" s="136" t="n"/>
      <c r="GA8" s="60" t="n"/>
      <c r="GB8" s="136" t="n"/>
      <c r="GC8" s="60" t="n"/>
      <c r="GD8" s="136" t="n"/>
      <c r="GE8" s="60" t="n"/>
      <c r="GF8" s="136" t="n"/>
      <c r="GG8" s="60" t="n"/>
      <c r="GH8" s="8" t="n"/>
      <c r="GI8" s="60" t="n"/>
      <c r="GJ8" s="8" t="n"/>
      <c r="GK8" s="60" t="n"/>
      <c r="GL8" s="136" t="n"/>
      <c r="GM8" s="60" t="n"/>
      <c r="GN8" s="136" t="n"/>
      <c r="GO8" s="137" t="n"/>
      <c r="GP8" s="136" t="n"/>
      <c r="GQ8" s="60" t="n"/>
      <c r="GR8" s="136" t="n"/>
      <c r="GS8" s="60" t="n"/>
      <c r="GT8" s="136" t="n"/>
      <c r="GU8" s="60" t="n"/>
      <c r="GV8" s="136" t="n"/>
      <c r="GW8" s="137" t="n"/>
      <c r="GX8" s="136" t="n"/>
      <c r="GY8" s="60" t="n"/>
      <c r="GZ8" s="136" t="n"/>
      <c r="HA8" s="60" t="n"/>
      <c r="HB8" s="136" t="n"/>
      <c r="HC8" s="60" t="n"/>
      <c r="HD8" s="136" t="n"/>
      <c r="HE8" s="60" t="n"/>
      <c r="HF8" s="136" t="n"/>
      <c r="HG8" s="60" t="n"/>
      <c r="HH8" s="136" t="n"/>
      <c r="HI8" s="60" t="n"/>
      <c r="HJ8" s="136" t="n"/>
      <c r="HK8" s="60" t="n"/>
      <c r="HL8" s="136" t="n"/>
      <c r="HM8" s="60" t="n"/>
      <c r="HN8" s="136" t="n"/>
      <c r="HO8" s="60" t="n"/>
      <c r="HP8" s="136" t="n"/>
      <c r="HQ8" s="60" t="n"/>
      <c r="HR8" s="136" t="n"/>
      <c r="HS8" s="60" t="n"/>
      <c r="HT8" s="136" t="n"/>
      <c r="HU8" s="60" t="n"/>
      <c r="HV8" s="8" t="n"/>
      <c r="HW8" s="137" t="n"/>
      <c r="HX8" s="136" t="n"/>
      <c r="HY8" s="60" t="n"/>
      <c r="HZ8" s="8" t="n"/>
      <c r="IA8" s="60" t="n"/>
      <c r="IB8" s="8" t="n"/>
      <c r="IC8" s="137" t="n"/>
      <c r="ID8" s="56" t="n"/>
      <c r="IE8" s="60" t="n"/>
      <c r="IF8" s="136" t="n"/>
      <c r="IG8" s="60" t="n"/>
      <c r="IH8" s="136" t="n"/>
      <c r="II8" s="60" t="n"/>
      <c r="IJ8" s="136" t="n"/>
      <c r="IK8" s="60" t="n"/>
      <c r="IL8" s="136" t="n"/>
      <c r="IM8" s="60" t="n"/>
      <c r="IN8" s="136" t="n"/>
      <c r="IO8" s="60" t="n"/>
      <c r="IP8" s="8" t="n"/>
      <c r="IQ8" s="137" t="n"/>
      <c r="IR8" s="8" t="n"/>
      <c r="IS8" s="60" t="n"/>
      <c r="IT8" s="136" t="n"/>
      <c r="IU8" s="137" t="n"/>
      <c r="IV8" s="136" t="n"/>
      <c r="IW8" s="137" t="n"/>
      <c r="IX8" s="8" t="n"/>
      <c r="IY8" s="137" t="n"/>
      <c r="IZ8" s="136" t="n"/>
      <c r="JA8" s="137" t="n"/>
      <c r="JB8" s="136" t="n"/>
      <c r="JC8" s="137" t="n"/>
      <c r="JD8" s="8" t="n"/>
      <c r="JE8" s="60" t="n"/>
      <c r="JF8" s="136" t="n"/>
      <c r="JG8" s="137" t="n"/>
      <c r="JH8" s="110" t="n"/>
      <c r="JI8" s="137" t="n"/>
      <c r="JJ8" s="8" t="n"/>
      <c r="JK8" s="10" t="n"/>
      <c r="JL8" s="136" t="n"/>
      <c r="JM8" s="137" t="n"/>
      <c r="JN8" s="136" t="n"/>
      <c r="JO8" s="61" t="n"/>
      <c r="JP8" s="61" t="n"/>
      <c r="JQ8" s="61" t="n"/>
      <c r="JR8" s="61" t="n"/>
      <c r="JS8" s="61" t="n"/>
      <c r="JT8" s="61" t="n"/>
      <c r="JU8" s="61" t="n"/>
      <c r="JV8" s="61" t="n"/>
      <c r="JW8" s="61" t="n"/>
      <c r="JX8" s="61" t="n"/>
      <c r="JY8" s="10" t="n"/>
      <c r="JZ8" s="8" t="n"/>
      <c r="KA8" s="10" t="n"/>
      <c r="KB8" s="65" t="n"/>
      <c r="KC8" s="87" t="n"/>
    </row>
    <row r="9" ht="21.75" customFormat="1" customHeight="1" s="11">
      <c r="A9" s="126" t="n">
        <v>1</v>
      </c>
      <c r="B9" s="175" t="inlineStr">
        <is>
          <t>Батурин А.Ю.</t>
        </is>
      </c>
      <c r="C9" s="176" t="inlineStr">
        <is>
          <t>термист</t>
        </is>
      </c>
      <c r="D9" s="177">
        <f>$D$5</f>
        <v/>
      </c>
      <c r="E9" s="202" t="n">
        <v>144</v>
      </c>
      <c r="F9" s="197" t="n">
        <v>68902.87</v>
      </c>
      <c r="G9" s="217">
        <f>F9/D9</f>
        <v/>
      </c>
      <c r="H9" s="124" t="n"/>
      <c r="I9" s="90">
        <f>H9*100/$E$9</f>
        <v/>
      </c>
      <c r="J9" s="117" t="n"/>
      <c r="K9" s="90">
        <f>J9*100/$E$9</f>
        <v/>
      </c>
      <c r="L9" s="117" t="n"/>
      <c r="M9" s="90">
        <f>L9*100/$E$9</f>
        <v/>
      </c>
      <c r="N9" s="117" t="n"/>
      <c r="O9" s="90">
        <f>N9*100/$E$9</f>
        <v/>
      </c>
      <c r="P9" s="117" t="n"/>
      <c r="Q9" s="121">
        <f>P9*100/$E$9</f>
        <v/>
      </c>
      <c r="R9" s="117" t="n"/>
      <c r="S9" s="120">
        <f>R9*100/$E$9</f>
        <v/>
      </c>
      <c r="T9" s="117" t="n"/>
      <c r="U9" s="90">
        <f>T9*100/$E$9</f>
        <v/>
      </c>
      <c r="V9" s="117" t="n"/>
      <c r="W9" s="90">
        <f>V9*100/$E$9</f>
        <v/>
      </c>
      <c r="X9" s="117" t="n"/>
      <c r="Y9" s="90">
        <f>X9*100/$E$9</f>
        <v/>
      </c>
      <c r="Z9" s="117" t="n"/>
      <c r="AA9" s="90">
        <f>Z9*100/$E$9</f>
        <v/>
      </c>
      <c r="AB9" s="117" t="n"/>
      <c r="AC9" s="90">
        <f>AB9*100/$E$9</f>
        <v/>
      </c>
      <c r="AD9" s="117" t="n"/>
      <c r="AE9" s="120">
        <f>AD9*100/$E$9</f>
        <v/>
      </c>
      <c r="AF9" s="117" t="n"/>
      <c r="AG9" s="120">
        <f>AF9*100/$E$9</f>
        <v/>
      </c>
      <c r="AH9" s="117" t="n">
        <v>8</v>
      </c>
      <c r="AI9" s="90">
        <f>AH9*100/$E$9</f>
        <v/>
      </c>
      <c r="AJ9" s="117" t="n"/>
      <c r="AK9" s="90">
        <f>AJ9*100/$E$9</f>
        <v/>
      </c>
      <c r="AL9" s="117" t="n"/>
      <c r="AM9" s="90">
        <f>AL9*100/$E$9</f>
        <v/>
      </c>
      <c r="AN9" s="117" t="n"/>
      <c r="AO9" s="90">
        <f>AN9*100/$E$9</f>
        <v/>
      </c>
      <c r="AP9" s="117" t="n"/>
      <c r="AQ9" s="90">
        <f>AP9*100/$E$9</f>
        <v/>
      </c>
      <c r="AR9" s="117" t="n"/>
      <c r="AS9" s="90">
        <f>AR9*100/$E$9</f>
        <v/>
      </c>
      <c r="AT9" s="117" t="n"/>
      <c r="AU9" s="90">
        <f>AT9*100/$E$9</f>
        <v/>
      </c>
      <c r="AV9" s="117" t="n"/>
      <c r="AW9" s="90">
        <f>AV9*100/$E$9</f>
        <v/>
      </c>
      <c r="AX9" s="117" t="n">
        <v>18</v>
      </c>
      <c r="AY9" s="90">
        <f>AX9*100/$E$9</f>
        <v/>
      </c>
      <c r="AZ9" s="117" t="n"/>
      <c r="BA9" s="90">
        <f>AZ9*100/$E$9</f>
        <v/>
      </c>
      <c r="BB9" s="117" t="n"/>
      <c r="BC9" s="90">
        <f>BB9*100/$E$9</f>
        <v/>
      </c>
      <c r="BD9" s="117" t="n"/>
      <c r="BE9" s="90">
        <f>BD9*100/$E$9</f>
        <v/>
      </c>
      <c r="BF9" s="117" t="n">
        <v>2</v>
      </c>
      <c r="BG9" s="90">
        <f>BF9*100/$E$9</f>
        <v/>
      </c>
      <c r="BH9" s="117" t="n">
        <v>6</v>
      </c>
      <c r="BI9" s="90">
        <f>BH9*100/$E$9</f>
        <v/>
      </c>
      <c r="BJ9" s="117" t="n">
        <v>9</v>
      </c>
      <c r="BK9" s="90">
        <f>BJ9*100/$E$9</f>
        <v/>
      </c>
      <c r="BL9" s="117" t="n">
        <v>4</v>
      </c>
      <c r="BM9" s="90">
        <f>BL9*100/$E$9</f>
        <v/>
      </c>
      <c r="BN9" s="117" t="n">
        <v>8</v>
      </c>
      <c r="BO9" s="90">
        <f>BN9*100/$E$9</f>
        <v/>
      </c>
      <c r="BP9" s="117" t="n"/>
      <c r="BQ9" s="90">
        <f>BP9*100/$E$9</f>
        <v/>
      </c>
      <c r="BR9" s="117" t="n"/>
      <c r="BS9" s="90">
        <f>BR9*100/$E$9</f>
        <v/>
      </c>
      <c r="BT9" s="117" t="n"/>
      <c r="BU9" s="90">
        <f>BT9*100/$E$9</f>
        <v/>
      </c>
      <c r="BV9" s="117" t="n"/>
      <c r="BW9" s="90">
        <f>BV9*100/$E$9</f>
        <v/>
      </c>
      <c r="BX9" s="117" t="n">
        <v>3</v>
      </c>
      <c r="BY9" s="90">
        <f>BX9*100/$E$9</f>
        <v/>
      </c>
      <c r="BZ9" s="117" t="n">
        <v>8</v>
      </c>
      <c r="CA9" s="90">
        <f>BZ9*100/$E$9</f>
        <v/>
      </c>
      <c r="CB9" s="117" t="n">
        <v>7</v>
      </c>
      <c r="CC9" s="90">
        <f>CB9*100/$E$9</f>
        <v/>
      </c>
      <c r="CD9" s="117" t="n"/>
      <c r="CE9" s="123">
        <f>CD9*100/$E$9</f>
        <v/>
      </c>
      <c r="CF9" s="117" t="n">
        <v>2</v>
      </c>
      <c r="CG9" s="90">
        <f>CF9*100/$E$9</f>
        <v/>
      </c>
      <c r="CH9" s="117" t="n">
        <v>8</v>
      </c>
      <c r="CI9" s="90">
        <f>CH9*100/$E$9</f>
        <v/>
      </c>
      <c r="CJ9" s="117" t="n">
        <v>4</v>
      </c>
      <c r="CK9" s="90">
        <f>CJ9*100/$E$9</f>
        <v/>
      </c>
      <c r="CL9" s="117" t="n">
        <v>4</v>
      </c>
      <c r="CM9" s="90">
        <f>CL9*100/$E$9</f>
        <v/>
      </c>
      <c r="CN9" s="117" t="n">
        <v>3</v>
      </c>
      <c r="CO9" s="122">
        <f>CN9*100/$E$9</f>
        <v/>
      </c>
      <c r="CP9" s="117" t="n">
        <v>4</v>
      </c>
      <c r="CQ9" s="90">
        <f>CP9*100/$E$9</f>
        <v/>
      </c>
      <c r="CR9" s="117" t="n">
        <v>2</v>
      </c>
      <c r="CS9" s="121">
        <f>CR9*100/$E$9</f>
        <v/>
      </c>
      <c r="CT9" s="117" t="n">
        <v>4</v>
      </c>
      <c r="CU9" s="121">
        <f>CT9*100/$E$9</f>
        <v/>
      </c>
      <c r="CV9" s="117" t="n">
        <v>6</v>
      </c>
      <c r="CW9" s="121">
        <f>CV9*100/$E$9</f>
        <v/>
      </c>
      <c r="CX9" s="117" t="n">
        <v>4</v>
      </c>
      <c r="CY9" s="121">
        <f>CX9*100/$E$9</f>
        <v/>
      </c>
      <c r="CZ9" s="117" t="n">
        <v>2</v>
      </c>
      <c r="DA9" s="121">
        <f>CZ9*100/$E$9</f>
        <v/>
      </c>
      <c r="DB9" s="117" t="n"/>
      <c r="DC9" s="121">
        <f>DB9*100/$E$9</f>
        <v/>
      </c>
      <c r="DD9" s="117" t="n"/>
      <c r="DE9" s="121">
        <f>DD9*100/$E$9</f>
        <v/>
      </c>
      <c r="DF9" s="117" t="n"/>
      <c r="DG9" s="121">
        <f>DF9*100/$E$9</f>
        <v/>
      </c>
      <c r="DH9" s="117" t="n">
        <v>7</v>
      </c>
      <c r="DI9" s="121">
        <f>DH9*100/$E$9</f>
        <v/>
      </c>
      <c r="DJ9" s="117" t="n"/>
      <c r="DK9" s="121">
        <f>DJ9*100/$E$9</f>
        <v/>
      </c>
      <c r="DL9" s="117" t="n"/>
      <c r="DM9" s="121">
        <f>DL9*100/$E$9</f>
        <v/>
      </c>
      <c r="DN9" s="117" t="n"/>
      <c r="DO9" s="121">
        <f>DN9*100/$E$9</f>
        <v/>
      </c>
      <c r="DP9" s="117" t="n"/>
      <c r="DQ9" s="121">
        <f>DP9*100/$E$9</f>
        <v/>
      </c>
      <c r="DR9" s="117" t="n"/>
      <c r="DS9" s="121">
        <f>DR9*100/$E$9</f>
        <v/>
      </c>
      <c r="DT9" s="117" t="n"/>
      <c r="DU9" s="121">
        <f>DT9*100/$E$9</f>
        <v/>
      </c>
      <c r="DV9" s="117" t="n"/>
      <c r="DW9" s="121">
        <f>DV9*100/$E$9</f>
        <v/>
      </c>
      <c r="DX9" s="117" t="n"/>
      <c r="DY9" s="121">
        <f>DX9*100/$E$9</f>
        <v/>
      </c>
      <c r="DZ9" s="117" t="n"/>
      <c r="EA9" s="121">
        <f>DZ9*100/$E$9</f>
        <v/>
      </c>
      <c r="EB9" s="117" t="n"/>
      <c r="EC9" s="121">
        <f>EB9*100/$E$9</f>
        <v/>
      </c>
      <c r="ED9" s="117" t="n"/>
      <c r="EE9" s="121">
        <f>ED9*100/$E$9</f>
        <v/>
      </c>
      <c r="EF9" s="117" t="n"/>
      <c r="EG9" s="121">
        <f>EF9*100/$E$9</f>
        <v/>
      </c>
      <c r="EH9" s="117" t="n"/>
      <c r="EI9" s="121">
        <f>EH9*100/$E$9</f>
        <v/>
      </c>
      <c r="EJ9" s="117" t="n"/>
      <c r="EK9" s="121">
        <f>EJ9*100/$E$9</f>
        <v/>
      </c>
      <c r="EL9" s="117" t="n"/>
      <c r="EM9" s="121">
        <f>EL9*100/$E$9</f>
        <v/>
      </c>
      <c r="EN9" s="117" t="n"/>
      <c r="EO9" s="121">
        <f>EN9*100/$E$9</f>
        <v/>
      </c>
      <c r="EP9" s="117" t="n"/>
      <c r="EQ9" s="121">
        <f>EP9*100/$E$9</f>
        <v/>
      </c>
      <c r="ER9" s="117" t="n"/>
      <c r="ES9" s="121">
        <f>ER9*100/$E$9</f>
        <v/>
      </c>
      <c r="ET9" s="117" t="n"/>
      <c r="EU9" s="121">
        <f>ET9*100/$E$9</f>
        <v/>
      </c>
      <c r="EV9" s="117" t="n"/>
      <c r="EW9" s="121">
        <f>EV9*100/$E$9</f>
        <v/>
      </c>
      <c r="EX9" s="117" t="n"/>
      <c r="EY9" s="121">
        <f>EX9*100/$E$9</f>
        <v/>
      </c>
      <c r="EZ9" s="117" t="n"/>
      <c r="FA9" s="121">
        <f>EZ9*100/$E$9</f>
        <v/>
      </c>
      <c r="FB9" s="117" t="n"/>
      <c r="FC9" s="121">
        <f>FB9*100/$E$9</f>
        <v/>
      </c>
      <c r="FD9" s="117" t="n"/>
      <c r="FE9" s="121">
        <f>FD9*100/$E$9</f>
        <v/>
      </c>
      <c r="FF9" s="117" t="n"/>
      <c r="FG9" s="121">
        <f>FF9*100/$E$9</f>
        <v/>
      </c>
      <c r="FH9" s="117" t="n"/>
      <c r="FI9" s="121">
        <f>FH9*100/$E$9</f>
        <v/>
      </c>
      <c r="FJ9" s="117" t="n"/>
      <c r="FK9" s="121">
        <f>FJ9*100/$E$9</f>
        <v/>
      </c>
      <c r="FL9" s="117" t="n"/>
      <c r="FM9" s="121">
        <f>FL9*100/$E$9</f>
        <v/>
      </c>
      <c r="FN9" s="117" t="n"/>
      <c r="FO9" s="121">
        <f>FN9*100/$E$9</f>
        <v/>
      </c>
      <c r="FP9" s="117" t="n"/>
      <c r="FQ9" s="121">
        <f>FP9*100/$E$9</f>
        <v/>
      </c>
      <c r="FR9" s="117" t="n"/>
      <c r="FS9" s="121">
        <f>FR9*100/$E$9</f>
        <v/>
      </c>
      <c r="FT9" s="117" t="n"/>
      <c r="FU9" s="121">
        <f>FT9*100/$E$9</f>
        <v/>
      </c>
      <c r="FV9" s="117" t="n"/>
      <c r="FW9" s="121">
        <f>FV9*100/$E$9</f>
        <v/>
      </c>
      <c r="FX9" s="117" t="n"/>
      <c r="FY9" s="90">
        <f>FX9*100/$E$9</f>
        <v/>
      </c>
      <c r="FZ9" s="117" t="n"/>
      <c r="GA9" s="90">
        <f>FZ9*100/$E$9</f>
        <v/>
      </c>
      <c r="GB9" s="117" t="n"/>
      <c r="GC9" s="90">
        <f>GB9*100/$E$9</f>
        <v/>
      </c>
      <c r="GD9" s="117" t="n"/>
      <c r="GE9" s="90">
        <f>GD9*100/$E$9</f>
        <v/>
      </c>
      <c r="GF9" s="117" t="n"/>
      <c r="GG9" s="90">
        <f>GF9*100/$E$9</f>
        <v/>
      </c>
      <c r="GH9" s="117" t="n"/>
      <c r="GI9" s="90">
        <f>GH9*100/$E$9</f>
        <v/>
      </c>
      <c r="GJ9" s="117" t="n"/>
      <c r="GK9" s="121">
        <f>GJ9*100/$E$9</f>
        <v/>
      </c>
      <c r="GL9" s="117" t="n"/>
      <c r="GM9" s="90">
        <f>GL9*100/$E$9</f>
        <v/>
      </c>
      <c r="GN9" s="117" t="n"/>
      <c r="GO9" s="121">
        <f>GN9*100/$E$9</f>
        <v/>
      </c>
      <c r="GP9" s="117" t="n"/>
      <c r="GQ9" s="90">
        <f>GP9*100/$E$9</f>
        <v/>
      </c>
      <c r="GR9" s="117" t="n"/>
      <c r="GS9" s="121">
        <f>GR9*100/$E$9</f>
        <v/>
      </c>
      <c r="GT9" s="117" t="n"/>
      <c r="GU9" s="121">
        <f>GT9*100/$E$9</f>
        <v/>
      </c>
      <c r="GV9" s="117" t="n"/>
      <c r="GW9" s="121">
        <f>GV9*100/$E$9</f>
        <v/>
      </c>
      <c r="GX9" s="117" t="n"/>
      <c r="GY9" s="90">
        <f>GX9*100/$E$9</f>
        <v/>
      </c>
      <c r="GZ9" s="117" t="n"/>
      <c r="HA9" s="90">
        <f>GZ9*100/$E$9</f>
        <v/>
      </c>
      <c r="HB9" s="117" t="n"/>
      <c r="HC9" s="90">
        <f>HB9*100/$E$9</f>
        <v/>
      </c>
      <c r="HD9" s="117" t="n"/>
      <c r="HE9" s="90">
        <f>HD9*100/$E$9</f>
        <v/>
      </c>
      <c r="HF9" s="117" t="n"/>
      <c r="HG9" s="90">
        <f>HF9*100/$E$9</f>
        <v/>
      </c>
      <c r="HH9" s="117" t="n"/>
      <c r="HI9" s="90">
        <f>HH9*100/$E$9</f>
        <v/>
      </c>
      <c r="HJ9" s="117" t="n"/>
      <c r="HK9" s="90">
        <f>HJ9*100/$E$9</f>
        <v/>
      </c>
      <c r="HL9" s="117" t="n"/>
      <c r="HM9" s="90">
        <f>HL9*100/$E$9</f>
        <v/>
      </c>
      <c r="HN9" s="117" t="n"/>
      <c r="HO9" s="90">
        <f>HN9*100/$E$9</f>
        <v/>
      </c>
      <c r="HP9" s="117" t="n"/>
      <c r="HQ9" s="90">
        <f>HP9*100/$E$9</f>
        <v/>
      </c>
      <c r="HR9" s="117" t="n"/>
      <c r="HS9" s="90">
        <f>HR9*100/$E$9</f>
        <v/>
      </c>
      <c r="HT9" s="117" t="n"/>
      <c r="HU9" s="90">
        <f>HT9*100/$E$9</f>
        <v/>
      </c>
      <c r="HV9" s="117" t="n"/>
      <c r="HW9" s="90">
        <f>HV9*100/$E$9</f>
        <v/>
      </c>
      <c r="HX9" s="117" t="n"/>
      <c r="HY9" s="90">
        <f>HX9*100/$E$9</f>
        <v/>
      </c>
      <c r="HZ9" s="117" t="n"/>
      <c r="IA9" s="121">
        <f>HZ9*100/$E$9</f>
        <v/>
      </c>
      <c r="IB9" s="117" t="n"/>
      <c r="IC9" s="121">
        <f>IB9*100/$E$9</f>
        <v/>
      </c>
      <c r="ID9" s="117" t="n"/>
      <c r="IE9" s="121">
        <f>ID9*100/$E$9</f>
        <v/>
      </c>
      <c r="IF9" s="117" t="n"/>
      <c r="IG9" s="121">
        <f>IF9*100/$E$9</f>
        <v/>
      </c>
      <c r="IH9" s="117" t="n"/>
      <c r="II9" s="121">
        <f>IH9*100/$E$9</f>
        <v/>
      </c>
      <c r="IJ9" s="117" t="n"/>
      <c r="IK9" s="121">
        <f>IJ9*100/$E$9</f>
        <v/>
      </c>
      <c r="IL9" s="117" t="n"/>
      <c r="IM9" s="90">
        <f>IL9*100/$E$9</f>
        <v/>
      </c>
      <c r="IN9" s="117" t="n"/>
      <c r="IO9" s="90">
        <f>IN9*100/$E$9</f>
        <v/>
      </c>
      <c r="IP9" s="117" t="n"/>
      <c r="IQ9" s="121">
        <f>IP9*100/$E$9</f>
        <v/>
      </c>
      <c r="IR9" s="117" t="n">
        <v>11</v>
      </c>
      <c r="IS9" s="121">
        <f>IR9*100/$E$9</f>
        <v/>
      </c>
      <c r="IT9" s="117" t="n"/>
      <c r="IU9" s="121">
        <f>IT9*100/$E$9</f>
        <v/>
      </c>
      <c r="IV9" s="117" t="n"/>
      <c r="IW9" s="121">
        <f>IV9*100/$E$9</f>
        <v/>
      </c>
      <c r="IX9" s="117" t="n"/>
      <c r="IY9" s="121">
        <f>IX9*100/$E$9</f>
        <v/>
      </c>
      <c r="IZ9" s="117" t="n"/>
      <c r="JA9" s="121">
        <f>IZ9*100/$E$9</f>
        <v/>
      </c>
      <c r="JB9" s="117" t="n"/>
      <c r="JC9" s="121">
        <f>JB9*100/$E$9</f>
        <v/>
      </c>
      <c r="JD9" s="117" t="n"/>
      <c r="JE9" s="121">
        <f>JD9*100/$E$9</f>
        <v/>
      </c>
      <c r="JF9" s="119" t="n">
        <v>8</v>
      </c>
      <c r="JG9" s="121">
        <f>JF9*100/$E$9</f>
        <v/>
      </c>
      <c r="JH9" s="117" t="n"/>
      <c r="JI9" s="121">
        <f>JH9*100/$E$9</f>
        <v/>
      </c>
      <c r="JJ9" s="117" t="n"/>
      <c r="JK9" s="121">
        <f>JJ9*100/$E$9</f>
        <v/>
      </c>
      <c r="JL9" s="117" t="n">
        <v>2</v>
      </c>
      <c r="JM9" s="121">
        <f>JL9*100/$E$9</f>
        <v/>
      </c>
      <c r="JN9" s="117" t="n"/>
      <c r="JO9" s="122">
        <f>JN9*100/$E$9</f>
        <v/>
      </c>
      <c r="JP9" s="117" t="n"/>
      <c r="JQ9" s="122">
        <f>JP9*100/$E$9</f>
        <v/>
      </c>
      <c r="JR9" s="117" t="n"/>
      <c r="JS9" s="122">
        <f>JR9*100/$E$9</f>
        <v/>
      </c>
      <c r="JT9" s="117" t="n"/>
      <c r="JU9" s="122">
        <f>JT9*100/$E$9</f>
        <v/>
      </c>
      <c r="JV9" s="108" t="n"/>
      <c r="JW9" s="122">
        <f>JV9*100/$E$9</f>
        <v/>
      </c>
      <c r="JX9" s="108" t="n"/>
      <c r="JY9" s="122">
        <f>JX9*100/$E$9</f>
        <v/>
      </c>
      <c r="JZ9" s="55">
        <f>JN9+JP9+JR9+JT9+JV9+JX9</f>
        <v/>
      </c>
      <c r="KA9" s="53">
        <f>JO9+JQ9+JS9+JU9+JW9+JY9</f>
        <v/>
      </c>
      <c r="KB9" s="185">
        <f>H9+J9+L9+N9+P9+R9+T9+V9+X9+Z9+AB9+AD9+AF9+AH9+AJ9+AL9+AN9+AP9+AR9+AT9+AV9+AX9+AZ9+BB9+BD9+BF9+BH9+BJ9+BL9+BN9+BP9+BR9+BT9+BV9+BX9+BZ9+CB9+CD9+CF9+CH9+CZ9+DB9+DD9+DF9+DH9+DJ9+DL9+DN9+DP9+DR9+DT9+DV9+DX9+DZ9+EB9+ED9+EF9+EH9+EJ9+EL9+EN9+EP9+ER9+ET9+EV9+FN9+FP9+FR9+FT9+FV9+FX9+FZ9+GB9+GD9+GF9+GH9+GJ9+GL9+GN9+GP9+GR9+GT9+GV9+GX9+GZ9+HB9+HD9+HF9+HH9+HJ9+HL9+HN9+HP9+HR9+HT9+HV9+HX9+HZ9+IB9+ID9+IF9+IH9+IJ9+IL9+IN9+IP9+IR9+IT9+IV9+IX9+IZ9+JB9+JD9+JF9+JH9+JJ9+JL9+JZ9+CJ9+CL9+CN9+CP9+CR9+CT9+CV9+CX9+EX9+EZ9+FB9+FD9+FF9+FH9+FJ9+FL9</f>
        <v/>
      </c>
      <c r="KC9" s="66">
        <f>I9+K9+M9+O9+Q9+S9+U9+W9+Y9+AA9+AC9+AE9+AG9+AI9+AK9+AM9+AO9+AQ9+AS9+AU9+AW9+AY9+BA9+BC9+BE9+BG9+BI9+BK9+BM9+BO9+BQ9+BS9+BU9+BW9+BY9+CA9+CC9+CE9+CG9+CI9+DA9+DC9+DE9+DG9+DI9+DK9+DM9+DO9+DQ9+DS9+DU9+DW9+DY9+EA9+EC9+EE9+EG9+EI9+EK9+EM9+EO9+EQ9+ES9+EU9+EW9+FO9+FS9+FU9+FW9+FQ9+FY9+GA9+GC9+GE9+GG9+GI9+GK9+GM9+GO9+GQ9+GS9+GU9+GW9+GY9+HA9+HC9+HE9+HG9+HI9+HK9+HM9+HO9+HQ9+HS9+HU9+HW9+HY9+IA9+IC9+IE9+IG9+II9+IK9+IM9+IO9+IQ9+IS9+IU9+IW9+IY9+JA9+JC9+JE9+JG9+JI9+JK9+JM9+KA9+CK9+CM9+CO9+CQ9+CS9+CU9+CW9+CY9+EY9+FA9+FC9+FE9+FG9+FI9+FK9+FM9</f>
        <v/>
      </c>
      <c r="KD9" s="44">
        <f>JO9+JQ9+JS9+JU9+JW9+JY9</f>
        <v/>
      </c>
      <c r="KE9" s="45">
        <f>KB9=E9</f>
        <v/>
      </c>
      <c r="KF9" s="101">
        <f>E9-KB9</f>
        <v/>
      </c>
    </row>
    <row r="10" ht="21.75" customFormat="1" customHeight="1" s="17">
      <c r="A10" s="126">
        <f>A9+1</f>
        <v/>
      </c>
      <c r="B10" s="175" t="inlineStr">
        <is>
          <t>Блощинский С.В.</t>
        </is>
      </c>
      <c r="C10" s="176" t="inlineStr">
        <is>
          <t>слесарь</t>
        </is>
      </c>
      <c r="D10" s="177">
        <f>$D$5</f>
        <v/>
      </c>
      <c r="E10" s="202" t="n">
        <v>157</v>
      </c>
      <c r="F10" s="178" t="n">
        <v>68902.87</v>
      </c>
      <c r="G10" s="179">
        <f>F10/D10</f>
        <v/>
      </c>
      <c r="H10" s="125" t="n"/>
      <c r="I10" s="90">
        <f>H10*100/$E$10</f>
        <v/>
      </c>
      <c r="J10" s="108" t="n"/>
      <c r="K10" s="90">
        <f>J10*100/$E$10</f>
        <v/>
      </c>
      <c r="L10" s="108" t="n"/>
      <c r="M10" s="90">
        <f>L10*100/$E$10</f>
        <v/>
      </c>
      <c r="N10" s="108" t="n"/>
      <c r="O10" s="90">
        <f>N10*100/$E$10</f>
        <v/>
      </c>
      <c r="P10" s="108" t="n"/>
      <c r="Q10" s="121">
        <f>P10*100/$E$10</f>
        <v/>
      </c>
      <c r="R10" s="108" t="n"/>
      <c r="S10" s="121">
        <f>R10*100/$E$10</f>
        <v/>
      </c>
      <c r="T10" s="108" t="n"/>
      <c r="U10" s="90">
        <f>T10*100/$E$10</f>
        <v/>
      </c>
      <c r="V10" s="108" t="n"/>
      <c r="W10" s="90">
        <f>V10*100/$E$10</f>
        <v/>
      </c>
      <c r="X10" s="108" t="n"/>
      <c r="Y10" s="90">
        <f>X10*100/$E$10</f>
        <v/>
      </c>
      <c r="Z10" s="108" t="n"/>
      <c r="AA10" s="90">
        <f>Z10*100/$E$10</f>
        <v/>
      </c>
      <c r="AB10" s="108" t="n">
        <v>32</v>
      </c>
      <c r="AC10" s="90">
        <f>AB10*100/$E$10</f>
        <v/>
      </c>
      <c r="AD10" s="108" t="n">
        <v>47.5</v>
      </c>
      <c r="AE10" s="121">
        <f>AD10*100/$E$10</f>
        <v/>
      </c>
      <c r="AF10" s="108" t="n"/>
      <c r="AG10" s="121">
        <f>AF10*100/$E$10</f>
        <v/>
      </c>
      <c r="AH10" s="108" t="n"/>
      <c r="AI10" s="90">
        <f>AH10*100/$E$10</f>
        <v/>
      </c>
      <c r="AJ10" s="108" t="n">
        <v>8</v>
      </c>
      <c r="AK10" s="90">
        <f>AJ10*100/$E$10</f>
        <v/>
      </c>
      <c r="AL10" s="108" t="n"/>
      <c r="AM10" s="90">
        <f>AL10*100/$E$10</f>
        <v/>
      </c>
      <c r="AN10" s="108" t="n">
        <v>8</v>
      </c>
      <c r="AO10" s="90">
        <f>AN10*100/$E$10</f>
        <v/>
      </c>
      <c r="AP10" s="108" t="n"/>
      <c r="AQ10" s="90">
        <f>AP10*100/$E$10</f>
        <v/>
      </c>
      <c r="AR10" s="108" t="n"/>
      <c r="AS10" s="90">
        <f>AR10*100/$E$10</f>
        <v/>
      </c>
      <c r="AT10" s="108" t="n"/>
      <c r="AU10" s="90">
        <f>AT10*100/$E$10</f>
        <v/>
      </c>
      <c r="AV10" s="108" t="n"/>
      <c r="AW10" s="90">
        <f>AV10*100/$E$10</f>
        <v/>
      </c>
      <c r="AX10" s="108" t="n"/>
      <c r="AY10" s="90">
        <f>AX10*100/$E$10</f>
        <v/>
      </c>
      <c r="AZ10" s="108" t="n"/>
      <c r="BA10" s="90">
        <f>AZ10*100/$E$10</f>
        <v/>
      </c>
      <c r="BB10" s="108" t="n"/>
      <c r="BC10" s="90">
        <f>BB10*100/$E$10</f>
        <v/>
      </c>
      <c r="BD10" s="108" t="n"/>
      <c r="BE10" s="90">
        <f>BD10*100/$E$10</f>
        <v/>
      </c>
      <c r="BF10" s="108" t="n"/>
      <c r="BG10" s="90">
        <f>BF10*100/$E$10</f>
        <v/>
      </c>
      <c r="BH10" s="108" t="n"/>
      <c r="BI10" s="90">
        <f>BH10*100/$E$10</f>
        <v/>
      </c>
      <c r="BJ10" s="108" t="n"/>
      <c r="BK10" s="90">
        <f>BJ10*100/$E$10</f>
        <v/>
      </c>
      <c r="BL10" s="108" t="n"/>
      <c r="BM10" s="90">
        <f>BL10*100/$E$10</f>
        <v/>
      </c>
      <c r="BN10" s="108" t="n"/>
      <c r="BO10" s="90">
        <f>BN10*100/$E$10</f>
        <v/>
      </c>
      <c r="BP10" s="108" t="n">
        <v>21.5</v>
      </c>
      <c r="BQ10" s="90">
        <f>BP10*100/$E$10</f>
        <v/>
      </c>
      <c r="BR10" s="108" t="n"/>
      <c r="BS10" s="90">
        <f>BR10*100/$E$10</f>
        <v/>
      </c>
      <c r="BT10" s="108" t="n"/>
      <c r="BU10" s="90">
        <f>BT10*100/$E$10</f>
        <v/>
      </c>
      <c r="BV10" s="108" t="n"/>
      <c r="BW10" s="90">
        <f>BV10*100/$E$10</f>
        <v/>
      </c>
      <c r="BX10" s="108" t="n"/>
      <c r="BY10" s="90">
        <f>BX10*100/$E$10</f>
        <v/>
      </c>
      <c r="BZ10" s="108" t="n"/>
      <c r="CA10" s="90">
        <f>BZ10*100/$E$10</f>
        <v/>
      </c>
      <c r="CB10" s="108" t="n"/>
      <c r="CC10" s="90">
        <f>CB10*100/$E$10</f>
        <v/>
      </c>
      <c r="CD10" s="108" t="n"/>
      <c r="CE10" s="90">
        <f>CD10*100/$E$10</f>
        <v/>
      </c>
      <c r="CF10" s="108" t="n"/>
      <c r="CG10" s="90">
        <f>CF10*100/$E$10</f>
        <v/>
      </c>
      <c r="CH10" s="108" t="n"/>
      <c r="CI10" s="90">
        <f>CH10*100/$E$10</f>
        <v/>
      </c>
      <c r="CJ10" s="108" t="n"/>
      <c r="CK10" s="90">
        <f>CJ10*100/$E$10</f>
        <v/>
      </c>
      <c r="CL10" s="108" t="n"/>
      <c r="CM10" s="90">
        <f>CL10*100/$E$10</f>
        <v/>
      </c>
      <c r="CN10" s="108" t="n"/>
      <c r="CO10" s="122">
        <f>CN10*100/$E$10</f>
        <v/>
      </c>
      <c r="CP10" s="108" t="n"/>
      <c r="CQ10" s="90">
        <f>CP10*100/$E$10</f>
        <v/>
      </c>
      <c r="CR10" s="108" t="n"/>
      <c r="CS10" s="121">
        <f>CR10*100/$E$10</f>
        <v/>
      </c>
      <c r="CT10" s="108" t="n"/>
      <c r="CU10" s="121">
        <f>CT10*100/$E$10</f>
        <v/>
      </c>
      <c r="CV10" s="108" t="n"/>
      <c r="CW10" s="121">
        <f>CV10*100/$E$10</f>
        <v/>
      </c>
      <c r="CX10" s="108" t="n"/>
      <c r="CY10" s="121">
        <f>CX10*100/$E$10</f>
        <v/>
      </c>
      <c r="CZ10" s="108" t="n"/>
      <c r="DA10" s="121">
        <f>CZ10*100/$E$10</f>
        <v/>
      </c>
      <c r="DB10" s="108" t="n"/>
      <c r="DC10" s="121">
        <f>DB10*100/$E$10</f>
        <v/>
      </c>
      <c r="DD10" s="108" t="n"/>
      <c r="DE10" s="121">
        <f>DD10*100/$E$10</f>
        <v/>
      </c>
      <c r="DF10" s="108" t="n"/>
      <c r="DG10" s="121">
        <f>DF10*100/$E$10</f>
        <v/>
      </c>
      <c r="DH10" s="108" t="n"/>
      <c r="DI10" s="121">
        <f>DH10*100/$E$10</f>
        <v/>
      </c>
      <c r="DJ10" s="108" t="n"/>
      <c r="DK10" s="121">
        <f>DJ10*100/$E$10</f>
        <v/>
      </c>
      <c r="DL10" s="108" t="n"/>
      <c r="DM10" s="121">
        <f>DL10*100/$E$10</f>
        <v/>
      </c>
      <c r="DN10" s="108" t="n"/>
      <c r="DO10" s="121">
        <f>DN10*100/$E$10</f>
        <v/>
      </c>
      <c r="DP10" s="108" t="n"/>
      <c r="DQ10" s="121">
        <f>DP10*100/$E$10</f>
        <v/>
      </c>
      <c r="DR10" s="108" t="n"/>
      <c r="DS10" s="121">
        <f>DR10*100/$E$10</f>
        <v/>
      </c>
      <c r="DT10" s="108" t="n"/>
      <c r="DU10" s="121">
        <f>DT10*100/$E$10</f>
        <v/>
      </c>
      <c r="DV10" s="108" t="n"/>
      <c r="DW10" s="121">
        <f>DV10*100/$E$10</f>
        <v/>
      </c>
      <c r="DX10" s="108" t="n"/>
      <c r="DY10" s="121">
        <f>DX10*100/$E$10</f>
        <v/>
      </c>
      <c r="DZ10" s="108" t="n"/>
      <c r="EA10" s="121">
        <f>DZ10*100/$E$10</f>
        <v/>
      </c>
      <c r="EB10" s="108" t="n"/>
      <c r="EC10" s="121">
        <f>EB10*100/$E$10</f>
        <v/>
      </c>
      <c r="ED10" s="108" t="n"/>
      <c r="EE10" s="121">
        <f>ED10*100/$E$10</f>
        <v/>
      </c>
      <c r="EF10" s="108" t="n"/>
      <c r="EG10" s="121">
        <f>EF10*100/$E$10</f>
        <v/>
      </c>
      <c r="EH10" s="108" t="n"/>
      <c r="EI10" s="121">
        <f>EH10*100/$E$10</f>
        <v/>
      </c>
      <c r="EJ10" s="108" t="n"/>
      <c r="EK10" s="121">
        <f>EJ10*100/$E$10</f>
        <v/>
      </c>
      <c r="EL10" s="108" t="n"/>
      <c r="EM10" s="121">
        <f>EL10*100/$E$10</f>
        <v/>
      </c>
      <c r="EN10" s="108" t="n"/>
      <c r="EO10" s="121">
        <f>EN10*100/$E$10</f>
        <v/>
      </c>
      <c r="EP10" s="108" t="n"/>
      <c r="EQ10" s="121">
        <f>EP10*100/$E$10</f>
        <v/>
      </c>
      <c r="ER10" s="108" t="n"/>
      <c r="ES10" s="121">
        <f>ER10*100/$E$10</f>
        <v/>
      </c>
      <c r="ET10" s="108" t="n"/>
      <c r="EU10" s="121">
        <f>ET10*100/$E$10</f>
        <v/>
      </c>
      <c r="EV10" s="108" t="n"/>
      <c r="EW10" s="121">
        <f>EV10*100/$E$10</f>
        <v/>
      </c>
      <c r="EX10" s="108" t="n"/>
      <c r="EY10" s="121">
        <f>EX10*100/$E$10</f>
        <v/>
      </c>
      <c r="EZ10" s="108" t="n"/>
      <c r="FA10" s="121">
        <f>EZ10*100/$E$10</f>
        <v/>
      </c>
      <c r="FB10" s="108" t="n"/>
      <c r="FC10" s="121">
        <f>FB10*100/$E$10</f>
        <v/>
      </c>
      <c r="FD10" s="108" t="n"/>
      <c r="FE10" s="121">
        <f>FD10*100/$E$10</f>
        <v/>
      </c>
      <c r="FF10" s="108" t="n"/>
      <c r="FG10" s="121">
        <f>FF10*100/$E$10</f>
        <v/>
      </c>
      <c r="FH10" s="108" t="n"/>
      <c r="FI10" s="121">
        <f>FH10*100/$E$10</f>
        <v/>
      </c>
      <c r="FJ10" s="108" t="n"/>
      <c r="FK10" s="121">
        <f>FJ10*100/$E$10</f>
        <v/>
      </c>
      <c r="FL10" s="108" t="n"/>
      <c r="FM10" s="121">
        <f>FL10*100/$E$10</f>
        <v/>
      </c>
      <c r="FN10" s="108" t="n"/>
      <c r="FO10" s="121">
        <f>FN10*100/$E$10</f>
        <v/>
      </c>
      <c r="FP10" s="108" t="n"/>
      <c r="FQ10" s="121">
        <f>FP10*100/$E$10</f>
        <v/>
      </c>
      <c r="FR10" s="108" t="n"/>
      <c r="FS10" s="121">
        <f>FR10*100/$E$10</f>
        <v/>
      </c>
      <c r="FT10" s="108" t="n"/>
      <c r="FU10" s="121">
        <f>FT10*100/$E$10</f>
        <v/>
      </c>
      <c r="FV10" s="108" t="n"/>
      <c r="FW10" s="121">
        <f>FV10*100/$E$10</f>
        <v/>
      </c>
      <c r="FX10" s="108" t="n"/>
      <c r="FY10" s="121">
        <f>FX10*100/$E$10</f>
        <v/>
      </c>
      <c r="FZ10" s="108" t="n"/>
      <c r="GA10" s="121">
        <f>FZ10*100/$E$10</f>
        <v/>
      </c>
      <c r="GB10" s="108" t="n"/>
      <c r="GC10" s="121">
        <f>GB10*100/$E$10</f>
        <v/>
      </c>
      <c r="GD10" s="108" t="n"/>
      <c r="GE10" s="121">
        <f>GD10*100/$E$10</f>
        <v/>
      </c>
      <c r="GF10" s="108" t="n"/>
      <c r="GG10" s="121">
        <f>GF10*100/$E$10</f>
        <v/>
      </c>
      <c r="GH10" s="108" t="n"/>
      <c r="GI10" s="121">
        <f>GH10*100/$E$10</f>
        <v/>
      </c>
      <c r="GJ10" s="108" t="n"/>
      <c r="GK10" s="121">
        <f>GJ10*100/$E$10</f>
        <v/>
      </c>
      <c r="GL10" s="108" t="n"/>
      <c r="GM10" s="121">
        <f>GL10*100/$E$10</f>
        <v/>
      </c>
      <c r="GN10" s="108" t="n"/>
      <c r="GO10" s="121">
        <f>GN10*100/$E$10</f>
        <v/>
      </c>
      <c r="GP10" s="108" t="n"/>
      <c r="GQ10" s="121">
        <f>GP10*100/$E$10</f>
        <v/>
      </c>
      <c r="GR10" s="108" t="n"/>
      <c r="GS10" s="121">
        <f>GR10*100/$E$10</f>
        <v/>
      </c>
      <c r="GT10" s="108" t="n"/>
      <c r="GU10" s="121">
        <f>GT10*100/$E$10</f>
        <v/>
      </c>
      <c r="GV10" s="108" t="n"/>
      <c r="GW10" s="121">
        <f>GV10*100/$E$10</f>
        <v/>
      </c>
      <c r="GX10" s="108" t="n"/>
      <c r="GY10" s="121">
        <f>GX10*100/$E$10</f>
        <v/>
      </c>
      <c r="GZ10" s="108" t="n"/>
      <c r="HA10" s="121">
        <f>GZ10*100/$E$10</f>
        <v/>
      </c>
      <c r="HB10" s="108" t="n"/>
      <c r="HC10" s="121">
        <f>HB10*100/$E$10</f>
        <v/>
      </c>
      <c r="HD10" s="108" t="n"/>
      <c r="HE10" s="121">
        <f>HD10*100/$E$10</f>
        <v/>
      </c>
      <c r="HF10" s="108" t="n"/>
      <c r="HG10" s="121">
        <f>HF10*100/$E$10</f>
        <v/>
      </c>
      <c r="HH10" s="108" t="n"/>
      <c r="HI10" s="121">
        <f>HH10*100/$E$10</f>
        <v/>
      </c>
      <c r="HJ10" s="108" t="n"/>
      <c r="HK10" s="121">
        <f>HJ10*100/$E$10</f>
        <v/>
      </c>
      <c r="HL10" s="108" t="n"/>
      <c r="HM10" s="121">
        <f>HL10*100/$E$10</f>
        <v/>
      </c>
      <c r="HN10" s="108" t="n"/>
      <c r="HO10" s="121">
        <f>HN10*100/$E$10</f>
        <v/>
      </c>
      <c r="HP10" s="108" t="n"/>
      <c r="HQ10" s="121">
        <f>HP10*100/$E$10</f>
        <v/>
      </c>
      <c r="HR10" s="108" t="n"/>
      <c r="HS10" s="121">
        <f>HR10*100/$E$10</f>
        <v/>
      </c>
      <c r="HT10" s="108" t="n"/>
      <c r="HU10" s="121">
        <f>HT10*100/$E$10</f>
        <v/>
      </c>
      <c r="HV10" s="108" t="n"/>
      <c r="HW10" s="121">
        <f>HV10*100/$E$10</f>
        <v/>
      </c>
      <c r="HX10" s="108" t="n"/>
      <c r="HY10" s="121">
        <f>HX10*100/$E$10</f>
        <v/>
      </c>
      <c r="HZ10" s="108" t="n"/>
      <c r="IA10" s="121">
        <f>HZ10*100/$E$10</f>
        <v/>
      </c>
      <c r="IB10" s="108" t="n"/>
      <c r="IC10" s="121">
        <f>IB10*100/$E$10</f>
        <v/>
      </c>
      <c r="ID10" s="108" t="n"/>
      <c r="IE10" s="121">
        <f>ID10*100/$E$10</f>
        <v/>
      </c>
      <c r="IF10" s="108" t="n"/>
      <c r="IG10" s="121">
        <f>IF10*100/$E$10</f>
        <v/>
      </c>
      <c r="IH10" s="108" t="n"/>
      <c r="II10" s="121">
        <f>IH10*100/$E$10</f>
        <v/>
      </c>
      <c r="IJ10" s="108" t="n"/>
      <c r="IK10" s="121">
        <f>IJ10*100/$E$10</f>
        <v/>
      </c>
      <c r="IL10" s="108" t="n"/>
      <c r="IM10" s="121">
        <f>IL10*100/$E$10</f>
        <v/>
      </c>
      <c r="IN10" s="108" t="n"/>
      <c r="IO10" s="121">
        <f>IN10*100/$E$10</f>
        <v/>
      </c>
      <c r="IP10" s="108" t="n"/>
      <c r="IQ10" s="121">
        <f>IP10*100/$E$10</f>
        <v/>
      </c>
      <c r="IR10" s="108" t="n"/>
      <c r="IS10" s="121">
        <f>IR10*100/$E$10</f>
        <v/>
      </c>
      <c r="IT10" s="108" t="n"/>
      <c r="IU10" s="121">
        <f>IT10*100/$E$10</f>
        <v/>
      </c>
      <c r="IV10" s="108" t="n"/>
      <c r="IW10" s="121">
        <f>IV10*100/$E$10</f>
        <v/>
      </c>
      <c r="IX10" s="108" t="n">
        <v>14</v>
      </c>
      <c r="IY10" s="121">
        <f>IX10*100/$E$10</f>
        <v/>
      </c>
      <c r="IZ10" s="108" t="n"/>
      <c r="JA10" s="121">
        <f>IZ10*100/$E$10</f>
        <v/>
      </c>
      <c r="JB10" s="108" t="n"/>
      <c r="JC10" s="121">
        <f>JB10*100/$E$10</f>
        <v/>
      </c>
      <c r="JD10" s="108" t="n"/>
      <c r="JE10" s="121">
        <f>JD10*100/$E$10</f>
        <v/>
      </c>
      <c r="JF10" s="108" t="n"/>
      <c r="JG10" s="121">
        <f>JF10*100/$E$10</f>
        <v/>
      </c>
      <c r="JH10" s="108" t="n"/>
      <c r="JI10" s="121">
        <f>JH10*100/$E$10</f>
        <v/>
      </c>
      <c r="JJ10" s="108" t="n"/>
      <c r="JK10" s="121">
        <f>JJ10*100/$E$10</f>
        <v/>
      </c>
      <c r="JL10" s="108">
        <f>24-14</f>
        <v/>
      </c>
      <c r="JM10" s="121">
        <f>JL10*100/$E$10</f>
        <v/>
      </c>
      <c r="JN10" s="108" t="n">
        <v>16</v>
      </c>
      <c r="JO10" s="122">
        <f>JN10*100/$E$10</f>
        <v/>
      </c>
      <c r="JP10" s="108" t="n"/>
      <c r="JQ10" s="122">
        <f>JP10*100/$E$10</f>
        <v/>
      </c>
      <c r="JR10" s="108" t="n"/>
      <c r="JS10" s="122">
        <f>JR10*100/$E$10</f>
        <v/>
      </c>
      <c r="JT10" s="108" t="n"/>
      <c r="JU10" s="122">
        <f>JT10*100/$E$10</f>
        <v/>
      </c>
      <c r="JV10" s="108" t="n"/>
      <c r="JW10" s="122">
        <f>JV10*100/$E$10</f>
        <v/>
      </c>
      <c r="JX10" s="108" t="n"/>
      <c r="JY10" s="122">
        <f>JX10*100/$E$10</f>
        <v/>
      </c>
      <c r="JZ10" s="55">
        <f>JN10+JP10+JR10+JT10+JV10+JX10</f>
        <v/>
      </c>
      <c r="KA10" s="53">
        <f>JO10+JQ10+JS10+JU10+JW10+JY10</f>
        <v/>
      </c>
      <c r="KB10" s="185">
        <f>H10+J10+L10+N10+P10+R10+T10+V10+X10+Z10+AB10+AD10+AF10+AH10+AJ10+AL10+AN10+AP10+AR10+AT10+AV10+AX10+AZ10+BB10+BD10+BF10+BH10+BJ10+BL10+BN10+BP10+BR10+BT10+BV10+BX10+BZ10+CB10+CD10+CF10+CH10+CZ10+DB10+DD10+DF10+DH10+DJ10+DL10+DN10+DP10+DR10+DT10+DV10+DX10+DZ10+EB10+ED10+EF10+EH10+EJ10+EL10+EN10+EP10+ER10+ET10+EV10+FN10+FP10+FR10+FT10+FV10+FX10+FZ10+GB10+GD10+GF10+GH10+GJ10+GL10+GN10+GP10+GR10+GT10+GV10+GX10+GZ10+HB10+HD10+HF10+HH10+HJ10+HL10+HN10+HP10+HR10+HT10+HV10+HX10+HZ10+IB10+ID10+IF10+IH10+IJ10+IL10+IN10+IP10+IR10+IT10+IV10+IX10+IZ10+JB10+JD10+JF10+JH10+JJ10+JL10+JZ10+CJ10+CL10+CN10+CP10+CR10+CT10+CV10+CX10+EX10+EZ10+FB10+FD10+FF10+FH10+FJ10+FL10</f>
        <v/>
      </c>
      <c r="KC10" s="66">
        <f>I10+K10+M10+O10+Q10+S10+U10+W10+Y10+AA10+AC10+AE10+AG10+AI10+AK10+AM10+AO10+AQ10+AS10+AU10+AW10+AY10+BA10+BC10+BE10+BG10+BI10+BK10+BM10+BO10+BQ10+BS10+BU10+BW10+BY10+CA10+CC10+CE10+CG10+CI10+DA10+DC10+DE10+DG10+DI10+DK10+DM10+DO10+DQ10+DS10+DU10+DW10+DY10+EA10+EC10+EE10+EG10+EI10+EK10+EM10+EO10+EQ10+ES10+EU10+EW10+FO10+FS10+FU10+FW10+FQ10+FY10+GA10+GC10+GE10+GG10+GI10+GK10+GM10+GO10+GQ10+GS10+GU10+GW10+GY10+HA10+HC10+HE10+HG10+HI10+HK10+HM10+HO10+HQ10+HS10+HU10+HW10+HY10+IA10+IC10+IE10+IG10+II10+IK10+IM10+IO10+IQ10+IS10+IU10+IW10+IY10+JA10+JC10+JE10+JG10+JI10+JK10+JM10+KA10+CK10+CM10+CO10+CQ10+CS10+CU10+CW10+CY10+EY10+FA10+FC10+FE10+FG10+FI10+FK10+FM10</f>
        <v/>
      </c>
      <c r="KD10" s="44">
        <f>JO10+JQ10+JS10+JU10+JW10+JY10</f>
        <v/>
      </c>
      <c r="KE10" s="45">
        <f>KB10=E10</f>
        <v/>
      </c>
      <c r="KF10" s="101">
        <f>E10-KB10</f>
        <v/>
      </c>
    </row>
    <row r="11" ht="21.75" customFormat="1" customHeight="1" s="11">
      <c r="A11" s="126">
        <f>A10+1</f>
        <v/>
      </c>
      <c r="B11" s="175" t="inlineStr">
        <is>
          <t>Бреев И.И.</t>
        </is>
      </c>
      <c r="C11" s="194" t="inlineStr">
        <is>
          <t>токарь</t>
        </is>
      </c>
      <c r="D11" s="177">
        <f>$D$5</f>
        <v/>
      </c>
      <c r="E11" s="202" t="n">
        <v>144</v>
      </c>
      <c r="F11" s="191" t="n">
        <v>101150.45</v>
      </c>
      <c r="G11" s="179">
        <f>F11/D11</f>
        <v/>
      </c>
      <c r="H11" s="125" t="n">
        <v>84</v>
      </c>
      <c r="I11" s="90">
        <f>H11*100/$E$11</f>
        <v/>
      </c>
      <c r="J11" s="108" t="n"/>
      <c r="K11" s="90">
        <f>J11*100/$E$11</f>
        <v/>
      </c>
      <c r="L11" s="108" t="n"/>
      <c r="M11" s="90">
        <f>L11*100/$E$11</f>
        <v/>
      </c>
      <c r="N11" s="108" t="n"/>
      <c r="O11" s="90">
        <f>N11*100/$E$11</f>
        <v/>
      </c>
      <c r="P11" s="108" t="n"/>
      <c r="Q11" s="121">
        <f>P11*100/$E$11</f>
        <v/>
      </c>
      <c r="R11" s="108" t="n"/>
      <c r="S11" s="121">
        <f>R11*100/$E$11</f>
        <v/>
      </c>
      <c r="T11" s="108" t="n"/>
      <c r="U11" s="90">
        <f>T11*100/$E$11</f>
        <v/>
      </c>
      <c r="V11" s="108" t="n"/>
      <c r="W11" s="90">
        <f>V11*100/$E$11</f>
        <v/>
      </c>
      <c r="X11" s="108" t="n"/>
      <c r="Y11" s="90">
        <f>X11*100/$E$11</f>
        <v/>
      </c>
      <c r="Z11" s="108" t="n"/>
      <c r="AA11" s="90">
        <f>Z11*100/$E$11</f>
        <v/>
      </c>
      <c r="AB11" s="108" t="n"/>
      <c r="AC11" s="90">
        <f>AB11*100/$E$11</f>
        <v/>
      </c>
      <c r="AD11" s="108" t="n"/>
      <c r="AE11" s="121">
        <f>AD11*100/$E$11</f>
        <v/>
      </c>
      <c r="AF11" s="108" t="n"/>
      <c r="AG11" s="121">
        <f>AF11*100/$E$11</f>
        <v/>
      </c>
      <c r="AH11" s="108" t="n"/>
      <c r="AI11" s="90">
        <f>AH11*100/$E$11</f>
        <v/>
      </c>
      <c r="AJ11" s="108" t="n"/>
      <c r="AK11" s="90">
        <f>AJ11*100/$E$11</f>
        <v/>
      </c>
      <c r="AL11" s="108" t="n"/>
      <c r="AM11" s="90">
        <f>AL11*100/$E$11</f>
        <v/>
      </c>
      <c r="AN11" s="108" t="n">
        <v>4</v>
      </c>
      <c r="AO11" s="90">
        <f>AN11*100/$E$11</f>
        <v/>
      </c>
      <c r="AP11" s="108" t="n"/>
      <c r="AQ11" s="90">
        <f>AP11*100/$E$11</f>
        <v/>
      </c>
      <c r="AR11" s="108" t="n"/>
      <c r="AS11" s="90">
        <f>AR11*100/$E$11</f>
        <v/>
      </c>
      <c r="AT11" s="108" t="n"/>
      <c r="AU11" s="90">
        <f>AT11*100/$E$11</f>
        <v/>
      </c>
      <c r="AV11" s="108" t="n"/>
      <c r="AW11" s="90">
        <f>AV11*100/$E$11</f>
        <v/>
      </c>
      <c r="AX11" s="108" t="n">
        <v>8</v>
      </c>
      <c r="AY11" s="90">
        <f>AX11*100/$E$11</f>
        <v/>
      </c>
      <c r="AZ11" s="108" t="n">
        <v>1</v>
      </c>
      <c r="BA11" s="90">
        <f>AZ11*100/$E$11</f>
        <v/>
      </c>
      <c r="BB11" s="108" t="n"/>
      <c r="BC11" s="90">
        <f>BB11*100/$E$11</f>
        <v/>
      </c>
      <c r="BD11" s="108" t="n"/>
      <c r="BE11" s="90">
        <f>BD11*100/$E$11</f>
        <v/>
      </c>
      <c r="BF11" s="108" t="n"/>
      <c r="BG11" s="90">
        <f>BF11*100/$E$11</f>
        <v/>
      </c>
      <c r="BH11" s="108" t="n"/>
      <c r="BI11" s="90">
        <f>BH11*100/$E$11</f>
        <v/>
      </c>
      <c r="BJ11" s="108" t="n"/>
      <c r="BK11" s="90">
        <f>BJ11*100/$E$11</f>
        <v/>
      </c>
      <c r="BL11" s="108" t="n">
        <v>3</v>
      </c>
      <c r="BM11" s="90">
        <f>BL11*100/$E$11</f>
        <v/>
      </c>
      <c r="BN11" s="108" t="n"/>
      <c r="BO11" s="90">
        <f>BN11*100/$E$11</f>
        <v/>
      </c>
      <c r="BP11" s="108" t="n"/>
      <c r="BQ11" s="90">
        <f>BP11*100/$E$11</f>
        <v/>
      </c>
      <c r="BR11" s="108" t="n"/>
      <c r="BS11" s="90">
        <f>BR11*100/$E$11</f>
        <v/>
      </c>
      <c r="BT11" s="108" t="n"/>
      <c r="BU11" s="90">
        <f>BT11*100/$E$11</f>
        <v/>
      </c>
      <c r="BV11" s="108" t="n"/>
      <c r="BW11" s="90">
        <f>BV11*100/$E$11</f>
        <v/>
      </c>
      <c r="BX11" s="108" t="n"/>
      <c r="BY11" s="90">
        <f>BX11*100/$E$11</f>
        <v/>
      </c>
      <c r="BZ11" s="108" t="n"/>
      <c r="CA11" s="90">
        <f>BZ11*100/$E$11</f>
        <v/>
      </c>
      <c r="CB11" s="108" t="n"/>
      <c r="CC11" s="90">
        <f>CB11*100/$E$11</f>
        <v/>
      </c>
      <c r="CD11" s="108" t="n">
        <v>16</v>
      </c>
      <c r="CE11" s="90">
        <f>CD11*100/$E$11</f>
        <v/>
      </c>
      <c r="CF11" s="108" t="n"/>
      <c r="CG11" s="90">
        <f>CF11*100/$E$11</f>
        <v/>
      </c>
      <c r="CH11" s="108" t="n"/>
      <c r="CI11" s="90">
        <f>CH11*100/$E$11</f>
        <v/>
      </c>
      <c r="CJ11" s="108" t="n"/>
      <c r="CK11" s="90">
        <f>CJ11*100/$E$11</f>
        <v/>
      </c>
      <c r="CL11" s="108" t="n"/>
      <c r="CM11" s="90">
        <f>CL11*100/$E$11</f>
        <v/>
      </c>
      <c r="CN11" s="108" t="n"/>
      <c r="CO11" s="122">
        <f>CN11*100/$E$11</f>
        <v/>
      </c>
      <c r="CP11" s="108" t="n">
        <v>2</v>
      </c>
      <c r="CQ11" s="90">
        <f>CP11*100/$E$11</f>
        <v/>
      </c>
      <c r="CR11" s="108" t="n"/>
      <c r="CS11" s="121">
        <f>CR11*100/$E$11</f>
        <v/>
      </c>
      <c r="CT11" s="108" t="n"/>
      <c r="CU11" s="121">
        <f>CT11*100/$E$11</f>
        <v/>
      </c>
      <c r="CV11" s="108" t="n"/>
      <c r="CW11" s="121">
        <f>CV11*100/$E$11</f>
        <v/>
      </c>
      <c r="CX11" s="108" t="n">
        <v>8</v>
      </c>
      <c r="CY11" s="121">
        <f>CX11*100/$E$11</f>
        <v/>
      </c>
      <c r="CZ11" s="108" t="n"/>
      <c r="DA11" s="121">
        <f>CZ11*100/$E$11</f>
        <v/>
      </c>
      <c r="DB11" s="108" t="n">
        <v>1</v>
      </c>
      <c r="DC11" s="121">
        <f>DB11*100/$E$11</f>
        <v/>
      </c>
      <c r="DD11" s="108" t="n">
        <v>1</v>
      </c>
      <c r="DE11" s="121">
        <f>DD11*100/$E$11</f>
        <v/>
      </c>
      <c r="DF11" s="108" t="n">
        <v>16</v>
      </c>
      <c r="DG11" s="121">
        <f>DF11*100/$E$11</f>
        <v/>
      </c>
      <c r="DH11" s="108" t="n"/>
      <c r="DI11" s="121">
        <f>DH11*100/$E$11</f>
        <v/>
      </c>
      <c r="DJ11" s="108" t="n"/>
      <c r="DK11" s="121">
        <f>DJ11*100/$E$11</f>
        <v/>
      </c>
      <c r="DL11" s="108" t="n"/>
      <c r="DM11" s="121">
        <f>DL11*100/$E$11</f>
        <v/>
      </c>
      <c r="DN11" s="108" t="n"/>
      <c r="DO11" s="121">
        <f>DN11*100/$E$11</f>
        <v/>
      </c>
      <c r="DP11" s="108" t="n"/>
      <c r="DQ11" s="121">
        <f>DP11*100/$E$11</f>
        <v/>
      </c>
      <c r="DR11" s="108" t="n"/>
      <c r="DS11" s="121">
        <f>DR11*100/$E$11</f>
        <v/>
      </c>
      <c r="DT11" s="108" t="n"/>
      <c r="DU11" s="121">
        <f>DT11*100/$E$11</f>
        <v/>
      </c>
      <c r="DV11" s="108" t="n"/>
      <c r="DW11" s="121">
        <f>DV11*100/$E$11</f>
        <v/>
      </c>
      <c r="DX11" s="108" t="n"/>
      <c r="DY11" s="121">
        <f>DX11*100/$E$11</f>
        <v/>
      </c>
      <c r="DZ11" s="108" t="n"/>
      <c r="EA11" s="121">
        <f>DZ11*100/$E$11</f>
        <v/>
      </c>
      <c r="EB11" s="108" t="n"/>
      <c r="EC11" s="121">
        <f>EB11*100/$E$11</f>
        <v/>
      </c>
      <c r="ED11" s="108" t="n"/>
      <c r="EE11" s="121">
        <f>ED11*100/$E$11</f>
        <v/>
      </c>
      <c r="EF11" s="108" t="n"/>
      <c r="EG11" s="121">
        <f>EF11*100/$E$11</f>
        <v/>
      </c>
      <c r="EH11" s="108" t="n"/>
      <c r="EI11" s="121">
        <f>EH11*100/$E$11</f>
        <v/>
      </c>
      <c r="EJ11" s="108" t="n"/>
      <c r="EK11" s="121">
        <f>EJ11*100/$E$11</f>
        <v/>
      </c>
      <c r="EL11" s="108" t="n"/>
      <c r="EM11" s="121">
        <f>EL11*100/$E$11</f>
        <v/>
      </c>
      <c r="EN11" s="108" t="n"/>
      <c r="EO11" s="121">
        <f>EN11*100/$E$11</f>
        <v/>
      </c>
      <c r="EP11" s="108" t="n"/>
      <c r="EQ11" s="121">
        <f>EP11*100/$E$11</f>
        <v/>
      </c>
      <c r="ER11" s="108" t="n"/>
      <c r="ES11" s="121">
        <f>ER11*100/$E$11</f>
        <v/>
      </c>
      <c r="ET11" s="108" t="n"/>
      <c r="EU11" s="121">
        <f>ET11*100/$E$11</f>
        <v/>
      </c>
      <c r="EV11" s="108" t="n"/>
      <c r="EW11" s="121">
        <f>EV11*100/$E$11</f>
        <v/>
      </c>
      <c r="EX11" s="108" t="n"/>
      <c r="EY11" s="121">
        <f>EX11*100/$E$11</f>
        <v/>
      </c>
      <c r="EZ11" s="108" t="n"/>
      <c r="FA11" s="121">
        <f>EZ11*100/$E$11</f>
        <v/>
      </c>
      <c r="FB11" s="108" t="n"/>
      <c r="FC11" s="121">
        <f>FB11*100/$E$11</f>
        <v/>
      </c>
      <c r="FD11" s="108" t="n"/>
      <c r="FE11" s="121">
        <f>FD11*100/$E$11</f>
        <v/>
      </c>
      <c r="FF11" s="108" t="n"/>
      <c r="FG11" s="121">
        <f>FF11*100/$E$11</f>
        <v/>
      </c>
      <c r="FH11" s="108" t="n"/>
      <c r="FI11" s="121">
        <f>FH11*100/$E$11</f>
        <v/>
      </c>
      <c r="FJ11" s="108" t="n"/>
      <c r="FK11" s="121">
        <f>FJ11*100/$E$11</f>
        <v/>
      </c>
      <c r="FL11" s="108" t="n"/>
      <c r="FM11" s="121">
        <f>FL11*100/$E$11</f>
        <v/>
      </c>
      <c r="FN11" s="108" t="n"/>
      <c r="FO11" s="121">
        <f>FN11*100/$E$11</f>
        <v/>
      </c>
      <c r="FP11" s="108" t="n"/>
      <c r="FQ11" s="121">
        <f>FP11*100/$E$11</f>
        <v/>
      </c>
      <c r="FR11" s="108" t="n"/>
      <c r="FS11" s="121">
        <f>FR11*100/$E$11</f>
        <v/>
      </c>
      <c r="FT11" s="108" t="n"/>
      <c r="FU11" s="121">
        <f>FT11*100/$E$11</f>
        <v/>
      </c>
      <c r="FV11" s="108" t="n"/>
      <c r="FW11" s="121">
        <f>FV11*100/$E$11</f>
        <v/>
      </c>
      <c r="FX11" s="108" t="n"/>
      <c r="FY11" s="90">
        <f>FX11*100/$E$11</f>
        <v/>
      </c>
      <c r="FZ11" s="108" t="n"/>
      <c r="GA11" s="90">
        <f>FZ11*100/$E$11</f>
        <v/>
      </c>
      <c r="GB11" s="108" t="n"/>
      <c r="GC11" s="90">
        <f>GB11*100/$E$11</f>
        <v/>
      </c>
      <c r="GD11" s="108" t="n"/>
      <c r="GE11" s="90">
        <f>GD11*100/$E$11</f>
        <v/>
      </c>
      <c r="GF11" s="108" t="n"/>
      <c r="GG11" s="90">
        <f>GF11*100/$E$11</f>
        <v/>
      </c>
      <c r="GH11" s="108" t="n"/>
      <c r="GI11" s="90">
        <f>GH11*100/$E$11</f>
        <v/>
      </c>
      <c r="GJ11" s="108" t="n"/>
      <c r="GK11" s="121">
        <f>GJ11*100/$E$11</f>
        <v/>
      </c>
      <c r="GL11" s="108" t="n"/>
      <c r="GM11" s="90">
        <f>GL11*100/$E$11</f>
        <v/>
      </c>
      <c r="GN11" s="108" t="n"/>
      <c r="GO11" s="121">
        <f>GN11*100/$E$11</f>
        <v/>
      </c>
      <c r="GP11" s="108" t="n"/>
      <c r="GQ11" s="90">
        <f>GP11*100/$E$11</f>
        <v/>
      </c>
      <c r="GR11" s="108" t="n"/>
      <c r="GS11" s="121">
        <f>GR11*100/$E$11</f>
        <v/>
      </c>
      <c r="GT11" s="108" t="n"/>
      <c r="GU11" s="121">
        <f>GT11*100/$E$11</f>
        <v/>
      </c>
      <c r="GV11" s="108" t="n"/>
      <c r="GW11" s="121">
        <f>GV11*100/$E$11</f>
        <v/>
      </c>
      <c r="GX11" s="108" t="n"/>
      <c r="GY11" s="90">
        <f>GX11*100/$E$11</f>
        <v/>
      </c>
      <c r="GZ11" s="108" t="n"/>
      <c r="HA11" s="90">
        <f>GZ11*100/$E$11</f>
        <v/>
      </c>
      <c r="HB11" s="108" t="n"/>
      <c r="HC11" s="90">
        <f>HB11*100/$E$11</f>
        <v/>
      </c>
      <c r="HD11" s="108" t="n"/>
      <c r="HE11" s="90">
        <f>HD11*100/$E$11</f>
        <v/>
      </c>
      <c r="HF11" s="108" t="n"/>
      <c r="HG11" s="90">
        <f>HF11*100/$E$11</f>
        <v/>
      </c>
      <c r="HH11" s="108" t="n"/>
      <c r="HI11" s="90">
        <f>HH11*100/$E$11</f>
        <v/>
      </c>
      <c r="HJ11" s="108" t="n"/>
      <c r="HK11" s="90">
        <f>HJ11*100/$E$11</f>
        <v/>
      </c>
      <c r="HL11" s="108" t="n"/>
      <c r="HM11" s="90">
        <f>HL11*100/$E$11</f>
        <v/>
      </c>
      <c r="HN11" s="108" t="n"/>
      <c r="HO11" s="90">
        <f>HN11*100/$E$11</f>
        <v/>
      </c>
      <c r="HP11" s="108" t="n"/>
      <c r="HQ11" s="90">
        <f>HP11*100/$E$11</f>
        <v/>
      </c>
      <c r="HR11" s="108" t="n"/>
      <c r="HS11" s="90">
        <f>HR11*100/$E$11</f>
        <v/>
      </c>
      <c r="HT11" s="108" t="n"/>
      <c r="HU11" s="90">
        <f>HT11*100/$E$11</f>
        <v/>
      </c>
      <c r="HV11" s="108" t="n"/>
      <c r="HW11" s="90">
        <f>HV11*100/$E$11</f>
        <v/>
      </c>
      <c r="HX11" s="108" t="n"/>
      <c r="HY11" s="90">
        <f>HX11*100/$E$11</f>
        <v/>
      </c>
      <c r="HZ11" s="108" t="n"/>
      <c r="IA11" s="121">
        <f>HZ11*100/$E$11</f>
        <v/>
      </c>
      <c r="IB11" s="108" t="n"/>
      <c r="IC11" s="121">
        <f>IB11*100/$E$11</f>
        <v/>
      </c>
      <c r="ID11" s="108" t="n"/>
      <c r="IE11" s="121">
        <f>ID11*100/$E$11</f>
        <v/>
      </c>
      <c r="IF11" s="108" t="n"/>
      <c r="IG11" s="121">
        <f>IF11*100/$E$11</f>
        <v/>
      </c>
      <c r="IH11" s="108" t="n"/>
      <c r="II11" s="121">
        <f>IH11*100/$E$11</f>
        <v/>
      </c>
      <c r="IJ11" s="108" t="n"/>
      <c r="IK11" s="121">
        <f>IJ11*100/$E$11</f>
        <v/>
      </c>
      <c r="IL11" s="108" t="n"/>
      <c r="IM11" s="90">
        <f>IL11*100/$E$11</f>
        <v/>
      </c>
      <c r="IN11" s="108" t="n"/>
      <c r="IO11" s="90">
        <f>IN11*100/$E$11</f>
        <v/>
      </c>
      <c r="IP11" s="108" t="n"/>
      <c r="IQ11" s="121">
        <f>IP11*100/$E$11</f>
        <v/>
      </c>
      <c r="IR11" s="108" t="n"/>
      <c r="IS11" s="121">
        <f>IR11*100/$E$11</f>
        <v/>
      </c>
      <c r="IT11" s="108" t="n"/>
      <c r="IU11" s="121">
        <f>IT11*100/$E$11</f>
        <v/>
      </c>
      <c r="IV11" s="108" t="n"/>
      <c r="IW11" s="121">
        <f>IV11*100/$E$11</f>
        <v/>
      </c>
      <c r="IX11" s="108" t="n"/>
      <c r="IY11" s="121">
        <f>IX11*100/$E$11</f>
        <v/>
      </c>
      <c r="IZ11" s="108" t="n"/>
      <c r="JA11" s="121">
        <f>IZ11*100/$E$11</f>
        <v/>
      </c>
      <c r="JB11" s="108" t="n"/>
      <c r="JC11" s="121">
        <f>JB11*100/$E$11</f>
        <v/>
      </c>
      <c r="JD11" s="108" t="n"/>
      <c r="JE11" s="121">
        <f>JD11*100/$E$11</f>
        <v/>
      </c>
      <c r="JF11" s="108" t="n"/>
      <c r="JG11" s="121">
        <f>JF11*100/$E$11</f>
        <v/>
      </c>
      <c r="JH11" s="108" t="n"/>
      <c r="JI11" s="121">
        <f>JH11*100/$E$11</f>
        <v/>
      </c>
      <c r="JJ11" s="108" t="n"/>
      <c r="JK11" s="121">
        <f>JJ11*100/$E$11</f>
        <v/>
      </c>
      <c r="JL11" s="108" t="n"/>
      <c r="JM11" s="121">
        <f>JL11*100/$E$11</f>
        <v/>
      </c>
      <c r="JN11" s="108" t="n"/>
      <c r="JO11" s="122">
        <f>JN11*100/$E$11</f>
        <v/>
      </c>
      <c r="JP11" s="108" t="n"/>
      <c r="JQ11" s="122">
        <f>JP11*100/$E$11</f>
        <v/>
      </c>
      <c r="JR11" s="108" t="n"/>
      <c r="JS11" s="122">
        <f>JR11*100/$E$11</f>
        <v/>
      </c>
      <c r="JT11" s="108" t="n"/>
      <c r="JU11" s="122">
        <f>JT11*100/$E$11</f>
        <v/>
      </c>
      <c r="JV11" s="108" t="n"/>
      <c r="JW11" s="122">
        <f>JV11*100/$E$11</f>
        <v/>
      </c>
      <c r="JX11" s="108" t="n"/>
      <c r="JY11" s="122">
        <f>JX11*100/$E$11</f>
        <v/>
      </c>
      <c r="JZ11" s="55">
        <f>JN11+JP11+JR11+JT11+JV11+JX11</f>
        <v/>
      </c>
      <c r="KA11" s="53">
        <f>JO11+JQ11+JS11+JU11+JW11+JY11</f>
        <v/>
      </c>
      <c r="KB11" s="185">
        <f>H11+J11+L11+N11+P11+R11+T11+V11+X11+Z11+AB11+AD11+AF11+AH11+AJ11+AL11+AN11+AP11+AR11+AT11+AV11+AX11+AZ11+BB11+BD11+BF11+BH11+BJ11+BL11+BN11+BP11+BR11+BT11+BV11+BX11+BZ11+CB11+CD11+CF11+CH11+CZ11+DB11+DD11+DF11+DH11+DJ11+DL11+DN11+DP11+DR11+DT11+DV11+DX11+DZ11+EB11+ED11+EF11+EH11+EJ11+EL11+EN11+EP11+ER11+ET11+EV11+FN11+FP11+FR11+FT11+FV11+FX11+FZ11+GB11+GD11+GF11+GH11+GJ11+GL11+GN11+GP11+GR11+GT11+GV11+GX11+GZ11+HB11+HD11+HF11+HH11+HJ11+HL11+HN11+HP11+HR11+HT11+HV11+HX11+HZ11+IB11+ID11+IF11+IH11+IJ11+IL11+IN11+IP11+IR11+IT11+IV11+IX11+IZ11+JB11+JD11+JF11+JH11+JJ11+JL11+JZ11+CJ11+CL11+CN11+CP11+CR11+CT11+CV11+CX11+EX11+EZ11+FB11+FD11+FF11+FH11+FJ11+FL11</f>
        <v/>
      </c>
      <c r="KC11" s="66">
        <f>I11+K11+M11+O11+Q11+S11+U11+W11+Y11+AA11+AC11+AE11+AG11+AI11+AK11+AM11+AO11+AQ11+AS11+AU11+AW11+AY11+BA11+BC11+BE11+BG11+BI11+BK11+BM11+BO11+BQ11+BS11+BU11+BW11+BY11+CA11+CC11+CE11+CG11+CI11+DA11+DC11+DE11+DG11+DI11+DK11+DM11+DO11+DQ11+DS11+DU11+DW11+DY11+EA11+EC11+EE11+EG11+EI11+EK11+EM11+EO11+EQ11+ES11+EU11+EW11+FO11+FS11+FU11+FW11+FQ11+FY11+GA11+GC11+GE11+GG11+GI11+GK11+GM11+GO11+GQ11+GS11+GU11+GW11+GY11+HA11+HC11+HE11+HG11+HI11+HK11+HM11+HO11+HQ11+HS11+HU11+HW11+HY11+IA11+IC11+IE11+IG11+II11+IK11+IM11+IO11+IQ11+IS11+IU11+IW11+IY11+JA11+JC11+JE11+JG11+JI11+JK11+JM11+KA11+CK11+CM11+CO11+CQ11+CS11+CU11+CW11+CY11+EY11+FA11+FC11+FE11+FG11+FI11+FK11+FM11</f>
        <v/>
      </c>
      <c r="KD11" s="44">
        <f>JO11+JQ11+JS11+JU11+JW11+JY11</f>
        <v/>
      </c>
      <c r="KE11" s="45">
        <f>KB11=E11</f>
        <v/>
      </c>
      <c r="KF11" s="101">
        <f>E11-KB11</f>
        <v/>
      </c>
    </row>
    <row r="12" ht="21.75" customFormat="1" customHeight="1" s="23">
      <c r="A12" s="126">
        <f>A11+1</f>
        <v/>
      </c>
      <c r="B12" s="175" t="inlineStr">
        <is>
          <t>Войко А.Л.</t>
        </is>
      </c>
      <c r="C12" s="194" t="inlineStr">
        <is>
          <t>Фрезеровщик</t>
        </is>
      </c>
      <c r="D12" s="177">
        <f>$D$5</f>
        <v/>
      </c>
      <c r="E12" s="202" t="n">
        <v>180</v>
      </c>
      <c r="F12" s="191" t="n">
        <v>101150.05</v>
      </c>
      <c r="G12" s="179">
        <f>F12/D12</f>
        <v/>
      </c>
      <c r="H12" s="125" t="n"/>
      <c r="I12" s="107">
        <f>H12*100/$E$12</f>
        <v/>
      </c>
      <c r="J12" s="108" t="n"/>
      <c r="K12" s="107">
        <f>J12*100/$E$12</f>
        <v/>
      </c>
      <c r="L12" s="108" t="n"/>
      <c r="M12" s="107">
        <f>L12*100/$E$12</f>
        <v/>
      </c>
      <c r="N12" s="108" t="n"/>
      <c r="O12" s="107">
        <f>N12*100/$E$12</f>
        <v/>
      </c>
      <c r="P12" s="108" t="n"/>
      <c r="Q12" s="122">
        <f>P12*100/$E$12</f>
        <v/>
      </c>
      <c r="R12" s="108" t="n"/>
      <c r="S12" s="107">
        <f>R12*100/$E$12</f>
        <v/>
      </c>
      <c r="T12" s="108" t="n"/>
      <c r="U12" s="107">
        <f>T12*100/$E$12</f>
        <v/>
      </c>
      <c r="V12" s="108" t="n"/>
      <c r="W12" s="107">
        <f>V12*100/$E$12</f>
        <v/>
      </c>
      <c r="X12" s="108" t="n"/>
      <c r="Y12" s="107">
        <f>X12*100/$E$12</f>
        <v/>
      </c>
      <c r="Z12" s="108" t="n"/>
      <c r="AA12" s="107">
        <f>Z12*100/$E$12</f>
        <v/>
      </c>
      <c r="AB12" s="108" t="n"/>
      <c r="AC12" s="107">
        <f>AB12*100/$E$12</f>
        <v/>
      </c>
      <c r="AD12" s="108" t="n"/>
      <c r="AE12" s="107">
        <f>AD12*100/$E$12</f>
        <v/>
      </c>
      <c r="AF12" s="108" t="n"/>
      <c r="AG12" s="107">
        <f>AF12*100/$E$12</f>
        <v/>
      </c>
      <c r="AH12" s="108" t="n"/>
      <c r="AI12" s="107">
        <f>AH12*100/$E$12</f>
        <v/>
      </c>
      <c r="AJ12" s="108" t="n"/>
      <c r="AK12" s="107">
        <f>AJ12*100/$E$12</f>
        <v/>
      </c>
      <c r="AL12" s="108" t="n"/>
      <c r="AM12" s="107">
        <f>AL12*100/$E$12</f>
        <v/>
      </c>
      <c r="AN12" s="108" t="n"/>
      <c r="AO12" s="107">
        <f>AN12*100/$E$12</f>
        <v/>
      </c>
      <c r="AP12" s="108" t="n"/>
      <c r="AQ12" s="107">
        <f>AP12*100/$E$12</f>
        <v/>
      </c>
      <c r="AR12" s="108" t="n"/>
      <c r="AS12" s="107">
        <f>AR12*100/$E$12</f>
        <v/>
      </c>
      <c r="AT12" s="108" t="n"/>
      <c r="AU12" s="90">
        <f>AT12*100/$E$12</f>
        <v/>
      </c>
      <c r="AV12" s="108" t="n"/>
      <c r="AW12" s="107">
        <f>AV12*100/$E$12</f>
        <v/>
      </c>
      <c r="AX12" s="108" t="n">
        <v>3</v>
      </c>
      <c r="AY12" s="107">
        <f>AX12*100/$E$12</f>
        <v/>
      </c>
      <c r="AZ12" s="108" t="n"/>
      <c r="BA12" s="107">
        <f>AZ12*100/$E$12</f>
        <v/>
      </c>
      <c r="BB12" s="108" t="n"/>
      <c r="BC12" s="107">
        <f>BB12*100/$E$12</f>
        <v/>
      </c>
      <c r="BD12" s="108" t="n"/>
      <c r="BE12" s="107">
        <f>BD12*100/$E$12</f>
        <v/>
      </c>
      <c r="BF12" s="108" t="n">
        <v>8</v>
      </c>
      <c r="BG12" s="107">
        <f>BF12*100/$E$12</f>
        <v/>
      </c>
      <c r="BH12" s="108" t="n"/>
      <c r="BI12" s="107">
        <f>BH12*100/$E$12</f>
        <v/>
      </c>
      <c r="BJ12" s="108" t="n"/>
      <c r="BK12" s="107">
        <f>BJ12*100/$E$12</f>
        <v/>
      </c>
      <c r="BL12" s="108" t="n"/>
      <c r="BM12" s="107">
        <f>BL12*100/$E$12</f>
        <v/>
      </c>
      <c r="BN12" s="108" t="n"/>
      <c r="BO12" s="107">
        <f>BN12*100/$E$12</f>
        <v/>
      </c>
      <c r="BP12" s="108" t="n"/>
      <c r="BQ12" s="107">
        <f>BP12*100/$E$12</f>
        <v/>
      </c>
      <c r="BR12" s="108" t="n"/>
      <c r="BS12" s="107">
        <f>BR12*100/$E$12</f>
        <v/>
      </c>
      <c r="BT12" s="108" t="n"/>
      <c r="BU12" s="107">
        <f>BT12*100/$E$12</f>
        <v/>
      </c>
      <c r="BV12" s="108" t="n"/>
      <c r="BW12" s="107">
        <f>BV12*100/$E$12</f>
        <v/>
      </c>
      <c r="BX12" s="108" t="n"/>
      <c r="BY12" s="107">
        <f>BX12*100/$E$12</f>
        <v/>
      </c>
      <c r="BZ12" s="108" t="n">
        <v>16</v>
      </c>
      <c r="CA12" s="107">
        <f>BZ12*100/$E$12</f>
        <v/>
      </c>
      <c r="CB12" s="108" t="n">
        <v>15</v>
      </c>
      <c r="CC12" s="107">
        <f>CB12*100/$E$12</f>
        <v/>
      </c>
      <c r="CD12" s="108" t="n"/>
      <c r="CE12" s="107">
        <f>CD12*100/$E$12</f>
        <v/>
      </c>
      <c r="CF12" s="108" t="n"/>
      <c r="CG12" s="107">
        <f>CF12*100/$E$12</f>
        <v/>
      </c>
      <c r="CH12" s="108" t="n"/>
      <c r="CI12" s="107">
        <f>CH12*100/$E$12</f>
        <v/>
      </c>
      <c r="CJ12" s="108" t="n"/>
      <c r="CK12" s="107">
        <f>CJ12*100/$E$12</f>
        <v/>
      </c>
      <c r="CL12" s="108" t="n"/>
      <c r="CM12" s="107">
        <f>CL12*100/$E$12</f>
        <v/>
      </c>
      <c r="CN12" s="108" t="n"/>
      <c r="CO12" s="122">
        <f>CN12*100/$E$12</f>
        <v/>
      </c>
      <c r="CP12" s="108" t="n"/>
      <c r="CQ12" s="107">
        <f>CP12*100/$E$12</f>
        <v/>
      </c>
      <c r="CR12" s="108" t="n"/>
      <c r="CS12" s="122">
        <f>CR12*100/$E$12</f>
        <v/>
      </c>
      <c r="CT12" s="108" t="n"/>
      <c r="CU12" s="122">
        <f>CT12*100/$E$12</f>
        <v/>
      </c>
      <c r="CV12" s="108" t="n"/>
      <c r="CW12" s="122">
        <f>CV12*100/$E$12</f>
        <v/>
      </c>
      <c r="CX12" s="108" t="n"/>
      <c r="CY12" s="122">
        <f>CX12*100/$E$12</f>
        <v/>
      </c>
      <c r="CZ12" s="108" t="n">
        <v>6</v>
      </c>
      <c r="DA12" s="122">
        <f>CZ12*100/$E$12</f>
        <v/>
      </c>
      <c r="DB12" s="108" t="n"/>
      <c r="DC12" s="122">
        <f>DB12*100/$E$12</f>
        <v/>
      </c>
      <c r="DD12" s="108" t="n"/>
      <c r="DE12" s="122">
        <f>DD12*100/$E$12</f>
        <v/>
      </c>
      <c r="DF12" s="108" t="n"/>
      <c r="DG12" s="122">
        <f>DF12*100/$E$12</f>
        <v/>
      </c>
      <c r="DH12" s="108" t="n">
        <v>5</v>
      </c>
      <c r="DI12" s="122">
        <f>DH12*100/$E$12</f>
        <v/>
      </c>
      <c r="DJ12" s="108" t="n">
        <v>78</v>
      </c>
      <c r="DK12" s="122">
        <f>DJ12*100/$E$12</f>
        <v/>
      </c>
      <c r="DL12" s="108" t="n">
        <v>24</v>
      </c>
      <c r="DM12" s="122">
        <f>DL12*100/$E$12</f>
        <v/>
      </c>
      <c r="DN12" s="108" t="n">
        <v>7</v>
      </c>
      <c r="DO12" s="122">
        <f>DN12*100/$E$12</f>
        <v/>
      </c>
      <c r="DP12" s="108" t="n"/>
      <c r="DQ12" s="122">
        <f>DP12*100/$E$12</f>
        <v/>
      </c>
      <c r="DR12" s="108" t="n"/>
      <c r="DS12" s="107">
        <f>DR12*100/$E$12</f>
        <v/>
      </c>
      <c r="DT12" s="108" t="n"/>
      <c r="DU12" s="122">
        <f>DT12*100/$E$12</f>
        <v/>
      </c>
      <c r="DV12" s="108" t="n"/>
      <c r="DW12" s="122">
        <f>DV12*100/$E$12</f>
        <v/>
      </c>
      <c r="DX12" s="108" t="n"/>
      <c r="DY12" s="122">
        <f>DX12*100/$E$12</f>
        <v/>
      </c>
      <c r="DZ12" s="108" t="n"/>
      <c r="EA12" s="122">
        <f>DZ12*100/$E$12</f>
        <v/>
      </c>
      <c r="EB12" s="108" t="n"/>
      <c r="EC12" s="122">
        <f>EB12*100/$E$12</f>
        <v/>
      </c>
      <c r="ED12" s="108" t="n"/>
      <c r="EE12" s="122">
        <f>ED12*100/$E$12</f>
        <v/>
      </c>
      <c r="EF12" s="108" t="n"/>
      <c r="EG12" s="122">
        <f>EF12*100/$E$12</f>
        <v/>
      </c>
      <c r="EH12" s="108" t="n"/>
      <c r="EI12" s="107">
        <f>EH12*100/$E$12</f>
        <v/>
      </c>
      <c r="EJ12" s="108" t="n"/>
      <c r="EK12" s="107">
        <f>EJ12*100/$E$12</f>
        <v/>
      </c>
      <c r="EL12" s="108" t="n"/>
      <c r="EM12" s="107">
        <f>EL12*100/$E$12</f>
        <v/>
      </c>
      <c r="EN12" s="108" t="n"/>
      <c r="EO12" s="107">
        <f>EN12*100/$E$12</f>
        <v/>
      </c>
      <c r="EP12" s="108" t="n"/>
      <c r="EQ12" s="107">
        <f>EP12*100/$E$12</f>
        <v/>
      </c>
      <c r="ER12" s="108" t="n"/>
      <c r="ES12" s="107">
        <f>ER12*100/$E$12</f>
        <v/>
      </c>
      <c r="ET12" s="108" t="n"/>
      <c r="EU12" s="107">
        <f>ET12*100/$E$12</f>
        <v/>
      </c>
      <c r="EV12" s="108" t="n"/>
      <c r="EW12" s="122">
        <f>EV12*100/$E$12</f>
        <v/>
      </c>
      <c r="EX12" s="108" t="n"/>
      <c r="EY12" s="122">
        <f>EX12*100/$E$12</f>
        <v/>
      </c>
      <c r="EZ12" s="108" t="n"/>
      <c r="FA12" s="122">
        <f>EZ12*100/$E$12</f>
        <v/>
      </c>
      <c r="FB12" s="108" t="n"/>
      <c r="FC12" s="122">
        <f>FB12*100/$E$12</f>
        <v/>
      </c>
      <c r="FD12" s="108" t="n"/>
      <c r="FE12" s="122">
        <f>FD12*100/$E$12</f>
        <v/>
      </c>
      <c r="FF12" s="108" t="n"/>
      <c r="FG12" s="122">
        <f>FF12*100/$E$12</f>
        <v/>
      </c>
      <c r="FH12" s="108" t="n"/>
      <c r="FI12" s="122">
        <f>FH12*100/$E$12</f>
        <v/>
      </c>
      <c r="FJ12" s="108" t="n"/>
      <c r="FK12" s="122">
        <f>FJ12*100/$E$12</f>
        <v/>
      </c>
      <c r="FL12" s="108" t="n"/>
      <c r="FM12" s="122">
        <f>FL12*100/$E$12</f>
        <v/>
      </c>
      <c r="FN12" s="108" t="n"/>
      <c r="FO12" s="122">
        <f>FN12*100/$E$12</f>
        <v/>
      </c>
      <c r="FP12" s="108" t="n"/>
      <c r="FQ12" s="107">
        <f>FP12*100/$E$12</f>
        <v/>
      </c>
      <c r="FR12" s="108" t="n"/>
      <c r="FS12" s="107">
        <f>FR12*100/$E$12</f>
        <v/>
      </c>
      <c r="FT12" s="108" t="n"/>
      <c r="FU12" s="107">
        <f>FT12*100/$E$12</f>
        <v/>
      </c>
      <c r="FV12" s="108" t="n"/>
      <c r="FW12" s="107">
        <f>FV12*100/$E$12</f>
        <v/>
      </c>
      <c r="FX12" s="108" t="n"/>
      <c r="FY12" s="107">
        <f>FX12*100/$E$12</f>
        <v/>
      </c>
      <c r="FZ12" s="108" t="n"/>
      <c r="GA12" s="107">
        <f>FZ12*100/$E$12</f>
        <v/>
      </c>
      <c r="GB12" s="108" t="n"/>
      <c r="GC12" s="107">
        <f>GB12*100/$E$12</f>
        <v/>
      </c>
      <c r="GD12" s="108" t="n"/>
      <c r="GE12" s="107">
        <f>GD12*100/$E$12</f>
        <v/>
      </c>
      <c r="GF12" s="108" t="n"/>
      <c r="GG12" s="107">
        <f>GF12*100/$E$12</f>
        <v/>
      </c>
      <c r="GH12" s="108" t="n"/>
      <c r="GI12" s="107">
        <f>GH12*100/$E$12</f>
        <v/>
      </c>
      <c r="GJ12" s="108" t="n"/>
      <c r="GK12" s="122">
        <f>GJ12*100/$E$12</f>
        <v/>
      </c>
      <c r="GL12" s="108" t="n"/>
      <c r="GM12" s="107">
        <f>GL12*100/$E$12</f>
        <v/>
      </c>
      <c r="GN12" s="108" t="n"/>
      <c r="GO12" s="122">
        <f>GN12*100/$E$12</f>
        <v/>
      </c>
      <c r="GP12" s="108" t="n"/>
      <c r="GQ12" s="107">
        <f>GP12*100/$E$12</f>
        <v/>
      </c>
      <c r="GR12" s="108" t="n"/>
      <c r="GS12" s="122">
        <f>GR12*100/$E$12</f>
        <v/>
      </c>
      <c r="GT12" s="108" t="n"/>
      <c r="GU12" s="122">
        <f>GT12*100/$E$12</f>
        <v/>
      </c>
      <c r="GV12" s="108" t="n"/>
      <c r="GW12" s="107">
        <f>GV12*100/$E$12</f>
        <v/>
      </c>
      <c r="GX12" s="108" t="n"/>
      <c r="GY12" s="107">
        <f>GX12*100/$E$12</f>
        <v/>
      </c>
      <c r="GZ12" s="108" t="n"/>
      <c r="HA12" s="107">
        <f>GZ12*100/$E$12</f>
        <v/>
      </c>
      <c r="HB12" s="108" t="n"/>
      <c r="HC12" s="107">
        <f>HB12*100/$E$12</f>
        <v/>
      </c>
      <c r="HD12" s="108" t="n"/>
      <c r="HE12" s="107">
        <f>HD12*100/$E$12</f>
        <v/>
      </c>
      <c r="HF12" s="108" t="n"/>
      <c r="HG12" s="107">
        <f>HF12*100/$E$12</f>
        <v/>
      </c>
      <c r="HH12" s="108" t="n"/>
      <c r="HI12" s="107">
        <f>HH12*100/$E$12</f>
        <v/>
      </c>
      <c r="HJ12" s="108" t="n"/>
      <c r="HK12" s="107">
        <f>HJ12*100/$E$12</f>
        <v/>
      </c>
      <c r="HL12" s="108" t="n"/>
      <c r="HM12" s="107">
        <f>HL12*100/$E$12</f>
        <v/>
      </c>
      <c r="HN12" s="108" t="n"/>
      <c r="HO12" s="107">
        <f>HN12*100/$E$12</f>
        <v/>
      </c>
      <c r="HP12" s="108" t="n"/>
      <c r="HQ12" s="107">
        <f>HP12*100/$E$12</f>
        <v/>
      </c>
      <c r="HR12" s="108" t="n"/>
      <c r="HS12" s="107">
        <f>HR12*100/$E$12</f>
        <v/>
      </c>
      <c r="HT12" s="108" t="n"/>
      <c r="HU12" s="107">
        <f>HT12*100/$E$12</f>
        <v/>
      </c>
      <c r="HV12" s="108" t="n"/>
      <c r="HW12" s="107">
        <f>HV12*100/$E$12</f>
        <v/>
      </c>
      <c r="HX12" s="108" t="n"/>
      <c r="HY12" s="107">
        <f>HX12*100/$E$12</f>
        <v/>
      </c>
      <c r="HZ12" s="108" t="n"/>
      <c r="IA12" s="122">
        <f>HZ12*100/$E$12</f>
        <v/>
      </c>
      <c r="IB12" s="108" t="n"/>
      <c r="IC12" s="122">
        <f>IB12*100/$E$12</f>
        <v/>
      </c>
      <c r="ID12" s="108" t="n"/>
      <c r="IE12" s="122">
        <f>ID12*100/$E$12</f>
        <v/>
      </c>
      <c r="IF12" s="108" t="n"/>
      <c r="IG12" s="122">
        <f>IF12*100/$E$12</f>
        <v/>
      </c>
      <c r="IH12" s="108" t="n"/>
      <c r="II12" s="122">
        <f>IH12*100/$E$12</f>
        <v/>
      </c>
      <c r="IJ12" s="108" t="n"/>
      <c r="IK12" s="122">
        <f>IJ12*100/$E$12</f>
        <v/>
      </c>
      <c r="IL12" s="108" t="n"/>
      <c r="IM12" s="107">
        <f>IL12*100/$E$12</f>
        <v/>
      </c>
      <c r="IN12" s="108" t="n"/>
      <c r="IO12" s="107">
        <f>IN12*100/$E$12</f>
        <v/>
      </c>
      <c r="IP12" s="108" t="n"/>
      <c r="IQ12" s="122">
        <f>IP12*100/$E$12</f>
        <v/>
      </c>
      <c r="IR12" s="108" t="n">
        <v>18</v>
      </c>
      <c r="IS12" s="122">
        <f>IR12*100/$E$12</f>
        <v/>
      </c>
      <c r="IT12" s="108" t="n"/>
      <c r="IU12" s="122">
        <f>IT12*100/$E$12</f>
        <v/>
      </c>
      <c r="IV12" s="108" t="n"/>
      <c r="IW12" s="122">
        <f>IV12*100/$E$12</f>
        <v/>
      </c>
      <c r="IX12" s="108" t="n"/>
      <c r="IY12" s="122">
        <f>IX12*100/$E$12</f>
        <v/>
      </c>
      <c r="IZ12" s="108" t="n"/>
      <c r="JA12" s="122">
        <f>IZ12*100/$E$12</f>
        <v/>
      </c>
      <c r="JB12" s="108" t="n"/>
      <c r="JC12" s="122">
        <f>JB12*100/$E$12</f>
        <v/>
      </c>
      <c r="JD12" s="108" t="n"/>
      <c r="JE12" s="122">
        <f>JD12*100/$E$12</f>
        <v/>
      </c>
      <c r="JF12" s="108" t="n"/>
      <c r="JG12" s="107">
        <f>JF12*100/$E$12</f>
        <v/>
      </c>
      <c r="JH12" s="108" t="n"/>
      <c r="JI12" s="122">
        <f>JH12*100/$E$12</f>
        <v/>
      </c>
      <c r="JJ12" s="108" t="n"/>
      <c r="JK12" s="107">
        <f>JJ12*100/$E$12</f>
        <v/>
      </c>
      <c r="JL12" s="108" t="n"/>
      <c r="JM12" s="122">
        <f>JL12*100/$E$12</f>
        <v/>
      </c>
      <c r="JN12" s="108" t="n"/>
      <c r="JO12" s="122">
        <f>JN12*100/$E$12</f>
        <v/>
      </c>
      <c r="JP12" s="108" t="n"/>
      <c r="JQ12" s="122">
        <f>JP12*100/$E$12</f>
        <v/>
      </c>
      <c r="JR12" s="108" t="n"/>
      <c r="JS12" s="122">
        <f>JR12*100/$E$12</f>
        <v/>
      </c>
      <c r="JT12" s="108" t="n"/>
      <c r="JU12" s="122">
        <f>JT12*100/$E$12</f>
        <v/>
      </c>
      <c r="JV12" s="108" t="n"/>
      <c r="JW12" s="122">
        <f>JV12*100/$E$12</f>
        <v/>
      </c>
      <c r="JX12" s="108" t="n"/>
      <c r="JY12" s="122">
        <f>JX12*100/$E$12</f>
        <v/>
      </c>
      <c r="JZ12" s="55">
        <f>JN12+JP12+JR12+JT12+JV12+JX12</f>
        <v/>
      </c>
      <c r="KA12" s="53">
        <f>JO12+JQ12+JS12+JU12+JW12+JY12</f>
        <v/>
      </c>
      <c r="KB12" s="185">
        <f>H12+J12+L12+N12+P12+R12+T12+V12+X12+Z12+AB12+AD12+AF12+AH12+AJ12+AL12+AN12+AP12+AR12+AT12+AV12+AX12+AZ12+BB12+BD12+BF12+BH12+BJ12+BL12+BN12+BP12+BR12+BT12+BV12+BX12+BZ12+CB12+CD12+CF12+CH12+CZ12+DB12+DD12+DF12+DH12+DJ12+DL12+DN12+DP12+DR12+DT12+DV12+DX12+DZ12+EB12+ED12+EF12+EH12+EJ12+EL12+EN12+EP12+ER12+ET12+EV12+FN12+FP12+FR12+FT12+FV12+FX12+FZ12+GB12+GD12+GF12+GH12+GJ12+GL12+GN12+GP12+GR12+GT12+GV12+GX12+GZ12+HB12+HD12+HF12+HH12+HJ12+HL12+HN12+HP12+HR12+HT12+HV12+HX12+HZ12+IB12+ID12+IF12+IH12+IJ12+IL12+IN12+IP12+IR12+IT12+IV12+IX12+IZ12+JB12+JD12+JF12+JH12+JJ12+JL12+JZ12+CJ12+CL12+CN12+CP12+CR12+CT12+CV12+CX12+EX12+EZ12+FB12+FD12+FF12+FH12+FJ12+FL12</f>
        <v/>
      </c>
      <c r="KC12" s="66">
        <f>I12+K12+M12+O12+Q12+S12+U12+W12+Y12+AA12+AC12+AE12+AG12+AI12+AK12+AM12+AO12+AQ12+AS12+AU12+AW12+AY12+BA12+BC12+BE12+BG12+BI12+BK12+BM12+BO12+BQ12+BS12+BU12+BW12+BY12+CA12+CC12+CE12+CG12+CI12+DA12+DC12+DE12+DG12+DI12+DK12+DM12+DO12+DQ12+DS12+DU12+DW12+DY12+EA12+EC12+EE12+EG12+EI12+EK12+EM12+EO12+EQ12+ES12+EU12+EW12+FO12+FS12+FU12+FW12+FQ12+FY12+GA12+GC12+GE12+GG12+GI12+GK12+GM12+GO12+GQ12+GS12+GU12+GW12+GY12+HA12+HC12+HE12+HG12+HI12+HK12+HM12+HO12+HQ12+HS12+HU12+HW12+HY12+IA12+IC12+IE12+IG12+II12+IK12+IM12+IO12+IQ12+IS12+IU12+IW12+IY12+JA12+JC12+JE12+JG12+JI12+JK12+JM12+KA12+CK12+CM12+CO12+CQ12+CS12+CU12+CW12+CY12+EY12+FA12+FC12+FE12+FG12+FI12+FK12+FM12</f>
        <v/>
      </c>
      <c r="KD12" s="44">
        <f>JO12+JQ12+JS12+JU12+JW12+JY12</f>
        <v/>
      </c>
      <c r="KE12" s="45">
        <f>KB12=E12</f>
        <v/>
      </c>
      <c r="KF12" s="101">
        <f>E12-KB12</f>
        <v/>
      </c>
      <c r="KG12" s="12" t="n"/>
    </row>
    <row r="13" ht="21.75" customFormat="1" customHeight="1" s="12">
      <c r="A13" s="126">
        <f>A12+1</f>
        <v/>
      </c>
      <c r="B13" s="175" t="inlineStr">
        <is>
          <t>Войтехо М. Н.</t>
        </is>
      </c>
      <c r="C13" s="194" t="inlineStr">
        <is>
          <t>Слесарь МСР</t>
        </is>
      </c>
      <c r="D13" s="177">
        <f>$D$5</f>
        <v/>
      </c>
      <c r="E13" s="202" t="n">
        <v>24</v>
      </c>
      <c r="F13" s="190" t="n">
        <v>68902.87</v>
      </c>
      <c r="G13" s="179">
        <f>F13/D13</f>
        <v/>
      </c>
      <c r="H13" s="125" t="n"/>
      <c r="I13" s="107">
        <f>H13*100/$E$13</f>
        <v/>
      </c>
      <c r="J13" s="108" t="n"/>
      <c r="K13" s="107">
        <f>J13*100/$E$13</f>
        <v/>
      </c>
      <c r="L13" s="108" t="n"/>
      <c r="M13" s="107">
        <f>L13*100/$E$13</f>
        <v/>
      </c>
      <c r="N13" s="108" t="n"/>
      <c r="O13" s="107">
        <f>N13*100/$E$13</f>
        <v/>
      </c>
      <c r="P13" s="108" t="n"/>
      <c r="Q13" s="122">
        <f>P13*100/$E$13</f>
        <v/>
      </c>
      <c r="R13" s="108" t="n"/>
      <c r="S13" s="122">
        <f>R13*100/$E$13</f>
        <v/>
      </c>
      <c r="T13" s="108" t="n"/>
      <c r="U13" s="107">
        <f>T13*100/$E$13</f>
        <v/>
      </c>
      <c r="V13" s="108" t="n"/>
      <c r="W13" s="107">
        <f>V13*100/$E$13</f>
        <v/>
      </c>
      <c r="X13" s="108" t="n"/>
      <c r="Y13" s="107">
        <f>X13*100/$E$13</f>
        <v/>
      </c>
      <c r="Z13" s="108" t="n"/>
      <c r="AA13" s="107">
        <f>Z13*100/$E$13</f>
        <v/>
      </c>
      <c r="AB13" s="108" t="n"/>
      <c r="AC13" s="107">
        <f>AB13*100/$E$13</f>
        <v/>
      </c>
      <c r="AD13" s="108" t="n"/>
      <c r="AE13" s="122">
        <f>AD13*100/$E$13</f>
        <v/>
      </c>
      <c r="AF13" s="108" t="n"/>
      <c r="AG13" s="122">
        <f>AF13*100/$E$13</f>
        <v/>
      </c>
      <c r="AH13" s="108" t="n"/>
      <c r="AI13" s="107">
        <f>AH13*100/$E$13</f>
        <v/>
      </c>
      <c r="AJ13" s="108" t="n"/>
      <c r="AK13" s="107">
        <f>AJ13*100/$E$13</f>
        <v/>
      </c>
      <c r="AL13" s="108" t="n"/>
      <c r="AM13" s="107">
        <f>AL13*100/$E$13</f>
        <v/>
      </c>
      <c r="AN13" s="108" t="n"/>
      <c r="AO13" s="107">
        <f>AN13*100/$E$13</f>
        <v/>
      </c>
      <c r="AP13" s="108" t="n"/>
      <c r="AQ13" s="107">
        <f>AP13*100/$E$13</f>
        <v/>
      </c>
      <c r="AR13" s="108" t="n"/>
      <c r="AS13" s="107">
        <f>AR13*100/$E$13</f>
        <v/>
      </c>
      <c r="AT13" s="108" t="n"/>
      <c r="AU13" s="90">
        <f>AT13*100/$E$13</f>
        <v/>
      </c>
      <c r="AV13" s="108" t="n"/>
      <c r="AW13" s="107">
        <f>AV13*100/$E$13</f>
        <v/>
      </c>
      <c r="AX13" s="108" t="n"/>
      <c r="AY13" s="107">
        <f>AX13*100/$E$13</f>
        <v/>
      </c>
      <c r="AZ13" s="108" t="n"/>
      <c r="BA13" s="107">
        <f>AZ13*100/$E$13</f>
        <v/>
      </c>
      <c r="BB13" s="108" t="n"/>
      <c r="BC13" s="107">
        <f>BB13*100/$E$13</f>
        <v/>
      </c>
      <c r="BD13" s="108" t="n"/>
      <c r="BE13" s="107">
        <f>BD13*100/$E$13</f>
        <v/>
      </c>
      <c r="BF13" s="108" t="n"/>
      <c r="BG13" s="107">
        <f>BF13*100/$E$13</f>
        <v/>
      </c>
      <c r="BH13" s="108" t="n"/>
      <c r="BI13" s="107">
        <f>BH13*100/$E$13</f>
        <v/>
      </c>
      <c r="BJ13" s="108" t="n"/>
      <c r="BK13" s="107">
        <f>BJ13*100/$E$13</f>
        <v/>
      </c>
      <c r="BL13" s="108" t="n"/>
      <c r="BM13" s="107">
        <f>BL13*100/$E$13</f>
        <v/>
      </c>
      <c r="BN13" s="108" t="n"/>
      <c r="BO13" s="107">
        <f>BN13*100/$E$13</f>
        <v/>
      </c>
      <c r="BP13" s="108" t="n"/>
      <c r="BQ13" s="107">
        <f>BP13*100/$E$13</f>
        <v/>
      </c>
      <c r="BR13" s="108" t="n"/>
      <c r="BS13" s="107">
        <f>BR13*100/$E$13</f>
        <v/>
      </c>
      <c r="BT13" s="108" t="n"/>
      <c r="BU13" s="107">
        <f>BT13*100/$E$13</f>
        <v/>
      </c>
      <c r="BV13" s="108" t="n"/>
      <c r="BW13" s="107">
        <f>BV13*100/$E$13</f>
        <v/>
      </c>
      <c r="BX13" s="108" t="n"/>
      <c r="BY13" s="107">
        <f>BX13*100/$E$13</f>
        <v/>
      </c>
      <c r="BZ13" s="108" t="n"/>
      <c r="CA13" s="107">
        <f>BZ13*100/$E$13</f>
        <v/>
      </c>
      <c r="CB13" s="108" t="n"/>
      <c r="CC13" s="107">
        <f>CB13*100/$E$13</f>
        <v/>
      </c>
      <c r="CD13" s="108" t="n"/>
      <c r="CE13" s="107">
        <f>CD13*100/$E$13</f>
        <v/>
      </c>
      <c r="CF13" s="108" t="n"/>
      <c r="CG13" s="107">
        <f>CF13*100/$E$13</f>
        <v/>
      </c>
      <c r="CH13" s="108" t="n"/>
      <c r="CI13" s="107">
        <f>CH13*100/$E$13</f>
        <v/>
      </c>
      <c r="CJ13" s="108" t="n"/>
      <c r="CK13" s="107">
        <f>CJ13*100/$E$13</f>
        <v/>
      </c>
      <c r="CL13" s="108" t="n"/>
      <c r="CM13" s="107">
        <f>CL13*100/$E$13</f>
        <v/>
      </c>
      <c r="CN13" s="108" t="n"/>
      <c r="CO13" s="122">
        <f>CN13*100/$E$13</f>
        <v/>
      </c>
      <c r="CP13" s="108" t="n"/>
      <c r="CQ13" s="107">
        <f>CP13*100/$E$13</f>
        <v/>
      </c>
      <c r="CR13" s="108" t="n"/>
      <c r="CS13" s="122">
        <f>CR13*100/$E$13</f>
        <v/>
      </c>
      <c r="CT13" s="108" t="n"/>
      <c r="CU13" s="122">
        <f>CT13*100/$E$13</f>
        <v/>
      </c>
      <c r="CV13" s="108" t="n"/>
      <c r="CW13" s="122">
        <f>CV13*100/$E$13</f>
        <v/>
      </c>
      <c r="CX13" s="108" t="n"/>
      <c r="CY13" s="122">
        <f>CX13*100/$E$13</f>
        <v/>
      </c>
      <c r="CZ13" s="108" t="n"/>
      <c r="DA13" s="122">
        <f>CZ13*100/$E$13</f>
        <v/>
      </c>
      <c r="DB13" s="108" t="n"/>
      <c r="DC13" s="122">
        <f>DB13*100/$E$13</f>
        <v/>
      </c>
      <c r="DD13" s="108" t="n"/>
      <c r="DE13" s="122">
        <f>DD13*100/$E$13</f>
        <v/>
      </c>
      <c r="DF13" s="108" t="n"/>
      <c r="DG13" s="122">
        <f>DF13*100/$E$13</f>
        <v/>
      </c>
      <c r="DH13" s="108" t="n"/>
      <c r="DI13" s="122">
        <f>DH13*100/$E$13</f>
        <v/>
      </c>
      <c r="DJ13" s="108" t="n"/>
      <c r="DK13" s="122">
        <f>DJ13*100/$E$13</f>
        <v/>
      </c>
      <c r="DL13" s="108" t="n"/>
      <c r="DM13" s="122">
        <f>DL13*100/$E$13</f>
        <v/>
      </c>
      <c r="DN13" s="108" t="n"/>
      <c r="DO13" s="122">
        <f>DN13*100/$E$13</f>
        <v/>
      </c>
      <c r="DP13" s="108" t="n">
        <v>6</v>
      </c>
      <c r="DQ13" s="122">
        <f>DP13*100/$E$13</f>
        <v/>
      </c>
      <c r="DR13" s="108" t="n">
        <v>3</v>
      </c>
      <c r="DS13" s="122">
        <f>DR13*100/$E$13</f>
        <v/>
      </c>
      <c r="DT13" s="108" t="n">
        <v>3</v>
      </c>
      <c r="DU13" s="122">
        <f>DT13*100/$E$13</f>
        <v/>
      </c>
      <c r="DV13" s="108" t="n">
        <v>12</v>
      </c>
      <c r="DW13" s="122">
        <f>DV13*100/$E$13</f>
        <v/>
      </c>
      <c r="DX13" s="108" t="n"/>
      <c r="DY13" s="122">
        <f>DX13*100/$E$13</f>
        <v/>
      </c>
      <c r="DZ13" s="108" t="n"/>
      <c r="EA13" s="122">
        <f>DZ13*100/$E$13</f>
        <v/>
      </c>
      <c r="EB13" s="108" t="n"/>
      <c r="EC13" s="122">
        <f>EB13*100/$E$13</f>
        <v/>
      </c>
      <c r="ED13" s="108" t="n"/>
      <c r="EE13" s="122">
        <f>ED13*100/$E$13</f>
        <v/>
      </c>
      <c r="EF13" s="108" t="n"/>
      <c r="EG13" s="122">
        <f>EF13*100/$E$13</f>
        <v/>
      </c>
      <c r="EH13" s="108" t="n"/>
      <c r="EI13" s="122">
        <f>EH13*100/$E$13</f>
        <v/>
      </c>
      <c r="EJ13" s="108" t="n"/>
      <c r="EK13" s="122">
        <f>EJ13*100/$E$13</f>
        <v/>
      </c>
      <c r="EL13" s="108" t="n"/>
      <c r="EM13" s="122">
        <f>EL13*100/$E$13</f>
        <v/>
      </c>
      <c r="EN13" s="108" t="n"/>
      <c r="EO13" s="122">
        <f>EN13*100/$E$13</f>
        <v/>
      </c>
      <c r="EP13" s="108" t="n"/>
      <c r="EQ13" s="122">
        <f>EP13*100/$E$13</f>
        <v/>
      </c>
      <c r="ER13" s="108" t="n"/>
      <c r="ES13" s="122">
        <f>ER13*100/$E$13</f>
        <v/>
      </c>
      <c r="ET13" s="108" t="n"/>
      <c r="EU13" s="122">
        <f>ET13*100/$E$13</f>
        <v/>
      </c>
      <c r="EV13" s="108" t="n"/>
      <c r="EW13" s="122">
        <f>EV13*100/$E$13</f>
        <v/>
      </c>
      <c r="EX13" s="108" t="n"/>
      <c r="EY13" s="122">
        <f>EX13*100/$E$13</f>
        <v/>
      </c>
      <c r="EZ13" s="108" t="n"/>
      <c r="FA13" s="122">
        <f>EZ13*100/$E$13</f>
        <v/>
      </c>
      <c r="FB13" s="108" t="n"/>
      <c r="FC13" s="122">
        <f>FB13*100/$E$13</f>
        <v/>
      </c>
      <c r="FD13" s="108" t="n"/>
      <c r="FE13" s="122">
        <f>FD13*100/$E$13</f>
        <v/>
      </c>
      <c r="FF13" s="108" t="n"/>
      <c r="FG13" s="122">
        <f>FF13*100/$E$13</f>
        <v/>
      </c>
      <c r="FH13" s="108" t="n"/>
      <c r="FI13" s="122">
        <f>FH13*100/$E$13</f>
        <v/>
      </c>
      <c r="FJ13" s="108" t="n"/>
      <c r="FK13" s="122">
        <f>FJ13*100/$E$13</f>
        <v/>
      </c>
      <c r="FL13" s="108" t="n"/>
      <c r="FM13" s="122">
        <f>FL13*100/$E$13</f>
        <v/>
      </c>
      <c r="FN13" s="108" t="n"/>
      <c r="FO13" s="122">
        <f>FN13*100/$E$13</f>
        <v/>
      </c>
      <c r="FP13" s="108" t="n"/>
      <c r="FQ13" s="122">
        <f>FP13*100/$E$13</f>
        <v/>
      </c>
      <c r="FR13" s="108" t="n"/>
      <c r="FS13" s="122">
        <f>FR13*100/$E$13</f>
        <v/>
      </c>
      <c r="FT13" s="108" t="n"/>
      <c r="FU13" s="122">
        <f>FT13*100/$E$13</f>
        <v/>
      </c>
      <c r="FV13" s="108" t="n"/>
      <c r="FW13" s="122">
        <f>FV13*100/$E$13</f>
        <v/>
      </c>
      <c r="FX13" s="108" t="n"/>
      <c r="FY13" s="107">
        <f>FX13*100/$E$13</f>
        <v/>
      </c>
      <c r="FZ13" s="108" t="n"/>
      <c r="GA13" s="107">
        <f>FZ13*100/$E$13</f>
        <v/>
      </c>
      <c r="GB13" s="108" t="n"/>
      <c r="GC13" s="107">
        <f>GB13*100/$E$13</f>
        <v/>
      </c>
      <c r="GD13" s="108" t="n"/>
      <c r="GE13" s="107">
        <f>GD13*100/$E$13</f>
        <v/>
      </c>
      <c r="GF13" s="108" t="n"/>
      <c r="GG13" s="107">
        <f>GF13*100/$E$13</f>
        <v/>
      </c>
      <c r="GH13" s="108" t="n"/>
      <c r="GI13" s="107">
        <f>GH13*100/$E$13</f>
        <v/>
      </c>
      <c r="GJ13" s="108" t="n"/>
      <c r="GK13" s="122">
        <f>GJ13*100/$E$13</f>
        <v/>
      </c>
      <c r="GL13" s="108" t="n"/>
      <c r="GM13" s="107">
        <f>GL13*100/$E$13</f>
        <v/>
      </c>
      <c r="GN13" s="108" t="n"/>
      <c r="GO13" s="122">
        <f>GN13*100/$E$13</f>
        <v/>
      </c>
      <c r="GP13" s="108" t="n"/>
      <c r="GQ13" s="107">
        <f>GP13*100/$E$13</f>
        <v/>
      </c>
      <c r="GR13" s="108" t="n"/>
      <c r="GS13" s="122">
        <f>GR13*100/$E$13</f>
        <v/>
      </c>
      <c r="GT13" s="108" t="n"/>
      <c r="GU13" s="122">
        <f>GT13*100/$E$13</f>
        <v/>
      </c>
      <c r="GV13" s="108" t="n"/>
      <c r="GW13" s="122">
        <f>GV13*100/$E$13</f>
        <v/>
      </c>
      <c r="GX13" s="108" t="n"/>
      <c r="GY13" s="107">
        <f>GX13*100/$E$13</f>
        <v/>
      </c>
      <c r="GZ13" s="108" t="n"/>
      <c r="HA13" s="107">
        <f>GZ13*100/$E$13</f>
        <v/>
      </c>
      <c r="HB13" s="108" t="n"/>
      <c r="HC13" s="107">
        <f>HB13*100/$E$13</f>
        <v/>
      </c>
      <c r="HD13" s="108" t="n"/>
      <c r="HE13" s="107">
        <f>HD13*100/$E$13</f>
        <v/>
      </c>
      <c r="HF13" s="108" t="n"/>
      <c r="HG13" s="107">
        <f>HF13*100/$E$13</f>
        <v/>
      </c>
      <c r="HH13" s="108" t="n"/>
      <c r="HI13" s="107">
        <f>HH13*100/$E$13</f>
        <v/>
      </c>
      <c r="HJ13" s="108" t="n"/>
      <c r="HK13" s="107">
        <f>HJ13*100/$E$13</f>
        <v/>
      </c>
      <c r="HL13" s="108" t="n"/>
      <c r="HM13" s="107">
        <f>HL13*100/$E$13</f>
        <v/>
      </c>
      <c r="HN13" s="108" t="n"/>
      <c r="HO13" s="107">
        <f>HN13*100/$E$13</f>
        <v/>
      </c>
      <c r="HP13" s="108" t="n"/>
      <c r="HQ13" s="107">
        <f>HP13*100/$E$13</f>
        <v/>
      </c>
      <c r="HR13" s="108" t="n"/>
      <c r="HS13" s="107">
        <f>HR13*100/$E$13</f>
        <v/>
      </c>
      <c r="HT13" s="108" t="n"/>
      <c r="HU13" s="107">
        <f>HT13*100/$E$13</f>
        <v/>
      </c>
      <c r="HV13" s="108" t="n"/>
      <c r="HW13" s="107">
        <f>HV13*100/$E$13</f>
        <v/>
      </c>
      <c r="HX13" s="108" t="n"/>
      <c r="HY13" s="107">
        <f>HX13*100/$E$13</f>
        <v/>
      </c>
      <c r="HZ13" s="108" t="n"/>
      <c r="IA13" s="122">
        <f>HZ13*100/$E$13</f>
        <v/>
      </c>
      <c r="IB13" s="108" t="n"/>
      <c r="IC13" s="122">
        <f>IB13*100/$E$13</f>
        <v/>
      </c>
      <c r="ID13" s="108" t="n"/>
      <c r="IE13" s="122">
        <f>ID13*100/$E$13</f>
        <v/>
      </c>
      <c r="IF13" s="108" t="n"/>
      <c r="IG13" s="122">
        <f>IF13*100/$E$13</f>
        <v/>
      </c>
      <c r="IH13" s="108" t="n"/>
      <c r="II13" s="122">
        <f>IH13*100/$E$13</f>
        <v/>
      </c>
      <c r="IJ13" s="108" t="n"/>
      <c r="IK13" s="122">
        <f>IJ13*100/$E$13</f>
        <v/>
      </c>
      <c r="IL13" s="108" t="n"/>
      <c r="IM13" s="107">
        <f>IL13*100/$E$13</f>
        <v/>
      </c>
      <c r="IN13" s="108" t="n"/>
      <c r="IO13" s="107">
        <f>IN13*100/$E$13</f>
        <v/>
      </c>
      <c r="IP13" s="108" t="n"/>
      <c r="IQ13" s="122">
        <f>IP13*100/$E$13</f>
        <v/>
      </c>
      <c r="IR13" s="108" t="n"/>
      <c r="IS13" s="122">
        <f>IR13*100/$E$13</f>
        <v/>
      </c>
      <c r="IT13" s="108" t="n"/>
      <c r="IU13" s="122">
        <f>IT13*100/$E$13</f>
        <v/>
      </c>
      <c r="IV13" s="108" t="n"/>
      <c r="IW13" s="122">
        <f>IV13*100/$E$13</f>
        <v/>
      </c>
      <c r="IX13" s="108" t="n"/>
      <c r="IY13" s="122">
        <f>IX13*100/$E$13</f>
        <v/>
      </c>
      <c r="IZ13" s="108" t="n"/>
      <c r="JA13" s="122">
        <f>IZ13*100/$E$13</f>
        <v/>
      </c>
      <c r="JB13" s="108" t="n"/>
      <c r="JC13" s="122">
        <f>JB13*100/$E$13</f>
        <v/>
      </c>
      <c r="JD13" s="108" t="n"/>
      <c r="JE13" s="122">
        <f>JD13*100/$E$13</f>
        <v/>
      </c>
      <c r="JF13" s="108" t="n"/>
      <c r="JG13" s="122">
        <f>JF13*100/$E$13</f>
        <v/>
      </c>
      <c r="JH13" s="108" t="n"/>
      <c r="JI13" s="122">
        <f>JH13*100/$E$13</f>
        <v/>
      </c>
      <c r="JJ13" s="108" t="n"/>
      <c r="JK13" s="122">
        <f>JJ13*100/$E$13</f>
        <v/>
      </c>
      <c r="JL13" s="108" t="n"/>
      <c r="JM13" s="122">
        <f>JL13*100/$E$13</f>
        <v/>
      </c>
      <c r="JN13" s="108" t="n"/>
      <c r="JO13" s="122">
        <f>JN13*100/$E$13</f>
        <v/>
      </c>
      <c r="JP13" s="108" t="n"/>
      <c r="JQ13" s="122">
        <f>JP13*100/$E$13</f>
        <v/>
      </c>
      <c r="JR13" s="108" t="n"/>
      <c r="JS13" s="122">
        <f>JR13*100/$E$13</f>
        <v/>
      </c>
      <c r="JT13" s="108" t="n"/>
      <c r="JU13" s="122">
        <f>JT13*100/$E$13</f>
        <v/>
      </c>
      <c r="JV13" s="132" t="n"/>
      <c r="JW13" s="122">
        <f>JV13*100/$E$13</f>
        <v/>
      </c>
      <c r="JX13" s="132" t="n"/>
      <c r="JY13" s="122">
        <f>JX13*100/$E$13</f>
        <v/>
      </c>
      <c r="JZ13" s="55">
        <f>JN13+JP13+JR13+JT13+JV13+JX13</f>
        <v/>
      </c>
      <c r="KA13" s="53">
        <f>JO13+JQ13+JS13+JU13+JW13+JY13</f>
        <v/>
      </c>
      <c r="KB13" s="185">
        <f>H13+J13+L13+N13+P13+R13+T13+V13+X13+Z13+AB13+AD13+AF13+AH13+AJ13+AL13+AN13+AP13+AR13+AT13+AV13+AX13+AZ13+BB13+BD13+BF13+BH13+BJ13+BL13+BN13+BP13+BR13+BT13+BV13+BX13+BZ13+CB13+CD13+CF13+CH13+CZ13+DB13+DD13+DF13+DH13+DJ13+DL13+DN13+DP13+DR13+DT13+DV13+DX13+DZ13+EB13+ED13+EF13+EH13+EJ13+EL13+EN13+EP13+ER13+ET13+EV13+FN13+FP13+FR13+FT13+FV13+FX13+FZ13+GB13+GD13+GF13+GH13+GJ13+GL13+GN13+GP13+GR13+GT13+GV13+GX13+GZ13+HB13+HD13+HF13+HH13+HJ13+HL13+HN13+HP13+HR13+HT13+HV13+HX13+HZ13+IB13+ID13+IF13+IH13+IJ13+IL13+IN13+IP13+IR13+IT13+IV13+IX13+IZ13+JB13+JD13+JF13+JH13+JJ13+JL13+JZ13+CJ13+CL13+CN13+CP13+CR13+CT13+CV13+CX13+EX13+EZ13+FB13+FD13+FF13+FH13+FJ13+FL13</f>
        <v/>
      </c>
      <c r="KC13" s="66">
        <f>I13+K13+M13+O13+Q13+S13+U13+W13+Y13+AA13+AC13+AE13+AG13+AI13+AK13+AM13+AO13+AQ13+AS13+AU13+AW13+AY13+BA13+BC13+BE13+BG13+BI13+BK13+BM13+BO13+BQ13+BS13+BU13+BW13+BY13+CA13+CC13+CE13+CG13+CI13+DA13+DC13+DE13+DG13+DI13+DK13+DM13+DO13+DQ13+DS13+DU13+DW13+DY13+EA13+EC13+EE13+EG13+EI13+EK13+EM13+EO13+EQ13+ES13+EU13+EW13+FO13+FS13+FU13+FW13+FQ13+FY13+GA13+GC13+GE13+GG13+GI13+GK13+GM13+GO13+GQ13+GS13+GU13+GW13+GY13+HA13+HC13+HE13+HG13+HI13+HK13+HM13+HO13+HQ13+HS13+HU13+HW13+HY13+IA13+IC13+IE13+IG13+II13+IK13+IM13+IO13+IQ13+IS13+IU13+IW13+IY13+JA13+JC13+JE13+JG13+JI13+JK13+JM13+KA13+CK13+CM13+CO13+CQ13+CS13+CU13+CW13+CY13+EY13+FA13+FC13+FE13+FG13+FI13+FK13+FM13</f>
        <v/>
      </c>
      <c r="KD13" s="44">
        <f>JO13+JQ13+JS13+JU13+JW13+JY13</f>
        <v/>
      </c>
      <c r="KE13" s="45">
        <f>KB13=E13</f>
        <v/>
      </c>
      <c r="KF13" s="101">
        <f>E13-KB13</f>
        <v/>
      </c>
      <c r="KG13" s="14" t="n"/>
    </row>
    <row r="14" ht="21.75" customFormat="1" customHeight="1" s="14">
      <c r="A14" s="126">
        <f>A13+1</f>
        <v/>
      </c>
      <c r="B14" s="175" t="inlineStr">
        <is>
          <t>Гринев В.Н.</t>
        </is>
      </c>
      <c r="C14" s="176" t="inlineStr">
        <is>
          <t>сварщик</t>
        </is>
      </c>
      <c r="D14" s="177">
        <f>$D$5</f>
        <v/>
      </c>
      <c r="E14" s="202" t="n">
        <v>144</v>
      </c>
      <c r="F14" s="190" t="n">
        <v>61252.7</v>
      </c>
      <c r="G14" s="179">
        <f>F14/D14</f>
        <v/>
      </c>
      <c r="H14" s="125" t="n"/>
      <c r="I14" s="107">
        <f>H14*100/$E$14</f>
        <v/>
      </c>
      <c r="J14" s="108" t="n"/>
      <c r="K14" s="107">
        <f>J14*100/$E$14</f>
        <v/>
      </c>
      <c r="L14" s="108" t="n"/>
      <c r="M14" s="107">
        <f>L14*100/$E$14</f>
        <v/>
      </c>
      <c r="N14" s="108" t="n"/>
      <c r="O14" s="107">
        <f>N14*100/$E$14</f>
        <v/>
      </c>
      <c r="P14" s="108" t="n"/>
      <c r="Q14" s="122">
        <f>P14*100/$E$14</f>
        <v/>
      </c>
      <c r="R14" s="108" t="n"/>
      <c r="S14" s="122">
        <f>R14*100/$E$14</f>
        <v/>
      </c>
      <c r="T14" s="108" t="n"/>
      <c r="U14" s="107">
        <f>T14*100/$E$14</f>
        <v/>
      </c>
      <c r="V14" s="108" t="n"/>
      <c r="W14" s="107">
        <f>V14*100/$E$14</f>
        <v/>
      </c>
      <c r="X14" s="108" t="n"/>
      <c r="Y14" s="107">
        <f>X14*100/$E$14</f>
        <v/>
      </c>
      <c r="Z14" s="108" t="n"/>
      <c r="AA14" s="107">
        <f>Z14*100/$E$14</f>
        <v/>
      </c>
      <c r="AB14" s="108" t="n"/>
      <c r="AC14" s="107">
        <f>AB14*100/$E$14</f>
        <v/>
      </c>
      <c r="AD14" s="108" t="n">
        <v>16</v>
      </c>
      <c r="AE14" s="122">
        <f>AD14*100/$E$14</f>
        <v/>
      </c>
      <c r="AF14" s="108" t="n"/>
      <c r="AG14" s="122">
        <f>AF14*100/$E$14</f>
        <v/>
      </c>
      <c r="AH14" s="108" t="n"/>
      <c r="AI14" s="107">
        <f>AH14*100/$E$14</f>
        <v/>
      </c>
      <c r="AJ14" s="108" t="n"/>
      <c r="AK14" s="107">
        <f>AJ14*100/$E$14</f>
        <v/>
      </c>
      <c r="AL14" s="108" t="n"/>
      <c r="AM14" s="107">
        <f>AL14*100/$E$14</f>
        <v/>
      </c>
      <c r="AN14" s="108" t="n"/>
      <c r="AO14" s="107">
        <f>AN14*100/$E$14</f>
        <v/>
      </c>
      <c r="AP14" s="108" t="n">
        <v>60.5</v>
      </c>
      <c r="AQ14" s="107">
        <f>AP14*100/$E$14</f>
        <v/>
      </c>
      <c r="AR14" s="108" t="n"/>
      <c r="AS14" s="107">
        <f>AR14*100/$E$14</f>
        <v/>
      </c>
      <c r="AT14" s="108" t="n"/>
      <c r="AU14" s="90">
        <f>AT14*100/$E$14</f>
        <v/>
      </c>
      <c r="AV14" s="108" t="n"/>
      <c r="AW14" s="107">
        <f>AV14*100/$E$14</f>
        <v/>
      </c>
      <c r="AX14" s="108" t="n">
        <v>43.5</v>
      </c>
      <c r="AY14" s="107">
        <f>AX14*100/$E$14</f>
        <v/>
      </c>
      <c r="AZ14" s="108" t="n"/>
      <c r="BA14" s="107">
        <f>AZ14*100/$E$14</f>
        <v/>
      </c>
      <c r="BB14" s="108" t="n"/>
      <c r="BC14" s="107">
        <f>BB14*100/$E$14</f>
        <v/>
      </c>
      <c r="BD14" s="108" t="n"/>
      <c r="BE14" s="107">
        <f>BD14*100/$E$14</f>
        <v/>
      </c>
      <c r="BF14" s="108" t="n"/>
      <c r="BG14" s="107">
        <f>BF14*100/$E$14</f>
        <v/>
      </c>
      <c r="BH14" s="108" t="n"/>
      <c r="BI14" s="107">
        <f>BH14*100/$E$14</f>
        <v/>
      </c>
      <c r="BJ14" s="108" t="n"/>
      <c r="BK14" s="107">
        <f>BJ14*100/$E$14</f>
        <v/>
      </c>
      <c r="BL14" s="108" t="n"/>
      <c r="BM14" s="107">
        <f>BL14*100/$E$14</f>
        <v/>
      </c>
      <c r="BN14" s="108" t="n"/>
      <c r="BO14" s="107">
        <f>BN14*100/$E$14</f>
        <v/>
      </c>
      <c r="BP14" s="108" t="n"/>
      <c r="BQ14" s="107">
        <f>BP14*100/$E$14</f>
        <v/>
      </c>
      <c r="BR14" s="108" t="n"/>
      <c r="BS14" s="107">
        <f>BR14*100/$E$14</f>
        <v/>
      </c>
      <c r="BT14" s="108" t="n"/>
      <c r="BU14" s="107">
        <f>BT14*100/$E$14</f>
        <v/>
      </c>
      <c r="BV14" s="108" t="n"/>
      <c r="BW14" s="107">
        <f>BV14*100/$E$14</f>
        <v/>
      </c>
      <c r="BX14" s="108" t="n"/>
      <c r="BY14" s="107">
        <f>BX14*100/$E$14</f>
        <v/>
      </c>
      <c r="BZ14" s="108" t="n"/>
      <c r="CA14" s="107">
        <f>BZ14*100/$E$14</f>
        <v/>
      </c>
      <c r="CB14" s="108" t="n"/>
      <c r="CC14" s="107">
        <f>CB14*100/$E$14</f>
        <v/>
      </c>
      <c r="CD14" s="108" t="n"/>
      <c r="CE14" s="107">
        <f>CD14*100/$E$14</f>
        <v/>
      </c>
      <c r="CF14" s="108" t="n"/>
      <c r="CG14" s="107">
        <f>CF14*100/$E$14</f>
        <v/>
      </c>
      <c r="CH14" s="108" t="n"/>
      <c r="CI14" s="107">
        <f>CH14*100/$E$14</f>
        <v/>
      </c>
      <c r="CJ14" s="108" t="n"/>
      <c r="CK14" s="107">
        <f>CJ14*100/$E$14</f>
        <v/>
      </c>
      <c r="CL14" s="108" t="n"/>
      <c r="CM14" s="107">
        <f>CL14*100/$E$14</f>
        <v/>
      </c>
      <c r="CN14" s="108" t="n"/>
      <c r="CO14" s="122">
        <f>CN14*100/$E$14</f>
        <v/>
      </c>
      <c r="CP14" s="108" t="n"/>
      <c r="CQ14" s="107">
        <f>CP14*100/$E$14</f>
        <v/>
      </c>
      <c r="CR14" s="108" t="n"/>
      <c r="CS14" s="122">
        <f>CR14*100/$E$14</f>
        <v/>
      </c>
      <c r="CT14" s="108" t="n"/>
      <c r="CU14" s="122">
        <f>CT14*100/$E$14</f>
        <v/>
      </c>
      <c r="CV14" s="108" t="n"/>
      <c r="CW14" s="122">
        <f>CV14*100/$E$14</f>
        <v/>
      </c>
      <c r="CX14" s="108" t="n"/>
      <c r="CY14" s="122">
        <f>CX14*100/$E$14</f>
        <v/>
      </c>
      <c r="CZ14" s="108" t="n"/>
      <c r="DA14" s="122">
        <f>CZ14*100/$E$14</f>
        <v/>
      </c>
      <c r="DB14" s="108" t="n"/>
      <c r="DC14" s="122">
        <f>DB14*100/$E$14</f>
        <v/>
      </c>
      <c r="DD14" s="108" t="n"/>
      <c r="DE14" s="122">
        <f>DD14*100/$E$14</f>
        <v/>
      </c>
      <c r="DF14" s="108" t="n"/>
      <c r="DG14" s="122">
        <f>DF14*100/$E$14</f>
        <v/>
      </c>
      <c r="DH14" s="108" t="n"/>
      <c r="DI14" s="122">
        <f>DH14*100/$E$14</f>
        <v/>
      </c>
      <c r="DJ14" s="108" t="n"/>
      <c r="DK14" s="122">
        <f>DJ14*100/$E$14</f>
        <v/>
      </c>
      <c r="DL14" s="108" t="n"/>
      <c r="DM14" s="122">
        <f>DL14*100/$E$14</f>
        <v/>
      </c>
      <c r="DN14" s="108" t="n"/>
      <c r="DO14" s="122">
        <f>DN14*100/$E$14</f>
        <v/>
      </c>
      <c r="DP14" s="108" t="n"/>
      <c r="DQ14" s="122">
        <f>DP14*100/$E$14</f>
        <v/>
      </c>
      <c r="DR14" s="108" t="n"/>
      <c r="DS14" s="122">
        <f>DR14*100/$E$14</f>
        <v/>
      </c>
      <c r="DT14" s="108" t="n"/>
      <c r="DU14" s="122">
        <f>DT14*100/$E$14</f>
        <v/>
      </c>
      <c r="DV14" s="108" t="n"/>
      <c r="DW14" s="122">
        <f>DV14*100/$E$14</f>
        <v/>
      </c>
      <c r="DX14" s="108" t="n"/>
      <c r="DY14" s="122">
        <f>DX14*100/$E$14</f>
        <v/>
      </c>
      <c r="DZ14" s="108" t="n"/>
      <c r="EA14" s="122">
        <f>DZ14*100/$E$14</f>
        <v/>
      </c>
      <c r="EB14" s="108" t="n"/>
      <c r="EC14" s="122">
        <f>EB14*100/$E$14</f>
        <v/>
      </c>
      <c r="ED14" s="108" t="n"/>
      <c r="EE14" s="122">
        <f>ED14*100/$E$14</f>
        <v/>
      </c>
      <c r="EF14" s="108" t="n"/>
      <c r="EG14" s="122">
        <f>EF14*100/$E$14</f>
        <v/>
      </c>
      <c r="EH14" s="108" t="n"/>
      <c r="EI14" s="122">
        <f>EH14*100/$E$14</f>
        <v/>
      </c>
      <c r="EJ14" s="108" t="n"/>
      <c r="EK14" s="122">
        <f>EJ14*100/$E$14</f>
        <v/>
      </c>
      <c r="EL14" s="108" t="n"/>
      <c r="EM14" s="122">
        <f>EL14*100/$E$14</f>
        <v/>
      </c>
      <c r="EN14" s="108" t="n"/>
      <c r="EO14" s="122">
        <f>EN14*100/$E$14</f>
        <v/>
      </c>
      <c r="EP14" s="108" t="n"/>
      <c r="EQ14" s="122">
        <f>EP14*100/$E$14</f>
        <v/>
      </c>
      <c r="ER14" s="108" t="n"/>
      <c r="ES14" s="122">
        <f>ER14*100/$E$14</f>
        <v/>
      </c>
      <c r="ET14" s="108" t="n"/>
      <c r="EU14" s="122">
        <f>ET14*100/$E$14</f>
        <v/>
      </c>
      <c r="EV14" s="108" t="n"/>
      <c r="EW14" s="122">
        <f>EV14*100/$E$14</f>
        <v/>
      </c>
      <c r="EX14" s="108" t="n"/>
      <c r="EY14" s="122">
        <f>EX14*100/$E$14</f>
        <v/>
      </c>
      <c r="EZ14" s="108" t="n"/>
      <c r="FA14" s="122">
        <f>EZ14*100/$E$14</f>
        <v/>
      </c>
      <c r="FB14" s="108" t="n"/>
      <c r="FC14" s="122">
        <f>FB14*100/$E$14</f>
        <v/>
      </c>
      <c r="FD14" s="108" t="n"/>
      <c r="FE14" s="122">
        <f>FD14*100/$E$14</f>
        <v/>
      </c>
      <c r="FF14" s="108" t="n"/>
      <c r="FG14" s="122">
        <f>FF14*100/$E$14</f>
        <v/>
      </c>
      <c r="FH14" s="108" t="n"/>
      <c r="FI14" s="122">
        <f>FH14*100/$E$14</f>
        <v/>
      </c>
      <c r="FJ14" s="108" t="n"/>
      <c r="FK14" s="122">
        <f>FJ14*100/$E$14</f>
        <v/>
      </c>
      <c r="FL14" s="108" t="n"/>
      <c r="FM14" s="122">
        <f>FL14*100/$E$14</f>
        <v/>
      </c>
      <c r="FN14" s="108" t="n"/>
      <c r="FO14" s="122">
        <f>FN14*100/$E$14</f>
        <v/>
      </c>
      <c r="FP14" s="108" t="n"/>
      <c r="FQ14" s="122">
        <f>FP14*100/$E$14</f>
        <v/>
      </c>
      <c r="FR14" s="108" t="n"/>
      <c r="FS14" s="122">
        <f>FR14*100/$E$14</f>
        <v/>
      </c>
      <c r="FT14" s="108" t="n"/>
      <c r="FU14" s="122">
        <f>FT14*100/$E$14</f>
        <v/>
      </c>
      <c r="FV14" s="108" t="n"/>
      <c r="FW14" s="122">
        <f>FV14*100/$E$14</f>
        <v/>
      </c>
      <c r="FX14" s="108" t="n"/>
      <c r="FY14" s="107">
        <f>FX14*100/$E$14</f>
        <v/>
      </c>
      <c r="FZ14" s="108" t="n"/>
      <c r="GA14" s="107">
        <f>FZ14*100/$E$14</f>
        <v/>
      </c>
      <c r="GB14" s="108" t="n"/>
      <c r="GC14" s="107">
        <f>GB14*100/$E$14</f>
        <v/>
      </c>
      <c r="GD14" s="108" t="n"/>
      <c r="GE14" s="107">
        <f>GD14*100/$E$14</f>
        <v/>
      </c>
      <c r="GF14" s="108" t="n"/>
      <c r="GG14" s="107">
        <f>GF14*100/$E$14</f>
        <v/>
      </c>
      <c r="GH14" s="108" t="n"/>
      <c r="GI14" s="107">
        <f>GH14*100/$E$14</f>
        <v/>
      </c>
      <c r="GJ14" s="108" t="n"/>
      <c r="GK14" s="122">
        <f>GJ14*100/$E$14</f>
        <v/>
      </c>
      <c r="GL14" s="108" t="n"/>
      <c r="GM14" s="107">
        <f>GL14*100/$E$14</f>
        <v/>
      </c>
      <c r="GN14" s="108" t="n"/>
      <c r="GO14" s="122">
        <f>GN14*100/$E$14</f>
        <v/>
      </c>
      <c r="GP14" s="108" t="n"/>
      <c r="GQ14" s="107">
        <f>GP14*100/$E$14</f>
        <v/>
      </c>
      <c r="GR14" s="108" t="n"/>
      <c r="GS14" s="122">
        <f>GR14*100/$E$14</f>
        <v/>
      </c>
      <c r="GT14" s="108" t="n"/>
      <c r="GU14" s="122">
        <f>GT14*100/$E$14</f>
        <v/>
      </c>
      <c r="GV14" s="108" t="n"/>
      <c r="GW14" s="122">
        <f>GV14*100/$E$14</f>
        <v/>
      </c>
      <c r="GX14" s="108" t="n"/>
      <c r="GY14" s="107">
        <f>GX14*100/$E$14</f>
        <v/>
      </c>
      <c r="GZ14" s="108" t="n"/>
      <c r="HA14" s="107">
        <f>GZ14*100/$E$14</f>
        <v/>
      </c>
      <c r="HB14" s="108" t="n"/>
      <c r="HC14" s="107">
        <f>HB14*100/$E$14</f>
        <v/>
      </c>
      <c r="HD14" s="108" t="n"/>
      <c r="HE14" s="107">
        <f>HD14*100/$E$14</f>
        <v/>
      </c>
      <c r="HF14" s="108" t="n"/>
      <c r="HG14" s="107">
        <f>HF14*100/$E$14</f>
        <v/>
      </c>
      <c r="HH14" s="108" t="n"/>
      <c r="HI14" s="107">
        <f>HH14*100/$E$14</f>
        <v/>
      </c>
      <c r="HJ14" s="108" t="n"/>
      <c r="HK14" s="107">
        <f>HJ14*100/$E$14</f>
        <v/>
      </c>
      <c r="HL14" s="108" t="n"/>
      <c r="HM14" s="107">
        <f>HL14*100/$E$14</f>
        <v/>
      </c>
      <c r="HN14" s="108" t="n"/>
      <c r="HO14" s="107">
        <f>HN14*100/$E$14</f>
        <v/>
      </c>
      <c r="HP14" s="108" t="n"/>
      <c r="HQ14" s="107">
        <f>HP14*100/$E$14</f>
        <v/>
      </c>
      <c r="HR14" s="108" t="n"/>
      <c r="HS14" s="107">
        <f>HR14*100/$E$14</f>
        <v/>
      </c>
      <c r="HT14" s="108" t="n"/>
      <c r="HU14" s="107">
        <f>HT14*100/$E$14</f>
        <v/>
      </c>
      <c r="HV14" s="108" t="n"/>
      <c r="HW14" s="107">
        <f>HV14*100/$E$14</f>
        <v/>
      </c>
      <c r="HX14" s="108" t="n"/>
      <c r="HY14" s="107">
        <f>HX14*100/$E$14</f>
        <v/>
      </c>
      <c r="HZ14" s="108" t="n"/>
      <c r="IA14" s="122">
        <f>HZ14*100/$E$14</f>
        <v/>
      </c>
      <c r="IB14" s="108" t="n"/>
      <c r="IC14" s="122">
        <f>IB14*100/$E$14</f>
        <v/>
      </c>
      <c r="ID14" s="108" t="n"/>
      <c r="IE14" s="122">
        <f>ID14*100/$E$14</f>
        <v/>
      </c>
      <c r="IF14" s="108" t="n"/>
      <c r="IG14" s="122">
        <f>IF14*100/$E$14</f>
        <v/>
      </c>
      <c r="IH14" s="108" t="n"/>
      <c r="II14" s="122">
        <f>IH14*100/$E$14</f>
        <v/>
      </c>
      <c r="IJ14" s="108" t="n"/>
      <c r="IK14" s="122">
        <f>IJ14*100/$E$14</f>
        <v/>
      </c>
      <c r="IL14" s="108" t="n"/>
      <c r="IM14" s="107">
        <f>IL14*100/E14</f>
        <v/>
      </c>
      <c r="IN14" s="108" t="n"/>
      <c r="IO14" s="107">
        <f>IN14*100/$E$14</f>
        <v/>
      </c>
      <c r="IP14" s="108" t="n"/>
      <c r="IQ14" s="122">
        <f>IP14*100/$E$14</f>
        <v/>
      </c>
      <c r="IR14" s="108" t="n"/>
      <c r="IS14" s="122">
        <f>IR14*100/$E$14</f>
        <v/>
      </c>
      <c r="IT14" s="108" t="n"/>
      <c r="IU14" s="122">
        <f>IT14*100/$E$14</f>
        <v/>
      </c>
      <c r="IV14" s="108" t="n"/>
      <c r="IW14" s="122">
        <f>IV14*100/$E$14</f>
        <v/>
      </c>
      <c r="IX14" s="108" t="n"/>
      <c r="IY14" s="122">
        <f>IX14*100/$E$14</f>
        <v/>
      </c>
      <c r="IZ14" s="108" t="n"/>
      <c r="JA14" s="122">
        <f>IZ14*100/$E$14</f>
        <v/>
      </c>
      <c r="JB14" s="108" t="n"/>
      <c r="JC14" s="122">
        <f>JB14*100/$E$14</f>
        <v/>
      </c>
      <c r="JD14" s="108" t="n"/>
      <c r="JE14" s="122">
        <f>JD14*100/$E$14</f>
        <v/>
      </c>
      <c r="JF14" s="108" t="n"/>
      <c r="JG14" s="122">
        <f>JF14*100/$E$14</f>
        <v/>
      </c>
      <c r="JH14" s="108" t="n"/>
      <c r="JI14" s="122">
        <f>JH14*100/$E$14</f>
        <v/>
      </c>
      <c r="JJ14" s="108" t="n"/>
      <c r="JK14" s="122">
        <f>JJ14*100/$E$14</f>
        <v/>
      </c>
      <c r="JL14" s="108" t="n"/>
      <c r="JM14" s="122">
        <f>JL14*100/$E$14</f>
        <v/>
      </c>
      <c r="JN14" s="108" t="n">
        <v>24</v>
      </c>
      <c r="JO14" s="121">
        <f>JN14*100/$E$14</f>
        <v/>
      </c>
      <c r="JP14" s="108" t="n"/>
      <c r="JQ14" s="121">
        <f>JP14*100/$E$14</f>
        <v/>
      </c>
      <c r="JR14" s="108" t="n"/>
      <c r="JS14" s="121">
        <f>JR14*100/$E$14</f>
        <v/>
      </c>
      <c r="JT14" s="108" t="n"/>
      <c r="JU14" s="121">
        <f>JT14*100/$E$14</f>
        <v/>
      </c>
      <c r="JV14" s="108" t="n"/>
      <c r="JW14" s="121">
        <f>JV14*100/$E$14</f>
        <v/>
      </c>
      <c r="JX14" s="108" t="n"/>
      <c r="JY14" s="121">
        <f>JX14*100/$E$14</f>
        <v/>
      </c>
      <c r="JZ14" s="55">
        <f>JN14+JP14+JR14+JT14+JV14+JX14</f>
        <v/>
      </c>
      <c r="KA14" s="53">
        <f>JO14+JQ14+JS14+JU14+JW14+JY14</f>
        <v/>
      </c>
      <c r="KB14" s="185">
        <f>H14+J14+L14+N14+P14+R14+T14+V14+X14+Z14+AB14+AD14+AF14+AH14+AJ14+AL14+AN14+AP14+AR14+AT14+AV14+AX14+AZ14+BB14+BD14+BF14+BH14+BJ14+BL14+BN14+BP14+BR14+BT14+BV14+BX14+BZ14+CB14+CD14+CF14+CH14+CZ14+DB14+DD14+DF14+DH14+DJ14+DL14+DN14+DP14+DR14+DT14+DV14+DX14+DZ14+EB14+ED14+EF14+EH14+EJ14+EL14+EN14+EP14+ER14+ET14+EV14+FN14+FP14+FR14+FT14+FV14+FX14+FZ14+GB14+GD14+GF14+GH14+GJ14+GL14+GN14+GP14+GR14+GT14+GV14+GX14+GZ14+HB14+HD14+HF14+HH14+HJ14+HL14+HN14+HP14+HR14+HT14+HV14+HX14+HZ14+IB14+ID14+IF14+IH14+IJ14+IL14+IN14+IP14+IR14+IT14+IV14+IX14+IZ14+JB14+JD14+JF14+JH14+JJ14+JL14+JZ14+CJ14+CL14+CN14+CP14+CR14+CT14+CV14+CX14+EX14+EZ14+FB14+FD14+FF14+FH14+FJ14+FL14</f>
        <v/>
      </c>
      <c r="KC14" s="66">
        <f>I14+K14+M14+O14+Q14+S14+U14+W14+Y14+AA14+AC14+AE14+AG14+AI14+AK14+AM14+AO14+AQ14+AS14+AU14+AW14+AY14+BA14+BC14+BE14+BG14+BI14+BK14+BM14+BO14+BQ14+BS14+BU14+BW14+BY14+CA14+CC14+CE14+CG14+CI14+DA14+DC14+DE14+DG14+DI14+DK14+DM14+DO14+DQ14+DS14+DU14+DW14+DY14+EA14+EC14+EE14+EG14+EI14+EK14+EM14+EO14+EQ14+ES14+EU14+EW14+FO14+FS14+FU14+FW14+FQ14+FY14+GA14+GC14+GE14+GG14+GI14+GK14+GM14+GO14+GQ14+GS14+GU14+GW14+GY14+HA14+HC14+HE14+HG14+HI14+HK14+HM14+HO14+HQ14+HS14+HU14+HW14+HY14+IA14+IC14+IE14+IG14+II14+IK14+IM14+IO14+IQ14+IS14+IU14+IW14+IY14+JA14+JC14+JE14+JG14+JI14+JK14+JM14+KA14+CK14+CM14+CO14+CQ14+CS14+CU14+CW14+CY14+EY14+FA14+FC14+FE14+FG14+FI14+FK14+FM14</f>
        <v/>
      </c>
      <c r="KD14" s="44">
        <f>JO14+JQ14+JS14+JU14+JW14+JY14</f>
        <v/>
      </c>
      <c r="KE14" s="45">
        <f>KB14=E14</f>
        <v/>
      </c>
      <c r="KF14" s="101">
        <f>E14-KB14</f>
        <v/>
      </c>
      <c r="KG14" s="15" t="n"/>
    </row>
    <row r="15" ht="21.75" customFormat="1" customHeight="1" s="15">
      <c r="A15" s="126">
        <f>A14+1</f>
        <v/>
      </c>
      <c r="B15" s="175" t="inlineStr">
        <is>
          <t>Гулиев Б.Н</t>
        </is>
      </c>
      <c r="C15" s="176" t="inlineStr">
        <is>
          <t>сварщик</t>
        </is>
      </c>
      <c r="D15" s="177">
        <f>$D$5</f>
        <v/>
      </c>
      <c r="E15" s="202" t="n">
        <v>153</v>
      </c>
      <c r="F15" s="190" t="n">
        <v>74252.7</v>
      </c>
      <c r="G15" s="179">
        <f>F15/D15</f>
        <v/>
      </c>
      <c r="H15" s="125" t="n"/>
      <c r="I15" s="107">
        <f>H15*100/$E$15</f>
        <v/>
      </c>
      <c r="J15" s="108" t="n"/>
      <c r="K15" s="107">
        <f>J15*100/$E$15</f>
        <v/>
      </c>
      <c r="L15" s="108" t="n"/>
      <c r="M15" s="107">
        <f>L15*100/$E$15</f>
        <v/>
      </c>
      <c r="N15" s="108" t="n"/>
      <c r="O15" s="107">
        <f>N15*100/$E$15</f>
        <v/>
      </c>
      <c r="P15" s="108" t="n"/>
      <c r="Q15" s="122">
        <f>P15*100/$E$15</f>
        <v/>
      </c>
      <c r="R15" s="108" t="n"/>
      <c r="S15" s="122">
        <f>R15*100/$E$15</f>
        <v/>
      </c>
      <c r="T15" s="108" t="n"/>
      <c r="U15" s="107">
        <f>T15*100/$E$15</f>
        <v/>
      </c>
      <c r="V15" s="108" t="n"/>
      <c r="W15" s="107">
        <f>V15*100/$E$15</f>
        <v/>
      </c>
      <c r="X15" s="108" t="n"/>
      <c r="Y15" s="107">
        <f>X15*100/$E$15</f>
        <v/>
      </c>
      <c r="Z15" s="108" t="n"/>
      <c r="AA15" s="107">
        <f>Z15*100/$E$15</f>
        <v/>
      </c>
      <c r="AB15" s="108" t="n"/>
      <c r="AC15" s="107">
        <f>AB15*100/$E$15</f>
        <v/>
      </c>
      <c r="AD15" s="108" t="n"/>
      <c r="AE15" s="122">
        <f>AD15*100/$E$15</f>
        <v/>
      </c>
      <c r="AF15" s="108" t="n"/>
      <c r="AG15" s="122">
        <f>AF15*100/$E$15</f>
        <v/>
      </c>
      <c r="AH15" s="108" t="n"/>
      <c r="AI15" s="107">
        <f>AH15*100/$E$15</f>
        <v/>
      </c>
      <c r="AJ15" s="108" t="n"/>
      <c r="AK15" s="107">
        <f>AJ15*100/$E$15</f>
        <v/>
      </c>
      <c r="AL15" s="108" t="n"/>
      <c r="AM15" s="107">
        <f>AL15*100/$E$15</f>
        <v/>
      </c>
      <c r="AN15" s="108" t="n"/>
      <c r="AO15" s="107">
        <f>AN15*100/$E$15</f>
        <v/>
      </c>
      <c r="AP15" s="108" t="n"/>
      <c r="AQ15" s="107">
        <f>AP15*100/$E$15</f>
        <v/>
      </c>
      <c r="AR15" s="108" t="n"/>
      <c r="AS15" s="107">
        <f>AR15*100/$E$15</f>
        <v/>
      </c>
      <c r="AT15" s="108" t="n">
        <v>6</v>
      </c>
      <c r="AU15" s="90">
        <f>AT15*100/$E$15</f>
        <v/>
      </c>
      <c r="AV15" s="108" t="n"/>
      <c r="AW15" s="107">
        <f>AV15*100/$E$15</f>
        <v/>
      </c>
      <c r="AX15" s="108" t="n">
        <v>3</v>
      </c>
      <c r="AY15" s="107">
        <f>AX15*100/$E$15</f>
        <v/>
      </c>
      <c r="AZ15" s="108" t="n">
        <v>4</v>
      </c>
      <c r="BA15" s="107">
        <f>AZ15*100/$E$15</f>
        <v/>
      </c>
      <c r="BB15" s="108" t="n"/>
      <c r="BC15" s="107">
        <f>BB15*100/$E$15</f>
        <v/>
      </c>
      <c r="BD15" s="108" t="n"/>
      <c r="BE15" s="107">
        <f>BD15*100/$E$15</f>
        <v/>
      </c>
      <c r="BF15" s="108" t="n"/>
      <c r="BG15" s="107">
        <f>BF15*100/$E$15</f>
        <v/>
      </c>
      <c r="BH15" s="108" t="n"/>
      <c r="BI15" s="107">
        <f>BH15*100/$E$15</f>
        <v/>
      </c>
      <c r="BJ15" s="108" t="n">
        <v>77</v>
      </c>
      <c r="BK15" s="107">
        <f>BJ15*100/$E$15</f>
        <v/>
      </c>
      <c r="BL15" s="108" t="n">
        <v>2</v>
      </c>
      <c r="BM15" s="107">
        <f>BL15*100/$E$15</f>
        <v/>
      </c>
      <c r="BN15" s="108" t="n"/>
      <c r="BO15" s="107">
        <f>BN15*100/$E$15</f>
        <v/>
      </c>
      <c r="BP15" s="108" t="n"/>
      <c r="BQ15" s="107">
        <f>BP15*100/$E$15</f>
        <v/>
      </c>
      <c r="BR15" s="108" t="n"/>
      <c r="BS15" s="107">
        <f>BR15*100/$E$15</f>
        <v/>
      </c>
      <c r="BT15" s="108" t="n"/>
      <c r="BU15" s="107">
        <f>BT15*100/$E$15</f>
        <v/>
      </c>
      <c r="BV15" s="108" t="n"/>
      <c r="BW15" s="107">
        <f>BV15*100/$E$15</f>
        <v/>
      </c>
      <c r="BX15" s="108" t="n"/>
      <c r="BY15" s="107">
        <f>BX15*100/$E$15</f>
        <v/>
      </c>
      <c r="BZ15" s="108" t="n"/>
      <c r="CA15" s="107">
        <f>BZ15*100/$E$15</f>
        <v/>
      </c>
      <c r="CB15" s="108" t="n"/>
      <c r="CC15" s="107">
        <f>CB15*100/$E$15</f>
        <v/>
      </c>
      <c r="CD15" s="108" t="n"/>
      <c r="CE15" s="107">
        <f>CD15*100/$E$15</f>
        <v/>
      </c>
      <c r="CF15" s="108" t="n">
        <v>22</v>
      </c>
      <c r="CG15" s="107">
        <f>CF15*100/$E$15</f>
        <v/>
      </c>
      <c r="CH15" s="108" t="n"/>
      <c r="CI15" s="107">
        <f>CH15*100/$E$15</f>
        <v/>
      </c>
      <c r="CJ15" s="108" t="n"/>
      <c r="CK15" s="107">
        <f>CJ15*100/$E$15</f>
        <v/>
      </c>
      <c r="CL15" s="108" t="n"/>
      <c r="CM15" s="107">
        <f>CL15*100/$E$15</f>
        <v/>
      </c>
      <c r="CN15" s="108" t="n">
        <v>3</v>
      </c>
      <c r="CO15" s="122">
        <f>CN15*100/$E$15</f>
        <v/>
      </c>
      <c r="CP15" s="108" t="n">
        <v>2</v>
      </c>
      <c r="CQ15" s="107">
        <f>CP15*100/$E$15</f>
        <v/>
      </c>
      <c r="CR15" s="108" t="n"/>
      <c r="CS15" s="122">
        <f>CR15*100/$E$15</f>
        <v/>
      </c>
      <c r="CT15" s="108" t="n"/>
      <c r="CU15" s="122">
        <f>CT15*100/$E$15</f>
        <v/>
      </c>
      <c r="CV15" s="108" t="n"/>
      <c r="CW15" s="122">
        <f>CV15*100/$E$15</f>
        <v/>
      </c>
      <c r="CX15" s="108" t="n"/>
      <c r="CY15" s="122">
        <f>CX15*100/$E$15</f>
        <v/>
      </c>
      <c r="CZ15" s="108" t="n"/>
      <c r="DA15" s="122">
        <f>CZ15*100/$E$15</f>
        <v/>
      </c>
      <c r="DB15" s="108" t="n">
        <v>4</v>
      </c>
      <c r="DC15" s="122">
        <f>DB15*100/$E$15</f>
        <v/>
      </c>
      <c r="DD15" s="108" t="n">
        <v>6</v>
      </c>
      <c r="DE15" s="122">
        <f>DD15*100/$E$15</f>
        <v/>
      </c>
      <c r="DF15" s="108" t="n"/>
      <c r="DG15" s="122">
        <f>DF15*100/$E$15</f>
        <v/>
      </c>
      <c r="DH15" s="108" t="n"/>
      <c r="DI15" s="122">
        <f>DH15*100/$E$15</f>
        <v/>
      </c>
      <c r="DJ15" s="108" t="n"/>
      <c r="DK15" s="122">
        <f>DJ15*100/$E$15</f>
        <v/>
      </c>
      <c r="DL15" s="108" t="n">
        <v>9</v>
      </c>
      <c r="DM15" s="122">
        <f>DL15*100/$E$15</f>
        <v/>
      </c>
      <c r="DN15" s="108" t="n"/>
      <c r="DO15" s="122">
        <f>DN15*100/$E$15</f>
        <v/>
      </c>
      <c r="DP15" s="108" t="n"/>
      <c r="DQ15" s="122">
        <f>DP15*100/$E$15</f>
        <v/>
      </c>
      <c r="DR15" s="108" t="n"/>
      <c r="DS15" s="122">
        <f>DR15*100/$E$15</f>
        <v/>
      </c>
      <c r="DT15" s="108" t="n"/>
      <c r="DU15" s="122">
        <f>DT15*100/$E$15</f>
        <v/>
      </c>
      <c r="DV15" s="108" t="n"/>
      <c r="DW15" s="122">
        <f>DV15*100/$E$15</f>
        <v/>
      </c>
      <c r="DX15" s="108" t="n">
        <v>2</v>
      </c>
      <c r="DY15" s="122">
        <f>DX15*100/$E$15</f>
        <v/>
      </c>
      <c r="DZ15" s="108" t="n">
        <v>10</v>
      </c>
      <c r="EA15" s="122">
        <f>DZ15*100/$E$15</f>
        <v/>
      </c>
      <c r="EB15" s="108" t="n"/>
      <c r="EC15" s="122">
        <f>EB15*100/$E$15</f>
        <v/>
      </c>
      <c r="ED15" s="108" t="n"/>
      <c r="EE15" s="122">
        <f>ED15*100/$E$15</f>
        <v/>
      </c>
      <c r="EF15" s="108" t="n"/>
      <c r="EG15" s="122">
        <f>EF15*100/$E$15</f>
        <v/>
      </c>
      <c r="EH15" s="108" t="n"/>
      <c r="EI15" s="122">
        <f>EH15*100/$E$15</f>
        <v/>
      </c>
      <c r="EJ15" s="108" t="n"/>
      <c r="EK15" s="122">
        <f>EJ15*100/$E$15</f>
        <v/>
      </c>
      <c r="EL15" s="108" t="n"/>
      <c r="EM15" s="122">
        <f>EL15*100/$E$15</f>
        <v/>
      </c>
      <c r="EN15" s="108" t="n"/>
      <c r="EO15" s="122">
        <f>EN15*100/$E$15</f>
        <v/>
      </c>
      <c r="EP15" s="108" t="n"/>
      <c r="EQ15" s="122">
        <f>EP15*100/$E$15</f>
        <v/>
      </c>
      <c r="ER15" s="108" t="n"/>
      <c r="ES15" s="122">
        <f>ER15*100/$E$15</f>
        <v/>
      </c>
      <c r="ET15" s="108" t="n"/>
      <c r="EU15" s="122">
        <f>ET15*100/$E$15</f>
        <v/>
      </c>
      <c r="EV15" s="108" t="n"/>
      <c r="EW15" s="122">
        <f>EV15*100/$E$15</f>
        <v/>
      </c>
      <c r="EX15" s="108" t="n"/>
      <c r="EY15" s="122">
        <f>EX15*100/$E$15</f>
        <v/>
      </c>
      <c r="EZ15" s="108" t="n"/>
      <c r="FA15" s="122">
        <f>EZ15*100/$E$15</f>
        <v/>
      </c>
      <c r="FB15" s="108" t="n"/>
      <c r="FC15" s="122">
        <f>FB15*100/$E$15</f>
        <v/>
      </c>
      <c r="FD15" s="108" t="n"/>
      <c r="FE15" s="122">
        <f>FD15*100/$E$15</f>
        <v/>
      </c>
      <c r="FF15" s="108" t="n"/>
      <c r="FG15" s="122">
        <f>FF15*100/$E$15</f>
        <v/>
      </c>
      <c r="FH15" s="108" t="n"/>
      <c r="FI15" s="122">
        <f>FH15*100/$E$15</f>
        <v/>
      </c>
      <c r="FJ15" s="108" t="n"/>
      <c r="FK15" s="122">
        <f>FJ15*100/$E$15</f>
        <v/>
      </c>
      <c r="FL15" s="108" t="n"/>
      <c r="FM15" s="122">
        <f>FL15*100/$E$15</f>
        <v/>
      </c>
      <c r="FN15" s="108" t="n"/>
      <c r="FO15" s="122">
        <f>FN15*100/$E$15</f>
        <v/>
      </c>
      <c r="FP15" s="108" t="n"/>
      <c r="FQ15" s="122">
        <f>FP15*100/$E$15</f>
        <v/>
      </c>
      <c r="FR15" s="108" t="n"/>
      <c r="FS15" s="122">
        <f>FR15*100/$E$15</f>
        <v/>
      </c>
      <c r="FT15" s="108" t="n"/>
      <c r="FU15" s="122">
        <f>FT15*100/$E$15</f>
        <v/>
      </c>
      <c r="FV15" s="108" t="n"/>
      <c r="FW15" s="122">
        <f>FV15*100/$E$15</f>
        <v/>
      </c>
      <c r="FX15" s="108" t="n"/>
      <c r="FY15" s="107">
        <f>FX15*100/$E$15</f>
        <v/>
      </c>
      <c r="FZ15" s="108" t="n"/>
      <c r="GA15" s="107">
        <f>FZ15*100/$E$15</f>
        <v/>
      </c>
      <c r="GB15" s="108" t="n"/>
      <c r="GC15" s="107">
        <f>GB15*100/$E$15</f>
        <v/>
      </c>
      <c r="GD15" s="108" t="n"/>
      <c r="GE15" s="107">
        <f>GD15*100/$E$15</f>
        <v/>
      </c>
      <c r="GF15" s="108" t="n"/>
      <c r="GG15" s="107">
        <f>GF15*100/$E$15</f>
        <v/>
      </c>
      <c r="GH15" s="108" t="n"/>
      <c r="GI15" s="107">
        <f>GH15*100/$E$15</f>
        <v/>
      </c>
      <c r="GJ15" s="108" t="n"/>
      <c r="GK15" s="122">
        <f>GJ15*100/$E$15</f>
        <v/>
      </c>
      <c r="GL15" s="108" t="n"/>
      <c r="GM15" s="107">
        <f>GL15*100/$E$15</f>
        <v/>
      </c>
      <c r="GN15" s="108" t="n"/>
      <c r="GO15" s="122">
        <f>GN15*100/$E$15</f>
        <v/>
      </c>
      <c r="GP15" s="108" t="n"/>
      <c r="GQ15" s="107">
        <f>GP15*100/$E$15</f>
        <v/>
      </c>
      <c r="GR15" s="108" t="n"/>
      <c r="GS15" s="122">
        <f>GR15*100/$E$15</f>
        <v/>
      </c>
      <c r="GT15" s="108" t="n"/>
      <c r="GU15" s="122">
        <f>GT15*100/$E$15</f>
        <v/>
      </c>
      <c r="GV15" s="108" t="n"/>
      <c r="GW15" s="122">
        <f>GV15*100/$E$15</f>
        <v/>
      </c>
      <c r="GX15" s="108" t="n"/>
      <c r="GY15" s="107">
        <f>GX15*100/$E$15</f>
        <v/>
      </c>
      <c r="GZ15" s="108" t="n"/>
      <c r="HA15" s="107">
        <f>GZ15*100/$E$15</f>
        <v/>
      </c>
      <c r="HB15" s="108" t="n"/>
      <c r="HC15" s="107">
        <f>HB15*100/$E$15</f>
        <v/>
      </c>
      <c r="HD15" s="108" t="n"/>
      <c r="HE15" s="107">
        <f>HD15*100/$E$15</f>
        <v/>
      </c>
      <c r="HF15" s="108" t="n"/>
      <c r="HG15" s="107">
        <f>HF15*100/$E$15</f>
        <v/>
      </c>
      <c r="HH15" s="108" t="n"/>
      <c r="HI15" s="107">
        <f>HH15*100/$E$15</f>
        <v/>
      </c>
      <c r="HJ15" s="108" t="n"/>
      <c r="HK15" s="107">
        <f>HJ15*100/$E$15</f>
        <v/>
      </c>
      <c r="HL15" s="108" t="n"/>
      <c r="HM15" s="107">
        <f>HL15*100/$E$15</f>
        <v/>
      </c>
      <c r="HN15" s="108" t="n"/>
      <c r="HO15" s="107">
        <f>HN15*100/$E$15</f>
        <v/>
      </c>
      <c r="HP15" s="108" t="n"/>
      <c r="HQ15" s="107">
        <f>HP15*100/$E$15</f>
        <v/>
      </c>
      <c r="HR15" s="108" t="n"/>
      <c r="HS15" s="107">
        <f>HR15*100/$E$15</f>
        <v/>
      </c>
      <c r="HT15" s="108" t="n"/>
      <c r="HU15" s="107">
        <f>HT15*100/$E$15</f>
        <v/>
      </c>
      <c r="HV15" s="108" t="n"/>
      <c r="HW15" s="107">
        <f>HV15*100/$E$15</f>
        <v/>
      </c>
      <c r="HX15" s="108" t="n"/>
      <c r="HY15" s="107">
        <f>HX15*100/$E$15</f>
        <v/>
      </c>
      <c r="HZ15" s="108" t="n"/>
      <c r="IA15" s="122">
        <f>HZ15*100/$E$15</f>
        <v/>
      </c>
      <c r="IB15" s="108" t="n"/>
      <c r="IC15" s="122">
        <f>IB15*100/$E$15</f>
        <v/>
      </c>
      <c r="ID15" s="108" t="n"/>
      <c r="IE15" s="122">
        <f>ID15*100/$E$15</f>
        <v/>
      </c>
      <c r="IF15" s="108" t="n"/>
      <c r="IG15" s="122">
        <f>IF15*100/$E$15</f>
        <v/>
      </c>
      <c r="IH15" s="108" t="n"/>
      <c r="II15" s="122">
        <f>IH15*100/$E$15</f>
        <v/>
      </c>
      <c r="IJ15" s="108" t="n"/>
      <c r="IK15" s="122">
        <f>IJ15*100/$E$15</f>
        <v/>
      </c>
      <c r="IL15" s="108" t="n"/>
      <c r="IM15" s="107">
        <f>IL15*100/E15</f>
        <v/>
      </c>
      <c r="IN15" s="108" t="n"/>
      <c r="IO15" s="107">
        <f>IN15*100/$E$15</f>
        <v/>
      </c>
      <c r="IP15" s="108" t="n"/>
      <c r="IQ15" s="122">
        <f>IP15*100/$E$15</f>
        <v/>
      </c>
      <c r="IR15" s="108" t="n"/>
      <c r="IS15" s="122">
        <f>IR15*100/$E$15</f>
        <v/>
      </c>
      <c r="IT15" s="108" t="n"/>
      <c r="IU15" s="122">
        <f>IT15*100/$E$15</f>
        <v/>
      </c>
      <c r="IV15" s="108" t="n"/>
      <c r="IW15" s="122">
        <f>IV15*100/$E$15</f>
        <v/>
      </c>
      <c r="IX15" s="108" t="n"/>
      <c r="IY15" s="122">
        <f>IX15*100/$E$15</f>
        <v/>
      </c>
      <c r="IZ15" s="108" t="n"/>
      <c r="JA15" s="122">
        <f>IZ15*100/$E$15</f>
        <v/>
      </c>
      <c r="JB15" s="108" t="n"/>
      <c r="JC15" s="122">
        <f>JB15*100/$E$15</f>
        <v/>
      </c>
      <c r="JD15" s="108" t="n"/>
      <c r="JE15" s="122">
        <f>JD15*100/$E$15</f>
        <v/>
      </c>
      <c r="JF15" s="108" t="n">
        <v>3</v>
      </c>
      <c r="JG15" s="122">
        <f>JF15*100/$E$15</f>
        <v/>
      </c>
      <c r="JH15" s="108" t="n"/>
      <c r="JI15" s="122">
        <f>JH15*100/$E$15</f>
        <v/>
      </c>
      <c r="JJ15" s="108" t="n"/>
      <c r="JK15" s="122">
        <f>JJ15*100/$E$15</f>
        <v/>
      </c>
      <c r="JL15" s="108" t="n"/>
      <c r="JM15" s="122">
        <f>JL15*100/$E$15</f>
        <v/>
      </c>
      <c r="JN15" s="108" t="n"/>
      <c r="JO15" s="122">
        <f>JN15*100/$E$15</f>
        <v/>
      </c>
      <c r="JP15" s="108" t="n"/>
      <c r="JQ15" s="122">
        <f>JP15*100/$E$15</f>
        <v/>
      </c>
      <c r="JR15" s="108" t="n"/>
      <c r="JS15" s="122">
        <f>JR15*100/$E$15</f>
        <v/>
      </c>
      <c r="JT15" s="108" t="n"/>
      <c r="JU15" s="122">
        <f>JT15*100/$E$15</f>
        <v/>
      </c>
      <c r="JV15" s="108" t="n"/>
      <c r="JW15" s="122">
        <f>JV15*100/$E$15</f>
        <v/>
      </c>
      <c r="JX15" s="108" t="n"/>
      <c r="JY15" s="122">
        <f>JX15*100/$E$15</f>
        <v/>
      </c>
      <c r="JZ15" s="55">
        <f>JN15+JP15+JR15+JT15+JV15+JX15</f>
        <v/>
      </c>
      <c r="KA15" s="53">
        <f>JO15+JQ15+JS15+JU15+JW15+JY15</f>
        <v/>
      </c>
      <c r="KB15" s="185">
        <f>H15+J15+L15+N15+P15+R15+T15+V15+X15+Z15+AB15+AD15+AF15+AH15+AJ15+AL15+AN15+AP15+AR15+AT15+AV15+AX15+AZ15+BB15+BD15+BF15+BH15+BJ15+BL15+BN15+BP15+BR15+BT15+BV15+BX15+BZ15+CB15+CD15+CF15+CH15+CZ15+DB15+DD15+DF15+DH15+DJ15+DL15+DN15+DP15+DR15+DT15+DV15+DX15+DZ15+EB15+ED15+EF15+EH15+EJ15+EL15+EN15+EP15+ER15+ET15+EV15+FN15+FP15+FR15+FT15+FV15+FX15+FZ15+GB15+GD15+GF15+GH15+GJ15+GL15+GN15+GP15+GR15+GT15+GV15+GX15+GZ15+HB15+HD15+HF15+HH15+HJ15+HL15+HN15+HP15+HR15+HT15+HV15+HX15+HZ15+IB15+ID15+IF15+IH15+IJ15+IL15+IN15+IP15+IR15+IT15+IV15+IX15+IZ15+JB15+JD15+JF15+JH15+JJ15+JL15+JZ15+CJ15+CL15+CN15+CP15+CR15+CT15+CV15+CX15+EX15+EZ15+FB15+FD15+FF15+FH15+FJ15+FL15</f>
        <v/>
      </c>
      <c r="KC15" s="66">
        <f>I15+K15+M15+O15+Q15+S15+U15+W15+Y15+AA15+AC15+AE15+AG15+AI15+AK15+AM15+AO15+AQ15+AS15+AU15+AW15+AY15+BA15+BC15+BE15+BG15+BI15+BK15+BM15+BO15+BQ15+BS15+BU15+BW15+BY15+CA15+CC15+CE15+CG15+CI15+DA15+DC15+DE15+DG15+DI15+DK15+DM15+DO15+DQ15+DS15+DU15+DW15+DY15+EA15+EC15+EE15+EG15+EI15+EK15+EM15+EO15+EQ15+ES15+EU15+EW15+FO15+FS15+FU15+FW15+FQ15+FY15+GA15+GC15+GE15+GG15+GI15+GK15+GM15+GO15+GQ15+GS15+GU15+GW15+GY15+HA15+HC15+HE15+HG15+HI15+HK15+HM15+HO15+HQ15+HS15+HU15+HW15+HY15+IA15+IC15+IE15+IG15+II15+IK15+IM15+IO15+IQ15+IS15+IU15+IW15+IY15+JA15+JC15+JE15+JG15+JI15+JK15+JM15+KA15+CK15+CM15+CO15+CQ15+CS15+CU15+CW15+CY15+EY15+FA15+FC15+FE15+FG15+FI15+FK15+FM15</f>
        <v/>
      </c>
      <c r="KD15" s="44">
        <f>JO15+JQ15+JS15+JU15+JW15+JY15</f>
        <v/>
      </c>
      <c r="KE15" s="45">
        <f>KB15=E15</f>
        <v/>
      </c>
      <c r="KF15" s="101">
        <f>E15-KB15</f>
        <v/>
      </c>
      <c r="KG15" s="14" t="n"/>
    </row>
    <row r="16" ht="21.75" customFormat="1" customHeight="1" s="16">
      <c r="A16" s="126">
        <f>A15+1</f>
        <v/>
      </c>
      <c r="B16" s="175" t="inlineStr">
        <is>
          <t>Демин С.С.</t>
        </is>
      </c>
      <c r="C16" s="176" t="inlineStr">
        <is>
          <t>слесарь МСР</t>
        </is>
      </c>
      <c r="D16" s="177">
        <f>$D$5</f>
        <v/>
      </c>
      <c r="E16" s="202" t="n">
        <v>96</v>
      </c>
      <c r="F16" s="190" t="n">
        <v>55633.55</v>
      </c>
      <c r="G16" s="179">
        <f>F16/D16</f>
        <v/>
      </c>
      <c r="H16" s="125" t="n"/>
      <c r="I16" s="107">
        <f>H16*100/$E$16</f>
        <v/>
      </c>
      <c r="J16" s="108" t="n"/>
      <c r="K16" s="107">
        <f>J16*100/$E$16</f>
        <v/>
      </c>
      <c r="L16" s="108" t="n"/>
      <c r="M16" s="107">
        <f>L16*100/$E$16</f>
        <v/>
      </c>
      <c r="N16" s="108" t="n"/>
      <c r="O16" s="107">
        <f>N16*100/$E$16</f>
        <v/>
      </c>
      <c r="P16" s="108" t="n"/>
      <c r="Q16" s="122">
        <f>P16*100/$E$16</f>
        <v/>
      </c>
      <c r="R16" s="108" t="n"/>
      <c r="S16" s="122">
        <f>R16*100/$E$16</f>
        <v/>
      </c>
      <c r="T16" s="108" t="n"/>
      <c r="U16" s="107">
        <f>T16*100/$E$16</f>
        <v/>
      </c>
      <c r="V16" s="108" t="n"/>
      <c r="W16" s="107">
        <f>V16*100/$E$16</f>
        <v/>
      </c>
      <c r="X16" s="108" t="n"/>
      <c r="Y16" s="107">
        <f>X16*100/$E$16</f>
        <v/>
      </c>
      <c r="Z16" s="108" t="n"/>
      <c r="AA16" s="107">
        <f>Z16*100/$E$16</f>
        <v/>
      </c>
      <c r="AB16" s="108" t="n">
        <v>8</v>
      </c>
      <c r="AC16" s="107">
        <f>AB16*100/$E$16</f>
        <v/>
      </c>
      <c r="AD16" s="108" t="n">
        <v>40</v>
      </c>
      <c r="AE16" s="122">
        <f>AD16*100/$E$16</f>
        <v/>
      </c>
      <c r="AF16" s="108" t="n"/>
      <c r="AG16" s="122">
        <f>AF16*100/$E$16</f>
        <v/>
      </c>
      <c r="AH16" s="108" t="n"/>
      <c r="AI16" s="107">
        <f>AH16*100/$E$16</f>
        <v/>
      </c>
      <c r="AJ16" s="108" t="n"/>
      <c r="AK16" s="107">
        <f>AJ16*100/$E$16</f>
        <v/>
      </c>
      <c r="AL16" s="108" t="n"/>
      <c r="AM16" s="122">
        <f>AL16*100/$E$16</f>
        <v/>
      </c>
      <c r="AN16" s="108" t="n"/>
      <c r="AO16" s="107">
        <f>AN16*100/$E$16</f>
        <v/>
      </c>
      <c r="AP16" s="108" t="n"/>
      <c r="AQ16" s="107">
        <f>AP16*100/$E$16</f>
        <v/>
      </c>
      <c r="AR16" s="108" t="n"/>
      <c r="AS16" s="107">
        <f>AR16*100/$E$16</f>
        <v/>
      </c>
      <c r="AT16" s="108" t="n"/>
      <c r="AU16" s="90">
        <f>AT16*100/$E$16</f>
        <v/>
      </c>
      <c r="AV16" s="108" t="n"/>
      <c r="AW16" s="107">
        <f>AV16*100/$E$16</f>
        <v/>
      </c>
      <c r="AX16" s="108">
        <f>8</f>
        <v/>
      </c>
      <c r="AY16" s="107">
        <f>AX16*100/$E$16</f>
        <v/>
      </c>
      <c r="AZ16" s="108" t="n"/>
      <c r="BA16" s="107">
        <f>AZ16*100/$E$16</f>
        <v/>
      </c>
      <c r="BB16" s="108" t="n"/>
      <c r="BC16" s="107">
        <f>BB16*100/$E$16</f>
        <v/>
      </c>
      <c r="BD16" s="108" t="n"/>
      <c r="BE16" s="107">
        <f>BD16*100/$E$16</f>
        <v/>
      </c>
      <c r="BF16" s="108" t="n"/>
      <c r="BG16" s="107">
        <f>BF16*100/$E$16</f>
        <v/>
      </c>
      <c r="BH16" s="108" t="n"/>
      <c r="BI16" s="107">
        <f>BH16*100/$E$16</f>
        <v/>
      </c>
      <c r="BJ16" s="108" t="n"/>
      <c r="BK16" s="107">
        <f>BJ16*100/$E$16</f>
        <v/>
      </c>
      <c r="BL16" s="108" t="n"/>
      <c r="BM16" s="107">
        <f>BL16*100/$E$16</f>
        <v/>
      </c>
      <c r="BN16" s="108" t="n"/>
      <c r="BO16" s="107">
        <f>BN16*100/$E$16</f>
        <v/>
      </c>
      <c r="BP16" s="108" t="n"/>
      <c r="BQ16" s="107">
        <f>BP16*100/$E$16</f>
        <v/>
      </c>
      <c r="BR16" s="108" t="n"/>
      <c r="BS16" s="107">
        <f>BR16*100/$E$16</f>
        <v/>
      </c>
      <c r="BT16" s="108" t="n"/>
      <c r="BU16" s="107">
        <f>BT16*100/$E$16</f>
        <v/>
      </c>
      <c r="BV16" s="108" t="n"/>
      <c r="BW16" s="107">
        <f>BV16*100/$E$16</f>
        <v/>
      </c>
      <c r="BX16" s="108" t="n"/>
      <c r="BY16" s="107">
        <f>BX16*100/$E$16</f>
        <v/>
      </c>
      <c r="BZ16" s="108" t="n"/>
      <c r="CA16" s="107">
        <f>BZ16*100/$E$16</f>
        <v/>
      </c>
      <c r="CB16" s="108" t="n"/>
      <c r="CC16" s="107">
        <f>CB16*100/$E$16</f>
        <v/>
      </c>
      <c r="CD16" s="108" t="n"/>
      <c r="CE16" s="107">
        <f>CD16*100/$E$16</f>
        <v/>
      </c>
      <c r="CF16" s="108" t="n"/>
      <c r="CG16" s="107">
        <f>CF16*100/$E$16</f>
        <v/>
      </c>
      <c r="CH16" s="108" t="n"/>
      <c r="CI16" s="107">
        <f>CH16*100/$E$16</f>
        <v/>
      </c>
      <c r="CJ16" s="108" t="n"/>
      <c r="CK16" s="107">
        <f>CJ16*100/$E$16</f>
        <v/>
      </c>
      <c r="CL16" s="108" t="n"/>
      <c r="CM16" s="107">
        <f>CL16*100/$E$16</f>
        <v/>
      </c>
      <c r="CN16" s="108" t="n"/>
      <c r="CO16" s="122">
        <f>CN16*100/$E$16</f>
        <v/>
      </c>
      <c r="CP16" s="108" t="n"/>
      <c r="CQ16" s="107">
        <f>CP16*100/$E$16</f>
        <v/>
      </c>
      <c r="CR16" s="108" t="n"/>
      <c r="CS16" s="122">
        <f>CR16*100/$E$16</f>
        <v/>
      </c>
      <c r="CT16" s="108" t="n"/>
      <c r="CU16" s="122">
        <f>CT16*100/$E$16</f>
        <v/>
      </c>
      <c r="CV16" s="108" t="n"/>
      <c r="CW16" s="122">
        <f>CV16*100/$E$16</f>
        <v/>
      </c>
      <c r="CX16" s="108" t="n"/>
      <c r="CY16" s="122">
        <f>CX16*100/$E$16</f>
        <v/>
      </c>
      <c r="CZ16" s="108" t="n"/>
      <c r="DA16" s="122">
        <f>CZ16*100/$E$16</f>
        <v/>
      </c>
      <c r="DB16" s="108" t="n"/>
      <c r="DC16" s="122">
        <f>DB16*100/$E$16</f>
        <v/>
      </c>
      <c r="DD16" s="108" t="n"/>
      <c r="DE16" s="122">
        <f>DD16*100/$E$16</f>
        <v/>
      </c>
      <c r="DF16" s="108" t="n"/>
      <c r="DG16" s="122">
        <f>DF16*100/$E$16</f>
        <v/>
      </c>
      <c r="DH16" s="108" t="n"/>
      <c r="DI16" s="122">
        <f>DH16*100/$E$16</f>
        <v/>
      </c>
      <c r="DJ16" s="108" t="n"/>
      <c r="DK16" s="122">
        <f>DJ16*100/$E$16</f>
        <v/>
      </c>
      <c r="DL16" s="108" t="n"/>
      <c r="DM16" s="122">
        <f>DL16*100/$E$16</f>
        <v/>
      </c>
      <c r="DN16" s="108" t="n"/>
      <c r="DO16" s="122">
        <f>DN16*100/$E$16</f>
        <v/>
      </c>
      <c r="DP16" s="108" t="n"/>
      <c r="DQ16" s="122">
        <f>DP16*100/$E$16</f>
        <v/>
      </c>
      <c r="DR16" s="108" t="n"/>
      <c r="DS16" s="122">
        <f>DR16*100/$E$16</f>
        <v/>
      </c>
      <c r="DT16" s="108" t="n"/>
      <c r="DU16" s="122">
        <f>DT16*100/$E$16</f>
        <v/>
      </c>
      <c r="DV16" s="108" t="n"/>
      <c r="DW16" s="122">
        <f>DV16*100/$E$16</f>
        <v/>
      </c>
      <c r="DX16" s="108" t="n"/>
      <c r="DY16" s="122">
        <f>DX16*100/$E$16</f>
        <v/>
      </c>
      <c r="DZ16" s="108" t="n"/>
      <c r="EA16" s="122">
        <f>DZ16*100/$E$16</f>
        <v/>
      </c>
      <c r="EB16" s="108" t="n"/>
      <c r="EC16" s="122">
        <f>EB16*100/$E$16</f>
        <v/>
      </c>
      <c r="ED16" s="108" t="n"/>
      <c r="EE16" s="122">
        <f>ED16*100/$E$16</f>
        <v/>
      </c>
      <c r="EF16" s="108" t="n"/>
      <c r="EG16" s="122">
        <f>EF16*100/$E$16</f>
        <v/>
      </c>
      <c r="EH16" s="108" t="n"/>
      <c r="EI16" s="122">
        <f>EH16*100/$E$16</f>
        <v/>
      </c>
      <c r="EJ16" s="108" t="n"/>
      <c r="EK16" s="122">
        <f>EJ16*100/$E$16</f>
        <v/>
      </c>
      <c r="EL16" s="108" t="n"/>
      <c r="EM16" s="122">
        <f>EL16*100/$E$16</f>
        <v/>
      </c>
      <c r="EN16" s="108" t="n"/>
      <c r="EO16" s="122">
        <f>EN16*100/$E$16</f>
        <v/>
      </c>
      <c r="EP16" s="108" t="n"/>
      <c r="EQ16" s="122">
        <f>EP16*100/$E$16</f>
        <v/>
      </c>
      <c r="ER16" s="108" t="n"/>
      <c r="ES16" s="122">
        <f>ER16*100/$E$16</f>
        <v/>
      </c>
      <c r="ET16" s="108" t="n"/>
      <c r="EU16" s="122">
        <f>ET16*100/$E$16</f>
        <v/>
      </c>
      <c r="EV16" s="108" t="n"/>
      <c r="EW16" s="122">
        <f>EV16*100/$E$16</f>
        <v/>
      </c>
      <c r="EX16" s="108" t="n"/>
      <c r="EY16" s="122">
        <f>EX16*100/$E$16</f>
        <v/>
      </c>
      <c r="EZ16" s="108" t="n"/>
      <c r="FA16" s="122">
        <f>EZ16*100/$E$16</f>
        <v/>
      </c>
      <c r="FB16" s="108" t="n"/>
      <c r="FC16" s="122">
        <f>FB16*100/$E$16</f>
        <v/>
      </c>
      <c r="FD16" s="108" t="n"/>
      <c r="FE16" s="122">
        <f>FD16*100/$E$16</f>
        <v/>
      </c>
      <c r="FF16" s="108" t="n"/>
      <c r="FG16" s="122">
        <f>FF16*100/$E$16</f>
        <v/>
      </c>
      <c r="FH16" s="108" t="n"/>
      <c r="FI16" s="122">
        <f>FH16*100/$E$16</f>
        <v/>
      </c>
      <c r="FJ16" s="108" t="n"/>
      <c r="FK16" s="122">
        <f>FJ16*100/$E$16</f>
        <v/>
      </c>
      <c r="FL16" s="108" t="n"/>
      <c r="FM16" s="122">
        <f>FL16*100/$E$16</f>
        <v/>
      </c>
      <c r="FN16" s="108" t="n"/>
      <c r="FO16" s="122">
        <f>FN16*100/$E$16</f>
        <v/>
      </c>
      <c r="FP16" s="108" t="n"/>
      <c r="FQ16" s="122">
        <f>FP16*100/$E$16</f>
        <v/>
      </c>
      <c r="FR16" s="108" t="n"/>
      <c r="FS16" s="122">
        <f>FR16*100/$E$16</f>
        <v/>
      </c>
      <c r="FT16" s="108" t="n"/>
      <c r="FU16" s="122">
        <f>FT16*100/$E$16</f>
        <v/>
      </c>
      <c r="FV16" s="108" t="n"/>
      <c r="FW16" s="122">
        <f>FV16*100/$E$16</f>
        <v/>
      </c>
      <c r="FX16" s="108" t="n"/>
      <c r="FY16" s="107">
        <f>FX16*100/$E$16</f>
        <v/>
      </c>
      <c r="FZ16" s="108" t="n"/>
      <c r="GA16" s="107">
        <f>FZ16*100/$E$16</f>
        <v/>
      </c>
      <c r="GB16" s="108" t="n"/>
      <c r="GC16" s="107">
        <f>GB16*100/$E$16</f>
        <v/>
      </c>
      <c r="GD16" s="108" t="n"/>
      <c r="GE16" s="107">
        <f>GD16*100/$E$16</f>
        <v/>
      </c>
      <c r="GF16" s="108" t="n"/>
      <c r="GG16" s="107">
        <f>GF16*100/$E$16</f>
        <v/>
      </c>
      <c r="GH16" s="108" t="n"/>
      <c r="GI16" s="107">
        <f>GH16*100/$E$16</f>
        <v/>
      </c>
      <c r="GJ16" s="108" t="n"/>
      <c r="GK16" s="122">
        <f>GJ16*100/$E$16</f>
        <v/>
      </c>
      <c r="GL16" s="108" t="n"/>
      <c r="GM16" s="107">
        <f>GL16*100/$E$16</f>
        <v/>
      </c>
      <c r="GN16" s="108" t="n"/>
      <c r="GO16" s="122">
        <f>GN16*100/$E$16</f>
        <v/>
      </c>
      <c r="GP16" s="108" t="n"/>
      <c r="GQ16" s="107">
        <f>GP16*100/$E$16</f>
        <v/>
      </c>
      <c r="GR16" s="108" t="n"/>
      <c r="GS16" s="122">
        <f>GR16*100/$E$16</f>
        <v/>
      </c>
      <c r="GT16" s="108" t="n"/>
      <c r="GU16" s="122">
        <f>GT16*100/$E$16</f>
        <v/>
      </c>
      <c r="GV16" s="108" t="n"/>
      <c r="GW16" s="122">
        <f>GV16*100/$E$16</f>
        <v/>
      </c>
      <c r="GX16" s="108" t="n"/>
      <c r="GY16" s="107">
        <f>GX16*100/$E$16</f>
        <v/>
      </c>
      <c r="GZ16" s="108" t="n"/>
      <c r="HA16" s="107">
        <f>GZ16*100/$E$16</f>
        <v/>
      </c>
      <c r="HB16" s="108" t="n"/>
      <c r="HC16" s="107">
        <f>HB16*100/$E$16</f>
        <v/>
      </c>
      <c r="HD16" s="108" t="n"/>
      <c r="HE16" s="107">
        <f>HD16*100/$E$16</f>
        <v/>
      </c>
      <c r="HF16" s="108" t="n"/>
      <c r="HG16" s="107">
        <f>HF16*100/$E$16</f>
        <v/>
      </c>
      <c r="HH16" s="108" t="n"/>
      <c r="HI16" s="107">
        <f>HH16*100/$E$16</f>
        <v/>
      </c>
      <c r="HJ16" s="108" t="n"/>
      <c r="HK16" s="107">
        <f>HJ16*100/$E$16</f>
        <v/>
      </c>
      <c r="HL16" s="108" t="n"/>
      <c r="HM16" s="107">
        <f>HL16*100/$E$16</f>
        <v/>
      </c>
      <c r="HN16" s="108" t="n"/>
      <c r="HO16" s="107">
        <f>HN16*100/$E$16</f>
        <v/>
      </c>
      <c r="HP16" s="108" t="n"/>
      <c r="HQ16" s="107">
        <f>HP16*100/$E$16</f>
        <v/>
      </c>
      <c r="HR16" s="108" t="n"/>
      <c r="HS16" s="107">
        <f>HR16*100/$E$16</f>
        <v/>
      </c>
      <c r="HT16" s="108" t="n"/>
      <c r="HU16" s="107">
        <f>HT16*100/$E$16</f>
        <v/>
      </c>
      <c r="HV16" s="108" t="n"/>
      <c r="HW16" s="107">
        <f>HV16*100/$E$16</f>
        <v/>
      </c>
      <c r="HX16" s="108" t="n"/>
      <c r="HY16" s="107">
        <f>HX16*100/$E$16</f>
        <v/>
      </c>
      <c r="HZ16" s="108" t="n"/>
      <c r="IA16" s="122">
        <f>HZ16*100/$E$16</f>
        <v/>
      </c>
      <c r="IB16" s="108" t="n"/>
      <c r="IC16" s="122">
        <f>IB16*100/$E$16</f>
        <v/>
      </c>
      <c r="ID16" s="108" t="n"/>
      <c r="IE16" s="122">
        <f>ID16*100/$E$16</f>
        <v/>
      </c>
      <c r="IF16" s="108" t="n"/>
      <c r="IG16" s="122">
        <f>IF16*100/$E$16</f>
        <v/>
      </c>
      <c r="IH16" s="108" t="n"/>
      <c r="II16" s="122">
        <f>IH16*100/$E$16</f>
        <v/>
      </c>
      <c r="IJ16" s="108" t="n"/>
      <c r="IK16" s="122">
        <f>IJ16*100/$E$16</f>
        <v/>
      </c>
      <c r="IL16" s="108" t="n"/>
      <c r="IM16" s="107">
        <f>IL16*100/$E$16</f>
        <v/>
      </c>
      <c r="IN16" s="108" t="n"/>
      <c r="IO16" s="107">
        <f>IN16*100/$E$16</f>
        <v/>
      </c>
      <c r="IP16" s="108" t="n"/>
      <c r="IQ16" s="122">
        <f>IP16*100/$E$16</f>
        <v/>
      </c>
      <c r="IR16" s="108" t="n"/>
      <c r="IS16" s="122">
        <f>IR16*100/$E$16</f>
        <v/>
      </c>
      <c r="IT16" s="108" t="n"/>
      <c r="IU16" s="122">
        <f>IT16*100/$E$16</f>
        <v/>
      </c>
      <c r="IV16" s="108" t="n"/>
      <c r="IW16" s="122">
        <f>IV16*100/$E$16</f>
        <v/>
      </c>
      <c r="IX16" s="108" t="n"/>
      <c r="IY16" s="122">
        <f>IX16*100/$E$16</f>
        <v/>
      </c>
      <c r="IZ16" s="108" t="n"/>
      <c r="JA16" s="122">
        <f>IZ16*100/$E$16</f>
        <v/>
      </c>
      <c r="JB16" s="108" t="n"/>
      <c r="JC16" s="122">
        <f>JB16*100/$E$16</f>
        <v/>
      </c>
      <c r="JD16" s="108" t="n"/>
      <c r="JE16" s="122">
        <f>JD16*100/$E$16</f>
        <v/>
      </c>
      <c r="JF16" s="108" t="n"/>
      <c r="JG16" s="122">
        <f>JF16*100/$E$16</f>
        <v/>
      </c>
      <c r="JH16" s="108" t="n"/>
      <c r="JI16" s="122">
        <f>JH16*100/$E$16</f>
        <v/>
      </c>
      <c r="JJ16" s="108" t="n"/>
      <c r="JK16" s="122">
        <f>JJ16*100/$E$16</f>
        <v/>
      </c>
      <c r="JL16" s="108" t="n"/>
      <c r="JM16" s="122">
        <f>JL16*100/$E$16</f>
        <v/>
      </c>
      <c r="JN16" s="108" t="n"/>
      <c r="JO16" s="122">
        <f>JN16*100/$E$16</f>
        <v/>
      </c>
      <c r="JP16" s="108" t="n">
        <v>40</v>
      </c>
      <c r="JQ16" s="122">
        <f>JP16*100/$E$16</f>
        <v/>
      </c>
      <c r="JR16" s="108" t="n"/>
      <c r="JS16" s="122">
        <f>JR16*100/$E$16</f>
        <v/>
      </c>
      <c r="JT16" s="108" t="n"/>
      <c r="JU16" s="122">
        <f>JT16*100/$E$16</f>
        <v/>
      </c>
      <c r="JV16" s="108" t="n"/>
      <c r="JW16" s="122">
        <f>JV16*100/$E$16</f>
        <v/>
      </c>
      <c r="JX16" s="108" t="n"/>
      <c r="JY16" s="122">
        <f>JX16*100/$E$16</f>
        <v/>
      </c>
      <c r="JZ16" s="55">
        <f>JN16+JP16+JR16+JT16+JV16+JX16</f>
        <v/>
      </c>
      <c r="KA16" s="53">
        <f>JO16+JQ16+JS16+JU16+JW16+JY16</f>
        <v/>
      </c>
      <c r="KB16" s="185">
        <f>H16+J16+L16+N16+P16+R16+T16+V16+X16+Z16+AB16+AD16+AF16+AH16+AJ16+AL16+AN16+AP16+AR16+AT16+AV16+AX16+AZ16+BB16+BD16+BF16+BH16+BJ16+BL16+BN16+BP16+BR16+BT16+BV16+BX16+BZ16+CB16+CD16+CF16+CH16+CZ16+DB16+DD16+DF16+DH16+DJ16+DL16+DN16+DP16+DR16+DT16+DV16+DX16+DZ16+EB16+ED16+EF16+EH16+EJ16+EL16+EN16+EP16+ER16+ET16+EV16+FN16+FP16+FR16+FT16+FV16+FX16+FZ16+GB16+GD16+GF16+GH16+GJ16+GL16+GN16+GP16+GR16+GT16+GV16+GX16+GZ16+HB16+HD16+HF16+HH16+HJ16+HL16+HN16+HP16+HR16+HT16+HV16+HX16+HZ16+IB16+ID16+IF16+IH16+IJ16+IL16+IN16+IP16+IR16+IT16+IV16+IX16+IZ16+JB16+JD16+JF16+JH16+JJ16+JL16+JZ16+CJ16+CL16+CN16+CP16+CR16+CT16+CV16+CX16+EX16+EZ16+FB16+FD16+FF16+FH16+FJ16+FL16</f>
        <v/>
      </c>
      <c r="KC16" s="66">
        <f>I16+K16+M16+O16+Q16+S16+U16+W16+Y16+AA16+AC16+AE16+AG16+AI16+AK16+AM16+AO16+AQ16+AS16+AU16+AW16+AY16+BA16+BC16+BE16+BG16+BI16+BK16+BM16+BO16+BQ16+BS16+BU16+BW16+BY16+CA16+CC16+CE16+CG16+CI16+DA16+DC16+DE16+DG16+DI16+DK16+DM16+DO16+DQ16+DS16+DU16+DW16+DY16+EA16+EC16+EE16+EG16+EI16+EK16+EM16+EO16+EQ16+ES16+EU16+EW16+FO16+FS16+FU16+FW16+FQ16+FY16+GA16+GC16+GE16+GG16+GI16+GK16+GM16+GO16+GQ16+GS16+GU16+GW16+GY16+HA16+HC16+HE16+HG16+HI16+HK16+HM16+HO16+HQ16+HS16+HU16+HW16+HY16+IA16+IC16+IE16+IG16+II16+IK16+IM16+IO16+IQ16+IS16+IU16+IW16+IY16+JA16+JC16+JE16+JG16+JI16+JK16+JM16+KA16+CK16+CM16+CO16+CQ16+CS16+CU16+CW16+CY16+EY16+FA16+FC16+FE16+FG16+FI16+FK16+FM16</f>
        <v/>
      </c>
      <c r="KD16" s="44">
        <f>JO16+JQ16+JS16+JU16+JW16+JY16</f>
        <v/>
      </c>
      <c r="KE16" s="45">
        <f>KB16=E16</f>
        <v/>
      </c>
      <c r="KF16" s="101">
        <f>E16-KB16</f>
        <v/>
      </c>
      <c r="KG16" s="14" t="n"/>
    </row>
    <row r="17" ht="21.75" customFormat="1" customHeight="1" s="14">
      <c r="A17" s="126">
        <f>A16+1</f>
        <v/>
      </c>
      <c r="B17" s="175" t="inlineStr">
        <is>
          <t>Дорофеев Н.В.</t>
        </is>
      </c>
      <c r="C17" s="176" t="inlineStr">
        <is>
          <t>сварщик</t>
        </is>
      </c>
      <c r="D17" s="177">
        <f>$D$5</f>
        <v/>
      </c>
      <c r="E17" s="202" t="n">
        <v>136</v>
      </c>
      <c r="F17" s="190" t="n">
        <v>68902.87</v>
      </c>
      <c r="G17" s="179">
        <f>F17/D17</f>
        <v/>
      </c>
      <c r="H17" s="125" t="n"/>
      <c r="I17" s="107">
        <f>H17*100/$E$17</f>
        <v/>
      </c>
      <c r="J17" s="108" t="n"/>
      <c r="K17" s="107">
        <f>J17*100/$E$17</f>
        <v/>
      </c>
      <c r="L17" s="108" t="n"/>
      <c r="M17" s="107">
        <f>L17*100/$E$17</f>
        <v/>
      </c>
      <c r="N17" s="108" t="n"/>
      <c r="O17" s="107">
        <f>N17*100/$E$17</f>
        <v/>
      </c>
      <c r="P17" s="108" t="n"/>
      <c r="Q17" s="122">
        <f>P17*100/$E$17</f>
        <v/>
      </c>
      <c r="R17" s="108" t="n"/>
      <c r="S17" s="122">
        <f>R17*100/$E$17</f>
        <v/>
      </c>
      <c r="T17" s="108" t="n"/>
      <c r="U17" s="107">
        <f>T17*100/$E$17</f>
        <v/>
      </c>
      <c r="V17" s="108" t="n"/>
      <c r="W17" s="107">
        <f>V17*100/$E$17</f>
        <v/>
      </c>
      <c r="X17" s="108" t="n"/>
      <c r="Y17" s="107">
        <f>X17*100/$E$17</f>
        <v/>
      </c>
      <c r="Z17" s="108" t="n"/>
      <c r="AA17" s="107">
        <f>Z17*100/$E$17</f>
        <v/>
      </c>
      <c r="AB17" s="108" t="n"/>
      <c r="AC17" s="107">
        <f>AB17*100/$E$17</f>
        <v/>
      </c>
      <c r="AD17" s="108" t="n">
        <v>2</v>
      </c>
      <c r="AE17" s="122">
        <f>AD17*100/$E$17</f>
        <v/>
      </c>
      <c r="AF17" s="108" t="n"/>
      <c r="AG17" s="122">
        <f>AF17*100/$E$17</f>
        <v/>
      </c>
      <c r="AH17" s="108" t="n"/>
      <c r="AI17" s="107">
        <f>AH17*100/$E$17</f>
        <v/>
      </c>
      <c r="AJ17" s="108" t="n"/>
      <c r="AK17" s="107">
        <f>AJ17*100/$E$17</f>
        <v/>
      </c>
      <c r="AL17" s="108" t="n">
        <v>16</v>
      </c>
      <c r="AM17" s="107">
        <f>AL17*100/$E$17</f>
        <v/>
      </c>
      <c r="AN17" s="108" t="n"/>
      <c r="AO17" s="107">
        <f>AN17*100/$E$17</f>
        <v/>
      </c>
      <c r="AP17" s="108" t="n"/>
      <c r="AQ17" s="107">
        <f>AP17*100/$E$17</f>
        <v/>
      </c>
      <c r="AR17" s="108" t="n"/>
      <c r="AS17" s="107">
        <f>AR17*100/$E$17</f>
        <v/>
      </c>
      <c r="AT17" s="108" t="n"/>
      <c r="AU17" s="90">
        <f>AT17*100/$E$17</f>
        <v/>
      </c>
      <c r="AV17" s="108" t="n"/>
      <c r="AW17" s="107">
        <f>AV17*100/$E$17</f>
        <v/>
      </c>
      <c r="AX17" s="108">
        <f>17</f>
        <v/>
      </c>
      <c r="AY17" s="107">
        <f>AX17*100/$E$17</f>
        <v/>
      </c>
      <c r="AZ17" s="108" t="n"/>
      <c r="BA17" s="107">
        <f>AZ17*100/$E$17</f>
        <v/>
      </c>
      <c r="BB17" s="108" t="n"/>
      <c r="BC17" s="107">
        <f>BB17*100/$E$17</f>
        <v/>
      </c>
      <c r="BD17" s="108" t="n"/>
      <c r="BE17" s="107">
        <f>BD17*100/$E$17</f>
        <v/>
      </c>
      <c r="BF17" s="108" t="n"/>
      <c r="BG17" s="107">
        <f>BF17*100/$E$17</f>
        <v/>
      </c>
      <c r="BH17" s="108" t="n"/>
      <c r="BI17" s="107">
        <f>BH17*100/$E$17</f>
        <v/>
      </c>
      <c r="BJ17" s="108" t="n"/>
      <c r="BK17" s="107">
        <f>BJ17*100/$E$17</f>
        <v/>
      </c>
      <c r="BL17" s="108" t="n"/>
      <c r="BM17" s="107">
        <f>BL17*100/$E$17</f>
        <v/>
      </c>
      <c r="BN17" s="108" t="n"/>
      <c r="BO17" s="107">
        <f>BN17*100/$E$17</f>
        <v/>
      </c>
      <c r="BP17" s="108" t="n"/>
      <c r="BQ17" s="107">
        <f>BP17*100/$E$17</f>
        <v/>
      </c>
      <c r="BR17" s="108" t="n"/>
      <c r="BS17" s="107">
        <f>BR17*100/$E$17</f>
        <v/>
      </c>
      <c r="BT17" s="108" t="n"/>
      <c r="BU17" s="107">
        <f>BT17*100/$E$17</f>
        <v/>
      </c>
      <c r="BV17" s="108" t="n"/>
      <c r="BW17" s="107">
        <f>BV17*100/$E$17</f>
        <v/>
      </c>
      <c r="BX17" s="108" t="n"/>
      <c r="BY17" s="107">
        <f>BX17*100/$E$17</f>
        <v/>
      </c>
      <c r="BZ17" s="108" t="n"/>
      <c r="CA17" s="107">
        <f>BZ17*100/$E$17</f>
        <v/>
      </c>
      <c r="CB17" s="108" t="n"/>
      <c r="CC17" s="107">
        <f>CB17*100/$E$17</f>
        <v/>
      </c>
      <c r="CD17" s="108" t="n"/>
      <c r="CE17" s="107">
        <f>CD17*100/$E$17</f>
        <v/>
      </c>
      <c r="CF17" s="108" t="n"/>
      <c r="CG17" s="107">
        <f>CF17*100/$E$17</f>
        <v/>
      </c>
      <c r="CH17" s="108" t="n"/>
      <c r="CI17" s="107">
        <f>CH17*100/$E$17</f>
        <v/>
      </c>
      <c r="CJ17" s="108" t="n"/>
      <c r="CK17" s="107">
        <f>CJ17*100/$E$17</f>
        <v/>
      </c>
      <c r="CL17" s="108" t="n"/>
      <c r="CM17" s="107">
        <f>CL17*100/$E$17</f>
        <v/>
      </c>
      <c r="CN17" s="108" t="n"/>
      <c r="CO17" s="122">
        <f>CN17*100/$E$17</f>
        <v/>
      </c>
      <c r="CP17" s="108" t="n"/>
      <c r="CQ17" s="107">
        <f>CP17*100/$E$17</f>
        <v/>
      </c>
      <c r="CR17" s="108" t="n"/>
      <c r="CS17" s="122">
        <f>CR17*100/$E$17</f>
        <v/>
      </c>
      <c r="CT17" s="108" t="n"/>
      <c r="CU17" s="122">
        <f>CT17*100/$E$17</f>
        <v/>
      </c>
      <c r="CV17" s="108" t="n"/>
      <c r="CW17" s="122">
        <f>CV17*100/$E$17</f>
        <v/>
      </c>
      <c r="CX17" s="108" t="n"/>
      <c r="CY17" s="122">
        <f>CX17*100/$E$17</f>
        <v/>
      </c>
      <c r="CZ17" s="108" t="n"/>
      <c r="DA17" s="122">
        <f>CZ17*100/$E$17</f>
        <v/>
      </c>
      <c r="DB17" s="108" t="n"/>
      <c r="DC17" s="122">
        <f>DB17*100/$E$17</f>
        <v/>
      </c>
      <c r="DD17" s="108" t="n"/>
      <c r="DE17" s="122">
        <f>DD17*100/$E$17</f>
        <v/>
      </c>
      <c r="DF17" s="108" t="n"/>
      <c r="DG17" s="122">
        <f>DF17*100/$E$17</f>
        <v/>
      </c>
      <c r="DH17" s="108" t="n"/>
      <c r="DI17" s="122">
        <f>DH17*100/$E$17</f>
        <v/>
      </c>
      <c r="DJ17" s="108" t="n"/>
      <c r="DK17" s="122">
        <f>DJ17*100/$E$17</f>
        <v/>
      </c>
      <c r="DL17" s="108" t="n"/>
      <c r="DM17" s="122">
        <f>DL17*100/$E$17</f>
        <v/>
      </c>
      <c r="DN17" s="108" t="n"/>
      <c r="DO17" s="122">
        <f>DN17*100/$E$17</f>
        <v/>
      </c>
      <c r="DP17" s="108" t="n"/>
      <c r="DQ17" s="122">
        <f>DP17*100/$E$17</f>
        <v/>
      </c>
      <c r="DR17" s="108" t="n"/>
      <c r="DS17" s="122">
        <f>DR17*100/$E$17</f>
        <v/>
      </c>
      <c r="DT17" s="108" t="n"/>
      <c r="DU17" s="122">
        <f>DT17*100/$E$17</f>
        <v/>
      </c>
      <c r="DV17" s="108" t="n"/>
      <c r="DW17" s="122">
        <f>DV17*100/$E$17</f>
        <v/>
      </c>
      <c r="DX17" s="108" t="n"/>
      <c r="DY17" s="122">
        <f>DX17*100/$E$17</f>
        <v/>
      </c>
      <c r="DZ17" s="108" t="n"/>
      <c r="EA17" s="122">
        <f>DZ17*100/$E$17</f>
        <v/>
      </c>
      <c r="EB17" s="108" t="n"/>
      <c r="EC17" s="122">
        <f>EB17*100/$E$17</f>
        <v/>
      </c>
      <c r="ED17" s="108" t="n"/>
      <c r="EE17" s="122">
        <f>ED17*100/$E$17</f>
        <v/>
      </c>
      <c r="EF17" s="108" t="n"/>
      <c r="EG17" s="122">
        <f>EF17*100/$E$17</f>
        <v/>
      </c>
      <c r="EH17" s="108" t="n"/>
      <c r="EI17" s="122">
        <f>EH17*100/$E$17</f>
        <v/>
      </c>
      <c r="EJ17" s="108" t="n"/>
      <c r="EK17" s="122">
        <f>EJ17*100/$E$17</f>
        <v/>
      </c>
      <c r="EL17" s="108" t="n"/>
      <c r="EM17" s="122">
        <f>EL17*100/$E$17</f>
        <v/>
      </c>
      <c r="EN17" s="108" t="n"/>
      <c r="EO17" s="122">
        <f>EN17*100/$E$17</f>
        <v/>
      </c>
      <c r="EP17" s="108" t="n"/>
      <c r="EQ17" s="122">
        <f>EP17*100/$E$17</f>
        <v/>
      </c>
      <c r="ER17" s="108" t="n"/>
      <c r="ES17" s="122">
        <f>ER17*100/$E$17</f>
        <v/>
      </c>
      <c r="ET17" s="108" t="n"/>
      <c r="EU17" s="122">
        <f>ET17*100/$E$17</f>
        <v/>
      </c>
      <c r="EV17" s="108" t="n"/>
      <c r="EW17" s="122">
        <f>EV17*100/$E$17</f>
        <v/>
      </c>
      <c r="EX17" s="108" t="n"/>
      <c r="EY17" s="122">
        <f>EX17*100/$E$17</f>
        <v/>
      </c>
      <c r="EZ17" s="108" t="n"/>
      <c r="FA17" s="122">
        <f>EZ17*100/$E$17</f>
        <v/>
      </c>
      <c r="FB17" s="108" t="n"/>
      <c r="FC17" s="122">
        <f>FB17*100/$E$17</f>
        <v/>
      </c>
      <c r="FD17" s="108" t="n"/>
      <c r="FE17" s="122">
        <f>FD17*100/$E$17</f>
        <v/>
      </c>
      <c r="FF17" s="108" t="n"/>
      <c r="FG17" s="122">
        <f>FF17*100/$E$17</f>
        <v/>
      </c>
      <c r="FH17" s="108" t="n"/>
      <c r="FI17" s="122">
        <f>FH17*100/$E$17</f>
        <v/>
      </c>
      <c r="FJ17" s="108" t="n"/>
      <c r="FK17" s="122">
        <f>FJ17*100/$E$17</f>
        <v/>
      </c>
      <c r="FL17" s="108" t="n"/>
      <c r="FM17" s="122">
        <f>FL17*100/$E$17</f>
        <v/>
      </c>
      <c r="FN17" s="108" t="n"/>
      <c r="FO17" s="122">
        <f>FN17*100/$E$17</f>
        <v/>
      </c>
      <c r="FP17" s="108" t="n"/>
      <c r="FQ17" s="122">
        <f>FP17*100/$E$17</f>
        <v/>
      </c>
      <c r="FR17" s="108" t="n"/>
      <c r="FS17" s="122">
        <f>FR17*100/$E$17</f>
        <v/>
      </c>
      <c r="FT17" s="108" t="n"/>
      <c r="FU17" s="122">
        <f>FT17*100/$E$17</f>
        <v/>
      </c>
      <c r="FV17" s="108" t="n"/>
      <c r="FW17" s="122">
        <f>FV17*100/$E$17</f>
        <v/>
      </c>
      <c r="FX17" s="108" t="n"/>
      <c r="FY17" s="107">
        <f>FX17*100/$E$17</f>
        <v/>
      </c>
      <c r="FZ17" s="108" t="n"/>
      <c r="GA17" s="107">
        <f>FZ17*100/$E$17</f>
        <v/>
      </c>
      <c r="GB17" s="108" t="n"/>
      <c r="GC17" s="107">
        <f>GB17*100/$E$17</f>
        <v/>
      </c>
      <c r="GD17" s="108" t="n"/>
      <c r="GE17" s="107">
        <f>GD17*100/$E$17</f>
        <v/>
      </c>
      <c r="GF17" s="108" t="n"/>
      <c r="GG17" s="107">
        <f>GF17*100/$E$17</f>
        <v/>
      </c>
      <c r="GH17" s="108" t="n"/>
      <c r="GI17" s="107">
        <f>GH17*100/$E$17</f>
        <v/>
      </c>
      <c r="GJ17" s="108" t="n"/>
      <c r="GK17" s="122">
        <f>GJ17*100/$E$17</f>
        <v/>
      </c>
      <c r="GL17" s="108" t="n"/>
      <c r="GM17" s="107">
        <f>GL17*100/$E$17</f>
        <v/>
      </c>
      <c r="GN17" s="108" t="n"/>
      <c r="GO17" s="122">
        <f>GN17*100/$E$17</f>
        <v/>
      </c>
      <c r="GP17" s="108" t="n"/>
      <c r="GQ17" s="107">
        <f>GP17*100/$E$17</f>
        <v/>
      </c>
      <c r="GR17" s="108" t="n"/>
      <c r="GS17" s="122">
        <f>GR17*100/$E$17</f>
        <v/>
      </c>
      <c r="GT17" s="108" t="n"/>
      <c r="GU17" s="122">
        <f>GT17*100/$E$17</f>
        <v/>
      </c>
      <c r="GV17" s="108" t="n"/>
      <c r="GW17" s="122">
        <f>GV17*100/$E$17</f>
        <v/>
      </c>
      <c r="GX17" s="108" t="n"/>
      <c r="GY17" s="107">
        <f>GX17*100/$E$17</f>
        <v/>
      </c>
      <c r="GZ17" s="108" t="n"/>
      <c r="HA17" s="107">
        <f>GZ17*100/$E$17</f>
        <v/>
      </c>
      <c r="HB17" s="108" t="n"/>
      <c r="HC17" s="107">
        <f>HB17*100/$E$17</f>
        <v/>
      </c>
      <c r="HD17" s="108" t="n"/>
      <c r="HE17" s="107">
        <f>HD17*100/$E$17</f>
        <v/>
      </c>
      <c r="HF17" s="108" t="n"/>
      <c r="HG17" s="107">
        <f>HF17*100/$E$17</f>
        <v/>
      </c>
      <c r="HH17" s="108" t="n"/>
      <c r="HI17" s="107">
        <f>HH17*100/$E$17</f>
        <v/>
      </c>
      <c r="HJ17" s="108" t="n"/>
      <c r="HK17" s="107">
        <f>HJ17*100/$E$17</f>
        <v/>
      </c>
      <c r="HL17" s="108" t="n"/>
      <c r="HM17" s="107">
        <f>HL17*100/$E$17</f>
        <v/>
      </c>
      <c r="HN17" s="108" t="n"/>
      <c r="HO17" s="107">
        <f>HN17*100/$E$17</f>
        <v/>
      </c>
      <c r="HP17" s="108" t="n"/>
      <c r="HQ17" s="107">
        <f>HP17*100/$E$17</f>
        <v/>
      </c>
      <c r="HR17" s="108" t="n"/>
      <c r="HS17" s="107">
        <f>HR17*100/$E$17</f>
        <v/>
      </c>
      <c r="HT17" s="108" t="n"/>
      <c r="HU17" s="107">
        <f>HT17*100/$E$17</f>
        <v/>
      </c>
      <c r="HV17" s="108" t="n"/>
      <c r="HW17" s="107">
        <f>HV17*100/$E$17</f>
        <v/>
      </c>
      <c r="HX17" s="108" t="n"/>
      <c r="HY17" s="107">
        <f>HX17*100/$E$17</f>
        <v/>
      </c>
      <c r="HZ17" s="108" t="n"/>
      <c r="IA17" s="122">
        <f>HZ17*100/$E$17</f>
        <v/>
      </c>
      <c r="IB17" s="108" t="n"/>
      <c r="IC17" s="122">
        <f>IB17*100/$E$17</f>
        <v/>
      </c>
      <c r="ID17" s="108" t="n"/>
      <c r="IE17" s="122">
        <f>ID17*100/$E$17</f>
        <v/>
      </c>
      <c r="IF17" s="108" t="n"/>
      <c r="IG17" s="122">
        <f>IF17*100/$E$17</f>
        <v/>
      </c>
      <c r="IH17" s="108" t="n"/>
      <c r="II17" s="122">
        <f>IH17*100/$E$17</f>
        <v/>
      </c>
      <c r="IJ17" s="108" t="n"/>
      <c r="IK17" s="122">
        <f>IJ17*100/$E$17</f>
        <v/>
      </c>
      <c r="IL17" s="108" t="n"/>
      <c r="IM17" s="107">
        <f>IL17*100/$E$17</f>
        <v/>
      </c>
      <c r="IN17" s="108" t="n"/>
      <c r="IO17" s="107">
        <f>IN17*100/$E$17</f>
        <v/>
      </c>
      <c r="IP17" s="108" t="n"/>
      <c r="IQ17" s="122">
        <f>IP17*100/$E$17</f>
        <v/>
      </c>
      <c r="IR17" s="108" t="n"/>
      <c r="IS17" s="122">
        <f>IR17*100/$E$17</f>
        <v/>
      </c>
      <c r="IT17" s="108" t="n"/>
      <c r="IU17" s="122">
        <f>IT17*100/$E$17</f>
        <v/>
      </c>
      <c r="IV17" s="108" t="n"/>
      <c r="IW17" s="122">
        <f>IV17*100/$E$17</f>
        <v/>
      </c>
      <c r="IX17" s="108" t="n">
        <v>11</v>
      </c>
      <c r="IY17" s="122">
        <f>IX17*100/$E$17</f>
        <v/>
      </c>
      <c r="IZ17" s="108" t="n"/>
      <c r="JA17" s="122">
        <f>IZ17*100/$E$17</f>
        <v/>
      </c>
      <c r="JB17" s="108" t="n"/>
      <c r="JC17" s="122">
        <f>JB17*100/$E$17</f>
        <v/>
      </c>
      <c r="JD17" s="108" t="n"/>
      <c r="JE17" s="122">
        <f>JD17*100/$E$17</f>
        <v/>
      </c>
      <c r="JF17" s="108" t="n"/>
      <c r="JG17" s="122">
        <f>JF17*100/$E$17</f>
        <v/>
      </c>
      <c r="JH17" s="108" t="n"/>
      <c r="JI17" s="122">
        <f>JH17*100/$E$17</f>
        <v/>
      </c>
      <c r="JJ17" s="108" t="n"/>
      <c r="JK17" s="122">
        <f>JJ17*100/$E$17</f>
        <v/>
      </c>
      <c r="JL17" s="108">
        <f>14-11</f>
        <v/>
      </c>
      <c r="JM17" s="122">
        <f>JL17*100/$E$17</f>
        <v/>
      </c>
      <c r="JN17" s="108" t="n"/>
      <c r="JO17" s="122">
        <f>JN17*100/$E$17</f>
        <v/>
      </c>
      <c r="JP17" s="108" t="n">
        <v>87</v>
      </c>
      <c r="JQ17" s="122">
        <f>JP17*100/$E$17</f>
        <v/>
      </c>
      <c r="JR17" s="108" t="n"/>
      <c r="JS17" s="122">
        <f>JR17*100/$E$17</f>
        <v/>
      </c>
      <c r="JT17" s="108" t="n"/>
      <c r="JU17" s="122">
        <f>JT17*100/$E$17</f>
        <v/>
      </c>
      <c r="JV17" s="108" t="n"/>
      <c r="JW17" s="122">
        <f>JV17*100/$E$17</f>
        <v/>
      </c>
      <c r="JX17" s="108" t="n"/>
      <c r="JY17" s="122">
        <f>JX17*100/$E$17</f>
        <v/>
      </c>
      <c r="JZ17" s="55">
        <f>JN17+JP17+JR17+JT17+JV17+JX17</f>
        <v/>
      </c>
      <c r="KA17" s="53">
        <f>JO17+JQ17+JS17+JU17+JW17+JY17</f>
        <v/>
      </c>
      <c r="KB17" s="185">
        <f>H17+J17+L17+N17+P17+R17+T17+V17+X17+Z17+AB17+AD17+AF17+AH17+AJ17+AL17+AN17+AP17+AR17+AT17+AV17+AX17+AZ17+BB17+BD17+BF17+BH17+BJ17+BL17+BN17+BP17+BR17+BT17+BV17+BX17+BZ17+CB17+CD17+CF17+CH17+CZ17+DB17+DD17+DF17+DH17+DJ17+DL17+DN17+DP17+DR17+DT17+DV17+DX17+DZ17+EB17+ED17+EF17+EH17+EJ17+EL17+EN17+EP17+ER17+ET17+EV17+FN17+FP17+FR17+FT17+FV17+FX17+FZ17+GB17+GD17+GF17+GH17+GJ17+GL17+GN17+GP17+GR17+GT17+GV17+GX17+GZ17+HB17+HD17+HF17+HH17+HJ17+HL17+HN17+HP17+HR17+HT17+HV17+HX17+HZ17+IB17+ID17+IF17+IH17+IJ17+IL17+IN17+IP17+IR17+IT17+IV17+IX17+IZ17+JB17+JD17+JF17+JH17+JJ17+JL17+JZ17+CJ17+CL17+CN17+CP17+CR17+CT17+CV17+CX17+EX17+EZ17+FB17+FD17+FF17+FH17+FJ17+FL17</f>
        <v/>
      </c>
      <c r="KC17" s="66">
        <f>I17+K17+M17+O17+Q17+S17+U17+W17+Y17+AA17+AC17+AE17+AG17+AI17+AK17+AM17+AO17+AQ17+AS17+AU17+AW17+AY17+BA17+BC17+BE17+BG17+BI17+BK17+BM17+BO17+BQ17+BS17+BU17+BW17+BY17+CA17+CC17+CE17+CG17+CI17+DA17+DC17+DE17+DG17+DI17+DK17+DM17+DO17+DQ17+DS17+DU17+DW17+DY17+EA17+EC17+EE17+EG17+EI17+EK17+EM17+EO17+EQ17+ES17+EU17+EW17+FO17+FS17+FU17+FW17+FQ17+FY17+GA17+GC17+GE17+GG17+GI17+GK17+GM17+GO17+GQ17+GS17+GU17+GW17+GY17+HA17+HC17+HE17+HG17+HI17+HK17+HM17+HO17+HQ17+HS17+HU17+HW17+HY17+IA17+IC17+IE17+IG17+II17+IK17+IM17+IO17+IQ17+IS17+IU17+IW17+IY17+JA17+JC17+JE17+JG17+JI17+JK17+JM17+KA17+CK17+CM17+CO17+CQ17+CS17+CU17+CW17+CY17+EY17+FA17+FC17+FE17+FG17+FI17+FK17+FM17</f>
        <v/>
      </c>
      <c r="KD17" s="44">
        <f>JO17+JQ17+JS17+JU17+JW17+JY17</f>
        <v/>
      </c>
      <c r="KE17" s="45">
        <f>KB17=E17</f>
        <v/>
      </c>
      <c r="KF17" s="101">
        <f>E17-KB17</f>
        <v/>
      </c>
      <c r="KG17" s="17" t="n"/>
    </row>
    <row r="18" ht="21.75" customFormat="1" customHeight="1" s="14">
      <c r="A18" s="126">
        <f>A17+1</f>
        <v/>
      </c>
      <c r="B18" s="175" t="inlineStr">
        <is>
          <t>Евстратов Е.В.</t>
        </is>
      </c>
      <c r="C18" s="176" t="inlineStr">
        <is>
          <t>слесарь</t>
        </is>
      </c>
      <c r="D18" s="177">
        <f>$D$5</f>
        <v/>
      </c>
      <c r="E18" s="202" t="n">
        <v>72</v>
      </c>
      <c r="F18" s="190" t="n">
        <v>68902.87</v>
      </c>
      <c r="G18" s="179">
        <f>F18/D18</f>
        <v/>
      </c>
      <c r="H18" s="125" t="n"/>
      <c r="I18" s="107">
        <f>H18*100/$E$18</f>
        <v/>
      </c>
      <c r="J18" s="108" t="n"/>
      <c r="K18" s="107">
        <f>J18*100/$E$18</f>
        <v/>
      </c>
      <c r="L18" s="108" t="n"/>
      <c r="M18" s="107">
        <f>L18*100/$E$18</f>
        <v/>
      </c>
      <c r="N18" s="108" t="n"/>
      <c r="O18" s="107">
        <f>N18*100/$E$18</f>
        <v/>
      </c>
      <c r="P18" s="108" t="n"/>
      <c r="Q18" s="122">
        <f>P18*100/$E$18</f>
        <v/>
      </c>
      <c r="R18" s="108" t="n"/>
      <c r="S18" s="122">
        <f>R18*100/$E$18</f>
        <v/>
      </c>
      <c r="T18" s="108" t="n"/>
      <c r="U18" s="107">
        <f>T18*100/$E$18</f>
        <v/>
      </c>
      <c r="V18" s="108" t="n"/>
      <c r="W18" s="107">
        <f>V18*100/$E$18</f>
        <v/>
      </c>
      <c r="X18" s="108" t="n"/>
      <c r="Y18" s="107">
        <f>X18*100/$E$18</f>
        <v/>
      </c>
      <c r="Z18" s="108" t="n"/>
      <c r="AA18" s="107">
        <f>Z18*100/$E$18</f>
        <v/>
      </c>
      <c r="AB18" s="108" t="n"/>
      <c r="AC18" s="107">
        <f>AB18*100/$E$18</f>
        <v/>
      </c>
      <c r="AD18" s="108" t="n"/>
      <c r="AE18" s="122">
        <f>AD18*100/$E$18</f>
        <v/>
      </c>
      <c r="AF18" s="108" t="n">
        <v>12</v>
      </c>
      <c r="AG18" s="122">
        <f>AF18*100/$E$18</f>
        <v/>
      </c>
      <c r="AH18" s="108" t="n"/>
      <c r="AI18" s="107">
        <f>AH18*100/$E$18</f>
        <v/>
      </c>
      <c r="AJ18" s="108" t="n"/>
      <c r="AK18" s="107">
        <f>AJ18*100/$E$18</f>
        <v/>
      </c>
      <c r="AL18" s="108" t="n"/>
      <c r="AM18" s="107">
        <f>AL18*100/$E$18</f>
        <v/>
      </c>
      <c r="AN18" s="108" t="n"/>
      <c r="AO18" s="107">
        <f>AN18*100/$E$18</f>
        <v/>
      </c>
      <c r="AP18" s="108" t="n"/>
      <c r="AQ18" s="107">
        <f>AP18*100/$E$18</f>
        <v/>
      </c>
      <c r="AR18" s="108" t="n"/>
      <c r="AS18" s="107">
        <f>AR18*100/$E$18</f>
        <v/>
      </c>
      <c r="AT18" s="108" t="n"/>
      <c r="AU18" s="90">
        <f>AT18*100/$E$18</f>
        <v/>
      </c>
      <c r="AV18" s="108" t="n"/>
      <c r="AW18" s="107">
        <f>AV18*100/$E$18</f>
        <v/>
      </c>
      <c r="AX18" s="108" t="n">
        <v>25</v>
      </c>
      <c r="AY18" s="107">
        <f>AX18*100/$E$18</f>
        <v/>
      </c>
      <c r="AZ18" s="108" t="n"/>
      <c r="BA18" s="107">
        <f>AZ18*100/$E$18</f>
        <v/>
      </c>
      <c r="BB18" s="108" t="n"/>
      <c r="BC18" s="107">
        <f>BB18*100/$E$18</f>
        <v/>
      </c>
      <c r="BD18" s="108" t="n"/>
      <c r="BE18" s="107">
        <f>BD18*100/$E$18</f>
        <v/>
      </c>
      <c r="BF18" s="108" t="n"/>
      <c r="BG18" s="107">
        <f>BF18*100/$E$18</f>
        <v/>
      </c>
      <c r="BH18" s="108" t="n"/>
      <c r="BI18" s="107">
        <f>BH18*100/$E$18</f>
        <v/>
      </c>
      <c r="BJ18" s="108" t="n"/>
      <c r="BK18" s="107">
        <f>BJ18*100/$E$18</f>
        <v/>
      </c>
      <c r="BL18" s="108" t="n"/>
      <c r="BM18" s="107">
        <f>BL18*100/$E$18</f>
        <v/>
      </c>
      <c r="BN18" s="108" t="n"/>
      <c r="BO18" s="107">
        <f>BN18*100/$E$18</f>
        <v/>
      </c>
      <c r="BP18" s="108" t="n"/>
      <c r="BQ18" s="107">
        <f>BP18*100/$E$18</f>
        <v/>
      </c>
      <c r="BR18" s="108" t="n"/>
      <c r="BS18" s="107">
        <f>BR18*100/$E$18</f>
        <v/>
      </c>
      <c r="BT18" s="108" t="n"/>
      <c r="BU18" s="107">
        <f>BT18*100/$E$18</f>
        <v/>
      </c>
      <c r="BV18" s="108" t="n"/>
      <c r="BW18" s="107">
        <f>BV18*100/$E$18</f>
        <v/>
      </c>
      <c r="BX18" s="108" t="n"/>
      <c r="BY18" s="107">
        <f>BX18*100/$E$18</f>
        <v/>
      </c>
      <c r="BZ18" s="108" t="n"/>
      <c r="CA18" s="107">
        <f>BZ18*100/$E$18</f>
        <v/>
      </c>
      <c r="CB18" s="108" t="n"/>
      <c r="CC18" s="107">
        <f>CB18*100/$E$18</f>
        <v/>
      </c>
      <c r="CD18" s="108" t="n"/>
      <c r="CE18" s="107">
        <f>CD18*100/$E$18</f>
        <v/>
      </c>
      <c r="CF18" s="108" t="n"/>
      <c r="CG18" s="107">
        <f>CF18*100/$E$18</f>
        <v/>
      </c>
      <c r="CH18" s="108" t="n"/>
      <c r="CI18" s="107">
        <f>CH18*100/$E$18</f>
        <v/>
      </c>
      <c r="CJ18" s="108" t="n"/>
      <c r="CK18" s="107">
        <f>CJ18*100/$E$18</f>
        <v/>
      </c>
      <c r="CL18" s="108" t="n"/>
      <c r="CM18" s="107">
        <f>CL18*100/$E$18</f>
        <v/>
      </c>
      <c r="CN18" s="108" t="n"/>
      <c r="CO18" s="122">
        <f>CN18*100/$E$18</f>
        <v/>
      </c>
      <c r="CP18" s="108" t="n"/>
      <c r="CQ18" s="107">
        <f>CP18*100/$E$18</f>
        <v/>
      </c>
      <c r="CR18" s="108" t="n"/>
      <c r="CS18" s="122">
        <f>CR18*100/$E$18</f>
        <v/>
      </c>
      <c r="CT18" s="108" t="n"/>
      <c r="CU18" s="122">
        <f>CT18*100/$E$18</f>
        <v/>
      </c>
      <c r="CV18" s="108" t="n"/>
      <c r="CW18" s="122">
        <f>CV18*100/$E$18</f>
        <v/>
      </c>
      <c r="CX18" s="108" t="n"/>
      <c r="CY18" s="122">
        <f>CX18*100/$E$18</f>
        <v/>
      </c>
      <c r="CZ18" s="108" t="n"/>
      <c r="DA18" s="122">
        <f>CZ18*100/$E$18</f>
        <v/>
      </c>
      <c r="DB18" s="108" t="n"/>
      <c r="DC18" s="122">
        <f>DB18*100/$E$18</f>
        <v/>
      </c>
      <c r="DD18" s="108" t="n"/>
      <c r="DE18" s="122">
        <f>DD18*100/$E$18</f>
        <v/>
      </c>
      <c r="DF18" s="108" t="n"/>
      <c r="DG18" s="122">
        <f>DF18*100/$E$18</f>
        <v/>
      </c>
      <c r="DH18" s="108" t="n"/>
      <c r="DI18" s="122">
        <f>DH18*100/$E$18</f>
        <v/>
      </c>
      <c r="DJ18" s="108" t="n"/>
      <c r="DK18" s="122">
        <f>DJ18*100/$E$18</f>
        <v/>
      </c>
      <c r="DL18" s="108" t="n"/>
      <c r="DM18" s="122">
        <f>DL18*100/$E$18</f>
        <v/>
      </c>
      <c r="DN18" s="108" t="n"/>
      <c r="DO18" s="122">
        <f>DN18*100/$E$18</f>
        <v/>
      </c>
      <c r="DP18" s="108" t="n">
        <v>6</v>
      </c>
      <c r="DQ18" s="122">
        <f>DP18*100/$E$18</f>
        <v/>
      </c>
      <c r="DR18" s="108" t="n"/>
      <c r="DS18" s="122">
        <f>DR18*100/$E$18</f>
        <v/>
      </c>
      <c r="DT18" s="108" t="n"/>
      <c r="DU18" s="122">
        <f>DT18*100/$E$18</f>
        <v/>
      </c>
      <c r="DV18" s="108" t="n">
        <v>6</v>
      </c>
      <c r="DW18" s="122">
        <f>DV18*100/$E$18</f>
        <v/>
      </c>
      <c r="DX18" s="108" t="n"/>
      <c r="DY18" s="122">
        <f>DX18*100/$E$18</f>
        <v/>
      </c>
      <c r="DZ18" s="108" t="n"/>
      <c r="EA18" s="122">
        <f>DZ18*100/$E$18</f>
        <v/>
      </c>
      <c r="EB18" s="108" t="n">
        <v>12</v>
      </c>
      <c r="EC18" s="122">
        <f>EB18*100/$E$18</f>
        <v/>
      </c>
      <c r="ED18" s="108" t="n">
        <v>3</v>
      </c>
      <c r="EE18" s="122">
        <f>ED18*100/$E$18</f>
        <v/>
      </c>
      <c r="EF18" s="108" t="n">
        <v>6</v>
      </c>
      <c r="EG18" s="122">
        <f>EF18*100/$E$18</f>
        <v/>
      </c>
      <c r="EH18" s="108" t="n"/>
      <c r="EI18" s="122">
        <f>EH18*100/$E$18</f>
        <v/>
      </c>
      <c r="EJ18" s="108" t="n"/>
      <c r="EK18" s="122">
        <f>EJ18*100/$E$18</f>
        <v/>
      </c>
      <c r="EL18" s="108" t="n"/>
      <c r="EM18" s="122">
        <f>EL18*100/$E$18</f>
        <v/>
      </c>
      <c r="EN18" s="108" t="n"/>
      <c r="EO18" s="122">
        <f>EN18*100/$E$18</f>
        <v/>
      </c>
      <c r="EP18" s="108" t="n"/>
      <c r="EQ18" s="122">
        <f>EP18*100/$E$18</f>
        <v/>
      </c>
      <c r="ER18" s="108" t="n"/>
      <c r="ES18" s="122">
        <f>ER18*100/$E$18</f>
        <v/>
      </c>
      <c r="ET18" s="108" t="n"/>
      <c r="EU18" s="122">
        <f>ET18*100/$E$18</f>
        <v/>
      </c>
      <c r="EV18" s="108" t="n"/>
      <c r="EW18" s="122">
        <f>EV18*100/$E$18</f>
        <v/>
      </c>
      <c r="EX18" s="108" t="n"/>
      <c r="EY18" s="122">
        <f>EX18*100/$E$18</f>
        <v/>
      </c>
      <c r="EZ18" s="108" t="n"/>
      <c r="FA18" s="122">
        <f>EZ18*100/$E$18</f>
        <v/>
      </c>
      <c r="FB18" s="108" t="n"/>
      <c r="FC18" s="122">
        <f>FB18*100/$E$18</f>
        <v/>
      </c>
      <c r="FD18" s="108" t="n"/>
      <c r="FE18" s="122">
        <f>FD18*100/$E$18</f>
        <v/>
      </c>
      <c r="FF18" s="108" t="n"/>
      <c r="FG18" s="122">
        <f>FF18*100/$E$18</f>
        <v/>
      </c>
      <c r="FH18" s="108" t="n"/>
      <c r="FI18" s="122">
        <f>FH18*100/$E$18</f>
        <v/>
      </c>
      <c r="FJ18" s="108" t="n"/>
      <c r="FK18" s="122">
        <f>FJ18*100/$E$18</f>
        <v/>
      </c>
      <c r="FL18" s="108" t="n"/>
      <c r="FM18" s="122">
        <f>FL18*100/$E$18</f>
        <v/>
      </c>
      <c r="FN18" s="108" t="n"/>
      <c r="FO18" s="122">
        <f>FN18*100/$E$18</f>
        <v/>
      </c>
      <c r="FP18" s="108" t="n"/>
      <c r="FQ18" s="122">
        <f>FP18*100/$E$18</f>
        <v/>
      </c>
      <c r="FR18" s="108" t="n"/>
      <c r="FS18" s="122">
        <f>FR18*100/$E$18</f>
        <v/>
      </c>
      <c r="FT18" s="108" t="n"/>
      <c r="FU18" s="122">
        <f>FT18*100/$E$18</f>
        <v/>
      </c>
      <c r="FV18" s="108" t="n"/>
      <c r="FW18" s="122">
        <f>FV18*100/$E$18</f>
        <v/>
      </c>
      <c r="FX18" s="108" t="n"/>
      <c r="FY18" s="107">
        <f>FX18*100/$E$18</f>
        <v/>
      </c>
      <c r="FZ18" s="108" t="n"/>
      <c r="GA18" s="107">
        <f>FZ18*100/$E$18</f>
        <v/>
      </c>
      <c r="GB18" s="108" t="n"/>
      <c r="GC18" s="107">
        <f>GB18*100/$E$18</f>
        <v/>
      </c>
      <c r="GD18" s="108" t="n"/>
      <c r="GE18" s="107">
        <f>GD18*100/$E$18</f>
        <v/>
      </c>
      <c r="GF18" s="108" t="n"/>
      <c r="GG18" s="107">
        <f>GF18*100/$E$18</f>
        <v/>
      </c>
      <c r="GH18" s="108" t="n"/>
      <c r="GI18" s="107">
        <f>GH18*100/$E$18</f>
        <v/>
      </c>
      <c r="GJ18" s="108" t="n"/>
      <c r="GK18" s="122">
        <f>GJ18*100/$E$18</f>
        <v/>
      </c>
      <c r="GL18" s="108" t="n"/>
      <c r="GM18" s="107">
        <f>GL18*100/$E$18</f>
        <v/>
      </c>
      <c r="GN18" s="108" t="n"/>
      <c r="GO18" s="122">
        <f>GN18*100/$E$18</f>
        <v/>
      </c>
      <c r="GP18" s="108" t="n"/>
      <c r="GQ18" s="107">
        <f>GP18*100/$E$18</f>
        <v/>
      </c>
      <c r="GR18" s="108" t="n"/>
      <c r="GS18" s="122">
        <f>GR18*100/$E$18</f>
        <v/>
      </c>
      <c r="GT18" s="108" t="n"/>
      <c r="GU18" s="122">
        <f>GT18*100/$E$18</f>
        <v/>
      </c>
      <c r="GV18" s="108" t="n"/>
      <c r="GW18" s="122">
        <f>GV18*100/$E$18</f>
        <v/>
      </c>
      <c r="GX18" s="108" t="n"/>
      <c r="GY18" s="107">
        <f>GX18*100/$E$18</f>
        <v/>
      </c>
      <c r="GZ18" s="108" t="n"/>
      <c r="HA18" s="107">
        <f>GZ18*100/$E$18</f>
        <v/>
      </c>
      <c r="HB18" s="108" t="n"/>
      <c r="HC18" s="107">
        <f>HB18*100/$E$18</f>
        <v/>
      </c>
      <c r="HD18" s="108" t="n"/>
      <c r="HE18" s="107">
        <f>HD18*100/$E$18</f>
        <v/>
      </c>
      <c r="HF18" s="108" t="n"/>
      <c r="HG18" s="107">
        <f>HF18*100/$E$18</f>
        <v/>
      </c>
      <c r="HH18" s="108" t="n"/>
      <c r="HI18" s="107">
        <f>HH18*100/$E$18</f>
        <v/>
      </c>
      <c r="HJ18" s="108" t="n"/>
      <c r="HK18" s="107">
        <f>HJ18*100/$E$18</f>
        <v/>
      </c>
      <c r="HL18" s="108" t="n"/>
      <c r="HM18" s="107">
        <f>HL18*100/$E$18</f>
        <v/>
      </c>
      <c r="HN18" s="108" t="n"/>
      <c r="HO18" s="107">
        <f>HN18*100/$E$18</f>
        <v/>
      </c>
      <c r="HP18" s="108" t="n"/>
      <c r="HQ18" s="107">
        <f>HP18*100/$E$18</f>
        <v/>
      </c>
      <c r="HR18" s="108" t="n"/>
      <c r="HS18" s="107">
        <f>HR18*100/$E$18</f>
        <v/>
      </c>
      <c r="HT18" s="108" t="n"/>
      <c r="HU18" s="107">
        <f>HT18*100/$E$18</f>
        <v/>
      </c>
      <c r="HV18" s="108" t="n"/>
      <c r="HW18" s="107">
        <f>HV18*100/$E$18</f>
        <v/>
      </c>
      <c r="HX18" s="108" t="n"/>
      <c r="HY18" s="107">
        <f>HX18*100/$E$18</f>
        <v/>
      </c>
      <c r="HZ18" s="108" t="n"/>
      <c r="IA18" s="122">
        <f>HZ18*100/$E$18</f>
        <v/>
      </c>
      <c r="IB18" s="108" t="n"/>
      <c r="IC18" s="122">
        <f>IB18*100/$E$18</f>
        <v/>
      </c>
      <c r="ID18" s="108" t="n"/>
      <c r="IE18" s="122">
        <f>ID18*100/$E$18</f>
        <v/>
      </c>
      <c r="IF18" s="108" t="n"/>
      <c r="IG18" s="122">
        <f>IF18*100/$E$18</f>
        <v/>
      </c>
      <c r="IH18" s="108" t="n"/>
      <c r="II18" s="122">
        <f>IH18*100/$E$18</f>
        <v/>
      </c>
      <c r="IJ18" s="108" t="n"/>
      <c r="IK18" s="122">
        <f>IJ18*100/$E$18</f>
        <v/>
      </c>
      <c r="IL18" s="108" t="n"/>
      <c r="IM18" s="107">
        <f>IL18*100/$E$18</f>
        <v/>
      </c>
      <c r="IN18" s="108" t="n"/>
      <c r="IO18" s="107">
        <f>IN18*100/$E$18</f>
        <v/>
      </c>
      <c r="IP18" s="108" t="n"/>
      <c r="IQ18" s="122">
        <f>IP18*100/$E$18</f>
        <v/>
      </c>
      <c r="IR18" s="108" t="n"/>
      <c r="IS18" s="122">
        <f>IR18*100/$E$18</f>
        <v/>
      </c>
      <c r="IT18" s="108" t="n"/>
      <c r="IU18" s="122">
        <f>IT18*100/$E$18</f>
        <v/>
      </c>
      <c r="IV18" s="108" t="n"/>
      <c r="IW18" s="122">
        <f>IV18*100/$E$18</f>
        <v/>
      </c>
      <c r="IX18" s="108" t="n"/>
      <c r="IY18" s="122">
        <f>IX18*100/$E$18</f>
        <v/>
      </c>
      <c r="IZ18" s="108" t="n"/>
      <c r="JA18" s="122">
        <f>IZ18*100/$E$18</f>
        <v/>
      </c>
      <c r="JB18" s="108" t="n"/>
      <c r="JC18" s="122">
        <f>JB18*100/$E$18</f>
        <v/>
      </c>
      <c r="JD18" s="108" t="n"/>
      <c r="JE18" s="122">
        <f>JD18*100/$E$18</f>
        <v/>
      </c>
      <c r="JF18" s="108" t="n">
        <v>2</v>
      </c>
      <c r="JG18" s="122">
        <f>JF18*100/$E$18</f>
        <v/>
      </c>
      <c r="JH18" s="108" t="n"/>
      <c r="JI18" s="122">
        <f>JH18*100/$E$18</f>
        <v/>
      </c>
      <c r="JJ18" s="108" t="n"/>
      <c r="JK18" s="122">
        <f>JJ18*100/$E$18</f>
        <v/>
      </c>
      <c r="JL18" s="108" t="n"/>
      <c r="JM18" s="122">
        <f>JL18*100/$E$18</f>
        <v/>
      </c>
      <c r="JN18" s="108" t="n"/>
      <c r="JO18" s="122">
        <f>JN18*100/$E$18</f>
        <v/>
      </c>
      <c r="JP18" s="108" t="n"/>
      <c r="JQ18" s="122">
        <f>JP18*100/$E$18</f>
        <v/>
      </c>
      <c r="JR18" s="108" t="n"/>
      <c r="JS18" s="122">
        <f>JR18*100/$E$18</f>
        <v/>
      </c>
      <c r="JT18" s="108" t="n"/>
      <c r="JU18" s="122">
        <f>JT18*100/$E$18</f>
        <v/>
      </c>
      <c r="JV18" s="108" t="n"/>
      <c r="JW18" s="122">
        <f>JV18*100/$E$18</f>
        <v/>
      </c>
      <c r="JX18" s="108" t="n"/>
      <c r="JY18" s="122">
        <f>JX18*100/$E$18</f>
        <v/>
      </c>
      <c r="JZ18" s="55">
        <f>JN18+JP18+JR18+JT18+JV18+JX18</f>
        <v/>
      </c>
      <c r="KA18" s="53">
        <f>JO18+JQ18+JS18+JU18+JW18+JY18</f>
        <v/>
      </c>
      <c r="KB18" s="185">
        <f>H18+J18+L18+N18+P18+R18+T18+V18+X18+Z18+AB18+AD18+AF18+AH18+AJ18+AL18+AN18+AP18+AR18+AT18+AV18+AX18+AZ18+BB18+BD18+BF18+BH18+BJ18+BL18+BN18+BP18+BR18+BT18+BV18+BX18+BZ18+CB18+CD18+CF18+CH18+CZ18+DB18+DD18+DF18+DH18+DJ18+DL18+DN18+DP18+DR18+DT18+DV18+DX18+DZ18+EB18+ED18+EF18+EH18+EJ18+EL18+EN18+EP18+ER18+ET18+EV18+FN18+FP18+FR18+FT18+FV18+FX18+FZ18+GB18+GD18+GF18+GH18+GJ18+GL18+GN18+GP18+GR18+GT18+GV18+GX18+GZ18+HB18+HD18+HF18+HH18+HJ18+HL18+HN18+HP18+HR18+HT18+HV18+HX18+HZ18+IB18+ID18+IF18+IH18+IJ18+IL18+IN18+IP18+IR18+IT18+IV18+IX18+IZ18+JB18+JD18+JF18+JH18+JJ18+JL18+JZ18+CJ18+CL18+CN18+CP18+CR18+CT18+CV18+CX18+EX18+EZ18+FB18+FD18+FF18+FH18+FJ18+FL18</f>
        <v/>
      </c>
      <c r="KC18" s="66">
        <f>I18+K18+M18+O18+Q18+S18+U18+W18+Y18+AA18+AC18+AE18+AG18+AI18+AK18+AM18+AO18+AQ18+AS18+AU18+AW18+AY18+BA18+BC18+BE18+BG18+BI18+BK18+BM18+BO18+BQ18+BS18+BU18+BW18+BY18+CA18+CC18+CE18+CG18+CI18+DA18+DC18+DE18+DG18+DI18+DK18+DM18+DO18+DQ18+DS18+DU18+DW18+DY18+EA18+EC18+EE18+EG18+EI18+EK18+EM18+EO18+EQ18+ES18+EU18+EW18+FO18+FS18+FU18+FW18+FQ18+FY18+GA18+GC18+GE18+GG18+GI18+GK18+GM18+GO18+GQ18+GS18+GU18+GW18+GY18+HA18+HC18+HE18+HG18+HI18+HK18+HM18+HO18+HQ18+HS18+HU18+HW18+HY18+IA18+IC18+IE18+IG18+II18+IK18+IM18+IO18+IQ18+IS18+IU18+IW18+IY18+JA18+JC18+JE18+JG18+JI18+JK18+JM18+KA18+CK18+CM18+CO18+CQ18+CS18+CU18+CW18+CY18+EY18+FA18+FC18+FE18+FG18+FI18+FK18+FM18</f>
        <v/>
      </c>
      <c r="KD18" s="44">
        <f>JO18+JQ18+JS18+JU18+JW18+JY18</f>
        <v/>
      </c>
      <c r="KE18" s="45">
        <f>KB18=E18</f>
        <v/>
      </c>
      <c r="KF18" s="101">
        <f>E18-KB18</f>
        <v/>
      </c>
      <c r="KG18" s="17" t="n"/>
    </row>
    <row r="19" ht="21.75" customFormat="1" customHeight="1" s="67">
      <c r="A19" s="126">
        <f>A18+1</f>
        <v/>
      </c>
      <c r="B19" s="175" t="inlineStr">
        <is>
          <t>Еналов А.Д.</t>
        </is>
      </c>
      <c r="C19" s="176" t="inlineStr">
        <is>
          <t>слесарь</t>
        </is>
      </c>
      <c r="D19" s="177">
        <f>$D$5</f>
        <v/>
      </c>
      <c r="E19" s="202" t="n">
        <v>120</v>
      </c>
      <c r="F19" s="191" t="n">
        <v>68902.87</v>
      </c>
      <c r="G19" s="179">
        <f>F19/D19</f>
        <v/>
      </c>
      <c r="H19" s="125" t="n"/>
      <c r="I19" s="107">
        <f>H19*100/$E$19</f>
        <v/>
      </c>
      <c r="J19" s="108" t="n"/>
      <c r="K19" s="107">
        <f>J19*100/$E$19</f>
        <v/>
      </c>
      <c r="L19" s="108" t="n"/>
      <c r="M19" s="107">
        <f>L19*100/$E$19</f>
        <v/>
      </c>
      <c r="N19" s="108" t="n"/>
      <c r="O19" s="107">
        <f>N19*100/$E$19</f>
        <v/>
      </c>
      <c r="P19" s="108" t="n"/>
      <c r="Q19" s="122">
        <f>P19*100/$E$19</f>
        <v/>
      </c>
      <c r="R19" s="108" t="n"/>
      <c r="S19" s="122">
        <f>R19*100/$E$19</f>
        <v/>
      </c>
      <c r="T19" s="108" t="n"/>
      <c r="U19" s="122">
        <f>T19*100/$E$19</f>
        <v/>
      </c>
      <c r="V19" s="108" t="n"/>
      <c r="W19" s="122">
        <f>V19*100/$E$19</f>
        <v/>
      </c>
      <c r="X19" s="108" t="n"/>
      <c r="Y19" s="122">
        <f>X19*100/$E$19</f>
        <v/>
      </c>
      <c r="Z19" s="108" t="n"/>
      <c r="AA19" s="122">
        <f>Z19*100/$E$19</f>
        <v/>
      </c>
      <c r="AB19" s="108" t="n"/>
      <c r="AC19" s="122">
        <f>AB19*100/$E$19</f>
        <v/>
      </c>
      <c r="AD19" s="108" t="n"/>
      <c r="AE19" s="122">
        <f>AD19*100/$E$19</f>
        <v/>
      </c>
      <c r="AF19" s="108" t="n"/>
      <c r="AG19" s="122">
        <f>AF19*100/$E$19</f>
        <v/>
      </c>
      <c r="AH19" s="108" t="n"/>
      <c r="AI19" s="122">
        <f>AH19*100/$E$19</f>
        <v/>
      </c>
      <c r="AJ19" s="108" t="n"/>
      <c r="AK19" s="122">
        <f>AJ19*100/$E$19</f>
        <v/>
      </c>
      <c r="AL19" s="108" t="n">
        <v>48</v>
      </c>
      <c r="AM19" s="122">
        <f>AL19*100/$E$19</f>
        <v/>
      </c>
      <c r="AN19" s="108" t="n">
        <v>32</v>
      </c>
      <c r="AO19" s="122">
        <f>AN19*100/$E$19</f>
        <v/>
      </c>
      <c r="AP19" s="108" t="n"/>
      <c r="AQ19" s="122">
        <f>AP19*100/$E$19</f>
        <v/>
      </c>
      <c r="AR19" s="108" t="n"/>
      <c r="AS19" s="122">
        <f>AR19*100/$E$19</f>
        <v/>
      </c>
      <c r="AT19" s="108" t="n"/>
      <c r="AU19" s="90">
        <f>AT19*100/$E$19</f>
        <v/>
      </c>
      <c r="AV19" s="108" t="n"/>
      <c r="AW19" s="122">
        <f>AV19*100/$E$19</f>
        <v/>
      </c>
      <c r="AX19" s="108" t="n">
        <v>40</v>
      </c>
      <c r="AY19" s="122">
        <f>AX19*100/$E$19</f>
        <v/>
      </c>
      <c r="AZ19" s="108" t="n"/>
      <c r="BA19" s="122">
        <f>AZ19*100/$E$19</f>
        <v/>
      </c>
      <c r="BB19" s="108" t="n"/>
      <c r="BC19" s="122">
        <f>BB19*100/$E$19</f>
        <v/>
      </c>
      <c r="BD19" s="108" t="n"/>
      <c r="BE19" s="122">
        <f>BD19*100/$E$19</f>
        <v/>
      </c>
      <c r="BF19" s="108" t="n"/>
      <c r="BG19" s="122">
        <f>BF19*100/$E$19</f>
        <v/>
      </c>
      <c r="BH19" s="108" t="n"/>
      <c r="BI19" s="122">
        <f>BH19*100/$E$19</f>
        <v/>
      </c>
      <c r="BJ19" s="108" t="n"/>
      <c r="BK19" s="122">
        <f>BJ19*100/$E$19</f>
        <v/>
      </c>
      <c r="BL19" s="108" t="n"/>
      <c r="BM19" s="122">
        <f>BL19*100/$E$19</f>
        <v/>
      </c>
      <c r="BN19" s="108" t="n"/>
      <c r="BO19" s="122">
        <f>BN19*100/$E$19</f>
        <v/>
      </c>
      <c r="BP19" s="108" t="n"/>
      <c r="BQ19" s="122">
        <f>BP19*100/$E$19</f>
        <v/>
      </c>
      <c r="BR19" s="108" t="n"/>
      <c r="BS19" s="122">
        <f>BR19*100/$E$19</f>
        <v/>
      </c>
      <c r="BT19" s="108" t="n"/>
      <c r="BU19" s="122">
        <f>BT19*100/$E$19</f>
        <v/>
      </c>
      <c r="BV19" s="108" t="n"/>
      <c r="BW19" s="122">
        <f>BV19*100/$E$19</f>
        <v/>
      </c>
      <c r="BX19" s="108" t="n"/>
      <c r="BY19" s="122">
        <f>BX19*100/$E$19</f>
        <v/>
      </c>
      <c r="BZ19" s="108" t="n"/>
      <c r="CA19" s="122">
        <f>BZ19*100/$E$19</f>
        <v/>
      </c>
      <c r="CB19" s="108" t="n"/>
      <c r="CC19" s="122">
        <f>CB19*100/$E$19</f>
        <v/>
      </c>
      <c r="CD19" s="108" t="n"/>
      <c r="CE19" s="122">
        <f>CD19*100/$E$19</f>
        <v/>
      </c>
      <c r="CF19" s="108" t="n"/>
      <c r="CG19" s="122">
        <f>CF19*100/$E$19</f>
        <v/>
      </c>
      <c r="CH19" s="108" t="n"/>
      <c r="CI19" s="122">
        <f>CH19*100/$E$19</f>
        <v/>
      </c>
      <c r="CJ19" s="108" t="n"/>
      <c r="CK19" s="122">
        <f>CJ19*100/$E$19</f>
        <v/>
      </c>
      <c r="CL19" s="108" t="n"/>
      <c r="CM19" s="122">
        <f>CL19*100/$E$19</f>
        <v/>
      </c>
      <c r="CN19" s="108" t="n"/>
      <c r="CO19" s="122">
        <f>CN19*100/$E$19</f>
        <v/>
      </c>
      <c r="CP19" s="108" t="n"/>
      <c r="CQ19" s="122">
        <f>CP19*100/$E$19</f>
        <v/>
      </c>
      <c r="CR19" s="108" t="n"/>
      <c r="CS19" s="122">
        <f>CR19*100/$E$19</f>
        <v/>
      </c>
      <c r="CT19" s="108" t="n"/>
      <c r="CU19" s="122">
        <f>CT19*100/$E$19</f>
        <v/>
      </c>
      <c r="CV19" s="108" t="n"/>
      <c r="CW19" s="122">
        <f>CV19*100/$E$19</f>
        <v/>
      </c>
      <c r="CX19" s="108" t="n"/>
      <c r="CY19" s="122">
        <f>CX19*100/$E$19</f>
        <v/>
      </c>
      <c r="CZ19" s="108" t="n"/>
      <c r="DA19" s="122">
        <f>CZ19*100/$E$19</f>
        <v/>
      </c>
      <c r="DB19" s="108" t="n"/>
      <c r="DC19" s="122">
        <f>DB19*100/$E$19</f>
        <v/>
      </c>
      <c r="DD19" s="108" t="n"/>
      <c r="DE19" s="122">
        <f>DD19*100/$E$19</f>
        <v/>
      </c>
      <c r="DF19" s="108" t="n"/>
      <c r="DG19" s="122">
        <f>DF19*100/$E$19</f>
        <v/>
      </c>
      <c r="DH19" s="108" t="n"/>
      <c r="DI19" s="122">
        <f>DH19*100/$E$19</f>
        <v/>
      </c>
      <c r="DJ19" s="108" t="n"/>
      <c r="DK19" s="122">
        <f>DJ19*100/$E$19</f>
        <v/>
      </c>
      <c r="DL19" s="108" t="n"/>
      <c r="DM19" s="122">
        <f>DL19*100/$E$19</f>
        <v/>
      </c>
      <c r="DN19" s="108" t="n"/>
      <c r="DO19" s="122">
        <f>DN19*100/$E$19</f>
        <v/>
      </c>
      <c r="DP19" s="108" t="n"/>
      <c r="DQ19" s="122">
        <f>DP19*100/$E$19</f>
        <v/>
      </c>
      <c r="DR19" s="108" t="n"/>
      <c r="DS19" s="122">
        <f>DR19*100/$E$19</f>
        <v/>
      </c>
      <c r="DT19" s="108" t="n"/>
      <c r="DU19" s="122">
        <f>DT19*100/$E$19</f>
        <v/>
      </c>
      <c r="DV19" s="108" t="n"/>
      <c r="DW19" s="122">
        <f>DV19*100/$E$19</f>
        <v/>
      </c>
      <c r="DX19" s="108" t="n"/>
      <c r="DY19" s="122">
        <f>DX19*100/$E$19</f>
        <v/>
      </c>
      <c r="DZ19" s="108" t="n"/>
      <c r="EA19" s="122">
        <f>DZ19*100/$E$19</f>
        <v/>
      </c>
      <c r="EB19" s="108" t="n"/>
      <c r="EC19" s="122">
        <f>EB19*100/$E$19</f>
        <v/>
      </c>
      <c r="ED19" s="108" t="n"/>
      <c r="EE19" s="122">
        <f>ED19*100/$E$19</f>
        <v/>
      </c>
      <c r="EF19" s="108" t="n"/>
      <c r="EG19" s="122">
        <f>EF19*100/$E$19</f>
        <v/>
      </c>
      <c r="EH19" s="108" t="n"/>
      <c r="EI19" s="122">
        <f>EH19*100/$E$19</f>
        <v/>
      </c>
      <c r="EJ19" s="108" t="n"/>
      <c r="EK19" s="122">
        <f>EJ19*100/$E$19</f>
        <v/>
      </c>
      <c r="EL19" s="108" t="n"/>
      <c r="EM19" s="122">
        <f>EL19*100/$E$19</f>
        <v/>
      </c>
      <c r="EN19" s="108" t="n"/>
      <c r="EO19" s="122">
        <f>EN19*100/$E$19</f>
        <v/>
      </c>
      <c r="EP19" s="108" t="n"/>
      <c r="EQ19" s="122">
        <f>EP19*100/$E$19</f>
        <v/>
      </c>
      <c r="ER19" s="108" t="n"/>
      <c r="ES19" s="122">
        <f>ER19*100/$E$19</f>
        <v/>
      </c>
      <c r="ET19" s="108" t="n"/>
      <c r="EU19" s="122">
        <f>ET19*100/$E$19</f>
        <v/>
      </c>
      <c r="EV19" s="108" t="n"/>
      <c r="EW19" s="122">
        <f>EV19*100/$E$19</f>
        <v/>
      </c>
      <c r="EX19" s="108" t="n"/>
      <c r="EY19" s="122">
        <f>EX19*100/$E$19</f>
        <v/>
      </c>
      <c r="EZ19" s="108" t="n"/>
      <c r="FA19" s="122">
        <f>EZ19*100/$E$19</f>
        <v/>
      </c>
      <c r="FB19" s="108" t="n"/>
      <c r="FC19" s="122">
        <f>FB19*100/$E$19</f>
        <v/>
      </c>
      <c r="FD19" s="108" t="n"/>
      <c r="FE19" s="122">
        <f>FD19*100/$E$19</f>
        <v/>
      </c>
      <c r="FF19" s="108" t="n"/>
      <c r="FG19" s="122">
        <f>FF19*100/$E$19</f>
        <v/>
      </c>
      <c r="FH19" s="108" t="n"/>
      <c r="FI19" s="122">
        <f>FH19*100/$E$19</f>
        <v/>
      </c>
      <c r="FJ19" s="108" t="n"/>
      <c r="FK19" s="122">
        <f>FJ19*100/$E$19</f>
        <v/>
      </c>
      <c r="FL19" s="108" t="n"/>
      <c r="FM19" s="122">
        <f>FL19*100/$E$19</f>
        <v/>
      </c>
      <c r="FN19" s="108" t="n"/>
      <c r="FO19" s="122">
        <f>FN19*100/$E$19</f>
        <v/>
      </c>
      <c r="FP19" s="108" t="n"/>
      <c r="FQ19" s="122">
        <f>FP19*100/$E$19</f>
        <v/>
      </c>
      <c r="FR19" s="108" t="n"/>
      <c r="FS19" s="122">
        <f>FR19*100/$E$19</f>
        <v/>
      </c>
      <c r="FT19" s="108" t="n"/>
      <c r="FU19" s="122">
        <f>FT19*100/$E$19</f>
        <v/>
      </c>
      <c r="FV19" s="108" t="n"/>
      <c r="FW19" s="122">
        <f>FV19*100/$E$19</f>
        <v/>
      </c>
      <c r="FX19" s="108" t="n"/>
      <c r="FY19" s="122">
        <f>FX19*100/$E$19</f>
        <v/>
      </c>
      <c r="FZ19" s="108" t="n"/>
      <c r="GA19" s="122">
        <f>FZ19*100/$E$19</f>
        <v/>
      </c>
      <c r="GB19" s="108" t="n"/>
      <c r="GC19" s="122">
        <f>GB19*100/$E$19</f>
        <v/>
      </c>
      <c r="GD19" s="108" t="n"/>
      <c r="GE19" s="122">
        <f>GD19*100/$E$19</f>
        <v/>
      </c>
      <c r="GF19" s="108" t="n"/>
      <c r="GG19" s="122">
        <f>GF19*100/$E$19</f>
        <v/>
      </c>
      <c r="GH19" s="108" t="n"/>
      <c r="GI19" s="122">
        <f>GH19*100/$E$19</f>
        <v/>
      </c>
      <c r="GJ19" s="108" t="n"/>
      <c r="GK19" s="122">
        <f>GJ19*100/$E$19</f>
        <v/>
      </c>
      <c r="GL19" s="108" t="n"/>
      <c r="GM19" s="122">
        <f>GL19*100/$E$19</f>
        <v/>
      </c>
      <c r="GN19" s="108" t="n"/>
      <c r="GO19" s="122">
        <f>GN19*100/$E$19</f>
        <v/>
      </c>
      <c r="GP19" s="108" t="n"/>
      <c r="GQ19" s="122">
        <f>GP19*100/$E$19</f>
        <v/>
      </c>
      <c r="GR19" s="108" t="n"/>
      <c r="GS19" s="122">
        <f>GR19*100/$E$19</f>
        <v/>
      </c>
      <c r="GT19" s="108" t="n"/>
      <c r="GU19" s="122">
        <f>GT19*100/$E$19</f>
        <v/>
      </c>
      <c r="GV19" s="108" t="n"/>
      <c r="GW19" s="122">
        <f>GV19*100/$E$19</f>
        <v/>
      </c>
      <c r="GX19" s="108" t="n"/>
      <c r="GY19" s="122">
        <f>GX19*100/$E$19</f>
        <v/>
      </c>
      <c r="GZ19" s="108" t="n"/>
      <c r="HA19" s="122">
        <f>GZ19*100/$E$19</f>
        <v/>
      </c>
      <c r="HB19" s="108" t="n"/>
      <c r="HC19" s="122">
        <f>HB19*100/$E$19</f>
        <v/>
      </c>
      <c r="HD19" s="108" t="n"/>
      <c r="HE19" s="122">
        <f>HD19*100/$E$19</f>
        <v/>
      </c>
      <c r="HF19" s="108" t="n"/>
      <c r="HG19" s="122">
        <f>HF19*100/$E$19</f>
        <v/>
      </c>
      <c r="HH19" s="108" t="n"/>
      <c r="HI19" s="122">
        <f>HH19*100/$E$19</f>
        <v/>
      </c>
      <c r="HJ19" s="108" t="n"/>
      <c r="HK19" s="122">
        <f>HJ19*100/$E$19</f>
        <v/>
      </c>
      <c r="HL19" s="108" t="n"/>
      <c r="HM19" s="122">
        <f>HL19*100/$E$19</f>
        <v/>
      </c>
      <c r="HN19" s="108" t="n"/>
      <c r="HO19" s="122">
        <f>HN19*100/$E$19</f>
        <v/>
      </c>
      <c r="HP19" s="108" t="n"/>
      <c r="HQ19" s="122">
        <f>HP19*100/$E$19</f>
        <v/>
      </c>
      <c r="HR19" s="108" t="n"/>
      <c r="HS19" s="122">
        <f>HR19*100/$E$19</f>
        <v/>
      </c>
      <c r="HT19" s="108" t="n"/>
      <c r="HU19" s="122">
        <f>HT19*100/$E$19</f>
        <v/>
      </c>
      <c r="HV19" s="108" t="n"/>
      <c r="HW19" s="122">
        <f>HV19*100/$E$19</f>
        <v/>
      </c>
      <c r="HX19" s="108" t="n"/>
      <c r="HY19" s="122">
        <f>HX19*100/$E$19</f>
        <v/>
      </c>
      <c r="HZ19" s="108" t="n"/>
      <c r="IA19" s="122">
        <f>HZ19*100/$E$19</f>
        <v/>
      </c>
      <c r="IB19" s="108" t="n"/>
      <c r="IC19" s="122">
        <f>IB19*100/$E$19</f>
        <v/>
      </c>
      <c r="ID19" s="108" t="n"/>
      <c r="IE19" s="122">
        <f>ID19*100/$E$19</f>
        <v/>
      </c>
      <c r="IF19" s="108" t="n"/>
      <c r="IG19" s="122">
        <f>IF19*100/$E$19</f>
        <v/>
      </c>
      <c r="IH19" s="108" t="n"/>
      <c r="II19" s="122">
        <f>IH19*100/$E$19</f>
        <v/>
      </c>
      <c r="IJ19" s="108" t="n"/>
      <c r="IK19" s="122">
        <f>IJ19*100/$E$19</f>
        <v/>
      </c>
      <c r="IL19" s="108" t="n"/>
      <c r="IM19" s="122">
        <f>IL19*100/$E$19</f>
        <v/>
      </c>
      <c r="IN19" s="108" t="n"/>
      <c r="IO19" s="122">
        <f>IN19*100/$E$19</f>
        <v/>
      </c>
      <c r="IP19" s="108" t="n"/>
      <c r="IQ19" s="122">
        <f>IP19*100/$E$19</f>
        <v/>
      </c>
      <c r="IR19" s="108" t="n"/>
      <c r="IS19" s="122">
        <f>IR19*100/$E$19</f>
        <v/>
      </c>
      <c r="IT19" s="108" t="n"/>
      <c r="IU19" s="122">
        <f>IT19*100/$E$19</f>
        <v/>
      </c>
      <c r="IV19" s="108" t="n"/>
      <c r="IW19" s="122">
        <f>IV19*100/$E$19</f>
        <v/>
      </c>
      <c r="IX19" s="108" t="n"/>
      <c r="IY19" s="122">
        <f>IX19*100/$E$19</f>
        <v/>
      </c>
      <c r="IZ19" s="108" t="n"/>
      <c r="JA19" s="122">
        <f>IZ19*100/$E$19</f>
        <v/>
      </c>
      <c r="JB19" s="108" t="n"/>
      <c r="JC19" s="122">
        <f>JB19*100/$E$19</f>
        <v/>
      </c>
      <c r="JD19" s="108" t="n"/>
      <c r="JE19" s="122">
        <f>JD19*100/$E$19</f>
        <v/>
      </c>
      <c r="JF19" s="108" t="n"/>
      <c r="JG19" s="122">
        <f>JF19*100/$E$19</f>
        <v/>
      </c>
      <c r="JH19" s="108" t="n"/>
      <c r="JI19" s="122">
        <f>JH19*100/$E$19</f>
        <v/>
      </c>
      <c r="JJ19" s="108" t="n"/>
      <c r="JK19" s="122">
        <f>JJ19*100/$E$19</f>
        <v/>
      </c>
      <c r="JL19" s="108" t="n"/>
      <c r="JM19" s="122">
        <f>JL19*100/$E$19</f>
        <v/>
      </c>
      <c r="JN19" s="108" t="n"/>
      <c r="JO19" s="122">
        <f>JN19*100/$E$19</f>
        <v/>
      </c>
      <c r="JP19" s="108" t="n"/>
      <c r="JQ19" s="122">
        <f>JP19*100/$E$19</f>
        <v/>
      </c>
      <c r="JR19" s="108" t="n"/>
      <c r="JS19" s="122">
        <f>JR19*100/$E$19</f>
        <v/>
      </c>
      <c r="JT19" s="108" t="n"/>
      <c r="JU19" s="122">
        <f>JT19*100/$E$19</f>
        <v/>
      </c>
      <c r="JV19" s="108" t="n"/>
      <c r="JW19" s="122">
        <f>JV19*100/$E$19</f>
        <v/>
      </c>
      <c r="JX19" s="108" t="n"/>
      <c r="JY19" s="122">
        <f>JX19*100/$E$19</f>
        <v/>
      </c>
      <c r="JZ19" s="55">
        <f>JN19+JP19+JR19+JT19+JV19+JX19</f>
        <v/>
      </c>
      <c r="KA19" s="53">
        <f>JO19+JQ19+JS19+JU19+JW19+JY19</f>
        <v/>
      </c>
      <c r="KB19" s="185">
        <f>H19+J19+L19+N19+P19+R19+T19+V19+X19+Z19+AB19+AD19+AF19+AH19+AJ19+AL19+AN19+AP19+AR19+AT19+AV19+AX19+AZ19+BB19+BD19+BF19+BH19+BJ19+BL19+BN19+BP19+BR19+BT19+BV19+BX19+BZ19+CB19+CD19+CF19+CH19+CZ19+DB19+DD19+DF19+DH19+DJ19+DL19+DN19+DP19+DR19+DT19+DV19+DX19+DZ19+EB19+ED19+EF19+EH19+EJ19+EL19+EN19+EP19+ER19+ET19+EV19+FN19+FP19+FR19+FT19+FV19+FX19+FZ19+GB19+GD19+GF19+GH19+GJ19+GL19+GN19+GP19+GR19+GT19+GV19+GX19+GZ19+HB19+HD19+HF19+HH19+HJ19+HL19+HN19+HP19+HR19+HT19+HV19+HX19+HZ19+IB19+ID19+IF19+IH19+IJ19+IL19+IN19+IP19+IR19+IT19+IV19+IX19+IZ19+JB19+JD19+JF19+JH19+JJ19+JL19+JZ19+CJ19+CL19+CN19+CP19+CR19+CT19+CV19+CX19+EX19+EZ19+FB19+FD19+FF19+FH19+FJ19+FL19</f>
        <v/>
      </c>
      <c r="KC19" s="66">
        <f>I19+K19+M19+O19+Q19+S19+U19+W19+Y19+AA19+AC19+AE19+AG19+AI19+AK19+AM19+AO19+AQ19+AS19+AU19+AW19+AY19+BA19+BC19+BE19+BG19+BI19+BK19+BM19+BO19+BQ19+BS19+BU19+BW19+BY19+CA19+CC19+CE19+CG19+CI19+DA19+DC19+DE19+DG19+DI19+DK19+DM19+DO19+DQ19+DS19+DU19+DW19+DY19+EA19+EC19+EE19+EG19+EI19+EK19+EM19+EO19+EQ19+ES19+EU19+EW19+FO19+FS19+FU19+FW19+FQ19+FY19+GA19+GC19+GE19+GG19+GI19+GK19+GM19+GO19+GQ19+GS19+GU19+GW19+GY19+HA19+HC19+HE19+HG19+HI19+HK19+HM19+HO19+HQ19+HS19+HU19+HW19+HY19+IA19+IC19+IE19+IG19+II19+IK19+IM19+IO19+IQ19+IS19+IU19+IW19+IY19+JA19+JC19+JE19+JG19+JI19+JK19+JM19+KA19+CK19+CM19+CO19+CQ19+CS19+CU19+CW19+CY19+EY19+FA19+FC19+FE19+FG19+FI19+FK19+FM19</f>
        <v/>
      </c>
      <c r="KD19" s="44">
        <f>JO19+JQ19+JS19+JU19+JW19+JY19</f>
        <v/>
      </c>
      <c r="KE19" s="45">
        <f>KB19=E19</f>
        <v/>
      </c>
      <c r="KF19" s="101">
        <f>E19-KB19</f>
        <v/>
      </c>
      <c r="KG19" s="17" t="n"/>
    </row>
    <row r="20" ht="21.75" customFormat="1" customHeight="1" s="67">
      <c r="A20" s="126">
        <f>A19+1</f>
        <v/>
      </c>
      <c r="B20" s="175" t="inlineStr">
        <is>
          <t>Еналов Д.А.</t>
        </is>
      </c>
      <c r="C20" s="176" t="inlineStr">
        <is>
          <t>слесарь</t>
        </is>
      </c>
      <c r="D20" s="177">
        <f>$D$5</f>
        <v/>
      </c>
      <c r="E20" s="202" t="n">
        <v>136</v>
      </c>
      <c r="F20" s="191" t="n">
        <v>97702.28</v>
      </c>
      <c r="G20" s="179">
        <f>F20/D20</f>
        <v/>
      </c>
      <c r="H20" s="125" t="n"/>
      <c r="I20" s="107">
        <f>H20*100/$E$20</f>
        <v/>
      </c>
      <c r="J20" s="108" t="n"/>
      <c r="K20" s="107">
        <f>J20*100/$E$20</f>
        <v/>
      </c>
      <c r="L20" s="108" t="n"/>
      <c r="M20" s="107">
        <f>L20*100/$E$20</f>
        <v/>
      </c>
      <c r="N20" s="108" t="n"/>
      <c r="O20" s="107">
        <f>N20*100/$E$20</f>
        <v/>
      </c>
      <c r="P20" s="108" t="n"/>
      <c r="Q20" s="122">
        <f>P20*100/$E$20</f>
        <v/>
      </c>
      <c r="R20" s="108" t="n"/>
      <c r="S20" s="107">
        <f>R20*100/$E$20</f>
        <v/>
      </c>
      <c r="T20" s="108" t="n"/>
      <c r="U20" s="107">
        <f>T20*100/$E$20</f>
        <v/>
      </c>
      <c r="V20" s="108" t="n"/>
      <c r="W20" s="107">
        <f>V20*100/$E$20</f>
        <v/>
      </c>
      <c r="X20" s="108" t="n"/>
      <c r="Y20" s="107">
        <f>X20*100/$E$20</f>
        <v/>
      </c>
      <c r="Z20" s="108" t="n"/>
      <c r="AA20" s="107">
        <f>Z20*100/$E$20</f>
        <v/>
      </c>
      <c r="AB20" s="108" t="n"/>
      <c r="AC20" s="107">
        <f>AB20*100/$E$20</f>
        <v/>
      </c>
      <c r="AD20" s="108" t="n"/>
      <c r="AE20" s="107">
        <f>AD20*100/$E$20</f>
        <v/>
      </c>
      <c r="AF20" s="108" t="n"/>
      <c r="AG20" s="107">
        <f>AF20*100/$E$20</f>
        <v/>
      </c>
      <c r="AH20" s="108" t="n"/>
      <c r="AI20" s="107">
        <f>AH20*100/$E$20</f>
        <v/>
      </c>
      <c r="AJ20" s="108" t="n"/>
      <c r="AK20" s="107">
        <f>AJ20*100/$E$20</f>
        <v/>
      </c>
      <c r="AL20" s="108" t="n"/>
      <c r="AM20" s="107">
        <f>AL20*100/$E$20</f>
        <v/>
      </c>
      <c r="AN20" s="108">
        <f>3+3</f>
        <v/>
      </c>
      <c r="AO20" s="107">
        <f>AN20*100/$E$20</f>
        <v/>
      </c>
      <c r="AP20" s="108" t="n"/>
      <c r="AQ20" s="107">
        <f>AP20*100/$E$20</f>
        <v/>
      </c>
      <c r="AR20" s="108" t="n"/>
      <c r="AS20" s="107">
        <f>AR20*100/$E$20</f>
        <v/>
      </c>
      <c r="AT20" s="108" t="n"/>
      <c r="AU20" s="90">
        <f>AT20*100/$E$20</f>
        <v/>
      </c>
      <c r="AV20" s="108" t="n"/>
      <c r="AW20" s="107">
        <f>AV20*100/$E$20</f>
        <v/>
      </c>
      <c r="AX20" s="108" t="n">
        <v>18</v>
      </c>
      <c r="AY20" s="107">
        <f>AX20*100/$E$20</f>
        <v/>
      </c>
      <c r="AZ20" s="108" t="n"/>
      <c r="BA20" s="107">
        <f>AZ20*100/$E$20</f>
        <v/>
      </c>
      <c r="BB20" s="108" t="n"/>
      <c r="BC20" s="107">
        <f>BB20*100/$E$20</f>
        <v/>
      </c>
      <c r="BD20" s="108" t="n">
        <v>30</v>
      </c>
      <c r="BE20" s="107">
        <f>BD20*100/$E$20</f>
        <v/>
      </c>
      <c r="BF20" s="108" t="n"/>
      <c r="BG20" s="107">
        <f>BF20*100/$E$20</f>
        <v/>
      </c>
      <c r="BH20" s="108" t="n"/>
      <c r="BI20" s="107">
        <f>BH20*100/$E$20</f>
        <v/>
      </c>
      <c r="BJ20" s="108" t="n"/>
      <c r="BK20" s="107">
        <f>BJ20*100/$E$20</f>
        <v/>
      </c>
      <c r="BL20" s="108" t="n">
        <v>3</v>
      </c>
      <c r="BM20" s="107">
        <f>BL20*100/$E$20</f>
        <v/>
      </c>
      <c r="BN20" s="108" t="n"/>
      <c r="BO20" s="107">
        <f>BN20*100/$E$20</f>
        <v/>
      </c>
      <c r="BP20" s="108" t="n"/>
      <c r="BQ20" s="107">
        <f>BP20*100/$E$20</f>
        <v/>
      </c>
      <c r="BR20" s="108" t="n"/>
      <c r="BS20" s="107">
        <f>BR20*100/$E$20</f>
        <v/>
      </c>
      <c r="BT20" s="108" t="n"/>
      <c r="BU20" s="107">
        <f>BT20*100/$E$20</f>
        <v/>
      </c>
      <c r="BV20" s="108" t="n"/>
      <c r="BW20" s="107">
        <f>BV20*100/$E$20</f>
        <v/>
      </c>
      <c r="BX20" s="108" t="n"/>
      <c r="BY20" s="107">
        <f>BX20*100/$E$20</f>
        <v/>
      </c>
      <c r="BZ20" s="108" t="n"/>
      <c r="CA20" s="107">
        <f>BZ20*100/$E$20</f>
        <v/>
      </c>
      <c r="CB20" s="108" t="n"/>
      <c r="CC20" s="107">
        <f>CB20*100/$E$20</f>
        <v/>
      </c>
      <c r="CD20" s="108" t="n">
        <v>3</v>
      </c>
      <c r="CE20" s="107">
        <f>CD20*100/$E$20</f>
        <v/>
      </c>
      <c r="CF20" s="108" t="n"/>
      <c r="CG20" s="107">
        <f>CF20*100/$E$20</f>
        <v/>
      </c>
      <c r="CH20" s="108" t="n">
        <v>4</v>
      </c>
      <c r="CI20" s="107">
        <f>CH20*100/$E$20</f>
        <v/>
      </c>
      <c r="CJ20" s="108" t="n"/>
      <c r="CK20" s="107">
        <f>CJ20*100/$E$20</f>
        <v/>
      </c>
      <c r="CL20" s="108" t="n"/>
      <c r="CM20" s="107">
        <f>CL20*100/$E$20</f>
        <v/>
      </c>
      <c r="CN20" s="108" t="n">
        <v>1</v>
      </c>
      <c r="CO20" s="122">
        <f>CN20*100/$E$20</f>
        <v/>
      </c>
      <c r="CP20" s="108" t="n"/>
      <c r="CQ20" s="107">
        <f>CP20*100/$E$20</f>
        <v/>
      </c>
      <c r="CR20" s="108" t="n"/>
      <c r="CS20" s="122">
        <f>CR20*100/$E$20</f>
        <v/>
      </c>
      <c r="CT20" s="108" t="n"/>
      <c r="CU20" s="122">
        <f>CT20*100/$E$20</f>
        <v/>
      </c>
      <c r="CV20" s="108" t="n"/>
      <c r="CW20" s="122">
        <f>CV20*100/$E$20</f>
        <v/>
      </c>
      <c r="CX20" s="108" t="n"/>
      <c r="CY20" s="122">
        <f>CX20*100/$E$20</f>
        <v/>
      </c>
      <c r="CZ20" s="108" t="n"/>
      <c r="DA20" s="122">
        <f>CZ20*100/$E$20</f>
        <v/>
      </c>
      <c r="DB20" s="108" t="n"/>
      <c r="DC20" s="122">
        <f>DB20*100/$E$20</f>
        <v/>
      </c>
      <c r="DD20" s="108" t="n"/>
      <c r="DE20" s="122">
        <f>DD20*100/$E$20</f>
        <v/>
      </c>
      <c r="DF20" s="108">
        <f>3+8</f>
        <v/>
      </c>
      <c r="DG20" s="122">
        <f>DF20*100/$E$20</f>
        <v/>
      </c>
      <c r="DH20" s="108" t="n"/>
      <c r="DI20" s="122">
        <f>DH20*100/$E$20</f>
        <v/>
      </c>
      <c r="DJ20" s="108" t="n"/>
      <c r="DK20" s="122">
        <f>DJ20*100/$E$20</f>
        <v/>
      </c>
      <c r="DL20" s="108" t="n"/>
      <c r="DM20" s="122">
        <f>DL20*100/$E$20</f>
        <v/>
      </c>
      <c r="DN20" s="108" t="n"/>
      <c r="DO20" s="122">
        <f>DN20*100/$E$20</f>
        <v/>
      </c>
      <c r="DP20" s="108" t="n"/>
      <c r="DQ20" s="122">
        <f>DP20*100/$E$20</f>
        <v/>
      </c>
      <c r="DR20" s="108" t="n"/>
      <c r="DS20" s="107">
        <f>DR20*100/$E$20</f>
        <v/>
      </c>
      <c r="DT20" s="108" t="n"/>
      <c r="DU20" s="122">
        <f>DT20*100/$E$20</f>
        <v/>
      </c>
      <c r="DV20" s="108" t="n"/>
      <c r="DW20" s="122">
        <f>DV20*100/$E$20</f>
        <v/>
      </c>
      <c r="DX20" s="108" t="n"/>
      <c r="DY20" s="122">
        <f>DX20*100/$E$20</f>
        <v/>
      </c>
      <c r="DZ20" s="108" t="n"/>
      <c r="EA20" s="122">
        <f>DZ20*100/$E$20</f>
        <v/>
      </c>
      <c r="EB20" s="108" t="n"/>
      <c r="EC20" s="122">
        <f>EB20*100/$E$20</f>
        <v/>
      </c>
      <c r="ED20" s="108" t="n">
        <v>4</v>
      </c>
      <c r="EE20" s="122">
        <f>ED20*100/$E$20</f>
        <v/>
      </c>
      <c r="EF20" s="108" t="n">
        <v>26</v>
      </c>
      <c r="EG20" s="122">
        <f>EF20*100/$E$20</f>
        <v/>
      </c>
      <c r="EH20" s="108" t="n">
        <v>3</v>
      </c>
      <c r="EI20" s="107">
        <f>EH20*100/$E$20</f>
        <v/>
      </c>
      <c r="EJ20" s="108" t="n">
        <v>3</v>
      </c>
      <c r="EK20" s="107">
        <f>EJ20*100/$E$20</f>
        <v/>
      </c>
      <c r="EL20" s="108" t="n">
        <v>2</v>
      </c>
      <c r="EM20" s="107">
        <f>EL20*100/$E$20</f>
        <v/>
      </c>
      <c r="EN20" s="108" t="n">
        <v>20</v>
      </c>
      <c r="EO20" s="107">
        <f>EN20*100/$E$20</f>
        <v/>
      </c>
      <c r="EP20" s="108" t="n"/>
      <c r="EQ20" s="107">
        <f>EP20*100/$E$20</f>
        <v/>
      </c>
      <c r="ER20" s="108" t="n"/>
      <c r="ES20" s="107">
        <f>ER20*100/$E$20</f>
        <v/>
      </c>
      <c r="ET20" s="108" t="n"/>
      <c r="EU20" s="107">
        <f>ET20*100/$E$20</f>
        <v/>
      </c>
      <c r="EV20" s="108" t="n"/>
      <c r="EW20" s="122">
        <f>EV20*100/$E$20</f>
        <v/>
      </c>
      <c r="EX20" s="108" t="n"/>
      <c r="EY20" s="122">
        <f>EX20*100/$E$20</f>
        <v/>
      </c>
      <c r="EZ20" s="108" t="n"/>
      <c r="FA20" s="122">
        <f>EZ20*100/$E$20</f>
        <v/>
      </c>
      <c r="FB20" s="108" t="n"/>
      <c r="FC20" s="122">
        <f>FB20*100/$E$20</f>
        <v/>
      </c>
      <c r="FD20" s="108" t="n"/>
      <c r="FE20" s="122">
        <f>FD20*100/$E$20</f>
        <v/>
      </c>
      <c r="FF20" s="108" t="n"/>
      <c r="FG20" s="122">
        <f>FF20*100/$E$20</f>
        <v/>
      </c>
      <c r="FH20" s="108" t="n"/>
      <c r="FI20" s="122">
        <f>FH20*100/$E$20</f>
        <v/>
      </c>
      <c r="FJ20" s="108" t="n"/>
      <c r="FK20" s="122">
        <f>FJ20*100/$E$20</f>
        <v/>
      </c>
      <c r="FL20" s="108" t="n"/>
      <c r="FM20" s="122">
        <f>FL20*100/$E$20</f>
        <v/>
      </c>
      <c r="FN20" s="108" t="n"/>
      <c r="FO20" s="122">
        <f>FN20*100/$E$20</f>
        <v/>
      </c>
      <c r="FP20" s="108" t="n"/>
      <c r="FQ20" s="107">
        <f>FP20*100/$E$20</f>
        <v/>
      </c>
      <c r="FR20" s="108" t="n"/>
      <c r="FS20" s="107">
        <f>FR20*100/$E$20</f>
        <v/>
      </c>
      <c r="FT20" s="108" t="n"/>
      <c r="FU20" s="107">
        <f>FT20*100/$E$20</f>
        <v/>
      </c>
      <c r="FV20" s="108" t="n"/>
      <c r="FW20" s="107">
        <f>FV20*100/$E$20</f>
        <v/>
      </c>
      <c r="FX20" s="108" t="n"/>
      <c r="FY20" s="107">
        <f>FX20*100/$E$20</f>
        <v/>
      </c>
      <c r="FZ20" s="108" t="n"/>
      <c r="GA20" s="107">
        <f>FZ20*100/$E$20</f>
        <v/>
      </c>
      <c r="GB20" s="108" t="n"/>
      <c r="GC20" s="107">
        <f>GB20*100/$E$20</f>
        <v/>
      </c>
      <c r="GD20" s="108" t="n"/>
      <c r="GE20" s="107">
        <f>GD20*100/$E$20</f>
        <v/>
      </c>
      <c r="GF20" s="108" t="n"/>
      <c r="GG20" s="107">
        <f>GF20*100/$E$20</f>
        <v/>
      </c>
      <c r="GH20" s="108" t="n"/>
      <c r="GI20" s="107">
        <f>GH20*100/$E$20</f>
        <v/>
      </c>
      <c r="GJ20" s="108" t="n"/>
      <c r="GK20" s="122">
        <f>GJ20*100/$E$20</f>
        <v/>
      </c>
      <c r="GL20" s="108" t="n"/>
      <c r="GM20" s="107">
        <f>GL20*100/$E$20</f>
        <v/>
      </c>
      <c r="GN20" s="108" t="n"/>
      <c r="GO20" s="122">
        <f>GN20*100/$E$20</f>
        <v/>
      </c>
      <c r="GP20" s="108" t="n"/>
      <c r="GQ20" s="107">
        <f>GP20*100/$E$20</f>
        <v/>
      </c>
      <c r="GR20" s="108" t="n"/>
      <c r="GS20" s="122">
        <f>GR20*100/$E$20</f>
        <v/>
      </c>
      <c r="GT20" s="108" t="n"/>
      <c r="GU20" s="122">
        <f>GT20*100/$E$20</f>
        <v/>
      </c>
      <c r="GV20" s="108" t="n"/>
      <c r="GW20" s="107">
        <f>GV20*100/$E$20</f>
        <v/>
      </c>
      <c r="GX20" s="108" t="n"/>
      <c r="GY20" s="107">
        <f>GX20*100/$E$20</f>
        <v/>
      </c>
      <c r="GZ20" s="108" t="n"/>
      <c r="HA20" s="107">
        <f>GZ20*100/$E$20</f>
        <v/>
      </c>
      <c r="HB20" s="108" t="n"/>
      <c r="HC20" s="107">
        <f>HB20*100/$E$20</f>
        <v/>
      </c>
      <c r="HD20" s="108" t="n"/>
      <c r="HE20" s="107">
        <f>HD20*100/$E$20</f>
        <v/>
      </c>
      <c r="HF20" s="108" t="n"/>
      <c r="HG20" s="107">
        <f>HF20*100/$E$20</f>
        <v/>
      </c>
      <c r="HH20" s="108" t="n"/>
      <c r="HI20" s="107">
        <f>HH20*100/$E$20</f>
        <v/>
      </c>
      <c r="HJ20" s="108" t="n"/>
      <c r="HK20" s="107">
        <f>HJ20*100/$E$20</f>
        <v/>
      </c>
      <c r="HL20" s="108" t="n"/>
      <c r="HM20" s="107">
        <f>HL20*100/$E$20</f>
        <v/>
      </c>
      <c r="HN20" s="108" t="n"/>
      <c r="HO20" s="107">
        <f>HN20*100/$E$20</f>
        <v/>
      </c>
      <c r="HP20" s="108" t="n"/>
      <c r="HQ20" s="107">
        <f>HP20*100/$E$20</f>
        <v/>
      </c>
      <c r="HR20" s="108" t="n"/>
      <c r="HS20" s="107">
        <f>HR20*100/$E$20</f>
        <v/>
      </c>
      <c r="HT20" s="108" t="n"/>
      <c r="HU20" s="107">
        <f>HT20*100/$E$20</f>
        <v/>
      </c>
      <c r="HV20" s="108" t="n"/>
      <c r="HW20" s="107">
        <f>HV20*100/$E$20</f>
        <v/>
      </c>
      <c r="HX20" s="108" t="n"/>
      <c r="HY20" s="107">
        <f>HX20*100/$E$20</f>
        <v/>
      </c>
      <c r="HZ20" s="108" t="n"/>
      <c r="IA20" s="122">
        <f>HZ20*100/$E$20</f>
        <v/>
      </c>
      <c r="IB20" s="108" t="n"/>
      <c r="IC20" s="122">
        <f>IB20*100/$E$20</f>
        <v/>
      </c>
      <c r="ID20" s="108" t="n"/>
      <c r="IE20" s="122">
        <f>ID20*100/$E$20</f>
        <v/>
      </c>
      <c r="IF20" s="108" t="n"/>
      <c r="IG20" s="122">
        <f>IF20*100/$E$20</f>
        <v/>
      </c>
      <c r="IH20" s="108" t="n"/>
      <c r="II20" s="122">
        <f>IH20*100/$E$20</f>
        <v/>
      </c>
      <c r="IJ20" s="108" t="n"/>
      <c r="IK20" s="122">
        <f>IJ20*100/$E$20</f>
        <v/>
      </c>
      <c r="IL20" s="108" t="n"/>
      <c r="IM20" s="107">
        <f>IL20*100/$E$20</f>
        <v/>
      </c>
      <c r="IN20" s="108" t="n"/>
      <c r="IO20" s="107">
        <f>IN20*100/$E$20</f>
        <v/>
      </c>
      <c r="IP20" s="108" t="n"/>
      <c r="IQ20" s="122">
        <f>IP20*100/$E$20</f>
        <v/>
      </c>
      <c r="IR20" s="108" t="n"/>
      <c r="IS20" s="122">
        <f>IR20*100/$E$20</f>
        <v/>
      </c>
      <c r="IT20" s="108" t="n">
        <v>2</v>
      </c>
      <c r="IU20" s="122">
        <f>IT20*100/$E$20</f>
        <v/>
      </c>
      <c r="IV20" s="108" t="n"/>
      <c r="IW20" s="122">
        <f>IV20*100/$E$20</f>
        <v/>
      </c>
      <c r="IX20" s="108" t="n"/>
      <c r="IY20" s="122">
        <f>IX20*100/$E$20</f>
        <v/>
      </c>
      <c r="IZ20" s="108" t="n"/>
      <c r="JA20" s="122">
        <f>IZ20*100/$E$20</f>
        <v/>
      </c>
      <c r="JB20" s="108" t="n"/>
      <c r="JC20" s="122">
        <f>JB20*100/$E$20</f>
        <v/>
      </c>
      <c r="JD20" s="108" t="n"/>
      <c r="JE20" s="122">
        <f>JD20*100/$E$20</f>
        <v/>
      </c>
      <c r="JF20" s="108" t="n"/>
      <c r="JG20" s="107">
        <f>JF20*100/$E$20</f>
        <v/>
      </c>
      <c r="JH20" s="108" t="n"/>
      <c r="JI20" s="122">
        <f>JH20*100/$E$20</f>
        <v/>
      </c>
      <c r="JJ20" s="108" t="n"/>
      <c r="JK20" s="107">
        <f>JJ20*100/$E$20</f>
        <v/>
      </c>
      <c r="JL20" s="108" t="n"/>
      <c r="JM20" s="122">
        <f>JL20*100/$E$20</f>
        <v/>
      </c>
      <c r="JN20" s="108" t="n"/>
      <c r="JO20" s="107">
        <f>JN20*100/$E$20</f>
        <v/>
      </c>
      <c r="JP20" s="108" t="n"/>
      <c r="JQ20" s="107">
        <f>JP20*100/$E$20</f>
        <v/>
      </c>
      <c r="JR20" s="108" t="n"/>
      <c r="JS20" s="107">
        <f>JR20*100/$E$20</f>
        <v/>
      </c>
      <c r="JT20" s="108" t="n"/>
      <c r="JU20" s="107">
        <f>JT20*100/$E$20</f>
        <v/>
      </c>
      <c r="JV20" s="108" t="n"/>
      <c r="JW20" s="107">
        <f>JV20*100/$E$20</f>
        <v/>
      </c>
      <c r="JX20" s="108" t="n"/>
      <c r="JY20" s="107">
        <f>JX20*100/$E$20</f>
        <v/>
      </c>
      <c r="JZ20" s="55">
        <f>JN20+JP20+JR20+JT20+JV20+JX20</f>
        <v/>
      </c>
      <c r="KA20" s="53">
        <f>JO20+JQ20+JS20+JU20+JW20+JY20</f>
        <v/>
      </c>
      <c r="KB20" s="185">
        <f>H20+J20+L20+N20+P20+R20+T20+V20+X20+Z20+AB20+AD20+AF20+AH20+AJ20+AL20+AN20+AP20+AR20+AT20+AV20+AX20+AZ20+BB20+BD20+BF20+BH20+BJ20+BL20+BN20+BP20+BR20+BT20+BV20+BX20+BZ20+CB20+CD20+CF20+CH20+CZ20+DB20+DD20+DF20+DH20+DJ20+DL20+DN20+DP20+DR20+DT20+DV20+DX20+DZ20+EB20+ED20+EF20+EH20+EJ20+EL20+EN20+EP20+ER20+ET20+EV20+FN20+FP20+FR20+FT20+FV20+FX20+FZ20+GB20+GD20+GF20+GH20+GJ20+GL20+GN20+GP20+GR20+GT20+GV20+GX20+GZ20+HB20+HD20+HF20+HH20+HJ20+HL20+HN20+HP20+HR20+HT20+HV20+HX20+HZ20+IB20+ID20+IF20+IH20+IJ20+IL20+IN20+IP20+IR20+IT20+IV20+IX20+IZ20+JB20+JD20+JF20+JH20+JJ20+JL20+JZ20+CJ20+CL20+CN20+CP20+CR20+CT20+CV20+CX20+EX20+EZ20+FB20+FD20+FF20+FH20+FJ20+FL20</f>
        <v/>
      </c>
      <c r="KC20" s="66">
        <f>I20+K20+M20+O20+Q20+S20+U20+W20+Y20+AA20+AC20+AE20+AG20+AI20+AK20+AM20+AO20+AQ20+AS20+AU20+AW20+AY20+BA20+BC20+BE20+BG20+BI20+BK20+BM20+BO20+BQ20+BS20+BU20+BW20+BY20+CA20+CC20+CE20+CG20+CI20+DA20+DC20+DE20+DG20+DI20+DK20+DM20+DO20+DQ20+DS20+DU20+DW20+DY20+EA20+EC20+EE20+EG20+EI20+EK20+EM20+EO20+EQ20+ES20+EU20+EW20+FO20+FS20+FU20+FW20+FQ20+FY20+GA20+GC20+GE20+GG20+GI20+GK20+GM20+GO20+GQ20+GS20+GU20+GW20+GY20+HA20+HC20+HE20+HG20+HI20+HK20+HM20+HO20+HQ20+HS20+HU20+HW20+HY20+IA20+IC20+IE20+IG20+II20+IK20+IM20+IO20+IQ20+IS20+IU20+IW20+IY20+JA20+JC20+JE20+JG20+JI20+JK20+JM20+KA20+CK20+CM20+CO20+CQ20+CS20+CU20+CW20+CY20+EY20+FA20+FC20+FE20+FG20+FI20+FK20+FM20</f>
        <v/>
      </c>
      <c r="KD20" s="44">
        <f>JO20+JQ20+JS20+JU20+JW20+JY20</f>
        <v/>
      </c>
      <c r="KE20" s="45">
        <f>KB20=E20</f>
        <v/>
      </c>
      <c r="KF20" s="101">
        <f>E20-KB20</f>
        <v/>
      </c>
      <c r="KG20" s="17" t="n"/>
    </row>
    <row r="21" ht="21.75" customFormat="1" customHeight="1" s="17">
      <c r="A21" s="126">
        <f>A20+1</f>
        <v/>
      </c>
      <c r="B21" s="199" t="inlineStr">
        <is>
          <t>Енин К.С.</t>
        </is>
      </c>
      <c r="C21" s="200" t="inlineStr">
        <is>
          <t>токарь</t>
        </is>
      </c>
      <c r="D21" s="177">
        <f>$D$5</f>
        <v/>
      </c>
      <c r="E21" s="203" t="n">
        <v>168</v>
      </c>
      <c r="F21" s="178" t="n">
        <v>101150.45</v>
      </c>
      <c r="G21" s="179">
        <f>F21/D21</f>
        <v/>
      </c>
      <c r="H21" s="125" t="n"/>
      <c r="I21" s="107">
        <f>H21*100/$E$21</f>
        <v/>
      </c>
      <c r="J21" s="108" t="n"/>
      <c r="K21" s="107">
        <f>J21*100/$E$21</f>
        <v/>
      </c>
      <c r="L21" s="108" t="n"/>
      <c r="M21" s="107">
        <f>L21*100/$E$21</f>
        <v/>
      </c>
      <c r="N21" s="108" t="n"/>
      <c r="O21" s="107">
        <f>N21*100/$E$21</f>
        <v/>
      </c>
      <c r="P21" s="108" t="n"/>
      <c r="Q21" s="122">
        <f>P21*100/$E$21</f>
        <v/>
      </c>
      <c r="R21" s="108" t="n"/>
      <c r="S21" s="122">
        <f>R21*100/$E$21</f>
        <v/>
      </c>
      <c r="T21" s="108" t="n"/>
      <c r="U21" s="107">
        <f>T21*100/$E$21</f>
        <v/>
      </c>
      <c r="V21" s="108" t="n"/>
      <c r="W21" s="107">
        <f>V21*100/$E$21</f>
        <v/>
      </c>
      <c r="X21" s="108" t="n"/>
      <c r="Y21" s="107">
        <f>X21*100/$E$21</f>
        <v/>
      </c>
      <c r="Z21" s="108" t="n"/>
      <c r="AA21" s="107">
        <f>Z21*100/$E$21</f>
        <v/>
      </c>
      <c r="AB21" s="108" t="n"/>
      <c r="AC21" s="107">
        <f>AB21*100/$E$21</f>
        <v/>
      </c>
      <c r="AD21" s="108" t="n"/>
      <c r="AE21" s="122">
        <f>AD21*100/$E$21</f>
        <v/>
      </c>
      <c r="AF21" s="108" t="n"/>
      <c r="AG21" s="122">
        <f>AF21*100/$E$21</f>
        <v/>
      </c>
      <c r="AH21" s="108" t="n"/>
      <c r="AI21" s="107">
        <f>AH21*100/$E$21</f>
        <v/>
      </c>
      <c r="AJ21" s="108" t="n">
        <v>24</v>
      </c>
      <c r="AK21" s="107">
        <f>AJ21*100/$E$21</f>
        <v/>
      </c>
      <c r="AL21" s="108" t="n"/>
      <c r="AM21" s="107">
        <f>AL21*100/$E$21</f>
        <v/>
      </c>
      <c r="AN21" s="108" t="n"/>
      <c r="AO21" s="107">
        <f>AN21*100/$E$21</f>
        <v/>
      </c>
      <c r="AP21" s="108" t="n"/>
      <c r="AQ21" s="107">
        <f>AP21*100/$E$21</f>
        <v/>
      </c>
      <c r="AR21" s="108" t="n"/>
      <c r="AS21" s="107">
        <f>AR21*100/$E$21</f>
        <v/>
      </c>
      <c r="AT21" s="108" t="n"/>
      <c r="AU21" s="90">
        <f>AT21*100/$E$21</f>
        <v/>
      </c>
      <c r="AV21" s="108" t="n">
        <v>24</v>
      </c>
      <c r="AW21" s="107">
        <f>AV21*100/$E$21</f>
        <v/>
      </c>
      <c r="AX21" s="108" t="n"/>
      <c r="AY21" s="107">
        <f>AX21*100/$E$21</f>
        <v/>
      </c>
      <c r="AZ21" s="108" t="n"/>
      <c r="BA21" s="107">
        <f>AZ21*100/$E$21</f>
        <v/>
      </c>
      <c r="BB21" s="108" t="n"/>
      <c r="BC21" s="107">
        <f>BB21*100/$E$21</f>
        <v/>
      </c>
      <c r="BD21" s="108" t="n"/>
      <c r="BE21" s="107">
        <f>BD21*100/$E$21</f>
        <v/>
      </c>
      <c r="BF21" s="108" t="n"/>
      <c r="BG21" s="107">
        <f>BF21*100/$E$21</f>
        <v/>
      </c>
      <c r="BH21" s="108" t="n"/>
      <c r="BI21" s="107">
        <f>BH21*100/$E$21</f>
        <v/>
      </c>
      <c r="BJ21" s="108" t="n"/>
      <c r="BK21" s="107">
        <f>BJ21*100/$E$21</f>
        <v/>
      </c>
      <c r="BL21" s="108" t="n">
        <v>13</v>
      </c>
      <c r="BM21" s="107">
        <f>BL21*100/$E$21</f>
        <v/>
      </c>
      <c r="BN21" s="108" t="n"/>
      <c r="BO21" s="107">
        <f>BN21*100/$E$21</f>
        <v/>
      </c>
      <c r="BP21" s="108" t="n"/>
      <c r="BQ21" s="107">
        <f>BP21*100/$E$21</f>
        <v/>
      </c>
      <c r="BR21" s="108" t="n"/>
      <c r="BS21" s="107">
        <f>BR21*100/$E$21</f>
        <v/>
      </c>
      <c r="BT21" s="108" t="n"/>
      <c r="BU21" s="107">
        <f>BT21*100/$E$21</f>
        <v/>
      </c>
      <c r="BV21" s="108" t="n"/>
      <c r="BW21" s="107">
        <f>BV21*100/$E$21</f>
        <v/>
      </c>
      <c r="BX21" s="108" t="n"/>
      <c r="BY21" s="107">
        <f>BX21*100/$E$21</f>
        <v/>
      </c>
      <c r="BZ21" s="108" t="n"/>
      <c r="CA21" s="107">
        <f>BZ21*100/$E$21</f>
        <v/>
      </c>
      <c r="CB21" s="108" t="n"/>
      <c r="CC21" s="107">
        <f>CB21*100/$E$21</f>
        <v/>
      </c>
      <c r="CD21" s="108" t="n">
        <v>11</v>
      </c>
      <c r="CE21" s="107">
        <f>CD21*100/$E$21</f>
        <v/>
      </c>
      <c r="CF21" s="108" t="n"/>
      <c r="CG21" s="107">
        <f>CF21*100/$E$21</f>
        <v/>
      </c>
      <c r="CH21" s="108" t="n">
        <v>36</v>
      </c>
      <c r="CI21" s="107">
        <f>CH21*100/$E$21</f>
        <v/>
      </c>
      <c r="CJ21" s="108" t="n"/>
      <c r="CK21" s="107">
        <f>CJ21*100/$E$21</f>
        <v/>
      </c>
      <c r="CL21" s="108" t="n"/>
      <c r="CM21" s="107">
        <f>CL21*100/$E$21</f>
        <v/>
      </c>
      <c r="CN21" s="108" t="n"/>
      <c r="CO21" s="122">
        <f>CN21*100/$E$21</f>
        <v/>
      </c>
      <c r="CP21" s="108" t="n"/>
      <c r="CQ21" s="107">
        <f>CP21*100/$E$21</f>
        <v/>
      </c>
      <c r="CR21" s="108" t="n"/>
      <c r="CS21" s="122">
        <f>CR21*100/$E$21</f>
        <v/>
      </c>
      <c r="CT21" s="108" t="n"/>
      <c r="CU21" s="122">
        <f>CT21*100/$E$21</f>
        <v/>
      </c>
      <c r="CV21" s="108" t="n"/>
      <c r="CW21" s="122">
        <f>CV21*100/$E$21</f>
        <v/>
      </c>
      <c r="CX21" s="108" t="n"/>
      <c r="CY21" s="122">
        <f>CX21*100/$E$21</f>
        <v/>
      </c>
      <c r="CZ21" s="108" t="n"/>
      <c r="DA21" s="122">
        <f>CZ21*100/$E$21</f>
        <v/>
      </c>
      <c r="DB21" s="108" t="n"/>
      <c r="DC21" s="122">
        <f>DB21*100/$E$21</f>
        <v/>
      </c>
      <c r="DD21" s="108" t="n"/>
      <c r="DE21" s="122">
        <f>DD21*100/$E$21</f>
        <v/>
      </c>
      <c r="DF21" s="108" t="n"/>
      <c r="DG21" s="122">
        <f>DF21*100/$E$21</f>
        <v/>
      </c>
      <c r="DH21" s="108" t="n"/>
      <c r="DI21" s="122">
        <f>DH21*100/$E$21</f>
        <v/>
      </c>
      <c r="DJ21" s="108" t="n"/>
      <c r="DK21" s="122">
        <f>DJ21*100/$E$21</f>
        <v/>
      </c>
      <c r="DL21" s="108" t="n"/>
      <c r="DM21" s="122">
        <f>DL21*100/$E$21</f>
        <v/>
      </c>
      <c r="DN21" s="108" t="n"/>
      <c r="DO21" s="122">
        <f>DN21*100/$E$21</f>
        <v/>
      </c>
      <c r="DP21" s="108" t="n"/>
      <c r="DQ21" s="122">
        <f>DP21*100/$E$21</f>
        <v/>
      </c>
      <c r="DR21" s="108" t="n"/>
      <c r="DS21" s="122">
        <f>DR21*100/$E$21</f>
        <v/>
      </c>
      <c r="DT21" s="108" t="n"/>
      <c r="DU21" s="122">
        <f>DT21*100/$E$21</f>
        <v/>
      </c>
      <c r="DV21" s="108" t="n"/>
      <c r="DW21" s="122">
        <f>DV21*100/$E$21</f>
        <v/>
      </c>
      <c r="DX21" s="108" t="n"/>
      <c r="DY21" s="122">
        <f>DX21*100/$E$21</f>
        <v/>
      </c>
      <c r="DZ21" s="108" t="n"/>
      <c r="EA21" s="122">
        <f>DZ21*100/$E$21</f>
        <v/>
      </c>
      <c r="EB21" s="108" t="n"/>
      <c r="EC21" s="122">
        <f>EB21*100/$E$21</f>
        <v/>
      </c>
      <c r="ED21" s="108" t="n">
        <v>36</v>
      </c>
      <c r="EE21" s="122">
        <f>ED21*100/$E$21</f>
        <v/>
      </c>
      <c r="EF21" s="108" t="n"/>
      <c r="EG21" s="122">
        <f>EF21*100/$E$21</f>
        <v/>
      </c>
      <c r="EH21" s="108" t="n"/>
      <c r="EI21" s="122">
        <f>EH21*100/$E$21</f>
        <v/>
      </c>
      <c r="EJ21" s="108" t="n"/>
      <c r="EK21" s="122">
        <f>EJ21*100/$E$21</f>
        <v/>
      </c>
      <c r="EL21" s="108" t="n"/>
      <c r="EM21" s="122">
        <f>EL21*100/$E$21</f>
        <v/>
      </c>
      <c r="EN21" s="108" t="n"/>
      <c r="EO21" s="122">
        <f>EN21*100/$E$21</f>
        <v/>
      </c>
      <c r="EP21" s="108" t="n">
        <v>24</v>
      </c>
      <c r="EQ21" s="122">
        <f>EP21*100/$E$21</f>
        <v/>
      </c>
      <c r="ER21" s="108" t="n"/>
      <c r="ES21" s="122">
        <f>ER21*100/$E$21</f>
        <v/>
      </c>
      <c r="ET21" s="108" t="n"/>
      <c r="EU21" s="122">
        <f>ET21*100/$E$21</f>
        <v/>
      </c>
      <c r="EV21" s="108" t="n"/>
      <c r="EW21" s="122">
        <f>EV21*100/$E$21</f>
        <v/>
      </c>
      <c r="EX21" s="108" t="n"/>
      <c r="EY21" s="122">
        <f>EX21*100/$E$21</f>
        <v/>
      </c>
      <c r="EZ21" s="108" t="n"/>
      <c r="FA21" s="122">
        <f>EZ21*100/$E$21</f>
        <v/>
      </c>
      <c r="FB21" s="108" t="n"/>
      <c r="FC21" s="122">
        <f>FB21*100/$E$21</f>
        <v/>
      </c>
      <c r="FD21" s="108" t="n"/>
      <c r="FE21" s="122">
        <f>FD21*100/$E$21</f>
        <v/>
      </c>
      <c r="FF21" s="108" t="n"/>
      <c r="FG21" s="122">
        <f>FF21*100/$E$21</f>
        <v/>
      </c>
      <c r="FH21" s="108" t="n"/>
      <c r="FI21" s="122">
        <f>FH21*100/$E$21</f>
        <v/>
      </c>
      <c r="FJ21" s="108" t="n"/>
      <c r="FK21" s="122">
        <f>FJ21*100/$E$21</f>
        <v/>
      </c>
      <c r="FL21" s="108" t="n"/>
      <c r="FM21" s="122">
        <f>FL21*100/$E$21</f>
        <v/>
      </c>
      <c r="FN21" s="108" t="n"/>
      <c r="FO21" s="122">
        <f>FN21*100/$E$21</f>
        <v/>
      </c>
      <c r="FP21" s="108" t="n"/>
      <c r="FQ21" s="122">
        <f>FP21*100/$E$21</f>
        <v/>
      </c>
      <c r="FR21" s="108" t="n"/>
      <c r="FS21" s="122">
        <f>FR21*100/$E$21</f>
        <v/>
      </c>
      <c r="FT21" s="108" t="n"/>
      <c r="FU21" s="122">
        <f>FT21*100/$E$21</f>
        <v/>
      </c>
      <c r="FV21" s="108" t="n"/>
      <c r="FW21" s="122">
        <f>FV21*100/$E$21</f>
        <v/>
      </c>
      <c r="FX21" s="108" t="n"/>
      <c r="FY21" s="107">
        <f>FX21*100/$E$21</f>
        <v/>
      </c>
      <c r="FZ21" s="108" t="n"/>
      <c r="GA21" s="107">
        <f>FZ21*100/$E$21</f>
        <v/>
      </c>
      <c r="GB21" s="108" t="n"/>
      <c r="GC21" s="107">
        <f>GB21*100/$E$21</f>
        <v/>
      </c>
      <c r="GD21" s="108" t="n"/>
      <c r="GE21" s="107">
        <f>GD21*100/$E$21</f>
        <v/>
      </c>
      <c r="GF21" s="108" t="n"/>
      <c r="GG21" s="107">
        <f>GF21*100/$E$21</f>
        <v/>
      </c>
      <c r="GH21" s="108" t="n"/>
      <c r="GI21" s="107">
        <f>GH21*100/$E$21</f>
        <v/>
      </c>
      <c r="GJ21" s="108" t="n"/>
      <c r="GK21" s="122">
        <f>GJ21*100/$E$21</f>
        <v/>
      </c>
      <c r="GL21" s="108" t="n"/>
      <c r="GM21" s="107">
        <f>GL21*100/$E$21</f>
        <v/>
      </c>
      <c r="GN21" s="108" t="n"/>
      <c r="GO21" s="122">
        <f>GN21*100/$E$21</f>
        <v/>
      </c>
      <c r="GP21" s="108" t="n"/>
      <c r="GQ21" s="107">
        <f>GP21*100/$E$21</f>
        <v/>
      </c>
      <c r="GR21" s="108" t="n"/>
      <c r="GS21" s="122">
        <f>GR21*100/$E$21</f>
        <v/>
      </c>
      <c r="GT21" s="108" t="n"/>
      <c r="GU21" s="122">
        <f>GT21*100/$E$21</f>
        <v/>
      </c>
      <c r="GV21" s="108" t="n"/>
      <c r="GW21" s="122">
        <f>GV21*100/$E$21</f>
        <v/>
      </c>
      <c r="GX21" s="108" t="n"/>
      <c r="GY21" s="107">
        <f>GX21*100/$E$21</f>
        <v/>
      </c>
      <c r="GZ21" s="108" t="n"/>
      <c r="HA21" s="107">
        <f>GZ21*100/$E$21</f>
        <v/>
      </c>
      <c r="HB21" s="108" t="n"/>
      <c r="HC21" s="107">
        <f>HB21*100/$E$21</f>
        <v/>
      </c>
      <c r="HD21" s="108" t="n"/>
      <c r="HE21" s="107">
        <f>HD21*100/$E$21</f>
        <v/>
      </c>
      <c r="HF21" s="108" t="n"/>
      <c r="HG21" s="107">
        <f>HF21*100/$E$21</f>
        <v/>
      </c>
      <c r="HH21" s="108" t="n"/>
      <c r="HI21" s="107">
        <f>HH21*100/$E$21</f>
        <v/>
      </c>
      <c r="HJ21" s="108" t="n"/>
      <c r="HK21" s="107">
        <f>HJ21*100/$E$21</f>
        <v/>
      </c>
      <c r="HL21" s="108" t="n"/>
      <c r="HM21" s="107">
        <f>HL21*100/$E$21</f>
        <v/>
      </c>
      <c r="HN21" s="108" t="n"/>
      <c r="HO21" s="107">
        <f>HN21*100/$E$21</f>
        <v/>
      </c>
      <c r="HP21" s="108" t="n"/>
      <c r="HQ21" s="107">
        <f>HP21*100/$E$21</f>
        <v/>
      </c>
      <c r="HR21" s="108" t="n"/>
      <c r="HS21" s="107">
        <f>HR21*100/$E$21</f>
        <v/>
      </c>
      <c r="HT21" s="108" t="n"/>
      <c r="HU21" s="107">
        <f>HT21*100/$E$21</f>
        <v/>
      </c>
      <c r="HV21" s="108" t="n"/>
      <c r="HW21" s="107">
        <f>HV21*100/$E$21</f>
        <v/>
      </c>
      <c r="HX21" s="108" t="n"/>
      <c r="HY21" s="107">
        <f>HX21*100/$E$21</f>
        <v/>
      </c>
      <c r="HZ21" s="108" t="n"/>
      <c r="IA21" s="122">
        <f>HZ21*100/$E$21</f>
        <v/>
      </c>
      <c r="IB21" s="108" t="n"/>
      <c r="IC21" s="122">
        <f>IB21*100/$E$21</f>
        <v/>
      </c>
      <c r="ID21" s="108" t="n"/>
      <c r="IE21" s="122">
        <f>ID21*100/$E$21</f>
        <v/>
      </c>
      <c r="IF21" s="108" t="n"/>
      <c r="IG21" s="122">
        <f>IF21*100/$E$21</f>
        <v/>
      </c>
      <c r="IH21" s="108" t="n"/>
      <c r="II21" s="122">
        <f>IH21*100/$E$21</f>
        <v/>
      </c>
      <c r="IJ21" s="108" t="n"/>
      <c r="IK21" s="122">
        <f>IJ21*100/$E$21</f>
        <v/>
      </c>
      <c r="IL21" s="108" t="n"/>
      <c r="IM21" s="107">
        <f>IL21*100/$E$21</f>
        <v/>
      </c>
      <c r="IN21" s="108" t="n"/>
      <c r="IO21" s="107">
        <f>IN21*100/$E$21</f>
        <v/>
      </c>
      <c r="IP21" s="108" t="n"/>
      <c r="IQ21" s="122">
        <f>IP21*100/$E$21</f>
        <v/>
      </c>
      <c r="IR21" s="108" t="n"/>
      <c r="IS21" s="122">
        <f>IR21*100/$E$21</f>
        <v/>
      </c>
      <c r="IT21" s="108" t="n"/>
      <c r="IU21" s="122">
        <f>IT21*100/$E$21</f>
        <v/>
      </c>
      <c r="IV21" s="108" t="n"/>
      <c r="IW21" s="122">
        <f>IV21*100/$E$21</f>
        <v/>
      </c>
      <c r="IX21" s="108" t="n"/>
      <c r="IY21" s="122">
        <f>IX21*100/$E$21</f>
        <v/>
      </c>
      <c r="IZ21" s="108" t="n"/>
      <c r="JA21" s="122">
        <f>IZ21*100/$E$21</f>
        <v/>
      </c>
      <c r="JB21" s="108" t="n"/>
      <c r="JC21" s="122">
        <f>JB21*100/$E$21</f>
        <v/>
      </c>
      <c r="JD21" s="108" t="n"/>
      <c r="JE21" s="122">
        <f>JD21*100/$E$21</f>
        <v/>
      </c>
      <c r="JF21" s="108" t="n"/>
      <c r="JG21" s="122">
        <f>JF21*100/$E$21</f>
        <v/>
      </c>
      <c r="JH21" s="108" t="n"/>
      <c r="JI21" s="122">
        <f>JH21*100/$E$21</f>
        <v/>
      </c>
      <c r="JJ21" s="108" t="n"/>
      <c r="JK21" s="122">
        <f>JJ21*100/$E$21</f>
        <v/>
      </c>
      <c r="JL21" s="108" t="n"/>
      <c r="JM21" s="122">
        <f>JL21*100/$E$21</f>
        <v/>
      </c>
      <c r="JN21" s="108" t="n"/>
      <c r="JO21" s="122">
        <f>JN21*100/$E$21</f>
        <v/>
      </c>
      <c r="JP21" s="108" t="n"/>
      <c r="JQ21" s="122">
        <f>JP21*100/$E$21</f>
        <v/>
      </c>
      <c r="JR21" s="108" t="n"/>
      <c r="JS21" s="122">
        <f>JR21*100/$E$21</f>
        <v/>
      </c>
      <c r="JT21" s="108" t="n"/>
      <c r="JU21" s="122">
        <f>JT21*100/$E$21</f>
        <v/>
      </c>
      <c r="JV21" s="108" t="n"/>
      <c r="JW21" s="122">
        <f>JV21*100/$E$21</f>
        <v/>
      </c>
      <c r="JX21" s="108" t="n"/>
      <c r="JY21" s="122">
        <f>JX21*100/$E$21</f>
        <v/>
      </c>
      <c r="JZ21" s="55">
        <f>JN21+JP21+JR21+JT21+JV21+JX21</f>
        <v/>
      </c>
      <c r="KA21" s="53">
        <f>JO21+JQ21+JS21+JU21+JW21+JY21</f>
        <v/>
      </c>
      <c r="KB21" s="185">
        <f>H21+J21+L21+N21+P21+R21+T21+V21+X21+Z21+AB21+AD21+AF21+AH21+AJ21+AL21+AN21+AP21+AR21+AT21+AV21+AX21+AZ21+BB21+BD21+BF21+BH21+BJ21+BL21+BN21+BP21+BR21+BT21+BV21+BX21+BZ21+CB21+CD21+CF21+CH21+CZ21+DB21+DD21+DF21+DH21+DJ21+DL21+DN21+DP21+DR21+DT21+DV21+DX21+DZ21+EB21+ED21+EF21+EH21+EJ21+EL21+EN21+EP21+ER21+ET21+EV21+FN21+FP21+FR21+FT21+FV21+FX21+FZ21+GB21+GD21+GF21+GH21+GJ21+GL21+GN21+GP21+GR21+GT21+GV21+GX21+GZ21+HB21+HD21+HF21+HH21+HJ21+HL21+HN21+HP21+HR21+HT21+HV21+HX21+HZ21+IB21+ID21+IF21+IH21+IJ21+IL21+IN21+IP21+IR21+IT21+IV21+IX21+IZ21+JB21+JD21+JF21+JH21+JJ21+JL21+JZ21+CJ21+CL21+CN21+CP21+CR21+CT21+CV21+CX21+EX21+EZ21+FB21+FD21+FF21+FH21+FJ21+FL21</f>
        <v/>
      </c>
      <c r="KC21" s="66">
        <f>I21+K21+M21+O21+Q21+S21+U21+W21+Y21+AA21+AC21+AE21+AG21+AI21+AK21+AM21+AO21+AQ21+AS21+AU21+AW21+AY21+BA21+BC21+BE21+BG21+BI21+BK21+BM21+BO21+BQ21+BS21+BU21+BW21+BY21+CA21+CC21+CE21+CG21+CI21+DA21+DC21+DE21+DG21+DI21+DK21+DM21+DO21+DQ21+DS21+DU21+DW21+DY21+EA21+EC21+EE21+EG21+EI21+EK21+EM21+EO21+EQ21+ES21+EU21+EW21+FO21+FS21+FU21+FW21+FQ21+FY21+GA21+GC21+GE21+GG21+GI21+GK21+GM21+GO21+GQ21+GS21+GU21+GW21+GY21+HA21+HC21+HE21+HG21+HI21+HK21+HM21+HO21+HQ21+HS21+HU21+HW21+HY21+IA21+IC21+IE21+IG21+II21+IK21+IM21+IO21+IQ21+IS21+IU21+IW21+IY21+JA21+JC21+JE21+JG21+JI21+JK21+JM21+KA21+CK21+CM21+CO21+CQ21+CS21+CU21+CW21+CY21+EY21+FA21+FC21+FE21+FG21+FI21+FK21+FM21</f>
        <v/>
      </c>
      <c r="KD21" s="44">
        <f>JO21+JQ21+JS21+JU21+JW21+JY21</f>
        <v/>
      </c>
      <c r="KE21" s="45">
        <f>KB21=E21</f>
        <v/>
      </c>
      <c r="KF21" s="101">
        <f>E21-KB21</f>
        <v/>
      </c>
      <c r="KG21" s="14" t="n"/>
    </row>
    <row r="22" ht="21.75" customFormat="1" customHeight="1" s="17">
      <c r="A22" s="126">
        <f>A21+1</f>
        <v/>
      </c>
      <c r="B22" s="199" t="inlineStr">
        <is>
          <t>Иванов А.И.</t>
        </is>
      </c>
      <c r="C22" s="200" t="inlineStr">
        <is>
          <t>токарь</t>
        </is>
      </c>
      <c r="D22" s="177">
        <f>$D$5</f>
        <v/>
      </c>
      <c r="E22" s="203" t="n">
        <v>152</v>
      </c>
      <c r="F22" s="178" t="n">
        <v>101150.45</v>
      </c>
      <c r="G22" s="179">
        <f>F22/D22</f>
        <v/>
      </c>
      <c r="H22" s="125" t="n">
        <v>99</v>
      </c>
      <c r="I22" s="122">
        <f>H22*100/$E$22</f>
        <v/>
      </c>
      <c r="J22" s="108" t="n"/>
      <c r="K22" s="122">
        <f>J22*100/$E$22</f>
        <v/>
      </c>
      <c r="L22" s="108" t="n"/>
      <c r="M22" s="122">
        <f>L22*100/$E$22</f>
        <v/>
      </c>
      <c r="N22" s="108" t="n"/>
      <c r="O22" s="122">
        <f>N22*100/$E$22</f>
        <v/>
      </c>
      <c r="P22" s="108" t="n"/>
      <c r="Q22" s="122">
        <f>P22*100/$E$22</f>
        <v/>
      </c>
      <c r="R22" s="108" t="n"/>
      <c r="S22" s="122">
        <f>R22*100/$E$22</f>
        <v/>
      </c>
      <c r="T22" s="108" t="n"/>
      <c r="U22" s="122">
        <f>T22*100/$E$22</f>
        <v/>
      </c>
      <c r="V22" s="108" t="n"/>
      <c r="W22" s="122">
        <f>V22*100/$E$22</f>
        <v/>
      </c>
      <c r="X22" s="108" t="n"/>
      <c r="Y22" s="122">
        <f>X22*100/$E$22</f>
        <v/>
      </c>
      <c r="Z22" s="108" t="n"/>
      <c r="AA22" s="122">
        <f>Z22*100/$E$22</f>
        <v/>
      </c>
      <c r="AB22" s="108" t="n"/>
      <c r="AC22" s="122">
        <f>AB22*100/$E$22</f>
        <v/>
      </c>
      <c r="AD22" s="108" t="n"/>
      <c r="AE22" s="122">
        <f>AD22*100/$E$22</f>
        <v/>
      </c>
      <c r="AF22" s="108" t="n"/>
      <c r="AG22" s="122">
        <f>AF22*100/$E$22</f>
        <v/>
      </c>
      <c r="AH22" s="108" t="n"/>
      <c r="AI22" s="122">
        <f>AH22*100/$E$22</f>
        <v/>
      </c>
      <c r="AJ22" s="108" t="n"/>
      <c r="AK22" s="122">
        <f>AJ22*100/$E$22</f>
        <v/>
      </c>
      <c r="AL22" s="108" t="n"/>
      <c r="AM22" s="122">
        <f>AL22*100/$E$22</f>
        <v/>
      </c>
      <c r="AN22" s="108" t="n">
        <v>6</v>
      </c>
      <c r="AO22" s="122">
        <f>AN22*100/$E$22</f>
        <v/>
      </c>
      <c r="AP22" s="108" t="n"/>
      <c r="AQ22" s="122">
        <f>AP22*100/$E$22</f>
        <v/>
      </c>
      <c r="AR22" s="108" t="n"/>
      <c r="AS22" s="122">
        <f>AR22*100/$E$22</f>
        <v/>
      </c>
      <c r="AT22" s="108" t="n"/>
      <c r="AU22" s="90">
        <f>AT22*100/$E$22</f>
        <v/>
      </c>
      <c r="AV22" s="108" t="n"/>
      <c r="AW22" s="122">
        <f>AV22*100/$E$22</f>
        <v/>
      </c>
      <c r="AX22" s="108" t="n">
        <v>3</v>
      </c>
      <c r="AY22" s="122">
        <f>AX22*100/$E$22</f>
        <v/>
      </c>
      <c r="AZ22" s="108" t="n"/>
      <c r="BA22" s="122">
        <f>AZ22*100/$E$22</f>
        <v/>
      </c>
      <c r="BB22" s="108" t="n"/>
      <c r="BC22" s="122">
        <f>BB22*100/$E$22</f>
        <v/>
      </c>
      <c r="BD22" s="108" t="n"/>
      <c r="BE22" s="122">
        <f>BD22*100/$E$22</f>
        <v/>
      </c>
      <c r="BF22" s="108" t="n"/>
      <c r="BG22" s="122">
        <f>BF22*100/$E$22</f>
        <v/>
      </c>
      <c r="BH22" s="108" t="n"/>
      <c r="BI22" s="122">
        <f>BH22*100/$E$22</f>
        <v/>
      </c>
      <c r="BJ22" s="108" t="n"/>
      <c r="BK22" s="122">
        <f>BJ22*100/$E$22</f>
        <v/>
      </c>
      <c r="BL22" s="108" t="n"/>
      <c r="BM22" s="122">
        <f>BL22*100/$E$22</f>
        <v/>
      </c>
      <c r="BN22" s="108" t="n"/>
      <c r="BO22" s="122">
        <f>BN22*100/$E$22</f>
        <v/>
      </c>
      <c r="BP22" s="108" t="n"/>
      <c r="BQ22" s="122">
        <f>BP22*100/$E$22</f>
        <v/>
      </c>
      <c r="BR22" s="108" t="n"/>
      <c r="BS22" s="122">
        <f>BR22*100/$E$22</f>
        <v/>
      </c>
      <c r="BT22" s="108" t="n"/>
      <c r="BU22" s="122">
        <f>BT22*100/$E$22</f>
        <v/>
      </c>
      <c r="BV22" s="108" t="n"/>
      <c r="BW22" s="122">
        <f>BV22*100/$E$22</f>
        <v/>
      </c>
      <c r="BX22" s="108" t="n"/>
      <c r="BY22" s="122">
        <f>BX22*100/$E$22</f>
        <v/>
      </c>
      <c r="BZ22" s="108" t="n"/>
      <c r="CA22" s="122">
        <f>BZ22*100/$E$22</f>
        <v/>
      </c>
      <c r="CB22" s="108" t="n"/>
      <c r="CC22" s="122">
        <f>CB22*100/$E$22</f>
        <v/>
      </c>
      <c r="CD22" s="108" t="n">
        <v>21</v>
      </c>
      <c r="CE22" s="122">
        <f>CD22*100/$E$22</f>
        <v/>
      </c>
      <c r="CF22" s="108" t="n"/>
      <c r="CG22" s="122">
        <f>CF22*100/$E$22</f>
        <v/>
      </c>
      <c r="CH22" s="108" t="n"/>
      <c r="CI22" s="122">
        <f>CH22*100/$E$22</f>
        <v/>
      </c>
      <c r="CJ22" s="108" t="n"/>
      <c r="CK22" s="122">
        <f>CJ22*100/$E$22</f>
        <v/>
      </c>
      <c r="CL22" s="108" t="n"/>
      <c r="CM22" s="122">
        <f>CL22*100/$E$22</f>
        <v/>
      </c>
      <c r="CN22" s="108" t="n"/>
      <c r="CO22" s="122">
        <f>CN22*100/$E$22</f>
        <v/>
      </c>
      <c r="CP22" s="108" t="n"/>
      <c r="CQ22" s="122">
        <f>CP22*100/$E$22</f>
        <v/>
      </c>
      <c r="CR22" s="108" t="n"/>
      <c r="CS22" s="122">
        <f>CR22*100/$E$22</f>
        <v/>
      </c>
      <c r="CT22" s="108" t="n"/>
      <c r="CU22" s="122">
        <f>CT22*100/$E$22</f>
        <v/>
      </c>
      <c r="CV22" s="108" t="n"/>
      <c r="CW22" s="122">
        <f>CV22*100/$E$22</f>
        <v/>
      </c>
      <c r="CX22" s="108" t="n">
        <v>16</v>
      </c>
      <c r="CY22" s="122">
        <f>CX22*100/$E$22</f>
        <v/>
      </c>
      <c r="CZ22" s="108" t="n"/>
      <c r="DA22" s="122">
        <f>CZ22*100/$E$22</f>
        <v/>
      </c>
      <c r="DB22" s="108" t="n"/>
      <c r="DC22" s="122">
        <f>DB22*100/$E$22</f>
        <v/>
      </c>
      <c r="DD22" s="108" t="n"/>
      <c r="DE22" s="122">
        <f>DD22*100/$E$22</f>
        <v/>
      </c>
      <c r="DF22" s="108" t="n"/>
      <c r="DG22" s="122">
        <f>DF22*100/$E$22</f>
        <v/>
      </c>
      <c r="DH22" s="108" t="n">
        <v>3</v>
      </c>
      <c r="DI22" s="122">
        <f>DH22*100/$E$22</f>
        <v/>
      </c>
      <c r="DJ22" s="108" t="n"/>
      <c r="DK22" s="122">
        <f>DJ22*100/$E$22</f>
        <v/>
      </c>
      <c r="DL22" s="108" t="n"/>
      <c r="DM22" s="122">
        <f>DL22*100/$E$22</f>
        <v/>
      </c>
      <c r="DN22" s="108" t="n"/>
      <c r="DO22" s="122">
        <f>DN22*100/$E$22</f>
        <v/>
      </c>
      <c r="DP22" s="108" t="n"/>
      <c r="DQ22" s="122">
        <f>DP22*100/$E$22</f>
        <v/>
      </c>
      <c r="DR22" s="108" t="n"/>
      <c r="DS22" s="122">
        <f>DR22*100/$E$22</f>
        <v/>
      </c>
      <c r="DT22" s="108" t="n"/>
      <c r="DU22" s="122">
        <f>DT22*100/$E$22</f>
        <v/>
      </c>
      <c r="DV22" s="108" t="n"/>
      <c r="DW22" s="122">
        <f>DV22*100/$E$22</f>
        <v/>
      </c>
      <c r="DX22" s="108" t="n"/>
      <c r="DY22" s="122">
        <f>DX22*100/$E$22</f>
        <v/>
      </c>
      <c r="DZ22" s="108" t="n"/>
      <c r="EA22" s="122">
        <f>DZ22*100/$E$22</f>
        <v/>
      </c>
      <c r="EB22" s="108" t="n"/>
      <c r="EC22" s="122">
        <f>EB22*100/$E$22</f>
        <v/>
      </c>
      <c r="ED22" s="108" t="n"/>
      <c r="EE22" s="122">
        <f>ED22*100/$E$22</f>
        <v/>
      </c>
      <c r="EF22" s="108" t="n"/>
      <c r="EG22" s="122">
        <f>EF22*100/$E$22</f>
        <v/>
      </c>
      <c r="EH22" s="108" t="n"/>
      <c r="EI22" s="122">
        <f>EH22*100/$E$22</f>
        <v/>
      </c>
      <c r="EJ22" s="108" t="n"/>
      <c r="EK22" s="122">
        <f>EJ22*100/$E$22</f>
        <v/>
      </c>
      <c r="EL22" s="108" t="n"/>
      <c r="EM22" s="122">
        <f>EL22*100/$E$22</f>
        <v/>
      </c>
      <c r="EN22" s="108" t="n"/>
      <c r="EO22" s="122">
        <f>EN22*100/$E$22</f>
        <v/>
      </c>
      <c r="EP22" s="108" t="n"/>
      <c r="EQ22" s="122">
        <f>EP22*100/$E$22</f>
        <v/>
      </c>
      <c r="ER22" s="108" t="n"/>
      <c r="ES22" s="122">
        <f>ER22*100/$E$22</f>
        <v/>
      </c>
      <c r="ET22" s="108" t="n"/>
      <c r="EU22" s="122">
        <f>ET22*100/$E$22</f>
        <v/>
      </c>
      <c r="EV22" s="108" t="n"/>
      <c r="EW22" s="122">
        <f>EV22*100/$E$22</f>
        <v/>
      </c>
      <c r="EX22" s="108" t="n"/>
      <c r="EY22" s="122">
        <f>EX22*100/$E$22</f>
        <v/>
      </c>
      <c r="EZ22" s="108" t="n"/>
      <c r="FA22" s="122">
        <f>EZ22*100/$E$22</f>
        <v/>
      </c>
      <c r="FB22" s="108" t="n"/>
      <c r="FC22" s="122">
        <f>FB22*100/$E$22</f>
        <v/>
      </c>
      <c r="FD22" s="108" t="n"/>
      <c r="FE22" s="122">
        <f>FD22*100/$E$22</f>
        <v/>
      </c>
      <c r="FF22" s="108" t="n"/>
      <c r="FG22" s="122">
        <f>FF22*100/$E$22</f>
        <v/>
      </c>
      <c r="FH22" s="108" t="n"/>
      <c r="FI22" s="122">
        <f>FH22*100/$E$22</f>
        <v/>
      </c>
      <c r="FJ22" s="108" t="n"/>
      <c r="FK22" s="122">
        <f>FJ22*100/$E$22</f>
        <v/>
      </c>
      <c r="FL22" s="108" t="n"/>
      <c r="FM22" s="122">
        <f>FL22*100/$E$22</f>
        <v/>
      </c>
      <c r="FN22" s="108" t="n"/>
      <c r="FO22" s="122">
        <f>FN22*100/$E$22</f>
        <v/>
      </c>
      <c r="FP22" s="108" t="n"/>
      <c r="FQ22" s="122">
        <f>FP22*100/$E$22</f>
        <v/>
      </c>
      <c r="FR22" s="108" t="n"/>
      <c r="FS22" s="122">
        <f>FR22*100/$E$22</f>
        <v/>
      </c>
      <c r="FT22" s="108" t="n"/>
      <c r="FU22" s="122">
        <f>FT22*100/$E$22</f>
        <v/>
      </c>
      <c r="FV22" s="108" t="n"/>
      <c r="FW22" s="122">
        <f>FV22*100/$E$22</f>
        <v/>
      </c>
      <c r="FX22" s="108" t="n"/>
      <c r="FY22" s="122">
        <f>FX22*100/$E$22</f>
        <v/>
      </c>
      <c r="FZ22" s="108" t="n"/>
      <c r="GA22" s="122">
        <f>FZ22*100/$E$22</f>
        <v/>
      </c>
      <c r="GB22" s="108" t="n"/>
      <c r="GC22" s="122">
        <f>GB22*100/$E$22</f>
        <v/>
      </c>
      <c r="GD22" s="108" t="n"/>
      <c r="GE22" s="122">
        <f>GD22*100/$E$22</f>
        <v/>
      </c>
      <c r="GF22" s="108" t="n"/>
      <c r="GG22" s="122">
        <f>GF22*100/$E$22</f>
        <v/>
      </c>
      <c r="GH22" s="108" t="n"/>
      <c r="GI22" s="122">
        <f>GH22*100/$E$22</f>
        <v/>
      </c>
      <c r="GJ22" s="108" t="n"/>
      <c r="GK22" s="122">
        <f>GJ22*100/$E$22</f>
        <v/>
      </c>
      <c r="GL22" s="108" t="n"/>
      <c r="GM22" s="122">
        <f>GL22*100/$E$22</f>
        <v/>
      </c>
      <c r="GN22" s="108" t="n"/>
      <c r="GO22" s="122">
        <f>GN22*100/$E$22</f>
        <v/>
      </c>
      <c r="GP22" s="108" t="n"/>
      <c r="GQ22" s="122">
        <f>GP22*100/$E$22</f>
        <v/>
      </c>
      <c r="GR22" s="108" t="n"/>
      <c r="GS22" s="122">
        <f>GR22*100/$E$22</f>
        <v/>
      </c>
      <c r="GT22" s="108" t="n"/>
      <c r="GU22" s="122">
        <f>GT22*100/$E$22</f>
        <v/>
      </c>
      <c r="GV22" s="108" t="n"/>
      <c r="GW22" s="122">
        <f>GV22*100/$E$22</f>
        <v/>
      </c>
      <c r="GX22" s="108" t="n"/>
      <c r="GY22" s="122">
        <f>GX22*100/$E$22</f>
        <v/>
      </c>
      <c r="GZ22" s="108" t="n"/>
      <c r="HA22" s="122">
        <f>GZ22*100/$E$22</f>
        <v/>
      </c>
      <c r="HB22" s="108" t="n"/>
      <c r="HC22" s="122">
        <f>HB22*100/$E$22</f>
        <v/>
      </c>
      <c r="HD22" s="108" t="n"/>
      <c r="HE22" s="122">
        <f>HD22*100/$E$22</f>
        <v/>
      </c>
      <c r="HF22" s="108" t="n"/>
      <c r="HG22" s="122">
        <f>HF22*100/$E$22</f>
        <v/>
      </c>
      <c r="HH22" s="108" t="n"/>
      <c r="HI22" s="122">
        <f>HH22*100/$E$22</f>
        <v/>
      </c>
      <c r="HJ22" s="108" t="n"/>
      <c r="HK22" s="122">
        <f>HJ22*100/$E$22</f>
        <v/>
      </c>
      <c r="HL22" s="108" t="n"/>
      <c r="HM22" s="122">
        <f>HL22*100/$E$22</f>
        <v/>
      </c>
      <c r="HN22" s="108" t="n"/>
      <c r="HO22" s="122">
        <f>HN22*100/$E$22</f>
        <v/>
      </c>
      <c r="HP22" s="108" t="n"/>
      <c r="HQ22" s="122">
        <f>HP22*100/$E$22</f>
        <v/>
      </c>
      <c r="HR22" s="108" t="n"/>
      <c r="HS22" s="122">
        <f>HR22*100/$E$22</f>
        <v/>
      </c>
      <c r="HT22" s="108" t="n"/>
      <c r="HU22" s="122">
        <f>HT22*100/$E$22</f>
        <v/>
      </c>
      <c r="HV22" s="108" t="n"/>
      <c r="HW22" s="122">
        <f>HV22*100/$E$22</f>
        <v/>
      </c>
      <c r="HX22" s="108" t="n"/>
      <c r="HY22" s="122">
        <f>HX22*100/$E$22</f>
        <v/>
      </c>
      <c r="HZ22" s="108" t="n"/>
      <c r="IA22" s="122">
        <f>HZ22*100/$E$22</f>
        <v/>
      </c>
      <c r="IB22" s="108" t="n"/>
      <c r="IC22" s="122">
        <f>IB22*100/$E$22</f>
        <v/>
      </c>
      <c r="ID22" s="108" t="n"/>
      <c r="IE22" s="122">
        <f>ID22*100/$E$22</f>
        <v/>
      </c>
      <c r="IF22" s="108" t="n"/>
      <c r="IG22" s="122">
        <f>IF22*100/$E$22</f>
        <v/>
      </c>
      <c r="IH22" s="108" t="n"/>
      <c r="II22" s="122">
        <f>IH22*100/$E$22</f>
        <v/>
      </c>
      <c r="IJ22" s="108" t="n"/>
      <c r="IK22" s="122">
        <f>IJ22*100/$E$22</f>
        <v/>
      </c>
      <c r="IL22" s="108" t="n"/>
      <c r="IM22" s="122">
        <f>IL22*100/$E$22</f>
        <v/>
      </c>
      <c r="IN22" s="108" t="n"/>
      <c r="IO22" s="122">
        <f>IN22*100/$E$22</f>
        <v/>
      </c>
      <c r="IP22" s="108" t="n"/>
      <c r="IQ22" s="122">
        <f>IP22*100/$E$22</f>
        <v/>
      </c>
      <c r="IR22" s="108" t="n">
        <v>4</v>
      </c>
      <c r="IS22" s="122">
        <f>IR22*100/$E$22</f>
        <v/>
      </c>
      <c r="IT22" s="108" t="n"/>
      <c r="IU22" s="122">
        <f>IT22*100/$E$22</f>
        <v/>
      </c>
      <c r="IV22" s="108" t="n"/>
      <c r="IW22" s="122">
        <f>IV22*100/$E$22</f>
        <v/>
      </c>
      <c r="IX22" s="108" t="n"/>
      <c r="IY22" s="122">
        <f>IX22*100/$E$22</f>
        <v/>
      </c>
      <c r="IZ22" s="108" t="n"/>
      <c r="JA22" s="122">
        <f>IZ22*100/$E$22</f>
        <v/>
      </c>
      <c r="JB22" s="108" t="n"/>
      <c r="JC22" s="122">
        <f>JB22*100/$E$22</f>
        <v/>
      </c>
      <c r="JD22" s="108" t="n"/>
      <c r="JE22" s="122">
        <f>JD22*100/$E$22</f>
        <v/>
      </c>
      <c r="JF22" s="108" t="n"/>
      <c r="JG22" s="122">
        <f>JF22*100/$E$22</f>
        <v/>
      </c>
      <c r="JH22" s="108" t="n"/>
      <c r="JI22" s="122">
        <f>JH22*100/$E$22</f>
        <v/>
      </c>
      <c r="JJ22" s="108" t="n"/>
      <c r="JK22" s="122">
        <f>JJ22*100/$E$22</f>
        <v/>
      </c>
      <c r="JL22" s="108" t="n"/>
      <c r="JM22" s="122">
        <f>JL22*100/$E$22</f>
        <v/>
      </c>
      <c r="JN22" s="108" t="n"/>
      <c r="JO22" s="122">
        <f>JN22*100/$E$22</f>
        <v/>
      </c>
      <c r="JP22" s="108" t="n"/>
      <c r="JQ22" s="122">
        <f>JP22*100/$E$22</f>
        <v/>
      </c>
      <c r="JR22" s="108" t="n"/>
      <c r="JS22" s="122">
        <f>JR22*100/$E$22</f>
        <v/>
      </c>
      <c r="JT22" s="108" t="n"/>
      <c r="JU22" s="122">
        <f>JT22*100/$E$22</f>
        <v/>
      </c>
      <c r="JV22" s="108" t="n"/>
      <c r="JW22" s="122">
        <f>JV22*100/$E$22</f>
        <v/>
      </c>
      <c r="JX22" s="108" t="n"/>
      <c r="JY22" s="122">
        <f>JX22*100/$E$22</f>
        <v/>
      </c>
      <c r="JZ22" s="55">
        <f>JN22+JP22+JR22+JT22+JV22+JX22</f>
        <v/>
      </c>
      <c r="KA22" s="53">
        <f>JO22+JQ22+JS22+JU22+JW22+JY22</f>
        <v/>
      </c>
      <c r="KB22" s="185">
        <f>H22+J22+L22+N22+P22+R22+T22+V22+X22+Z22+AB22+AD22+AF22+AH22+AJ22+AL22+AN22+AP22+AR22+AT22+AV22+AX22+AZ22+BB22+BD22+BF22+BH22+BJ22+BL22+BN22+BP22+BR22+BT22+BV22+BX22+BZ22+CB22+CD22+CF22+CH22+CZ22+DB22+DD22+DF22+DH22+DJ22+DL22+DN22+DP22+DR22+DT22+DV22+DX22+DZ22+EB22+ED22+EF22+EH22+EJ22+EL22+EN22+EP22+ER22+ET22+EV22+FN22+FP22+FR22+FT22+FV22+FX22+FZ22+GB22+GD22+GF22+GH22+GJ22+GL22+GN22+GP22+GR22+GT22+GV22+GX22+GZ22+HB22+HD22+HF22+HH22+HJ22+HL22+HN22+HP22+HR22+HT22+HV22+HX22+HZ22+IB22+ID22+IF22+IH22+IJ22+IL22+IN22+IP22+IR22+IT22+IV22+IX22+IZ22+JB22+JD22+JF22+JH22+JJ22+JL22+JZ22+CJ22+CL22+CN22+CP22+CR22+CT22+CV22+CX22+EX22+EZ22+FB22+FD22+FF22+FH22+FJ22+FL22</f>
        <v/>
      </c>
      <c r="KC22" s="66">
        <f>I22+K22+M22+O22+Q22+S22+U22+W22+Y22+AA22+AC22+AE22+AG22+AI22+AK22+AM22+AO22+AQ22+AS22+AU22+AW22+AY22+BA22+BC22+BE22+BG22+BI22+BK22+BM22+BO22+BQ22+BS22+BU22+BW22+BY22+CA22+CC22+CE22+CG22+CI22+DA22+DC22+DE22+DG22+DI22+DK22+DM22+DO22+DQ22+DS22+DU22+DW22+DY22+EA22+EC22+EE22+EG22+EI22+EK22+EM22+EO22+EQ22+ES22+EU22+EW22+FO22+FS22+FU22+FW22+FQ22+FY22+GA22+GC22+GE22+GG22+GI22+GK22+GM22+GO22+GQ22+GS22+GU22+GW22+GY22+HA22+HC22+HE22+HG22+HI22+HK22+HM22+HO22+HQ22+HS22+HU22+HW22+HY22+IA22+IC22+IE22+IG22+II22+IK22+IM22+IO22+IQ22+IS22+IU22+IW22+IY22+JA22+JC22+JE22+JG22+JI22+JK22+JM22+KA22+CK22+CM22+CO22+CQ22+CS22+CU22+CW22+CY22+EY22+FA22+FC22+FE22+FG22+FI22+FK22+FM22</f>
        <v/>
      </c>
      <c r="KD22" s="44">
        <f>JO22+JQ22+JS22+JU22+JW22+JY22</f>
        <v/>
      </c>
      <c r="KE22" s="45">
        <f>KB22=E22</f>
        <v/>
      </c>
      <c r="KF22" s="101">
        <f>E22-KB22</f>
        <v/>
      </c>
      <c r="KG22" s="67" t="n"/>
    </row>
    <row r="23" ht="21.75" customFormat="1" customHeight="1" s="18">
      <c r="A23" s="126">
        <f>A22+1</f>
        <v/>
      </c>
      <c r="B23" s="175" t="inlineStr">
        <is>
          <t>Ившин К.С.</t>
        </is>
      </c>
      <c r="C23" s="176" t="inlineStr">
        <is>
          <t>сварщик</t>
        </is>
      </c>
      <c r="D23" s="177">
        <f>$D$5</f>
        <v/>
      </c>
      <c r="E23" s="202" t="n">
        <v>32</v>
      </c>
      <c r="F23" s="178" t="n">
        <v>61252.7</v>
      </c>
      <c r="G23" s="52">
        <f>F23/D23</f>
        <v/>
      </c>
      <c r="H23" s="125" t="n"/>
      <c r="I23" s="107">
        <f>H23*100/$E$23</f>
        <v/>
      </c>
      <c r="J23" s="108" t="n"/>
      <c r="K23" s="107">
        <f>J23*100/$E$23</f>
        <v/>
      </c>
      <c r="L23" s="108" t="n"/>
      <c r="M23" s="107">
        <f>L23*100/$E$23</f>
        <v/>
      </c>
      <c r="N23" s="108" t="n"/>
      <c r="O23" s="107">
        <f>N23*100/$E$23</f>
        <v/>
      </c>
      <c r="P23" s="108" t="n"/>
      <c r="Q23" s="122">
        <f>P23*100/$E$23</f>
        <v/>
      </c>
      <c r="R23" s="108" t="n"/>
      <c r="S23" s="122">
        <f>R23*100/$E$23</f>
        <v/>
      </c>
      <c r="T23" s="108" t="n"/>
      <c r="U23" s="107">
        <f>T23*100/$E$23</f>
        <v/>
      </c>
      <c r="V23" s="108" t="n"/>
      <c r="W23" s="107">
        <f>V23*100/$E$23</f>
        <v/>
      </c>
      <c r="X23" s="108" t="n"/>
      <c r="Y23" s="107">
        <f>X23*100/$E$23</f>
        <v/>
      </c>
      <c r="Z23" s="108" t="n"/>
      <c r="AA23" s="107">
        <f>Z23*100/$E$23</f>
        <v/>
      </c>
      <c r="AB23" s="108" t="n"/>
      <c r="AC23" s="107">
        <f>AB23*100/$E$23</f>
        <v/>
      </c>
      <c r="AD23" s="108" t="n"/>
      <c r="AE23" s="122">
        <f>AD23*100/$E$23</f>
        <v/>
      </c>
      <c r="AF23" s="108" t="n"/>
      <c r="AG23" s="122">
        <f>AF23*100/$E$23</f>
        <v/>
      </c>
      <c r="AH23" s="108" t="n"/>
      <c r="AI23" s="107">
        <f>AH23*100/$E$23</f>
        <v/>
      </c>
      <c r="AJ23" s="108" t="n"/>
      <c r="AK23" s="107">
        <f>AJ23*100/$E$23</f>
        <v/>
      </c>
      <c r="AL23" s="108" t="n"/>
      <c r="AM23" s="107">
        <f>AL23*100/$E$23</f>
        <v/>
      </c>
      <c r="AN23" s="108" t="n"/>
      <c r="AO23" s="107">
        <f>AN23*100/$E$23</f>
        <v/>
      </c>
      <c r="AP23" s="108" t="n"/>
      <c r="AQ23" s="107">
        <f>AP23*100/$E$23</f>
        <v/>
      </c>
      <c r="AR23" s="108" t="n"/>
      <c r="AS23" s="107">
        <f>AR23*100/$E$23</f>
        <v/>
      </c>
      <c r="AT23" s="108" t="n"/>
      <c r="AU23" s="90">
        <f>AT23*100/$E$23</f>
        <v/>
      </c>
      <c r="AV23" s="108" t="n"/>
      <c r="AW23" s="107">
        <f>AV23*100/$E$23</f>
        <v/>
      </c>
      <c r="AX23" s="108" t="n"/>
      <c r="AY23" s="107">
        <f>AX23*100/$E$23</f>
        <v/>
      </c>
      <c r="AZ23" s="108" t="n"/>
      <c r="BA23" s="107">
        <f>AZ23*100/$E$23</f>
        <v/>
      </c>
      <c r="BB23" s="108" t="n"/>
      <c r="BC23" s="107">
        <f>BB23*100/$E$23</f>
        <v/>
      </c>
      <c r="BD23" s="108" t="n"/>
      <c r="BE23" s="107">
        <f>BD23*100/$E$23</f>
        <v/>
      </c>
      <c r="BF23" s="108" t="n"/>
      <c r="BG23" s="107">
        <f>BF23*100/$E$23</f>
        <v/>
      </c>
      <c r="BH23" s="108" t="n"/>
      <c r="BI23" s="107">
        <f>BH23*100/$E$23</f>
        <v/>
      </c>
      <c r="BJ23" s="108" t="n"/>
      <c r="BK23" s="107">
        <f>BJ23*100/$E$23</f>
        <v/>
      </c>
      <c r="BL23" s="108" t="n"/>
      <c r="BM23" s="107">
        <f>BL23*100/$E$23</f>
        <v/>
      </c>
      <c r="BN23" s="108" t="n"/>
      <c r="BO23" s="107">
        <f>BN23*100/$E$23</f>
        <v/>
      </c>
      <c r="BP23" s="108" t="n"/>
      <c r="BQ23" s="107">
        <f>BP23*100/$E$23</f>
        <v/>
      </c>
      <c r="BR23" s="108" t="n"/>
      <c r="BS23" s="107">
        <f>BR23*100/$E$23</f>
        <v/>
      </c>
      <c r="BT23" s="108" t="n"/>
      <c r="BU23" s="107">
        <f>BT23*100/$E$23</f>
        <v/>
      </c>
      <c r="BV23" s="108" t="n"/>
      <c r="BW23" s="107">
        <f>BV23*100/$E$23</f>
        <v/>
      </c>
      <c r="BX23" s="108" t="n"/>
      <c r="BY23" s="107">
        <f>BX23*100/$E$23</f>
        <v/>
      </c>
      <c r="BZ23" s="108" t="n"/>
      <c r="CA23" s="107">
        <f>BZ23*100/$E$23</f>
        <v/>
      </c>
      <c r="CB23" s="108" t="n"/>
      <c r="CC23" s="107">
        <f>CB23*100/$E$23</f>
        <v/>
      </c>
      <c r="CD23" s="108" t="n"/>
      <c r="CE23" s="107">
        <f>CD23*100/$E$23</f>
        <v/>
      </c>
      <c r="CF23" s="108" t="n"/>
      <c r="CG23" s="107">
        <f>CF23*100/$E$23</f>
        <v/>
      </c>
      <c r="CH23" s="108" t="n"/>
      <c r="CI23" s="107">
        <f>CH23*100/$E$23</f>
        <v/>
      </c>
      <c r="CJ23" s="108" t="n"/>
      <c r="CK23" s="107">
        <f>CJ23*100/$E$23</f>
        <v/>
      </c>
      <c r="CL23" s="108" t="n"/>
      <c r="CM23" s="107">
        <f>CL23*100/$E$23</f>
        <v/>
      </c>
      <c r="CN23" s="108" t="n"/>
      <c r="CO23" s="122">
        <f>CN23*100/$E$23</f>
        <v/>
      </c>
      <c r="CP23" s="108" t="n"/>
      <c r="CQ23" s="107">
        <f>CP23*100/$E$23</f>
        <v/>
      </c>
      <c r="CR23" s="108" t="n"/>
      <c r="CS23" s="122">
        <f>CR23*100/$E$23</f>
        <v/>
      </c>
      <c r="CT23" s="108" t="n"/>
      <c r="CU23" s="122">
        <f>CT23*100/$E$23</f>
        <v/>
      </c>
      <c r="CV23" s="108" t="n"/>
      <c r="CW23" s="122">
        <f>CV23*100/$E$23</f>
        <v/>
      </c>
      <c r="CX23" s="108" t="n"/>
      <c r="CY23" s="122">
        <f>CX23*100/$E$23</f>
        <v/>
      </c>
      <c r="CZ23" s="108" t="n"/>
      <c r="DA23" s="122">
        <f>CZ23*100/$E$23</f>
        <v/>
      </c>
      <c r="DB23" s="108" t="n"/>
      <c r="DC23" s="122">
        <f>DB23*100/$E$23</f>
        <v/>
      </c>
      <c r="DD23" s="108" t="n"/>
      <c r="DE23" s="122">
        <f>DD23*100/$E$23</f>
        <v/>
      </c>
      <c r="DF23" s="108" t="n"/>
      <c r="DG23" s="122">
        <f>DF23*100/$E$23</f>
        <v/>
      </c>
      <c r="DH23" s="108" t="n"/>
      <c r="DI23" s="122">
        <f>DH23*100/$E$23</f>
        <v/>
      </c>
      <c r="DJ23" s="108" t="n"/>
      <c r="DK23" s="122">
        <f>DJ23*100/$E$23</f>
        <v/>
      </c>
      <c r="DL23" s="108" t="n"/>
      <c r="DM23" s="122">
        <f>DL23*100/$E$23</f>
        <v/>
      </c>
      <c r="DN23" s="108" t="n"/>
      <c r="DO23" s="122">
        <f>DN23*100/$E$23</f>
        <v/>
      </c>
      <c r="DP23" s="108" t="n"/>
      <c r="DQ23" s="122">
        <f>DP23*100/$E$23</f>
        <v/>
      </c>
      <c r="DR23" s="108" t="n"/>
      <c r="DS23" s="122">
        <f>DR23*100/$E$23</f>
        <v/>
      </c>
      <c r="DT23" s="108" t="n"/>
      <c r="DU23" s="122">
        <f>DT23*100/$E$23</f>
        <v/>
      </c>
      <c r="DV23" s="108" t="n"/>
      <c r="DW23" s="122">
        <f>DV23*100/$E$23</f>
        <v/>
      </c>
      <c r="DX23" s="108" t="n"/>
      <c r="DY23" s="122">
        <f>DX23*100/$E$23</f>
        <v/>
      </c>
      <c r="DZ23" s="108" t="n"/>
      <c r="EA23" s="122">
        <f>DZ23*100/$E$23</f>
        <v/>
      </c>
      <c r="EB23" s="108" t="n"/>
      <c r="EC23" s="122">
        <f>EB23*100/$E$23</f>
        <v/>
      </c>
      <c r="ED23" s="108" t="n"/>
      <c r="EE23" s="122">
        <f>ED23*100/$E$23</f>
        <v/>
      </c>
      <c r="EF23" s="108" t="n"/>
      <c r="EG23" s="122">
        <f>EF23*100/$E$23</f>
        <v/>
      </c>
      <c r="EH23" s="108" t="n"/>
      <c r="EI23" s="122">
        <f>EH23*100/$E$23</f>
        <v/>
      </c>
      <c r="EJ23" s="108" t="n"/>
      <c r="EK23" s="122">
        <f>EJ23*100/$E$23</f>
        <v/>
      </c>
      <c r="EL23" s="108" t="n"/>
      <c r="EM23" s="122">
        <f>EL23*100/$E$23</f>
        <v/>
      </c>
      <c r="EN23" s="108" t="n"/>
      <c r="EO23" s="122">
        <f>EN23*100/$E$23</f>
        <v/>
      </c>
      <c r="EP23" s="108" t="n"/>
      <c r="EQ23" s="122">
        <f>EP23*100/$E$23</f>
        <v/>
      </c>
      <c r="ER23" s="108" t="n"/>
      <c r="ES23" s="122">
        <f>ER23*100/$E$23</f>
        <v/>
      </c>
      <c r="ET23" s="108" t="n"/>
      <c r="EU23" s="122">
        <f>ET23*100/$E$23</f>
        <v/>
      </c>
      <c r="EV23" s="108" t="n"/>
      <c r="EW23" s="122">
        <f>EV23*100/$E$23</f>
        <v/>
      </c>
      <c r="EX23" s="108" t="n"/>
      <c r="EY23" s="122">
        <f>EX23*100/$E$23</f>
        <v/>
      </c>
      <c r="EZ23" s="108" t="n"/>
      <c r="FA23" s="122">
        <f>EZ23*100/$E$23</f>
        <v/>
      </c>
      <c r="FB23" s="108" t="n"/>
      <c r="FC23" s="122">
        <f>FB23*100/$E$23</f>
        <v/>
      </c>
      <c r="FD23" s="108" t="n"/>
      <c r="FE23" s="122">
        <f>FD23*100/$E$23</f>
        <v/>
      </c>
      <c r="FF23" s="108" t="n"/>
      <c r="FG23" s="122">
        <f>FF23*100/$E$23</f>
        <v/>
      </c>
      <c r="FH23" s="108" t="n"/>
      <c r="FI23" s="122">
        <f>FH23*100/$E$23</f>
        <v/>
      </c>
      <c r="FJ23" s="108" t="n"/>
      <c r="FK23" s="122">
        <f>FJ23*100/$E$23</f>
        <v/>
      </c>
      <c r="FL23" s="108" t="n"/>
      <c r="FM23" s="122">
        <f>FL23*100/$E$23</f>
        <v/>
      </c>
      <c r="FN23" s="108" t="n"/>
      <c r="FO23" s="122">
        <f>FN23*100/$E$23</f>
        <v/>
      </c>
      <c r="FP23" s="108" t="n"/>
      <c r="FQ23" s="122">
        <f>FP23*100/$E$23</f>
        <v/>
      </c>
      <c r="FR23" s="108" t="n"/>
      <c r="FS23" s="122">
        <f>FR23*100/$E$23</f>
        <v/>
      </c>
      <c r="FT23" s="108" t="n"/>
      <c r="FU23" s="122">
        <f>FT23*100/$E$23</f>
        <v/>
      </c>
      <c r="FV23" s="108" t="n"/>
      <c r="FW23" s="122">
        <f>FV23*100/$E$23</f>
        <v/>
      </c>
      <c r="FX23" s="108" t="n"/>
      <c r="FY23" s="107">
        <f>FX23*100/$E$23</f>
        <v/>
      </c>
      <c r="FZ23" s="108" t="n"/>
      <c r="GA23" s="107">
        <f>FZ23*100/$E$23</f>
        <v/>
      </c>
      <c r="GB23" s="108" t="n"/>
      <c r="GC23" s="107">
        <f>GB23*100/$E$23</f>
        <v/>
      </c>
      <c r="GD23" s="108" t="n"/>
      <c r="GE23" s="107">
        <f>GD23*100/$E$23</f>
        <v/>
      </c>
      <c r="GF23" s="108" t="n"/>
      <c r="GG23" s="107">
        <f>GF23*100/$E$23</f>
        <v/>
      </c>
      <c r="GH23" s="108" t="n"/>
      <c r="GI23" s="107">
        <f>GH23*100/$E$23</f>
        <v/>
      </c>
      <c r="GJ23" s="108" t="n"/>
      <c r="GK23" s="122">
        <f>GJ23*100/$E$23</f>
        <v/>
      </c>
      <c r="GL23" s="108" t="n"/>
      <c r="GM23" s="107">
        <f>GL23*100/$E$23</f>
        <v/>
      </c>
      <c r="GN23" s="108" t="n"/>
      <c r="GO23" s="122">
        <f>GN23*100/$E$23</f>
        <v/>
      </c>
      <c r="GP23" s="108" t="n"/>
      <c r="GQ23" s="107">
        <f>GP23*100/$E$23</f>
        <v/>
      </c>
      <c r="GR23" s="108" t="n"/>
      <c r="GS23" s="122">
        <f>GR23*100/$E$23</f>
        <v/>
      </c>
      <c r="GT23" s="108" t="n"/>
      <c r="GU23" s="122">
        <f>GT23*100/$E$23</f>
        <v/>
      </c>
      <c r="GV23" s="108" t="n"/>
      <c r="GW23" s="122">
        <f>GV23*100/$E$23</f>
        <v/>
      </c>
      <c r="GX23" s="108" t="n"/>
      <c r="GY23" s="107">
        <f>GX23*100/$E$23</f>
        <v/>
      </c>
      <c r="GZ23" s="108" t="n"/>
      <c r="HA23" s="107">
        <f>GZ23*100/$E$23</f>
        <v/>
      </c>
      <c r="HB23" s="108" t="n"/>
      <c r="HC23" s="107">
        <f>HB23*100/$E$23</f>
        <v/>
      </c>
      <c r="HD23" s="108" t="n"/>
      <c r="HE23" s="107">
        <f>HD23*100/$E$23</f>
        <v/>
      </c>
      <c r="HF23" s="108" t="n"/>
      <c r="HG23" s="107">
        <f>HF23*100/$E$23</f>
        <v/>
      </c>
      <c r="HH23" s="108" t="n"/>
      <c r="HI23" s="107">
        <f>HH23*100/$E$23</f>
        <v/>
      </c>
      <c r="HJ23" s="108" t="n"/>
      <c r="HK23" s="107">
        <f>HJ23*100/$E$23</f>
        <v/>
      </c>
      <c r="HL23" s="108" t="n"/>
      <c r="HM23" s="107">
        <f>HL23*100/$E$23</f>
        <v/>
      </c>
      <c r="HN23" s="108" t="n"/>
      <c r="HO23" s="107">
        <f>HN23*100/$E$23</f>
        <v/>
      </c>
      <c r="HP23" s="108" t="n"/>
      <c r="HQ23" s="107">
        <f>HP23*100/$E$23</f>
        <v/>
      </c>
      <c r="HR23" s="108" t="n"/>
      <c r="HS23" s="107">
        <f>HR23*100/$E$23</f>
        <v/>
      </c>
      <c r="HT23" s="108" t="n"/>
      <c r="HU23" s="107">
        <f>HT23*100/$E$23</f>
        <v/>
      </c>
      <c r="HV23" s="108" t="n"/>
      <c r="HW23" s="107">
        <f>HV23*100/$E$23</f>
        <v/>
      </c>
      <c r="HX23" s="108" t="n"/>
      <c r="HY23" s="107">
        <f>HX23*100/$E$23</f>
        <v/>
      </c>
      <c r="HZ23" s="108" t="n"/>
      <c r="IA23" s="122">
        <f>HZ23*100/$E$23</f>
        <v/>
      </c>
      <c r="IB23" s="108" t="n"/>
      <c r="IC23" s="122">
        <f>IB23*100/$E$23</f>
        <v/>
      </c>
      <c r="ID23" s="108" t="n"/>
      <c r="IE23" s="122">
        <f>ID23*100/$E$23</f>
        <v/>
      </c>
      <c r="IF23" s="108" t="n"/>
      <c r="IG23" s="122">
        <f>IF23*100/$E$23</f>
        <v/>
      </c>
      <c r="IH23" s="108" t="n"/>
      <c r="II23" s="122">
        <f>IH23*100/$E$23</f>
        <v/>
      </c>
      <c r="IJ23" s="108" t="n"/>
      <c r="IK23" s="122">
        <f>IJ23*100/$E$23</f>
        <v/>
      </c>
      <c r="IL23" s="108" t="n"/>
      <c r="IM23" s="107">
        <f>IL23*100/$E$23</f>
        <v/>
      </c>
      <c r="IN23" s="108" t="n"/>
      <c r="IO23" s="107">
        <f>IN23*100/$E$23</f>
        <v/>
      </c>
      <c r="IP23" s="108" t="n"/>
      <c r="IQ23" s="122">
        <f>IP23*100/$E$23</f>
        <v/>
      </c>
      <c r="IR23" s="108" t="n"/>
      <c r="IS23" s="122">
        <f>IR23*100/$E$23</f>
        <v/>
      </c>
      <c r="IT23" s="108" t="n"/>
      <c r="IU23" s="122">
        <f>IT23*100/$E$23</f>
        <v/>
      </c>
      <c r="IV23" s="108" t="n"/>
      <c r="IW23" s="122">
        <f>IV23*100/$E$23</f>
        <v/>
      </c>
      <c r="IX23" s="108" t="n"/>
      <c r="IY23" s="122">
        <f>IX23*100/$E$23</f>
        <v/>
      </c>
      <c r="IZ23" s="108" t="n"/>
      <c r="JA23" s="122">
        <f>IZ23*100/$E$23</f>
        <v/>
      </c>
      <c r="JB23" s="108" t="n"/>
      <c r="JC23" s="122">
        <f>JB23*100/$E$23</f>
        <v/>
      </c>
      <c r="JD23" s="108" t="n"/>
      <c r="JE23" s="122">
        <f>JD23*100/$E$23</f>
        <v/>
      </c>
      <c r="JF23" s="108" t="n"/>
      <c r="JG23" s="122">
        <f>JF23*100/$E$23</f>
        <v/>
      </c>
      <c r="JH23" s="108" t="n"/>
      <c r="JI23" s="122">
        <f>JH23*100/$E$23</f>
        <v/>
      </c>
      <c r="JJ23" s="108" t="n"/>
      <c r="JK23" s="122">
        <f>JJ23*100/$E$23</f>
        <v/>
      </c>
      <c r="JL23" s="108" t="n"/>
      <c r="JM23" s="122">
        <f>JL23*100/$E$23</f>
        <v/>
      </c>
      <c r="JN23" s="108" t="n"/>
      <c r="JO23" s="122">
        <f>JN23*100/$E$23</f>
        <v/>
      </c>
      <c r="JP23" s="108" t="n">
        <v>32</v>
      </c>
      <c r="JQ23" s="122">
        <f>JP23*100/$E$23</f>
        <v/>
      </c>
      <c r="JR23" s="108" t="n"/>
      <c r="JS23" s="122">
        <f>JR23*100/$E$23</f>
        <v/>
      </c>
      <c r="JT23" s="108" t="n"/>
      <c r="JU23" s="122">
        <f>JT23*100/$E$23</f>
        <v/>
      </c>
      <c r="JV23" s="108" t="n"/>
      <c r="JW23" s="122">
        <f>JV23*100/$E$23</f>
        <v/>
      </c>
      <c r="JX23" s="108" t="n"/>
      <c r="JY23" s="122">
        <f>JX23*100/$E$23</f>
        <v/>
      </c>
      <c r="JZ23" s="55">
        <f>JN23+JP23+JR23+JT23+JV23+JX23</f>
        <v/>
      </c>
      <c r="KA23" s="53">
        <f>JO23+JQ23+JS23+JU23+JW23+JY23</f>
        <v/>
      </c>
      <c r="KB23" s="185">
        <f>H23+J23+L23+N23+P23+R23+T23+V23+X23+Z23+AB23+AD23+AF23+AH23+AJ23+AL23+AN23+AP23+AR23+AT23+AV23+AX23+AZ23+BB23+BD23+BF23+BH23+BJ23+BL23+BN23+BP23+BR23+BT23+BV23+BX23+BZ23+CB23+CD23+CF23+CH23+CZ23+DB23+DD23+DF23+DH23+DJ23+DL23+DN23+DP23+DR23+DT23+DV23+DX23+DZ23+EB23+ED23+EF23+EH23+EJ23+EL23+EN23+EP23+ER23+ET23+EV23+FN23+FP23+FR23+FT23+FV23+FX23+FZ23+GB23+GD23+GF23+GH23+GJ23+GL23+GN23+GP23+GR23+GT23+GV23+GX23+GZ23+HB23+HD23+HF23+HH23+HJ23+HL23+HN23+HP23+HR23+HT23+HV23+HX23+HZ23+IB23+ID23+IF23+IH23+IJ23+IL23+IN23+IP23+IR23+IT23+IV23+IX23+IZ23+JB23+JD23+JF23+JH23+JJ23+JL23+JZ23+CJ23+CL23+CN23+CP23+CR23+CT23+CV23+CX23+EX23+EZ23+FB23+FD23+FF23+FH23+FJ23+FL23</f>
        <v/>
      </c>
      <c r="KC23" s="66">
        <f>I23+K23+M23+O23+Q23+S23+U23+W23+Y23+AA23+AC23+AE23+AG23+AI23+AK23+AM23+AO23+AQ23+AS23+AU23+AW23+AY23+BA23+BC23+BE23+BG23+BI23+BK23+BM23+BO23+BQ23+BS23+BU23+BW23+BY23+CA23+CC23+CE23+CG23+CI23+DA23+DC23+DE23+DG23+DI23+DK23+DM23+DO23+DQ23+DS23+DU23+DW23+DY23+EA23+EC23+EE23+EG23+EI23+EK23+EM23+EO23+EQ23+ES23+EU23+EW23+FO23+FS23+FU23+FW23+FQ23+FY23+GA23+GC23+GE23+GG23+GI23+GK23+GM23+GO23+GQ23+GS23+GU23+GW23+GY23+HA23+HC23+HE23+HG23+HI23+HK23+HM23+HO23+HQ23+HS23+HU23+HW23+HY23+IA23+IC23+IE23+IG23+II23+IK23+IM23+IO23+IQ23+IS23+IU23+IW23+IY23+JA23+JC23+JE23+JG23+JI23+JK23+JM23+KA23+CK23+CM23+CO23+CQ23+CS23+CU23+CW23+CY23+EY23+FA23+FC23+FE23+FG23+FI23+FK23+FM23</f>
        <v/>
      </c>
      <c r="KD23" s="44">
        <f>JO23+JQ23+JS23+JU23+JW23+JY23</f>
        <v/>
      </c>
      <c r="KE23" s="46">
        <f>KB23=E23</f>
        <v/>
      </c>
      <c r="KF23" s="101">
        <f>E23-KB23</f>
        <v/>
      </c>
      <c r="KG23" s="19" t="n"/>
      <c r="KH23" s="11" t="n"/>
      <c r="KI23" s="11" t="n"/>
      <c r="KJ23" s="11" t="n"/>
      <c r="KK23" s="11" t="n"/>
      <c r="KL23" s="11" t="n"/>
      <c r="KM23" s="11" t="n"/>
      <c r="KN23" s="11" t="n"/>
      <c r="KO23" s="11" t="n"/>
    </row>
    <row r="24" ht="21.75" customFormat="1" customHeight="1" s="19">
      <c r="A24" s="126">
        <f>A23+1</f>
        <v/>
      </c>
      <c r="B24" s="192" t="inlineStr">
        <is>
          <t>Капичников А.С.</t>
        </is>
      </c>
      <c r="C24" s="176" t="inlineStr">
        <is>
          <t>слесарь</t>
        </is>
      </c>
      <c r="D24" s="177">
        <f>$D$5</f>
        <v/>
      </c>
      <c r="E24" s="202" t="n">
        <v>152</v>
      </c>
      <c r="F24" s="178" t="n">
        <v>84149.67999999999</v>
      </c>
      <c r="G24" s="179">
        <f>F24/D24</f>
        <v/>
      </c>
      <c r="H24" s="125" t="n"/>
      <c r="I24" s="107">
        <f>H24*100/$E$24</f>
        <v/>
      </c>
      <c r="J24" s="108" t="n"/>
      <c r="K24" s="107">
        <f>J24*100/$E$24</f>
        <v/>
      </c>
      <c r="L24" s="108" t="n"/>
      <c r="M24" s="107">
        <f>L24*100/$E$24</f>
        <v/>
      </c>
      <c r="N24" s="108" t="n"/>
      <c r="O24" s="107">
        <f>N24*100/$E$24</f>
        <v/>
      </c>
      <c r="P24" s="108" t="n"/>
      <c r="Q24" s="122">
        <f>P24*100/$E$24</f>
        <v/>
      </c>
      <c r="R24" s="108" t="n"/>
      <c r="S24" s="122">
        <f>R24*100/$E$24</f>
        <v/>
      </c>
      <c r="T24" s="108" t="n"/>
      <c r="U24" s="107">
        <f>T24*100/$E$24</f>
        <v/>
      </c>
      <c r="V24" s="108" t="n"/>
      <c r="W24" s="107">
        <f>V24*100/$E$24</f>
        <v/>
      </c>
      <c r="X24" s="108" t="n"/>
      <c r="Y24" s="107">
        <f>X24*100/$E$24</f>
        <v/>
      </c>
      <c r="Z24" s="108" t="n"/>
      <c r="AA24" s="107">
        <f>Z24*100/$E$24</f>
        <v/>
      </c>
      <c r="AB24" s="108" t="n"/>
      <c r="AC24" s="107">
        <f>AB24*100/$E$24</f>
        <v/>
      </c>
      <c r="AD24" s="108" t="n"/>
      <c r="AE24" s="122">
        <f>AD24*100/$E$24</f>
        <v/>
      </c>
      <c r="AF24" s="108" t="n">
        <v>16</v>
      </c>
      <c r="AG24" s="122">
        <f>AF24*100/$E$24</f>
        <v/>
      </c>
      <c r="AH24" s="108" t="n"/>
      <c r="AI24" s="107">
        <f>AH24*100/$E$24</f>
        <v/>
      </c>
      <c r="AJ24" s="108" t="n"/>
      <c r="AK24" s="107">
        <f>AJ24*100/$E$24</f>
        <v/>
      </c>
      <c r="AL24" s="108" t="n">
        <v>64</v>
      </c>
      <c r="AM24" s="107">
        <f>AL24*100/$E$24</f>
        <v/>
      </c>
      <c r="AN24" s="108" t="n">
        <v>16</v>
      </c>
      <c r="AO24" s="107">
        <f>AN24*100/$E$24</f>
        <v/>
      </c>
      <c r="AP24" s="108" t="n"/>
      <c r="AQ24" s="107">
        <f>AP24*100/$E$24</f>
        <v/>
      </c>
      <c r="AR24" s="108" t="n"/>
      <c r="AS24" s="107">
        <f>AR24*100/$E$24</f>
        <v/>
      </c>
      <c r="AT24" s="108" t="n"/>
      <c r="AU24" s="90">
        <f>AT24*100/$E$24</f>
        <v/>
      </c>
      <c r="AV24" s="108" t="n"/>
      <c r="AW24" s="107">
        <f>AV24*100/$E$24</f>
        <v/>
      </c>
      <c r="AX24" s="108" t="n">
        <v>56</v>
      </c>
      <c r="AY24" s="107">
        <f>AX24*100/$E$24</f>
        <v/>
      </c>
      <c r="AZ24" s="108" t="n"/>
      <c r="BA24" s="107">
        <f>AZ24*100/$E$24</f>
        <v/>
      </c>
      <c r="BB24" s="108" t="n"/>
      <c r="BC24" s="107">
        <f>BB24*100/$E$24</f>
        <v/>
      </c>
      <c r="BD24" s="108" t="n"/>
      <c r="BE24" s="107">
        <f>BD24*100/$E$24</f>
        <v/>
      </c>
      <c r="BF24" s="108" t="n"/>
      <c r="BG24" s="107">
        <f>BF24*100/$E$24</f>
        <v/>
      </c>
      <c r="BH24" s="108" t="n"/>
      <c r="BI24" s="107">
        <f>BH24*100/$E$24</f>
        <v/>
      </c>
      <c r="BJ24" s="108" t="n"/>
      <c r="BK24" s="107">
        <f>BJ24*100/$E$24</f>
        <v/>
      </c>
      <c r="BL24" s="108" t="n"/>
      <c r="BM24" s="107">
        <f>BL24*100/$E$24</f>
        <v/>
      </c>
      <c r="BN24" s="108" t="n"/>
      <c r="BO24" s="107">
        <f>BN24*100/$E$24</f>
        <v/>
      </c>
      <c r="BP24" s="108" t="n"/>
      <c r="BQ24" s="107">
        <f>BP24*100/$E$24</f>
        <v/>
      </c>
      <c r="BR24" s="108" t="n"/>
      <c r="BS24" s="107">
        <f>BR24*100/$E$24</f>
        <v/>
      </c>
      <c r="BT24" s="108" t="n"/>
      <c r="BU24" s="107">
        <f>BT24*100/$E$24</f>
        <v/>
      </c>
      <c r="BV24" s="108" t="n"/>
      <c r="BW24" s="107">
        <f>BV24*100/$E$24</f>
        <v/>
      </c>
      <c r="BX24" s="108" t="n"/>
      <c r="BY24" s="107">
        <f>BX24*100/$E$24</f>
        <v/>
      </c>
      <c r="BZ24" s="108" t="n"/>
      <c r="CA24" s="107">
        <f>BZ24*100/$E$24</f>
        <v/>
      </c>
      <c r="CB24" s="108" t="n"/>
      <c r="CC24" s="107">
        <f>CB24*100/$E$24</f>
        <v/>
      </c>
      <c r="CD24" s="108" t="n"/>
      <c r="CE24" s="107">
        <f>CD24*100/$E$24</f>
        <v/>
      </c>
      <c r="CF24" s="108" t="n"/>
      <c r="CG24" s="107">
        <f>CF24*100/$E$24</f>
        <v/>
      </c>
      <c r="CH24" s="108" t="n"/>
      <c r="CI24" s="107">
        <f>CH24*100/$E$24</f>
        <v/>
      </c>
      <c r="CJ24" s="108" t="n"/>
      <c r="CK24" s="107">
        <f>CJ24*100/$E$24</f>
        <v/>
      </c>
      <c r="CL24" s="108" t="n"/>
      <c r="CM24" s="107">
        <f>CL24*100/$E$24</f>
        <v/>
      </c>
      <c r="CN24" s="108" t="n"/>
      <c r="CO24" s="122">
        <f>CN24*100/$E$24</f>
        <v/>
      </c>
      <c r="CP24" s="108" t="n"/>
      <c r="CQ24" s="107">
        <f>CP24*100/$E$24</f>
        <v/>
      </c>
      <c r="CR24" s="108" t="n"/>
      <c r="CS24" s="122">
        <f>CR24*100/$E$24</f>
        <v/>
      </c>
      <c r="CT24" s="108" t="n"/>
      <c r="CU24" s="122">
        <f>CT24*100/$E$24</f>
        <v/>
      </c>
      <c r="CV24" s="108" t="n"/>
      <c r="CW24" s="122">
        <f>CV24*100/$E$24</f>
        <v/>
      </c>
      <c r="CX24" s="108" t="n"/>
      <c r="CY24" s="122">
        <f>CX24*100/$E$24</f>
        <v/>
      </c>
      <c r="CZ24" s="108" t="n"/>
      <c r="DA24" s="122">
        <f>CZ24*100/$E$24</f>
        <v/>
      </c>
      <c r="DB24" s="108" t="n"/>
      <c r="DC24" s="122">
        <f>DB24*100/$E$24</f>
        <v/>
      </c>
      <c r="DD24" s="108" t="n"/>
      <c r="DE24" s="122">
        <f>DD24*100/$E$24</f>
        <v/>
      </c>
      <c r="DF24" s="108" t="n"/>
      <c r="DG24" s="122">
        <f>DF24*100/$E$24</f>
        <v/>
      </c>
      <c r="DH24" s="108" t="n"/>
      <c r="DI24" s="122">
        <f>DH24*100/$E$24</f>
        <v/>
      </c>
      <c r="DJ24" s="108" t="n"/>
      <c r="DK24" s="122">
        <f>DJ24*100/$E$24</f>
        <v/>
      </c>
      <c r="DL24" s="108" t="n"/>
      <c r="DM24" s="122">
        <f>DL24*100/$E$24</f>
        <v/>
      </c>
      <c r="DN24" s="108" t="n"/>
      <c r="DO24" s="122">
        <f>DN24*100/$E$24</f>
        <v/>
      </c>
      <c r="DP24" s="108" t="n"/>
      <c r="DQ24" s="122">
        <f>DP24*100/$E$24</f>
        <v/>
      </c>
      <c r="DR24" s="108" t="n"/>
      <c r="DS24" s="122">
        <f>DR24*100/$E$24</f>
        <v/>
      </c>
      <c r="DT24" s="108" t="n"/>
      <c r="DU24" s="122">
        <f>DT24*100/$E$24</f>
        <v/>
      </c>
      <c r="DV24" s="108" t="n"/>
      <c r="DW24" s="122">
        <f>DV24*100/$E$24</f>
        <v/>
      </c>
      <c r="DX24" s="108" t="n"/>
      <c r="DY24" s="122">
        <f>DX24*100/$E$24</f>
        <v/>
      </c>
      <c r="DZ24" s="108" t="n"/>
      <c r="EA24" s="122">
        <f>DZ24*100/$E$24</f>
        <v/>
      </c>
      <c r="EB24" s="108" t="n"/>
      <c r="EC24" s="122">
        <f>EB24*100/$E$24</f>
        <v/>
      </c>
      <c r="ED24" s="108" t="n"/>
      <c r="EE24" s="122">
        <f>ED24*100/$E$24</f>
        <v/>
      </c>
      <c r="EF24" s="108" t="n"/>
      <c r="EG24" s="122">
        <f>EF24*100/$E$24</f>
        <v/>
      </c>
      <c r="EH24" s="108" t="n"/>
      <c r="EI24" s="122">
        <f>EH24*100/$E$24</f>
        <v/>
      </c>
      <c r="EJ24" s="108" t="n"/>
      <c r="EK24" s="122">
        <f>EJ24*100/$E$24</f>
        <v/>
      </c>
      <c r="EL24" s="108" t="n"/>
      <c r="EM24" s="122">
        <f>EL24*100/$E$24</f>
        <v/>
      </c>
      <c r="EN24" s="108" t="n"/>
      <c r="EO24" s="122">
        <f>EN24*100/$E$24</f>
        <v/>
      </c>
      <c r="EP24" s="108" t="n"/>
      <c r="EQ24" s="122">
        <f>EP24*100/$E$24</f>
        <v/>
      </c>
      <c r="ER24" s="108" t="n"/>
      <c r="ES24" s="122">
        <f>ER24*100/$E$24</f>
        <v/>
      </c>
      <c r="ET24" s="108" t="n"/>
      <c r="EU24" s="122">
        <f>ET24*100/$E$24</f>
        <v/>
      </c>
      <c r="EV24" s="108" t="n"/>
      <c r="EW24" s="122">
        <f>EV24*100/$E$24</f>
        <v/>
      </c>
      <c r="EX24" s="108" t="n"/>
      <c r="EY24" s="122">
        <f>EX24*100/$E$24</f>
        <v/>
      </c>
      <c r="EZ24" s="108" t="n"/>
      <c r="FA24" s="122">
        <f>EZ24*100/$E$24</f>
        <v/>
      </c>
      <c r="FB24" s="108" t="n"/>
      <c r="FC24" s="122">
        <f>FB24*100/$E$24</f>
        <v/>
      </c>
      <c r="FD24" s="108" t="n"/>
      <c r="FE24" s="122">
        <f>FD24*100/$E$24</f>
        <v/>
      </c>
      <c r="FF24" s="108" t="n"/>
      <c r="FG24" s="122">
        <f>FF24*100/$E$24</f>
        <v/>
      </c>
      <c r="FH24" s="108" t="n"/>
      <c r="FI24" s="122">
        <f>FH24*100/$E$24</f>
        <v/>
      </c>
      <c r="FJ24" s="108" t="n"/>
      <c r="FK24" s="122">
        <f>FJ24*100/$E$24</f>
        <v/>
      </c>
      <c r="FL24" s="108" t="n"/>
      <c r="FM24" s="122">
        <f>FL24*100/$E$24</f>
        <v/>
      </c>
      <c r="FN24" s="108" t="n"/>
      <c r="FO24" s="122">
        <f>FN24*100/$E$24</f>
        <v/>
      </c>
      <c r="FP24" s="108" t="n"/>
      <c r="FQ24" s="122">
        <f>FP24*100/$E$24</f>
        <v/>
      </c>
      <c r="FR24" s="108" t="n"/>
      <c r="FS24" s="122">
        <f>FR24*100/$E$24</f>
        <v/>
      </c>
      <c r="FT24" s="108" t="n"/>
      <c r="FU24" s="122">
        <f>FT24*100/$E$24</f>
        <v/>
      </c>
      <c r="FV24" s="108" t="n"/>
      <c r="FW24" s="122">
        <f>FV24*100/$E$24</f>
        <v/>
      </c>
      <c r="FX24" s="108" t="n"/>
      <c r="FY24" s="107">
        <f>FX24*100/$E$24</f>
        <v/>
      </c>
      <c r="FZ24" s="108" t="n"/>
      <c r="GA24" s="107">
        <f>FZ24*100/$E$24</f>
        <v/>
      </c>
      <c r="GB24" s="108" t="n"/>
      <c r="GC24" s="107">
        <f>GB24*100/$E$24</f>
        <v/>
      </c>
      <c r="GD24" s="108" t="n"/>
      <c r="GE24" s="107">
        <f>GD24*100/$E$24</f>
        <v/>
      </c>
      <c r="GF24" s="108" t="n"/>
      <c r="GG24" s="107">
        <f>GF24*100/$E$24</f>
        <v/>
      </c>
      <c r="GH24" s="108" t="n"/>
      <c r="GI24" s="107">
        <f>GH24*100/$E$24</f>
        <v/>
      </c>
      <c r="GJ24" s="108" t="n"/>
      <c r="GK24" s="122">
        <f>GJ24*100/$E$24</f>
        <v/>
      </c>
      <c r="GL24" s="108" t="n"/>
      <c r="GM24" s="107">
        <f>GL24*100/$E$24</f>
        <v/>
      </c>
      <c r="GN24" s="108" t="n"/>
      <c r="GO24" s="122">
        <f>GN24*100/$E$24</f>
        <v/>
      </c>
      <c r="GP24" s="108" t="n"/>
      <c r="GQ24" s="107">
        <f>GP24*100/$E$24</f>
        <v/>
      </c>
      <c r="GR24" s="108" t="n"/>
      <c r="GS24" s="122">
        <f>GR24*100/$E$24</f>
        <v/>
      </c>
      <c r="GT24" s="108" t="n"/>
      <c r="GU24" s="122">
        <f>GT24*100/$E$24</f>
        <v/>
      </c>
      <c r="GV24" s="108" t="n"/>
      <c r="GW24" s="122">
        <f>GV24*100/$E$24</f>
        <v/>
      </c>
      <c r="GX24" s="108" t="n"/>
      <c r="GY24" s="107">
        <f>GX24*100/$E$24</f>
        <v/>
      </c>
      <c r="GZ24" s="108" t="n"/>
      <c r="HA24" s="107">
        <f>GZ24*100/$E$24</f>
        <v/>
      </c>
      <c r="HB24" s="108" t="n"/>
      <c r="HC24" s="107">
        <f>HB24*100/$E$24</f>
        <v/>
      </c>
      <c r="HD24" s="108" t="n"/>
      <c r="HE24" s="107">
        <f>HD24*100/$E$24</f>
        <v/>
      </c>
      <c r="HF24" s="108" t="n"/>
      <c r="HG24" s="107">
        <f>HF24*100/$E$24</f>
        <v/>
      </c>
      <c r="HH24" s="108" t="n"/>
      <c r="HI24" s="107">
        <f>HH24*100/$E$24</f>
        <v/>
      </c>
      <c r="HJ24" s="108" t="n"/>
      <c r="HK24" s="107">
        <f>HJ24*100/$E$24</f>
        <v/>
      </c>
      <c r="HL24" s="108" t="n"/>
      <c r="HM24" s="107">
        <f>HL24*100/$E$24</f>
        <v/>
      </c>
      <c r="HN24" s="108" t="n"/>
      <c r="HO24" s="107">
        <f>HN24*100/$E$24</f>
        <v/>
      </c>
      <c r="HP24" s="108" t="n"/>
      <c r="HQ24" s="107">
        <f>HP24*100/$E$24</f>
        <v/>
      </c>
      <c r="HR24" s="108" t="n"/>
      <c r="HS24" s="107">
        <f>HR24*100/$E$24</f>
        <v/>
      </c>
      <c r="HT24" s="108" t="n"/>
      <c r="HU24" s="107">
        <f>HT24*100/$E$24</f>
        <v/>
      </c>
      <c r="HV24" s="108" t="n"/>
      <c r="HW24" s="107">
        <f>HV24*100/$E$24</f>
        <v/>
      </c>
      <c r="HX24" s="108" t="n"/>
      <c r="HY24" s="107">
        <f>HX24*100/$E$24</f>
        <v/>
      </c>
      <c r="HZ24" s="108" t="n"/>
      <c r="IA24" s="122">
        <f>HZ24*100/$E$24</f>
        <v/>
      </c>
      <c r="IB24" s="108" t="n"/>
      <c r="IC24" s="122">
        <f>IB24*100/$E$24</f>
        <v/>
      </c>
      <c r="ID24" s="108" t="n"/>
      <c r="IE24" s="122">
        <f>ID24*100/$E$24</f>
        <v/>
      </c>
      <c r="IF24" s="108" t="n"/>
      <c r="IG24" s="122">
        <f>IF24*100/$E$24</f>
        <v/>
      </c>
      <c r="IH24" s="108" t="n"/>
      <c r="II24" s="122">
        <f>IH24*100/$E$24</f>
        <v/>
      </c>
      <c r="IJ24" s="108" t="n"/>
      <c r="IK24" s="122">
        <f>IJ24*100/$E$24</f>
        <v/>
      </c>
      <c r="IL24" s="108" t="n"/>
      <c r="IM24" s="107">
        <f>IL24*100/$E$24</f>
        <v/>
      </c>
      <c r="IN24" s="108" t="n"/>
      <c r="IO24" s="107">
        <f>IN24*100/$E$24</f>
        <v/>
      </c>
      <c r="IP24" s="108" t="n"/>
      <c r="IQ24" s="122">
        <f>IP24*100/$E$24</f>
        <v/>
      </c>
      <c r="IR24" s="108" t="n"/>
      <c r="IS24" s="122">
        <f>IR24*100/$E$24</f>
        <v/>
      </c>
      <c r="IT24" s="108" t="n"/>
      <c r="IU24" s="122">
        <f>IT24*100/$E$24</f>
        <v/>
      </c>
      <c r="IV24" s="108" t="n"/>
      <c r="IW24" s="122">
        <f>IV24*100/$E$24</f>
        <v/>
      </c>
      <c r="IX24" s="108" t="n"/>
      <c r="IY24" s="122">
        <f>IX24*100/$E$24</f>
        <v/>
      </c>
      <c r="IZ24" s="108" t="n"/>
      <c r="JA24" s="122">
        <f>IZ24*100/$E$24</f>
        <v/>
      </c>
      <c r="JB24" s="108" t="n"/>
      <c r="JC24" s="122">
        <f>JB24*100/$E$24</f>
        <v/>
      </c>
      <c r="JD24" s="108" t="n"/>
      <c r="JE24" s="122">
        <f>JD24*100/$E$24</f>
        <v/>
      </c>
      <c r="JF24" s="108" t="n"/>
      <c r="JG24" s="122">
        <f>JF24*100/$E$24</f>
        <v/>
      </c>
      <c r="JH24" s="108" t="n"/>
      <c r="JI24" s="122">
        <f>JH24*100/$E$24</f>
        <v/>
      </c>
      <c r="JJ24" s="108" t="n"/>
      <c r="JK24" s="122">
        <f>JJ24*100/$E$24</f>
        <v/>
      </c>
      <c r="JL24" s="108" t="n"/>
      <c r="JM24" s="122">
        <f>JL24*100/$E$24</f>
        <v/>
      </c>
      <c r="JN24" s="108" t="n"/>
      <c r="JO24" s="122">
        <f>JN24*100/$E$24</f>
        <v/>
      </c>
      <c r="JP24" s="108" t="n"/>
      <c r="JQ24" s="122">
        <f>JP24*100/$E$24</f>
        <v/>
      </c>
      <c r="JR24" s="108" t="n"/>
      <c r="JS24" s="122">
        <f>JR24*100/$E$24</f>
        <v/>
      </c>
      <c r="JT24" s="108" t="n"/>
      <c r="JU24" s="122">
        <f>JT24*100/$E$24</f>
        <v/>
      </c>
      <c r="JV24" s="132" t="n"/>
      <c r="JW24" s="122">
        <f>JV24*100/$E$24</f>
        <v/>
      </c>
      <c r="JX24" s="132" t="n"/>
      <c r="JY24" s="122">
        <f>JX24*100/$E$24</f>
        <v/>
      </c>
      <c r="JZ24" s="55">
        <f>JN24+JP24+JR24+JT24+JV24+JX24</f>
        <v/>
      </c>
      <c r="KA24" s="53">
        <f>JO24+JQ24+JS24+JU24+JW24+JY24</f>
        <v/>
      </c>
      <c r="KB24" s="185">
        <f>H24+J24+L24+N24+P24+R24+T24+V24+X24+Z24+AB24+AD24+AF24+AH24+AJ24+AL24+AN24+AP24+AR24+AT24+AV24+AX24+AZ24+BB24+BD24+BF24+BH24+BJ24+BL24+BN24+BP24+BR24+BT24+BV24+BX24+BZ24+CB24+CD24+CF24+CH24+CZ24+DB24+DD24+DF24+DH24+DJ24+DL24+DN24+DP24+DR24+DT24+DV24+DX24+DZ24+EB24+ED24+EF24+EH24+EJ24+EL24+EN24+EP24+ER24+ET24+EV24+FN24+FP24+FR24+FT24+FV24+FX24+FZ24+GB24+GD24+GF24+GH24+GJ24+GL24+GN24+GP24+GR24+GT24+GV24+GX24+GZ24+HB24+HD24+HF24+HH24+HJ24+HL24+HN24+HP24+HR24+HT24+HV24+HX24+HZ24+IB24+ID24+IF24+IH24+IJ24+IL24+IN24+IP24+IR24+IT24+IV24+IX24+IZ24+JB24+JD24+JF24+JH24+JJ24+JL24+JZ24+CJ24+CL24+CN24+CP24+CR24+CT24+CV24+CX24+EX24+EZ24+FB24+FD24+FF24+FH24+FJ24+FL24</f>
        <v/>
      </c>
      <c r="KC24" s="66">
        <f>I24+K24+M24+O24+Q24+S24+U24+W24+Y24+AA24+AC24+AE24+AG24+AI24+AK24+AM24+AO24+AQ24+AS24+AU24+AW24+AY24+BA24+BC24+BE24+BG24+BI24+BK24+BM24+BO24+BQ24+BS24+BU24+BW24+BY24+CA24+CC24+CE24+CG24+CI24+DA24+DC24+DE24+DG24+DI24+DK24+DM24+DO24+DQ24+DS24+DU24+DW24+DY24+EA24+EC24+EE24+EG24+EI24+EK24+EM24+EO24+EQ24+ES24+EU24+EW24+FO24+FS24+FU24+FW24+FQ24+FY24+GA24+GC24+GE24+GG24+GI24+GK24+GM24+GO24+GQ24+GS24+GU24+GW24+GY24+HA24+HC24+HE24+HG24+HI24+HK24+HM24+HO24+HQ24+HS24+HU24+HW24+HY24+IA24+IC24+IE24+IG24+II24+IK24+IM24+IO24+IQ24+IS24+IU24+IW24+IY24+JA24+JC24+JE24+JG24+JI24+JK24+JM24+KA24+CK24+CM24+CO24+CQ24+CS24+CU24+CW24+CY24+EY24+FA24+FC24+FE24+FG24+FI24+FK24+FM24</f>
        <v/>
      </c>
      <c r="KD24" s="44">
        <f>JO24+JQ24+JS24+JU24+JW24+JY24</f>
        <v/>
      </c>
      <c r="KE24" s="46">
        <f>KB24=E24</f>
        <v/>
      </c>
      <c r="KF24" s="101">
        <f>E24-KB24</f>
        <v/>
      </c>
      <c r="KG24" s="20" t="n"/>
    </row>
    <row r="25" ht="21.75" customFormat="1" customHeight="1" s="19">
      <c r="A25" s="126">
        <f>A24+1</f>
        <v/>
      </c>
      <c r="B25" s="192" t="inlineStr">
        <is>
          <t>Кожемякин Е.А.</t>
        </is>
      </c>
      <c r="C25" s="204" t="inlineStr">
        <is>
          <t>сварщик</t>
        </is>
      </c>
      <c r="D25" s="177">
        <f>$D$5</f>
        <v/>
      </c>
      <c r="E25" s="202" t="n">
        <v>136</v>
      </c>
      <c r="F25" s="205" t="n">
        <v>61252.7</v>
      </c>
      <c r="G25" s="218">
        <f>F25/D25</f>
        <v/>
      </c>
      <c r="H25" s="125" t="n"/>
      <c r="I25" s="107">
        <f>H25*100/$E$25</f>
        <v/>
      </c>
      <c r="J25" s="108" t="n"/>
      <c r="K25" s="122">
        <f>J25*100/$E$25</f>
        <v/>
      </c>
      <c r="L25" s="108" t="n"/>
      <c r="M25" s="122">
        <f>L25*100/$E$25</f>
        <v/>
      </c>
      <c r="N25" s="108" t="n"/>
      <c r="O25" s="122">
        <f>N25*100/$E$25</f>
        <v/>
      </c>
      <c r="P25" s="108" t="n"/>
      <c r="Q25" s="122">
        <f>P25*100/$E$25</f>
        <v/>
      </c>
      <c r="R25" s="108" t="n"/>
      <c r="S25" s="122">
        <f>R25*100/$E$25</f>
        <v/>
      </c>
      <c r="T25" s="108" t="n"/>
      <c r="U25" s="122">
        <f>T25*100/$E$25</f>
        <v/>
      </c>
      <c r="V25" s="108" t="n"/>
      <c r="W25" s="107">
        <f>V25*100/$E$25</f>
        <v/>
      </c>
      <c r="X25" s="108" t="n"/>
      <c r="Y25" s="107">
        <f>X25*100/$E$25</f>
        <v/>
      </c>
      <c r="Z25" s="108" t="n"/>
      <c r="AA25" s="122">
        <f>Z25*100/$E$25</f>
        <v/>
      </c>
      <c r="AB25" s="108" t="n"/>
      <c r="AC25" s="107">
        <f>AB25*100/$E$25</f>
        <v/>
      </c>
      <c r="AD25" s="108" t="n"/>
      <c r="AE25" s="122">
        <f>AD25*100/$E$25</f>
        <v/>
      </c>
      <c r="AF25" s="108" t="n"/>
      <c r="AG25" s="107">
        <f>AF25*100/$E$25</f>
        <v/>
      </c>
      <c r="AH25" s="108" t="n"/>
      <c r="AI25" s="107">
        <f>AH25*100/$E$25</f>
        <v/>
      </c>
      <c r="AJ25" s="108" t="n"/>
      <c r="AK25" s="107">
        <f>AJ25*100/$E$25</f>
        <v/>
      </c>
      <c r="AL25" s="108" t="n"/>
      <c r="AM25" s="107">
        <f>AL25*100/$E$25</f>
        <v/>
      </c>
      <c r="AN25" s="108" t="n"/>
      <c r="AO25" s="107">
        <f>AN25*100/$E$25</f>
        <v/>
      </c>
      <c r="AP25" s="108" t="n"/>
      <c r="AQ25" s="107">
        <f>AP25*100/$E$25</f>
        <v/>
      </c>
      <c r="AR25" s="108" t="n"/>
      <c r="AS25" s="107">
        <f>AR25*100/$E$25</f>
        <v/>
      </c>
      <c r="AT25" s="108" t="n"/>
      <c r="AU25" s="90">
        <f>AT25*100/$E$25</f>
        <v/>
      </c>
      <c r="AV25" s="108" t="n"/>
      <c r="AW25" s="107">
        <f>AV25*100/$E$25</f>
        <v/>
      </c>
      <c r="AX25" s="108" t="n"/>
      <c r="AY25" s="107">
        <f>AX25*100/$E$25</f>
        <v/>
      </c>
      <c r="AZ25" s="108" t="n"/>
      <c r="BA25" s="107">
        <f>AZ25*100/$E$25</f>
        <v/>
      </c>
      <c r="BB25" s="108" t="n"/>
      <c r="BC25" s="107">
        <f>BB25*100/$E$25</f>
        <v/>
      </c>
      <c r="BD25" s="108" t="n"/>
      <c r="BE25" s="107">
        <f>BD25*100/$E$25</f>
        <v/>
      </c>
      <c r="BF25" s="108" t="n"/>
      <c r="BG25" s="139">
        <f>BF25*100/$E$25</f>
        <v/>
      </c>
      <c r="BH25" s="108" t="n"/>
      <c r="BI25" s="107">
        <f>BH25*100/$E$25</f>
        <v/>
      </c>
      <c r="BJ25" s="108" t="n"/>
      <c r="BK25" s="107">
        <f>BJ25*100/$E$25</f>
        <v/>
      </c>
      <c r="BL25" s="108" t="n"/>
      <c r="BM25" s="107">
        <f>BL25*100/$E$25</f>
        <v/>
      </c>
      <c r="BN25" s="108" t="n"/>
      <c r="BO25" s="107">
        <f>BN25*100/$E$25</f>
        <v/>
      </c>
      <c r="BP25" s="108" t="n"/>
      <c r="BQ25" s="107">
        <f>BP25*100/$E$25</f>
        <v/>
      </c>
      <c r="BR25" s="108" t="n"/>
      <c r="BS25" s="107">
        <f>BR25*100/$E$25</f>
        <v/>
      </c>
      <c r="BT25" s="108" t="n"/>
      <c r="BU25" s="107">
        <f>BT25*100/$E$25</f>
        <v/>
      </c>
      <c r="BV25" s="108" t="n"/>
      <c r="BW25" s="107">
        <f>BV25*100/$E$25</f>
        <v/>
      </c>
      <c r="BX25" s="108" t="n"/>
      <c r="BY25" s="107">
        <f>BX25*100/$E$25</f>
        <v/>
      </c>
      <c r="BZ25" s="108" t="n"/>
      <c r="CA25" s="107">
        <f>BZ25*100/$E$25</f>
        <v/>
      </c>
      <c r="CB25" s="108" t="n"/>
      <c r="CC25" s="107">
        <f>CB25*100/$E$25</f>
        <v/>
      </c>
      <c r="CD25" s="108" t="n"/>
      <c r="CE25" s="139">
        <f>CD25*100/$E$25</f>
        <v/>
      </c>
      <c r="CF25" s="108" t="n"/>
      <c r="CG25" s="107">
        <f>CF25*100/$E$25</f>
        <v/>
      </c>
      <c r="CH25" s="108" t="n"/>
      <c r="CI25" s="107">
        <f>CH25*100/$E$25</f>
        <v/>
      </c>
      <c r="CJ25" s="108" t="n"/>
      <c r="CK25" s="107">
        <f>CJ25*100/$E$25</f>
        <v/>
      </c>
      <c r="CL25" s="108" t="n"/>
      <c r="CM25" s="107">
        <f>CL25*100/$E$25</f>
        <v/>
      </c>
      <c r="CN25" s="108" t="n"/>
      <c r="CO25" s="122">
        <f>CN25*100/$E$25</f>
        <v/>
      </c>
      <c r="CP25" s="108" t="n"/>
      <c r="CQ25" s="107">
        <f>CP25*100/$E$25</f>
        <v/>
      </c>
      <c r="CR25" s="108" t="n"/>
      <c r="CS25" s="122">
        <f>CR25*100/$E$25</f>
        <v/>
      </c>
      <c r="CT25" s="108" t="n"/>
      <c r="CU25" s="122">
        <f>CT25*100/$E$25</f>
        <v/>
      </c>
      <c r="CV25" s="108" t="n"/>
      <c r="CW25" s="122">
        <f>CV25*100/$E$25</f>
        <v/>
      </c>
      <c r="CX25" s="108" t="n"/>
      <c r="CY25" s="122">
        <f>CX25*100/$E$25</f>
        <v/>
      </c>
      <c r="CZ25" s="108" t="n"/>
      <c r="DA25" s="122">
        <f>CZ25*100/$E$25</f>
        <v/>
      </c>
      <c r="DB25" s="108" t="n"/>
      <c r="DC25" s="122">
        <f>DB25*100/$E$25</f>
        <v/>
      </c>
      <c r="DD25" s="108" t="n"/>
      <c r="DE25" s="122">
        <f>DD25*100/$E$25</f>
        <v/>
      </c>
      <c r="DF25" s="108" t="n"/>
      <c r="DG25" s="122">
        <f>DF25*100/$E$25</f>
        <v/>
      </c>
      <c r="DH25" s="108" t="n"/>
      <c r="DI25" s="122">
        <f>DH25*100/$E$25</f>
        <v/>
      </c>
      <c r="DJ25" s="108" t="n"/>
      <c r="DK25" s="122">
        <f>DJ25*100/$E$25</f>
        <v/>
      </c>
      <c r="DL25" s="108" t="n"/>
      <c r="DM25" s="122">
        <f>DL25*100/$E$25</f>
        <v/>
      </c>
      <c r="DN25" s="108" t="n"/>
      <c r="DO25" s="122">
        <f>DN25*100/$E$25</f>
        <v/>
      </c>
      <c r="DP25" s="108" t="n"/>
      <c r="DQ25" s="122">
        <f>DP25*100/$E$25</f>
        <v/>
      </c>
      <c r="DR25" s="108" t="n"/>
      <c r="DS25" s="139">
        <f>DR25*100/$E$25</f>
        <v/>
      </c>
      <c r="DT25" s="108" t="n"/>
      <c r="DU25" s="122">
        <f>DT25*100/$E$25</f>
        <v/>
      </c>
      <c r="DV25" s="108" t="n"/>
      <c r="DW25" s="122">
        <f>DV25*100/$E$25</f>
        <v/>
      </c>
      <c r="DX25" s="108" t="n"/>
      <c r="DY25" s="122">
        <f>DX25*100/$E$25</f>
        <v/>
      </c>
      <c r="DZ25" s="108" t="n"/>
      <c r="EA25" s="122">
        <f>DZ25*100/$E$25</f>
        <v/>
      </c>
      <c r="EB25" s="108" t="n"/>
      <c r="EC25" s="122">
        <f>EB25*100/$E$25</f>
        <v/>
      </c>
      <c r="ED25" s="108" t="n"/>
      <c r="EE25" s="122">
        <f>ED25*100/$E$25</f>
        <v/>
      </c>
      <c r="EF25" s="108" t="n"/>
      <c r="EG25" s="122">
        <f>EF25*100/$E$25</f>
        <v/>
      </c>
      <c r="EH25" s="108" t="n"/>
      <c r="EI25" s="139">
        <f>EH25*100/$E$25</f>
        <v/>
      </c>
      <c r="EJ25" s="108" t="n"/>
      <c r="EK25" s="139">
        <f>EJ25*100/$E$25</f>
        <v/>
      </c>
      <c r="EL25" s="108" t="n"/>
      <c r="EM25" s="139">
        <f>EL25*100/$E$25</f>
        <v/>
      </c>
      <c r="EN25" s="108" t="n"/>
      <c r="EO25" s="139">
        <f>EN25*100/$E$25</f>
        <v/>
      </c>
      <c r="EP25" s="108" t="n"/>
      <c r="EQ25" s="139">
        <f>EP25*100/$E$25</f>
        <v/>
      </c>
      <c r="ER25" s="108" t="n"/>
      <c r="ES25" s="139">
        <f>ER25*100/$E$25</f>
        <v/>
      </c>
      <c r="ET25" s="108" t="n"/>
      <c r="EU25" s="140">
        <f>ET25*100/$E$25</f>
        <v/>
      </c>
      <c r="EV25" s="108" t="n"/>
      <c r="EW25" s="122">
        <f>EV25*100/$E$25</f>
        <v/>
      </c>
      <c r="EX25" s="108" t="n"/>
      <c r="EY25" s="122">
        <f>EX25*100/$E$25</f>
        <v/>
      </c>
      <c r="EZ25" s="108" t="n"/>
      <c r="FA25" s="122">
        <f>EZ25*100/$E$25</f>
        <v/>
      </c>
      <c r="FB25" s="108" t="n"/>
      <c r="FC25" s="122">
        <f>FB25*100/$E$25</f>
        <v/>
      </c>
      <c r="FD25" s="108" t="n"/>
      <c r="FE25" s="122">
        <f>FD25*100/$E$25</f>
        <v/>
      </c>
      <c r="FF25" s="108" t="n"/>
      <c r="FG25" s="122">
        <f>FF25*100/$E$25</f>
        <v/>
      </c>
      <c r="FH25" s="108" t="n"/>
      <c r="FI25" s="122">
        <f>FH25*100/$E$25</f>
        <v/>
      </c>
      <c r="FJ25" s="108" t="n"/>
      <c r="FK25" s="122">
        <f>FJ25*100/$E$25</f>
        <v/>
      </c>
      <c r="FL25" s="108" t="n"/>
      <c r="FM25" s="122">
        <f>FL25*100/$E$25</f>
        <v/>
      </c>
      <c r="FN25" s="108" t="n"/>
      <c r="FO25" s="122">
        <f>FN25*100/$E$25</f>
        <v/>
      </c>
      <c r="FP25" s="108" t="n"/>
      <c r="FQ25" s="139">
        <f>FP25*100/$E$25</f>
        <v/>
      </c>
      <c r="FR25" s="108" t="n"/>
      <c r="FS25" s="139">
        <f>FR25*100/$E$25</f>
        <v/>
      </c>
      <c r="FT25" s="108" t="n"/>
      <c r="FU25" s="139">
        <f>FT25*100/$E$25</f>
        <v/>
      </c>
      <c r="FV25" s="108" t="n"/>
      <c r="FW25" s="139">
        <f>FV25*100/$E$25</f>
        <v/>
      </c>
      <c r="FX25" s="108" t="n"/>
      <c r="FY25" s="139">
        <f>FX25*100/$E$25</f>
        <v/>
      </c>
      <c r="FZ25" s="108" t="n"/>
      <c r="GA25" s="140">
        <f>FZ25*100/$E$25</f>
        <v/>
      </c>
      <c r="GB25" s="108" t="n"/>
      <c r="GC25" s="140">
        <f>GB25*100/$E$25</f>
        <v/>
      </c>
      <c r="GD25" s="108" t="n"/>
      <c r="GE25" s="139">
        <f>GD25*100/$E$25</f>
        <v/>
      </c>
      <c r="GF25" s="108" t="n"/>
      <c r="GG25" s="140">
        <f>GF25*100/$E$25</f>
        <v/>
      </c>
      <c r="GH25" s="108" t="n"/>
      <c r="GI25" s="139">
        <f>GH25*100/$E$25</f>
        <v/>
      </c>
      <c r="GJ25" s="108" t="n"/>
      <c r="GK25" s="122">
        <f>GJ25*100/$E$25</f>
        <v/>
      </c>
      <c r="GL25" s="108" t="n"/>
      <c r="GM25" s="139">
        <f>GL25*100/$E$25</f>
        <v/>
      </c>
      <c r="GN25" s="133" t="n"/>
      <c r="GO25" s="122">
        <f>GN25*100/$E$25</f>
        <v/>
      </c>
      <c r="GP25" s="133" t="n"/>
      <c r="GQ25" s="139">
        <f>GP25*100/$E$25</f>
        <v/>
      </c>
      <c r="GR25" s="133" t="n"/>
      <c r="GS25" s="122">
        <f>GR25*100/$E$25</f>
        <v/>
      </c>
      <c r="GT25" s="133" t="n"/>
      <c r="GU25" s="122">
        <f>GT25*100/$E$25</f>
        <v/>
      </c>
      <c r="GV25" s="133" t="n"/>
      <c r="GW25" s="139">
        <f>GV25*100/$E$25</f>
        <v/>
      </c>
      <c r="GX25" s="133" t="n"/>
      <c r="GY25" s="139">
        <f>GX25*100/$E$25</f>
        <v/>
      </c>
      <c r="GZ25" s="133" t="n"/>
      <c r="HA25" s="139">
        <f>GZ25*100/$E$25</f>
        <v/>
      </c>
      <c r="HB25" s="133" t="n"/>
      <c r="HC25" s="139">
        <f>HB25*100/$E$25</f>
        <v/>
      </c>
      <c r="HD25" s="133" t="n"/>
      <c r="HE25" s="139">
        <f>HD25*100/$E$25</f>
        <v/>
      </c>
      <c r="HF25" s="133" t="n"/>
      <c r="HG25" s="140">
        <f>HF25*100/$E$25</f>
        <v/>
      </c>
      <c r="HH25" s="133" t="n"/>
      <c r="HI25" s="140">
        <f>HH25*100/$E$25</f>
        <v/>
      </c>
      <c r="HJ25" s="133" t="n"/>
      <c r="HK25" s="139">
        <f>HJ25*100/$E$25</f>
        <v/>
      </c>
      <c r="HL25" s="133" t="n"/>
      <c r="HM25" s="140">
        <f>HL25*100/$E$25</f>
        <v/>
      </c>
      <c r="HN25" s="133" t="n"/>
      <c r="HO25" s="139">
        <f>HN25*100/$E$25</f>
        <v/>
      </c>
      <c r="HP25" s="133" t="n"/>
      <c r="HQ25" s="140">
        <f>HP25*100/$E$25</f>
        <v/>
      </c>
      <c r="HR25" s="133" t="n"/>
      <c r="HS25" s="139">
        <f>HR25*100/$E$25</f>
        <v/>
      </c>
      <c r="HT25" s="133" t="n"/>
      <c r="HU25" s="140">
        <f>HT25*100/$E$25</f>
        <v/>
      </c>
      <c r="HV25" s="133" t="n"/>
      <c r="HW25" s="139">
        <f>HV25*100/$E$25</f>
        <v/>
      </c>
      <c r="HX25" s="108" t="n"/>
      <c r="HY25" s="140">
        <f>HX25*100/$E$25</f>
        <v/>
      </c>
      <c r="HZ25" s="108" t="n"/>
      <c r="IA25" s="122">
        <f>HZ25*100/$E$25</f>
        <v/>
      </c>
      <c r="IB25" s="108" t="n"/>
      <c r="IC25" s="122">
        <f>IB25*100/$E$25</f>
        <v/>
      </c>
      <c r="ID25" s="133" t="n"/>
      <c r="IE25" s="122">
        <f>ID25*100/$E$25</f>
        <v/>
      </c>
      <c r="IF25" s="108" t="n"/>
      <c r="IG25" s="122">
        <f>IF25*100/$E$25</f>
        <v/>
      </c>
      <c r="IH25" s="108" t="n"/>
      <c r="II25" s="122">
        <f>IH25*100/$E$25</f>
        <v/>
      </c>
      <c r="IJ25" s="108" t="n"/>
      <c r="IK25" s="122">
        <f>IJ25*100/$E$25</f>
        <v/>
      </c>
      <c r="IL25" s="108" t="n"/>
      <c r="IM25" s="140">
        <f>IL25*100/$E$25</f>
        <v/>
      </c>
      <c r="IN25" s="108" t="n"/>
      <c r="IO25" s="140">
        <f>IN25*100/$E$25</f>
        <v/>
      </c>
      <c r="IP25" s="108" t="n"/>
      <c r="IQ25" s="122">
        <f>IP25*100/$E$25</f>
        <v/>
      </c>
      <c r="IR25" s="108" t="n"/>
      <c r="IS25" s="122">
        <f>IR25*100/$E$25</f>
        <v/>
      </c>
      <c r="IT25" s="108" t="n"/>
      <c r="IU25" s="122">
        <f>IT25*100/$E$25</f>
        <v/>
      </c>
      <c r="IV25" s="133" t="n"/>
      <c r="IW25" s="122">
        <f>IV25*100/$E$25</f>
        <v/>
      </c>
      <c r="IX25" s="133" t="n"/>
      <c r="IY25" s="122">
        <f>IX25*100/$E$25</f>
        <v/>
      </c>
      <c r="IZ25" s="133" t="n"/>
      <c r="JA25" s="122">
        <f>IZ25*100/$E$25</f>
        <v/>
      </c>
      <c r="JB25" s="108" t="n"/>
      <c r="JC25" s="122">
        <f>JB25*100/$E$25</f>
        <v/>
      </c>
      <c r="JD25" s="108" t="n"/>
      <c r="JE25" s="122">
        <f>JD25*100/$E$25</f>
        <v/>
      </c>
      <c r="JF25" s="133" t="n"/>
      <c r="JG25" s="139">
        <f>JF25*100/$E$25</f>
        <v/>
      </c>
      <c r="JH25" s="133" t="n"/>
      <c r="JI25" s="122">
        <f>JH25*100/$E$25</f>
        <v/>
      </c>
      <c r="JJ25" s="133" t="n"/>
      <c r="JK25" s="139">
        <f>JJ25*100/$E$25</f>
        <v/>
      </c>
      <c r="JL25" s="108" t="n">
        <v>16</v>
      </c>
      <c r="JM25" s="122">
        <f>JL25*100/$E$25</f>
        <v/>
      </c>
      <c r="JN25" s="108" t="n"/>
      <c r="JO25" s="122">
        <f>JN25*100/$E$25</f>
        <v/>
      </c>
      <c r="JP25" s="108" t="n">
        <v>120</v>
      </c>
      <c r="JQ25" s="122">
        <f>JP25*100/$E$25</f>
        <v/>
      </c>
      <c r="JR25" s="108" t="n"/>
      <c r="JS25" s="122">
        <f>JR25*100/$E$25</f>
        <v/>
      </c>
      <c r="JT25" s="108" t="n"/>
      <c r="JU25" s="122">
        <f>JT25*100/$E$25</f>
        <v/>
      </c>
      <c r="JV25" s="108" t="n"/>
      <c r="JW25" s="122">
        <f>JV25*100/$E$25</f>
        <v/>
      </c>
      <c r="JX25" s="108" t="n"/>
      <c r="JY25" s="122">
        <f>JX25*100/$E$25</f>
        <v/>
      </c>
      <c r="JZ25" s="55">
        <f>JN25+JP25+JR25+JT25+JV25+JX25</f>
        <v/>
      </c>
      <c r="KA25" s="53">
        <f>JO25+JQ25+JS25+JU25+JW25+JY25</f>
        <v/>
      </c>
      <c r="KB25" s="185">
        <f>H25+J25+L25+N25+P25+R25+T25+V25+X25+Z25+AB25+AD25+AF25+AH25+AJ25+AL25+AN25+AP25+AR25+AT25+AV25+AX25+AZ25+BB25+BD25+BF25+BH25+BJ25+BL25+BN25+BP25+BR25+BT25+BV25+BX25+BZ25+CB25+CD25+CF25+CH25+CZ25+DB25+DD25+DF25+DH25+DJ25+DL25+DN25+DP25+DR25+DT25+DV25+DX25+DZ25+EB25+ED25+EF25+EH25+EJ25+EL25+EN25+EP25+ER25+ET25+EV25+FN25+FP25+FR25+FT25+FV25+FX25+FZ25+GB25+GD25+GF25+GH25+GJ25+GL25+GN25+GP25+GR25+GT25+GV25+GX25+GZ25+HB25+HD25+HF25+HH25+HJ25+HL25+HN25+HP25+HR25+HT25+HV25+HX25+HZ25+IB25+ID25+IF25+IH25+IJ25+IL25+IN25+IP25+IR25+IT25+IV25+IX25+IZ25+JB25+JD25+JF25+JH25+JJ25+JL25+JZ25+CJ25+CL25+CN25+CP25+CR25+CT25+CV25+CX25+EX25+EZ25+FB25+FD25+FF25+FH25+FJ25+FL25</f>
        <v/>
      </c>
      <c r="KC25" s="66">
        <f>I25+K25+M25+O25+Q25+S25+U25+W25+Y25+AA25+AC25+AE25+AG25+AI25+AK25+AM25+AO25+AQ25+AS25+AU25+AW25+AY25+BA25+BC25+BE25+BG25+BI25+BK25+BM25+BO25+BQ25+BS25+BU25+BW25+BY25+CA25+CC25+CE25+CG25+CI25+DA25+DC25+DE25+DG25+DI25+DK25+DM25+DO25+DQ25+DS25+DU25+DW25+DY25+EA25+EC25+EE25+EG25+EI25+EK25+EM25+EO25+EQ25+ES25+EU25+EW25+FO25+FS25+FU25+FW25+FQ25+FY25+GA25+GC25+GE25+GG25+GI25+GK25+GM25+GO25+GQ25+GS25+GU25+GW25+GY25+HA25+HC25+HE25+HG25+HI25+HK25+HM25+HO25+HQ25+HS25+HU25+HW25+HY25+IA25+IC25+IE25+IG25+II25+IK25+IM25+IO25+IQ25+IS25+IU25+IW25+IY25+JA25+JC25+JE25+JG25+JI25+JK25+JM25+KA25+CK25+CM25+CO25+CQ25+CS25+CU25+CW25+CY25+EY25+FA25+FC25+FE25+FG25+FI25+FK25+FM25</f>
        <v/>
      </c>
      <c r="KD25" s="44">
        <f>JO25+JQ25+JS25+JU25+JW25+JY25</f>
        <v/>
      </c>
      <c r="KE25" s="46">
        <f>KB25=E25</f>
        <v/>
      </c>
      <c r="KF25" s="101">
        <f>E25-KB25</f>
        <v/>
      </c>
      <c r="KG25" s="138" t="n"/>
    </row>
    <row r="26" ht="21.75" customFormat="1" customHeight="1" s="15">
      <c r="A26" s="126">
        <f>A25+1</f>
        <v/>
      </c>
      <c r="B26" s="175" t="inlineStr">
        <is>
          <t>Корюков А.А.</t>
        </is>
      </c>
      <c r="C26" s="176" t="inlineStr">
        <is>
          <t>токарь</t>
        </is>
      </c>
      <c r="D26" s="177">
        <f>$D$5</f>
        <v/>
      </c>
      <c r="E26" s="202" t="n">
        <v>168</v>
      </c>
      <c r="F26" s="193" t="n">
        <v>126438.55</v>
      </c>
      <c r="G26" s="179">
        <f>F26/D26</f>
        <v/>
      </c>
      <c r="H26" s="125" t="n"/>
      <c r="I26" s="107">
        <f>H26*100/$E$26</f>
        <v/>
      </c>
      <c r="J26" s="108" t="n"/>
      <c r="K26" s="107">
        <f>J26*100/$E$26</f>
        <v/>
      </c>
      <c r="L26" s="108" t="n"/>
      <c r="M26" s="107">
        <f>L26*100/$E$26</f>
        <v/>
      </c>
      <c r="N26" s="108" t="n"/>
      <c r="O26" s="107">
        <f>N26*100/$E$26</f>
        <v/>
      </c>
      <c r="P26" s="108" t="n"/>
      <c r="Q26" s="122">
        <f>P26*100/$E$26</f>
        <v/>
      </c>
      <c r="R26" s="108" t="n"/>
      <c r="S26" s="122">
        <f>R26*100/$E$26</f>
        <v/>
      </c>
      <c r="T26" s="108" t="n"/>
      <c r="U26" s="107">
        <f>T26*100/$E$26</f>
        <v/>
      </c>
      <c r="V26" s="108" t="n"/>
      <c r="W26" s="107">
        <f>V26*100/$E$26</f>
        <v/>
      </c>
      <c r="X26" s="108" t="n"/>
      <c r="Y26" s="107">
        <f>X26*100/$E$26</f>
        <v/>
      </c>
      <c r="Z26" s="108" t="n"/>
      <c r="AA26" s="107">
        <f>Z26*100/$E$26</f>
        <v/>
      </c>
      <c r="AB26" s="108" t="n"/>
      <c r="AC26" s="107">
        <f>AB26*100/$E$26</f>
        <v/>
      </c>
      <c r="AD26" s="108" t="n"/>
      <c r="AE26" s="122">
        <f>AD26*100/$E$26</f>
        <v/>
      </c>
      <c r="AF26" s="108" t="n">
        <v>6</v>
      </c>
      <c r="AG26" s="122">
        <f>AF26*100/$E$26</f>
        <v/>
      </c>
      <c r="AH26" s="108" t="n"/>
      <c r="AI26" s="107">
        <f>AH26*100/$E$26</f>
        <v/>
      </c>
      <c r="AJ26" s="108" t="n"/>
      <c r="AK26" s="107">
        <f>AJ26*100/$E$26</f>
        <v/>
      </c>
      <c r="AL26" s="108" t="n"/>
      <c r="AM26" s="107">
        <f>AL26*100/$E$26</f>
        <v/>
      </c>
      <c r="AN26" s="108" t="n">
        <v>48</v>
      </c>
      <c r="AO26" s="107">
        <f>AN26*100/$E$26</f>
        <v/>
      </c>
      <c r="AP26" s="108" t="n"/>
      <c r="AQ26" s="107">
        <f>AP26*100/$E$26</f>
        <v/>
      </c>
      <c r="AR26" s="108" t="n"/>
      <c r="AS26" s="107">
        <f>AR26*100/$E$26</f>
        <v/>
      </c>
      <c r="AT26" s="108" t="n"/>
      <c r="AU26" s="90">
        <f>AT26*100/$E$26</f>
        <v/>
      </c>
      <c r="AV26" s="108" t="n">
        <v>12</v>
      </c>
      <c r="AW26" s="107">
        <f>AV26*100/$E$26</f>
        <v/>
      </c>
      <c r="AX26" s="108" t="n"/>
      <c r="AY26" s="107">
        <f>AX26*100/$E$26</f>
        <v/>
      </c>
      <c r="AZ26" s="108" t="n"/>
      <c r="BA26" s="107">
        <f>AZ26*100/$E$26</f>
        <v/>
      </c>
      <c r="BB26" s="108" t="n"/>
      <c r="BC26" s="107">
        <f>BB26*100/$E$26</f>
        <v/>
      </c>
      <c r="BD26" s="108" t="n"/>
      <c r="BE26" s="107">
        <f>BD26*100/$E$26</f>
        <v/>
      </c>
      <c r="BF26" s="108" t="n"/>
      <c r="BG26" s="107">
        <f>BF26*100/$E$26</f>
        <v/>
      </c>
      <c r="BH26" s="108" t="n"/>
      <c r="BI26" s="107">
        <f>BH26*100/$E$26</f>
        <v/>
      </c>
      <c r="BJ26" s="108" t="n"/>
      <c r="BK26" s="107">
        <f>BJ26*100/$E$26</f>
        <v/>
      </c>
      <c r="BL26" s="108" t="n"/>
      <c r="BM26" s="107">
        <f>BL26*100/$E$26</f>
        <v/>
      </c>
      <c r="BN26" s="108" t="n"/>
      <c r="BO26" s="107">
        <f>BN26*100/$E$26</f>
        <v/>
      </c>
      <c r="BP26" s="108" t="n"/>
      <c r="BQ26" s="107">
        <f>BP26*100/$E$26</f>
        <v/>
      </c>
      <c r="BR26" s="108" t="n"/>
      <c r="BS26" s="107">
        <f>BR26*100/$E$26</f>
        <v/>
      </c>
      <c r="BT26" s="108" t="n"/>
      <c r="BU26" s="107">
        <f>BT26*100/$E$26</f>
        <v/>
      </c>
      <c r="BV26" s="108" t="n"/>
      <c r="BW26" s="107">
        <f>BV26*100/$E$26</f>
        <v/>
      </c>
      <c r="BX26" s="108" t="n"/>
      <c r="BY26" s="107">
        <f>BX26*100/$E$26</f>
        <v/>
      </c>
      <c r="BZ26" s="108" t="n"/>
      <c r="CA26" s="107">
        <f>BZ26*100/$E$26</f>
        <v/>
      </c>
      <c r="CB26" s="108" t="n"/>
      <c r="CC26" s="107">
        <f>CB26*100/$E$26</f>
        <v/>
      </c>
      <c r="CD26" s="108" t="n"/>
      <c r="CE26" s="107">
        <f>CD26*100/$E$26</f>
        <v/>
      </c>
      <c r="CF26" s="108" t="n"/>
      <c r="CG26" s="107">
        <f>CF26*100/$E$26</f>
        <v/>
      </c>
      <c r="CH26" s="108" t="n">
        <v>30</v>
      </c>
      <c r="CI26" s="107">
        <f>CH26*100/$E$26</f>
        <v/>
      </c>
      <c r="CJ26" s="108" t="n"/>
      <c r="CK26" s="107">
        <f>CJ26*100/$E$26</f>
        <v/>
      </c>
      <c r="CL26" s="108" t="n"/>
      <c r="CM26" s="107">
        <f>CL26*100/$E$26</f>
        <v/>
      </c>
      <c r="CN26" s="108" t="n"/>
      <c r="CO26" s="122">
        <f>CN26*100/$E$26</f>
        <v/>
      </c>
      <c r="CP26" s="108" t="n"/>
      <c r="CQ26" s="107">
        <f>CP26*100/$E$26</f>
        <v/>
      </c>
      <c r="CR26" s="108" t="n"/>
      <c r="CS26" s="122">
        <f>CR26*100/$E$26</f>
        <v/>
      </c>
      <c r="CT26" s="108" t="n"/>
      <c r="CU26" s="122">
        <f>CT26*100/$E$26</f>
        <v/>
      </c>
      <c r="CV26" s="108" t="n"/>
      <c r="CW26" s="122">
        <f>CV26*100/$E$26</f>
        <v/>
      </c>
      <c r="CX26" s="108" t="n"/>
      <c r="CY26" s="122">
        <f>CX26*100/$E$26</f>
        <v/>
      </c>
      <c r="CZ26" s="108" t="n"/>
      <c r="DA26" s="122">
        <f>CZ26*100/$E$26</f>
        <v/>
      </c>
      <c r="DB26" s="108" t="n"/>
      <c r="DC26" s="122">
        <f>DB26*100/$E$26</f>
        <v/>
      </c>
      <c r="DD26" s="108" t="n"/>
      <c r="DE26" s="122">
        <f>DD26*100/$E$26</f>
        <v/>
      </c>
      <c r="DF26" s="108" t="n">
        <v>6</v>
      </c>
      <c r="DG26" s="122">
        <f>DF26*100/$E$26</f>
        <v/>
      </c>
      <c r="DH26" s="108" t="n"/>
      <c r="DI26" s="122">
        <f>DH26*100/$E$26</f>
        <v/>
      </c>
      <c r="DJ26" s="108" t="n"/>
      <c r="DK26" s="122">
        <f>DJ26*100/$E$26</f>
        <v/>
      </c>
      <c r="DL26" s="108" t="n"/>
      <c r="DM26" s="122">
        <f>DL26*100/$E$26</f>
        <v/>
      </c>
      <c r="DN26" s="108" t="n"/>
      <c r="DO26" s="122">
        <f>DN26*100/$E$26</f>
        <v/>
      </c>
      <c r="DP26" s="108" t="n"/>
      <c r="DQ26" s="122">
        <f>DP26*100/$E$26</f>
        <v/>
      </c>
      <c r="DR26" s="108" t="n"/>
      <c r="DS26" s="122">
        <f>DR26*100/$E$26</f>
        <v/>
      </c>
      <c r="DT26" s="108" t="n"/>
      <c r="DU26" s="122">
        <f>DT26*100/$E$26</f>
        <v/>
      </c>
      <c r="DV26" s="108" t="n"/>
      <c r="DW26" s="122">
        <f>DV26*100/$E$26</f>
        <v/>
      </c>
      <c r="DX26" s="108" t="n"/>
      <c r="DY26" s="122">
        <f>DX26*100/$E$26</f>
        <v/>
      </c>
      <c r="DZ26" s="108" t="n"/>
      <c r="EA26" s="122">
        <f>DZ26*100/$E$26</f>
        <v/>
      </c>
      <c r="EB26" s="108" t="n"/>
      <c r="EC26" s="122">
        <f>EB26*100/$E$26</f>
        <v/>
      </c>
      <c r="ED26" s="108" t="n">
        <v>24</v>
      </c>
      <c r="EE26" s="122">
        <f>ED26*100/$E$26</f>
        <v/>
      </c>
      <c r="EF26" s="108" t="n"/>
      <c r="EG26" s="122">
        <f>EF26*100/$E$26</f>
        <v/>
      </c>
      <c r="EH26" s="108" t="n"/>
      <c r="EI26" s="122">
        <f>EH26*100/$E$26</f>
        <v/>
      </c>
      <c r="EJ26" s="108" t="n"/>
      <c r="EK26" s="122">
        <f>EJ26*100/$E$26</f>
        <v/>
      </c>
      <c r="EL26" s="108" t="n"/>
      <c r="EM26" s="122">
        <f>EL26*100/$E$26</f>
        <v/>
      </c>
      <c r="EN26" s="108" t="n"/>
      <c r="EO26" s="122">
        <f>EN26*100/$E$26</f>
        <v/>
      </c>
      <c r="EP26" s="108" t="n">
        <v>24</v>
      </c>
      <c r="EQ26" s="122">
        <f>EP26*100/$E$26</f>
        <v/>
      </c>
      <c r="ER26" s="108" t="n">
        <v>18</v>
      </c>
      <c r="ES26" s="122">
        <f>ER26*100/$E$26</f>
        <v/>
      </c>
      <c r="ET26" s="108" t="n"/>
      <c r="EU26" s="122">
        <f>ET26*100/$E$26</f>
        <v/>
      </c>
      <c r="EV26" s="108" t="n"/>
      <c r="EW26" s="122">
        <f>EV26*100/$E$26</f>
        <v/>
      </c>
      <c r="EX26" s="108" t="n"/>
      <c r="EY26" s="122">
        <f>EX26*100/$E$26</f>
        <v/>
      </c>
      <c r="EZ26" s="108" t="n"/>
      <c r="FA26" s="122">
        <f>EZ26*100/$E$26</f>
        <v/>
      </c>
      <c r="FB26" s="108" t="n"/>
      <c r="FC26" s="122">
        <f>FB26*100/$E$26</f>
        <v/>
      </c>
      <c r="FD26" s="108" t="n"/>
      <c r="FE26" s="122">
        <f>FD26*100/$E$26</f>
        <v/>
      </c>
      <c r="FF26" s="108" t="n"/>
      <c r="FG26" s="122">
        <f>FF26*100/$E$26</f>
        <v/>
      </c>
      <c r="FH26" s="108" t="n"/>
      <c r="FI26" s="122">
        <f>FH26*100/$E$26</f>
        <v/>
      </c>
      <c r="FJ26" s="108" t="n"/>
      <c r="FK26" s="122">
        <f>FJ26*100/$E$26</f>
        <v/>
      </c>
      <c r="FL26" s="108" t="n"/>
      <c r="FM26" s="122">
        <f>FL26*100/$E$26</f>
        <v/>
      </c>
      <c r="FN26" s="108" t="n"/>
      <c r="FO26" s="122">
        <f>FN26*100/$E$26</f>
        <v/>
      </c>
      <c r="FP26" s="108" t="n"/>
      <c r="FQ26" s="122">
        <f>FP26*100/$E$26</f>
        <v/>
      </c>
      <c r="FR26" s="108" t="n"/>
      <c r="FS26" s="122">
        <f>FR26*100/$E$26</f>
        <v/>
      </c>
      <c r="FT26" s="108" t="n"/>
      <c r="FU26" s="122">
        <f>FT26*100/$E$26</f>
        <v/>
      </c>
      <c r="FV26" s="108" t="n"/>
      <c r="FW26" s="122">
        <f>FV26*100/$E$26</f>
        <v/>
      </c>
      <c r="FX26" s="108" t="n"/>
      <c r="FY26" s="107">
        <f>FX26*100/$E$26</f>
        <v/>
      </c>
      <c r="FZ26" s="108" t="n"/>
      <c r="GA26" s="107">
        <f>FZ26*100/$E$26</f>
        <v/>
      </c>
      <c r="GB26" s="108" t="n"/>
      <c r="GC26" s="107">
        <f>GB26*100/$E$26</f>
        <v/>
      </c>
      <c r="GD26" s="108" t="n"/>
      <c r="GE26" s="107">
        <f>GD26*100/$E$26</f>
        <v/>
      </c>
      <c r="GF26" s="108" t="n"/>
      <c r="GG26" s="107">
        <f>GF26*100/$E$26</f>
        <v/>
      </c>
      <c r="GH26" s="108" t="n"/>
      <c r="GI26" s="107">
        <f>GH26*100/$E$26</f>
        <v/>
      </c>
      <c r="GJ26" s="108" t="n"/>
      <c r="GK26" s="122">
        <f>GJ26*100/$E$26</f>
        <v/>
      </c>
      <c r="GL26" s="108" t="n"/>
      <c r="GM26" s="107">
        <f>GL26*100/$E$26</f>
        <v/>
      </c>
      <c r="GN26" s="108" t="n"/>
      <c r="GO26" s="122">
        <f>GN26*100/$E$26</f>
        <v/>
      </c>
      <c r="GP26" s="108" t="n"/>
      <c r="GQ26" s="107">
        <f>GP26*100/$E$26</f>
        <v/>
      </c>
      <c r="GR26" s="108" t="n"/>
      <c r="GS26" s="122">
        <f>GR26*100/$E$26</f>
        <v/>
      </c>
      <c r="GT26" s="108" t="n"/>
      <c r="GU26" s="122">
        <f>GT26*100/$E$26</f>
        <v/>
      </c>
      <c r="GV26" s="108" t="n"/>
      <c r="GW26" s="122">
        <f>GV26*100/$E$26</f>
        <v/>
      </c>
      <c r="GX26" s="108" t="n"/>
      <c r="GY26" s="107">
        <f>GX26*100/$E$26</f>
        <v/>
      </c>
      <c r="GZ26" s="108" t="n"/>
      <c r="HA26" s="107">
        <f>GZ26*100/$E$26</f>
        <v/>
      </c>
      <c r="HB26" s="108" t="n"/>
      <c r="HC26" s="107">
        <f>HB26*100/$E$26</f>
        <v/>
      </c>
      <c r="HD26" s="108" t="n"/>
      <c r="HE26" s="107">
        <f>HD26*100/$E$26</f>
        <v/>
      </c>
      <c r="HF26" s="108" t="n"/>
      <c r="HG26" s="107">
        <f>HF26*100/$E$26</f>
        <v/>
      </c>
      <c r="HH26" s="108" t="n"/>
      <c r="HI26" s="107">
        <f>HH26*100/$E$26</f>
        <v/>
      </c>
      <c r="HJ26" s="108" t="n"/>
      <c r="HK26" s="107">
        <f>HJ26*100/$E$26</f>
        <v/>
      </c>
      <c r="HL26" s="108" t="n"/>
      <c r="HM26" s="107">
        <f>HL26*100/$E$26</f>
        <v/>
      </c>
      <c r="HN26" s="108" t="n"/>
      <c r="HO26" s="107">
        <f>HN26*100/$E$26</f>
        <v/>
      </c>
      <c r="HP26" s="108" t="n"/>
      <c r="HQ26" s="107">
        <f>HP26*100/$E$26</f>
        <v/>
      </c>
      <c r="HR26" s="108" t="n"/>
      <c r="HS26" s="107">
        <f>HR26*100/$E$26</f>
        <v/>
      </c>
      <c r="HT26" s="108" t="n"/>
      <c r="HU26" s="107">
        <f>HT26*100/$E$26</f>
        <v/>
      </c>
      <c r="HV26" s="108" t="n"/>
      <c r="HW26" s="107">
        <f>HV26*100/$E$26</f>
        <v/>
      </c>
      <c r="HX26" s="108" t="n"/>
      <c r="HY26" s="107">
        <f>HX26*100/$E$26</f>
        <v/>
      </c>
      <c r="HZ26" s="108" t="n"/>
      <c r="IA26" s="122">
        <f>HZ26*100/$E$26</f>
        <v/>
      </c>
      <c r="IB26" s="108" t="n"/>
      <c r="IC26" s="122">
        <f>IB26*100/$E$26</f>
        <v/>
      </c>
      <c r="ID26" s="108" t="n"/>
      <c r="IE26" s="122">
        <f>ID26*100/$E$26</f>
        <v/>
      </c>
      <c r="IF26" s="108" t="n"/>
      <c r="IG26" s="122">
        <f>IF26*100/$E$26</f>
        <v/>
      </c>
      <c r="IH26" s="108" t="n"/>
      <c r="II26" s="122">
        <f>IH26*100/$E$26</f>
        <v/>
      </c>
      <c r="IJ26" s="108" t="n"/>
      <c r="IK26" s="122">
        <f>IJ26*100/$E$26</f>
        <v/>
      </c>
      <c r="IL26" s="108" t="n"/>
      <c r="IM26" s="107">
        <f>IL26*100/$E$26</f>
        <v/>
      </c>
      <c r="IN26" s="108" t="n"/>
      <c r="IO26" s="107">
        <f>IN26*100/$E$26</f>
        <v/>
      </c>
      <c r="IP26" s="108" t="n"/>
      <c r="IQ26" s="122">
        <f>IP26*100/$E$26</f>
        <v/>
      </c>
      <c r="IR26" s="108" t="n"/>
      <c r="IS26" s="122">
        <f>IR26*100/$E$26</f>
        <v/>
      </c>
      <c r="IT26" s="108" t="n"/>
      <c r="IU26" s="122">
        <f>IT26*100/$E$26</f>
        <v/>
      </c>
      <c r="IV26" s="108" t="n"/>
      <c r="IW26" s="122">
        <f>IV26*100/$E$26</f>
        <v/>
      </c>
      <c r="IX26" s="108" t="n"/>
      <c r="IY26" s="122">
        <f>IX26*100/$E$26</f>
        <v/>
      </c>
      <c r="IZ26" s="108" t="n"/>
      <c r="JA26" s="122">
        <f>IZ26*100/$E$26</f>
        <v/>
      </c>
      <c r="JB26" s="108" t="n"/>
      <c r="JC26" s="122">
        <f>JB26*100/$E$26</f>
        <v/>
      </c>
      <c r="JD26" s="108" t="n"/>
      <c r="JE26" s="122">
        <f>JD26*100/$E$26</f>
        <v/>
      </c>
      <c r="JF26" s="108" t="n"/>
      <c r="JG26" s="122">
        <f>JF26*100/$E$26</f>
        <v/>
      </c>
      <c r="JH26" s="108" t="n"/>
      <c r="JI26" s="122">
        <f>JH26*100/$E$26</f>
        <v/>
      </c>
      <c r="JJ26" s="108" t="n"/>
      <c r="JK26" s="122">
        <f>JJ26*100/$E$26</f>
        <v/>
      </c>
      <c r="JL26" s="108" t="n"/>
      <c r="JM26" s="122">
        <f>JL26*100/$E$26</f>
        <v/>
      </c>
      <c r="JN26" s="108" t="n"/>
      <c r="JO26" s="121">
        <f>JN26*100/$E$26</f>
        <v/>
      </c>
      <c r="JP26" s="108" t="n"/>
      <c r="JQ26" s="121">
        <f>JP26*100/$E$26</f>
        <v/>
      </c>
      <c r="JR26" s="108" t="n"/>
      <c r="JS26" s="121">
        <f>JR26*100/$E$26</f>
        <v/>
      </c>
      <c r="JT26" s="108" t="n"/>
      <c r="JU26" s="121">
        <f>JT26*100/$E$26</f>
        <v/>
      </c>
      <c r="JV26" s="108" t="n"/>
      <c r="JW26" s="121">
        <f>JV26*100/$E$26</f>
        <v/>
      </c>
      <c r="JX26" s="108" t="n"/>
      <c r="JY26" s="121">
        <f>JX26*100/$E$26</f>
        <v/>
      </c>
      <c r="JZ26" s="55">
        <f>JN26+JP26+JR26+JT26+JV26+JX26</f>
        <v/>
      </c>
      <c r="KA26" s="53">
        <f>JO26+JQ26+JS26+JU26+JW26+JY26</f>
        <v/>
      </c>
      <c r="KB26" s="185">
        <f>H26+J26+L26+N26+P26+R26+T26+V26+X26+Z26+AB26+AD26+AF26+AH26+AJ26+AL26+AN26+AP26+AR26+AT26+AV26+AX26+AZ26+BB26+BD26+BF26+BH26+BJ26+BL26+BN26+BP26+BR26+BT26+BV26+BX26+BZ26+CB26+CD26+CF26+CH26+CZ26+DB26+DD26+DF26+DH26+DJ26+DL26+DN26+DP26+DR26+DT26+DV26+DX26+DZ26+EB26+ED26+EF26+EH26+EJ26+EL26+EN26+EP26+ER26+ET26+EV26+FN26+FP26+FR26+FT26+FV26+FX26+FZ26+GB26+GD26+GF26+GH26+GJ26+GL26+GN26+GP26+GR26+GT26+GV26+GX26+GZ26+HB26+HD26+HF26+HH26+HJ26+HL26+HN26+HP26+HR26+HT26+HV26+HX26+HZ26+IB26+ID26+IF26+IH26+IJ26+IL26+IN26+IP26+IR26+IT26+IV26+IX26+IZ26+JB26+JD26+JF26+JH26+JJ26+JL26+JZ26+CJ26+CL26+CN26+CP26+CR26+CT26+CV26+CX26+EX26+EZ26+FB26+FD26+FF26+FH26+FJ26+FL26</f>
        <v/>
      </c>
      <c r="KC26" s="66">
        <f>I26+K26+M26+O26+Q26+S26+U26+W26+Y26+AA26+AC26+AE26+AG26+AI26+AK26+AM26+AO26+AQ26+AS26+AU26+AW26+AY26+BA26+BC26+BE26+BG26+BI26+BK26+BM26+BO26+BQ26+BS26+BU26+BW26+BY26+CA26+CC26+CE26+CG26+CI26+DA26+DC26+DE26+DG26+DI26+DK26+DM26+DO26+DQ26+DS26+DU26+DW26+DY26+EA26+EC26+EE26+EG26+EI26+EK26+EM26+EO26+EQ26+ES26+EU26+EW26+FO26+FS26+FU26+FW26+FQ26+FY26+GA26+GC26+GE26+GG26+GI26+GK26+GM26+GO26+GQ26+GS26+GU26+GW26+GY26+HA26+HC26+HE26+HG26+HI26+HK26+HM26+HO26+HQ26+HS26+HU26+HW26+HY26+IA26+IC26+IE26+IG26+II26+IK26+IM26+IO26+IQ26+IS26+IU26+IW26+IY26+JA26+JC26+JE26+JG26+JI26+JK26+JM26+KA26+CK26+CM26+CO26+CQ26+CS26+CU26+CW26+CY26+EY26+FA26+FC26+FE26+FG26+FI26+FK26+FM26</f>
        <v/>
      </c>
      <c r="KD26" s="44">
        <f>JO26+JQ26+JS26+JU26+JW26+JY26</f>
        <v/>
      </c>
      <c r="KE26" s="45">
        <f>KB26=E26</f>
        <v/>
      </c>
      <c r="KF26" s="101">
        <f>E26-KB26</f>
        <v/>
      </c>
      <c r="KG26" s="21" t="n"/>
    </row>
    <row r="27" ht="21.75" customFormat="1" customHeight="1" s="22">
      <c r="A27" s="126">
        <f>A26+1</f>
        <v/>
      </c>
      <c r="B27" s="175" t="inlineStr">
        <is>
          <t>Кузнецов И.Р.</t>
        </is>
      </c>
      <c r="C27" s="194" t="inlineStr">
        <is>
          <t>слесарь</t>
        </is>
      </c>
      <c r="D27" s="177">
        <f>$D$5</f>
        <v/>
      </c>
      <c r="E27" s="202" t="n">
        <v>24</v>
      </c>
      <c r="F27" s="193" t="n">
        <v>68902.87</v>
      </c>
      <c r="G27" s="179">
        <f>F27/D27</f>
        <v/>
      </c>
      <c r="H27" s="125" t="n"/>
      <c r="I27" s="107">
        <f>H27*100/$E$27</f>
        <v/>
      </c>
      <c r="J27" s="108" t="n"/>
      <c r="K27" s="107">
        <f>J27*100/$E$27</f>
        <v/>
      </c>
      <c r="L27" s="108" t="n"/>
      <c r="M27" s="107">
        <f>L27*100/$E$27</f>
        <v/>
      </c>
      <c r="N27" s="108" t="n"/>
      <c r="O27" s="107">
        <f>N27*100/$E$27</f>
        <v/>
      </c>
      <c r="P27" s="108" t="n"/>
      <c r="Q27" s="122">
        <f>P27*100/$E$27</f>
        <v/>
      </c>
      <c r="R27" s="108" t="n"/>
      <c r="S27" s="122">
        <f>R27*100/$E$27</f>
        <v/>
      </c>
      <c r="T27" s="108" t="n"/>
      <c r="U27" s="107">
        <f>T27*100/$E$27</f>
        <v/>
      </c>
      <c r="V27" s="108" t="n"/>
      <c r="W27" s="107">
        <f>V27*100/$E$27</f>
        <v/>
      </c>
      <c r="X27" s="108" t="n"/>
      <c r="Y27" s="107">
        <f>X27*100/$E$27</f>
        <v/>
      </c>
      <c r="Z27" s="108" t="n"/>
      <c r="AA27" s="107">
        <f>Z27*100/$E$27</f>
        <v/>
      </c>
      <c r="AB27" s="108" t="n"/>
      <c r="AC27" s="107">
        <f>AB27*100/$E$27</f>
        <v/>
      </c>
      <c r="AD27" s="108" t="n"/>
      <c r="AE27" s="122">
        <f>AD27*100/$E$27</f>
        <v/>
      </c>
      <c r="AF27" s="108" t="n"/>
      <c r="AG27" s="122">
        <f>AF27*100/$E$27</f>
        <v/>
      </c>
      <c r="AH27" s="108" t="n"/>
      <c r="AI27" s="107">
        <f>AH27*100/$E$27</f>
        <v/>
      </c>
      <c r="AJ27" s="108" t="n"/>
      <c r="AK27" s="107">
        <f>AJ27*100/$E$27</f>
        <v/>
      </c>
      <c r="AL27" s="108" t="n"/>
      <c r="AM27" s="107">
        <f>AL27*100/$E$27</f>
        <v/>
      </c>
      <c r="AN27" s="108" t="n"/>
      <c r="AO27" s="107">
        <f>AN27*100/$E$27</f>
        <v/>
      </c>
      <c r="AP27" s="108" t="n"/>
      <c r="AQ27" s="107">
        <f>AP27*100/$E$27</f>
        <v/>
      </c>
      <c r="AR27" s="108" t="n">
        <v>11.5</v>
      </c>
      <c r="AS27" s="107">
        <f>AR27*100/$E$27</f>
        <v/>
      </c>
      <c r="AT27" s="108" t="n">
        <v>2</v>
      </c>
      <c r="AU27" s="90">
        <f>AT27*100/$E$27</f>
        <v/>
      </c>
      <c r="AV27" s="108" t="n"/>
      <c r="AW27" s="107">
        <f>AV27*100/$E$27</f>
        <v/>
      </c>
      <c r="AX27" s="108" t="n"/>
      <c r="AY27" s="107">
        <f>AX27*100/$E$27</f>
        <v/>
      </c>
      <c r="AZ27" s="108" t="n"/>
      <c r="BA27" s="107">
        <f>AZ27*100/$E$27</f>
        <v/>
      </c>
      <c r="BB27" s="108" t="n"/>
      <c r="BC27" s="107">
        <f>BB27*100/$E$27</f>
        <v/>
      </c>
      <c r="BD27" s="108" t="n"/>
      <c r="BE27" s="107">
        <f>BD27*100/$E$27</f>
        <v/>
      </c>
      <c r="BF27" s="108" t="n"/>
      <c r="BG27" s="107">
        <f>BF27*100/$E$27</f>
        <v/>
      </c>
      <c r="BH27" s="108" t="n"/>
      <c r="BI27" s="107">
        <f>BH27*100/$E$27</f>
        <v/>
      </c>
      <c r="BJ27" s="108" t="n"/>
      <c r="BK27" s="107">
        <f>BJ27*100/$E$27</f>
        <v/>
      </c>
      <c r="BL27" s="108" t="n"/>
      <c r="BM27" s="107">
        <f>BL27*100/$E$27</f>
        <v/>
      </c>
      <c r="BN27" s="108" t="n"/>
      <c r="BO27" s="107">
        <f>BN27*100/$E$27</f>
        <v/>
      </c>
      <c r="BP27" s="108" t="n"/>
      <c r="BQ27" s="107">
        <f>BP27*100/$E$27</f>
        <v/>
      </c>
      <c r="BR27" s="108" t="n"/>
      <c r="BS27" s="107">
        <f>BR27*100/$E$27</f>
        <v/>
      </c>
      <c r="BT27" s="108" t="n"/>
      <c r="BU27" s="107">
        <f>BT27*100/$E$27</f>
        <v/>
      </c>
      <c r="BV27" s="108" t="n">
        <v>6</v>
      </c>
      <c r="BW27" s="107">
        <f>BV27*100/$E$27</f>
        <v/>
      </c>
      <c r="BX27" s="108" t="n"/>
      <c r="BY27" s="107">
        <f>BX27*100/$E$27</f>
        <v/>
      </c>
      <c r="BZ27" s="108" t="n"/>
      <c r="CA27" s="107">
        <f>BZ27*100/$E$27</f>
        <v/>
      </c>
      <c r="CB27" s="108" t="n"/>
      <c r="CC27" s="107">
        <f>CB27*100/$E$27</f>
        <v/>
      </c>
      <c r="CD27" s="108" t="n"/>
      <c r="CE27" s="107">
        <f>CD27*100/$E$27</f>
        <v/>
      </c>
      <c r="CF27" s="108" t="n"/>
      <c r="CG27" s="107">
        <f>CF27*100/$E$27</f>
        <v/>
      </c>
      <c r="CH27" s="108" t="n"/>
      <c r="CI27" s="107">
        <f>CH27*100/$E$27</f>
        <v/>
      </c>
      <c r="CJ27" s="108" t="n"/>
      <c r="CK27" s="107">
        <f>CJ27*100/$E$27</f>
        <v/>
      </c>
      <c r="CL27" s="108" t="n"/>
      <c r="CM27" s="107">
        <f>CL27*100/$E$27</f>
        <v/>
      </c>
      <c r="CN27" s="108" t="n"/>
      <c r="CO27" s="122">
        <f>CN27*100/$E$27</f>
        <v/>
      </c>
      <c r="CP27" s="108" t="n"/>
      <c r="CQ27" s="107">
        <f>CP27*100/$E$27</f>
        <v/>
      </c>
      <c r="CR27" s="108" t="n"/>
      <c r="CS27" s="122">
        <f>CR27*100/$E$27</f>
        <v/>
      </c>
      <c r="CT27" s="108" t="n"/>
      <c r="CU27" s="122">
        <f>CT27*100/$E$27</f>
        <v/>
      </c>
      <c r="CV27" s="108" t="n"/>
      <c r="CW27" s="122">
        <f>CV27*100/$E$27</f>
        <v/>
      </c>
      <c r="CX27" s="108" t="n"/>
      <c r="CY27" s="122">
        <f>CX27*100/$E$27</f>
        <v/>
      </c>
      <c r="CZ27" s="108" t="n"/>
      <c r="DA27" s="122">
        <f>CZ27*100/$E$27</f>
        <v/>
      </c>
      <c r="DB27" s="108" t="n"/>
      <c r="DC27" s="122">
        <f>DB27*100/$E$27</f>
        <v/>
      </c>
      <c r="DD27" s="108" t="n"/>
      <c r="DE27" s="122">
        <f>DD27*100/$E$27</f>
        <v/>
      </c>
      <c r="DF27" s="108" t="n"/>
      <c r="DG27" s="122">
        <f>DF27*100/$E$27</f>
        <v/>
      </c>
      <c r="DH27" s="108" t="n"/>
      <c r="DI27" s="122">
        <f>DH27*100/$E$27</f>
        <v/>
      </c>
      <c r="DJ27" s="108" t="n"/>
      <c r="DK27" s="122">
        <f>DJ27*100/$E$27</f>
        <v/>
      </c>
      <c r="DL27" s="108" t="n"/>
      <c r="DM27" s="122">
        <f>DL27*100/$E$27</f>
        <v/>
      </c>
      <c r="DN27" s="108" t="n"/>
      <c r="DO27" s="122">
        <f>DN27*100/$E$27</f>
        <v/>
      </c>
      <c r="DP27" s="108" t="n"/>
      <c r="DQ27" s="122">
        <f>DP27*100/$E$27</f>
        <v/>
      </c>
      <c r="DR27" s="108" t="n"/>
      <c r="DS27" s="122">
        <f>DR27*100/E27</f>
        <v/>
      </c>
      <c r="DT27" s="108" t="n"/>
      <c r="DU27" s="122">
        <f>DT27*100/$E$27</f>
        <v/>
      </c>
      <c r="DV27" s="108" t="n"/>
      <c r="DW27" s="122">
        <f>DV27*100/$E$27</f>
        <v/>
      </c>
      <c r="DX27" s="108" t="n"/>
      <c r="DY27" s="122">
        <f>DX27*100/$E$27</f>
        <v/>
      </c>
      <c r="DZ27" s="108" t="n"/>
      <c r="EA27" s="122">
        <f>DZ27*100/$E$27</f>
        <v/>
      </c>
      <c r="EB27" s="108" t="n"/>
      <c r="EC27" s="122">
        <f>EB27*100/$E$27</f>
        <v/>
      </c>
      <c r="ED27" s="108" t="n"/>
      <c r="EE27" s="122">
        <f>ED27*100/$E$27</f>
        <v/>
      </c>
      <c r="EF27" s="108" t="n"/>
      <c r="EG27" s="122">
        <f>EF27*100/$E$27</f>
        <v/>
      </c>
      <c r="EH27" s="108" t="n"/>
      <c r="EI27" s="122">
        <f>EH27*100/$E$27</f>
        <v/>
      </c>
      <c r="EJ27" s="108" t="n"/>
      <c r="EK27" s="122">
        <f>EJ27*100/$E$27</f>
        <v/>
      </c>
      <c r="EL27" s="108" t="n"/>
      <c r="EM27" s="122">
        <f>EL27*100/$E$27</f>
        <v/>
      </c>
      <c r="EN27" s="108" t="n"/>
      <c r="EO27" s="122">
        <f>EN27*100/$E$27</f>
        <v/>
      </c>
      <c r="EP27" s="108" t="n"/>
      <c r="EQ27" s="122">
        <f>EP27*100/$E$27</f>
        <v/>
      </c>
      <c r="ER27" s="108" t="n"/>
      <c r="ES27" s="122">
        <f>ER27*100/$E$27</f>
        <v/>
      </c>
      <c r="ET27" s="108" t="n"/>
      <c r="EU27" s="122">
        <f>ET27*100/$E$27</f>
        <v/>
      </c>
      <c r="EV27" s="108" t="n"/>
      <c r="EW27" s="122">
        <f>EV27*100/$E$27</f>
        <v/>
      </c>
      <c r="EX27" s="108" t="n"/>
      <c r="EY27" s="122">
        <f>EX27*100/$E$27</f>
        <v/>
      </c>
      <c r="EZ27" s="108" t="n"/>
      <c r="FA27" s="122">
        <f>EZ27*100/$E$27</f>
        <v/>
      </c>
      <c r="FB27" s="108" t="n"/>
      <c r="FC27" s="122">
        <f>FB27*100/$E$27</f>
        <v/>
      </c>
      <c r="FD27" s="108" t="n"/>
      <c r="FE27" s="122">
        <f>FD27*100/$E$27</f>
        <v/>
      </c>
      <c r="FF27" s="108" t="n"/>
      <c r="FG27" s="122">
        <f>FF27*100/$E$27</f>
        <v/>
      </c>
      <c r="FH27" s="108" t="n"/>
      <c r="FI27" s="122">
        <f>FH27*100/$E$27</f>
        <v/>
      </c>
      <c r="FJ27" s="108" t="n"/>
      <c r="FK27" s="122">
        <f>FJ27*100/$E$27</f>
        <v/>
      </c>
      <c r="FL27" s="108" t="n"/>
      <c r="FM27" s="122">
        <f>FL27*100/$E$27</f>
        <v/>
      </c>
      <c r="FN27" s="108" t="n"/>
      <c r="FO27" s="122">
        <f>FN27*100/$E$27</f>
        <v/>
      </c>
      <c r="FP27" s="108" t="n"/>
      <c r="FQ27" s="122">
        <f>FP27*100/$E$27</f>
        <v/>
      </c>
      <c r="FR27" s="108" t="n"/>
      <c r="FS27" s="122">
        <f>FR27*100/$E$27</f>
        <v/>
      </c>
      <c r="FT27" s="108" t="n"/>
      <c r="FU27" s="122">
        <f>FT27*100/$E$27</f>
        <v/>
      </c>
      <c r="FV27" s="108" t="n"/>
      <c r="FW27" s="122">
        <f>FV27*100/$E$27</f>
        <v/>
      </c>
      <c r="FX27" s="108" t="n"/>
      <c r="FY27" s="107">
        <f>FX27*100/$E$27</f>
        <v/>
      </c>
      <c r="FZ27" s="108" t="n"/>
      <c r="GA27" s="107">
        <f>FZ27*100/$E$27</f>
        <v/>
      </c>
      <c r="GB27" s="108" t="n"/>
      <c r="GC27" s="107">
        <f>GB27*100/$E$27</f>
        <v/>
      </c>
      <c r="GD27" s="108" t="n"/>
      <c r="GE27" s="107">
        <f>GD27*100/$E$27</f>
        <v/>
      </c>
      <c r="GF27" s="108" t="n"/>
      <c r="GG27" s="107">
        <f>GF27*100/$E$27</f>
        <v/>
      </c>
      <c r="GH27" s="108" t="n"/>
      <c r="GI27" s="107">
        <f>GH27*100/$E$27</f>
        <v/>
      </c>
      <c r="GJ27" s="108" t="n"/>
      <c r="GK27" s="122">
        <f>GJ27*100/$E$27</f>
        <v/>
      </c>
      <c r="GL27" s="108" t="n"/>
      <c r="GM27" s="107">
        <f>GL27*100/$E$27</f>
        <v/>
      </c>
      <c r="GN27" s="108" t="n"/>
      <c r="GO27" s="122">
        <f>GN27*100/$E$27</f>
        <v/>
      </c>
      <c r="GP27" s="108" t="n"/>
      <c r="GQ27" s="107">
        <f>GP27*100/$E$27</f>
        <v/>
      </c>
      <c r="GR27" s="108" t="n"/>
      <c r="GS27" s="122">
        <f>GR27*100/$E$27</f>
        <v/>
      </c>
      <c r="GT27" s="108" t="n"/>
      <c r="GU27" s="122">
        <f>GT27*100/$E$27</f>
        <v/>
      </c>
      <c r="GV27" s="108" t="n"/>
      <c r="GW27" s="122">
        <f>GV27*100/$E$27</f>
        <v/>
      </c>
      <c r="GX27" s="108" t="n"/>
      <c r="GY27" s="107">
        <f>GX27*100/$E$27</f>
        <v/>
      </c>
      <c r="GZ27" s="108" t="n"/>
      <c r="HA27" s="107">
        <f>GZ27*100/$E$27</f>
        <v/>
      </c>
      <c r="HB27" s="108" t="n"/>
      <c r="HC27" s="107">
        <f>HB27*100/$E$27</f>
        <v/>
      </c>
      <c r="HD27" s="108" t="n"/>
      <c r="HE27" s="107">
        <f>HD27*100/$E$27</f>
        <v/>
      </c>
      <c r="HF27" s="108" t="n"/>
      <c r="HG27" s="107">
        <f>HF27*100/$E$27</f>
        <v/>
      </c>
      <c r="HH27" s="108" t="n"/>
      <c r="HI27" s="107">
        <f>HH27*100/$E$27</f>
        <v/>
      </c>
      <c r="HJ27" s="108" t="n"/>
      <c r="HK27" s="107">
        <f>HJ27*100/$E$27</f>
        <v/>
      </c>
      <c r="HL27" s="108" t="n"/>
      <c r="HM27" s="107">
        <f>HL27*100/$E$27</f>
        <v/>
      </c>
      <c r="HN27" s="108" t="n"/>
      <c r="HO27" s="107">
        <f>HN27*100/$E$27</f>
        <v/>
      </c>
      <c r="HP27" s="108" t="n"/>
      <c r="HQ27" s="107">
        <f>HP27*100/$E$27</f>
        <v/>
      </c>
      <c r="HR27" s="108" t="n"/>
      <c r="HS27" s="107">
        <f>HR27*100/$E$27</f>
        <v/>
      </c>
      <c r="HT27" s="108" t="n"/>
      <c r="HU27" s="107">
        <f>HT27*100/$E$27</f>
        <v/>
      </c>
      <c r="HV27" s="108" t="n"/>
      <c r="HW27" s="107">
        <f>HV27*100/$E$27</f>
        <v/>
      </c>
      <c r="HX27" s="108" t="n"/>
      <c r="HY27" s="107">
        <f>HX27*100/$E$27</f>
        <v/>
      </c>
      <c r="HZ27" s="108" t="n"/>
      <c r="IA27" s="122">
        <f>HZ27*100/$E$27</f>
        <v/>
      </c>
      <c r="IB27" s="108" t="n"/>
      <c r="IC27" s="122">
        <f>IB27*100/$E$27</f>
        <v/>
      </c>
      <c r="ID27" s="108" t="n"/>
      <c r="IE27" s="122">
        <f>ID27*100/$E$27</f>
        <v/>
      </c>
      <c r="IF27" s="108" t="n"/>
      <c r="IG27" s="122">
        <f>IF27*100/$E$27</f>
        <v/>
      </c>
      <c r="IH27" s="108" t="n"/>
      <c r="II27" s="122">
        <f>IH27*100/$E$27</f>
        <v/>
      </c>
      <c r="IJ27" s="108" t="n"/>
      <c r="IK27" s="122">
        <f>IJ27*100/$E$27</f>
        <v/>
      </c>
      <c r="IL27" s="108" t="n"/>
      <c r="IM27" s="107">
        <f>IL27*100/$E$27</f>
        <v/>
      </c>
      <c r="IN27" s="108" t="n"/>
      <c r="IO27" s="107">
        <f>IN27*100/$E$27</f>
        <v/>
      </c>
      <c r="IP27" s="108" t="n"/>
      <c r="IQ27" s="122">
        <f>IP27*100/$E$27</f>
        <v/>
      </c>
      <c r="IR27" s="108" t="n"/>
      <c r="IS27" s="122">
        <f>IR27*100/$E$27</f>
        <v/>
      </c>
      <c r="IT27" s="108" t="n"/>
      <c r="IU27" s="122">
        <f>IT27*100/$E$27</f>
        <v/>
      </c>
      <c r="IV27" s="108" t="n"/>
      <c r="IW27" s="122">
        <f>IV27*100/$E$27</f>
        <v/>
      </c>
      <c r="IX27" s="108" t="n"/>
      <c r="IY27" s="122">
        <f>IX27*100/$E$27</f>
        <v/>
      </c>
      <c r="IZ27" s="108" t="n"/>
      <c r="JA27" s="122">
        <f>IZ27*100/$E$27</f>
        <v/>
      </c>
      <c r="JB27" s="108" t="n"/>
      <c r="JC27" s="122">
        <f>JB27*100/$E$27</f>
        <v/>
      </c>
      <c r="JD27" s="108" t="n"/>
      <c r="JE27" s="122">
        <f>JD27*100/$E$27</f>
        <v/>
      </c>
      <c r="JF27" s="108" t="n"/>
      <c r="JG27" s="122">
        <f>JF27*100/$E$27</f>
        <v/>
      </c>
      <c r="JH27" s="108" t="n"/>
      <c r="JI27" s="122">
        <f>JH27*100/$E$27</f>
        <v/>
      </c>
      <c r="JJ27" s="108" t="n"/>
      <c r="JK27" s="122">
        <f>JJ27*100/$E$27</f>
        <v/>
      </c>
      <c r="JL27" s="108" t="n">
        <v>4.5</v>
      </c>
      <c r="JM27" s="122">
        <f>JL27*100/$E$27</f>
        <v/>
      </c>
      <c r="JN27" s="108" t="n"/>
      <c r="JO27" s="121">
        <f>JN27*100/$E$27</f>
        <v/>
      </c>
      <c r="JP27" s="108" t="n"/>
      <c r="JQ27" s="121">
        <f>JP27*100/$E$27</f>
        <v/>
      </c>
      <c r="JR27" s="108" t="n"/>
      <c r="JS27" s="121">
        <f>JR27*100/$E$27</f>
        <v/>
      </c>
      <c r="JT27" s="108" t="n"/>
      <c r="JU27" s="121">
        <f>JT27*100/$E$27</f>
        <v/>
      </c>
      <c r="JV27" s="108" t="n"/>
      <c r="JW27" s="121">
        <f>JV27*100/$E$27</f>
        <v/>
      </c>
      <c r="JX27" s="108" t="n"/>
      <c r="JY27" s="121">
        <f>JX27*100/$E$27</f>
        <v/>
      </c>
      <c r="JZ27" s="55">
        <f>JN27+JP27+JR27+JT27+JV27+JX27</f>
        <v/>
      </c>
      <c r="KA27" s="53">
        <f>JO27+JQ27+JS27+JU27+JW27+JY27</f>
        <v/>
      </c>
      <c r="KB27" s="185">
        <f>H27+J27+L27+N27+P27+R27+T27+V27+X27+Z27+AB27+AD27+AF27+AH27+AJ27+AL27+AN27+AP27+AR27+AT27+AV27+AX27+AZ27+BB27+BD27+BF27+BH27+BJ27+BL27+BN27+BP27+BR27+BT27+BV27+BX27+BZ27+CB27+CD27+CF27+CH27+CZ27+DB27+DD27+DF27+DH27+DJ27+DL27+DN27+DP27+DR27+DT27+DV27+DX27+DZ27+EB27+ED27+EF27+EH27+EJ27+EL27+EN27+EP27+ER27+ET27+EV27+FN27+FP27+FR27+FT27+FV27+FX27+FZ27+GB27+GD27+GF27+GH27+GJ27+GL27+GN27+GP27+GR27+GT27+GV27+GX27+GZ27+HB27+HD27+HF27+HH27+HJ27+HL27+HN27+HP27+HR27+HT27+HV27+HX27+HZ27+IB27+ID27+IF27+IH27+IJ27+IL27+IN27+IP27+IR27+IT27+IV27+IX27+IZ27+JB27+JD27+JF27+JH27+JJ27+JL27+JZ27+CJ27+CL27+CN27+CP27+CR27+CT27+CV27+CX27+EX27+EZ27+FB27+FD27+FF27+FH27+FJ27+FL27</f>
        <v/>
      </c>
      <c r="KC27" s="66">
        <f>I27+K27+M27+O27+Q27+S27+U27+W27+Y27+AA27+AC27+AE27+AG27+AI27+AK27+AM27+AO27+AQ27+AS27+AU27+AW27+AY27+BA27+BC27+BE27+BG27+BI27+BK27+BM27+BO27+BQ27+BS27+BU27+BW27+BY27+CA27+CC27+CE27+CG27+CI27+DA27+DC27+DE27+DG27+DI27+DK27+DM27+DO27+DQ27+DS27+DU27+DW27+DY27+EA27+EC27+EE27+EG27+EI27+EK27+EM27+EO27+EQ27+ES27+EU27+EW27+FO27+FS27+FU27+FW27+FQ27+FY27+GA27+GC27+GE27+GG27+GI27+GK27+GM27+GO27+GQ27+GS27+GU27+GW27+GY27+HA27+HC27+HE27+HG27+HI27+HK27+HM27+HO27+HQ27+HS27+HU27+HW27+HY27+IA27+IC27+IE27+IG27+II27+IK27+IM27+IO27+IQ27+IS27+IU27+IW27+IY27+JA27+JC27+JE27+JG27+JI27+JK27+JM27+KA27+CK27+CM27+CO27+CQ27+CS27+CU27+CW27+CY27+EY27+FA27+FC27+FE27+FG27+FI27+FK27+FM27</f>
        <v/>
      </c>
      <c r="KD27" s="44">
        <f>JO27+JQ27+JS27+JU27+JW27+JY27</f>
        <v/>
      </c>
      <c r="KE27" s="45">
        <f>KB27=E27</f>
        <v/>
      </c>
      <c r="KF27" s="101">
        <f>E27-KB27</f>
        <v/>
      </c>
      <c r="KG27" s="21" t="n"/>
    </row>
    <row r="28" ht="20.25" customFormat="1" customHeight="1" s="21">
      <c r="A28" s="126">
        <f>A27+1</f>
        <v/>
      </c>
      <c r="B28" s="175" t="inlineStr">
        <is>
          <t>Ленинг И.Н.</t>
        </is>
      </c>
      <c r="C28" s="176" t="inlineStr">
        <is>
          <t xml:space="preserve">Оператор СПУ </t>
        </is>
      </c>
      <c r="D28" s="177">
        <f>$D$5</f>
        <v/>
      </c>
      <c r="E28" s="202" t="n">
        <v>72</v>
      </c>
      <c r="F28" s="193" t="n">
        <v>126855.63</v>
      </c>
      <c r="G28" s="179">
        <f>F28/D28</f>
        <v/>
      </c>
      <c r="H28" s="125" t="n"/>
      <c r="I28" s="107">
        <f>H28*100/$E$28</f>
        <v/>
      </c>
      <c r="J28" s="108" t="n"/>
      <c r="K28" s="107">
        <f>J28*100/$E$28</f>
        <v/>
      </c>
      <c r="L28" s="108" t="n"/>
      <c r="M28" s="107">
        <f>L28*100/$E$28</f>
        <v/>
      </c>
      <c r="N28" s="108" t="n"/>
      <c r="O28" s="107">
        <f>N28*100/$E$28</f>
        <v/>
      </c>
      <c r="P28" s="108" t="n"/>
      <c r="Q28" s="122">
        <f>P28*100/$E$28</f>
        <v/>
      </c>
      <c r="R28" s="108" t="n"/>
      <c r="S28" s="122">
        <f>R28*100/$E$28</f>
        <v/>
      </c>
      <c r="T28" s="108" t="n"/>
      <c r="U28" s="107">
        <f>T28*100/$E$28</f>
        <v/>
      </c>
      <c r="V28" s="108" t="n"/>
      <c r="W28" s="107">
        <f>V28*100/$E$28</f>
        <v/>
      </c>
      <c r="X28" s="108" t="n"/>
      <c r="Y28" s="107">
        <f>X28*100/$E$28</f>
        <v/>
      </c>
      <c r="Z28" s="108" t="n"/>
      <c r="AA28" s="107">
        <f>Z28*100/$E$28</f>
        <v/>
      </c>
      <c r="AB28" s="108" t="n"/>
      <c r="AC28" s="107">
        <f>AB28*100/$E$28</f>
        <v/>
      </c>
      <c r="AD28" s="108" t="n"/>
      <c r="AE28" s="122">
        <f>AD28*100/$E$28</f>
        <v/>
      </c>
      <c r="AF28" s="108" t="n"/>
      <c r="AG28" s="122">
        <f>AF28*100/$E$28</f>
        <v/>
      </c>
      <c r="AH28" s="108" t="n"/>
      <c r="AI28" s="107">
        <f>AH28*100/$E$28</f>
        <v/>
      </c>
      <c r="AJ28" s="108" t="n"/>
      <c r="AK28" s="107">
        <f>AJ28*100/$E$28</f>
        <v/>
      </c>
      <c r="AL28" s="108" t="n"/>
      <c r="AM28" s="107">
        <f>AL28*100/$E$28</f>
        <v/>
      </c>
      <c r="AN28" s="108" t="n"/>
      <c r="AO28" s="107">
        <f>AN28*100/$E$28</f>
        <v/>
      </c>
      <c r="AP28" s="108" t="n"/>
      <c r="AQ28" s="107">
        <f>AP28*100/$E$28</f>
        <v/>
      </c>
      <c r="AR28" s="108" t="n"/>
      <c r="AS28" s="107">
        <f>AR28*100/$E$28</f>
        <v/>
      </c>
      <c r="AT28" s="108" t="n"/>
      <c r="AU28" s="90">
        <f>AT28*100/$E$28</f>
        <v/>
      </c>
      <c r="AV28" s="108" t="n"/>
      <c r="AW28" s="107">
        <f>AV28*100/$E$28</f>
        <v/>
      </c>
      <c r="AX28" s="108" t="n"/>
      <c r="AY28" s="107">
        <f>AX28*100/$E$28</f>
        <v/>
      </c>
      <c r="AZ28" s="108" t="n"/>
      <c r="BA28" s="107">
        <f>AZ28*100/$E$28</f>
        <v/>
      </c>
      <c r="BB28" s="108" t="n"/>
      <c r="BC28" s="107">
        <f>BB28*100/$E$28</f>
        <v/>
      </c>
      <c r="BD28" s="108" t="n"/>
      <c r="BE28" s="107">
        <f>BD28*100/$E$28</f>
        <v/>
      </c>
      <c r="BF28" s="108" t="n"/>
      <c r="BG28" s="107">
        <f>BF28*100/$E$28</f>
        <v/>
      </c>
      <c r="BH28" s="108" t="n"/>
      <c r="BI28" s="107">
        <f>BH28*100/$E$28</f>
        <v/>
      </c>
      <c r="BJ28" s="108" t="n"/>
      <c r="BK28" s="107">
        <f>BJ28*100/$E$28</f>
        <v/>
      </c>
      <c r="BL28" s="108" t="n"/>
      <c r="BM28" s="107">
        <f>BL28*100/$E$28</f>
        <v/>
      </c>
      <c r="BN28" s="108" t="n"/>
      <c r="BO28" s="107">
        <f>BN28*100/$E$28</f>
        <v/>
      </c>
      <c r="BP28" s="108" t="n"/>
      <c r="BQ28" s="107">
        <f>BP28*100/$E$28</f>
        <v/>
      </c>
      <c r="BR28" s="108" t="n"/>
      <c r="BS28" s="107">
        <f>BR28*100/$E$28</f>
        <v/>
      </c>
      <c r="BT28" s="108" t="n"/>
      <c r="BU28" s="107">
        <f>BT28*100/$E$28</f>
        <v/>
      </c>
      <c r="BV28" s="108" t="n"/>
      <c r="BW28" s="107">
        <f>BV28*100/$E$28</f>
        <v/>
      </c>
      <c r="BX28" s="108" t="n"/>
      <c r="BY28" s="107">
        <f>BX28*100/$E$28</f>
        <v/>
      </c>
      <c r="BZ28" s="108" t="n"/>
      <c r="CA28" s="107">
        <f>BZ28*100/$E$28</f>
        <v/>
      </c>
      <c r="CB28" s="108" t="n"/>
      <c r="CC28" s="107">
        <f>CB28*100/$E$28</f>
        <v/>
      </c>
      <c r="CD28" s="108" t="n"/>
      <c r="CE28" s="107">
        <f>CD28*100/$E$28</f>
        <v/>
      </c>
      <c r="CF28" s="108" t="n"/>
      <c r="CG28" s="107">
        <f>CF28*100/$E$28</f>
        <v/>
      </c>
      <c r="CH28" s="108" t="n"/>
      <c r="CI28" s="107">
        <f>CH28*100/$E$28</f>
        <v/>
      </c>
      <c r="CJ28" s="108" t="n"/>
      <c r="CK28" s="107">
        <f>CJ28*100/$E$28</f>
        <v/>
      </c>
      <c r="CL28" s="108" t="n"/>
      <c r="CM28" s="107">
        <f>CL28*100/$E$28</f>
        <v/>
      </c>
      <c r="CN28" s="108" t="n"/>
      <c r="CO28" s="122">
        <f>CN28*100/$E$28</f>
        <v/>
      </c>
      <c r="CP28" s="108" t="n"/>
      <c r="CQ28" s="107">
        <f>CP28*100/$E$28</f>
        <v/>
      </c>
      <c r="CR28" s="108" t="n"/>
      <c r="CS28" s="122">
        <f>CR28*100/$E$28</f>
        <v/>
      </c>
      <c r="CT28" s="108" t="n"/>
      <c r="CU28" s="122">
        <f>CT28*100/$E$28</f>
        <v/>
      </c>
      <c r="CV28" s="108" t="n"/>
      <c r="CW28" s="122">
        <f>CV28*100/$E$28</f>
        <v/>
      </c>
      <c r="CX28" s="108" t="n"/>
      <c r="CY28" s="122">
        <f>CX28*100/$E$28</f>
        <v/>
      </c>
      <c r="CZ28" s="108" t="n"/>
      <c r="DA28" s="122">
        <f>CZ28*100/$E$28</f>
        <v/>
      </c>
      <c r="DB28" s="108" t="n"/>
      <c r="DC28" s="122">
        <f>DB28*100/$E$28</f>
        <v/>
      </c>
      <c r="DD28" s="108" t="n"/>
      <c r="DE28" s="122">
        <f>DD28*100/$E$28</f>
        <v/>
      </c>
      <c r="DF28" s="108" t="n"/>
      <c r="DG28" s="122">
        <f>DF28*100/$E$28</f>
        <v/>
      </c>
      <c r="DH28" s="108" t="n"/>
      <c r="DI28" s="122">
        <f>DH28*100/$E$28</f>
        <v/>
      </c>
      <c r="DJ28" s="108" t="n"/>
      <c r="DK28" s="122">
        <f>DJ28*100/$E$28</f>
        <v/>
      </c>
      <c r="DL28" s="108" t="n"/>
      <c r="DM28" s="122">
        <f>DL28*100/$E$28</f>
        <v/>
      </c>
      <c r="DN28" s="108" t="n"/>
      <c r="DO28" s="122">
        <f>DN28*100/$E$28</f>
        <v/>
      </c>
      <c r="DP28" s="108" t="n"/>
      <c r="DQ28" s="122">
        <f>DP28*100/$E$28</f>
        <v/>
      </c>
      <c r="DR28" s="108" t="n"/>
      <c r="DS28" s="122">
        <f>DR28*100/$E$28</f>
        <v/>
      </c>
      <c r="DT28" s="108" t="n"/>
      <c r="DU28" s="122">
        <f>DT28*100/$E$28</f>
        <v/>
      </c>
      <c r="DV28" s="108" t="n"/>
      <c r="DW28" s="122">
        <f>DV28*100/$E$28</f>
        <v/>
      </c>
      <c r="DX28" s="108" t="n"/>
      <c r="DY28" s="122">
        <f>DX28*100/$E$28</f>
        <v/>
      </c>
      <c r="DZ28" s="108" t="n"/>
      <c r="EA28" s="122">
        <f>DZ28*100/$E$28</f>
        <v/>
      </c>
      <c r="EB28" s="108" t="n"/>
      <c r="EC28" s="122">
        <f>EB28*100/$E$28</f>
        <v/>
      </c>
      <c r="ED28" s="108" t="n"/>
      <c r="EE28" s="122">
        <f>ED28*100/$E$28</f>
        <v/>
      </c>
      <c r="EF28" s="108" t="n"/>
      <c r="EG28" s="122">
        <f>EF28*100/$E$28</f>
        <v/>
      </c>
      <c r="EH28" s="108" t="n"/>
      <c r="EI28" s="122">
        <f>EH28*100/$E$28</f>
        <v/>
      </c>
      <c r="EJ28" s="108" t="n"/>
      <c r="EK28" s="122">
        <f>EJ28*100/$E$28</f>
        <v/>
      </c>
      <c r="EL28" s="108" t="n"/>
      <c r="EM28" s="122">
        <f>EL28*100/$E$28</f>
        <v/>
      </c>
      <c r="EN28" s="108" t="n"/>
      <c r="EO28" s="122">
        <f>EN28*100/$E$28</f>
        <v/>
      </c>
      <c r="EP28" s="108" t="n"/>
      <c r="EQ28" s="122">
        <f>EP28*100/$E$28</f>
        <v/>
      </c>
      <c r="ER28" s="108" t="n"/>
      <c r="ES28" s="122">
        <f>ER28*100/$E$28</f>
        <v/>
      </c>
      <c r="ET28" s="108" t="n">
        <v>64</v>
      </c>
      <c r="EU28" s="122">
        <f>ET28*100/$E$28</f>
        <v/>
      </c>
      <c r="EV28" s="108" t="n">
        <v>8</v>
      </c>
      <c r="EW28" s="122">
        <f>EV28*100/$E$28</f>
        <v/>
      </c>
      <c r="EX28" s="108" t="n"/>
      <c r="EY28" s="122">
        <f>EX28*100/$E$28</f>
        <v/>
      </c>
      <c r="EZ28" s="108" t="n"/>
      <c r="FA28" s="122">
        <f>EZ28*100/$E$28</f>
        <v/>
      </c>
      <c r="FB28" s="108" t="n"/>
      <c r="FC28" s="122">
        <f>FB28*100/$E$28</f>
        <v/>
      </c>
      <c r="FD28" s="108" t="n"/>
      <c r="FE28" s="122">
        <f>FD28*100/$E$28</f>
        <v/>
      </c>
      <c r="FF28" s="108" t="n"/>
      <c r="FG28" s="122">
        <f>FF28*100/$E$28</f>
        <v/>
      </c>
      <c r="FH28" s="108" t="n"/>
      <c r="FI28" s="122">
        <f>FH28*100/$E$28</f>
        <v/>
      </c>
      <c r="FJ28" s="108" t="n"/>
      <c r="FK28" s="122">
        <f>FJ28*100/$E$28</f>
        <v/>
      </c>
      <c r="FL28" s="108" t="n"/>
      <c r="FM28" s="122">
        <f>FL28*100/$E$28</f>
        <v/>
      </c>
      <c r="FN28" s="108" t="n"/>
      <c r="FO28" s="122">
        <f>FN28*100/$E$28</f>
        <v/>
      </c>
      <c r="FP28" s="108" t="n"/>
      <c r="FQ28" s="122">
        <f>FP28*100/$E$28</f>
        <v/>
      </c>
      <c r="FR28" s="108" t="n"/>
      <c r="FS28" s="122">
        <f>FR28*100/$E$28</f>
        <v/>
      </c>
      <c r="FT28" s="108" t="n"/>
      <c r="FU28" s="122">
        <f>FT28*100/$E$28</f>
        <v/>
      </c>
      <c r="FV28" s="108" t="n"/>
      <c r="FW28" s="122">
        <f>FV28*100/$E$28</f>
        <v/>
      </c>
      <c r="FX28" s="108" t="n"/>
      <c r="FY28" s="107">
        <f>FX28*100/$E$28</f>
        <v/>
      </c>
      <c r="FZ28" s="108" t="n"/>
      <c r="GA28" s="107">
        <f>FZ28*100/$E$28</f>
        <v/>
      </c>
      <c r="GB28" s="108" t="n"/>
      <c r="GC28" s="107">
        <f>GB28*100/$E$28</f>
        <v/>
      </c>
      <c r="GD28" s="108" t="n"/>
      <c r="GE28" s="107">
        <f>GD28*100/$E$28</f>
        <v/>
      </c>
      <c r="GF28" s="108" t="n"/>
      <c r="GG28" s="107">
        <f>GF28*100/$E$28</f>
        <v/>
      </c>
      <c r="GH28" s="108" t="n"/>
      <c r="GI28" s="107">
        <f>GH28*100/$E$28</f>
        <v/>
      </c>
      <c r="GJ28" s="108" t="n"/>
      <c r="GK28" s="122">
        <f>GJ28*100/$E$28</f>
        <v/>
      </c>
      <c r="GL28" s="108" t="n"/>
      <c r="GM28" s="107">
        <f>GL28*100/$E$28</f>
        <v/>
      </c>
      <c r="GN28" s="108" t="n"/>
      <c r="GO28" s="122">
        <f>GN28*100/$E$28</f>
        <v/>
      </c>
      <c r="GP28" s="108" t="n"/>
      <c r="GQ28" s="107">
        <f>GP28*100/$E$28</f>
        <v/>
      </c>
      <c r="GR28" s="108" t="n"/>
      <c r="GS28" s="122">
        <f>GR28*100/$E$28</f>
        <v/>
      </c>
      <c r="GT28" s="108" t="n"/>
      <c r="GU28" s="122">
        <f>GT28*100/$E$28</f>
        <v/>
      </c>
      <c r="GV28" s="108" t="n"/>
      <c r="GW28" s="122">
        <f>GV28*100/$E$28</f>
        <v/>
      </c>
      <c r="GX28" s="108" t="n"/>
      <c r="GY28" s="107">
        <f>GX28*100/$E$28</f>
        <v/>
      </c>
      <c r="GZ28" s="108" t="n"/>
      <c r="HA28" s="107">
        <f>GZ28*100/$E$28</f>
        <v/>
      </c>
      <c r="HB28" s="108" t="n"/>
      <c r="HC28" s="107">
        <f>HB28*100/$E$28</f>
        <v/>
      </c>
      <c r="HD28" s="108" t="n"/>
      <c r="HE28" s="107">
        <f>HD28*100/$E$28</f>
        <v/>
      </c>
      <c r="HF28" s="108" t="n"/>
      <c r="HG28" s="107">
        <f>HF28*100/$E$28</f>
        <v/>
      </c>
      <c r="HH28" s="108" t="n"/>
      <c r="HI28" s="107">
        <f>HH28*100/$E$28</f>
        <v/>
      </c>
      <c r="HJ28" s="108" t="n"/>
      <c r="HK28" s="107">
        <f>HJ28*100/$E$28</f>
        <v/>
      </c>
      <c r="HL28" s="108" t="n"/>
      <c r="HM28" s="107">
        <f>HL28*100/$E$28</f>
        <v/>
      </c>
      <c r="HN28" s="108" t="n"/>
      <c r="HO28" s="107">
        <f>HN28*100/$E$28</f>
        <v/>
      </c>
      <c r="HP28" s="108" t="n"/>
      <c r="HQ28" s="107">
        <f>HP28*100/$E$28</f>
        <v/>
      </c>
      <c r="HR28" s="108" t="n"/>
      <c r="HS28" s="107">
        <f>HR28*100/$E$28</f>
        <v/>
      </c>
      <c r="HT28" s="108" t="n"/>
      <c r="HU28" s="107">
        <f>HT28*100/$E$28</f>
        <v/>
      </c>
      <c r="HV28" s="108" t="n"/>
      <c r="HW28" s="107">
        <f>HV28*100/$E$28</f>
        <v/>
      </c>
      <c r="HX28" s="108" t="n"/>
      <c r="HY28" s="107">
        <f>HX28*100/$E$28</f>
        <v/>
      </c>
      <c r="HZ28" s="108" t="n"/>
      <c r="IA28" s="122">
        <f>HZ28*100/$E$28</f>
        <v/>
      </c>
      <c r="IB28" s="108" t="n"/>
      <c r="IC28" s="122">
        <f>IB28*100/$E$28</f>
        <v/>
      </c>
      <c r="ID28" s="108" t="n"/>
      <c r="IE28" s="122">
        <f>ID28*100/$E$28</f>
        <v/>
      </c>
      <c r="IF28" s="108" t="n"/>
      <c r="IG28" s="122">
        <f>IF28*100/$E$28</f>
        <v/>
      </c>
      <c r="IH28" s="108" t="n"/>
      <c r="II28" s="122">
        <f>IH28*100/$E$28</f>
        <v/>
      </c>
      <c r="IJ28" s="108" t="n"/>
      <c r="IK28" s="122">
        <f>IJ28*100/$E$28</f>
        <v/>
      </c>
      <c r="IL28" s="108" t="n"/>
      <c r="IM28" s="107">
        <f>IL28*100/$E$28</f>
        <v/>
      </c>
      <c r="IN28" s="108" t="n"/>
      <c r="IO28" s="107">
        <f>IN28*100/$E$28</f>
        <v/>
      </c>
      <c r="IP28" s="108" t="n"/>
      <c r="IQ28" s="122">
        <f>IP28*100/$E$28</f>
        <v/>
      </c>
      <c r="IR28" s="108" t="n"/>
      <c r="IS28" s="122">
        <f>IR28*100/$E$28</f>
        <v/>
      </c>
      <c r="IT28" s="108" t="n"/>
      <c r="IU28" s="122">
        <f>IT28*100/$E$28</f>
        <v/>
      </c>
      <c r="IV28" s="108" t="n"/>
      <c r="IW28" s="122">
        <f>IV28*100/$E$28</f>
        <v/>
      </c>
      <c r="IX28" s="108" t="n"/>
      <c r="IY28" s="122">
        <f>IX28*100/$E$28</f>
        <v/>
      </c>
      <c r="IZ28" s="108" t="n"/>
      <c r="JA28" s="122">
        <f>IZ28*100/$E$28</f>
        <v/>
      </c>
      <c r="JB28" s="108" t="n"/>
      <c r="JC28" s="122">
        <f>JB28*100/$E$28</f>
        <v/>
      </c>
      <c r="JD28" s="108" t="n"/>
      <c r="JE28" s="122">
        <f>JD28*100/$E$28</f>
        <v/>
      </c>
      <c r="JF28" s="108" t="n"/>
      <c r="JG28" s="122">
        <f>JF28*100/$E$28</f>
        <v/>
      </c>
      <c r="JH28" s="108" t="n"/>
      <c r="JI28" s="122">
        <f>JH28*100/$E$28</f>
        <v/>
      </c>
      <c r="JJ28" s="108" t="n"/>
      <c r="JK28" s="122">
        <f>JJ28*100/$E$28</f>
        <v/>
      </c>
      <c r="JL28" s="108" t="n"/>
      <c r="JM28" s="122">
        <f>JL28*100/$E$28</f>
        <v/>
      </c>
      <c r="JN28" s="132" t="n"/>
      <c r="JO28" s="121">
        <f>JN28*100/$E$28</f>
        <v/>
      </c>
      <c r="JP28" s="132" t="n"/>
      <c r="JQ28" s="121">
        <f>JP28*100/$E$28</f>
        <v/>
      </c>
      <c r="JR28" s="132" t="n"/>
      <c r="JS28" s="121">
        <f>JR28*100/$E$28</f>
        <v/>
      </c>
      <c r="JT28" s="132" t="n"/>
      <c r="JU28" s="121">
        <f>JT28*100/$E$28</f>
        <v/>
      </c>
      <c r="JV28" s="108" t="n"/>
      <c r="JW28" s="121">
        <f>JV28*100/$E$28</f>
        <v/>
      </c>
      <c r="JX28" s="108" t="n"/>
      <c r="JY28" s="121">
        <f>JX28*100/$E$28</f>
        <v/>
      </c>
      <c r="JZ28" s="55">
        <f>JN28+JP28+JR28+JT28+JV28+JX28</f>
        <v/>
      </c>
      <c r="KA28" s="53">
        <f>JO28+JQ28+JS28+JU28+JW28+JY28</f>
        <v/>
      </c>
      <c r="KB28" s="185">
        <f>H28+J28+L28+N28+P28+R28+T28+V28+X28+Z28+AB28+AD28+AF28+AH28+AJ28+AL28+AN28+AP28+AR28+AT28+AV28+AX28+AZ28+BB28+BD28+BF28+BH28+BJ28+BL28+BN28+BP28+BR28+BT28+BV28+BX28+BZ28+CB28+CD28+CF28+CH28+CZ28+DB28+DD28+DF28+DH28+DJ28+DL28+DN28+DP28+DR28+DT28+DV28+DX28+DZ28+EB28+ED28+EF28+EH28+EJ28+EL28+EN28+EP28+ER28+ET28+EV28+FN28+FP28+FR28+FT28+FV28+FX28+FZ28+GB28+GD28+GF28+GH28+GJ28+GL28+GN28+GP28+GR28+GT28+GV28+GX28+GZ28+HB28+HD28+HF28+HH28+HJ28+HL28+HN28+HP28+HR28+HT28+HV28+HX28+HZ28+IB28+ID28+IF28+IH28+IJ28+IL28+IN28+IP28+IR28+IT28+IV28+IX28+IZ28+JB28+JD28+JF28+JH28+JJ28+JL28+JZ28+CJ28+CL28+CN28+CP28+CR28+CT28+CV28+CX28+EX28+EZ28+FB28+FD28+FF28+FH28+FJ28+FL28</f>
        <v/>
      </c>
      <c r="KC28" s="66">
        <f>I28+K28+M28+O28+Q28+S28+U28+W28+Y28+AA28+AC28+AE28+AG28+AI28+AK28+AM28+AO28+AQ28+AS28+AU28+AW28+AY28+BA28+BC28+BE28+BG28+BI28+BK28+BM28+BO28+BQ28+BS28+BU28+BW28+BY28+CA28+CC28+CE28+CG28+CI28+DA28+DC28+DE28+DG28+DI28+DK28+DM28+DO28+DQ28+DS28+DU28+DW28+DY28+EA28+EC28+EE28+EG28+EI28+EK28+EM28+EO28+EQ28+ES28+EU28+EW28+FO28+FS28+FU28+FW28+FQ28+FY28+GA28+GC28+GE28+GG28+GI28+GK28+GM28+GO28+GQ28+GS28+GU28+GW28+GY28+HA28+HC28+HE28+HG28+HI28+HK28+HM28+HO28+HQ28+HS28+HU28+HW28+HY28+IA28+IC28+IE28+IG28+II28+IK28+IM28+IO28+IQ28+IS28+IU28+IW28+IY28+JA28+JC28+JE28+JG28+JI28+JK28+JM28+KA28+CK28+CM28+CO28+CQ28+CS28+CU28+CW28+CY28+EY28+FA28+FC28+FE28+FG28+FI28+FK28+FM28</f>
        <v/>
      </c>
      <c r="KD28" s="44">
        <f>JO28+JQ28+JS28+JU28+JW28+JY28</f>
        <v/>
      </c>
      <c r="KE28" s="45">
        <f>KB28=E28</f>
        <v/>
      </c>
      <c r="KF28" s="101">
        <f>E28-KB28</f>
        <v/>
      </c>
      <c r="KG28" s="23" t="n"/>
    </row>
    <row r="29" ht="21.75" customFormat="1" customHeight="1" s="23">
      <c r="A29" s="126">
        <f>A28+1</f>
        <v/>
      </c>
      <c r="B29" s="175" t="inlineStr">
        <is>
          <t>Лопухов Н.В.</t>
        </is>
      </c>
      <c r="C29" s="176" t="inlineStr">
        <is>
          <t>Слесарь МСР 3р</t>
        </is>
      </c>
      <c r="D29" s="177">
        <f>$D$5</f>
        <v/>
      </c>
      <c r="E29" s="202" t="n">
        <v>136</v>
      </c>
      <c r="F29" s="193" t="n">
        <v>55770</v>
      </c>
      <c r="G29" s="179">
        <f>F29/D29</f>
        <v/>
      </c>
      <c r="H29" s="125" t="n"/>
      <c r="I29" s="107">
        <f>H29*100/$E$29</f>
        <v/>
      </c>
      <c r="J29" s="108" t="n"/>
      <c r="K29" s="107">
        <f>J29*100/$E$29</f>
        <v/>
      </c>
      <c r="L29" s="108" t="n"/>
      <c r="M29" s="107">
        <f>L29*100/$E$29</f>
        <v/>
      </c>
      <c r="N29" s="108" t="n"/>
      <c r="O29" s="107">
        <f>N29*100/$E$29</f>
        <v/>
      </c>
      <c r="P29" s="108" t="n"/>
      <c r="Q29" s="122">
        <f>P29*100/$E$29</f>
        <v/>
      </c>
      <c r="R29" s="108" t="n"/>
      <c r="S29" s="122">
        <f>R29*100/$E$29</f>
        <v/>
      </c>
      <c r="T29" s="108" t="n"/>
      <c r="U29" s="107">
        <f>T29*100/$E$29</f>
        <v/>
      </c>
      <c r="V29" s="108" t="n"/>
      <c r="W29" s="107">
        <f>V29*100/$E$29</f>
        <v/>
      </c>
      <c r="X29" s="108" t="n"/>
      <c r="Y29" s="107">
        <f>X29*100/$E$29</f>
        <v/>
      </c>
      <c r="Z29" s="108" t="n"/>
      <c r="AA29" s="107">
        <f>Z29*100/$E$29</f>
        <v/>
      </c>
      <c r="AB29" s="108" t="n"/>
      <c r="AC29" s="107">
        <f>AB29*100/$E$29</f>
        <v/>
      </c>
      <c r="AD29" s="108" t="n"/>
      <c r="AE29" s="122">
        <f>AD29*100/$E$29</f>
        <v/>
      </c>
      <c r="AF29" s="108" t="n"/>
      <c r="AG29" s="122">
        <f>AF29*100/$E$29</f>
        <v/>
      </c>
      <c r="AH29" s="108" t="n"/>
      <c r="AI29" s="107">
        <f>AH29*100/$E$29</f>
        <v/>
      </c>
      <c r="AJ29" s="108" t="n"/>
      <c r="AK29" s="107">
        <f>AJ29*100/$E$29</f>
        <v/>
      </c>
      <c r="AL29" s="108" t="n"/>
      <c r="AM29" s="107">
        <f>AL29*100/$E$29</f>
        <v/>
      </c>
      <c r="AN29" s="108" t="n">
        <v>24</v>
      </c>
      <c r="AO29" s="107">
        <f>AN29*100/$E$29</f>
        <v/>
      </c>
      <c r="AP29" s="108" t="n">
        <v>8</v>
      </c>
      <c r="AQ29" s="107">
        <f>AP29*100/$E$29</f>
        <v/>
      </c>
      <c r="AR29" s="108" t="n"/>
      <c r="AS29" s="107">
        <f>AR29*100/$E$29</f>
        <v/>
      </c>
      <c r="AT29" s="108" t="n"/>
      <c r="AU29" s="90">
        <f>AT29*100/$E$29</f>
        <v/>
      </c>
      <c r="AV29" s="108" t="n"/>
      <c r="AW29" s="107">
        <f>AV29*100/$E$29</f>
        <v/>
      </c>
      <c r="AX29" s="108">
        <f>16</f>
        <v/>
      </c>
      <c r="AY29" s="107">
        <f>AX29*100/$E$29</f>
        <v/>
      </c>
      <c r="AZ29" s="108" t="n"/>
      <c r="BA29" s="107">
        <f>AZ29*100/$E$29</f>
        <v/>
      </c>
      <c r="BB29" s="108" t="n"/>
      <c r="BC29" s="107">
        <f>BB29*100/$E$29</f>
        <v/>
      </c>
      <c r="BD29" s="108" t="n"/>
      <c r="BE29" s="107">
        <f>BD29*100/$E$29</f>
        <v/>
      </c>
      <c r="BF29" s="108" t="n"/>
      <c r="BG29" s="107">
        <f>BF29*100/$E$29</f>
        <v/>
      </c>
      <c r="BH29" s="108" t="n"/>
      <c r="BI29" s="107">
        <f>BH29*100/$E$29</f>
        <v/>
      </c>
      <c r="BJ29" s="108" t="n"/>
      <c r="BK29" s="107">
        <f>BJ29*100/$E$29</f>
        <v/>
      </c>
      <c r="BL29" s="108" t="n"/>
      <c r="BM29" s="107">
        <f>BL29*100/$E$29</f>
        <v/>
      </c>
      <c r="BN29" s="108" t="n"/>
      <c r="BO29" s="107">
        <f>BN29*100/$E$29</f>
        <v/>
      </c>
      <c r="BP29" s="108" t="n"/>
      <c r="BQ29" s="107">
        <f>BP29*100/$E$29</f>
        <v/>
      </c>
      <c r="BR29" s="108" t="n"/>
      <c r="BS29" s="107">
        <f>BR29*100/$E$29</f>
        <v/>
      </c>
      <c r="BT29" s="108" t="n"/>
      <c r="BU29" s="107">
        <f>BT29*100/$E$29</f>
        <v/>
      </c>
      <c r="BV29" s="108" t="n"/>
      <c r="BW29" s="107">
        <f>BV29*100/$E$29</f>
        <v/>
      </c>
      <c r="BX29" s="108" t="n"/>
      <c r="BY29" s="107">
        <f>BX29*100/$E$29</f>
        <v/>
      </c>
      <c r="BZ29" s="108" t="n"/>
      <c r="CA29" s="107">
        <f>BZ29*100/$E$29</f>
        <v/>
      </c>
      <c r="CB29" s="108" t="n"/>
      <c r="CC29" s="107">
        <f>CB29*100/$E$29</f>
        <v/>
      </c>
      <c r="CD29" s="108" t="n"/>
      <c r="CE29" s="107">
        <f>CD29*100/$E$29</f>
        <v/>
      </c>
      <c r="CF29" s="108" t="n"/>
      <c r="CG29" s="107">
        <f>CF29*100/$E$29</f>
        <v/>
      </c>
      <c r="CH29" s="108" t="n"/>
      <c r="CI29" s="107">
        <f>CH29*100/$E$29</f>
        <v/>
      </c>
      <c r="CJ29" s="108" t="n"/>
      <c r="CK29" s="107">
        <f>CJ29*100/$E$29</f>
        <v/>
      </c>
      <c r="CL29" s="108" t="n"/>
      <c r="CM29" s="107">
        <f>CL29*100/$E$29</f>
        <v/>
      </c>
      <c r="CN29" s="108" t="n"/>
      <c r="CO29" s="122">
        <f>CN29*100/$E$29</f>
        <v/>
      </c>
      <c r="CP29" s="108" t="n"/>
      <c r="CQ29" s="107">
        <f>CP29*100/$E$29</f>
        <v/>
      </c>
      <c r="CR29" s="108" t="n"/>
      <c r="CS29" s="122">
        <f>CR29*100/$E$29</f>
        <v/>
      </c>
      <c r="CT29" s="108" t="n"/>
      <c r="CU29" s="122">
        <f>CT29*100/$E$29</f>
        <v/>
      </c>
      <c r="CV29" s="108" t="n"/>
      <c r="CW29" s="122">
        <f>CV29*100/$E$29</f>
        <v/>
      </c>
      <c r="CX29" s="108" t="n"/>
      <c r="CY29" s="122">
        <f>CX29*100/$E$29</f>
        <v/>
      </c>
      <c r="CZ29" s="108" t="n"/>
      <c r="DA29" s="122">
        <f>CZ29*100/$E$29</f>
        <v/>
      </c>
      <c r="DB29" s="108" t="n"/>
      <c r="DC29" s="122">
        <f>DB29*100/$E$29</f>
        <v/>
      </c>
      <c r="DD29" s="108" t="n"/>
      <c r="DE29" s="122">
        <f>DD29*100/$E$29</f>
        <v/>
      </c>
      <c r="DF29" s="108" t="n"/>
      <c r="DG29" s="122">
        <f>DF29*100/$E$29</f>
        <v/>
      </c>
      <c r="DH29" s="108" t="n"/>
      <c r="DI29" s="122">
        <f>DH29*100/$E$29</f>
        <v/>
      </c>
      <c r="DJ29" s="108" t="n"/>
      <c r="DK29" s="122">
        <f>DJ29*100/$E$29</f>
        <v/>
      </c>
      <c r="DL29" s="108" t="n"/>
      <c r="DM29" s="122">
        <f>DL29*100/$E$29</f>
        <v/>
      </c>
      <c r="DN29" s="108" t="n"/>
      <c r="DO29" s="122">
        <f>DN29*100/$E$29</f>
        <v/>
      </c>
      <c r="DP29" s="108" t="n"/>
      <c r="DQ29" s="122">
        <f>DP29*100/$E$29</f>
        <v/>
      </c>
      <c r="DR29" s="108" t="n"/>
      <c r="DS29" s="122">
        <f>DR29*100/$E$29</f>
        <v/>
      </c>
      <c r="DT29" s="108" t="n"/>
      <c r="DU29" s="122">
        <f>DT29*100/$E$29</f>
        <v/>
      </c>
      <c r="DV29" s="108" t="n"/>
      <c r="DW29" s="122">
        <f>DV29*100/$E$29</f>
        <v/>
      </c>
      <c r="DX29" s="108" t="n"/>
      <c r="DY29" s="122">
        <f>DX29*100/$E$29</f>
        <v/>
      </c>
      <c r="DZ29" s="108" t="n"/>
      <c r="EA29" s="122">
        <f>DZ29*100/$E$29</f>
        <v/>
      </c>
      <c r="EB29" s="108" t="n"/>
      <c r="EC29" s="122">
        <f>EB29*100/$E$29</f>
        <v/>
      </c>
      <c r="ED29" s="108" t="n"/>
      <c r="EE29" s="122">
        <f>ED29*100/$E$29</f>
        <v/>
      </c>
      <c r="EF29" s="108" t="n"/>
      <c r="EG29" s="122">
        <f>EF29*100/$E$29</f>
        <v/>
      </c>
      <c r="EH29" s="108" t="n"/>
      <c r="EI29" s="122">
        <f>EH29*100/$E$29</f>
        <v/>
      </c>
      <c r="EJ29" s="108" t="n"/>
      <c r="EK29" s="122">
        <f>EJ29*100/$E$29</f>
        <v/>
      </c>
      <c r="EL29" s="108" t="n"/>
      <c r="EM29" s="122">
        <f>EL29*100/$E$29</f>
        <v/>
      </c>
      <c r="EN29" s="108" t="n"/>
      <c r="EO29" s="122">
        <f>EN29*100/$E$29</f>
        <v/>
      </c>
      <c r="EP29" s="108" t="n"/>
      <c r="EQ29" s="122">
        <f>EP29*100/$E$29</f>
        <v/>
      </c>
      <c r="ER29" s="108" t="n"/>
      <c r="ES29" s="122">
        <f>ER29*100/$E$29</f>
        <v/>
      </c>
      <c r="ET29" s="108" t="n"/>
      <c r="EU29" s="122">
        <f>ET29*100/$E$29</f>
        <v/>
      </c>
      <c r="EV29" s="108" t="n"/>
      <c r="EW29" s="122">
        <f>EV29*100/$E$29</f>
        <v/>
      </c>
      <c r="EX29" s="108" t="n"/>
      <c r="EY29" s="122">
        <f>EX29*100/$E$29</f>
        <v/>
      </c>
      <c r="EZ29" s="108" t="n"/>
      <c r="FA29" s="122">
        <f>EZ29*100/$E$29</f>
        <v/>
      </c>
      <c r="FB29" s="108" t="n"/>
      <c r="FC29" s="122">
        <f>FB29*100/$E$29</f>
        <v/>
      </c>
      <c r="FD29" s="108" t="n"/>
      <c r="FE29" s="122">
        <f>FD29*100/$E$29</f>
        <v/>
      </c>
      <c r="FF29" s="108" t="n"/>
      <c r="FG29" s="122">
        <f>FF29*100/$E$29</f>
        <v/>
      </c>
      <c r="FH29" s="108" t="n"/>
      <c r="FI29" s="122">
        <f>FH29*100/$E$29</f>
        <v/>
      </c>
      <c r="FJ29" s="108" t="n"/>
      <c r="FK29" s="122">
        <f>FJ29*100/$E$29</f>
        <v/>
      </c>
      <c r="FL29" s="108" t="n"/>
      <c r="FM29" s="122">
        <f>FL29*100/$E$29</f>
        <v/>
      </c>
      <c r="FN29" s="108" t="n"/>
      <c r="FO29" s="122">
        <f>FN29*100/$E$29</f>
        <v/>
      </c>
      <c r="FP29" s="108" t="n"/>
      <c r="FQ29" s="122">
        <f>FP29*100/$E$29</f>
        <v/>
      </c>
      <c r="FR29" s="108" t="n"/>
      <c r="FS29" s="122">
        <f>FR29*100/$E$29</f>
        <v/>
      </c>
      <c r="FT29" s="108" t="n"/>
      <c r="FU29" s="122">
        <f>FT29*100/$E$29</f>
        <v/>
      </c>
      <c r="FV29" s="108" t="n"/>
      <c r="FW29" s="122">
        <f>FV29*100/$E$29</f>
        <v/>
      </c>
      <c r="FX29" s="108" t="n"/>
      <c r="FY29" s="107">
        <f>FX29*100/$E$29</f>
        <v/>
      </c>
      <c r="FZ29" s="108" t="n"/>
      <c r="GA29" s="107">
        <f>FZ29*100/$E$29</f>
        <v/>
      </c>
      <c r="GB29" s="108" t="n"/>
      <c r="GC29" s="107">
        <f>GB29*100/$E$29</f>
        <v/>
      </c>
      <c r="GD29" s="108" t="n"/>
      <c r="GE29" s="107">
        <f>GD29*100/$E$29</f>
        <v/>
      </c>
      <c r="GF29" s="108" t="n"/>
      <c r="GG29" s="107">
        <f>GF29*100/$E$29</f>
        <v/>
      </c>
      <c r="GH29" s="108" t="n"/>
      <c r="GI29" s="107">
        <f>GH29*100/$E$29</f>
        <v/>
      </c>
      <c r="GJ29" s="108" t="n"/>
      <c r="GK29" s="122">
        <f>GJ29*100/$E$29</f>
        <v/>
      </c>
      <c r="GL29" s="108" t="n"/>
      <c r="GM29" s="107">
        <f>GL29*100/$E$29</f>
        <v/>
      </c>
      <c r="GN29" s="108" t="n"/>
      <c r="GO29" s="122">
        <f>GN29*100/$E$29</f>
        <v/>
      </c>
      <c r="GP29" s="108" t="n"/>
      <c r="GQ29" s="107">
        <f>GP29*100/$E$29</f>
        <v/>
      </c>
      <c r="GR29" s="108" t="n"/>
      <c r="GS29" s="122">
        <f>GR29*100/$E$29</f>
        <v/>
      </c>
      <c r="GT29" s="108" t="n"/>
      <c r="GU29" s="122">
        <f>GT29*100/$E$29</f>
        <v/>
      </c>
      <c r="GV29" s="108" t="n"/>
      <c r="GW29" s="122">
        <f>GV29*100/$E$29</f>
        <v/>
      </c>
      <c r="GX29" s="108" t="n"/>
      <c r="GY29" s="107">
        <f>GX29*100/$E$29</f>
        <v/>
      </c>
      <c r="GZ29" s="108" t="n"/>
      <c r="HA29" s="107">
        <f>GZ29*100/$E$29</f>
        <v/>
      </c>
      <c r="HB29" s="108" t="n"/>
      <c r="HC29" s="107">
        <f>HB29*100/$E$29</f>
        <v/>
      </c>
      <c r="HD29" s="108" t="n"/>
      <c r="HE29" s="107">
        <f>HD29*100/$E$29</f>
        <v/>
      </c>
      <c r="HF29" s="108" t="n"/>
      <c r="HG29" s="107">
        <f>HF29*100/$E$29</f>
        <v/>
      </c>
      <c r="HH29" s="108" t="n"/>
      <c r="HI29" s="107">
        <f>HH29*100/$E$29</f>
        <v/>
      </c>
      <c r="HJ29" s="108" t="n"/>
      <c r="HK29" s="107">
        <f>HJ29*100/$E$29</f>
        <v/>
      </c>
      <c r="HL29" s="108" t="n"/>
      <c r="HM29" s="107">
        <f>HL29*100/$E$29</f>
        <v/>
      </c>
      <c r="HN29" s="108" t="n"/>
      <c r="HO29" s="107">
        <f>HN29*100/$E$29</f>
        <v/>
      </c>
      <c r="HP29" s="108" t="n"/>
      <c r="HQ29" s="107">
        <f>HP29*100/$E$29</f>
        <v/>
      </c>
      <c r="HR29" s="108" t="n"/>
      <c r="HS29" s="107">
        <f>HR29*100/$E$29</f>
        <v/>
      </c>
      <c r="HT29" s="108" t="n"/>
      <c r="HU29" s="107">
        <f>HT29*100/$E$29</f>
        <v/>
      </c>
      <c r="HV29" s="108" t="n"/>
      <c r="HW29" s="107">
        <f>HV29*100/$E$29</f>
        <v/>
      </c>
      <c r="HX29" s="108" t="n"/>
      <c r="HY29" s="107">
        <f>HX29*100/$E$29</f>
        <v/>
      </c>
      <c r="HZ29" s="108" t="n"/>
      <c r="IA29" s="122">
        <f>HZ29*100/$E$29</f>
        <v/>
      </c>
      <c r="IB29" s="108" t="n"/>
      <c r="IC29" s="122">
        <f>IB29*100/$E$29</f>
        <v/>
      </c>
      <c r="ID29" s="108" t="n"/>
      <c r="IE29" s="122">
        <f>ID29*100/$E$29</f>
        <v/>
      </c>
      <c r="IF29" s="108" t="n"/>
      <c r="IG29" s="122">
        <f>IF29*100/$E$29</f>
        <v/>
      </c>
      <c r="IH29" s="108" t="n"/>
      <c r="II29" s="122">
        <f>IH29*100/$E$29</f>
        <v/>
      </c>
      <c r="IJ29" s="108" t="n"/>
      <c r="IK29" s="122">
        <f>IJ29*100/$E$29</f>
        <v/>
      </c>
      <c r="IL29" s="108" t="n"/>
      <c r="IM29" s="107">
        <f>IL29*100/$E$29</f>
        <v/>
      </c>
      <c r="IN29" s="108" t="n"/>
      <c r="IO29" s="107">
        <f>IN29*100/$E$29</f>
        <v/>
      </c>
      <c r="IP29" s="108" t="n"/>
      <c r="IQ29" s="122">
        <f>IP29*100/$E$29</f>
        <v/>
      </c>
      <c r="IR29" s="108" t="n"/>
      <c r="IS29" s="122">
        <f>IR29*100/$E$29</f>
        <v/>
      </c>
      <c r="IT29" s="108" t="n"/>
      <c r="IU29" s="122">
        <f>IT29*100/$E$29</f>
        <v/>
      </c>
      <c r="IV29" s="108" t="n"/>
      <c r="IW29" s="122">
        <f>IV29*100/$E$29</f>
        <v/>
      </c>
      <c r="IX29" s="108" t="n"/>
      <c r="IY29" s="122">
        <f>IX29*100/$E$29</f>
        <v/>
      </c>
      <c r="IZ29" s="108" t="n"/>
      <c r="JA29" s="122">
        <f>IZ29*100/$E$29</f>
        <v/>
      </c>
      <c r="JB29" s="108" t="n"/>
      <c r="JC29" s="122">
        <f>JB29*100/$E$29</f>
        <v/>
      </c>
      <c r="JD29" s="108" t="n"/>
      <c r="JE29" s="122">
        <f>JD29*100/$E$29</f>
        <v/>
      </c>
      <c r="JF29" s="108" t="n"/>
      <c r="JG29" s="122">
        <f>JF29*100/$E$29</f>
        <v/>
      </c>
      <c r="JH29" s="108" t="n"/>
      <c r="JI29" s="122">
        <f>JH29*100/$E$29</f>
        <v/>
      </c>
      <c r="JJ29" s="108" t="n"/>
      <c r="JK29" s="122">
        <f>JJ29*100/$E$29</f>
        <v/>
      </c>
      <c r="JL29" s="108" t="n">
        <v>8</v>
      </c>
      <c r="JM29" s="122">
        <f>JL29*100/$E$29</f>
        <v/>
      </c>
      <c r="JN29" s="108" t="n"/>
      <c r="JO29" s="121">
        <f>JN29*100/$E$29</f>
        <v/>
      </c>
      <c r="JP29" s="108" t="n">
        <v>80</v>
      </c>
      <c r="JQ29" s="121">
        <f>JP29*100/$E$29</f>
        <v/>
      </c>
      <c r="JR29" s="108" t="n"/>
      <c r="JS29" s="121">
        <f>JR29*100/$E$29</f>
        <v/>
      </c>
      <c r="JT29" s="108" t="n"/>
      <c r="JU29" s="121">
        <f>JT29*100/$E$29</f>
        <v/>
      </c>
      <c r="JV29" s="108" t="n"/>
      <c r="JW29" s="121">
        <f>JV29*100/$E$29</f>
        <v/>
      </c>
      <c r="JX29" s="108" t="n"/>
      <c r="JY29" s="121">
        <f>JX29*100/$E$29</f>
        <v/>
      </c>
      <c r="JZ29" s="55">
        <f>JN29+JP29+JR29+JT29+JV29+JX29</f>
        <v/>
      </c>
      <c r="KA29" s="53">
        <f>JO29+JQ29+JS29+JU29+JW29+JY29</f>
        <v/>
      </c>
      <c r="KB29" s="185">
        <f>H29+J29+L29+N29+P29+R29+T29+V29+X29+Z29+AB29+AD29+AF29+AH29+AJ29+AL29+AN29+AP29+AR29+AT29+AV29+AX29+AZ29+BB29+BD29+BF29+BH29+BJ29+BL29+BN29+BP29+BR29+BT29+BV29+BX29+BZ29+CB29+CD29+CF29+CH29+CZ29+DB29+DD29+DF29+DH29+DJ29+DL29+DN29+DP29+DR29+DT29+DV29+DX29+DZ29+EB29+ED29+EF29+EH29+EJ29+EL29+EN29+EP29+ER29+ET29+EV29+FN29+FP29+FR29+FT29+FV29+FX29+FZ29+GB29+GD29+GF29+GH29+GJ29+GL29+GN29+GP29+GR29+GT29+GV29+GX29+GZ29+HB29+HD29+HF29+HH29+HJ29+HL29+HN29+HP29+HR29+HT29+HV29+HX29+HZ29+IB29+ID29+IF29+IH29+IJ29+IL29+IN29+IP29+IR29+IT29+IV29+IX29+IZ29+JB29+JD29+JF29+JH29+JJ29+JL29+JZ29+CJ29+CL29+CN29+CP29+CR29+CT29+CV29+CX29+EX29+EZ29+FB29+FD29+FF29+FH29+FJ29+FL29</f>
        <v/>
      </c>
      <c r="KC29" s="66">
        <f>I29+K29+M29+O29+Q29+S29+U29+W29+Y29+AA29+AC29+AE29+AG29+AI29+AK29+AM29+AO29+AQ29+AS29+AU29+AW29+AY29+BA29+BC29+BE29+BG29+BI29+BK29+BM29+BO29+BQ29+BS29+BU29+BW29+BY29+CA29+CC29+CE29+CG29+CI29+DA29+DC29+DE29+DG29+DI29+DK29+DM29+DO29+DQ29+DS29+DU29+DW29+DY29+EA29+EC29+EE29+EG29+EI29+EK29+EM29+EO29+EQ29+ES29+EU29+EW29+FO29+FS29+FU29+FW29+FQ29+FY29+GA29+GC29+GE29+GG29+GI29+GK29+GM29+GO29+GQ29+GS29+GU29+GW29+GY29+HA29+HC29+HE29+HG29+HI29+HK29+HM29+HO29+HQ29+HS29+HU29+HW29+HY29+IA29+IC29+IE29+IG29+II29+IK29+IM29+IO29+IQ29+IS29+IU29+IW29+IY29+JA29+JC29+JE29+JG29+JI29+JK29+JM29+KA29+CK29+CM29+CO29+CQ29+CS29+CU29+CW29+CY29+EY29+FA29+FC29+FE29+FG29+FI29+FK29+FM29</f>
        <v/>
      </c>
      <c r="KD29" s="44">
        <f>JO29+JQ29+JS29+JU29+JW29+JY29</f>
        <v/>
      </c>
      <c r="KE29" s="45">
        <f>KB29=E29</f>
        <v/>
      </c>
      <c r="KF29" s="101">
        <f>E29-KB29</f>
        <v/>
      </c>
      <c r="KG29" s="11" t="n"/>
    </row>
    <row r="30" ht="21.75" customFormat="1" customHeight="1" s="21">
      <c r="A30" s="126">
        <f>A29+1</f>
        <v/>
      </c>
      <c r="B30" s="175" t="inlineStr">
        <is>
          <t>Маргиани Г.И.</t>
        </is>
      </c>
      <c r="C30" s="176" t="inlineStr">
        <is>
          <t xml:space="preserve">Оператор СПУ </t>
        </is>
      </c>
      <c r="D30" s="177">
        <f>$D$5</f>
        <v/>
      </c>
      <c r="E30" s="202" t="n">
        <v>168</v>
      </c>
      <c r="F30" s="193" t="n">
        <v>113793.54</v>
      </c>
      <c r="G30" s="179">
        <f>F30/D30</f>
        <v/>
      </c>
      <c r="H30" s="125" t="n"/>
      <c r="I30" s="107">
        <f>H30*100/$E$30</f>
        <v/>
      </c>
      <c r="J30" s="108" t="n"/>
      <c r="K30" s="107">
        <f>J30*100/$E$30</f>
        <v/>
      </c>
      <c r="L30" s="108" t="n"/>
      <c r="M30" s="107">
        <f>L30*100/$E$30</f>
        <v/>
      </c>
      <c r="N30" s="108" t="n"/>
      <c r="O30" s="107">
        <f>N30*100/$E$30</f>
        <v/>
      </c>
      <c r="P30" s="108" t="n"/>
      <c r="Q30" s="122">
        <f>P30*100/$E$30</f>
        <v/>
      </c>
      <c r="R30" s="108" t="n"/>
      <c r="S30" s="122">
        <f>R30*100/$E$30</f>
        <v/>
      </c>
      <c r="T30" s="108" t="n"/>
      <c r="U30" s="107">
        <f>T30*100/$E$30</f>
        <v/>
      </c>
      <c r="V30" s="108" t="n"/>
      <c r="W30" s="107">
        <f>V30*100/$E$30</f>
        <v/>
      </c>
      <c r="X30" s="108" t="n"/>
      <c r="Y30" s="107">
        <f>X30*100/$E$30</f>
        <v/>
      </c>
      <c r="Z30" s="108" t="n"/>
      <c r="AA30" s="107">
        <f>Z30*100/$E$30</f>
        <v/>
      </c>
      <c r="AB30" s="108" t="n"/>
      <c r="AC30" s="107">
        <f>AB30*100/$E$30</f>
        <v/>
      </c>
      <c r="AD30" s="108" t="n"/>
      <c r="AE30" s="122">
        <f>AD30*100/$E$30</f>
        <v/>
      </c>
      <c r="AF30" s="108" t="n"/>
      <c r="AG30" s="122">
        <f>AF30*100/$E$30</f>
        <v/>
      </c>
      <c r="AH30" s="108" t="n"/>
      <c r="AI30" s="107">
        <f>AH30*100/$E$30</f>
        <v/>
      </c>
      <c r="AJ30" s="108" t="n"/>
      <c r="AK30" s="107">
        <f>AJ30*100/$E$30</f>
        <v/>
      </c>
      <c r="AL30" s="108" t="n"/>
      <c r="AM30" s="107">
        <f>AL30*100/$E$30</f>
        <v/>
      </c>
      <c r="AN30" s="108" t="n">
        <v>46</v>
      </c>
      <c r="AO30" s="107">
        <f>AN30*100/$E$30</f>
        <v/>
      </c>
      <c r="AP30" s="108" t="n"/>
      <c r="AQ30" s="107">
        <f>AP30*100/$E$30</f>
        <v/>
      </c>
      <c r="AR30" s="108" t="n"/>
      <c r="AS30" s="107">
        <f>AR30*100/$E$30</f>
        <v/>
      </c>
      <c r="AT30" s="108" t="n"/>
      <c r="AU30" s="90">
        <f>AT30*100/$E$30</f>
        <v/>
      </c>
      <c r="AV30" s="108" t="n"/>
      <c r="AW30" s="107">
        <f>AV30*100/$E$30</f>
        <v/>
      </c>
      <c r="AX30" s="108" t="n"/>
      <c r="AY30" s="107">
        <f>AX30*100/$E$30</f>
        <v/>
      </c>
      <c r="AZ30" s="108" t="n"/>
      <c r="BA30" s="122">
        <f>AZ30*100/$E$30</f>
        <v/>
      </c>
      <c r="BB30" s="108" t="n"/>
      <c r="BC30" s="107">
        <f>BB30*100/$E$30</f>
        <v/>
      </c>
      <c r="BD30" s="108" t="n"/>
      <c r="BE30" s="107">
        <f>BD30*100/$E$30</f>
        <v/>
      </c>
      <c r="BF30" s="108" t="n"/>
      <c r="BG30" s="107">
        <f>BF30*100/$E$30</f>
        <v/>
      </c>
      <c r="BH30" s="108" t="n"/>
      <c r="BI30" s="107">
        <f>BH30*100/$E$30</f>
        <v/>
      </c>
      <c r="BJ30" s="108" t="n"/>
      <c r="BK30" s="107">
        <f>BJ30*100/$E$30</f>
        <v/>
      </c>
      <c r="BL30" s="108" t="n"/>
      <c r="BM30" s="107">
        <f>BL30*100/$E$30</f>
        <v/>
      </c>
      <c r="BN30" s="108" t="n"/>
      <c r="BO30" s="107">
        <f>BN30*100/$E$30</f>
        <v/>
      </c>
      <c r="BP30" s="108" t="n"/>
      <c r="BQ30" s="107">
        <f>BP30*100/$E$30</f>
        <v/>
      </c>
      <c r="BR30" s="108" t="n"/>
      <c r="BS30" s="107">
        <f>BR30*100/$E$30</f>
        <v/>
      </c>
      <c r="BT30" s="108" t="n"/>
      <c r="BU30" s="107">
        <f>BT30*100/$E$30</f>
        <v/>
      </c>
      <c r="BV30" s="108" t="n"/>
      <c r="BW30" s="107">
        <f>BV30*100/$E$30</f>
        <v/>
      </c>
      <c r="BX30" s="108" t="n"/>
      <c r="BY30" s="107">
        <f>BX30*100/$E$30</f>
        <v/>
      </c>
      <c r="BZ30" s="108" t="n"/>
      <c r="CA30" s="107">
        <f>BZ30*100/$E$30</f>
        <v/>
      </c>
      <c r="CB30" s="108" t="n"/>
      <c r="CC30" s="107">
        <f>CB30*100/$E$30</f>
        <v/>
      </c>
      <c r="CD30" s="108" t="n"/>
      <c r="CE30" s="107">
        <f>CD30*100/$E$30</f>
        <v/>
      </c>
      <c r="CF30" s="108" t="n"/>
      <c r="CG30" s="107">
        <f>CF30*100/$E$30</f>
        <v/>
      </c>
      <c r="CH30" s="108" t="n"/>
      <c r="CI30" s="107">
        <f>CH30*100/$E$30</f>
        <v/>
      </c>
      <c r="CJ30" s="108" t="n"/>
      <c r="CK30" s="107">
        <f>CJ30*100/$E$30</f>
        <v/>
      </c>
      <c r="CL30" s="108" t="n"/>
      <c r="CM30" s="107">
        <f>CL30*100/$E$30</f>
        <v/>
      </c>
      <c r="CN30" s="108" t="n">
        <v>8</v>
      </c>
      <c r="CO30" s="122">
        <f>CN30*100/$E$30</f>
        <v/>
      </c>
      <c r="CP30" s="108" t="n">
        <v>12</v>
      </c>
      <c r="CQ30" s="107">
        <f>CP30*100/$E$30</f>
        <v/>
      </c>
      <c r="CR30" s="108" t="n"/>
      <c r="CS30" s="122">
        <f>CR30*100/$E$30</f>
        <v/>
      </c>
      <c r="CT30" s="108" t="n"/>
      <c r="CU30" s="122">
        <f>CT30*100/$E$30</f>
        <v/>
      </c>
      <c r="CV30" s="108" t="n"/>
      <c r="CW30" s="122">
        <f>CV30*100/$E$30</f>
        <v/>
      </c>
      <c r="CX30" s="108" t="n"/>
      <c r="CY30" s="122">
        <f>CX30*100/$E$30</f>
        <v/>
      </c>
      <c r="CZ30" s="108" t="n"/>
      <c r="DA30" s="122">
        <f>CZ30*100/$E$30</f>
        <v/>
      </c>
      <c r="DB30" s="108" t="n"/>
      <c r="DC30" s="122">
        <f>DB30*100/$E$30</f>
        <v/>
      </c>
      <c r="DD30" s="108" t="n"/>
      <c r="DE30" s="122">
        <f>DD30*100/$E$30</f>
        <v/>
      </c>
      <c r="DF30" s="108" t="n"/>
      <c r="DG30" s="122">
        <f>DF30*100/$E$30</f>
        <v/>
      </c>
      <c r="DH30" s="108" t="n"/>
      <c r="DI30" s="122">
        <f>DH30*100/$E$30</f>
        <v/>
      </c>
      <c r="DJ30" s="108" t="n">
        <v>2</v>
      </c>
      <c r="DK30" s="122">
        <f>DJ30*100/$E$30</f>
        <v/>
      </c>
      <c r="DL30" s="108" t="n"/>
      <c r="DM30" s="122">
        <f>DL30*100/$E$30</f>
        <v/>
      </c>
      <c r="DN30" s="108" t="n"/>
      <c r="DO30" s="122">
        <f>DN30*100/$E$30</f>
        <v/>
      </c>
      <c r="DP30" s="108" t="n"/>
      <c r="DQ30" s="122">
        <f>DP30*100/$E$30</f>
        <v/>
      </c>
      <c r="DR30" s="108" t="n"/>
      <c r="DS30" s="107">
        <f>DR30*100/$E$30</f>
        <v/>
      </c>
      <c r="DT30" s="108" t="n"/>
      <c r="DU30" s="122">
        <f>DT30*100/$E$30</f>
        <v/>
      </c>
      <c r="DV30" s="108" t="n"/>
      <c r="DW30" s="122">
        <f>DV30*100/$E$30</f>
        <v/>
      </c>
      <c r="DX30" s="108" t="n"/>
      <c r="DY30" s="122">
        <f>DX30*100/$E$30</f>
        <v/>
      </c>
      <c r="DZ30" s="108" t="n"/>
      <c r="EA30" s="122">
        <f>DZ30*100/$E$30</f>
        <v/>
      </c>
      <c r="EB30" s="108" t="n"/>
      <c r="EC30" s="122">
        <f>EB30*100/$E$30</f>
        <v/>
      </c>
      <c r="ED30" s="108" t="n">
        <v>12</v>
      </c>
      <c r="EE30" s="122">
        <f>ED30*100/$E$30</f>
        <v/>
      </c>
      <c r="EF30" s="108" t="n">
        <v>36</v>
      </c>
      <c r="EG30" s="122">
        <f>EF30*100/$E$30</f>
        <v/>
      </c>
      <c r="EH30" s="108" t="n"/>
      <c r="EI30" s="122">
        <f>EH30*100/$E$30</f>
        <v/>
      </c>
      <c r="EJ30" s="108" t="n">
        <v>4</v>
      </c>
      <c r="EK30" s="122">
        <f>EJ30*100/$E$30</f>
        <v/>
      </c>
      <c r="EL30" s="108" t="n">
        <v>28</v>
      </c>
      <c r="EM30" s="122">
        <f>EL30*100/$E$30</f>
        <v/>
      </c>
      <c r="EN30" s="108" t="n"/>
      <c r="EO30" s="122">
        <f>EN30*100/$E$30</f>
        <v/>
      </c>
      <c r="EP30" s="108" t="n"/>
      <c r="EQ30" s="122">
        <f>EP30*100/$E$30</f>
        <v/>
      </c>
      <c r="ER30" s="108" t="n"/>
      <c r="ES30" s="107">
        <f>ER30*100/$E$30</f>
        <v/>
      </c>
      <c r="ET30" s="108" t="n">
        <v>20</v>
      </c>
      <c r="EU30" s="107">
        <f>ET30*100/$E$30</f>
        <v/>
      </c>
      <c r="EV30" s="108" t="n"/>
      <c r="EW30" s="122">
        <f>EV30*100/$E$30</f>
        <v/>
      </c>
      <c r="EX30" s="108" t="n"/>
      <c r="EY30" s="122">
        <f>EX30*100/$E$30</f>
        <v/>
      </c>
      <c r="EZ30" s="108" t="n"/>
      <c r="FA30" s="122">
        <f>EZ30*100/$E$30</f>
        <v/>
      </c>
      <c r="FB30" s="108" t="n"/>
      <c r="FC30" s="122">
        <f>FB30*100/$E$30</f>
        <v/>
      </c>
      <c r="FD30" s="108" t="n"/>
      <c r="FE30" s="122">
        <f>FD30*100/$E$30</f>
        <v/>
      </c>
      <c r="FF30" s="108" t="n"/>
      <c r="FG30" s="122">
        <f>FF30*100/$E$30</f>
        <v/>
      </c>
      <c r="FH30" s="108" t="n"/>
      <c r="FI30" s="122">
        <f>FH30*100/$E$30</f>
        <v/>
      </c>
      <c r="FJ30" s="108" t="n"/>
      <c r="FK30" s="122">
        <f>FJ30*100/$E$30</f>
        <v/>
      </c>
      <c r="FL30" s="108" t="n"/>
      <c r="FM30" s="122">
        <f>FL30*100/$E$30</f>
        <v/>
      </c>
      <c r="FN30" s="108" t="n"/>
      <c r="FO30" s="122">
        <f>FN30*100/$E$30</f>
        <v/>
      </c>
      <c r="FP30" s="108" t="n"/>
      <c r="FQ30" s="122">
        <f>FP30*100/$E$30</f>
        <v/>
      </c>
      <c r="FR30" s="108" t="n"/>
      <c r="FS30" s="122">
        <f>FR30*100/$E$30</f>
        <v/>
      </c>
      <c r="FT30" s="108" t="n"/>
      <c r="FU30" s="122">
        <f>FT30*100/$E$30</f>
        <v/>
      </c>
      <c r="FV30" s="108" t="n"/>
      <c r="FW30" s="122">
        <f>FV30*100/$E$30</f>
        <v/>
      </c>
      <c r="FX30" s="108" t="n"/>
      <c r="FY30" s="122">
        <f>FX30*100/$E$30</f>
        <v/>
      </c>
      <c r="FZ30" s="108" t="n"/>
      <c r="GA30" s="122">
        <f>FZ30*100/$E$30</f>
        <v/>
      </c>
      <c r="GB30" s="108" t="n"/>
      <c r="GC30" s="107">
        <f>GB30*100/$E$30</f>
        <v/>
      </c>
      <c r="GD30" s="108" t="n"/>
      <c r="GE30" s="107">
        <f>GD30*100/$E$30</f>
        <v/>
      </c>
      <c r="GF30" s="108" t="n"/>
      <c r="GG30" s="107">
        <f>GF30*100/$E$30</f>
        <v/>
      </c>
      <c r="GH30" s="108" t="n"/>
      <c r="GI30" s="107">
        <f>GH30*100/$E$30</f>
        <v/>
      </c>
      <c r="GJ30" s="108" t="n"/>
      <c r="GK30" s="122">
        <f>GJ30*100/$E$30</f>
        <v/>
      </c>
      <c r="GL30" s="108" t="n"/>
      <c r="GM30" s="107">
        <f>GL30*100/$E$30</f>
        <v/>
      </c>
      <c r="GN30" s="108" t="n"/>
      <c r="GO30" s="122">
        <f>GN30*100/$E$30</f>
        <v/>
      </c>
      <c r="GP30" s="125" t="n"/>
      <c r="GQ30" s="122">
        <f>GP30*100/$E$30</f>
        <v/>
      </c>
      <c r="GR30" s="108" t="n"/>
      <c r="GS30" s="122">
        <f>GR30*100/$E$30</f>
        <v/>
      </c>
      <c r="GT30" s="108" t="n"/>
      <c r="GU30" s="122">
        <f>GT30*100/$E$30</f>
        <v/>
      </c>
      <c r="GV30" s="108" t="n"/>
      <c r="GW30" s="107">
        <f>GV30*100/$E$30</f>
        <v/>
      </c>
      <c r="GX30" s="108" t="n"/>
      <c r="GY30" s="107">
        <f>GX30*100/$E$30</f>
        <v/>
      </c>
      <c r="GZ30" s="108" t="n"/>
      <c r="HA30" s="122">
        <f>GZ30*100/$E$30</f>
        <v/>
      </c>
      <c r="HB30" s="108" t="n"/>
      <c r="HC30" s="122">
        <f>HB30*100/$E$30</f>
        <v/>
      </c>
      <c r="HD30" s="108" t="n"/>
      <c r="HE30" s="122">
        <f>HD30*100/$E$30</f>
        <v/>
      </c>
      <c r="HF30" s="108" t="n"/>
      <c r="HG30" s="122">
        <f>HF30*100/$E$30</f>
        <v/>
      </c>
      <c r="HH30" s="108" t="n"/>
      <c r="HI30" s="122">
        <f>HH30*100/$E$30</f>
        <v/>
      </c>
      <c r="HJ30" s="108" t="n"/>
      <c r="HK30" s="122">
        <f>HJ30*100/$E$30</f>
        <v/>
      </c>
      <c r="HL30" s="108" t="n"/>
      <c r="HM30" s="107">
        <f>HL30*100/$E$30</f>
        <v/>
      </c>
      <c r="HN30" s="108" t="n"/>
      <c r="HO30" s="107">
        <f>HN30*100/$E$30</f>
        <v/>
      </c>
      <c r="HP30" s="108" t="n"/>
      <c r="HQ30" s="107">
        <f>HP30*100/$E$30</f>
        <v/>
      </c>
      <c r="HR30" s="108" t="n"/>
      <c r="HS30" s="107">
        <f>HR30*100/$E$30</f>
        <v/>
      </c>
      <c r="HT30" s="108" t="n"/>
      <c r="HU30" s="107">
        <f>HT30*100/$E$30</f>
        <v/>
      </c>
      <c r="HV30" s="108" t="n"/>
      <c r="HW30" s="107">
        <f>HV30*100/$E$30</f>
        <v/>
      </c>
      <c r="HX30" s="108" t="n"/>
      <c r="HY30" s="122">
        <f>HX30*100/$E$30</f>
        <v/>
      </c>
      <c r="HZ30" s="108" t="n"/>
      <c r="IA30" s="122">
        <f>HZ30*100/$E$30</f>
        <v/>
      </c>
      <c r="IB30" s="108" t="n"/>
      <c r="IC30" s="122">
        <f>IB30*100/$E$30</f>
        <v/>
      </c>
      <c r="ID30" s="108" t="n"/>
      <c r="IE30" s="122">
        <f>ID30*100/$E$30</f>
        <v/>
      </c>
      <c r="IF30" s="108" t="n"/>
      <c r="IG30" s="122">
        <f>IF30*100/$E$30</f>
        <v/>
      </c>
      <c r="IH30" s="108" t="n"/>
      <c r="II30" s="122">
        <f>IH30*100/$E$30</f>
        <v/>
      </c>
      <c r="IJ30" s="108" t="n"/>
      <c r="IK30" s="122">
        <f>IJ30*100/$E$30</f>
        <v/>
      </c>
      <c r="IL30" s="108" t="n"/>
      <c r="IM30" s="122">
        <f>IL30*100/$E$30</f>
        <v/>
      </c>
      <c r="IN30" s="108" t="n"/>
      <c r="IO30" s="122">
        <f>IN30*100/$E$30</f>
        <v/>
      </c>
      <c r="IP30" s="108" t="n"/>
      <c r="IQ30" s="122">
        <f>IP30*100/$E$30</f>
        <v/>
      </c>
      <c r="IR30" s="108" t="n"/>
      <c r="IS30" s="122">
        <f>IR30*100/$E$30</f>
        <v/>
      </c>
      <c r="IT30" s="108" t="n"/>
      <c r="IU30" s="122">
        <f>IT30*100/$E$30</f>
        <v/>
      </c>
      <c r="IV30" s="108" t="n"/>
      <c r="IW30" s="122">
        <f>IV30*100/$E$30</f>
        <v/>
      </c>
      <c r="IX30" s="108" t="n"/>
      <c r="IY30" s="122">
        <f>IX30*100/$E$30</f>
        <v/>
      </c>
      <c r="IZ30" s="108" t="n"/>
      <c r="JA30" s="122">
        <f>IZ30*100/$E$30</f>
        <v/>
      </c>
      <c r="JB30" s="108" t="n"/>
      <c r="JC30" s="122">
        <f>JB30*100/$E$30</f>
        <v/>
      </c>
      <c r="JD30" s="108" t="n"/>
      <c r="JE30" s="122">
        <f>JD30*100/$E$30</f>
        <v/>
      </c>
      <c r="JF30" s="108" t="n"/>
      <c r="JG30" s="107">
        <f>JF30*100/$E$30</f>
        <v/>
      </c>
      <c r="JH30" s="108" t="n"/>
      <c r="JI30" s="122">
        <f>JH30*100/$E$30</f>
        <v/>
      </c>
      <c r="JJ30" s="125" t="n"/>
      <c r="JK30" s="122">
        <f>JJ30*100/$E$30</f>
        <v/>
      </c>
      <c r="JL30" s="108" t="n"/>
      <c r="JM30" s="122">
        <f>JL30*100/$E$30</f>
        <v/>
      </c>
      <c r="JN30" s="108" t="n"/>
      <c r="JO30" s="107">
        <f>JN30*100/$E$30</f>
        <v/>
      </c>
      <c r="JP30" s="108" t="n"/>
      <c r="JQ30" s="107">
        <f>JP30*100/$E$30</f>
        <v/>
      </c>
      <c r="JR30" s="108" t="n"/>
      <c r="JS30" s="107">
        <f>JR30*100/$E$30</f>
        <v/>
      </c>
      <c r="JT30" s="108" t="n"/>
      <c r="JU30" s="122">
        <f>JT30*100/$E$30</f>
        <v/>
      </c>
      <c r="JV30" s="108" t="n"/>
      <c r="JW30" s="122">
        <f>JV30*100/$E$30</f>
        <v/>
      </c>
      <c r="JX30" s="108" t="n"/>
      <c r="JY30" s="122">
        <f>JX30*100/$E$30</f>
        <v/>
      </c>
      <c r="JZ30" s="55">
        <f>JN30+JP30+JR30+JT30+JV30+JX30</f>
        <v/>
      </c>
      <c r="KA30" s="53">
        <f>JO30+JQ30+JS30+JU30+JW30+JY30</f>
        <v/>
      </c>
      <c r="KB30" s="185">
        <f>H30+J30+L30+N30+P30+R30+T30+V30+X30+Z30+AB30+AD30+AF30+AH30+AJ30+AL30+AN30+AP30+AR30+AT30+AV30+AX30+AZ30+BB30+BD30+BF30+BH30+BJ30+BL30+BN30+BP30+BR30+BT30+BV30+BX30+BZ30+CB30+CD30+CF30+CH30+CZ30+DB30+DD30+DF30+DH30+DJ30+DL30+DN30+DP30+DR30+DT30+DV30+DX30+DZ30+EB30+ED30+EF30+EH30+EJ30+EL30+EN30+EP30+ER30+ET30+EV30+FN30+FP30+FR30+FT30+FV30+FX30+FZ30+GB30+GD30+GF30+GH30+GJ30+GL30+GN30+GP30+GR30+GT30+GV30+GX30+GZ30+HB30+HD30+HF30+HH30+HJ30+HL30+HN30+HP30+HR30+HT30+HV30+HX30+HZ30+IB30+ID30+IF30+IH30+IJ30+IL30+IN30+IP30+IR30+IT30+IV30+IX30+IZ30+JB30+JD30+JF30+JH30+JJ30+JL30+JZ30+CJ30+CL30+CN30+CP30+CR30+CT30+CV30+CX30+EX30+EZ30+FB30+FD30+FF30+FH30+FJ30+FL30</f>
        <v/>
      </c>
      <c r="KC30" s="66">
        <f>I30+K30+M30+O30+Q30+S30+U30+W30+Y30+AA30+AC30+AE30+AG30+AI30+AK30+AM30+AO30+AQ30+AS30+AU30+AW30+AY30+BA30+BC30+BE30+BG30+BI30+BK30+BM30+BO30+BQ30+BS30+BU30+BW30+BY30+CA30+CC30+CE30+CG30+CI30+DA30+DC30+DE30+DG30+DI30+DK30+DM30+DO30+DQ30+DS30+DU30+DW30+DY30+EA30+EC30+EE30+EG30+EI30+EK30+EM30+EO30+EQ30+ES30+EU30+EW30+FO30+FS30+FU30+FW30+FQ30+FY30+GA30+GC30+GE30+GG30+GI30+GK30+GM30+GO30+GQ30+GS30+GU30+GW30+GY30+HA30+HC30+HE30+HG30+HI30+HK30+HM30+HO30+HQ30+HS30+HU30+HW30+HY30+IA30+IC30+IE30+IG30+II30+IK30+IM30+IO30+IQ30+IS30+IU30+IW30+IY30+JA30+JC30+JE30+JG30+JI30+JK30+JM30+KA30+CK30+CM30+CO30+CQ30+CS30+CU30+CW30+CY30+EY30+FA30+FC30+FE30+FG30+FI30+FK30+FM30</f>
        <v/>
      </c>
      <c r="KD30" s="44">
        <f>JO30+JQ30+JS30+JU30+JW30+JY30</f>
        <v/>
      </c>
      <c r="KE30" s="45">
        <f>KB30=E30</f>
        <v/>
      </c>
      <c r="KF30" s="101">
        <f>E30-KB30</f>
        <v/>
      </c>
      <c r="KG30" s="23" t="n"/>
    </row>
    <row r="31" ht="21.75" customFormat="1" customHeight="1" s="23">
      <c r="A31" s="126">
        <f>A30+1</f>
        <v/>
      </c>
      <c r="B31" s="175" t="inlineStr">
        <is>
          <t>Михеев В.О.</t>
        </is>
      </c>
      <c r="C31" s="194" t="inlineStr">
        <is>
          <t>электрогазосварщик</t>
        </is>
      </c>
      <c r="D31" s="177">
        <f>$D$5</f>
        <v/>
      </c>
      <c r="E31" s="202" t="n">
        <v>144</v>
      </c>
      <c r="F31" s="193" t="n">
        <v>80462.25</v>
      </c>
      <c r="G31" s="179">
        <f>F31/D31</f>
        <v/>
      </c>
      <c r="H31" s="125" t="n"/>
      <c r="I31" s="107">
        <f>H31*100/$E$31</f>
        <v/>
      </c>
      <c r="J31" s="108" t="n"/>
      <c r="K31" s="107">
        <f>J31*100/$E$31</f>
        <v/>
      </c>
      <c r="L31" s="108" t="n"/>
      <c r="M31" s="107">
        <f>L31*100/$E$31</f>
        <v/>
      </c>
      <c r="N31" s="108" t="n"/>
      <c r="O31" s="107">
        <f>N31*100/$E$31</f>
        <v/>
      </c>
      <c r="P31" s="108" t="n"/>
      <c r="Q31" s="122">
        <f>P31*100/$E$31</f>
        <v/>
      </c>
      <c r="R31" s="108" t="n"/>
      <c r="S31" s="122">
        <f>R31*100/$E$31</f>
        <v/>
      </c>
      <c r="T31" s="108" t="n"/>
      <c r="U31" s="107">
        <f>T31*100/$E$31</f>
        <v/>
      </c>
      <c r="V31" s="108" t="n"/>
      <c r="W31" s="107">
        <f>V31*100/$E$31</f>
        <v/>
      </c>
      <c r="X31" s="108" t="n"/>
      <c r="Y31" s="107">
        <f>X31*100/$E$31</f>
        <v/>
      </c>
      <c r="Z31" s="108" t="n"/>
      <c r="AA31" s="107">
        <f>Z31*100/$E$31</f>
        <v/>
      </c>
      <c r="AB31" s="108" t="n"/>
      <c r="AC31" s="107">
        <f>AB31*100/$E$31</f>
        <v/>
      </c>
      <c r="AD31" s="108" t="n"/>
      <c r="AE31" s="122">
        <f>AD31*100/$E$31</f>
        <v/>
      </c>
      <c r="AF31" s="108" t="n">
        <v>8</v>
      </c>
      <c r="AG31" s="122">
        <f>AF31*100/$E$31</f>
        <v/>
      </c>
      <c r="AH31" s="108" t="n"/>
      <c r="AI31" s="107">
        <f>AH31*100/$E$31</f>
        <v/>
      </c>
      <c r="AJ31" s="108" t="n"/>
      <c r="AK31" s="107">
        <f>AJ31*100/$E$31</f>
        <v/>
      </c>
      <c r="AL31" s="108" t="n"/>
      <c r="AM31" s="107">
        <f>AL31*100/$E$31</f>
        <v/>
      </c>
      <c r="AN31" s="108" t="n"/>
      <c r="AO31" s="107">
        <f>AN31*100/$E$31</f>
        <v/>
      </c>
      <c r="AP31" s="108" t="n"/>
      <c r="AQ31" s="107">
        <f>AP31*100/$E$31</f>
        <v/>
      </c>
      <c r="AR31" s="108" t="n"/>
      <c r="AS31" s="107">
        <f>AR31*100/$E$31</f>
        <v/>
      </c>
      <c r="AT31" s="108" t="n"/>
      <c r="AU31" s="90">
        <f>AT31*100/$E$31</f>
        <v/>
      </c>
      <c r="AV31" s="108" t="n"/>
      <c r="AW31" s="107">
        <f>AV31*100/$E$31</f>
        <v/>
      </c>
      <c r="AX31" s="108">
        <f>24</f>
        <v/>
      </c>
      <c r="AY31" s="107">
        <f>AX31*100/$E$31</f>
        <v/>
      </c>
      <c r="AZ31" s="108" t="n"/>
      <c r="BA31" s="107">
        <f>AZ31*100/$E$31</f>
        <v/>
      </c>
      <c r="BB31" s="108" t="n"/>
      <c r="BC31" s="107">
        <f>BB31*100/$E$31</f>
        <v/>
      </c>
      <c r="BD31" s="108" t="n"/>
      <c r="BE31" s="107">
        <f>BD31*100/$E$31</f>
        <v/>
      </c>
      <c r="BF31" s="108" t="n"/>
      <c r="BG31" s="107">
        <f>BF31*100/$E$31</f>
        <v/>
      </c>
      <c r="BH31" s="108" t="n"/>
      <c r="BI31" s="107">
        <f>BH31*100/$E$31</f>
        <v/>
      </c>
      <c r="BJ31" s="108" t="n"/>
      <c r="BK31" s="107">
        <f>BJ31*100/$E$31</f>
        <v/>
      </c>
      <c r="BL31" s="108" t="n"/>
      <c r="BM31" s="107">
        <f>BL31*100/$E$31</f>
        <v/>
      </c>
      <c r="BN31" s="108" t="n"/>
      <c r="BO31" s="107">
        <f>BN31*100/$E$31</f>
        <v/>
      </c>
      <c r="BP31" s="108" t="n"/>
      <c r="BQ31" s="107">
        <f>BP31*100/$E$31</f>
        <v/>
      </c>
      <c r="BR31" s="108" t="n"/>
      <c r="BS31" s="107">
        <f>BR31*100/$E$31</f>
        <v/>
      </c>
      <c r="BT31" s="108" t="n"/>
      <c r="BU31" s="107">
        <f>BT31*100/$E$31</f>
        <v/>
      </c>
      <c r="BV31" s="108" t="n"/>
      <c r="BW31" s="107">
        <f>BV31*100/$E$31</f>
        <v/>
      </c>
      <c r="BX31" s="108" t="n"/>
      <c r="BY31" s="107">
        <f>BX31*100/$E$31</f>
        <v/>
      </c>
      <c r="BZ31" s="108" t="n"/>
      <c r="CA31" s="107">
        <f>BZ31*100/$E$31</f>
        <v/>
      </c>
      <c r="CB31" s="108" t="n"/>
      <c r="CC31" s="107">
        <f>CB31*100/$E$31</f>
        <v/>
      </c>
      <c r="CD31" s="108" t="n"/>
      <c r="CE31" s="107">
        <f>CD31*100/$E$31</f>
        <v/>
      </c>
      <c r="CF31" s="108" t="n"/>
      <c r="CG31" s="107">
        <f>CF31*100/$E$31</f>
        <v/>
      </c>
      <c r="CH31" s="108" t="n"/>
      <c r="CI31" s="107">
        <f>CH31*100/$E$31</f>
        <v/>
      </c>
      <c r="CJ31" s="108" t="n"/>
      <c r="CK31" s="107">
        <f>CJ31*100/$E$31</f>
        <v/>
      </c>
      <c r="CL31" s="108" t="n"/>
      <c r="CM31" s="107">
        <f>CL31*100/$E$31</f>
        <v/>
      </c>
      <c r="CN31" s="108" t="n"/>
      <c r="CO31" s="122">
        <f>CN31*100/$E$31</f>
        <v/>
      </c>
      <c r="CP31" s="108" t="n"/>
      <c r="CQ31" s="107">
        <f>CP31*100/$E$31</f>
        <v/>
      </c>
      <c r="CR31" s="108" t="n"/>
      <c r="CS31" s="122">
        <f>CR31*100/$E$31</f>
        <v/>
      </c>
      <c r="CT31" s="108" t="n"/>
      <c r="CU31" s="122">
        <f>CT31*100/$E$31</f>
        <v/>
      </c>
      <c r="CV31" s="108" t="n"/>
      <c r="CW31" s="122">
        <f>CV31*100/$E$31</f>
        <v/>
      </c>
      <c r="CX31" s="108" t="n"/>
      <c r="CY31" s="122">
        <f>CX31*100/$E$31</f>
        <v/>
      </c>
      <c r="CZ31" s="108" t="n"/>
      <c r="DA31" s="122">
        <f>CZ31*100/$E$31</f>
        <v/>
      </c>
      <c r="DB31" s="108" t="n"/>
      <c r="DC31" s="122">
        <f>DB31*100/$E$31</f>
        <v/>
      </c>
      <c r="DD31" s="108" t="n"/>
      <c r="DE31" s="122">
        <f>DD31*100/$E$31</f>
        <v/>
      </c>
      <c r="DF31" s="108" t="n"/>
      <c r="DG31" s="122">
        <f>DF31*100/$E$31</f>
        <v/>
      </c>
      <c r="DH31" s="108" t="n"/>
      <c r="DI31" s="122">
        <f>DH31*100/$E$31</f>
        <v/>
      </c>
      <c r="DJ31" s="108" t="n"/>
      <c r="DK31" s="122">
        <f>DJ31*100/$E$31</f>
        <v/>
      </c>
      <c r="DL31" s="108" t="n"/>
      <c r="DM31" s="122">
        <f>DL31*100/$E$31</f>
        <v/>
      </c>
      <c r="DN31" s="108" t="n"/>
      <c r="DO31" s="122">
        <f>DN31*100/$E$31</f>
        <v/>
      </c>
      <c r="DP31" s="108" t="n"/>
      <c r="DQ31" s="122">
        <f>DP31*100/$E$31</f>
        <v/>
      </c>
      <c r="DR31" s="108" t="n"/>
      <c r="DS31" s="122">
        <f>DR31*100/$E$31</f>
        <v/>
      </c>
      <c r="DT31" s="108" t="n"/>
      <c r="DU31" s="122">
        <f>DT31*100/$E$31</f>
        <v/>
      </c>
      <c r="DV31" s="108" t="n"/>
      <c r="DW31" s="122">
        <f>DV31*100/$E$31</f>
        <v/>
      </c>
      <c r="DX31" s="108" t="n"/>
      <c r="DY31" s="122">
        <f>DX31*100/$E$31</f>
        <v/>
      </c>
      <c r="DZ31" s="108" t="n"/>
      <c r="EA31" s="122">
        <f>DZ31*100/$E$31</f>
        <v/>
      </c>
      <c r="EB31" s="108" t="n"/>
      <c r="EC31" s="122">
        <f>EB31*100/$E$31</f>
        <v/>
      </c>
      <c r="ED31" s="108" t="n"/>
      <c r="EE31" s="122">
        <f>ED31*100/$E$31</f>
        <v/>
      </c>
      <c r="EF31" s="108" t="n"/>
      <c r="EG31" s="122">
        <f>EF31*100/$E$31</f>
        <v/>
      </c>
      <c r="EH31" s="108" t="n"/>
      <c r="EI31" s="122">
        <f>EH31*100/$E$31</f>
        <v/>
      </c>
      <c r="EJ31" s="108" t="n"/>
      <c r="EK31" s="122">
        <f>EJ31*100/$E$31</f>
        <v/>
      </c>
      <c r="EL31" s="108" t="n"/>
      <c r="EM31" s="122">
        <f>EL31*100/$E$31</f>
        <v/>
      </c>
      <c r="EN31" s="108" t="n"/>
      <c r="EO31" s="122">
        <f>EN31*100/$E$31</f>
        <v/>
      </c>
      <c r="EP31" s="108" t="n"/>
      <c r="EQ31" s="122">
        <f>EP31*100/$E$31</f>
        <v/>
      </c>
      <c r="ER31" s="108" t="n"/>
      <c r="ES31" s="122">
        <f>ER31*100/$E$31</f>
        <v/>
      </c>
      <c r="ET31" s="108" t="n"/>
      <c r="EU31" s="122">
        <f>ET31*100/$E$31</f>
        <v/>
      </c>
      <c r="EV31" s="108" t="n"/>
      <c r="EW31" s="122">
        <f>EV31*100/$E$31</f>
        <v/>
      </c>
      <c r="EX31" s="108" t="n"/>
      <c r="EY31" s="122">
        <f>EX31*100/$E$31</f>
        <v/>
      </c>
      <c r="EZ31" s="108" t="n"/>
      <c r="FA31" s="122">
        <f>EZ31*100/$E$31</f>
        <v/>
      </c>
      <c r="FB31" s="108" t="n"/>
      <c r="FC31" s="122">
        <f>FB31*100/$E$31</f>
        <v/>
      </c>
      <c r="FD31" s="108" t="n"/>
      <c r="FE31" s="122">
        <f>FD31*100/$E$31</f>
        <v/>
      </c>
      <c r="FF31" s="108" t="n"/>
      <c r="FG31" s="122">
        <f>FF31*100/$E$31</f>
        <v/>
      </c>
      <c r="FH31" s="108" t="n"/>
      <c r="FI31" s="122">
        <f>FH31*100/$E$31</f>
        <v/>
      </c>
      <c r="FJ31" s="108" t="n"/>
      <c r="FK31" s="122">
        <f>FJ31*100/$E$31</f>
        <v/>
      </c>
      <c r="FL31" s="108" t="n"/>
      <c r="FM31" s="122">
        <f>FL31*100/$E$31</f>
        <v/>
      </c>
      <c r="FN31" s="108" t="n"/>
      <c r="FO31" s="122">
        <f>FN31*100/$E$31</f>
        <v/>
      </c>
      <c r="FP31" s="108" t="n"/>
      <c r="FQ31" s="122">
        <f>FP31*100/$E$31</f>
        <v/>
      </c>
      <c r="FR31" s="108" t="n"/>
      <c r="FS31" s="122">
        <f>FR31*100/$E$31</f>
        <v/>
      </c>
      <c r="FT31" s="108" t="n"/>
      <c r="FU31" s="122">
        <f>FT31*100/$E$31</f>
        <v/>
      </c>
      <c r="FV31" s="108" t="n"/>
      <c r="FW31" s="122">
        <f>FV31*100/$E$31</f>
        <v/>
      </c>
      <c r="FX31" s="108" t="n"/>
      <c r="FY31" s="107">
        <f>FX31*100/$E$31</f>
        <v/>
      </c>
      <c r="FZ31" s="108" t="n"/>
      <c r="GA31" s="107">
        <f>FZ31*100/$E$31</f>
        <v/>
      </c>
      <c r="GB31" s="108" t="n"/>
      <c r="GC31" s="107">
        <f>GB31*100/$E$31</f>
        <v/>
      </c>
      <c r="GD31" s="108" t="n"/>
      <c r="GE31" s="107">
        <f>GD31*100/$E$31</f>
        <v/>
      </c>
      <c r="GF31" s="108" t="n"/>
      <c r="GG31" s="107">
        <f>GF31*100/$E$31</f>
        <v/>
      </c>
      <c r="GH31" s="108" t="n"/>
      <c r="GI31" s="107">
        <f>GH31*100/$E$31</f>
        <v/>
      </c>
      <c r="GJ31" s="108" t="n"/>
      <c r="GK31" s="122">
        <f>GJ31*100/$E$31</f>
        <v/>
      </c>
      <c r="GL31" s="108" t="n"/>
      <c r="GM31" s="107">
        <f>GL31*100/$E$31</f>
        <v/>
      </c>
      <c r="GN31" s="108" t="n"/>
      <c r="GO31" s="122">
        <f>GN31*100/$E$31</f>
        <v/>
      </c>
      <c r="GP31" s="108" t="n"/>
      <c r="GQ31" s="107">
        <f>GP31*100/$E$31</f>
        <v/>
      </c>
      <c r="GR31" s="108" t="n"/>
      <c r="GS31" s="122">
        <f>GR31*100/$E$31</f>
        <v/>
      </c>
      <c r="GT31" s="108" t="n"/>
      <c r="GU31" s="122">
        <f>GT31*100/$E$31</f>
        <v/>
      </c>
      <c r="GV31" s="108" t="n"/>
      <c r="GW31" s="122">
        <f>GV31*100/$E$31</f>
        <v/>
      </c>
      <c r="GX31" s="108" t="n"/>
      <c r="GY31" s="107">
        <f>GX31*100/$E$31</f>
        <v/>
      </c>
      <c r="GZ31" s="108" t="n"/>
      <c r="HA31" s="107">
        <f>GZ31*100/$E$31</f>
        <v/>
      </c>
      <c r="HB31" s="108" t="n"/>
      <c r="HC31" s="107">
        <f>HB31*100/$E$31</f>
        <v/>
      </c>
      <c r="HD31" s="108" t="n"/>
      <c r="HE31" s="107">
        <f>HD31*100/$E$31</f>
        <v/>
      </c>
      <c r="HF31" s="108" t="n"/>
      <c r="HG31" s="107">
        <f>HF31*100/$E$31</f>
        <v/>
      </c>
      <c r="HH31" s="108" t="n"/>
      <c r="HI31" s="107">
        <f>HH31*100/$E$31</f>
        <v/>
      </c>
      <c r="HJ31" s="108" t="n"/>
      <c r="HK31" s="107">
        <f>HJ31*100/$E$31</f>
        <v/>
      </c>
      <c r="HL31" s="108" t="n"/>
      <c r="HM31" s="107">
        <f>HL31*100/$E$31</f>
        <v/>
      </c>
      <c r="HN31" s="108" t="n"/>
      <c r="HO31" s="107">
        <f>HN31*100/$E$31</f>
        <v/>
      </c>
      <c r="HP31" s="108" t="n"/>
      <c r="HQ31" s="107">
        <f>HP31*100/$E$31</f>
        <v/>
      </c>
      <c r="HR31" s="108" t="n"/>
      <c r="HS31" s="107">
        <f>HR31*100/$E$31</f>
        <v/>
      </c>
      <c r="HT31" s="108" t="n"/>
      <c r="HU31" s="107">
        <f>HT31*100/$E$31</f>
        <v/>
      </c>
      <c r="HV31" s="108" t="n"/>
      <c r="HW31" s="107">
        <f>HV31*100/$E$31</f>
        <v/>
      </c>
      <c r="HX31" s="108" t="n"/>
      <c r="HY31" s="107">
        <f>HX31*100/$E$31</f>
        <v/>
      </c>
      <c r="HZ31" s="108" t="n"/>
      <c r="IA31" s="122">
        <f>HZ31*100/$E$31</f>
        <v/>
      </c>
      <c r="IB31" s="108" t="n"/>
      <c r="IC31" s="122">
        <f>IB31*100/$E$31</f>
        <v/>
      </c>
      <c r="ID31" s="108" t="n"/>
      <c r="IE31" s="122">
        <f>ID31*100/$E$31</f>
        <v/>
      </c>
      <c r="IF31" s="108" t="n"/>
      <c r="IG31" s="122">
        <f>IF31*100/$E$31</f>
        <v/>
      </c>
      <c r="IH31" s="108" t="n"/>
      <c r="II31" s="122">
        <f>IH31*100/$E$31</f>
        <v/>
      </c>
      <c r="IJ31" s="108" t="n"/>
      <c r="IK31" s="122">
        <f>IJ31*100/$E$31</f>
        <v/>
      </c>
      <c r="IL31" s="108" t="n"/>
      <c r="IM31" s="107">
        <f>IL31*100/$E$31</f>
        <v/>
      </c>
      <c r="IN31" s="108" t="n"/>
      <c r="IO31" s="107">
        <f>IN31*100/$E$31</f>
        <v/>
      </c>
      <c r="IP31" s="108" t="n"/>
      <c r="IQ31" s="122">
        <f>IP31*100/$E$31</f>
        <v/>
      </c>
      <c r="IR31" s="108" t="n"/>
      <c r="IS31" s="122">
        <f>IR31*100/$E$31</f>
        <v/>
      </c>
      <c r="IT31" s="108" t="n"/>
      <c r="IU31" s="122">
        <f>IT31*100/$E$31</f>
        <v/>
      </c>
      <c r="IV31" s="108" t="n"/>
      <c r="IW31" s="122">
        <f>IV31*100/$E$31</f>
        <v/>
      </c>
      <c r="IX31" s="108" t="n"/>
      <c r="IY31" s="122">
        <f>IX31*100/$E$31</f>
        <v/>
      </c>
      <c r="IZ31" s="108" t="n"/>
      <c r="JA31" s="122">
        <f>IZ31*100/$E$31</f>
        <v/>
      </c>
      <c r="JB31" s="108" t="n"/>
      <c r="JC31" s="122">
        <f>JB31*100/$E$31</f>
        <v/>
      </c>
      <c r="JD31" s="108" t="n"/>
      <c r="JE31" s="122">
        <f>JD31*100/$E$31</f>
        <v/>
      </c>
      <c r="JF31" s="108" t="n"/>
      <c r="JG31" s="122">
        <f>JF31*100/$E$31</f>
        <v/>
      </c>
      <c r="JH31" s="108" t="n"/>
      <c r="JI31" s="122">
        <f>JH31*100/$E$31</f>
        <v/>
      </c>
      <c r="JJ31" s="108" t="n"/>
      <c r="JK31" s="122">
        <f>JJ31*100/$E$31</f>
        <v/>
      </c>
      <c r="JL31" s="108" t="n">
        <v>16</v>
      </c>
      <c r="JM31" s="122">
        <f>JL31*100/$E$31</f>
        <v/>
      </c>
      <c r="JN31" s="108" t="n"/>
      <c r="JO31" s="121">
        <f>JN31*100/$E$31</f>
        <v/>
      </c>
      <c r="JP31" s="108" t="n">
        <v>96</v>
      </c>
      <c r="JQ31" s="121">
        <f>JP31*100/$E$31</f>
        <v/>
      </c>
      <c r="JR31" s="108" t="n"/>
      <c r="JS31" s="121">
        <f>JR31*100/$E$31</f>
        <v/>
      </c>
      <c r="JT31" s="108" t="n"/>
      <c r="JU31" s="121">
        <f>JT31*100/$E$31</f>
        <v/>
      </c>
      <c r="JV31" s="108" t="n"/>
      <c r="JW31" s="121">
        <f>JV31*100/$E$31</f>
        <v/>
      </c>
      <c r="JX31" s="108" t="n"/>
      <c r="JY31" s="121">
        <f>JX31*100/$E$31</f>
        <v/>
      </c>
      <c r="JZ31" s="55">
        <f>JN31+JP31+JR31+JT31+JV31+JX31</f>
        <v/>
      </c>
      <c r="KA31" s="53">
        <f>JO31+JQ31+JS31+JU31+JW31+JY31</f>
        <v/>
      </c>
      <c r="KB31" s="185">
        <f>H31+J31+L31+N31+P31+R31+T31+V31+X31+Z31+AB31+AD31+AF31+AH31+AJ31+AL31+AN31+AP31+AR31+AT31+AV31+AX31+AZ31+BB31+BD31+BF31+BH31+BJ31+BL31+BN31+BP31+BR31+BT31+BV31+BX31+BZ31+CB31+CD31+CF31+CH31+CZ31+DB31+DD31+DF31+DH31+DJ31+DL31+DN31+DP31+DR31+DT31+DV31+DX31+DZ31+EB31+ED31+EF31+EH31+EJ31+EL31+EN31+EP31+ER31+ET31+EV31+FN31+FP31+FR31+FT31+FV31+FX31+FZ31+GB31+GD31+GF31+GH31+GJ31+GL31+GN31+GP31+GR31+GT31+GV31+GX31+GZ31+HB31+HD31+HF31+HH31+HJ31+HL31+HN31+HP31+HR31+HT31+HV31+HX31+HZ31+IB31+ID31+IF31+IH31+IJ31+IL31+IN31+IP31+IR31+IT31+IV31+IX31+IZ31+JB31+JD31+JF31+JH31+JJ31+JL31+JZ31+CJ31+CL31+CN31+CP31+CR31+CT31+CV31+CX31+EX31+EZ31+FB31+FD31+FF31+FH31+FJ31+FL31</f>
        <v/>
      </c>
      <c r="KC31" s="66">
        <f>I31+K31+M31+O31+Q31+S31+U31+W31+Y31+AA31+AC31+AE31+AG31+AI31+AK31+AM31+AO31+AQ31+AS31+AU31+AW31+AY31+BA31+BC31+BE31+BG31+BI31+BK31+BM31+BO31+BQ31+BS31+BU31+BW31+BY31+CA31+CC31+CE31+CG31+CI31+DA31+DC31+DE31+DG31+DI31+DK31+DM31+DO31+DQ31+DS31+DU31+DW31+DY31+EA31+EC31+EE31+EG31+EI31+EK31+EM31+EO31+EQ31+ES31+EU31+EW31+FO31+FS31+FU31+FW31+FQ31+FY31+GA31+GC31+GE31+GG31+GI31+GK31+GM31+GO31+GQ31+GS31+GU31+GW31+GY31+HA31+HC31+HE31+HG31+HI31+HK31+HM31+HO31+HQ31+HS31+HU31+HW31+HY31+IA31+IC31+IE31+IG31+II31+IK31+IM31+IO31+IQ31+IS31+IU31+IW31+IY31+JA31+JC31+JE31+JG31+JI31+JK31+JM31+KA31+CK31+CM31+CO31+CQ31+CS31+CU31+CW31+CY31+EY31+FA31+FC31+FE31+FG31+FI31+FK31+FM31</f>
        <v/>
      </c>
      <c r="KD31" s="44">
        <f>JO31+JQ31+JS31+JU31+JW31+JY31</f>
        <v/>
      </c>
      <c r="KE31" s="45">
        <f>KB31=E31</f>
        <v/>
      </c>
      <c r="KF31" s="101">
        <f>E31-KB31</f>
        <v/>
      </c>
      <c r="KG31" s="11" t="n"/>
    </row>
    <row r="32" ht="21.75" customFormat="1" customHeight="1" s="210">
      <c r="A32" s="126">
        <f>A31+1</f>
        <v/>
      </c>
      <c r="B32" s="201" t="inlineStr">
        <is>
          <t>Неверов Г.А.</t>
        </is>
      </c>
      <c r="C32" s="194" t="inlineStr">
        <is>
          <t>слесарь</t>
        </is>
      </c>
      <c r="D32" s="177">
        <f>$D$5</f>
        <v/>
      </c>
      <c r="E32" s="202" t="n">
        <v>136</v>
      </c>
      <c r="F32" s="193" t="n">
        <v>68902.87</v>
      </c>
      <c r="G32" s="179">
        <f>F32/D32</f>
        <v/>
      </c>
      <c r="H32" s="180">
        <f>4+8</f>
        <v/>
      </c>
      <c r="I32" s="140">
        <f>H32*100/$E$32</f>
        <v/>
      </c>
      <c r="J32" s="133" t="n">
        <v>4</v>
      </c>
      <c r="K32" s="140">
        <f>J32*100/$E$32</f>
        <v/>
      </c>
      <c r="L32" s="133" t="n"/>
      <c r="M32" s="140">
        <f>L32*100/$E$32</f>
        <v/>
      </c>
      <c r="N32" s="133" t="n"/>
      <c r="O32" s="140">
        <f>N32*100/$E$32</f>
        <v/>
      </c>
      <c r="P32" s="133" t="n"/>
      <c r="Q32" s="139">
        <f>P32*100/$E$32</f>
        <v/>
      </c>
      <c r="R32" s="133" t="n"/>
      <c r="S32" s="139">
        <f>R32*100/$E$32</f>
        <v/>
      </c>
      <c r="T32" s="133" t="n"/>
      <c r="U32" s="140">
        <f>T32*100/$E$32</f>
        <v/>
      </c>
      <c r="V32" s="133" t="n"/>
      <c r="W32" s="140">
        <f>V32*100/$E$32</f>
        <v/>
      </c>
      <c r="X32" s="133" t="n"/>
      <c r="Y32" s="140">
        <f>X32*100/$E$32</f>
        <v/>
      </c>
      <c r="Z32" s="133" t="n"/>
      <c r="AA32" s="140">
        <f>Z32*100/$E$32</f>
        <v/>
      </c>
      <c r="AB32" s="133" t="n"/>
      <c r="AC32" s="140">
        <f>AB32*100/$E$32</f>
        <v/>
      </c>
      <c r="AD32" s="133" t="n"/>
      <c r="AE32" s="139">
        <f>AD32*100/$E$32</f>
        <v/>
      </c>
      <c r="AF32" s="133" t="n"/>
      <c r="AG32" s="139">
        <f>AF32*100/$E$32</f>
        <v/>
      </c>
      <c r="AH32" s="133" t="n"/>
      <c r="AI32" s="140">
        <f>AH32*100/$E$32</f>
        <v/>
      </c>
      <c r="AJ32" s="133" t="n"/>
      <c r="AK32" s="140">
        <f>AJ32*100/$E$32</f>
        <v/>
      </c>
      <c r="AL32" s="133" t="n"/>
      <c r="AM32" s="140">
        <f>AL32*100/$E$32</f>
        <v/>
      </c>
      <c r="AN32" s="133" t="n">
        <v>2</v>
      </c>
      <c r="AO32" s="140">
        <f>AN32*100/$E$32</f>
        <v/>
      </c>
      <c r="AP32" s="133" t="n"/>
      <c r="AQ32" s="140">
        <f>AP32*100/$E$32</f>
        <v/>
      </c>
      <c r="AR32" s="133" t="n"/>
      <c r="AS32" s="140">
        <f>AR32*100/$E$32</f>
        <v/>
      </c>
      <c r="AT32" s="133" t="n"/>
      <c r="AU32" s="181">
        <f>AT32*100/$E$32</f>
        <v/>
      </c>
      <c r="AV32" s="133" t="n"/>
      <c r="AW32" s="140">
        <f>AV32*100/$E$32</f>
        <v/>
      </c>
      <c r="AX32" s="133">
        <f>4+4+8</f>
        <v/>
      </c>
      <c r="AY32" s="140">
        <f>AX32*100/$E$32</f>
        <v/>
      </c>
      <c r="AZ32" s="133" t="n"/>
      <c r="BA32" s="140">
        <f>AZ32*100/$E$32</f>
        <v/>
      </c>
      <c r="BB32" s="133" t="n"/>
      <c r="BC32" s="140">
        <f>BB32*100/$E$32</f>
        <v/>
      </c>
      <c r="BD32" s="133" t="n"/>
      <c r="BE32" s="140">
        <f>BD32*100/$E$32</f>
        <v/>
      </c>
      <c r="BF32" s="133" t="n"/>
      <c r="BG32" s="140">
        <f>BF32*100/$E$32</f>
        <v/>
      </c>
      <c r="BH32" s="133" t="n"/>
      <c r="BI32" s="140">
        <f>BH32*100/$E$32</f>
        <v/>
      </c>
      <c r="BJ32" s="133">
        <f>8+8+4</f>
        <v/>
      </c>
      <c r="BK32" s="140">
        <f>BJ32*100/$E$32</f>
        <v/>
      </c>
      <c r="BL32" s="133" t="n"/>
      <c r="BM32" s="140">
        <f>BL32*100/$E$32</f>
        <v/>
      </c>
      <c r="BN32" s="133" t="n"/>
      <c r="BO32" s="140">
        <f>BN32*100/$E$32</f>
        <v/>
      </c>
      <c r="BP32" s="133" t="n"/>
      <c r="BQ32" s="140">
        <f>BP32*100/$E$32</f>
        <v/>
      </c>
      <c r="BR32" s="133" t="n"/>
      <c r="BS32" s="140">
        <f>BR32*100/$E$32</f>
        <v/>
      </c>
      <c r="BT32" s="133" t="n"/>
      <c r="BU32" s="140">
        <f>BT32*100/$E$32</f>
        <v/>
      </c>
      <c r="BV32" s="133" t="n"/>
      <c r="BW32" s="140">
        <f>BV32*100/$E$32</f>
        <v/>
      </c>
      <c r="BX32" s="133" t="n">
        <v>4</v>
      </c>
      <c r="BY32" s="140">
        <f>BX32*100/$E$32</f>
        <v/>
      </c>
      <c r="BZ32" s="133" t="n"/>
      <c r="CA32" s="140">
        <f>BZ32*100/$E$32</f>
        <v/>
      </c>
      <c r="CB32" s="133" t="n"/>
      <c r="CC32" s="140">
        <f>CB32*100/$E$32</f>
        <v/>
      </c>
      <c r="CD32" s="133" t="n"/>
      <c r="CE32" s="140">
        <f>CD32*100/$E$32</f>
        <v/>
      </c>
      <c r="CF32" s="133" t="n">
        <v>4</v>
      </c>
      <c r="CG32" s="140">
        <f>CF32*100/$E$32</f>
        <v/>
      </c>
      <c r="CH32" s="133" t="n"/>
      <c r="CI32" s="140">
        <f>CH32*100/$E$32</f>
        <v/>
      </c>
      <c r="CJ32" s="133" t="n"/>
      <c r="CK32" s="140">
        <f>CJ32*100/$E$32</f>
        <v/>
      </c>
      <c r="CL32" s="133" t="n"/>
      <c r="CM32" s="140">
        <f>CL32*100/$E$32</f>
        <v/>
      </c>
      <c r="CN32" s="133" t="n"/>
      <c r="CO32" s="139">
        <f>CN32*100/$E$32</f>
        <v/>
      </c>
      <c r="CP32" s="133" t="n"/>
      <c r="CQ32" s="140">
        <f>CP32*100/$E$32</f>
        <v/>
      </c>
      <c r="CR32" s="133" t="n"/>
      <c r="CS32" s="139">
        <f>CR32*100/$E$32</f>
        <v/>
      </c>
      <c r="CT32" s="133" t="n"/>
      <c r="CU32" s="139">
        <f>CT32*100/$E$32</f>
        <v/>
      </c>
      <c r="CV32" s="133" t="n"/>
      <c r="CW32" s="139">
        <f>CV32*100/$E$32</f>
        <v/>
      </c>
      <c r="CX32" s="133" t="n"/>
      <c r="CY32" s="139">
        <f>CX32*100/$E$32</f>
        <v/>
      </c>
      <c r="CZ32" s="133" t="n"/>
      <c r="DA32" s="139">
        <f>CZ32*100/$E$32</f>
        <v/>
      </c>
      <c r="DB32" s="133" t="n"/>
      <c r="DC32" s="139">
        <f>DB32*100/$E$32</f>
        <v/>
      </c>
      <c r="DD32" s="133" t="n"/>
      <c r="DE32" s="139">
        <f>DD32*100/$E$32</f>
        <v/>
      </c>
      <c r="DF32" s="133" t="n"/>
      <c r="DG32" s="139">
        <f>DF32*100/$E$32</f>
        <v/>
      </c>
      <c r="DH32" s="133" t="n"/>
      <c r="DI32" s="139">
        <f>DH32*100/$E$32</f>
        <v/>
      </c>
      <c r="DJ32" s="133" t="n"/>
      <c r="DK32" s="139">
        <f>DJ32*100/$E$32</f>
        <v/>
      </c>
      <c r="DL32" s="133">
        <f>4+8</f>
        <v/>
      </c>
      <c r="DM32" s="139">
        <f>DL32*100/$E$32</f>
        <v/>
      </c>
      <c r="DN32" s="133" t="n"/>
      <c r="DO32" s="139">
        <f>DN32*100/$E$32</f>
        <v/>
      </c>
      <c r="DP32" s="133" t="n"/>
      <c r="DQ32" s="139">
        <f>DP32*100/$E$32</f>
        <v/>
      </c>
      <c r="DR32" s="133" t="n"/>
      <c r="DS32" s="139">
        <f>DR32*100/$E$32</f>
        <v/>
      </c>
      <c r="DT32" s="133" t="n"/>
      <c r="DU32" s="139">
        <f>DT32*100/$E$32</f>
        <v/>
      </c>
      <c r="DV32" s="133" t="n"/>
      <c r="DW32" s="139">
        <f>DV32*100/$E$32</f>
        <v/>
      </c>
      <c r="DX32" s="133" t="n"/>
      <c r="DY32" s="139">
        <f>DX32*100/$E$32</f>
        <v/>
      </c>
      <c r="DZ32" s="133">
        <f>4+8+8</f>
        <v/>
      </c>
      <c r="EA32" s="139">
        <f>DZ32*100/$E$32</f>
        <v/>
      </c>
      <c r="EB32" s="133" t="n"/>
      <c r="EC32" s="139">
        <f>EB32*100/$E$32</f>
        <v/>
      </c>
      <c r="ED32" s="133" t="n"/>
      <c r="EE32" s="139">
        <f>ED32*100/$E$32</f>
        <v/>
      </c>
      <c r="EF32" s="133" t="n"/>
      <c r="EG32" s="139">
        <f>EF32*100/$E$32</f>
        <v/>
      </c>
      <c r="EH32" s="133" t="n"/>
      <c r="EI32" s="139">
        <f>EH32*100/$E$32</f>
        <v/>
      </c>
      <c r="EJ32" s="133" t="n"/>
      <c r="EK32" s="139">
        <f>EJ32*100/$E$32</f>
        <v/>
      </c>
      <c r="EL32" s="133" t="n"/>
      <c r="EM32" s="139">
        <f>EL32*100/$E$32</f>
        <v/>
      </c>
      <c r="EN32" s="133">
        <f>8+8</f>
        <v/>
      </c>
      <c r="EO32" s="139">
        <f>EN32*100/$E$32</f>
        <v/>
      </c>
      <c r="EP32" s="133" t="n"/>
      <c r="EQ32" s="139">
        <f>EP32*100/$E$32</f>
        <v/>
      </c>
      <c r="ER32" s="133" t="n"/>
      <c r="ES32" s="139">
        <f>ER32*100/$E$32</f>
        <v/>
      </c>
      <c r="ET32" s="133" t="n"/>
      <c r="EU32" s="139">
        <f>ET32*100/$E$32</f>
        <v/>
      </c>
      <c r="EV32" s="133" t="n">
        <v>4</v>
      </c>
      <c r="EW32" s="139">
        <f>EV32*100/$E$32</f>
        <v/>
      </c>
      <c r="EX32" s="133" t="n">
        <v>8</v>
      </c>
      <c r="EY32" s="139">
        <f>EX32*100/$E$32</f>
        <v/>
      </c>
      <c r="EZ32" s="133" t="n"/>
      <c r="FA32" s="139">
        <f>EZ32*100/$E$32</f>
        <v/>
      </c>
      <c r="FB32" s="133" t="n"/>
      <c r="FC32" s="139">
        <f>FB32*100/$E$32</f>
        <v/>
      </c>
      <c r="FD32" s="133" t="n"/>
      <c r="FE32" s="139">
        <f>FD32*100/$E$32</f>
        <v/>
      </c>
      <c r="FF32" s="133" t="n"/>
      <c r="FG32" s="139">
        <f>FF32*100/$E$32</f>
        <v/>
      </c>
      <c r="FH32" s="133" t="n"/>
      <c r="FI32" s="139">
        <f>FH32*100/$E$32</f>
        <v/>
      </c>
      <c r="FJ32" s="133" t="n"/>
      <c r="FK32" s="139">
        <f>FJ32*100/$E$32</f>
        <v/>
      </c>
      <c r="FL32" s="133" t="n"/>
      <c r="FM32" s="139">
        <f>FL32*100/$E$32</f>
        <v/>
      </c>
      <c r="FN32" s="133" t="n"/>
      <c r="FO32" s="139">
        <f>FN32*100/$E$32</f>
        <v/>
      </c>
      <c r="FP32" s="133" t="n"/>
      <c r="FQ32" s="139">
        <f>FP32*100/$E$32</f>
        <v/>
      </c>
      <c r="FR32" s="133" t="n"/>
      <c r="FS32" s="139">
        <f>FR32*100/$E$32</f>
        <v/>
      </c>
      <c r="FT32" s="133" t="n"/>
      <c r="FU32" s="139">
        <f>FT32*100/$E$32</f>
        <v/>
      </c>
      <c r="FV32" s="133" t="n"/>
      <c r="FW32" s="139">
        <f>FV32*100/$E$32</f>
        <v/>
      </c>
      <c r="FX32" s="133" t="n"/>
      <c r="FY32" s="140">
        <f>FX32*100/$E$32</f>
        <v/>
      </c>
      <c r="FZ32" s="133" t="n"/>
      <c r="GA32" s="140">
        <f>FZ32*100/$E$32</f>
        <v/>
      </c>
      <c r="GB32" s="133" t="n"/>
      <c r="GC32" s="140">
        <f>GB32*100/$E$32</f>
        <v/>
      </c>
      <c r="GD32" s="133" t="n"/>
      <c r="GE32" s="140">
        <f>GD32*100/$E$32</f>
        <v/>
      </c>
      <c r="GF32" s="133" t="n"/>
      <c r="GG32" s="140">
        <f>GF32*100/$E$32</f>
        <v/>
      </c>
      <c r="GH32" s="133" t="n"/>
      <c r="GI32" s="140">
        <f>GH32*100/$E$32</f>
        <v/>
      </c>
      <c r="GJ32" s="133" t="n"/>
      <c r="GK32" s="139">
        <f>GJ32*100/$E$32</f>
        <v/>
      </c>
      <c r="GL32" s="133" t="n"/>
      <c r="GM32" s="140">
        <f>GL32*100/$E$32</f>
        <v/>
      </c>
      <c r="GN32" s="133" t="n"/>
      <c r="GO32" s="139">
        <f>GN32*100/$E$32</f>
        <v/>
      </c>
      <c r="GP32" s="133" t="n"/>
      <c r="GQ32" s="140">
        <f>GP32*100/$E$32</f>
        <v/>
      </c>
      <c r="GR32" s="133" t="n"/>
      <c r="GS32" s="139">
        <f>GR32*100/$E$32</f>
        <v/>
      </c>
      <c r="GT32" s="133" t="n"/>
      <c r="GU32" s="139">
        <f>GT32*100/$E$32</f>
        <v/>
      </c>
      <c r="GV32" s="133" t="n"/>
      <c r="GW32" s="139">
        <f>GV32*100/$E$32</f>
        <v/>
      </c>
      <c r="GX32" s="133" t="n"/>
      <c r="GY32" s="140">
        <f>GX32*100/$E$32</f>
        <v/>
      </c>
      <c r="GZ32" s="133" t="n"/>
      <c r="HA32" s="140">
        <f>GZ32*100/$E$32</f>
        <v/>
      </c>
      <c r="HB32" s="133" t="n"/>
      <c r="HC32" s="140">
        <f>HB32*100/$E$32</f>
        <v/>
      </c>
      <c r="HD32" s="133" t="n"/>
      <c r="HE32" s="140">
        <f>HD32*100/$E$32</f>
        <v/>
      </c>
      <c r="HF32" s="133" t="n"/>
      <c r="HG32" s="140">
        <f>HF32*100/$E$32</f>
        <v/>
      </c>
      <c r="HH32" s="133" t="n"/>
      <c r="HI32" s="140">
        <f>HH32*100/$E$32</f>
        <v/>
      </c>
      <c r="HJ32" s="133" t="n"/>
      <c r="HK32" s="140">
        <f>HJ32*100/$E$32</f>
        <v/>
      </c>
      <c r="HL32" s="133" t="n"/>
      <c r="HM32" s="140">
        <f>HL32*100/$E$32</f>
        <v/>
      </c>
      <c r="HN32" s="133" t="n"/>
      <c r="HO32" s="140">
        <f>HN32*100/$E$32</f>
        <v/>
      </c>
      <c r="HP32" s="133" t="n"/>
      <c r="HQ32" s="140">
        <f>HP32*100/$E$32</f>
        <v/>
      </c>
      <c r="HR32" s="133" t="n"/>
      <c r="HS32" s="140">
        <f>HR32*100/$E$32</f>
        <v/>
      </c>
      <c r="HT32" s="133" t="n"/>
      <c r="HU32" s="140">
        <f>HT32*100/$E$32</f>
        <v/>
      </c>
      <c r="HV32" s="133" t="n"/>
      <c r="HW32" s="140">
        <f>HV32*100/$E$32</f>
        <v/>
      </c>
      <c r="HX32" s="133" t="n"/>
      <c r="HY32" s="140">
        <f>HX32*100/$E$32</f>
        <v/>
      </c>
      <c r="HZ32" s="133" t="n"/>
      <c r="IA32" s="139">
        <f>HZ32*100/$E$32</f>
        <v/>
      </c>
      <c r="IB32" s="133" t="n"/>
      <c r="IC32" s="139">
        <f>IB32*100/$E$32</f>
        <v/>
      </c>
      <c r="ID32" s="133" t="n"/>
      <c r="IE32" s="139">
        <f>ID32*100/$E$32</f>
        <v/>
      </c>
      <c r="IF32" s="133" t="n"/>
      <c r="IG32" s="139">
        <f>IF32*100/$E$32</f>
        <v/>
      </c>
      <c r="IH32" s="133" t="n"/>
      <c r="II32" s="139">
        <f>IH32*100/$E$32</f>
        <v/>
      </c>
      <c r="IJ32" s="133" t="n"/>
      <c r="IK32" s="139">
        <f>IJ32*100/$E$32</f>
        <v/>
      </c>
      <c r="IL32" s="133" t="n"/>
      <c r="IM32" s="140">
        <f>IL32*100/$E$32</f>
        <v/>
      </c>
      <c r="IN32" s="133" t="n"/>
      <c r="IO32" s="140">
        <f>IN32*100/$E$32</f>
        <v/>
      </c>
      <c r="IP32" s="133" t="n"/>
      <c r="IQ32" s="139">
        <f>IP32*100/$E$32</f>
        <v/>
      </c>
      <c r="IR32" s="133" t="n"/>
      <c r="IS32" s="139">
        <f>IR32*100/$E$32</f>
        <v/>
      </c>
      <c r="IT32" s="133" t="n"/>
      <c r="IU32" s="139">
        <f>IT32*100/$E$32</f>
        <v/>
      </c>
      <c r="IV32" s="133" t="n"/>
      <c r="IW32" s="139">
        <f>IV32*100/$E$32</f>
        <v/>
      </c>
      <c r="IX32" s="133" t="n"/>
      <c r="IY32" s="139">
        <f>IX32*100/$E$32</f>
        <v/>
      </c>
      <c r="IZ32" s="133" t="n"/>
      <c r="JA32" s="139">
        <f>IZ32*100/$E$32</f>
        <v/>
      </c>
      <c r="JB32" s="133" t="n"/>
      <c r="JC32" s="139">
        <f>JB32*100/$E$32</f>
        <v/>
      </c>
      <c r="JD32" s="133" t="n"/>
      <c r="JE32" s="139">
        <f>JD32*100/$E$32</f>
        <v/>
      </c>
      <c r="JF32" s="133">
        <f>4+6</f>
        <v/>
      </c>
      <c r="JG32" s="139">
        <f>JF32*100/$E$32</f>
        <v/>
      </c>
      <c r="JH32" s="133" t="n"/>
      <c r="JI32" s="139">
        <f>JH32*100/$E$32</f>
        <v/>
      </c>
      <c r="JJ32" s="133" t="n"/>
      <c r="JK32" s="139">
        <f>JJ32*100/$E$32</f>
        <v/>
      </c>
      <c r="JL32" s="133">
        <f>4+2+2-4</f>
        <v/>
      </c>
      <c r="JM32" s="139">
        <f>JL32*100/$E$32</f>
        <v/>
      </c>
      <c r="JN32" s="133" t="n"/>
      <c r="JO32" s="182">
        <f>JN32*100/$E$32</f>
        <v/>
      </c>
      <c r="JP32" s="133" t="n"/>
      <c r="JQ32" s="182">
        <f>JP32*100/$E$32</f>
        <v/>
      </c>
      <c r="JR32" s="108" t="n"/>
      <c r="JS32" s="121">
        <f>JR32*100/$E$32</f>
        <v/>
      </c>
      <c r="JT32" s="108" t="n"/>
      <c r="JU32" s="121">
        <f>JT32*100/$E$32</f>
        <v/>
      </c>
      <c r="JV32" s="108" t="n"/>
      <c r="JW32" s="121">
        <f>JV32*100/$E$32</f>
        <v/>
      </c>
      <c r="JX32" s="108" t="n"/>
      <c r="JY32" s="121">
        <f>JX32*100/$E$32</f>
        <v/>
      </c>
      <c r="JZ32" s="183">
        <f>JN32+JP32+JR32+JT32+JV32+JX32</f>
        <v/>
      </c>
      <c r="KA32" s="184">
        <f>JO32+JQ32+JS32+JU32+JW32+JY32</f>
        <v/>
      </c>
      <c r="KB32" s="185">
        <f>H32+J32+L32+N32+P32+R32+T32+V32+X32+Z32+AB32+AD32+AF32+AH32+AJ32+AL32+AN32+AP32+AR32+AT32+AV32+AX32+AZ32+BB32+BD32+BF32+BH32+BJ32+BL32+BN32+BP32+BR32+BT32+BV32+BX32+BZ32+CB32+CD32+CF32+CH32+CZ32+DB32+DD32+DF32+DH32+DJ32+DL32+DN32+DP32+DR32+DT32+DV32+DX32+DZ32+EB32+ED32+EF32+EH32+EJ32+EL32+EN32+EP32+ER32+ET32+EV32+FN32+FP32+FR32+FT32+FV32+FX32+FZ32+GB32+GD32+GF32+GH32+GJ32+GL32+GN32+GP32+GR32+GT32+GV32+GX32+GZ32+HB32+HD32+HF32+HH32+HJ32+HL32+HN32+HP32+HR32+HT32+HV32+HX32+HZ32+IB32+ID32+IF32+IH32+IJ32+IL32+IN32+IP32+IR32+IT32+IV32+IX32+IZ32+JB32+JD32+JF32+JH32+JJ32+JL32+JZ32+CJ32+CL32+CN32+CP32+CR32+CT32+CV32+CX32+EX32+EZ32+FB32+FD32+FF32+FH32+FJ32+FL32</f>
        <v/>
      </c>
      <c r="KC32" s="186">
        <f>I32+K32+M32+O32+Q32+S32+U32+W32+Y32+AA32+AC32+AE32+AG32+AI32+AK32+AM32+AO32+AQ32+AS32+AU32+AW32+AY32+BA32+BC32+BE32+BG32+BI32+BK32+BM32+BO32+BQ32+BS32+BU32+BW32+BY32+CA32+CC32+CE32+CG32+CI32+DA32+DC32+DE32+DG32+DI32+DK32+DM32+DO32+DQ32+DS32+DU32+DW32+DY32+EA32+EC32+EE32+EG32+EI32+EK32+EM32+EO32+EQ32+ES32+EU32+EW32+FO32+FS32+FU32+FW32+FQ32+FY32+GA32+GC32+GE32+GG32+GI32+GK32+GM32+GO32+GQ32+GS32+GU32+GW32+GY32+HA32+HC32+HE32+HG32+HI32+HK32+HM32+HO32+HQ32+HS32+HU32+HW32+HY32+IA32+IC32+IE32+IG32+II32+IK32+IM32+IO32+IQ32+IS32+IU32+IW32+IY32+JA32+JC32+JE32+JG32+JI32+JK32+JM32+KA32+CK32+CM32+CO32+CQ32+CS32+CU32+CW32+CY32+EY32+FA32+FC32+FE32+FG32+FI32+FK32+FM32</f>
        <v/>
      </c>
      <c r="KD32" s="187">
        <f>JO32+JQ32+JS32+JU32+JW32+JY32</f>
        <v/>
      </c>
      <c r="KE32" s="188">
        <f>KB32=E32</f>
        <v/>
      </c>
      <c r="KF32" s="189">
        <f>E32-KB32</f>
        <v/>
      </c>
      <c r="KG32" s="209" t="n"/>
    </row>
    <row r="33" ht="21.75" customFormat="1" customHeight="1" s="209">
      <c r="A33" s="126">
        <f>A32+1</f>
        <v/>
      </c>
      <c r="B33" s="175" t="inlineStr">
        <is>
          <t>Никулин В.Г.</t>
        </is>
      </c>
      <c r="C33" s="176" t="inlineStr">
        <is>
          <t>токарь</t>
        </is>
      </c>
      <c r="D33" s="177">
        <f>$D$5</f>
        <v/>
      </c>
      <c r="E33" s="202" t="n">
        <v>168</v>
      </c>
      <c r="F33" s="193" t="n">
        <v>107473.5</v>
      </c>
      <c r="G33" s="179">
        <f>F33/D33</f>
        <v/>
      </c>
      <c r="H33" s="180" t="n"/>
      <c r="I33" s="140">
        <f>H33*100/$E$33</f>
        <v/>
      </c>
      <c r="J33" s="133" t="n"/>
      <c r="K33" s="140">
        <f>J33*100/$E$33</f>
        <v/>
      </c>
      <c r="L33" s="133" t="n"/>
      <c r="M33" s="140">
        <f>L33*100/$E$33</f>
        <v/>
      </c>
      <c r="N33" s="133" t="n"/>
      <c r="O33" s="140">
        <f>N33*100/$E$33</f>
        <v/>
      </c>
      <c r="P33" s="133" t="n"/>
      <c r="Q33" s="139">
        <f>P33*100/$E$33</f>
        <v/>
      </c>
      <c r="R33" s="133" t="n"/>
      <c r="S33" s="139">
        <f>R33*100/$E$33</f>
        <v/>
      </c>
      <c r="T33" s="133" t="n"/>
      <c r="U33" s="140">
        <f>T33*100/$E$33</f>
        <v/>
      </c>
      <c r="V33" s="133" t="n"/>
      <c r="W33" s="140">
        <f>V33*100/$E$33</f>
        <v/>
      </c>
      <c r="X33" s="133" t="n"/>
      <c r="Y33" s="140">
        <f>X33*100/$E$33</f>
        <v/>
      </c>
      <c r="Z33" s="133" t="n"/>
      <c r="AA33" s="140">
        <f>Z33*100/$E$33</f>
        <v/>
      </c>
      <c r="AB33" s="133" t="n"/>
      <c r="AC33" s="140">
        <f>AB33*100/$E$33</f>
        <v/>
      </c>
      <c r="AD33" s="133" t="n"/>
      <c r="AE33" s="139">
        <f>AD33*100/$E$33</f>
        <v/>
      </c>
      <c r="AF33" s="133" t="n">
        <v>6</v>
      </c>
      <c r="AG33" s="139">
        <f>AF33*100/$E$33</f>
        <v/>
      </c>
      <c r="AH33" s="133" t="n"/>
      <c r="AI33" s="140">
        <f>AH33*100/$E$33</f>
        <v/>
      </c>
      <c r="AJ33" s="133">
        <f>12+12</f>
        <v/>
      </c>
      <c r="AK33" s="140">
        <f>AJ33*100/$E$33</f>
        <v/>
      </c>
      <c r="AL33" s="133" t="n"/>
      <c r="AM33" s="140">
        <f>AL33*100/$E$33</f>
        <v/>
      </c>
      <c r="AN33" s="133" t="n"/>
      <c r="AO33" s="140">
        <f>AN33*100/$E$33</f>
        <v/>
      </c>
      <c r="AP33" s="133" t="n"/>
      <c r="AQ33" s="140">
        <f>AP33*100/$E$33</f>
        <v/>
      </c>
      <c r="AR33" s="133" t="n"/>
      <c r="AS33" s="140">
        <f>AR33*100/$E$33</f>
        <v/>
      </c>
      <c r="AT33" s="133" t="n"/>
      <c r="AU33" s="181">
        <f>AT33*100/$E$33</f>
        <v/>
      </c>
      <c r="AV33" s="133">
        <f>12+6</f>
        <v/>
      </c>
      <c r="AW33" s="140">
        <f>AV33*100/$E$33</f>
        <v/>
      </c>
      <c r="AX33" s="133" t="n"/>
      <c r="AY33" s="140">
        <f>AX33*100/$E$33</f>
        <v/>
      </c>
      <c r="AZ33" s="133" t="n"/>
      <c r="BA33" s="140">
        <f>AZ33*100/$E$33</f>
        <v/>
      </c>
      <c r="BB33" s="133" t="n"/>
      <c r="BC33" s="140">
        <f>BB33*100/$E$33</f>
        <v/>
      </c>
      <c r="BD33" s="133" t="n"/>
      <c r="BE33" s="140">
        <f>BD33*100/$E$33</f>
        <v/>
      </c>
      <c r="BF33" s="133" t="n"/>
      <c r="BG33" s="140">
        <f>BF33*100/$E$33</f>
        <v/>
      </c>
      <c r="BH33" s="133">
        <f>12+12</f>
        <v/>
      </c>
      <c r="BI33" s="140">
        <f>BH33*100/$E$33</f>
        <v/>
      </c>
      <c r="BJ33" s="133" t="n"/>
      <c r="BK33" s="140">
        <f>BJ33*100/$E$33</f>
        <v/>
      </c>
      <c r="BL33" s="133" t="n"/>
      <c r="BM33" s="140">
        <f>BL33*100/$E$33</f>
        <v/>
      </c>
      <c r="BN33" s="133">
        <f>12+12</f>
        <v/>
      </c>
      <c r="BO33" s="140">
        <f>BN33*100/$E$33</f>
        <v/>
      </c>
      <c r="BP33" s="133" t="n"/>
      <c r="BQ33" s="140">
        <f>BP33*100/$E$33</f>
        <v/>
      </c>
      <c r="BR33" s="133" t="n"/>
      <c r="BS33" s="140">
        <f>BR33*100/$E$33</f>
        <v/>
      </c>
      <c r="BT33" s="133" t="n"/>
      <c r="BU33" s="140">
        <f>BT33*100/$E$33</f>
        <v/>
      </c>
      <c r="BV33" s="133" t="n"/>
      <c r="BW33" s="140">
        <f>BV33*100/$E$33</f>
        <v/>
      </c>
      <c r="BX33" s="133" t="n"/>
      <c r="BY33" s="140">
        <f>BX33*100/$E$33</f>
        <v/>
      </c>
      <c r="BZ33" s="133" t="n"/>
      <c r="CA33" s="140">
        <f>BZ33*100/$E$33</f>
        <v/>
      </c>
      <c r="CB33" s="133" t="n"/>
      <c r="CC33" s="140">
        <f>CB33*100/$E$33</f>
        <v/>
      </c>
      <c r="CD33" s="133" t="n"/>
      <c r="CE33" s="140">
        <f>CD33*100/$E$33</f>
        <v/>
      </c>
      <c r="CF33" s="133" t="n"/>
      <c r="CG33" s="140">
        <f>CF33*100/$E$33</f>
        <v/>
      </c>
      <c r="CH33" s="133" t="n"/>
      <c r="CI33" s="140">
        <f>CH33*100/$E$33</f>
        <v/>
      </c>
      <c r="CJ33" s="133" t="n"/>
      <c r="CK33" s="140">
        <f>CJ33*100/$E$33</f>
        <v/>
      </c>
      <c r="CL33" s="133" t="n">
        <v>12</v>
      </c>
      <c r="CM33" s="140">
        <f>CL33*100/$E$33</f>
        <v/>
      </c>
      <c r="CN33" s="133" t="n"/>
      <c r="CO33" s="139">
        <f>CN33*100/$E$33</f>
        <v/>
      </c>
      <c r="CP33" s="133" t="n"/>
      <c r="CQ33" s="140">
        <f>CP33*100/$E$33</f>
        <v/>
      </c>
      <c r="CR33" s="133" t="n"/>
      <c r="CS33" s="139">
        <f>CR33*100/$E$33</f>
        <v/>
      </c>
      <c r="CT33" s="133" t="n"/>
      <c r="CU33" s="139">
        <f>CT33*100/$E$33</f>
        <v/>
      </c>
      <c r="CV33" s="133" t="n"/>
      <c r="CW33" s="139">
        <f>CV33*100/$E$33</f>
        <v/>
      </c>
      <c r="CX33" s="133" t="n"/>
      <c r="CY33" s="139">
        <f>CX33*100/$E$33</f>
        <v/>
      </c>
      <c r="CZ33" s="133" t="n"/>
      <c r="DA33" s="139">
        <f>CZ33*100/$E$33</f>
        <v/>
      </c>
      <c r="DB33" s="133" t="n"/>
      <c r="DC33" s="139">
        <f>DB33*100/$E$33</f>
        <v/>
      </c>
      <c r="DD33" s="133" t="n"/>
      <c r="DE33" s="139">
        <f>DD33*100/$E$33</f>
        <v/>
      </c>
      <c r="DF33" s="133" t="n"/>
      <c r="DG33" s="139">
        <f>DF33*100/$E$33</f>
        <v/>
      </c>
      <c r="DH33" s="133" t="n"/>
      <c r="DI33" s="139">
        <f>DH33*100/$E$33</f>
        <v/>
      </c>
      <c r="DJ33" s="133" t="n"/>
      <c r="DK33" s="139">
        <f>DJ33*100/$E$33</f>
        <v/>
      </c>
      <c r="DL33" s="133" t="n"/>
      <c r="DM33" s="139">
        <f>DL33*100/$E$33</f>
        <v/>
      </c>
      <c r="DN33" s="133" t="n"/>
      <c r="DO33" s="139">
        <f>DN33*100/$E$33</f>
        <v/>
      </c>
      <c r="DP33" s="133" t="n"/>
      <c r="DQ33" s="139">
        <f>DP33*100/$E$33</f>
        <v/>
      </c>
      <c r="DR33" s="133" t="n"/>
      <c r="DS33" s="139">
        <f>DR33*100/$E$33</f>
        <v/>
      </c>
      <c r="DT33" s="133" t="n"/>
      <c r="DU33" s="139">
        <f>DT33*100/$E$33</f>
        <v/>
      </c>
      <c r="DV33" s="133" t="n"/>
      <c r="DW33" s="139">
        <f>DV33*100/$E$33</f>
        <v/>
      </c>
      <c r="DX33" s="133" t="n"/>
      <c r="DY33" s="139">
        <f>DX33*100/$E$33</f>
        <v/>
      </c>
      <c r="DZ33" s="133" t="n"/>
      <c r="EA33" s="139">
        <f>DZ33*100/$E$33</f>
        <v/>
      </c>
      <c r="EB33" s="133" t="n"/>
      <c r="EC33" s="139">
        <f>EB33*100/$E$33</f>
        <v/>
      </c>
      <c r="ED33" s="133" t="n"/>
      <c r="EE33" s="139">
        <f>ED33*100/$E$33</f>
        <v/>
      </c>
      <c r="EF33" s="133" t="n"/>
      <c r="EG33" s="139">
        <f>EF33*100/$E$33</f>
        <v/>
      </c>
      <c r="EH33" s="133" t="n"/>
      <c r="EI33" s="139">
        <f>EH33*100/$E$33</f>
        <v/>
      </c>
      <c r="EJ33" s="133">
        <f>12+10</f>
        <v/>
      </c>
      <c r="EK33" s="139">
        <f>EJ33*100/$E$33</f>
        <v/>
      </c>
      <c r="EL33" s="133" t="n"/>
      <c r="EM33" s="139">
        <f>EL33*100/$E$33</f>
        <v/>
      </c>
      <c r="EN33" s="133" t="n"/>
      <c r="EO33" s="139">
        <f>EN33*100/$E$33</f>
        <v/>
      </c>
      <c r="EP33" s="133" t="n"/>
      <c r="EQ33" s="139">
        <f>EP33*100/$E$33</f>
        <v/>
      </c>
      <c r="ER33" s="133" t="n">
        <v>2</v>
      </c>
      <c r="ES33" s="139">
        <f>ER33*100/$E$33</f>
        <v/>
      </c>
      <c r="ET33" s="133" t="n"/>
      <c r="EU33" s="139">
        <f>ET33*100/$E$33</f>
        <v/>
      </c>
      <c r="EV33" s="133" t="n"/>
      <c r="EW33" s="139">
        <f>EV33*100/$E$33</f>
        <v/>
      </c>
      <c r="EX33" s="133" t="n"/>
      <c r="EY33" s="139">
        <f>EX33*100/$E$33</f>
        <v/>
      </c>
      <c r="EZ33" s="133" t="n"/>
      <c r="FA33" s="139">
        <f>EZ33*100/$E$33</f>
        <v/>
      </c>
      <c r="FB33" s="133" t="n"/>
      <c r="FC33" s="139">
        <f>FB33*100/$E$33</f>
        <v/>
      </c>
      <c r="FD33" s="133" t="n"/>
      <c r="FE33" s="139">
        <f>FD33*100/$E$33</f>
        <v/>
      </c>
      <c r="FF33" s="133" t="n"/>
      <c r="FG33" s="139">
        <f>FF33*100/$E$33</f>
        <v/>
      </c>
      <c r="FH33" s="133" t="n"/>
      <c r="FI33" s="139">
        <f>FH33*100/$E$33</f>
        <v/>
      </c>
      <c r="FJ33" s="133" t="n"/>
      <c r="FK33" s="139">
        <f>FJ33*100/$E$33</f>
        <v/>
      </c>
      <c r="FL33" s="133" t="n"/>
      <c r="FM33" s="139">
        <f>FL33*100/$E$33</f>
        <v/>
      </c>
      <c r="FN33" s="133" t="n"/>
      <c r="FO33" s="139">
        <f>FN33*100/$E$33</f>
        <v/>
      </c>
      <c r="FP33" s="133" t="n"/>
      <c r="FQ33" s="139">
        <f>FP33*100/$E$33</f>
        <v/>
      </c>
      <c r="FR33" s="133" t="n"/>
      <c r="FS33" s="139">
        <f>FR33*100/$E$33</f>
        <v/>
      </c>
      <c r="FT33" s="133" t="n"/>
      <c r="FU33" s="139">
        <f>FT33*100/$E$33</f>
        <v/>
      </c>
      <c r="FV33" s="133" t="n"/>
      <c r="FW33" s="139">
        <f>FV33*100/$E$33</f>
        <v/>
      </c>
      <c r="FX33" s="133" t="n"/>
      <c r="FY33" s="140">
        <f>FX33*100/$E$33</f>
        <v/>
      </c>
      <c r="FZ33" s="133" t="n"/>
      <c r="GA33" s="140">
        <f>FZ33*100/$E$33</f>
        <v/>
      </c>
      <c r="GB33" s="133" t="n"/>
      <c r="GC33" s="140">
        <f>GB33*100/$E$33</f>
        <v/>
      </c>
      <c r="GD33" s="133" t="n"/>
      <c r="GE33" s="140">
        <f>GD33*100/$E$33</f>
        <v/>
      </c>
      <c r="GF33" s="133" t="n"/>
      <c r="GG33" s="140">
        <f>GF33*100/$E$33</f>
        <v/>
      </c>
      <c r="GH33" s="133" t="n"/>
      <c r="GI33" s="140">
        <f>GH33*100/$E$33</f>
        <v/>
      </c>
      <c r="GJ33" s="133" t="n"/>
      <c r="GK33" s="139">
        <f>GJ33*100/$E$33</f>
        <v/>
      </c>
      <c r="GL33" s="133" t="n"/>
      <c r="GM33" s="140">
        <f>GL33*100/$E$33</f>
        <v/>
      </c>
      <c r="GN33" s="133" t="n"/>
      <c r="GO33" s="139">
        <f>GN33*100/$E$33</f>
        <v/>
      </c>
      <c r="GP33" s="133" t="n"/>
      <c r="GQ33" s="140">
        <f>GP33*100/$E$33</f>
        <v/>
      </c>
      <c r="GR33" s="133" t="n"/>
      <c r="GS33" s="139">
        <f>GR33*100/$E$33</f>
        <v/>
      </c>
      <c r="GT33" s="133" t="n"/>
      <c r="GU33" s="139">
        <f>GT33*100/$E$33</f>
        <v/>
      </c>
      <c r="GV33" s="133" t="n"/>
      <c r="GW33" s="139">
        <f>GV33*100/$E$33</f>
        <v/>
      </c>
      <c r="GX33" s="133" t="n"/>
      <c r="GY33" s="140">
        <f>GX33*100/$E$33</f>
        <v/>
      </c>
      <c r="GZ33" s="133" t="n"/>
      <c r="HA33" s="140">
        <f>GZ33*100/$E$33</f>
        <v/>
      </c>
      <c r="HB33" s="133" t="n"/>
      <c r="HC33" s="140">
        <f>HB33*100/$E$33</f>
        <v/>
      </c>
      <c r="HD33" s="133" t="n"/>
      <c r="HE33" s="140">
        <f>HD33*100/$E$33</f>
        <v/>
      </c>
      <c r="HF33" s="133" t="n"/>
      <c r="HG33" s="140">
        <f>HF33*100/$E$33</f>
        <v/>
      </c>
      <c r="HH33" s="133" t="n"/>
      <c r="HI33" s="140">
        <f>HH33*100/$E$33</f>
        <v/>
      </c>
      <c r="HJ33" s="133" t="n"/>
      <c r="HK33" s="140">
        <f>HJ33*100/$E$33</f>
        <v/>
      </c>
      <c r="HL33" s="133" t="n"/>
      <c r="HM33" s="140">
        <f>HL33*100/$E$33</f>
        <v/>
      </c>
      <c r="HN33" s="133" t="n"/>
      <c r="HO33" s="140">
        <f>HN33*100/$E$33</f>
        <v/>
      </c>
      <c r="HP33" s="133" t="n"/>
      <c r="HQ33" s="140">
        <f>HP33*100/$E$33</f>
        <v/>
      </c>
      <c r="HR33" s="133" t="n"/>
      <c r="HS33" s="140">
        <f>HR33*100/$E$33</f>
        <v/>
      </c>
      <c r="HT33" s="133" t="n"/>
      <c r="HU33" s="140">
        <f>HT33*100/$E$33</f>
        <v/>
      </c>
      <c r="HV33" s="133" t="n"/>
      <c r="HW33" s="140">
        <f>HV33*100/$E$33</f>
        <v/>
      </c>
      <c r="HX33" s="133" t="n"/>
      <c r="HY33" s="140">
        <f>HX33*100/$E$33</f>
        <v/>
      </c>
      <c r="HZ33" s="133" t="n"/>
      <c r="IA33" s="139">
        <f>HZ33*100/$E$33</f>
        <v/>
      </c>
      <c r="IB33" s="133" t="n"/>
      <c r="IC33" s="139">
        <f>IB33*100/$E$33</f>
        <v/>
      </c>
      <c r="ID33" s="133" t="n"/>
      <c r="IE33" s="139">
        <f>ID33*100/$E$33</f>
        <v/>
      </c>
      <c r="IF33" s="133" t="n"/>
      <c r="IG33" s="139">
        <f>IF33*100/$E$33</f>
        <v/>
      </c>
      <c r="IH33" s="133" t="n"/>
      <c r="II33" s="139">
        <f>IH33*100/$E$33</f>
        <v/>
      </c>
      <c r="IJ33" s="133" t="n"/>
      <c r="IK33" s="139">
        <f>IJ33*100/$E$33</f>
        <v/>
      </c>
      <c r="IL33" s="133" t="n"/>
      <c r="IM33" s="140">
        <f>IL33*100/$E$33</f>
        <v/>
      </c>
      <c r="IN33" s="133" t="n"/>
      <c r="IO33" s="140">
        <f>IN33*100/$E$33</f>
        <v/>
      </c>
      <c r="IP33" s="133" t="n"/>
      <c r="IQ33" s="139">
        <f>IP33*100/$E$33</f>
        <v/>
      </c>
      <c r="IR33" s="133" t="n"/>
      <c r="IS33" s="139">
        <f>IR33*100/$E$33</f>
        <v/>
      </c>
      <c r="IT33" s="133" t="n"/>
      <c r="IU33" s="139">
        <f>IT33*100/$E$33</f>
        <v/>
      </c>
      <c r="IV33" s="133" t="n"/>
      <c r="IW33" s="139">
        <f>IV33*100/$E$33</f>
        <v/>
      </c>
      <c r="IX33" s="133" t="n"/>
      <c r="IY33" s="139">
        <f>IX33*100/$E$33</f>
        <v/>
      </c>
      <c r="IZ33" s="133" t="n"/>
      <c r="JA33" s="139">
        <f>IZ33*100/$E$33</f>
        <v/>
      </c>
      <c r="JB33" s="133" t="n"/>
      <c r="JC33" s="139">
        <f>JB33*100/$E$33</f>
        <v/>
      </c>
      <c r="JD33" s="133" t="n"/>
      <c r="JE33" s="139">
        <f>JD33*100/$E$33</f>
        <v/>
      </c>
      <c r="JF33" s="133">
        <f>12+12+12</f>
        <v/>
      </c>
      <c r="JG33" s="139">
        <f>JF33*100/$E$33</f>
        <v/>
      </c>
      <c r="JH33" s="133" t="n"/>
      <c r="JI33" s="139">
        <f>JH33*100/$E$33</f>
        <v/>
      </c>
      <c r="JJ33" s="133" t="n"/>
      <c r="JK33" s="139">
        <f>JJ33*100/$E$33</f>
        <v/>
      </c>
      <c r="JL33" s="133" t="n"/>
      <c r="JM33" s="139">
        <f>JL33*100/$E$33</f>
        <v/>
      </c>
      <c r="JN33" s="133" t="n"/>
      <c r="JO33" s="182">
        <f>JN33*100/$E$33</f>
        <v/>
      </c>
      <c r="JP33" s="133" t="n"/>
      <c r="JQ33" s="182">
        <f>JP33*100/$E$33</f>
        <v/>
      </c>
      <c r="JR33" s="108" t="n"/>
      <c r="JS33" s="121">
        <f>JR33*100/$E$33</f>
        <v/>
      </c>
      <c r="JT33" s="108" t="n"/>
      <c r="JU33" s="121">
        <f>JT33*100/$E$33</f>
        <v/>
      </c>
      <c r="JV33" s="108" t="n"/>
      <c r="JW33" s="121">
        <f>JV33*100/$E$33</f>
        <v/>
      </c>
      <c r="JX33" s="108" t="n"/>
      <c r="JY33" s="121">
        <f>JX33*100/$E$33</f>
        <v/>
      </c>
      <c r="JZ33" s="183">
        <f>JN33+JP33+JR33+JT33+JV33+JX33</f>
        <v/>
      </c>
      <c r="KA33" s="184">
        <f>JO33+JQ33+JS33+JU33+JW33+JY33</f>
        <v/>
      </c>
      <c r="KB33" s="185">
        <f>H33+J33+L33+N33+P33+R33+T33+V33+X33+Z33+AB33+AD33+AF33+AH33+AJ33+AL33+AN33+AP33+AR33+AT33+AV33+AX33+AZ33+BB33+BD33+BF33+BH33+BJ33+BL33+BN33+BP33+BR33+BT33+BV33+BX33+BZ33+CB33+CD33+CF33+CH33+CZ33+DB33+DD33+DF33+DH33+DJ33+DL33+DN33+DP33+DR33+DT33+DV33+DX33+DZ33+EB33+ED33+EF33+EH33+EJ33+EL33+EN33+EP33+ER33+ET33+EV33+FN33+FP33+FR33+FT33+FV33+FX33+FZ33+GB33+GD33+GF33+GH33+GJ33+GL33+GN33+GP33+GR33+GT33+GV33+GX33+GZ33+HB33+HD33+HF33+HH33+HJ33+HL33+HN33+HP33+HR33+HT33+HV33+HX33+HZ33+IB33+ID33+IF33+IH33+IJ33+IL33+IN33+IP33+IR33+IT33+IV33+IX33+IZ33+JB33+JD33+JF33+JH33+JJ33+JL33+JZ33+CJ33+CL33+CN33+CP33+CR33+CT33+CV33+CX33+EX33+EZ33+FB33+FD33+FF33+FH33+FJ33+FL33</f>
        <v/>
      </c>
      <c r="KC33" s="186">
        <f>I33+K33+M33+O33+Q33+S33+U33+W33+Y33+AA33+AC33+AE33+AG33+AI33+AK33+AM33+AO33+AQ33+AS33+AU33+AW33+AY33+BA33+BC33+BE33+BG33+BI33+BK33+BM33+BO33+BQ33+BS33+BU33+BW33+BY33+CA33+CC33+CE33+CG33+CI33+DA33+DC33+DE33+DG33+DI33+DK33+DM33+DO33+DQ33+DS33+DU33+DW33+DY33+EA33+EC33+EE33+EG33+EI33+EK33+EM33+EO33+EQ33+ES33+EU33+EW33+FO33+FS33+FU33+FW33+FQ33+FY33+GA33+GC33+GE33+GG33+GI33+GK33+GM33+GO33+GQ33+GS33+GU33+GW33+GY33+HA33+HC33+HE33+HG33+HI33+HK33+HM33+HO33+HQ33+HS33+HU33+HW33+HY33+IA33+IC33+IE33+IG33+II33+IK33+IM33+IO33+IQ33+IS33+IU33+IW33+IY33+JA33+JC33+JE33+JG33+JI33+JK33+JM33+KA33+CK33+CM33+CO33+CQ33+CS33+CU33+CW33+CY33+EY33+FA33+FC33+FE33+FG33+FI33+FK33+FM33</f>
        <v/>
      </c>
      <c r="KD33" s="187">
        <f>JO33+JQ33+JS33+JU33+JW33+JY33</f>
        <v/>
      </c>
      <c r="KE33" s="188">
        <f>KB33=E33</f>
        <v/>
      </c>
      <c r="KF33" s="189">
        <f>E33-KB33</f>
        <v/>
      </c>
      <c r="KG33" s="211" t="n"/>
    </row>
    <row r="34" ht="21.75" customFormat="1" customHeight="1" s="211">
      <c r="A34" s="126">
        <f>A33+1</f>
        <v/>
      </c>
      <c r="B34" s="198" t="inlineStr">
        <is>
          <t>Новокрещенов А.С.</t>
        </is>
      </c>
      <c r="C34" s="194" t="inlineStr">
        <is>
          <t>токарь-расточник</t>
        </is>
      </c>
      <c r="D34" s="177">
        <f>$D$5</f>
        <v/>
      </c>
      <c r="E34" s="202" t="n">
        <v>174</v>
      </c>
      <c r="F34" s="193" t="n">
        <v>126438</v>
      </c>
      <c r="G34" s="179">
        <f>F34/D34</f>
        <v/>
      </c>
      <c r="H34" s="180" t="n"/>
      <c r="I34" s="140">
        <f>H34*100/$E$34</f>
        <v/>
      </c>
      <c r="J34" s="133" t="n"/>
      <c r="K34" s="140">
        <f>J34*100/$E$34</f>
        <v/>
      </c>
      <c r="L34" s="133" t="n"/>
      <c r="M34" s="140">
        <f>L34*100/$E$34</f>
        <v/>
      </c>
      <c r="N34" s="133" t="n"/>
      <c r="O34" s="140">
        <f>N34*100/$E$34</f>
        <v/>
      </c>
      <c r="P34" s="133" t="n"/>
      <c r="Q34" s="139">
        <f>P34*100/$E$34</f>
        <v/>
      </c>
      <c r="R34" s="133" t="n"/>
      <c r="S34" s="139">
        <f>R34*100/$E$34</f>
        <v/>
      </c>
      <c r="T34" s="133" t="n"/>
      <c r="U34" s="140">
        <f>T34*100/$E$34</f>
        <v/>
      </c>
      <c r="V34" s="133" t="n"/>
      <c r="W34" s="140">
        <f>V34*100/$E$34</f>
        <v/>
      </c>
      <c r="X34" s="133" t="n"/>
      <c r="Y34" s="140">
        <f>X34*100/$E$34</f>
        <v/>
      </c>
      <c r="Z34" s="133" t="n"/>
      <c r="AA34" s="140">
        <f>Z34*100/$E$34</f>
        <v/>
      </c>
      <c r="AB34" s="133" t="n"/>
      <c r="AC34" s="140">
        <f>AB34*100/$E$34</f>
        <v/>
      </c>
      <c r="AD34" s="133" t="n"/>
      <c r="AE34" s="139">
        <f>AD34*100/$E$34</f>
        <v/>
      </c>
      <c r="AF34" s="133" t="n"/>
      <c r="AG34" s="139">
        <f>AF34*100/$E$34</f>
        <v/>
      </c>
      <c r="AH34" s="133" t="n"/>
      <c r="AI34" s="140">
        <f>AH34*100/$E$34</f>
        <v/>
      </c>
      <c r="AJ34" s="133" t="n"/>
      <c r="AK34" s="140">
        <f>AJ34*100/$E$34</f>
        <v/>
      </c>
      <c r="AL34" s="133" t="n"/>
      <c r="AM34" s="140">
        <f>AL34*100/$E$34</f>
        <v/>
      </c>
      <c r="AN34" s="133" t="n"/>
      <c r="AO34" s="140">
        <f>AN34*100/$E$34</f>
        <v/>
      </c>
      <c r="AP34" s="133" t="n"/>
      <c r="AQ34" s="140">
        <f>AP34*100/$E$34</f>
        <v/>
      </c>
      <c r="AR34" s="133" t="n"/>
      <c r="AS34" s="140">
        <f>AR34*100/$E$34</f>
        <v/>
      </c>
      <c r="AT34" s="133" t="n"/>
      <c r="AU34" s="181">
        <f>AT34*100/$E$34</f>
        <v/>
      </c>
      <c r="AV34" s="133" t="n"/>
      <c r="AW34" s="140">
        <f>AV34*100/$E$34</f>
        <v/>
      </c>
      <c r="AX34" s="133">
        <f>54</f>
        <v/>
      </c>
      <c r="AY34" s="140">
        <f>AX34*100/$E$34</f>
        <v/>
      </c>
      <c r="AZ34" s="133" t="n">
        <v>4.5</v>
      </c>
      <c r="BA34" s="140">
        <f>AZ34*100/$E$34</f>
        <v/>
      </c>
      <c r="BB34" s="133" t="n"/>
      <c r="BC34" s="140">
        <f>BB34*100/$E$34</f>
        <v/>
      </c>
      <c r="BD34" s="133" t="n"/>
      <c r="BE34" s="140">
        <f>BD34*100/$E$34</f>
        <v/>
      </c>
      <c r="BF34" s="133" t="n"/>
      <c r="BG34" s="140">
        <f>BF34*100/$E$34</f>
        <v/>
      </c>
      <c r="BH34" s="133" t="n"/>
      <c r="BI34" s="140">
        <f>BH34*100/$E$34</f>
        <v/>
      </c>
      <c r="BJ34" s="133" t="n"/>
      <c r="BK34" s="140">
        <f>BJ34*100/$E$34</f>
        <v/>
      </c>
      <c r="BL34" s="133" t="n"/>
      <c r="BM34" s="140">
        <f>BL34*100/$E$34</f>
        <v/>
      </c>
      <c r="BN34" s="133" t="n"/>
      <c r="BO34" s="140">
        <f>BN34*100/$E$34</f>
        <v/>
      </c>
      <c r="BP34" s="133" t="n"/>
      <c r="BQ34" s="140">
        <f>BP34*100/$E$34</f>
        <v/>
      </c>
      <c r="BR34" s="133" t="n"/>
      <c r="BS34" s="140">
        <f>BR34*100/$E$34</f>
        <v/>
      </c>
      <c r="BT34" s="133" t="n"/>
      <c r="BU34" s="140">
        <f>BT34*100/$E$34</f>
        <v/>
      </c>
      <c r="BV34" s="133" t="n"/>
      <c r="BW34" s="140">
        <f>BV34*100/$E$34</f>
        <v/>
      </c>
      <c r="BX34" s="133">
        <f>6+6</f>
        <v/>
      </c>
      <c r="BY34" s="140">
        <f>BX34*100/$E$34</f>
        <v/>
      </c>
      <c r="BZ34" s="133" t="n"/>
      <c r="CA34" s="140">
        <f>BZ34*100/$E$34</f>
        <v/>
      </c>
      <c r="CB34" s="133" t="n"/>
      <c r="CC34" s="140">
        <f>CB34*100/$E$34</f>
        <v/>
      </c>
      <c r="CD34" s="133" t="n"/>
      <c r="CE34" s="140">
        <f>CD34*100/$E$34</f>
        <v/>
      </c>
      <c r="CF34" s="133">
        <f>12+12+12+6</f>
        <v/>
      </c>
      <c r="CG34" s="140">
        <f>CF34*100/$E$34</f>
        <v/>
      </c>
      <c r="CH34" s="133">
        <f>12+6</f>
        <v/>
      </c>
      <c r="CI34" s="140">
        <f>CH34*100/$E$34</f>
        <v/>
      </c>
      <c r="CJ34" s="133" t="n"/>
      <c r="CK34" s="140">
        <f>CJ34*100/$E$34</f>
        <v/>
      </c>
      <c r="CL34" s="133" t="n"/>
      <c r="CM34" s="140">
        <f>CL34*100/$E$34</f>
        <v/>
      </c>
      <c r="CN34" s="133" t="n"/>
      <c r="CO34" s="139">
        <f>CN34*100/$E$34</f>
        <v/>
      </c>
      <c r="CP34" s="133" t="n"/>
      <c r="CQ34" s="140">
        <f>CP34*100/$E$34</f>
        <v/>
      </c>
      <c r="CR34" s="133" t="n"/>
      <c r="CS34" s="139">
        <f>CR34*100/$E$34</f>
        <v/>
      </c>
      <c r="CT34" s="133" t="n"/>
      <c r="CU34" s="139">
        <f>CT34*100/$E$34</f>
        <v/>
      </c>
      <c r="CV34" s="133" t="n"/>
      <c r="CW34" s="139">
        <f>CV34*100/$E$34</f>
        <v/>
      </c>
      <c r="CX34" s="133" t="n"/>
      <c r="CY34" s="139">
        <f>CX34*100/$E$34</f>
        <v/>
      </c>
      <c r="CZ34" s="133" t="n"/>
      <c r="DA34" s="139">
        <f>CZ34*100/$E$34</f>
        <v/>
      </c>
      <c r="DB34" s="133" t="n"/>
      <c r="DC34" s="139">
        <f>DB34*100/$E$34</f>
        <v/>
      </c>
      <c r="DD34" s="133" t="n">
        <v>4.5</v>
      </c>
      <c r="DE34" s="139">
        <f>DD34*100/$E$34</f>
        <v/>
      </c>
      <c r="DF34" s="133" t="n"/>
      <c r="DG34" s="139">
        <f>DF34*100/$E$34</f>
        <v/>
      </c>
      <c r="DH34" s="133" t="n"/>
      <c r="DI34" s="139">
        <f>DH34*100/$E$34</f>
        <v/>
      </c>
      <c r="DJ34" s="133" t="n">
        <v>12</v>
      </c>
      <c r="DK34" s="139">
        <f>DJ34*100/$E$34</f>
        <v/>
      </c>
      <c r="DL34" s="133" t="n">
        <v>12</v>
      </c>
      <c r="DM34" s="139">
        <f>DL34*100/$E$34</f>
        <v/>
      </c>
      <c r="DN34" s="133" t="n"/>
      <c r="DO34" s="139">
        <f>DN34*100/$E$34</f>
        <v/>
      </c>
      <c r="DP34" s="133" t="n"/>
      <c r="DQ34" s="139">
        <f>DP34*100/$E$34</f>
        <v/>
      </c>
      <c r="DR34" s="133" t="n"/>
      <c r="DS34" s="139">
        <f>DR34*100/$E$34</f>
        <v/>
      </c>
      <c r="DT34" s="133" t="n"/>
      <c r="DU34" s="139">
        <f>DT34*100/$E$34</f>
        <v/>
      </c>
      <c r="DV34" s="133" t="n"/>
      <c r="DW34" s="139">
        <f>DV34*100/$E$34</f>
        <v/>
      </c>
      <c r="DX34" s="133" t="n"/>
      <c r="DY34" s="139">
        <f>DX34*100/$E$34</f>
        <v/>
      </c>
      <c r="DZ34" s="133" t="n"/>
      <c r="EA34" s="139">
        <f>DZ34*100/$E$34</f>
        <v/>
      </c>
      <c r="EB34" s="133" t="n"/>
      <c r="EC34" s="139">
        <f>EB34*100/$E$34</f>
        <v/>
      </c>
      <c r="ED34" s="133" t="n"/>
      <c r="EE34" s="139">
        <f>ED34*100/$E$34</f>
        <v/>
      </c>
      <c r="EF34" s="133" t="n"/>
      <c r="EG34" s="139">
        <f>EF34*100/$E$34</f>
        <v/>
      </c>
      <c r="EH34" s="133" t="n"/>
      <c r="EI34" s="139">
        <f>EH34*100/$E$34</f>
        <v/>
      </c>
      <c r="EJ34" s="133" t="n"/>
      <c r="EK34" s="139">
        <f>EJ34*100/$E$34</f>
        <v/>
      </c>
      <c r="EL34" s="133" t="n"/>
      <c r="EM34" s="139">
        <f>EL34*100/$E$34</f>
        <v/>
      </c>
      <c r="EN34" s="133" t="n"/>
      <c r="EO34" s="139">
        <f>EN34*100/$E$34</f>
        <v/>
      </c>
      <c r="EP34" s="133" t="n"/>
      <c r="EQ34" s="139">
        <f>EP34*100/$E$34</f>
        <v/>
      </c>
      <c r="ER34" s="133" t="n"/>
      <c r="ES34" s="139">
        <f>ER34*100/$E$34</f>
        <v/>
      </c>
      <c r="ET34" s="133" t="n"/>
      <c r="EU34" s="139">
        <f>ET34*100/$E$34</f>
        <v/>
      </c>
      <c r="EV34" s="133" t="n"/>
      <c r="EW34" s="139">
        <f>EV34*100/$E$34</f>
        <v/>
      </c>
      <c r="EX34" s="133" t="n"/>
      <c r="EY34" s="139">
        <f>EX34*100/$E$34</f>
        <v/>
      </c>
      <c r="EZ34" s="133" t="n"/>
      <c r="FA34" s="139">
        <f>EZ34*100/$E$34</f>
        <v/>
      </c>
      <c r="FB34" s="133" t="n"/>
      <c r="FC34" s="139">
        <f>FB34*100/$E$34</f>
        <v/>
      </c>
      <c r="FD34" s="133" t="n"/>
      <c r="FE34" s="139">
        <f>FD34*100/$E$34</f>
        <v/>
      </c>
      <c r="FF34" s="133" t="n"/>
      <c r="FG34" s="139">
        <f>FF34*100/$E$34</f>
        <v/>
      </c>
      <c r="FH34" s="133" t="n"/>
      <c r="FI34" s="139">
        <f>FH34*100/$E$34</f>
        <v/>
      </c>
      <c r="FJ34" s="133" t="n"/>
      <c r="FK34" s="139">
        <f>FJ34*100/$E$34</f>
        <v/>
      </c>
      <c r="FL34" s="133" t="n"/>
      <c r="FM34" s="139">
        <f>FL34*100/$E$34</f>
        <v/>
      </c>
      <c r="FN34" s="133" t="n"/>
      <c r="FO34" s="139">
        <f>FN34*100/$E$34</f>
        <v/>
      </c>
      <c r="FP34" s="133" t="n"/>
      <c r="FQ34" s="139">
        <f>FP34*100/$E$34</f>
        <v/>
      </c>
      <c r="FR34" s="133" t="n"/>
      <c r="FS34" s="139">
        <f>FR34*100/$E$34</f>
        <v/>
      </c>
      <c r="FT34" s="133" t="n"/>
      <c r="FU34" s="139">
        <f>FT34*100/$E$34</f>
        <v/>
      </c>
      <c r="FV34" s="133" t="n"/>
      <c r="FW34" s="139">
        <f>FV34*100/$E$34</f>
        <v/>
      </c>
      <c r="FX34" s="133" t="n"/>
      <c r="FY34" s="140">
        <f>FX34*100/$E$34</f>
        <v/>
      </c>
      <c r="FZ34" s="133" t="n"/>
      <c r="GA34" s="140">
        <f>FZ34*100/$E$34</f>
        <v/>
      </c>
      <c r="GB34" s="133" t="n"/>
      <c r="GC34" s="140">
        <f>GB34*100/$E$34</f>
        <v/>
      </c>
      <c r="GD34" s="133" t="n"/>
      <c r="GE34" s="140">
        <f>GD34*100/$E$34</f>
        <v/>
      </c>
      <c r="GF34" s="133" t="n"/>
      <c r="GG34" s="140">
        <f>GF34*100/$E$34</f>
        <v/>
      </c>
      <c r="GH34" s="133" t="n"/>
      <c r="GI34" s="140">
        <f>GH34*100/$E$34</f>
        <v/>
      </c>
      <c r="GJ34" s="133" t="n"/>
      <c r="GK34" s="139">
        <f>GJ34*100/$E$34</f>
        <v/>
      </c>
      <c r="GL34" s="133" t="n"/>
      <c r="GM34" s="140">
        <f>GL34*100/$E$34</f>
        <v/>
      </c>
      <c r="GN34" s="133" t="n"/>
      <c r="GO34" s="139">
        <f>GN34*100/$E$34</f>
        <v/>
      </c>
      <c r="GP34" s="133" t="n"/>
      <c r="GQ34" s="140">
        <f>GP34*100/$E$34</f>
        <v/>
      </c>
      <c r="GR34" s="133" t="n"/>
      <c r="GS34" s="139">
        <f>GR34*100/$E$34</f>
        <v/>
      </c>
      <c r="GT34" s="133" t="n"/>
      <c r="GU34" s="139">
        <f>GT34*100/$E$34</f>
        <v/>
      </c>
      <c r="GV34" s="133" t="n"/>
      <c r="GW34" s="139">
        <f>GV34*100/$E$34</f>
        <v/>
      </c>
      <c r="GX34" s="133" t="n"/>
      <c r="GY34" s="140">
        <f>GX34*100/$E$34</f>
        <v/>
      </c>
      <c r="GZ34" s="133" t="n"/>
      <c r="HA34" s="140">
        <f>GZ34*100/$E$34</f>
        <v/>
      </c>
      <c r="HB34" s="133" t="n"/>
      <c r="HC34" s="140">
        <f>HB34*100/$E$34</f>
        <v/>
      </c>
      <c r="HD34" s="133" t="n"/>
      <c r="HE34" s="140">
        <f>HD34*100/$E$34</f>
        <v/>
      </c>
      <c r="HF34" s="133" t="n"/>
      <c r="HG34" s="140">
        <f>HF34*100/$E$34</f>
        <v/>
      </c>
      <c r="HH34" s="133" t="n"/>
      <c r="HI34" s="140">
        <f>HH34*100/$E$34</f>
        <v/>
      </c>
      <c r="HJ34" s="133" t="n"/>
      <c r="HK34" s="140">
        <f>HJ34*100/$E$34</f>
        <v/>
      </c>
      <c r="HL34" s="133" t="n"/>
      <c r="HM34" s="140">
        <f>HL34*100/$E$34</f>
        <v/>
      </c>
      <c r="HN34" s="133" t="n"/>
      <c r="HO34" s="140">
        <f>HN34*100/$E$34</f>
        <v/>
      </c>
      <c r="HP34" s="133" t="n"/>
      <c r="HQ34" s="140">
        <f>HP34*100/$E$34</f>
        <v/>
      </c>
      <c r="HR34" s="133" t="n"/>
      <c r="HS34" s="140">
        <f>HR34*100/$E$34</f>
        <v/>
      </c>
      <c r="HT34" s="133" t="n"/>
      <c r="HU34" s="140">
        <f>HT34*100/$E$34</f>
        <v/>
      </c>
      <c r="HV34" s="133" t="n"/>
      <c r="HW34" s="140">
        <f>HV34*100/$E$34</f>
        <v/>
      </c>
      <c r="HX34" s="133" t="n"/>
      <c r="HY34" s="140">
        <f>HX34*100/$E$34</f>
        <v/>
      </c>
      <c r="HZ34" s="133" t="n"/>
      <c r="IA34" s="139">
        <f>HZ34*100/$E$34</f>
        <v/>
      </c>
      <c r="IB34" s="133" t="n"/>
      <c r="IC34" s="139">
        <f>IB34*100/$E$34</f>
        <v/>
      </c>
      <c r="ID34" s="133" t="n"/>
      <c r="IE34" s="139">
        <f>ID34*100/$E$34</f>
        <v/>
      </c>
      <c r="IF34" s="133" t="n"/>
      <c r="IG34" s="139">
        <f>IF34*100/$E$34</f>
        <v/>
      </c>
      <c r="IH34" s="133" t="n"/>
      <c r="II34" s="139">
        <f>IH34*100/$E$34</f>
        <v/>
      </c>
      <c r="IJ34" s="133" t="n"/>
      <c r="IK34" s="139">
        <f>IJ34*100/$E$34</f>
        <v/>
      </c>
      <c r="IL34" s="133" t="n"/>
      <c r="IM34" s="140">
        <f>IL34*100/$E$34</f>
        <v/>
      </c>
      <c r="IN34" s="133" t="n"/>
      <c r="IO34" s="140">
        <f>IN34*100/$E$34</f>
        <v/>
      </c>
      <c r="IP34" s="133" t="n"/>
      <c r="IQ34" s="139">
        <f>IP34*100/$E$34</f>
        <v/>
      </c>
      <c r="IR34" s="133" t="n"/>
      <c r="IS34" s="139">
        <f>IR34*100/$E$34</f>
        <v/>
      </c>
      <c r="IT34" s="133" t="n"/>
      <c r="IU34" s="139">
        <f>IT34*100/$E$34</f>
        <v/>
      </c>
      <c r="IV34" s="133" t="n"/>
      <c r="IW34" s="139">
        <f>IV34*100/$E$34</f>
        <v/>
      </c>
      <c r="IX34" s="133" t="n"/>
      <c r="IY34" s="139">
        <f>IX34*100/$E$34</f>
        <v/>
      </c>
      <c r="IZ34" s="133" t="n"/>
      <c r="JA34" s="139">
        <f>IZ34*100/$E$34</f>
        <v/>
      </c>
      <c r="JB34" s="133" t="n"/>
      <c r="JC34" s="139">
        <f>JB34*100/$E$34</f>
        <v/>
      </c>
      <c r="JD34" s="133" t="n"/>
      <c r="JE34" s="139">
        <f>JD34*100/$E$34</f>
        <v/>
      </c>
      <c r="JF34" s="133" t="n">
        <v>3</v>
      </c>
      <c r="JG34" s="139">
        <f>JF34*100/$E$34</f>
        <v/>
      </c>
      <c r="JH34" s="133" t="n"/>
      <c r="JI34" s="139">
        <f>JH34*100/$E$34</f>
        <v/>
      </c>
      <c r="JJ34" s="133" t="n"/>
      <c r="JK34" s="139">
        <f>JJ34*100/$E$34</f>
        <v/>
      </c>
      <c r="JL34" s="133" t="n">
        <v>12</v>
      </c>
      <c r="JM34" s="139">
        <f>JL34*100/$E$34</f>
        <v/>
      </c>
      <c r="JN34" s="133" t="n"/>
      <c r="JO34" s="182">
        <f>JN34*100/$E$34</f>
        <v/>
      </c>
      <c r="JP34" s="133" t="n"/>
      <c r="JQ34" s="182">
        <f>JP34*100/$E$34</f>
        <v/>
      </c>
      <c r="JR34" s="108" t="n"/>
      <c r="JS34" s="121">
        <f>JR34*100/$E$34</f>
        <v/>
      </c>
      <c r="JT34" s="108" t="n"/>
      <c r="JU34" s="121">
        <f>JT34*100/$E$34</f>
        <v/>
      </c>
      <c r="JV34" s="108" t="n"/>
      <c r="JW34" s="121">
        <f>JV34*100/$E$34</f>
        <v/>
      </c>
      <c r="JX34" s="108" t="n"/>
      <c r="JY34" s="121">
        <f>JX34*100/$E$34</f>
        <v/>
      </c>
      <c r="JZ34" s="183">
        <f>JN34+JP34+JR34+JT34+JV34+JX34</f>
        <v/>
      </c>
      <c r="KA34" s="184">
        <f>JO34+JQ34+JS34+JU34+JW34+JY34</f>
        <v/>
      </c>
      <c r="KB34" s="185">
        <f>H34+J34+L34+N34+P34+R34+T34+V34+X34+Z34+AB34+AD34+AF34+AH34+AJ34+AL34+AN34+AP34+AR34+AT34+AV34+AX34+AZ34+BB34+BD34+BF34+BH34+BJ34+BL34+BN34+BP34+BR34+BT34+BV34+BX34+BZ34+CB34+CD34+CF34+CH34+CZ34+DB34+DD34+DF34+DH34+DJ34+DL34+DN34+DP34+DR34+DT34+DV34+DX34+DZ34+EB34+ED34+EF34+EH34+EJ34+EL34+EN34+EP34+ER34+ET34+EV34+FN34+FP34+FR34+FT34+FV34+FX34+FZ34+GB34+GD34+GF34+GH34+GJ34+GL34+GN34+GP34+GR34+GT34+GV34+GX34+GZ34+HB34+HD34+HF34+HH34+HJ34+HL34+HN34+HP34+HR34+HT34+HV34+HX34+HZ34+IB34+ID34+IF34+IH34+IJ34+IL34+IN34+IP34+IR34+IT34+IV34+IX34+IZ34+JB34+JD34+JF34+JH34+JJ34+JL34+JZ34+CJ34+CL34+CN34+CP34+CR34+CT34+CV34+CX34+EX34+EZ34+FB34+FD34+FF34+FH34+FJ34+FL34</f>
        <v/>
      </c>
      <c r="KC34" s="186">
        <f>I34+K34+M34+O34+Q34+S34+U34+W34+Y34+AA34+AC34+AE34+AG34+AI34+AK34+AM34+AO34+AQ34+AS34+AU34+AW34+AY34+BA34+BC34+BE34+BG34+BI34+BK34+BM34+BO34+BQ34+BS34+BU34+BW34+BY34+CA34+CC34+CE34+CG34+CI34+DA34+DC34+DE34+DG34+DI34+DK34+DM34+DO34+DQ34+DS34+DU34+DW34+DY34+EA34+EC34+EE34+EG34+EI34+EK34+EM34+EO34+EQ34+ES34+EU34+EW34+FO34+FS34+FU34+FW34+FQ34+FY34+GA34+GC34+GE34+GG34+GI34+GK34+GM34+GO34+GQ34+GS34+GU34+GW34+GY34+HA34+HC34+HE34+HG34+HI34+HK34+HM34+HO34+HQ34+HS34+HU34+HW34+HY34+IA34+IC34+IE34+IG34+II34+IK34+IM34+IO34+IQ34+IS34+IU34+IW34+IY34+JA34+JC34+JE34+JG34+JI34+JK34+JM34+KA34+CK34+CM34+CO34+CQ34+CS34+CU34+CW34+CY34+EY34+FA34+FC34+FE34+FG34+FI34+FK34+FM34</f>
        <v/>
      </c>
      <c r="KD34" s="187">
        <f>JO34+JQ34+JS34+JU34+JW34+JY34</f>
        <v/>
      </c>
      <c r="KE34" s="188">
        <f>KB34=E34</f>
        <v/>
      </c>
      <c r="KF34" s="189">
        <f>E34-KB34</f>
        <v/>
      </c>
      <c r="KG34" s="212" t="n"/>
    </row>
    <row r="35" ht="21.75" customFormat="1" customHeight="1" s="212">
      <c r="A35" s="126">
        <f>A34+1</f>
        <v/>
      </c>
      <c r="B35" s="175" t="inlineStr">
        <is>
          <t>Носиков А.А.</t>
        </is>
      </c>
      <c r="C35" s="194" t="inlineStr">
        <is>
          <t>Фрезеровщик</t>
        </is>
      </c>
      <c r="D35" s="177">
        <f>$D$5</f>
        <v/>
      </c>
      <c r="E35" s="202" t="n">
        <v>168</v>
      </c>
      <c r="F35" s="193" t="n">
        <v>101150.05</v>
      </c>
      <c r="G35" s="179">
        <f>F35/D35</f>
        <v/>
      </c>
      <c r="H35" s="180" t="n"/>
      <c r="I35" s="140">
        <f>H35*100/$E$35</f>
        <v/>
      </c>
      <c r="J35" s="133" t="n"/>
      <c r="K35" s="140">
        <f>J35*100/$E$35</f>
        <v/>
      </c>
      <c r="L35" s="133" t="n"/>
      <c r="M35" s="140">
        <f>L35*100/$E$35</f>
        <v/>
      </c>
      <c r="N35" s="133" t="n"/>
      <c r="O35" s="140">
        <f>N35*100/$E$35</f>
        <v/>
      </c>
      <c r="P35" s="133" t="n"/>
      <c r="Q35" s="139">
        <f>P35*100/$E$35</f>
        <v/>
      </c>
      <c r="R35" s="133" t="n"/>
      <c r="S35" s="139">
        <f>R35*100/$E$35</f>
        <v/>
      </c>
      <c r="T35" s="133" t="n"/>
      <c r="U35" s="140">
        <f>T35*100/$E$35</f>
        <v/>
      </c>
      <c r="V35" s="133" t="n"/>
      <c r="W35" s="140">
        <f>V35*100/$E$35</f>
        <v/>
      </c>
      <c r="X35" s="133" t="n"/>
      <c r="Y35" s="140">
        <f>X35*100/$E$35</f>
        <v/>
      </c>
      <c r="Z35" s="133" t="n"/>
      <c r="AA35" s="140">
        <f>Z35*100/$E$35</f>
        <v/>
      </c>
      <c r="AB35" s="133" t="n"/>
      <c r="AC35" s="140">
        <f>AB35*100/$E$35</f>
        <v/>
      </c>
      <c r="AD35" s="133" t="n"/>
      <c r="AE35" s="139">
        <f>AD35*100/$E$35</f>
        <v/>
      </c>
      <c r="AF35" s="133" t="n"/>
      <c r="AG35" s="139">
        <f>AF35*100/$E$35</f>
        <v/>
      </c>
      <c r="AH35" s="133" t="n"/>
      <c r="AI35" s="140">
        <f>AH35*100/$E$35</f>
        <v/>
      </c>
      <c r="AJ35" s="133" t="n"/>
      <c r="AK35" s="140">
        <f>AJ35*100/$E$35</f>
        <v/>
      </c>
      <c r="AL35" s="133" t="n"/>
      <c r="AM35" s="140">
        <f>AL35*100/$E$35</f>
        <v/>
      </c>
      <c r="AN35" s="133" t="n"/>
      <c r="AO35" s="140">
        <f>AN35*100/$E$35</f>
        <v/>
      </c>
      <c r="AP35" s="133" t="n"/>
      <c r="AQ35" s="140">
        <f>AP35*100/$E$35</f>
        <v/>
      </c>
      <c r="AR35" s="133" t="n"/>
      <c r="AS35" s="140">
        <f>AR35*100/$E$35</f>
        <v/>
      </c>
      <c r="AT35" s="133" t="n"/>
      <c r="AU35" s="181">
        <f>AT35*100/$E$35</f>
        <v/>
      </c>
      <c r="AV35" s="133" t="n"/>
      <c r="AW35" s="140">
        <f>AV35*100/$E$35</f>
        <v/>
      </c>
      <c r="AX35" s="133" t="n">
        <v>15</v>
      </c>
      <c r="AY35" s="140">
        <f>AX35*100/$E$35</f>
        <v/>
      </c>
      <c r="AZ35" s="133" t="n"/>
      <c r="BA35" s="140">
        <f>AZ35*100/$E$35</f>
        <v/>
      </c>
      <c r="BB35" s="133" t="n"/>
      <c r="BC35" s="140">
        <f>BB35*100/$E$35</f>
        <v/>
      </c>
      <c r="BD35" s="133" t="n"/>
      <c r="BE35" s="140">
        <f>BD35*100/$E$35</f>
        <v/>
      </c>
      <c r="BF35" s="133" t="n"/>
      <c r="BG35" s="140">
        <f>BF35*100/$E$35</f>
        <v/>
      </c>
      <c r="BH35" s="133" t="n"/>
      <c r="BI35" s="140">
        <f>BH35*100/$E$35</f>
        <v/>
      </c>
      <c r="BJ35" s="133" t="n"/>
      <c r="BK35" s="140">
        <f>BJ35*100/$E$35</f>
        <v/>
      </c>
      <c r="BL35" s="133" t="n"/>
      <c r="BM35" s="140">
        <f>BL35*100/$E$35</f>
        <v/>
      </c>
      <c r="BN35" s="133" t="n"/>
      <c r="BO35" s="140">
        <f>BN35*100/$E$35</f>
        <v/>
      </c>
      <c r="BP35" s="133" t="n"/>
      <c r="BQ35" s="140">
        <f>BP35*100/$E$35</f>
        <v/>
      </c>
      <c r="BR35" s="133" t="n"/>
      <c r="BS35" s="140">
        <f>BR35*100/$E$35</f>
        <v/>
      </c>
      <c r="BT35" s="133" t="n"/>
      <c r="BU35" s="140">
        <f>BT35*100/$E$35</f>
        <v/>
      </c>
      <c r="BV35" s="133" t="n"/>
      <c r="BW35" s="140">
        <f>BV35*100/$E$35</f>
        <v/>
      </c>
      <c r="BX35" s="133" t="n"/>
      <c r="BY35" s="140">
        <f>BX35*100/$E$35</f>
        <v/>
      </c>
      <c r="BZ35" s="133" t="n"/>
      <c r="CA35" s="140">
        <f>BZ35*100/$E$35</f>
        <v/>
      </c>
      <c r="CB35" s="133" t="n"/>
      <c r="CC35" s="140">
        <f>CB35*100/$E$35</f>
        <v/>
      </c>
      <c r="CD35" s="133" t="n"/>
      <c r="CE35" s="140">
        <f>CD35*100/$E$35</f>
        <v/>
      </c>
      <c r="CF35" s="133" t="n"/>
      <c r="CG35" s="140">
        <f>CF35*100/$E$35</f>
        <v/>
      </c>
      <c r="CH35" s="133" t="n"/>
      <c r="CI35" s="140">
        <f>CH35*100/$E$35</f>
        <v/>
      </c>
      <c r="CJ35" s="133" t="n"/>
      <c r="CK35" s="140">
        <f>CJ35*100/$E$35</f>
        <v/>
      </c>
      <c r="CL35" s="133" t="n"/>
      <c r="CM35" s="140">
        <f>CL35*100/$E$35</f>
        <v/>
      </c>
      <c r="CN35" s="133" t="n"/>
      <c r="CO35" s="139">
        <f>CN35*100/$E$35</f>
        <v/>
      </c>
      <c r="CP35" s="133" t="n"/>
      <c r="CQ35" s="140">
        <f>CP35*100/$E$35</f>
        <v/>
      </c>
      <c r="CR35" s="133" t="n"/>
      <c r="CS35" s="139">
        <f>CR35*100/$E$35</f>
        <v/>
      </c>
      <c r="CT35" s="133" t="n"/>
      <c r="CU35" s="139">
        <f>CT35*100/$E$35</f>
        <v/>
      </c>
      <c r="CV35" s="133" t="n"/>
      <c r="CW35" s="139">
        <f>CV35*100/$E$35</f>
        <v/>
      </c>
      <c r="CX35" s="133" t="n"/>
      <c r="CY35" s="139">
        <f>CX35*100/$E$35</f>
        <v/>
      </c>
      <c r="CZ35" s="133" t="n"/>
      <c r="DA35" s="139">
        <f>CZ35*100/$E$35</f>
        <v/>
      </c>
      <c r="DB35" s="133" t="n"/>
      <c r="DC35" s="139">
        <f>DB35*100/$E$35</f>
        <v/>
      </c>
      <c r="DD35" s="133" t="n"/>
      <c r="DE35" s="139">
        <f>DD35*100/$E$35</f>
        <v/>
      </c>
      <c r="DF35" s="133" t="n"/>
      <c r="DG35" s="139">
        <f>DF35*100/$E$35</f>
        <v/>
      </c>
      <c r="DH35" s="133" t="n"/>
      <c r="DI35" s="139">
        <f>DH35*100/$E$35</f>
        <v/>
      </c>
      <c r="DJ35" s="133">
        <f>12+12+12+12+9+12+12+12</f>
        <v/>
      </c>
      <c r="DK35" s="139">
        <f>DJ35*100/$E$35</f>
        <v/>
      </c>
      <c r="DL35" s="133">
        <f>12+12+12+12+12</f>
        <v/>
      </c>
      <c r="DM35" s="139">
        <f>DL35*100/$E$35</f>
        <v/>
      </c>
      <c r="DN35" s="133" t="n"/>
      <c r="DO35" s="139">
        <f>DN35*100/$E$35</f>
        <v/>
      </c>
      <c r="DP35" s="133" t="n"/>
      <c r="DQ35" s="139">
        <f>DP35*100/$E$35</f>
        <v/>
      </c>
      <c r="DR35" s="133" t="n"/>
      <c r="DS35" s="139">
        <f>DR35*100/$E$35</f>
        <v/>
      </c>
      <c r="DT35" s="133" t="n"/>
      <c r="DU35" s="139">
        <f>DT35*100/$E$35</f>
        <v/>
      </c>
      <c r="DV35" s="133" t="n"/>
      <c r="DW35" s="139">
        <f>DV35*100/$E$35</f>
        <v/>
      </c>
      <c r="DX35" s="133" t="n"/>
      <c r="DY35" s="139">
        <f>DX35*100/$E$35</f>
        <v/>
      </c>
      <c r="DZ35" s="133" t="n"/>
      <c r="EA35" s="139">
        <f>DZ35*100/$E$35</f>
        <v/>
      </c>
      <c r="EB35" s="133" t="n"/>
      <c r="EC35" s="139">
        <f>EB35*100/$E$35</f>
        <v/>
      </c>
      <c r="ED35" s="133" t="n"/>
      <c r="EE35" s="139">
        <f>ED35*100/$E$35</f>
        <v/>
      </c>
      <c r="EF35" s="133" t="n"/>
      <c r="EG35" s="139">
        <f>EF35*100/$E$35</f>
        <v/>
      </c>
      <c r="EH35" s="133" t="n"/>
      <c r="EI35" s="139">
        <f>EH35*100/$E$35</f>
        <v/>
      </c>
      <c r="EJ35" s="133" t="n"/>
      <c r="EK35" s="139">
        <f>EJ35*100/$E$35</f>
        <v/>
      </c>
      <c r="EL35" s="133" t="n"/>
      <c r="EM35" s="139">
        <f>EL35*100/$E$35</f>
        <v/>
      </c>
      <c r="EN35" s="133" t="n"/>
      <c r="EO35" s="139">
        <f>EN35*100/$E$35</f>
        <v/>
      </c>
      <c r="EP35" s="133" t="n"/>
      <c r="EQ35" s="139">
        <f>EP35*100/$E$35</f>
        <v/>
      </c>
      <c r="ER35" s="133" t="n"/>
      <c r="ES35" s="139">
        <f>ER35*100/$E$35</f>
        <v/>
      </c>
      <c r="ET35" s="133" t="n"/>
      <c r="EU35" s="139">
        <f>ET35*100/$E$35</f>
        <v/>
      </c>
      <c r="EV35" s="133" t="n"/>
      <c r="EW35" s="139">
        <f>EV35*100/$E$35</f>
        <v/>
      </c>
      <c r="EX35" s="133" t="n"/>
      <c r="EY35" s="139">
        <f>EX35*100/$E$35</f>
        <v/>
      </c>
      <c r="EZ35" s="133" t="n"/>
      <c r="FA35" s="139">
        <f>EZ35*100/$E$35</f>
        <v/>
      </c>
      <c r="FB35" s="133" t="n"/>
      <c r="FC35" s="139">
        <f>FB35*100/$E$35</f>
        <v/>
      </c>
      <c r="FD35" s="133" t="n"/>
      <c r="FE35" s="139">
        <f>FD35*100/$E$35</f>
        <v/>
      </c>
      <c r="FF35" s="133" t="n"/>
      <c r="FG35" s="139">
        <f>FF35*100/$E$35</f>
        <v/>
      </c>
      <c r="FH35" s="133" t="n"/>
      <c r="FI35" s="139">
        <f>FH35*100/$E$35</f>
        <v/>
      </c>
      <c r="FJ35" s="133" t="n"/>
      <c r="FK35" s="139">
        <f>FJ35*100/$E$35</f>
        <v/>
      </c>
      <c r="FL35" s="133" t="n"/>
      <c r="FM35" s="139">
        <f>FL35*100/$E$35</f>
        <v/>
      </c>
      <c r="FN35" s="133" t="n"/>
      <c r="FO35" s="139">
        <f>FN35*100/$E$35</f>
        <v/>
      </c>
      <c r="FP35" s="133" t="n"/>
      <c r="FQ35" s="139">
        <f>FP35*100/$E$35</f>
        <v/>
      </c>
      <c r="FR35" s="133" t="n"/>
      <c r="FS35" s="139">
        <f>FR35*100/$E$35</f>
        <v/>
      </c>
      <c r="FT35" s="133" t="n"/>
      <c r="FU35" s="139">
        <f>FT35*100/$E$35</f>
        <v/>
      </c>
      <c r="FV35" s="133" t="n"/>
      <c r="FW35" s="139">
        <f>FV35*100/$E$35</f>
        <v/>
      </c>
      <c r="FX35" s="133" t="n"/>
      <c r="FY35" s="140">
        <f>FX35*100/$E$35</f>
        <v/>
      </c>
      <c r="FZ35" s="133" t="n"/>
      <c r="GA35" s="140">
        <f>FZ35*100/$E$35</f>
        <v/>
      </c>
      <c r="GB35" s="133" t="n"/>
      <c r="GC35" s="140">
        <f>GB35*100/$E$35</f>
        <v/>
      </c>
      <c r="GD35" s="133" t="n"/>
      <c r="GE35" s="140">
        <f>GD35*100/$E$35</f>
        <v/>
      </c>
      <c r="GF35" s="133" t="n"/>
      <c r="GG35" s="140">
        <f>GF35*100/$E$35</f>
        <v/>
      </c>
      <c r="GH35" s="133" t="n"/>
      <c r="GI35" s="140">
        <f>GH35*100/$E$35</f>
        <v/>
      </c>
      <c r="GJ35" s="133" t="n"/>
      <c r="GK35" s="139">
        <f>GJ35*100/$E$35</f>
        <v/>
      </c>
      <c r="GL35" s="133" t="n"/>
      <c r="GM35" s="140">
        <f>GL35*100/$E$35</f>
        <v/>
      </c>
      <c r="GN35" s="133" t="n"/>
      <c r="GO35" s="139">
        <f>GN35*100/$E$35</f>
        <v/>
      </c>
      <c r="GP35" s="133" t="n"/>
      <c r="GQ35" s="140">
        <f>GP35*100/$E$35</f>
        <v/>
      </c>
      <c r="GR35" s="133" t="n"/>
      <c r="GS35" s="139">
        <f>GR35*100/$E$35</f>
        <v/>
      </c>
      <c r="GT35" s="133" t="n"/>
      <c r="GU35" s="139">
        <f>GT35*100/$E$35</f>
        <v/>
      </c>
      <c r="GV35" s="133" t="n"/>
      <c r="GW35" s="139">
        <f>GV35*100/$E$35</f>
        <v/>
      </c>
      <c r="GX35" s="133" t="n"/>
      <c r="GY35" s="140">
        <f>GX35*100/$E$35</f>
        <v/>
      </c>
      <c r="GZ35" s="133" t="n"/>
      <c r="HA35" s="140">
        <f>GZ35*100/$E$35</f>
        <v/>
      </c>
      <c r="HB35" s="133" t="n"/>
      <c r="HC35" s="140">
        <f>HB35*100/$E$35</f>
        <v/>
      </c>
      <c r="HD35" s="133" t="n"/>
      <c r="HE35" s="140">
        <f>HD35*100/$E$35</f>
        <v/>
      </c>
      <c r="HF35" s="133" t="n"/>
      <c r="HG35" s="140">
        <f>HF35*100/$E$35</f>
        <v/>
      </c>
      <c r="HH35" s="133" t="n"/>
      <c r="HI35" s="140">
        <f>HH35*100/$E$35</f>
        <v/>
      </c>
      <c r="HJ35" s="133" t="n"/>
      <c r="HK35" s="140">
        <f>HJ35*100/$E$35</f>
        <v/>
      </c>
      <c r="HL35" s="133" t="n"/>
      <c r="HM35" s="140">
        <f>HL35*100/$E$35</f>
        <v/>
      </c>
      <c r="HN35" s="133" t="n"/>
      <c r="HO35" s="140">
        <f>HN35*100/$E$35</f>
        <v/>
      </c>
      <c r="HP35" s="133" t="n"/>
      <c r="HQ35" s="140">
        <f>HP35*100/$E$35</f>
        <v/>
      </c>
      <c r="HR35" s="133" t="n"/>
      <c r="HS35" s="140">
        <f>HR35*100/$E$35</f>
        <v/>
      </c>
      <c r="HT35" s="133" t="n"/>
      <c r="HU35" s="140">
        <f>HT35*100/$E$35</f>
        <v/>
      </c>
      <c r="HV35" s="133" t="n"/>
      <c r="HW35" s="140">
        <f>HV35*100/$E$35</f>
        <v/>
      </c>
      <c r="HX35" s="133" t="n"/>
      <c r="HY35" s="140">
        <f>HX35*100/$E$35</f>
        <v/>
      </c>
      <c r="HZ35" s="133" t="n"/>
      <c r="IA35" s="139">
        <f>HZ35*100/$E$35</f>
        <v/>
      </c>
      <c r="IB35" s="133" t="n"/>
      <c r="IC35" s="139">
        <f>IB35*100/$E$35</f>
        <v/>
      </c>
      <c r="ID35" s="133" t="n"/>
      <c r="IE35" s="139">
        <f>ID35*100/$E$35</f>
        <v/>
      </c>
      <c r="IF35" s="133" t="n"/>
      <c r="IG35" s="139">
        <f>IF35*100/$E$35</f>
        <v/>
      </c>
      <c r="IH35" s="133" t="n"/>
      <c r="II35" s="139">
        <f>IH35*100/$E$35</f>
        <v/>
      </c>
      <c r="IJ35" s="133" t="n"/>
      <c r="IK35" s="139">
        <f>IJ35*100/$E$35</f>
        <v/>
      </c>
      <c r="IL35" s="133" t="n"/>
      <c r="IM35" s="140">
        <f>IL35*100/$E$35</f>
        <v/>
      </c>
      <c r="IN35" s="133" t="n"/>
      <c r="IO35" s="140">
        <f>IN35*100/$E$35</f>
        <v/>
      </c>
      <c r="IP35" s="133" t="n"/>
      <c r="IQ35" s="139">
        <f>IP35*100/$E$35</f>
        <v/>
      </c>
      <c r="IR35" s="133" t="n"/>
      <c r="IS35" s="139">
        <f>IR35*100/$E$35</f>
        <v/>
      </c>
      <c r="IT35" s="133" t="n"/>
      <c r="IU35" s="139">
        <f>IT35*100/$E$35</f>
        <v/>
      </c>
      <c r="IV35" s="133" t="n"/>
      <c r="IW35" s="139">
        <f>IV35*100/$E$35</f>
        <v/>
      </c>
      <c r="IX35" s="133" t="n"/>
      <c r="IY35" s="139">
        <f>IX35*100/$E$35</f>
        <v/>
      </c>
      <c r="IZ35" s="133" t="n"/>
      <c r="JA35" s="139">
        <f>IZ35*100/$E$35</f>
        <v/>
      </c>
      <c r="JB35" s="133" t="n"/>
      <c r="JC35" s="139">
        <f>JB35*100/$E$35</f>
        <v/>
      </c>
      <c r="JD35" s="133" t="n"/>
      <c r="JE35" s="139">
        <f>JD35*100/$E$35</f>
        <v/>
      </c>
      <c r="JF35" s="133" t="n"/>
      <c r="JG35" s="139">
        <f>JF35*100/$E$35</f>
        <v/>
      </c>
      <c r="JH35" s="133" t="n"/>
      <c r="JI35" s="139">
        <f>JH35*100/$E$35</f>
        <v/>
      </c>
      <c r="JJ35" s="133" t="n"/>
      <c r="JK35" s="139">
        <f>JJ35*100/$E$35</f>
        <v/>
      </c>
      <c r="JL35" s="133" t="n"/>
      <c r="JM35" s="139">
        <f>JL35*100/$E$35</f>
        <v/>
      </c>
      <c r="JN35" s="133" t="n"/>
      <c r="JO35" s="182">
        <f>JN35*100/$E$35</f>
        <v/>
      </c>
      <c r="JP35" s="133" t="n"/>
      <c r="JQ35" s="182">
        <f>JP35*100/$E$35</f>
        <v/>
      </c>
      <c r="JR35" s="108" t="n"/>
      <c r="JS35" s="121">
        <f>JR35*100/$E$35</f>
        <v/>
      </c>
      <c r="JT35" s="108" t="n"/>
      <c r="JU35" s="121">
        <f>JT35*100/$E$35</f>
        <v/>
      </c>
      <c r="JV35" s="117" t="n"/>
      <c r="JW35" s="121">
        <f>JV35*100/$E$35</f>
        <v/>
      </c>
      <c r="JX35" s="117" t="n"/>
      <c r="JY35" s="121">
        <f>JX35*100/$E$35</f>
        <v/>
      </c>
      <c r="JZ35" s="183">
        <f>JN35+JP35+JR35+JT35+JV35+JX35</f>
        <v/>
      </c>
      <c r="KA35" s="184">
        <f>JO35+JQ35+JS35+JU35+JW35+JY35</f>
        <v/>
      </c>
      <c r="KB35" s="185">
        <f>H35+J35+L35+N35+P35+R35+T35+V35+X35+Z35+AB35+AD35+AF35+AH35+AJ35+AL35+AN35+AP35+AR35+AT35+AV35+AX35+AZ35+BB35+BD35+BF35+BH35+BJ35+BL35+BN35+BP35+BR35+BT35+BV35+BX35+BZ35+CB35+CD35+CF35+CH35+CZ35+DB35+DD35+DF35+DH35+DJ35+DL35+DN35+DP35+DR35+DT35+DV35+DX35+DZ35+EB35+ED35+EF35+EH35+EJ35+EL35+EN35+EP35+ER35+ET35+EV35+FN35+FP35+FR35+FT35+FV35+FX35+FZ35+GB35+GD35+GF35+GH35+GJ35+GL35+GN35+GP35+GR35+GT35+GV35+GX35+GZ35+HB35+HD35+HF35+HH35+HJ35+HL35+HN35+HP35+HR35+HT35+HV35+HX35+HZ35+IB35+ID35+IF35+IH35+IJ35+IL35+IN35+IP35+IR35+IT35+IV35+IX35+IZ35+JB35+JD35+JF35+JH35+JJ35+JL35+JZ35+CJ35+CL35+CN35+CP35+CR35+CT35+CV35+CX35+EX35+EZ35+FB35+FD35+FF35+FH35+FJ35+FL35</f>
        <v/>
      </c>
      <c r="KC35" s="186">
        <f>I35+K35+M35+O35+Q35+S35+U35+W35+Y35+AA35+AC35+AE35+AG35+AI35+AK35+AM35+AO35+AQ35+AS35+AU35+AW35+AY35+BA35+BC35+BE35+BG35+BI35+BK35+BM35+BO35+BQ35+BS35+BU35+BW35+BY35+CA35+CC35+CE35+CG35+CI35+DA35+DC35+DE35+DG35+DI35+DK35+DM35+DO35+DQ35+DS35+DU35+DW35+DY35+EA35+EC35+EE35+EG35+EI35+EK35+EM35+EO35+EQ35+ES35+EU35+EW35+FO35+FS35+FU35+FW35+FQ35+FY35+GA35+GC35+GE35+GG35+GI35+GK35+GM35+GO35+GQ35+GS35+GU35+GW35+GY35+HA35+HC35+HE35+HG35+HI35+HK35+HM35+HO35+HQ35+HS35+HU35+HW35+HY35+IA35+IC35+IE35+IG35+II35+IK35+IM35+IO35+IQ35+IS35+IU35+IW35+IY35+JA35+JC35+JE35+JG35+JI35+JK35+JM35+KA35+CK35+CM35+CO35+CQ35+CS35+CU35+CW35+CY35+EY35+FA35+FC35+FE35+FG35+FI35+FK35+FM35</f>
        <v/>
      </c>
      <c r="KD35" s="187">
        <f>JO35+JQ35+JS35+JU35+JW35+JY35</f>
        <v/>
      </c>
      <c r="KE35" s="188">
        <f>KB35=E35</f>
        <v/>
      </c>
      <c r="KF35" s="189">
        <f>E35-KB35</f>
        <v/>
      </c>
      <c r="KG35" s="213" t="n"/>
    </row>
    <row r="36" ht="21.75" customFormat="1" customHeight="1" s="213">
      <c r="A36" s="126">
        <f>A35+1</f>
        <v/>
      </c>
      <c r="B36" s="175" t="inlineStr">
        <is>
          <t>Ряснов С.О.</t>
        </is>
      </c>
      <c r="C36" s="176" t="inlineStr">
        <is>
          <t>Фрезеровщик</t>
        </is>
      </c>
      <c r="D36" s="177">
        <f>$D$5</f>
        <v/>
      </c>
      <c r="E36" s="202" t="n">
        <v>168</v>
      </c>
      <c r="F36" s="193" t="n">
        <v>101150</v>
      </c>
      <c r="G36" s="179">
        <f>F36/D36</f>
        <v/>
      </c>
      <c r="H36" s="180" t="n"/>
      <c r="I36" s="140">
        <f>H36*100/$E$36</f>
        <v/>
      </c>
      <c r="J36" s="133" t="n"/>
      <c r="K36" s="140">
        <f>J36*100/$E$36</f>
        <v/>
      </c>
      <c r="L36" s="133" t="n"/>
      <c r="M36" s="140">
        <f>L36*100/$E$36</f>
        <v/>
      </c>
      <c r="N36" s="133" t="n"/>
      <c r="O36" s="140">
        <f>N36*100/$E$36</f>
        <v/>
      </c>
      <c r="P36" s="133" t="n"/>
      <c r="Q36" s="139">
        <f>P36*100/$E$36</f>
        <v/>
      </c>
      <c r="R36" s="133" t="n"/>
      <c r="S36" s="139">
        <f>R36*100/$E$36</f>
        <v/>
      </c>
      <c r="T36" s="133" t="n"/>
      <c r="U36" s="140">
        <f>T36*100/$E$36</f>
        <v/>
      </c>
      <c r="V36" s="133" t="n"/>
      <c r="W36" s="140">
        <f>V36*100/$E$36</f>
        <v/>
      </c>
      <c r="X36" s="133" t="n"/>
      <c r="Y36" s="140">
        <f>X36*100/$E$36</f>
        <v/>
      </c>
      <c r="Z36" s="133" t="n"/>
      <c r="AA36" s="140">
        <f>Z36*100/$E$36</f>
        <v/>
      </c>
      <c r="AB36" s="133" t="n"/>
      <c r="AC36" s="140">
        <f>AB36*100/$E$36</f>
        <v/>
      </c>
      <c r="AD36" s="133" t="n"/>
      <c r="AE36" s="139">
        <f>AD36*100/$E$36</f>
        <v/>
      </c>
      <c r="AF36" s="133" t="n"/>
      <c r="AG36" s="139">
        <f>AF36*100/$E$36</f>
        <v/>
      </c>
      <c r="AH36" s="133" t="n"/>
      <c r="AI36" s="140">
        <f>AH36*100/$E$36</f>
        <v/>
      </c>
      <c r="AJ36" s="133" t="n"/>
      <c r="AK36" s="140">
        <f>AJ36*100/$E$36</f>
        <v/>
      </c>
      <c r="AL36" s="133" t="n"/>
      <c r="AM36" s="140">
        <f>AL36*100/$E$36</f>
        <v/>
      </c>
      <c r="AN36" s="133" t="n"/>
      <c r="AO36" s="140">
        <f>AN36*100/$E$36</f>
        <v/>
      </c>
      <c r="AP36" s="133" t="n"/>
      <c r="AQ36" s="140">
        <f>AP36*100/$E$36</f>
        <v/>
      </c>
      <c r="AR36" s="133" t="n"/>
      <c r="AS36" s="140">
        <f>AR36*100/$E$36</f>
        <v/>
      </c>
      <c r="AT36" s="133" t="n"/>
      <c r="AU36" s="181">
        <f>AT36*100/$E$36</f>
        <v/>
      </c>
      <c r="AV36" s="133" t="n"/>
      <c r="AW36" s="140">
        <f>AV36*100/$E$36</f>
        <v/>
      </c>
      <c r="AX36" s="133" t="n">
        <v>24</v>
      </c>
      <c r="AY36" s="140">
        <f>AX36*100/$E$36</f>
        <v/>
      </c>
      <c r="AZ36" s="133" t="n"/>
      <c r="BA36" s="140">
        <f>AZ36*100/$E$36</f>
        <v/>
      </c>
      <c r="BB36" s="133" t="n"/>
      <c r="BC36" s="140">
        <f>BB36*100/$E$36</f>
        <v/>
      </c>
      <c r="BD36" s="133" t="n"/>
      <c r="BE36" s="140">
        <f>BD36*100/$E$36</f>
        <v/>
      </c>
      <c r="BF36" s="133" t="n"/>
      <c r="BG36" s="140">
        <f>BF36*100/$E$36</f>
        <v/>
      </c>
      <c r="BH36" s="133" t="n"/>
      <c r="BI36" s="140">
        <f>BH36*100/$E$36</f>
        <v/>
      </c>
      <c r="BJ36" s="133" t="n"/>
      <c r="BK36" s="140">
        <f>BJ36*100/$E$36</f>
        <v/>
      </c>
      <c r="BL36" s="133" t="n"/>
      <c r="BM36" s="140">
        <f>BL36*100/$E$36</f>
        <v/>
      </c>
      <c r="BN36" s="133" t="n"/>
      <c r="BO36" s="140">
        <f>BN36*100/$E$36</f>
        <v/>
      </c>
      <c r="BP36" s="133" t="n"/>
      <c r="BQ36" s="140">
        <f>BP36*100/$E$36</f>
        <v/>
      </c>
      <c r="BR36" s="133" t="n"/>
      <c r="BS36" s="140">
        <f>BR36*100/$E$36</f>
        <v/>
      </c>
      <c r="BT36" s="133" t="n"/>
      <c r="BU36" s="140">
        <f>BT36*100/$E$36</f>
        <v/>
      </c>
      <c r="BV36" s="133" t="n"/>
      <c r="BW36" s="140">
        <f>BV36*100/$E$36</f>
        <v/>
      </c>
      <c r="BX36" s="133" t="n"/>
      <c r="BY36" s="140">
        <f>BX36*100/$E$36</f>
        <v/>
      </c>
      <c r="BZ36" s="133" t="n"/>
      <c r="CA36" s="140">
        <f>BZ36*100/$E$36</f>
        <v/>
      </c>
      <c r="CB36" s="133" t="n"/>
      <c r="CC36" s="140">
        <f>CB36*100/$E$36</f>
        <v/>
      </c>
      <c r="CD36" s="133" t="n"/>
      <c r="CE36" s="140">
        <f>CD36*100/$E$36</f>
        <v/>
      </c>
      <c r="CF36" s="133" t="n"/>
      <c r="CG36" s="140">
        <f>CF36*100/$E$36</f>
        <v/>
      </c>
      <c r="CH36" s="133" t="n"/>
      <c r="CI36" s="140">
        <f>CH36*100/$E$36</f>
        <v/>
      </c>
      <c r="CJ36" s="133" t="n"/>
      <c r="CK36" s="140">
        <f>CJ36*100/$E$36</f>
        <v/>
      </c>
      <c r="CL36" s="133" t="n"/>
      <c r="CM36" s="140">
        <f>CL36*100/$E$36</f>
        <v/>
      </c>
      <c r="CN36" s="133" t="n"/>
      <c r="CO36" s="139">
        <f>CN36*100/$E$36</f>
        <v/>
      </c>
      <c r="CP36" s="133" t="n"/>
      <c r="CQ36" s="140">
        <f>CP36*100/$E$36</f>
        <v/>
      </c>
      <c r="CR36" s="133" t="n"/>
      <c r="CS36" s="139">
        <f>CR36*100/$E$36</f>
        <v/>
      </c>
      <c r="CT36" s="133" t="n"/>
      <c r="CU36" s="139">
        <f>CT36*100/$E$36</f>
        <v/>
      </c>
      <c r="CV36" s="133" t="n"/>
      <c r="CW36" s="139">
        <f>CV36*100/$E$36</f>
        <v/>
      </c>
      <c r="CX36" s="133" t="n"/>
      <c r="CY36" s="139">
        <f>CX36*100/$E$36</f>
        <v/>
      </c>
      <c r="CZ36" s="133" t="n"/>
      <c r="DA36" s="139">
        <f>CZ36*100/$E$36</f>
        <v/>
      </c>
      <c r="DB36" s="133" t="n">
        <v>12</v>
      </c>
      <c r="DC36" s="139">
        <f>DB36*100/$E$36</f>
        <v/>
      </c>
      <c r="DD36" s="133">
        <f>12+8</f>
        <v/>
      </c>
      <c r="DE36" s="139">
        <f>DD36*100/$E$36</f>
        <v/>
      </c>
      <c r="DF36" s="133" t="n"/>
      <c r="DG36" s="139">
        <f>DF36*100/$E$36</f>
        <v/>
      </c>
      <c r="DH36" s="133" t="n"/>
      <c r="DI36" s="139">
        <f>DH36*100/$E$36</f>
        <v/>
      </c>
      <c r="DJ36" s="133">
        <f>12+12+12+12+4+12</f>
        <v/>
      </c>
      <c r="DK36" s="139">
        <f>DJ36*100/$E$36</f>
        <v/>
      </c>
      <c r="DL36" s="133" t="n"/>
      <c r="DM36" s="139">
        <f>DL36*100/$E$36</f>
        <v/>
      </c>
      <c r="DN36" s="133" t="n"/>
      <c r="DO36" s="139">
        <f>DN36*100/$E$36</f>
        <v/>
      </c>
      <c r="DP36" s="133" t="n"/>
      <c r="DQ36" s="139">
        <f>DP36*100/$E$36</f>
        <v/>
      </c>
      <c r="DR36" s="133" t="n"/>
      <c r="DS36" s="139">
        <f>DR36*100/$E$36</f>
        <v/>
      </c>
      <c r="DT36" s="133" t="n"/>
      <c r="DU36" s="139">
        <f>DT36*100/$E$36</f>
        <v/>
      </c>
      <c r="DV36" s="133" t="n"/>
      <c r="DW36" s="139">
        <f>DV36*100/$E$36</f>
        <v/>
      </c>
      <c r="DX36" s="133" t="n"/>
      <c r="DY36" s="139">
        <f>DX36*100/$E$36</f>
        <v/>
      </c>
      <c r="DZ36" s="133" t="n"/>
      <c r="EA36" s="139">
        <f>DZ36*100/$E$36</f>
        <v/>
      </c>
      <c r="EB36" s="133" t="n"/>
      <c r="EC36" s="139">
        <f>EB36*100/$E$36</f>
        <v/>
      </c>
      <c r="ED36" s="133" t="n"/>
      <c r="EE36" s="139">
        <f>ED36*100/$E$36</f>
        <v/>
      </c>
      <c r="EF36" s="133" t="n"/>
      <c r="EG36" s="139">
        <f>EF36*100/$E$36</f>
        <v/>
      </c>
      <c r="EH36" s="133" t="n"/>
      <c r="EI36" s="139">
        <f>EH36*100/$E$36</f>
        <v/>
      </c>
      <c r="EJ36" s="133" t="n"/>
      <c r="EK36" s="139">
        <f>EJ36*100/$E$36</f>
        <v/>
      </c>
      <c r="EL36" s="133" t="n"/>
      <c r="EM36" s="139">
        <f>EL36*100/$E$36</f>
        <v/>
      </c>
      <c r="EN36" s="133" t="n"/>
      <c r="EO36" s="139">
        <f>EN36*100/$E$36</f>
        <v/>
      </c>
      <c r="EP36" s="133" t="n"/>
      <c r="EQ36" s="139">
        <f>EP36*100/$E$36</f>
        <v/>
      </c>
      <c r="ER36" s="133" t="n"/>
      <c r="ES36" s="139">
        <f>ER36*100/$E$36</f>
        <v/>
      </c>
      <c r="ET36" s="133" t="n"/>
      <c r="EU36" s="139">
        <f>ET36*100/$E$36</f>
        <v/>
      </c>
      <c r="EV36" s="133" t="n"/>
      <c r="EW36" s="139">
        <f>EV36*100/$E$36</f>
        <v/>
      </c>
      <c r="EX36" s="133" t="n"/>
      <c r="EY36" s="139">
        <f>EX36*100/$E$36</f>
        <v/>
      </c>
      <c r="EZ36" s="133" t="n"/>
      <c r="FA36" s="139">
        <f>EZ36*100/$E$36</f>
        <v/>
      </c>
      <c r="FB36" s="133" t="n"/>
      <c r="FC36" s="139">
        <f>FB36*100/$E$36</f>
        <v/>
      </c>
      <c r="FD36" s="133">
        <f>12+12+12</f>
        <v/>
      </c>
      <c r="FE36" s="139">
        <f>FD36*100/$E$36</f>
        <v/>
      </c>
      <c r="FF36" s="133" t="n"/>
      <c r="FG36" s="139">
        <f>FF36*100/$E$36</f>
        <v/>
      </c>
      <c r="FH36" s="133" t="n"/>
      <c r="FI36" s="139">
        <f>FH36*100/$E$36</f>
        <v/>
      </c>
      <c r="FJ36" s="133" t="n"/>
      <c r="FK36" s="139">
        <f>FJ36*100/$E$36</f>
        <v/>
      </c>
      <c r="FL36" s="133" t="n"/>
      <c r="FM36" s="139">
        <f>FL36*100/$E$36</f>
        <v/>
      </c>
      <c r="FN36" s="133" t="n"/>
      <c r="FO36" s="139">
        <f>FN36*100/$E$36</f>
        <v/>
      </c>
      <c r="FP36" s="133" t="n"/>
      <c r="FQ36" s="139">
        <f>FP36*100/$E$36</f>
        <v/>
      </c>
      <c r="FR36" s="133" t="n"/>
      <c r="FS36" s="139">
        <f>FR36*100/$E$36</f>
        <v/>
      </c>
      <c r="FT36" s="133" t="n"/>
      <c r="FU36" s="139">
        <f>FT36*100/$E$36</f>
        <v/>
      </c>
      <c r="FV36" s="133" t="n"/>
      <c r="FW36" s="139">
        <f>FV36*100/$E$36</f>
        <v/>
      </c>
      <c r="FX36" s="133" t="n"/>
      <c r="FY36" s="140">
        <f>FX36*100/$E$36</f>
        <v/>
      </c>
      <c r="FZ36" s="133" t="n"/>
      <c r="GA36" s="140">
        <f>FZ36*100/$E$36</f>
        <v/>
      </c>
      <c r="GB36" s="133" t="n"/>
      <c r="GC36" s="140">
        <f>GB36*100/$E$36</f>
        <v/>
      </c>
      <c r="GD36" s="133" t="n"/>
      <c r="GE36" s="140">
        <f>GD36*100/$E$36</f>
        <v/>
      </c>
      <c r="GF36" s="133" t="n"/>
      <c r="GG36" s="140">
        <f>GF36*100/$E$36</f>
        <v/>
      </c>
      <c r="GH36" s="133" t="n"/>
      <c r="GI36" s="140">
        <f>GH36*100/$E$36</f>
        <v/>
      </c>
      <c r="GJ36" s="133" t="n"/>
      <c r="GK36" s="139">
        <f>GJ36*100/$E$36</f>
        <v/>
      </c>
      <c r="GL36" s="133" t="n"/>
      <c r="GM36" s="140">
        <f>GL36*100/$E$36</f>
        <v/>
      </c>
      <c r="GN36" s="133" t="n"/>
      <c r="GO36" s="139">
        <f>GN36*100/$E$36</f>
        <v/>
      </c>
      <c r="GP36" s="133" t="n"/>
      <c r="GQ36" s="140">
        <f>GP36*100/$E$36</f>
        <v/>
      </c>
      <c r="GR36" s="133" t="n"/>
      <c r="GS36" s="139">
        <f>GR36*100/$E$36</f>
        <v/>
      </c>
      <c r="GT36" s="133" t="n"/>
      <c r="GU36" s="139">
        <f>GT36*100/$E$36</f>
        <v/>
      </c>
      <c r="GV36" s="133" t="n"/>
      <c r="GW36" s="139">
        <f>GV36*100/$E$36</f>
        <v/>
      </c>
      <c r="GX36" s="133" t="n"/>
      <c r="GY36" s="140">
        <f>GX36*100/$E$36</f>
        <v/>
      </c>
      <c r="GZ36" s="133" t="n"/>
      <c r="HA36" s="140">
        <f>GZ36*100/$E$36</f>
        <v/>
      </c>
      <c r="HB36" s="133" t="n"/>
      <c r="HC36" s="140">
        <f>HB36*100/$E$36</f>
        <v/>
      </c>
      <c r="HD36" s="133" t="n"/>
      <c r="HE36" s="140">
        <f>HD36*100/$E$36</f>
        <v/>
      </c>
      <c r="HF36" s="133" t="n"/>
      <c r="HG36" s="140">
        <f>HF36*100/$E$36</f>
        <v/>
      </c>
      <c r="HH36" s="133" t="n"/>
      <c r="HI36" s="140">
        <f>HH36*100/$E$36</f>
        <v/>
      </c>
      <c r="HJ36" s="133" t="n"/>
      <c r="HK36" s="140">
        <f>HJ36*100/$E$36</f>
        <v/>
      </c>
      <c r="HL36" s="133" t="n"/>
      <c r="HM36" s="140">
        <f>HL36*100/$E$36</f>
        <v/>
      </c>
      <c r="HN36" s="133" t="n"/>
      <c r="HO36" s="140">
        <f>HN36*100/$E$36</f>
        <v/>
      </c>
      <c r="HP36" s="133" t="n"/>
      <c r="HQ36" s="140">
        <f>HP36*100/$E$36</f>
        <v/>
      </c>
      <c r="HR36" s="133" t="n"/>
      <c r="HS36" s="140">
        <f>HR36*100/$E$36</f>
        <v/>
      </c>
      <c r="HT36" s="133" t="n"/>
      <c r="HU36" s="140">
        <f>HT36*100/$E$36</f>
        <v/>
      </c>
      <c r="HV36" s="133" t="n"/>
      <c r="HW36" s="140">
        <f>HV36*100/$E$36</f>
        <v/>
      </c>
      <c r="HX36" s="133" t="n"/>
      <c r="HY36" s="140">
        <f>HX36*100/$E$36</f>
        <v/>
      </c>
      <c r="HZ36" s="133" t="n"/>
      <c r="IA36" s="139">
        <f>HZ36*100/$E$36</f>
        <v/>
      </c>
      <c r="IB36" s="133" t="n"/>
      <c r="IC36" s="139">
        <f>IB36*100/$E$36</f>
        <v/>
      </c>
      <c r="ID36" s="133" t="n"/>
      <c r="IE36" s="139">
        <f>ID36*100/$E$36</f>
        <v/>
      </c>
      <c r="IF36" s="133" t="n"/>
      <c r="IG36" s="139">
        <f>IF36*100/$E$36</f>
        <v/>
      </c>
      <c r="IH36" s="133" t="n"/>
      <c r="II36" s="139">
        <f>IH36*100/$E$36</f>
        <v/>
      </c>
      <c r="IJ36" s="133" t="n"/>
      <c r="IK36" s="139">
        <f>IJ36*100/$E$36</f>
        <v/>
      </c>
      <c r="IL36" s="133" t="n"/>
      <c r="IM36" s="140">
        <f>IL36*100/$E$36</f>
        <v/>
      </c>
      <c r="IN36" s="133" t="n"/>
      <c r="IO36" s="140">
        <f>IN36*100/$E$36</f>
        <v/>
      </c>
      <c r="IP36" s="133" t="n"/>
      <c r="IQ36" s="139">
        <f>IP36*100/$E$36</f>
        <v/>
      </c>
      <c r="IR36" s="133" t="n"/>
      <c r="IS36" s="139">
        <f>IR36*100/$E$36</f>
        <v/>
      </c>
      <c r="IT36" s="133" t="n"/>
      <c r="IU36" s="139">
        <f>IT36*100/$E$36</f>
        <v/>
      </c>
      <c r="IV36" s="133" t="n"/>
      <c r="IW36" s="139">
        <f>IV36*100/$E$36</f>
        <v/>
      </c>
      <c r="IX36" s="133" t="n"/>
      <c r="IY36" s="139">
        <f>IX36*100/$E$36</f>
        <v/>
      </c>
      <c r="IZ36" s="133" t="n"/>
      <c r="JA36" s="139">
        <f>IZ36*100/$E$36</f>
        <v/>
      </c>
      <c r="JB36" s="133" t="n"/>
      <c r="JC36" s="139">
        <f>JB36*100/$E$36</f>
        <v/>
      </c>
      <c r="JD36" s="133" t="n"/>
      <c r="JE36" s="139">
        <f>JD36*100/$E$36</f>
        <v/>
      </c>
      <c r="JF36" s="133" t="n"/>
      <c r="JG36" s="139">
        <f>JF36*100/$E$36</f>
        <v/>
      </c>
      <c r="JH36" s="133" t="n"/>
      <c r="JI36" s="139">
        <f>JH36*100/$E$36</f>
        <v/>
      </c>
      <c r="JJ36" s="133" t="n"/>
      <c r="JK36" s="139">
        <f>JJ36*100/$E$36</f>
        <v/>
      </c>
      <c r="JL36" s="133" t="n">
        <v>12</v>
      </c>
      <c r="JM36" s="139">
        <f>JL36*100/$E$36</f>
        <v/>
      </c>
      <c r="JN36" s="133" t="n"/>
      <c r="JO36" s="182">
        <f>JN36*100/$E$36</f>
        <v/>
      </c>
      <c r="JP36" s="133" t="n"/>
      <c r="JQ36" s="182">
        <f>JP36*100/$E$36</f>
        <v/>
      </c>
      <c r="JR36" s="108" t="n"/>
      <c r="JS36" s="121">
        <f>JR36*100/$E$36</f>
        <v/>
      </c>
      <c r="JT36" s="108" t="n"/>
      <c r="JU36" s="121">
        <f>JT36*100/$E$36</f>
        <v/>
      </c>
      <c r="JV36" s="108" t="n"/>
      <c r="JW36" s="121">
        <f>JV36*100/$E$36</f>
        <v/>
      </c>
      <c r="JX36" s="108" t="n"/>
      <c r="JY36" s="121">
        <f>JX36*100/$E$36</f>
        <v/>
      </c>
      <c r="JZ36" s="183">
        <f>JN36+JP36+JR36+JT36+JV36+JX36</f>
        <v/>
      </c>
      <c r="KA36" s="184">
        <f>JO36+JQ36+JS36+JU36+JW36+JY36</f>
        <v/>
      </c>
      <c r="KB36" s="185">
        <f>H36+J36+L36+N36+P36+R36+T36+V36+X36+Z36+AB36+AD36+AF36+AH36+AJ36+AL36+AN36+AP36+AR36+AT36+AV36+AX36+AZ36+BB36+BD36+BF36+BH36+BJ36+BL36+BN36+BP36+BR36+BT36+BV36+BX36+BZ36+CB36+CD36+CF36+CH36+CZ36+DB36+DD36+DF36+DH36+DJ36+DL36+DN36+DP36+DR36+DT36+DV36+DX36+DZ36+EB36+ED36+EF36+EH36+EJ36+EL36+EN36+EP36+ER36+ET36+EV36+FN36+FP36+FR36+FT36+FV36+FX36+FZ36+GB36+GD36+GF36+GH36+GJ36+GL36+GN36+GP36+GR36+GT36+GV36+GX36+GZ36+HB36+HD36+HF36+HH36+HJ36+HL36+HN36+HP36+HR36+HT36+HV36+HX36+HZ36+IB36+ID36+IF36+IH36+IJ36+IL36+IN36+IP36+IR36+IT36+IV36+IX36+IZ36+JB36+JD36+JF36+JH36+JJ36+JL36+JZ36+CJ36+CL36+CN36+CP36+CR36+CT36+CV36+CX36+EX36+EZ36+FB36+FD36+FF36+FH36+FJ36+FL36</f>
        <v/>
      </c>
      <c r="KC36" s="186">
        <f>I36+K36+M36+O36+Q36+S36+U36+W36+Y36+AA36+AC36+AE36+AG36+AI36+AK36+AM36+AO36+AQ36+AS36+AU36+AW36+AY36+BA36+BC36+BE36+BG36+BI36+BK36+BM36+BO36+BQ36+BS36+BU36+BW36+BY36+CA36+CC36+CE36+CG36+CI36+DA36+DC36+DE36+DG36+DI36+DK36+DM36+DO36+DQ36+DS36+DU36+DW36+DY36+EA36+EC36+EE36+EG36+EI36+EK36+EM36+EO36+EQ36+ES36+EU36+EW36+FO36+FS36+FU36+FW36+FQ36+FY36+GA36+GC36+GE36+GG36+GI36+GK36+GM36+GO36+GQ36+GS36+GU36+GW36+GY36+HA36+HC36+HE36+HG36+HI36+HK36+HM36+HO36+HQ36+HS36+HU36+HW36+HY36+IA36+IC36+IE36+IG36+II36+IK36+IM36+IO36+IQ36+IS36+IU36+IW36+IY36+JA36+JC36+JE36+JG36+JI36+JK36+JM36+KA36+CK36+CM36+CO36+CQ36+CS36+CU36+CW36+CY36+EY36+FA36+FC36+FE36+FG36+FI36+FK36+FM36</f>
        <v/>
      </c>
      <c r="KD36" s="187">
        <f>JO36+JQ36+JS36+JU36+JW36+JY36</f>
        <v/>
      </c>
      <c r="KE36" s="188">
        <f>KB36=E36</f>
        <v/>
      </c>
      <c r="KF36" s="189">
        <f>E36-KB36</f>
        <v/>
      </c>
      <c r="KG36" s="214" t="n"/>
    </row>
    <row r="37" ht="21.75" customFormat="1" customHeight="1" s="213">
      <c r="A37" s="126">
        <f>A36+1</f>
        <v/>
      </c>
      <c r="B37" s="175" t="inlineStr">
        <is>
          <t>Протасов С.А.</t>
        </is>
      </c>
      <c r="C37" s="194" t="inlineStr">
        <is>
          <t>слесарь МСР</t>
        </is>
      </c>
      <c r="D37" s="177">
        <f>$D$5</f>
        <v/>
      </c>
      <c r="E37" s="202" t="n">
        <v>152</v>
      </c>
      <c r="F37" s="193" t="n">
        <v>84149.67999999999</v>
      </c>
      <c r="G37" s="179">
        <f>F37/D37</f>
        <v/>
      </c>
      <c r="H37" s="180" t="n"/>
      <c r="I37" s="140">
        <f>H37*100/$E$37</f>
        <v/>
      </c>
      <c r="J37" s="133" t="n"/>
      <c r="K37" s="140">
        <f>J37*100/$E$37</f>
        <v/>
      </c>
      <c r="L37" s="133" t="n"/>
      <c r="M37" s="140">
        <f>L37*100/$E$37</f>
        <v/>
      </c>
      <c r="N37" s="133" t="n"/>
      <c r="O37" s="140">
        <f>N37*100/$E$37</f>
        <v/>
      </c>
      <c r="P37" s="133" t="n"/>
      <c r="Q37" s="139">
        <f>P37*100/$E$37</f>
        <v/>
      </c>
      <c r="R37" s="133" t="n"/>
      <c r="S37" s="139">
        <f>R37*100/$E$37</f>
        <v/>
      </c>
      <c r="T37" s="133" t="n"/>
      <c r="U37" s="140">
        <f>T37*100/$E$37</f>
        <v/>
      </c>
      <c r="V37" s="133" t="n"/>
      <c r="W37" s="140">
        <f>V37*100/$E$37</f>
        <v/>
      </c>
      <c r="X37" s="133" t="n"/>
      <c r="Y37" s="140">
        <f>X37*100/$E$37</f>
        <v/>
      </c>
      <c r="Z37" s="133" t="n"/>
      <c r="AA37" s="140">
        <f>Z37*100/$E$37</f>
        <v/>
      </c>
      <c r="AB37" s="133" t="n"/>
      <c r="AC37" s="140">
        <f>AB37*100/$E$37</f>
        <v/>
      </c>
      <c r="AD37" s="133">
        <f>8+8+8+6</f>
        <v/>
      </c>
      <c r="AE37" s="139">
        <f>AD37*100/$E$37</f>
        <v/>
      </c>
      <c r="AF37" s="133">
        <f>8+8</f>
        <v/>
      </c>
      <c r="AG37" s="139">
        <f>AF37*100/$E$37</f>
        <v/>
      </c>
      <c r="AH37" s="133" t="n"/>
      <c r="AI37" s="140">
        <f>AH37*100/$E$37</f>
        <v/>
      </c>
      <c r="AJ37" s="133" t="n"/>
      <c r="AK37" s="140">
        <f>AJ37*100/$E$37</f>
        <v/>
      </c>
      <c r="AL37" s="133" t="n"/>
      <c r="AM37" s="140">
        <f>AL37*100/$E$37</f>
        <v/>
      </c>
      <c r="AN37" s="133">
        <f>1+2+3</f>
        <v/>
      </c>
      <c r="AO37" s="140">
        <f>AN37*100/$E$37</f>
        <v/>
      </c>
      <c r="AP37" s="133" t="n"/>
      <c r="AQ37" s="140">
        <f>AP37*100/$E$37</f>
        <v/>
      </c>
      <c r="AR37" s="133" t="n"/>
      <c r="AS37" s="140">
        <f>AR37*100/$E$37</f>
        <v/>
      </c>
      <c r="AT37" s="133" t="n"/>
      <c r="AU37" s="181">
        <f>AT37*100/$E$37</f>
        <v/>
      </c>
      <c r="AV37" s="133" t="n"/>
      <c r="AW37" s="140">
        <f>AV37*100/$E$37</f>
        <v/>
      </c>
      <c r="AX37" s="133" t="n">
        <v>18</v>
      </c>
      <c r="AY37" s="140">
        <f>AX37*100/$E$37</f>
        <v/>
      </c>
      <c r="AZ37" s="133" t="n"/>
      <c r="BA37" s="140">
        <f>AZ37*100/$E$37</f>
        <v/>
      </c>
      <c r="BB37" s="133" t="n"/>
      <c r="BC37" s="140">
        <f>BB37*100/$E$37</f>
        <v/>
      </c>
      <c r="BD37" s="133" t="n"/>
      <c r="BE37" s="140">
        <f>BD37*100/$E$37</f>
        <v/>
      </c>
      <c r="BF37" s="133" t="n"/>
      <c r="BG37" s="140">
        <f>BF37*100/$E$37</f>
        <v/>
      </c>
      <c r="BH37" s="133" t="n"/>
      <c r="BI37" s="140">
        <f>BH37*100/$E$37</f>
        <v/>
      </c>
      <c r="BJ37" s="133" t="n"/>
      <c r="BK37" s="140">
        <f>BJ37*100/$E$37</f>
        <v/>
      </c>
      <c r="BL37" s="133" t="n">
        <v>3</v>
      </c>
      <c r="BM37" s="140">
        <f>BL37*100/$E$37</f>
        <v/>
      </c>
      <c r="BN37" s="133" t="n"/>
      <c r="BO37" s="140">
        <f>BN37*100/$E$37</f>
        <v/>
      </c>
      <c r="BP37" s="133" t="n"/>
      <c r="BQ37" s="140">
        <f>BP37*100/$E$37</f>
        <v/>
      </c>
      <c r="BR37" s="133" t="n"/>
      <c r="BS37" s="140">
        <f>BR37*100/$E$37</f>
        <v/>
      </c>
      <c r="BT37" s="133" t="n"/>
      <c r="BU37" s="140">
        <f>BT37*100/$E$37</f>
        <v/>
      </c>
      <c r="BV37" s="133" t="n"/>
      <c r="BW37" s="140">
        <f>BV37*100/$E$37</f>
        <v/>
      </c>
      <c r="BX37" s="133" t="n"/>
      <c r="BY37" s="140">
        <f>BX37*100/$E$37</f>
        <v/>
      </c>
      <c r="BZ37" s="133" t="n"/>
      <c r="CA37" s="140">
        <f>BZ37*100/$E$37</f>
        <v/>
      </c>
      <c r="CB37" s="133" t="n"/>
      <c r="CC37" s="140">
        <f>CB37*100/$E$37</f>
        <v/>
      </c>
      <c r="CD37" s="133">
        <f>1+2</f>
        <v/>
      </c>
      <c r="CE37" s="140">
        <f>CD37*100/$E$37</f>
        <v/>
      </c>
      <c r="CF37" s="133" t="n"/>
      <c r="CG37" s="140">
        <f>CF37*100/$E$37</f>
        <v/>
      </c>
      <c r="CH37" s="133" t="n">
        <v>4</v>
      </c>
      <c r="CI37" s="140">
        <f>CH37*100/$E$37</f>
        <v/>
      </c>
      <c r="CJ37" s="133" t="n"/>
      <c r="CK37" s="140">
        <f>CJ37*100/$E$37</f>
        <v/>
      </c>
      <c r="CL37" s="133" t="n"/>
      <c r="CM37" s="140">
        <f>CL37*100/$E$37</f>
        <v/>
      </c>
      <c r="CN37" s="133" t="n">
        <v>1</v>
      </c>
      <c r="CO37" s="139">
        <f>CN37*100/$E$37</f>
        <v/>
      </c>
      <c r="CP37" s="133" t="n"/>
      <c r="CQ37" s="140">
        <f>CP37*100/$E$37</f>
        <v/>
      </c>
      <c r="CR37" s="133" t="n"/>
      <c r="CS37" s="139">
        <f>CR37*100/$E$37</f>
        <v/>
      </c>
      <c r="CT37" s="133" t="n"/>
      <c r="CU37" s="139">
        <f>CT37*100/$E$37</f>
        <v/>
      </c>
      <c r="CV37" s="133" t="n"/>
      <c r="CW37" s="139">
        <f>CV37*100/$E$37</f>
        <v/>
      </c>
      <c r="CX37" s="133" t="n"/>
      <c r="CY37" s="139">
        <f>CX37*100/$E$37</f>
        <v/>
      </c>
      <c r="CZ37" s="133" t="n"/>
      <c r="DA37" s="139">
        <f>CZ37*100/$E$37</f>
        <v/>
      </c>
      <c r="DB37" s="133" t="n"/>
      <c r="DC37" s="139">
        <f>DB37*100/$E$37</f>
        <v/>
      </c>
      <c r="DD37" s="133" t="n"/>
      <c r="DE37" s="139">
        <f>DD37*100/$E$37</f>
        <v/>
      </c>
      <c r="DF37" s="133">
        <f>8+3</f>
        <v/>
      </c>
      <c r="DG37" s="139">
        <f>DF37*100/$E$37</f>
        <v/>
      </c>
      <c r="DH37" s="133" t="n"/>
      <c r="DI37" s="139">
        <f>DH37*100/$E$37</f>
        <v/>
      </c>
      <c r="DJ37" s="133" t="n"/>
      <c r="DK37" s="139">
        <f>DJ37*100/$E$37</f>
        <v/>
      </c>
      <c r="DL37" s="133" t="n"/>
      <c r="DM37" s="139">
        <f>DL37*100/$E$37</f>
        <v/>
      </c>
      <c r="DN37" s="133" t="n"/>
      <c r="DO37" s="139">
        <f>DN37*100/$E$37</f>
        <v/>
      </c>
      <c r="DP37" s="133" t="n"/>
      <c r="DQ37" s="139">
        <f>DP37*100/$E$37</f>
        <v/>
      </c>
      <c r="DR37" s="133" t="n"/>
      <c r="DS37" s="139">
        <f>DR37*100/E37</f>
        <v/>
      </c>
      <c r="DT37" s="133" t="n"/>
      <c r="DU37" s="139">
        <f>DT37*100/$E$37</f>
        <v/>
      </c>
      <c r="DV37" s="133" t="n"/>
      <c r="DW37" s="139">
        <f>DV37*100/$E$37</f>
        <v/>
      </c>
      <c r="DX37" s="133" t="n"/>
      <c r="DY37" s="139">
        <f>DX37*100/$E$37</f>
        <v/>
      </c>
      <c r="DZ37" s="133" t="n"/>
      <c r="EA37" s="139">
        <f>DZ37*100/$E$37</f>
        <v/>
      </c>
      <c r="EB37" s="133" t="n"/>
      <c r="EC37" s="139">
        <f>EB37*100/$E$37</f>
        <v/>
      </c>
      <c r="ED37" s="133" t="n">
        <v>4</v>
      </c>
      <c r="EE37" s="139">
        <f>ED37*100/$E$37</f>
        <v/>
      </c>
      <c r="EF37" s="133">
        <f>8+8+8+2</f>
        <v/>
      </c>
      <c r="EG37" s="139">
        <f>EF37*100/$E$37</f>
        <v/>
      </c>
      <c r="EH37" s="133" t="n">
        <v>3</v>
      </c>
      <c r="EI37" s="139">
        <f>EH37*100/$E$37</f>
        <v/>
      </c>
      <c r="EJ37" s="133" t="n">
        <v>3</v>
      </c>
      <c r="EK37" s="139">
        <f>EJ37*100/$E$37</f>
        <v/>
      </c>
      <c r="EL37" s="133" t="n">
        <v>2</v>
      </c>
      <c r="EM37" s="139">
        <f>EL37*100/$E$37</f>
        <v/>
      </c>
      <c r="EN37" s="133">
        <f>7+7+6</f>
        <v/>
      </c>
      <c r="EO37" s="139">
        <f>EN37*100/$E$37</f>
        <v/>
      </c>
      <c r="EP37" s="133" t="n"/>
      <c r="EQ37" s="139">
        <f>EP37*100/$E$37</f>
        <v/>
      </c>
      <c r="ER37" s="133" t="n"/>
      <c r="ES37" s="139">
        <f>ER37*100/$E$37</f>
        <v/>
      </c>
      <c r="ET37" s="133" t="n"/>
      <c r="EU37" s="139">
        <f>ET37*100/$E$37</f>
        <v/>
      </c>
      <c r="EV37" s="133" t="n"/>
      <c r="EW37" s="139">
        <f>EV37*100/$E$37</f>
        <v/>
      </c>
      <c r="EX37" s="133" t="n"/>
      <c r="EY37" s="139">
        <f>EX37*100/$E$37</f>
        <v/>
      </c>
      <c r="EZ37" s="133" t="n"/>
      <c r="FA37" s="139">
        <f>EZ37*100/$E$37</f>
        <v/>
      </c>
      <c r="FB37" s="133" t="n"/>
      <c r="FC37" s="139">
        <f>FB37*100/$E$37</f>
        <v/>
      </c>
      <c r="FD37" s="133" t="n"/>
      <c r="FE37" s="139">
        <f>FD37*100/$E$37</f>
        <v/>
      </c>
      <c r="FF37" s="133" t="n"/>
      <c r="FG37" s="139">
        <f>FF37*100/$E$37</f>
        <v/>
      </c>
      <c r="FH37" s="133" t="n"/>
      <c r="FI37" s="139">
        <f>FH37*100/$E$37</f>
        <v/>
      </c>
      <c r="FJ37" s="133" t="n"/>
      <c r="FK37" s="139">
        <f>FJ37*100/$E$37</f>
        <v/>
      </c>
      <c r="FL37" s="133" t="n"/>
      <c r="FM37" s="139">
        <f>FL37*100/$E$37</f>
        <v/>
      </c>
      <c r="FN37" s="133" t="n"/>
      <c r="FO37" s="139">
        <f>FN37*100/$E$37</f>
        <v/>
      </c>
      <c r="FP37" s="133" t="n"/>
      <c r="FQ37" s="139">
        <f>FP37*100/E37</f>
        <v/>
      </c>
      <c r="FR37" s="133" t="n"/>
      <c r="FS37" s="139">
        <f>FR37*100/$E$37</f>
        <v/>
      </c>
      <c r="FT37" s="133" t="n"/>
      <c r="FU37" s="139">
        <f>FT37*100/$E$37</f>
        <v/>
      </c>
      <c r="FV37" s="133" t="n"/>
      <c r="FW37" s="139">
        <f>FV37*100/$E$37</f>
        <v/>
      </c>
      <c r="FX37" s="133" t="n"/>
      <c r="FY37" s="140">
        <f>FX37*100/$E$37</f>
        <v/>
      </c>
      <c r="FZ37" s="133" t="n"/>
      <c r="GA37" s="140">
        <f>FZ37*100/$E$37</f>
        <v/>
      </c>
      <c r="GB37" s="133" t="n"/>
      <c r="GC37" s="140">
        <f>GB37*100/$E$37</f>
        <v/>
      </c>
      <c r="GD37" s="133" t="n"/>
      <c r="GE37" s="140">
        <f>GD37*100/$E$37</f>
        <v/>
      </c>
      <c r="GF37" s="133" t="n"/>
      <c r="GG37" s="140">
        <f>GF37*100/$E$37</f>
        <v/>
      </c>
      <c r="GH37" s="133" t="n"/>
      <c r="GI37" s="140">
        <f>GH37*100/$E$37</f>
        <v/>
      </c>
      <c r="GJ37" s="133" t="n"/>
      <c r="GK37" s="139">
        <f>GJ37*100/$E$37</f>
        <v/>
      </c>
      <c r="GL37" s="133" t="n"/>
      <c r="GM37" s="140">
        <f>GL37*100/$E$37</f>
        <v/>
      </c>
      <c r="GN37" s="133" t="n"/>
      <c r="GO37" s="139">
        <f>GN37*100/$E$37</f>
        <v/>
      </c>
      <c r="GP37" s="133" t="n"/>
      <c r="GQ37" s="140">
        <f>GP37*100/$E$37</f>
        <v/>
      </c>
      <c r="GR37" s="133" t="n"/>
      <c r="GS37" s="139">
        <f>GR37*100/$E$37</f>
        <v/>
      </c>
      <c r="GT37" s="133" t="n"/>
      <c r="GU37" s="139">
        <f>GT37*100/$E$37</f>
        <v/>
      </c>
      <c r="GV37" s="133" t="n"/>
      <c r="GW37" s="139">
        <f>GV37*100/$E$37</f>
        <v/>
      </c>
      <c r="GX37" s="133" t="n"/>
      <c r="GY37" s="140">
        <f>GX37*100/$E$37</f>
        <v/>
      </c>
      <c r="GZ37" s="133" t="n"/>
      <c r="HA37" s="140">
        <f>GZ37*100/$E$37</f>
        <v/>
      </c>
      <c r="HB37" s="133" t="n"/>
      <c r="HC37" s="140">
        <f>HB37*100/$E$37</f>
        <v/>
      </c>
      <c r="HD37" s="133" t="n"/>
      <c r="HE37" s="140">
        <f>HD37*100/$E$37</f>
        <v/>
      </c>
      <c r="HF37" s="133" t="n"/>
      <c r="HG37" s="140">
        <f>HF37*100/$E$37</f>
        <v/>
      </c>
      <c r="HH37" s="133" t="n"/>
      <c r="HI37" s="140">
        <f>HH37*100/$E$37</f>
        <v/>
      </c>
      <c r="HJ37" s="133" t="n"/>
      <c r="HK37" s="140">
        <f>HJ37*100/$E$37</f>
        <v/>
      </c>
      <c r="HL37" s="133" t="n"/>
      <c r="HM37" s="140">
        <f>HL37*100/$E$37</f>
        <v/>
      </c>
      <c r="HN37" s="133" t="n"/>
      <c r="HO37" s="140">
        <f>HN37*100/$E$37</f>
        <v/>
      </c>
      <c r="HP37" s="133" t="n"/>
      <c r="HQ37" s="140">
        <f>HP37*100/$E$37</f>
        <v/>
      </c>
      <c r="HR37" s="133" t="n"/>
      <c r="HS37" s="140">
        <f>HR37*100/$E$37</f>
        <v/>
      </c>
      <c r="HT37" s="133" t="n"/>
      <c r="HU37" s="140">
        <f>HT37*100/$E$37</f>
        <v/>
      </c>
      <c r="HV37" s="133" t="n"/>
      <c r="HW37" s="140">
        <f>HV37*100/$E$37</f>
        <v/>
      </c>
      <c r="HX37" s="133" t="n"/>
      <c r="HY37" s="140">
        <f>HX37*100/$E$37</f>
        <v/>
      </c>
      <c r="HZ37" s="133" t="n"/>
      <c r="IA37" s="139">
        <f>HZ37*100/$E$37</f>
        <v/>
      </c>
      <c r="IB37" s="133" t="n"/>
      <c r="IC37" s="139">
        <f>IB37*100/$E$37</f>
        <v/>
      </c>
      <c r="ID37" s="133" t="n"/>
      <c r="IE37" s="139">
        <f>ID37*100/$E$37</f>
        <v/>
      </c>
      <c r="IF37" s="133" t="n"/>
      <c r="IG37" s="139">
        <f>IF37*100/$E$37</f>
        <v/>
      </c>
      <c r="IH37" s="133" t="n"/>
      <c r="II37" s="139">
        <f>IH37*100/$E$37</f>
        <v/>
      </c>
      <c r="IJ37" s="133" t="n"/>
      <c r="IK37" s="139">
        <f>IJ37*100/$E$37</f>
        <v/>
      </c>
      <c r="IL37" s="133" t="n"/>
      <c r="IM37" s="140">
        <f>IL37*100/$E$37</f>
        <v/>
      </c>
      <c r="IN37" s="133" t="n"/>
      <c r="IO37" s="140">
        <f>IN37*100/$E$37</f>
        <v/>
      </c>
      <c r="IP37" s="133" t="n"/>
      <c r="IQ37" s="139">
        <f>IP37*100/$E$37</f>
        <v/>
      </c>
      <c r="IR37" s="133" t="n"/>
      <c r="IS37" s="139">
        <f>IR37*100/$E$37</f>
        <v/>
      </c>
      <c r="IT37" s="133" t="n">
        <v>2</v>
      </c>
      <c r="IU37" s="139">
        <f>IT37*100/$E$37</f>
        <v/>
      </c>
      <c r="IV37" s="133" t="n"/>
      <c r="IW37" s="139">
        <f>IV37*100/$E$37</f>
        <v/>
      </c>
      <c r="IX37" s="133" t="n"/>
      <c r="IY37" s="139">
        <f>IX37*100/$E$37</f>
        <v/>
      </c>
      <c r="IZ37" s="133" t="n"/>
      <c r="JA37" s="139">
        <f>IZ37*100/$E$37</f>
        <v/>
      </c>
      <c r="JB37" s="133" t="n"/>
      <c r="JC37" s="139">
        <f>JB37*100/$E$37</f>
        <v/>
      </c>
      <c r="JD37" s="133" t="n"/>
      <c r="JE37" s="139">
        <f>JD37*100/$E$37</f>
        <v/>
      </c>
      <c r="JF37" s="133" t="n"/>
      <c r="JG37" s="139">
        <f>JF37*100/$E$37</f>
        <v/>
      </c>
      <c r="JH37" s="133" t="n"/>
      <c r="JI37" s="139">
        <f>JH37*100/$E$37</f>
        <v/>
      </c>
      <c r="JJ37" s="133" t="n"/>
      <c r="JK37" s="139">
        <f>JJ37*100/$E$37</f>
        <v/>
      </c>
      <c r="JL37" s="133" t="n"/>
      <c r="JM37" s="139">
        <f>JL37*100/$E$37</f>
        <v/>
      </c>
      <c r="JN37" s="133" t="n"/>
      <c r="JO37" s="182">
        <f>JN37*100/$E$37</f>
        <v/>
      </c>
      <c r="JP37" s="133" t="n"/>
      <c r="JQ37" s="182">
        <f>JP37*100/$E$37</f>
        <v/>
      </c>
      <c r="JR37" s="108" t="n"/>
      <c r="JS37" s="121">
        <f>JR37*100/$E$37</f>
        <v/>
      </c>
      <c r="JT37" s="108" t="n"/>
      <c r="JU37" s="121">
        <f>JT37*100/$E$37</f>
        <v/>
      </c>
      <c r="JV37" s="108" t="n"/>
      <c r="JW37" s="121">
        <f>JV37*100/$E$37</f>
        <v/>
      </c>
      <c r="JX37" s="108" t="n"/>
      <c r="JY37" s="121">
        <f>JX37*100/$E$37</f>
        <v/>
      </c>
      <c r="JZ37" s="183">
        <f>JN37+JP37+JR37+JT37+JV37+JX37</f>
        <v/>
      </c>
      <c r="KA37" s="184">
        <f>JO37+JQ37+JS37+JU37+JW37+JY37</f>
        <v/>
      </c>
      <c r="KB37" s="185">
        <f>H37+J37+L37+N37+P37+R37+T37+V37+X37+Z37+AB37+AD37+AF37+AH37+AJ37+AL37+AN37+AP37+AR37+AT37+AV37+AX37+AZ37+BB37+BD37+BF37+BH37+BJ37+BL37+BN37+BP37+BR37+BT37+BV37+BX37+BZ37+CB37+CD37+CF37+CH37+CZ37+DB37+DD37+DF37+DH37+DJ37+DL37+DN37+DP37+DR37+DT37+DV37+DX37+DZ37+EB37+ED37+EF37+EH37+EJ37+EL37+EN37+EP37+ER37+ET37+EV37+FN37+FP37+FR37+FT37+FV37+FX37+FZ37+GB37+GD37+GF37+GH37+GJ37+GL37+GN37+GP37+GR37+GT37+GV37+GX37+GZ37+HB37+HD37+HF37+HH37+HJ37+HL37+HN37+HP37+HR37+HT37+HV37+HX37+HZ37+IB37+ID37+IF37+IH37+IJ37+IL37+IN37+IP37+IR37+IT37+IV37+IX37+IZ37+JB37+JD37+JF37+JH37+JJ37+JL37+JZ37+CJ37+CL37+CN37+CP37+CR37+CT37+CV37+CX37+EX37+EZ37+FB37+FD37+FF37+FH37+FJ37+FL37</f>
        <v/>
      </c>
      <c r="KC37" s="186">
        <f>I37+K37+M37+O37+Q37+S37+U37+W37+Y37+AA37+AC37+AE37+AG37+AI37+AK37+AM37+AO37+AQ37+AS37+AU37+AW37+AY37+BA37+BC37+BE37+BG37+BI37+BK37+BM37+BO37+BQ37+BS37+BU37+BW37+BY37+CA37+CC37+CE37+CG37+CI37+DA37+DC37+DE37+DG37+DI37+DK37+DM37+DO37+DQ37+DS37+DU37+DW37+DY37+EA37+EC37+EE37+EG37+EI37+EK37+EM37+EO37+EQ37+ES37+EU37+EW37+FO37+FS37+FU37+FW37+FQ37+FY37+GA37+GC37+GE37+GG37+GI37+GK37+GM37+GO37+GQ37+GS37+GU37+GW37+GY37+HA37+HC37+HE37+HG37+HI37+HK37+HM37+HO37+HQ37+HS37+HU37+HW37+HY37+IA37+IC37+IE37+IG37+II37+IK37+IM37+IO37+IQ37+IS37+IU37+IW37+IY37+JA37+JC37+JE37+JG37+JI37+JK37+JM37+KA37+CK37+CM37+CO37+CQ37+CS37+CU37+CW37+CY37+EY37+FA37+FC37+FE37+FG37+FI37+FK37+FM37</f>
        <v/>
      </c>
      <c r="KD37" s="187">
        <f>JO37+JQ37+JS37+JU37+JW37+JY37</f>
        <v/>
      </c>
      <c r="KE37" s="188">
        <f>KB37=E37</f>
        <v/>
      </c>
      <c r="KF37" s="189">
        <f>E37-KB37</f>
        <v/>
      </c>
      <c r="KG37" s="214" t="n"/>
    </row>
    <row r="38" ht="21.75" customFormat="1" customHeight="1" s="213">
      <c r="A38" s="126">
        <f>A37+1</f>
        <v/>
      </c>
      <c r="B38" s="175" t="inlineStr">
        <is>
          <t>Селивановский А.К.</t>
        </is>
      </c>
      <c r="C38" s="194" t="inlineStr">
        <is>
          <t>токарь-расточник</t>
        </is>
      </c>
      <c r="D38" s="177">
        <f>$D$5</f>
        <v/>
      </c>
      <c r="E38" s="202" t="n">
        <v>152</v>
      </c>
      <c r="F38" s="193" t="n">
        <v>101150.45</v>
      </c>
      <c r="G38" s="179">
        <f>F38/D38</f>
        <v/>
      </c>
      <c r="H38" s="180">
        <f>8+8+4+8+8+8</f>
        <v/>
      </c>
      <c r="I38" s="140">
        <f>H38*100/$E$38</f>
        <v/>
      </c>
      <c r="J38" s="133" t="n"/>
      <c r="K38" s="140">
        <f>J38*100/$E$38</f>
        <v/>
      </c>
      <c r="L38" s="133" t="n"/>
      <c r="M38" s="140">
        <f>L38*100/$E$38</f>
        <v/>
      </c>
      <c r="N38" s="133" t="n"/>
      <c r="O38" s="140">
        <f>N38*100/$E$38</f>
        <v/>
      </c>
      <c r="P38" s="133" t="n"/>
      <c r="Q38" s="139">
        <f>P38*100/$E$38</f>
        <v/>
      </c>
      <c r="R38" s="133" t="n"/>
      <c r="S38" s="139">
        <f>R38*100/$E$38</f>
        <v/>
      </c>
      <c r="T38" s="133" t="n"/>
      <c r="U38" s="140">
        <f>T38*100/$E$38</f>
        <v/>
      </c>
      <c r="V38" s="133" t="n"/>
      <c r="W38" s="140">
        <f>V38*100/$E$38</f>
        <v/>
      </c>
      <c r="X38" s="133" t="n"/>
      <c r="Y38" s="140">
        <f>X38*100/$E$38</f>
        <v/>
      </c>
      <c r="Z38" s="133" t="n"/>
      <c r="AA38" s="140">
        <f>Z38*100/$E$38</f>
        <v/>
      </c>
      <c r="AB38" s="133" t="n"/>
      <c r="AC38" s="140">
        <f>AB38*100/$E$38</f>
        <v/>
      </c>
      <c r="AD38" s="133" t="n"/>
      <c r="AE38" s="139">
        <f>AD38*100/$E$38</f>
        <v/>
      </c>
      <c r="AF38" s="133" t="n"/>
      <c r="AG38" s="139">
        <f>AF38*100/$E$38</f>
        <v/>
      </c>
      <c r="AH38" s="133" t="n"/>
      <c r="AI38" s="140">
        <f>AH38*100/$E$38</f>
        <v/>
      </c>
      <c r="AJ38" s="133" t="n"/>
      <c r="AK38" s="140">
        <f>AJ38*100/$E$38</f>
        <v/>
      </c>
      <c r="AL38" s="133" t="n"/>
      <c r="AM38" s="140">
        <f>AL38*100/$E$38</f>
        <v/>
      </c>
      <c r="AN38" s="133" t="n"/>
      <c r="AO38" s="140">
        <f>AN38*100/$E$38</f>
        <v/>
      </c>
      <c r="AP38" s="133" t="n"/>
      <c r="AQ38" s="140">
        <f>AP38*100/$E$38</f>
        <v/>
      </c>
      <c r="AR38" s="133" t="n"/>
      <c r="AS38" s="140">
        <f>AR38*100/$E$38</f>
        <v/>
      </c>
      <c r="AT38" s="133" t="n"/>
      <c r="AU38" s="181">
        <f>AT38*100/$E$38</f>
        <v/>
      </c>
      <c r="AV38" s="133" t="n"/>
      <c r="AW38" s="140">
        <f>AV38*100/$E$38</f>
        <v/>
      </c>
      <c r="AX38" s="133" t="n">
        <v>4</v>
      </c>
      <c r="AY38" s="140">
        <f>AX38*100/$E$38</f>
        <v/>
      </c>
      <c r="AZ38" s="133" t="n"/>
      <c r="BA38" s="140">
        <f>AZ38*100/$E$38</f>
        <v/>
      </c>
      <c r="BB38" s="133" t="n"/>
      <c r="BC38" s="140">
        <f>BB38*100/$E$38</f>
        <v/>
      </c>
      <c r="BD38" s="133" t="n"/>
      <c r="BE38" s="140">
        <f>BD38*100/$E$38</f>
        <v/>
      </c>
      <c r="BF38" s="133" t="n"/>
      <c r="BG38" s="140">
        <f>BF38*100/$E$38</f>
        <v/>
      </c>
      <c r="BH38" s="133" t="n"/>
      <c r="BI38" s="140">
        <f>BH38*100/$E$38</f>
        <v/>
      </c>
      <c r="BJ38" s="133" t="n"/>
      <c r="BK38" s="140">
        <f>BJ38*100/$E$38</f>
        <v/>
      </c>
      <c r="BL38" s="133">
        <f>8+5</f>
        <v/>
      </c>
      <c r="BM38" s="140">
        <f>BL38*100/$E$38</f>
        <v/>
      </c>
      <c r="BN38" s="133" t="n"/>
      <c r="BO38" s="140">
        <f>BN38*100/$E$38</f>
        <v/>
      </c>
      <c r="BP38" s="133" t="n"/>
      <c r="BQ38" s="140">
        <f>BP38*100/$E$38</f>
        <v/>
      </c>
      <c r="BR38" s="133" t="n"/>
      <c r="BS38" s="140">
        <f>BR38*100/$E$38</f>
        <v/>
      </c>
      <c r="BT38" s="133" t="n"/>
      <c r="BU38" s="140">
        <f>BT38*100/$E$38</f>
        <v/>
      </c>
      <c r="BV38" s="133" t="n"/>
      <c r="BW38" s="140">
        <f>BV38*100/$E$38</f>
        <v/>
      </c>
      <c r="BX38" s="133" t="n"/>
      <c r="BY38" s="140">
        <f>BX38*100/$E$38</f>
        <v/>
      </c>
      <c r="BZ38" s="133" t="n">
        <v>3</v>
      </c>
      <c r="CA38" s="140">
        <f>BZ38*100/$E$38</f>
        <v/>
      </c>
      <c r="CB38" s="133">
        <f>4+8+8+8+8+8</f>
        <v/>
      </c>
      <c r="CC38" s="140">
        <f>CB38*100/$E$38</f>
        <v/>
      </c>
      <c r="CD38" s="133" t="n"/>
      <c r="CE38" s="140">
        <f>CD38*100/$E$38</f>
        <v/>
      </c>
      <c r="CF38" s="133" t="n"/>
      <c r="CG38" s="140">
        <f>CF38*100/$E$38</f>
        <v/>
      </c>
      <c r="CH38" s="133" t="n"/>
      <c r="CI38" s="140">
        <f>CH38*100/$E$38</f>
        <v/>
      </c>
      <c r="CJ38" s="133" t="n"/>
      <c r="CK38" s="140">
        <f>CJ38*100/$E$38</f>
        <v/>
      </c>
      <c r="CL38" s="133" t="n"/>
      <c r="CM38" s="140">
        <f>CL38*100/$E$38</f>
        <v/>
      </c>
      <c r="CN38" s="133" t="n"/>
      <c r="CO38" s="139">
        <f>CN38*100/$E$38</f>
        <v/>
      </c>
      <c r="CP38" s="133" t="n"/>
      <c r="CQ38" s="140">
        <f>CP38*100/$E$38</f>
        <v/>
      </c>
      <c r="CR38" s="133" t="n"/>
      <c r="CS38" s="139">
        <f>CR38*100/$E$38</f>
        <v/>
      </c>
      <c r="CT38" s="133" t="n"/>
      <c r="CU38" s="139">
        <f>CT38*100/$E$38</f>
        <v/>
      </c>
      <c r="CV38" s="133" t="n">
        <v>8</v>
      </c>
      <c r="CW38" s="139">
        <f>CV38*100/$E$38</f>
        <v/>
      </c>
      <c r="CX38" s="133">
        <f>8+4</f>
        <v/>
      </c>
      <c r="CY38" s="139">
        <f>CX38*100/$E$38</f>
        <v/>
      </c>
      <c r="CZ38" s="133" t="n"/>
      <c r="DA38" s="139">
        <f>CZ38*100/$E$38</f>
        <v/>
      </c>
      <c r="DB38" s="133" t="n"/>
      <c r="DC38" s="139">
        <f>DB38*100/$E$38</f>
        <v/>
      </c>
      <c r="DD38" s="133" t="n"/>
      <c r="DE38" s="139">
        <f>DD38*100/$E$38</f>
        <v/>
      </c>
      <c r="DF38" s="133" t="n"/>
      <c r="DG38" s="139">
        <f>DF38*100/$E$38</f>
        <v/>
      </c>
      <c r="DH38" s="133" t="n"/>
      <c r="DI38" s="139">
        <f>DH38*100/$E$38</f>
        <v/>
      </c>
      <c r="DJ38" s="133" t="n"/>
      <c r="DK38" s="139">
        <f>DJ38*100/$E$38</f>
        <v/>
      </c>
      <c r="DL38" s="133" t="n"/>
      <c r="DM38" s="139">
        <f>DL38*100/$E$38</f>
        <v/>
      </c>
      <c r="DN38" s="133" t="n"/>
      <c r="DO38" s="139">
        <f>DN38*100/$E$38</f>
        <v/>
      </c>
      <c r="DP38" s="133" t="n"/>
      <c r="DQ38" s="139">
        <f>DP38*100/$E$38</f>
        <v/>
      </c>
      <c r="DR38" s="133" t="n"/>
      <c r="DS38" s="139">
        <f>DR38*100/$E$38</f>
        <v/>
      </c>
      <c r="DT38" s="133" t="n"/>
      <c r="DU38" s="139">
        <f>DT38*100/$E$38</f>
        <v/>
      </c>
      <c r="DV38" s="133" t="n"/>
      <c r="DW38" s="139">
        <f>DV38*100/$E$38</f>
        <v/>
      </c>
      <c r="DX38" s="133" t="n"/>
      <c r="DY38" s="139">
        <f>DX38*100/$E$38</f>
        <v/>
      </c>
      <c r="DZ38" s="133" t="n"/>
      <c r="EA38" s="139">
        <f>DZ38*100/$E$38</f>
        <v/>
      </c>
      <c r="EB38" s="133" t="n"/>
      <c r="EC38" s="139">
        <f>EB38*100/$E$38</f>
        <v/>
      </c>
      <c r="ED38" s="133" t="n"/>
      <c r="EE38" s="139">
        <f>ED38*100/$E$38</f>
        <v/>
      </c>
      <c r="EF38" s="133" t="n"/>
      <c r="EG38" s="139">
        <f>EF38*100/$E$38</f>
        <v/>
      </c>
      <c r="EH38" s="133" t="n"/>
      <c r="EI38" s="139">
        <f>EH38*100/$E$38</f>
        <v/>
      </c>
      <c r="EJ38" s="133" t="n"/>
      <c r="EK38" s="139">
        <f>EJ38*100/$E$38</f>
        <v/>
      </c>
      <c r="EL38" s="133" t="n"/>
      <c r="EM38" s="139">
        <f>EL38*100/$E$38</f>
        <v/>
      </c>
      <c r="EN38" s="133" t="n"/>
      <c r="EO38" s="139">
        <f>EN38*100/$E$38</f>
        <v/>
      </c>
      <c r="EP38" s="133" t="n"/>
      <c r="EQ38" s="139">
        <f>EP38*100/$E$38</f>
        <v/>
      </c>
      <c r="ER38" s="133" t="n"/>
      <c r="ES38" s="139">
        <f>ER38*100/$E$38</f>
        <v/>
      </c>
      <c r="ET38" s="133" t="n"/>
      <c r="EU38" s="139">
        <f>ET38*100/$E$38</f>
        <v/>
      </c>
      <c r="EV38" s="133" t="n"/>
      <c r="EW38" s="139">
        <f>EV38*100/$E$38</f>
        <v/>
      </c>
      <c r="EX38" s="133" t="n"/>
      <c r="EY38" s="139">
        <f>EX38*100/$E$38</f>
        <v/>
      </c>
      <c r="EZ38" s="133" t="n"/>
      <c r="FA38" s="139">
        <f>EZ38*100/$E$38</f>
        <v/>
      </c>
      <c r="FB38" s="133" t="n"/>
      <c r="FC38" s="139">
        <f>FB38*100/$E$38</f>
        <v/>
      </c>
      <c r="FD38" s="133" t="n"/>
      <c r="FE38" s="139">
        <f>FD38*100/$E$38</f>
        <v/>
      </c>
      <c r="FF38" s="208" t="n"/>
      <c r="FG38" s="139">
        <f>FF38*100/$E$38</f>
        <v/>
      </c>
      <c r="FH38" s="208" t="n"/>
      <c r="FI38" s="139">
        <f>FH38*100/$E$38</f>
        <v/>
      </c>
      <c r="FJ38" s="133" t="n"/>
      <c r="FK38" s="139">
        <f>FJ38*100/$E$38</f>
        <v/>
      </c>
      <c r="FL38" s="133" t="n"/>
      <c r="FM38" s="139">
        <f>FL38*100/$E$38</f>
        <v/>
      </c>
      <c r="FN38" s="133" t="n"/>
      <c r="FO38" s="139">
        <f>FN38*100/$E$38</f>
        <v/>
      </c>
      <c r="FP38" s="133" t="n"/>
      <c r="FQ38" s="139">
        <f>FP38*100/$E$38</f>
        <v/>
      </c>
      <c r="FR38" s="133" t="n"/>
      <c r="FS38" s="139">
        <f>FR38*100/$E$38</f>
        <v/>
      </c>
      <c r="FT38" s="133" t="n"/>
      <c r="FU38" s="139">
        <f>FT38*100/$E$38</f>
        <v/>
      </c>
      <c r="FV38" s="133" t="n"/>
      <c r="FW38" s="139">
        <f>FV38*100/$E$38</f>
        <v/>
      </c>
      <c r="FX38" s="133" t="n"/>
      <c r="FY38" s="140">
        <f>FX38*100/$E$38</f>
        <v/>
      </c>
      <c r="FZ38" s="133" t="n"/>
      <c r="GA38" s="140">
        <f>FZ38*100/$E$38</f>
        <v/>
      </c>
      <c r="GB38" s="133" t="n"/>
      <c r="GC38" s="140">
        <f>GB38*100/$E$38</f>
        <v/>
      </c>
      <c r="GD38" s="133" t="n"/>
      <c r="GE38" s="140">
        <f>GD38*100/$E$38</f>
        <v/>
      </c>
      <c r="GF38" s="133" t="n"/>
      <c r="GG38" s="140">
        <f>GF38*100/$E$38</f>
        <v/>
      </c>
      <c r="GH38" s="133" t="n"/>
      <c r="GI38" s="140">
        <f>GH38*100/$E$38</f>
        <v/>
      </c>
      <c r="GJ38" s="133" t="n"/>
      <c r="GK38" s="139">
        <f>GJ38*100/$E$38</f>
        <v/>
      </c>
      <c r="GL38" s="133" t="n"/>
      <c r="GM38" s="140">
        <f>GL38*100/$E$38</f>
        <v/>
      </c>
      <c r="GN38" s="133" t="n"/>
      <c r="GO38" s="139">
        <f>GN38*100/$E$38</f>
        <v/>
      </c>
      <c r="GP38" s="133" t="n"/>
      <c r="GQ38" s="140">
        <f>GP38*100/$E$38</f>
        <v/>
      </c>
      <c r="GR38" s="133" t="n"/>
      <c r="GS38" s="139">
        <f>GR38*100/$E$38</f>
        <v/>
      </c>
      <c r="GT38" s="133" t="n"/>
      <c r="GU38" s="139">
        <f>GT38*100/$E$38</f>
        <v/>
      </c>
      <c r="GV38" s="133" t="n"/>
      <c r="GW38" s="139">
        <f>GV38*100/$E$38</f>
        <v/>
      </c>
      <c r="GX38" s="133" t="n"/>
      <c r="GY38" s="140">
        <f>GX38*100/$E$38</f>
        <v/>
      </c>
      <c r="GZ38" s="133" t="n"/>
      <c r="HA38" s="140">
        <f>GZ38*100/$E$38</f>
        <v/>
      </c>
      <c r="HB38" s="133" t="n"/>
      <c r="HC38" s="140">
        <f>HB38*100/$E$38</f>
        <v/>
      </c>
      <c r="HD38" s="133" t="n"/>
      <c r="HE38" s="140">
        <f>HD38*100/$E$38</f>
        <v/>
      </c>
      <c r="HF38" s="133" t="n"/>
      <c r="HG38" s="140">
        <f>HF38*100/$E$38</f>
        <v/>
      </c>
      <c r="HH38" s="133" t="n"/>
      <c r="HI38" s="140">
        <f>HH38*100/$E$38</f>
        <v/>
      </c>
      <c r="HJ38" s="133" t="n"/>
      <c r="HK38" s="140">
        <f>HJ38*100/$E$38</f>
        <v/>
      </c>
      <c r="HL38" s="133" t="n"/>
      <c r="HM38" s="140">
        <f>HL38*100/$E$38</f>
        <v/>
      </c>
      <c r="HN38" s="133" t="n"/>
      <c r="HO38" s="140">
        <f>HN38*100/$E$38</f>
        <v/>
      </c>
      <c r="HP38" s="133" t="n"/>
      <c r="HQ38" s="140">
        <f>HP38*100/$E$38</f>
        <v/>
      </c>
      <c r="HR38" s="133" t="n"/>
      <c r="HS38" s="140">
        <f>HR38*100/$E$38</f>
        <v/>
      </c>
      <c r="HT38" s="133" t="n"/>
      <c r="HU38" s="140">
        <f>HT38*100/$E$38</f>
        <v/>
      </c>
      <c r="HV38" s="133" t="n"/>
      <c r="HW38" s="140">
        <f>HV38*100/$E$38</f>
        <v/>
      </c>
      <c r="HX38" s="133" t="n"/>
      <c r="HY38" s="140">
        <f>HX38*100/$E$38</f>
        <v/>
      </c>
      <c r="HZ38" s="133" t="n"/>
      <c r="IA38" s="139">
        <f>HZ38*100/$E$38</f>
        <v/>
      </c>
      <c r="IB38" s="133" t="n"/>
      <c r="IC38" s="139">
        <f>IB38*100/$E$38</f>
        <v/>
      </c>
      <c r="ID38" s="133" t="n"/>
      <c r="IE38" s="139">
        <f>ID38*100/$E$38</f>
        <v/>
      </c>
      <c r="IF38" s="133" t="n"/>
      <c r="IG38" s="139">
        <f>IF38*100/$E$38</f>
        <v/>
      </c>
      <c r="IH38" s="133" t="n"/>
      <c r="II38" s="139">
        <f>IH38*100/$E$38</f>
        <v/>
      </c>
      <c r="IJ38" s="133" t="n"/>
      <c r="IK38" s="139">
        <f>IJ38*100/$E$38</f>
        <v/>
      </c>
      <c r="IL38" s="133" t="n"/>
      <c r="IM38" s="140">
        <f>IL38*100/$E$38</f>
        <v/>
      </c>
      <c r="IN38" s="133" t="n"/>
      <c r="IO38" s="140">
        <f>IN38*100/$E$38</f>
        <v/>
      </c>
      <c r="IP38" s="133" t="n">
        <v>8</v>
      </c>
      <c r="IQ38" s="139">
        <f>IP38*100/$E$38</f>
        <v/>
      </c>
      <c r="IR38" s="133" t="n"/>
      <c r="IS38" s="139">
        <f>IR38*100/$E$38</f>
        <v/>
      </c>
      <c r="IT38" s="133" t="n"/>
      <c r="IU38" s="139">
        <f>IT38*100/$E$38</f>
        <v/>
      </c>
      <c r="IV38" s="133" t="n">
        <v>16</v>
      </c>
      <c r="IW38" s="139">
        <f>IV38*100/$E$38</f>
        <v/>
      </c>
      <c r="IX38" s="133" t="n"/>
      <c r="IY38" s="139">
        <f>IX38*100/$E$38</f>
        <v/>
      </c>
      <c r="IZ38" s="133" t="n"/>
      <c r="JA38" s="139">
        <f>IZ38*100/$E$38</f>
        <v/>
      </c>
      <c r="JB38" s="133" t="n"/>
      <c r="JC38" s="139">
        <f>JB38*100/$E$38</f>
        <v/>
      </c>
      <c r="JD38" s="133" t="n"/>
      <c r="JE38" s="139">
        <f>JD38*100/$E$38</f>
        <v/>
      </c>
      <c r="JF38" s="133" t="n"/>
      <c r="JG38" s="139">
        <f>JF38*100/$E$38</f>
        <v/>
      </c>
      <c r="JH38" s="133" t="n"/>
      <c r="JI38" s="139">
        <f>JH38*100/$E$38</f>
        <v/>
      </c>
      <c r="JJ38" s="133" t="n"/>
      <c r="JK38" s="139">
        <f>JJ38*100/$E$38</f>
        <v/>
      </c>
      <c r="JL38" s="133" t="n"/>
      <c r="JM38" s="139">
        <f>JL38*100/$E$38</f>
        <v/>
      </c>
      <c r="JN38" s="133" t="n"/>
      <c r="JO38" s="182">
        <f>JN38*100/$E$38</f>
        <v/>
      </c>
      <c r="JP38" s="133" t="n"/>
      <c r="JQ38" s="182">
        <f>JP38*100/$E$38</f>
        <v/>
      </c>
      <c r="JR38" s="108" t="n"/>
      <c r="JS38" s="121">
        <f>JR38*100/$E$38</f>
        <v/>
      </c>
      <c r="JT38" s="108" t="n"/>
      <c r="JU38" s="121">
        <f>JT38*100/$E$38</f>
        <v/>
      </c>
      <c r="JV38" s="108" t="n"/>
      <c r="JW38" s="121">
        <f>JV38*100/$E$38</f>
        <v/>
      </c>
      <c r="JX38" s="108" t="n"/>
      <c r="JY38" s="121">
        <f>JX38*100/$E$38</f>
        <v/>
      </c>
      <c r="JZ38" s="183">
        <f>JN38+JP38+JR38+JT38+JV38+JX38</f>
        <v/>
      </c>
      <c r="KA38" s="184">
        <f>JO38+JQ38+JS38+JU38+JW38+JY38</f>
        <v/>
      </c>
      <c r="KB38" s="185">
        <f>H38+J38+L38+N38+P38+R38+T38+V38+X38+Z38+AB38+AD38+AF38+AH38+AJ38+AL38+AN38+AP38+AR38+AT38+AV38+AX38+AZ38+BB38+BD38+BF38+BH38+BJ38+BL38+BN38+BP38+BR38+BT38+BV38+BX38+BZ38+CB38+CD38+CF38+CH38+CZ38+DB38+DD38+DF38+DH38+DJ38+DL38+DN38+DP38+DR38+DT38+DV38+DX38+DZ38+EB38+ED38+EF38+EH38+EJ38+EL38+EN38+EP38+ER38+ET38+EV38+FN38+FP38+FR38+FT38+FV38+FX38+FZ38+GB38+GD38+GF38+GH38+GJ38+GL38+GN38+GP38+GR38+GT38+GV38+GX38+GZ38+HB38+HD38+HF38+HH38+HJ38+HL38+HN38+HP38+HR38+HT38+HV38+HX38+HZ38+IB38+ID38+IF38+IH38+IJ38+IL38+IN38+IP38+IR38+IT38+IV38+IX38+IZ38+JB38+JD38+JF38+JH38+JJ38+JL38+JZ38+CJ38+CL38+CN38+CP38+CR38+CT38+CV38+CX38+EX38+EZ38+FB38+FD38+FF38+FH38+FJ38+FL38</f>
        <v/>
      </c>
      <c r="KC38" s="186">
        <f>I38+K38+M38+O38+Q38+S38+U38+W38+Y38+AA38+AC38+AE38+AG38+AI38+AK38+AM38+AO38+AQ38+AS38+AU38+AW38+AY38+BA38+BC38+BE38+BG38+BI38+BK38+BM38+BO38+BQ38+BS38+BU38+BW38+BY38+CA38+CC38+CE38+CG38+CI38+DA38+DC38+DE38+DG38+DI38+DK38+DM38+DO38+DQ38+DS38+DU38+DW38+DY38+EA38+EC38+EE38+EG38+EI38+EK38+EM38+EO38+EQ38+ES38+EU38+EW38+FO38+FS38+FU38+FW38+FQ38+FY38+GA38+GC38+GE38+GG38+GI38+GK38+GM38+GO38+GQ38+GS38+GU38+GW38+GY38+HA38+HC38+HE38+HG38+HI38+HK38+HM38+HO38+HQ38+HS38+HU38+HW38+HY38+IA38+IC38+IE38+IG38+II38+IK38+IM38+IO38+IQ38+IS38+IU38+IW38+IY38+JA38+JC38+JE38+JG38+JI38+JK38+JM38+KA38+CK38+CM38+CO38+CQ38+CS38+CU38+CW38+CY38+EY38+FA38+FC38+FE38+FG38+FI38+FK38+FM38</f>
        <v/>
      </c>
      <c r="KD38" s="187">
        <f>JO38+JQ38+JS38+JU38+JW38+JY38</f>
        <v/>
      </c>
      <c r="KE38" s="188">
        <f>KB38=E38</f>
        <v/>
      </c>
      <c r="KF38" s="189">
        <f>E38-KB38</f>
        <v/>
      </c>
      <c r="KG38" s="215" t="n"/>
    </row>
    <row r="39" ht="21.75" customFormat="1" customHeight="1" s="216">
      <c r="A39" s="126">
        <f>A38+1</f>
        <v/>
      </c>
      <c r="B39" s="175" t="inlineStr">
        <is>
          <t>Сидоров Ю.В.</t>
        </is>
      </c>
      <c r="C39" s="176" t="inlineStr">
        <is>
          <t>ЧПУ</t>
        </is>
      </c>
      <c r="D39" s="177">
        <f>$D$5</f>
        <v/>
      </c>
      <c r="E39" s="202" t="n">
        <v>136</v>
      </c>
      <c r="F39" s="193" t="n">
        <v>120115.09</v>
      </c>
      <c r="G39" s="179">
        <f>F39/D39</f>
        <v/>
      </c>
      <c r="H39" s="180">
        <f>4+4+4+4+4+4+2+4+4+4</f>
        <v/>
      </c>
      <c r="I39" s="140">
        <f>H39*100/$E$39</f>
        <v/>
      </c>
      <c r="J39" s="133" t="n"/>
      <c r="K39" s="140">
        <f>J39*100/$E$39</f>
        <v/>
      </c>
      <c r="L39" s="133" t="n"/>
      <c r="M39" s="140">
        <f>L39*100/$E$39</f>
        <v/>
      </c>
      <c r="N39" s="133" t="n"/>
      <c r="O39" s="140">
        <f>N39*100/$E$39</f>
        <v/>
      </c>
      <c r="P39" s="133" t="n"/>
      <c r="Q39" s="139">
        <f>P39*100/$E$39</f>
        <v/>
      </c>
      <c r="R39" s="133" t="n"/>
      <c r="S39" s="139">
        <f>R39*100/$E$39</f>
        <v/>
      </c>
      <c r="T39" s="133" t="n"/>
      <c r="U39" s="140">
        <f>T39*100/$E$39</f>
        <v/>
      </c>
      <c r="V39" s="133" t="n"/>
      <c r="W39" s="140">
        <f>V39*100/$E$39</f>
        <v/>
      </c>
      <c r="X39" s="133" t="n"/>
      <c r="Y39" s="140">
        <f>X39*100/$E$39</f>
        <v/>
      </c>
      <c r="Z39" s="133" t="n"/>
      <c r="AA39" s="140">
        <f>Z39*100/$E$39</f>
        <v/>
      </c>
      <c r="AB39" s="133" t="n"/>
      <c r="AC39" s="140">
        <f>AB39*100/$E$39</f>
        <v/>
      </c>
      <c r="AD39" s="133" t="n"/>
      <c r="AE39" s="139">
        <f>AD39*100/$E$39</f>
        <v/>
      </c>
      <c r="AF39" s="133" t="n"/>
      <c r="AG39" s="139">
        <f>AF39*100/$E$39</f>
        <v/>
      </c>
      <c r="AH39" s="133" t="n"/>
      <c r="AI39" s="140">
        <f>AH39*100/$E$39</f>
        <v/>
      </c>
      <c r="AJ39" s="133" t="n"/>
      <c r="AK39" s="140">
        <f>AJ39*100/$E$39</f>
        <v/>
      </c>
      <c r="AL39" s="133" t="n"/>
      <c r="AM39" s="140">
        <f>AL39*100/$E$39</f>
        <v/>
      </c>
      <c r="AN39" s="133">
        <f>4+4+2+2</f>
        <v/>
      </c>
      <c r="AO39" s="140">
        <f>AN39*100/$E$39</f>
        <v/>
      </c>
      <c r="AP39" s="133" t="n"/>
      <c r="AQ39" s="140">
        <f>AP39*100/$E$39</f>
        <v/>
      </c>
      <c r="AR39" s="133" t="n"/>
      <c r="AS39" s="140">
        <f>AR39*100/$E$39</f>
        <v/>
      </c>
      <c r="AT39" s="133" t="n"/>
      <c r="AU39" s="181">
        <f>AT39*100/$E$39</f>
        <v/>
      </c>
      <c r="AV39" s="133" t="n"/>
      <c r="AW39" s="140">
        <f>AV39*100/$E$39</f>
        <v/>
      </c>
      <c r="AX39" s="133">
        <f>4+4</f>
        <v/>
      </c>
      <c r="AY39" s="140">
        <f>AX39*100/$E$39</f>
        <v/>
      </c>
      <c r="AZ39" s="133" t="n"/>
      <c r="BA39" s="140">
        <f>AZ39*100/$E$39</f>
        <v/>
      </c>
      <c r="BB39" s="133" t="n"/>
      <c r="BC39" s="140">
        <f>BB39*100/$E$39</f>
        <v/>
      </c>
      <c r="BD39" s="133" t="n"/>
      <c r="BE39" s="140">
        <f>BD39*100/$E$39</f>
        <v/>
      </c>
      <c r="BF39" s="133" t="n"/>
      <c r="BG39" s="140">
        <f>BF39*100/$E$39</f>
        <v/>
      </c>
      <c r="BH39" s="133" t="n"/>
      <c r="BI39" s="140">
        <f>BH39*100/$E$39</f>
        <v/>
      </c>
      <c r="BJ39" s="133" t="n"/>
      <c r="BK39" s="140">
        <f>BJ39*100/$E$39</f>
        <v/>
      </c>
      <c r="BL39" s="133" t="n"/>
      <c r="BM39" s="140">
        <f>BL39*100/$E$39</f>
        <v/>
      </c>
      <c r="BN39" s="133" t="n"/>
      <c r="BO39" s="140">
        <f>BN39*100/$E$39</f>
        <v/>
      </c>
      <c r="BP39" s="133" t="n"/>
      <c r="BQ39" s="140">
        <f>BP39*100/$E$39</f>
        <v/>
      </c>
      <c r="BR39" s="133" t="n"/>
      <c r="BS39" s="140">
        <f>BR39*100/$E$39</f>
        <v/>
      </c>
      <c r="BT39" s="133" t="n"/>
      <c r="BU39" s="140">
        <f>BT39*100/$E$39</f>
        <v/>
      </c>
      <c r="BV39" s="133" t="n"/>
      <c r="BW39" s="140">
        <f>BV39*100/$E$39</f>
        <v/>
      </c>
      <c r="BX39" s="133" t="n"/>
      <c r="BY39" s="140">
        <f>BX39*100/$E$39</f>
        <v/>
      </c>
      <c r="BZ39" s="133">
        <f>6+8</f>
        <v/>
      </c>
      <c r="CA39" s="140">
        <f>BZ39*100/$E$39</f>
        <v/>
      </c>
      <c r="CB39" s="133" t="n">
        <v>3</v>
      </c>
      <c r="CC39" s="140">
        <f>CB39*100/$E$39</f>
        <v/>
      </c>
      <c r="CD39" s="133" t="n"/>
      <c r="CE39" s="140">
        <f>CD39*100/$E$39</f>
        <v/>
      </c>
      <c r="CF39" s="133" t="n"/>
      <c r="CG39" s="140">
        <f>CF39*100/$E$39</f>
        <v/>
      </c>
      <c r="CH39" s="133" t="n"/>
      <c r="CI39" s="140">
        <f>CH39*100/$E$39</f>
        <v/>
      </c>
      <c r="CJ39" s="133" t="n"/>
      <c r="CK39" s="140">
        <f>CJ39*100/$E$39</f>
        <v/>
      </c>
      <c r="CL39" s="133" t="n"/>
      <c r="CM39" s="140">
        <f>CL39*100/$E$39</f>
        <v/>
      </c>
      <c r="CN39" s="133" t="n"/>
      <c r="CO39" s="139">
        <f>CN39*100/$E$39</f>
        <v/>
      </c>
      <c r="CP39" s="133" t="n"/>
      <c r="CQ39" s="140">
        <f>CP39*100/$E$39</f>
        <v/>
      </c>
      <c r="CR39" s="133" t="n">
        <v>4</v>
      </c>
      <c r="CS39" s="139">
        <f>CR39*100/$E$39</f>
        <v/>
      </c>
      <c r="CT39" s="133" t="n"/>
      <c r="CU39" s="139">
        <f>CT39*100/$E$39</f>
        <v/>
      </c>
      <c r="CV39" s="133" t="n">
        <v>4</v>
      </c>
      <c r="CW39" s="139">
        <f>CV39*100/$E$39</f>
        <v/>
      </c>
      <c r="CX39" s="133" t="n"/>
      <c r="CY39" s="139">
        <f>CX39*100/$E$39</f>
        <v/>
      </c>
      <c r="CZ39" s="133" t="n"/>
      <c r="DA39" s="139">
        <f>CZ39*100/$E$39</f>
        <v/>
      </c>
      <c r="DB39" s="133" t="n"/>
      <c r="DC39" s="139">
        <f>DB39*100/$E$39</f>
        <v/>
      </c>
      <c r="DD39" s="133" t="n"/>
      <c r="DE39" s="139">
        <f>DD39*100/$E$39</f>
        <v/>
      </c>
      <c r="DF39" s="133" t="n"/>
      <c r="DG39" s="139">
        <f>DF39*100/$E$39</f>
        <v/>
      </c>
      <c r="DH39" s="133" t="n">
        <v>2</v>
      </c>
      <c r="DI39" s="139">
        <f>DH39*100/$E$39</f>
        <v/>
      </c>
      <c r="DJ39" s="133" t="n"/>
      <c r="DK39" s="139">
        <f>DJ39*100/$E$39</f>
        <v/>
      </c>
      <c r="DL39" s="133" t="n"/>
      <c r="DM39" s="139">
        <f>DL39*100/$E$39</f>
        <v/>
      </c>
      <c r="DN39" s="133" t="n"/>
      <c r="DO39" s="139">
        <f>DN39*100/$E$39</f>
        <v/>
      </c>
      <c r="DP39" s="133" t="n"/>
      <c r="DQ39" s="139">
        <f>DP39*100/$E$39</f>
        <v/>
      </c>
      <c r="DR39" s="133" t="n"/>
      <c r="DS39" s="139">
        <f>DR39*100/$E$39</f>
        <v/>
      </c>
      <c r="DT39" s="133" t="n"/>
      <c r="DU39" s="139">
        <f>DT39*100/$E$39</f>
        <v/>
      </c>
      <c r="DV39" s="133" t="n"/>
      <c r="DW39" s="139">
        <f>DV39*100/$E$39</f>
        <v/>
      </c>
      <c r="DX39" s="133" t="n"/>
      <c r="DY39" s="139">
        <f>DX39*100/$E$39</f>
        <v/>
      </c>
      <c r="DZ39" s="133" t="n"/>
      <c r="EA39" s="139">
        <f>DZ39*100/$E$39</f>
        <v/>
      </c>
      <c r="EB39" s="133" t="n"/>
      <c r="EC39" s="139">
        <f>EB39*100/$E$39</f>
        <v/>
      </c>
      <c r="ED39" s="133" t="n"/>
      <c r="EE39" s="139">
        <f>ED39*100/$E$39</f>
        <v/>
      </c>
      <c r="EF39" s="133" t="n"/>
      <c r="EG39" s="139">
        <f>EF39*100/$E$39</f>
        <v/>
      </c>
      <c r="EH39" s="133" t="n"/>
      <c r="EI39" s="139">
        <f>EH39*100/$E$39</f>
        <v/>
      </c>
      <c r="EJ39" s="133">
        <f>2+4+4</f>
        <v/>
      </c>
      <c r="EK39" s="139">
        <f>EJ39*100/$E$39</f>
        <v/>
      </c>
      <c r="EL39" s="133" t="n"/>
      <c r="EM39" s="139">
        <f>EL39*100/$E$39</f>
        <v/>
      </c>
      <c r="EN39" s="133" t="n"/>
      <c r="EO39" s="139">
        <f>EN39*100/$E$39</f>
        <v/>
      </c>
      <c r="EP39" s="133" t="n"/>
      <c r="EQ39" s="139">
        <f>EP39*100/$E$39</f>
        <v/>
      </c>
      <c r="ER39" s="133">
        <f>2+4</f>
        <v/>
      </c>
      <c r="ES39" s="139">
        <f>ER39*100/$E$39</f>
        <v/>
      </c>
      <c r="ET39" s="133" t="n"/>
      <c r="EU39" s="139">
        <f>ET39*100/$E$39</f>
        <v/>
      </c>
      <c r="EV39" s="133">
        <f>4+4+4+4</f>
        <v/>
      </c>
      <c r="EW39" s="139">
        <f>EV39*100/$E$39</f>
        <v/>
      </c>
      <c r="EX39" s="133" t="n"/>
      <c r="EY39" s="139">
        <f>EX39*100/$E$39</f>
        <v/>
      </c>
      <c r="EZ39" s="133" t="n"/>
      <c r="FA39" s="139">
        <f>EZ39*100/$E$39</f>
        <v/>
      </c>
      <c r="FB39" s="133" t="n"/>
      <c r="FC39" s="139">
        <f>FB39*100/$E$39</f>
        <v/>
      </c>
      <c r="FD39" s="133" t="n"/>
      <c r="FE39" s="139">
        <f>FD39*100/$E$39</f>
        <v/>
      </c>
      <c r="FF39" s="133" t="n"/>
      <c r="FG39" s="139">
        <f>FF39*100/$E$39</f>
        <v/>
      </c>
      <c r="FH39" s="133" t="n"/>
      <c r="FI39" s="139">
        <f>FH39*100/$E$39</f>
        <v/>
      </c>
      <c r="FJ39" s="133" t="n"/>
      <c r="FK39" s="139">
        <f>FJ39*100/$E$39</f>
        <v/>
      </c>
      <c r="FL39" s="133" t="n"/>
      <c r="FM39" s="139">
        <f>FL39*100/$E$39</f>
        <v/>
      </c>
      <c r="FN39" s="133" t="n"/>
      <c r="FO39" s="139">
        <f>FN39*100/$E$39</f>
        <v/>
      </c>
      <c r="FP39" s="133" t="n"/>
      <c r="FQ39" s="139">
        <f>FP39*100/$E$39</f>
        <v/>
      </c>
      <c r="FR39" s="133" t="n"/>
      <c r="FS39" s="139">
        <f>FR39*100/$E$39</f>
        <v/>
      </c>
      <c r="FT39" s="133" t="n"/>
      <c r="FU39" s="139">
        <f>FT39*100/$E$39</f>
        <v/>
      </c>
      <c r="FV39" s="133" t="n"/>
      <c r="FW39" s="139">
        <f>FV39*100/$E$39</f>
        <v/>
      </c>
      <c r="FX39" s="133" t="n"/>
      <c r="FY39" s="140">
        <f>FX39*100/$E$39</f>
        <v/>
      </c>
      <c r="FZ39" s="133" t="n"/>
      <c r="GA39" s="140">
        <f>FZ39*100/$E$39</f>
        <v/>
      </c>
      <c r="GB39" s="133" t="n"/>
      <c r="GC39" s="140">
        <f>GB39*100/$E$39</f>
        <v/>
      </c>
      <c r="GD39" s="133" t="n"/>
      <c r="GE39" s="140">
        <f>GD39*100/$E$39</f>
        <v/>
      </c>
      <c r="GF39" s="133" t="n"/>
      <c r="GG39" s="140">
        <f>GF39*100/$E$39</f>
        <v/>
      </c>
      <c r="GH39" s="133" t="n"/>
      <c r="GI39" s="140">
        <f>GH39*100/$E$39</f>
        <v/>
      </c>
      <c r="GJ39" s="133" t="n"/>
      <c r="GK39" s="139">
        <f>GJ39*100/$E$39</f>
        <v/>
      </c>
      <c r="GL39" s="133" t="n"/>
      <c r="GM39" s="140">
        <f>GL39*100/$E$39</f>
        <v/>
      </c>
      <c r="GN39" s="133" t="n"/>
      <c r="GO39" s="139">
        <f>GN39*100/$E$39</f>
        <v/>
      </c>
      <c r="GP39" s="133" t="n"/>
      <c r="GQ39" s="140">
        <f>GP39*100/$E$39</f>
        <v/>
      </c>
      <c r="GR39" s="133" t="n"/>
      <c r="GS39" s="139">
        <f>GR39*100/$E$39</f>
        <v/>
      </c>
      <c r="GT39" s="133" t="n"/>
      <c r="GU39" s="139">
        <f>GT39*100/$E$39</f>
        <v/>
      </c>
      <c r="GV39" s="133" t="n"/>
      <c r="GW39" s="139">
        <f>GV39*100/$E$39</f>
        <v/>
      </c>
      <c r="GX39" s="133" t="n"/>
      <c r="GY39" s="140">
        <f>GX39*100/$E$39</f>
        <v/>
      </c>
      <c r="GZ39" s="133" t="n"/>
      <c r="HA39" s="140">
        <f>GZ39*100/$E$39</f>
        <v/>
      </c>
      <c r="HB39" s="133" t="n"/>
      <c r="HC39" s="140">
        <f>HB39*100/$E$39</f>
        <v/>
      </c>
      <c r="HD39" s="133" t="n"/>
      <c r="HE39" s="140">
        <f>HD39*100/$E$39</f>
        <v/>
      </c>
      <c r="HF39" s="133" t="n"/>
      <c r="HG39" s="140">
        <f>HF39*100/$E$39</f>
        <v/>
      </c>
      <c r="HH39" s="133" t="n"/>
      <c r="HI39" s="140">
        <f>HH39*100/$E$39</f>
        <v/>
      </c>
      <c r="HJ39" s="133" t="n"/>
      <c r="HK39" s="140">
        <f>HJ39*100/$E$39</f>
        <v/>
      </c>
      <c r="HL39" s="133" t="n"/>
      <c r="HM39" s="140">
        <f>HL39*100/$E$39</f>
        <v/>
      </c>
      <c r="HN39" s="133" t="n"/>
      <c r="HO39" s="140">
        <f>HN39*100/$E$39</f>
        <v/>
      </c>
      <c r="HP39" s="133" t="n"/>
      <c r="HQ39" s="140">
        <f>HP39*100/$E$39</f>
        <v/>
      </c>
      <c r="HR39" s="133" t="n"/>
      <c r="HS39" s="140">
        <f>HR39*100/$E$39</f>
        <v/>
      </c>
      <c r="HT39" s="133" t="n"/>
      <c r="HU39" s="140">
        <f>HT39*100/$E$39</f>
        <v/>
      </c>
      <c r="HV39" s="133" t="n"/>
      <c r="HW39" s="140">
        <f>HV39*100/$E$39</f>
        <v/>
      </c>
      <c r="HX39" s="133" t="n"/>
      <c r="HY39" s="140">
        <f>HX39*100/$E$39</f>
        <v/>
      </c>
      <c r="HZ39" s="133" t="n"/>
      <c r="IA39" s="139">
        <f>HZ39*100/$E$39</f>
        <v/>
      </c>
      <c r="IB39" s="133" t="n"/>
      <c r="IC39" s="139">
        <f>IB39*100/$E$39</f>
        <v/>
      </c>
      <c r="ID39" s="133" t="n"/>
      <c r="IE39" s="139">
        <f>ID39*100/$E$39</f>
        <v/>
      </c>
      <c r="IF39" s="133" t="n"/>
      <c r="IG39" s="139">
        <f>IF39*100/$E$39</f>
        <v/>
      </c>
      <c r="IH39" s="133" t="n"/>
      <c r="II39" s="139">
        <f>IH39*100/$E$39</f>
        <v/>
      </c>
      <c r="IJ39" s="133" t="n"/>
      <c r="IK39" s="139">
        <f>IJ39*100/$E$39</f>
        <v/>
      </c>
      <c r="IL39" s="133" t="n"/>
      <c r="IM39" s="140">
        <f>IL39*100/$E$39</f>
        <v/>
      </c>
      <c r="IN39" s="133" t="n"/>
      <c r="IO39" s="140">
        <f>IN39*100/$E$39</f>
        <v/>
      </c>
      <c r="IP39" s="133" t="n"/>
      <c r="IQ39" s="139">
        <f>IP39*100/$E$39</f>
        <v/>
      </c>
      <c r="IR39" s="133">
        <f>4+4</f>
        <v/>
      </c>
      <c r="IS39" s="139">
        <f>IR39*100/$E$39</f>
        <v/>
      </c>
      <c r="IT39" s="133" t="n"/>
      <c r="IU39" s="139">
        <f>IT39*100/$E$39</f>
        <v/>
      </c>
      <c r="IV39" s="133" t="n"/>
      <c r="IW39" s="139">
        <f>IV39*100/$E$39</f>
        <v/>
      </c>
      <c r="IX39" s="133" t="n"/>
      <c r="IY39" s="139">
        <f>IX39*100/$E$39</f>
        <v/>
      </c>
      <c r="IZ39" s="133" t="n"/>
      <c r="JA39" s="139">
        <f>IZ39*100/$E$39</f>
        <v/>
      </c>
      <c r="JB39" s="133" t="n"/>
      <c r="JC39" s="139">
        <f>JB39*100/$E$39</f>
        <v/>
      </c>
      <c r="JD39" s="133" t="n"/>
      <c r="JE39" s="139">
        <f>JD39*100/$E$39</f>
        <v/>
      </c>
      <c r="JF39" s="133" t="n"/>
      <c r="JG39" s="139">
        <f>JF39*100/$E$39</f>
        <v/>
      </c>
      <c r="JH39" s="133" t="n"/>
      <c r="JI39" s="139">
        <f>JH39*100/$E$39</f>
        <v/>
      </c>
      <c r="JJ39" s="133" t="n"/>
      <c r="JK39" s="139">
        <f>JJ39*100/$E$39</f>
        <v/>
      </c>
      <c r="JL39" s="133">
        <f>4+3+2+2</f>
        <v/>
      </c>
      <c r="JM39" s="139">
        <f>JL39*100/$E$39</f>
        <v/>
      </c>
      <c r="JN39" s="133" t="n"/>
      <c r="JO39" s="182">
        <f>JN39*100/$E$39</f>
        <v/>
      </c>
      <c r="JP39" s="133" t="n"/>
      <c r="JQ39" s="182">
        <f>JP39*100/$E$39</f>
        <v/>
      </c>
      <c r="JR39" s="108" t="n"/>
      <c r="JS39" s="121">
        <f>JR39*100/$E$39</f>
        <v/>
      </c>
      <c r="JT39" s="108" t="n"/>
      <c r="JU39" s="121">
        <f>JT39*100/$E$39</f>
        <v/>
      </c>
      <c r="JV39" s="108" t="n"/>
      <c r="JW39" s="121">
        <f>JV39*100/$E$39</f>
        <v/>
      </c>
      <c r="JX39" s="108" t="n"/>
      <c r="JY39" s="121">
        <f>JX39*100/$E$39</f>
        <v/>
      </c>
      <c r="JZ39" s="183">
        <f>JN39+JP39+JR39+JT39+JV39+JX39</f>
        <v/>
      </c>
      <c r="KA39" s="184">
        <f>JO39+JQ39+JS39+JU39+JW39+JY39</f>
        <v/>
      </c>
      <c r="KB39" s="185">
        <f>H39+J39+L39+N39+P39+R39+T39+V39+X39+Z39+AB39+AD39+AF39+AH39+AJ39+AL39+AN39+AP39+AR39+AT39+AV39+AX39+AZ39+BB39+BD39+BF39+BH39+BJ39+BL39+BN39+BP39+BR39+BT39+BV39+BX39+BZ39+CB39+CD39+CF39+CH39+CZ39+DB39+DD39+DF39+DH39+DJ39+DL39+DN39+DP39+DR39+DT39+DV39+DX39+DZ39+EB39+ED39+EF39+EH39+EJ39+EL39+EN39+EP39+ER39+ET39+EV39+FN39+FP39+FR39+FT39+FV39+FX39+FZ39+GB39+GD39+GF39+GH39+GJ39+GL39+GN39+GP39+GR39+GT39+GV39+GX39+GZ39+HB39+HD39+HF39+HH39+HJ39+HL39+HN39+HP39+HR39+HT39+HV39+HX39+HZ39+IB39+ID39+IF39+IH39+IJ39+IL39+IN39+IP39+IR39+IT39+IV39+IX39+IZ39+JB39+JD39+JF39+JH39+JJ39+JL39+JZ39+CJ39+CL39+CN39+CP39+CR39+CT39+CV39+CX39+EX39+EZ39+FB39+FD39+FF39+FH39+FJ39+FL39</f>
        <v/>
      </c>
      <c r="KC39" s="186">
        <f>I39+K39+M39+O39+Q39+S39+U39+W39+Y39+AA39+AC39+AE39+AG39+AI39+AK39+AM39+AO39+AQ39+AS39+AU39+AW39+AY39+BA39+BC39+BE39+BG39+BI39+BK39+BM39+BO39+BQ39+BS39+BU39+BW39+BY39+CA39+CC39+CE39+CG39+CI39+DA39+DC39+DE39+DG39+DI39+DK39+DM39+DO39+DQ39+DS39+DU39+DW39+DY39+EA39+EC39+EE39+EG39+EI39+EK39+EM39+EO39+EQ39+ES39+EU39+EW39+FO39+FS39+FU39+FW39+FQ39+FY39+GA39+GC39+GE39+GG39+GI39+GK39+GM39+GO39+GQ39+GS39+GU39+GW39+GY39+HA39+HC39+HE39+HG39+HI39+HK39+HM39+HO39+HQ39+HS39+HU39+HW39+HY39+IA39+IC39+IE39+IG39+II39+IK39+IM39+IO39+IQ39+IS39+IU39+IW39+IY39+JA39+JC39+JE39+JG39+JI39+JK39+JM39+KA39+CK39+CM39+CO39+CQ39+CS39+CU39+CW39+CY39+EY39+FA39+FC39+FE39+FG39+FI39+FK39+FM39</f>
        <v/>
      </c>
      <c r="KD39" s="187">
        <f>JO39+JQ39+JS39+JU39+JW39+JY39</f>
        <v/>
      </c>
      <c r="KE39" s="188">
        <f>KB39=E39</f>
        <v/>
      </c>
      <c r="KF39" s="189">
        <f>E39-KB39</f>
        <v/>
      </c>
      <c r="KG39" s="210" t="n"/>
    </row>
    <row r="40" ht="21.75" customFormat="1" customHeight="1" s="210">
      <c r="A40" s="126">
        <f>A39+1</f>
        <v/>
      </c>
      <c r="B40" s="175" t="inlineStr">
        <is>
          <t>Соколов Р.Т.</t>
        </is>
      </c>
      <c r="C40" s="176" t="inlineStr">
        <is>
          <t>сварщик</t>
        </is>
      </c>
      <c r="D40" s="177">
        <f>$D$5</f>
        <v/>
      </c>
      <c r="E40" s="202" t="n">
        <v>224</v>
      </c>
      <c r="F40" s="193" t="n">
        <v>99093</v>
      </c>
      <c r="G40" s="179">
        <f>F40/D40</f>
        <v/>
      </c>
      <c r="H40" s="180" t="n"/>
      <c r="I40" s="140">
        <f>H40*100/$E$40</f>
        <v/>
      </c>
      <c r="J40" s="133" t="n"/>
      <c r="K40" s="140">
        <f>J40*100/$E$40</f>
        <v/>
      </c>
      <c r="L40" s="133" t="n"/>
      <c r="M40" s="140">
        <f>L40*100/$E$40</f>
        <v/>
      </c>
      <c r="N40" s="133" t="n"/>
      <c r="O40" s="140">
        <f>N40*100/$E$40</f>
        <v/>
      </c>
      <c r="P40" s="133" t="n"/>
      <c r="Q40" s="139">
        <f>P40*100/$E$40</f>
        <v/>
      </c>
      <c r="R40" s="133" t="n"/>
      <c r="S40" s="139">
        <f>R40*100/$E$40</f>
        <v/>
      </c>
      <c r="T40" s="133" t="n"/>
      <c r="U40" s="140">
        <f>T40*100/$E$40</f>
        <v/>
      </c>
      <c r="V40" s="133" t="n"/>
      <c r="W40" s="140">
        <f>V40*100/$E$40</f>
        <v/>
      </c>
      <c r="X40" s="133" t="n"/>
      <c r="Y40" s="140">
        <f>X40*100/$E$40</f>
        <v/>
      </c>
      <c r="Z40" s="133" t="n"/>
      <c r="AA40" s="140">
        <f>Z40*100/$E$40</f>
        <v/>
      </c>
      <c r="AB40" s="133" t="n"/>
      <c r="AC40" s="140">
        <f>AB40*100/$E$40</f>
        <v/>
      </c>
      <c r="AD40" s="133" t="n"/>
      <c r="AE40" s="139">
        <f>AD40*100/$E$40</f>
        <v/>
      </c>
      <c r="AF40" s="133" t="n"/>
      <c r="AG40" s="139">
        <f>AF40*100/$E$40</f>
        <v/>
      </c>
      <c r="AH40" s="133" t="n"/>
      <c r="AI40" s="140">
        <f>AH40*100/$E$40</f>
        <v/>
      </c>
      <c r="AJ40" s="133" t="n"/>
      <c r="AK40" s="140">
        <f>AJ40*100/$E$40</f>
        <v/>
      </c>
      <c r="AL40" s="133" t="n"/>
      <c r="AM40" s="140">
        <f>AL40*100/$E$40</f>
        <v/>
      </c>
      <c r="AN40" s="133" t="n"/>
      <c r="AO40" s="140">
        <f>AN40*100/$E$40</f>
        <v/>
      </c>
      <c r="AP40" s="133" t="n"/>
      <c r="AQ40" s="140">
        <f>AP40*100/$E$40</f>
        <v/>
      </c>
      <c r="AR40" s="133" t="n"/>
      <c r="AS40" s="140">
        <f>AR40*100/$E$40</f>
        <v/>
      </c>
      <c r="AT40" s="133" t="n"/>
      <c r="AU40" s="181">
        <f>AT40*100/$E$40</f>
        <v/>
      </c>
      <c r="AV40" s="133" t="n">
        <v>1</v>
      </c>
      <c r="AW40" s="140">
        <f>AV40*100/$E$40</f>
        <v/>
      </c>
      <c r="AX40" s="133">
        <f>11+8+12+28</f>
        <v/>
      </c>
      <c r="AY40" s="140">
        <f>AX40*100/$E$40</f>
        <v/>
      </c>
      <c r="AZ40" s="133" t="n"/>
      <c r="BA40" s="140">
        <f>AZ40*100/$E$40</f>
        <v/>
      </c>
      <c r="BB40" s="133" t="n"/>
      <c r="BC40" s="140">
        <f>BB40*100/$E$40</f>
        <v/>
      </c>
      <c r="BD40" s="133" t="n"/>
      <c r="BE40" s="140">
        <f>BD40*100/$E$40</f>
        <v/>
      </c>
      <c r="BF40" s="133" t="n"/>
      <c r="BG40" s="140">
        <f>BF40*100/$E$40</f>
        <v/>
      </c>
      <c r="BH40" s="133" t="n"/>
      <c r="BI40" s="140">
        <f>BH40*100/$E$40</f>
        <v/>
      </c>
      <c r="BJ40" s="133" t="n"/>
      <c r="BK40" s="140">
        <f>BJ40*100/$E$40</f>
        <v/>
      </c>
      <c r="BL40" s="133" t="n"/>
      <c r="BM40" s="140">
        <f>BL40*100/$E$40</f>
        <v/>
      </c>
      <c r="BN40" s="133" t="n"/>
      <c r="BO40" s="140">
        <f>BN40*100/$E$40</f>
        <v/>
      </c>
      <c r="BP40" s="133" t="n"/>
      <c r="BQ40" s="140">
        <f>BP40*100/$E$40</f>
        <v/>
      </c>
      <c r="BR40" s="133" t="n"/>
      <c r="BS40" s="140">
        <f>BR40*100/$E$40</f>
        <v/>
      </c>
      <c r="BT40" s="133" t="n"/>
      <c r="BU40" s="140">
        <f>BT40*100/$E$40</f>
        <v/>
      </c>
      <c r="BV40" s="133" t="n"/>
      <c r="BW40" s="140">
        <f>BV40*100/$E$40</f>
        <v/>
      </c>
      <c r="BX40" s="133" t="n"/>
      <c r="BY40" s="140">
        <f>BX40*100/$E$40</f>
        <v/>
      </c>
      <c r="BZ40" s="133" t="n"/>
      <c r="CA40" s="140">
        <f>BZ40*100/$E$40</f>
        <v/>
      </c>
      <c r="CB40" s="133" t="n"/>
      <c r="CC40" s="140">
        <f>CB40*100/$E$40</f>
        <v/>
      </c>
      <c r="CD40" s="133" t="n"/>
      <c r="CE40" s="140">
        <f>CD40*100/$E$40</f>
        <v/>
      </c>
      <c r="CF40" s="133">
        <f>12+12+11</f>
        <v/>
      </c>
      <c r="CG40" s="140">
        <f>CF40*100/$E$40</f>
        <v/>
      </c>
      <c r="CH40" s="133" t="n"/>
      <c r="CI40" s="140">
        <f>CH40*100/$E$40</f>
        <v/>
      </c>
      <c r="CJ40" s="133" t="n"/>
      <c r="CK40" s="140">
        <f>CJ40*100/$E$40</f>
        <v/>
      </c>
      <c r="CL40" s="133" t="n"/>
      <c r="CM40" s="140">
        <f>CL40*100/$E$40</f>
        <v/>
      </c>
      <c r="CN40" s="133" t="n">
        <v>8</v>
      </c>
      <c r="CO40" s="139">
        <f>CN40*100/$E$40</f>
        <v/>
      </c>
      <c r="CP40" s="133" t="n"/>
      <c r="CQ40" s="140">
        <f>CP40*100/$E$40</f>
        <v/>
      </c>
      <c r="CR40" s="133" t="n"/>
      <c r="CS40" s="139">
        <f>CR40*100/$E$40</f>
        <v/>
      </c>
      <c r="CT40" s="133" t="n"/>
      <c r="CU40" s="139">
        <f>CT40*100/$E$40</f>
        <v/>
      </c>
      <c r="CV40" s="133" t="n"/>
      <c r="CW40" s="139">
        <f>CV40*100/$E$40</f>
        <v/>
      </c>
      <c r="CX40" s="133" t="n"/>
      <c r="CY40" s="139">
        <f>CX40*100/$E$40</f>
        <v/>
      </c>
      <c r="CZ40" s="133" t="n"/>
      <c r="DA40" s="139">
        <f>CZ40*100/$E$40</f>
        <v/>
      </c>
      <c r="DB40" s="133" t="n"/>
      <c r="DC40" s="139">
        <f>DB40*100/$E$40</f>
        <v/>
      </c>
      <c r="DD40" s="133" t="n"/>
      <c r="DE40" s="139">
        <f>DD40*100/$E$40</f>
        <v/>
      </c>
      <c r="DF40" s="133" t="n"/>
      <c r="DG40" s="139">
        <f>DF40*100/$E$40</f>
        <v/>
      </c>
      <c r="DH40" s="133" t="n"/>
      <c r="DI40" s="139">
        <f>DH40*100/$E$40</f>
        <v/>
      </c>
      <c r="DJ40" s="133">
        <f>7+6+12+12+12</f>
        <v/>
      </c>
      <c r="DK40" s="139">
        <f>DJ40*100/$E$40</f>
        <v/>
      </c>
      <c r="DL40" s="133" t="n">
        <v>12</v>
      </c>
      <c r="DM40" s="139">
        <f>DL40*100/$E$40</f>
        <v/>
      </c>
      <c r="DN40" s="133" t="n"/>
      <c r="DO40" s="139">
        <f>DN40*100/$E$40</f>
        <v/>
      </c>
      <c r="DP40" s="133" t="n">
        <v>8</v>
      </c>
      <c r="DQ40" s="139">
        <f>DP40*100/$E$40</f>
        <v/>
      </c>
      <c r="DR40" s="133" t="n"/>
      <c r="DS40" s="139">
        <f>DR40*100/$E$40</f>
        <v/>
      </c>
      <c r="DT40" s="133" t="n">
        <v>12</v>
      </c>
      <c r="DU40" s="139">
        <f>DT40*100/$E$40</f>
        <v/>
      </c>
      <c r="DV40" s="133" t="n">
        <v>12</v>
      </c>
      <c r="DW40" s="139">
        <f>DV40*100/$E$40</f>
        <v/>
      </c>
      <c r="DX40" s="133" t="n"/>
      <c r="DY40" s="139">
        <f>DX40*100/$E$40</f>
        <v/>
      </c>
      <c r="DZ40" s="133" t="n">
        <v>16</v>
      </c>
      <c r="EA40" s="139">
        <f>DZ40*100/$E$40</f>
        <v/>
      </c>
      <c r="EB40" s="133" t="n"/>
      <c r="EC40" s="139">
        <f>EB40*100/$E$40</f>
        <v/>
      </c>
      <c r="ED40" s="133" t="n"/>
      <c r="EE40" s="139">
        <f>ED40*100/$E$40</f>
        <v/>
      </c>
      <c r="EF40" s="133" t="n">
        <v>6</v>
      </c>
      <c r="EG40" s="139">
        <f>EF40*100/$E$40</f>
        <v/>
      </c>
      <c r="EH40" s="133" t="n">
        <v>1</v>
      </c>
      <c r="EI40" s="139">
        <f>EH40*100/$E$40</f>
        <v/>
      </c>
      <c r="EJ40" s="133" t="n"/>
      <c r="EK40" s="139">
        <f>EJ40*100/$E$40</f>
        <v/>
      </c>
      <c r="EL40" s="133" t="n"/>
      <c r="EM40" s="139">
        <f>EL40*100/$E$40</f>
        <v/>
      </c>
      <c r="EN40" s="133" t="n"/>
      <c r="EO40" s="139">
        <f>EN40*100/$E$40</f>
        <v/>
      </c>
      <c r="EP40" s="133" t="n"/>
      <c r="EQ40" s="139">
        <f>EP40*100/$E$40</f>
        <v/>
      </c>
      <c r="ER40" s="133" t="n"/>
      <c r="ES40" s="139">
        <f>ER40*100/$E$40</f>
        <v/>
      </c>
      <c r="ET40" s="133" t="n"/>
      <c r="EU40" s="139">
        <f>ET40*100/$E$40</f>
        <v/>
      </c>
      <c r="EV40" s="133" t="n"/>
      <c r="EW40" s="139">
        <f>EV40*100/$E$40</f>
        <v/>
      </c>
      <c r="EX40" s="133" t="n"/>
      <c r="EY40" s="139">
        <f>EX40*100/$E$40</f>
        <v/>
      </c>
      <c r="EZ40" s="133" t="n"/>
      <c r="FA40" s="139">
        <f>EZ40*100/$E$40</f>
        <v/>
      </c>
      <c r="FB40" s="133" t="n"/>
      <c r="FC40" s="139">
        <f>FB40*100/$E$40</f>
        <v/>
      </c>
      <c r="FD40" s="133" t="n"/>
      <c r="FE40" s="139">
        <f>FD40*100/$E$40</f>
        <v/>
      </c>
      <c r="FF40" s="133" t="n"/>
      <c r="FG40" s="139">
        <f>FF40*100/$E$40</f>
        <v/>
      </c>
      <c r="FH40" s="133" t="n"/>
      <c r="FI40" s="139">
        <f>FH40*100/$E$40</f>
        <v/>
      </c>
      <c r="FJ40" s="133" t="n">
        <v>5</v>
      </c>
      <c r="FK40" s="139">
        <f>FJ40*100/$E$40</f>
        <v/>
      </c>
      <c r="FL40" s="133" t="n"/>
      <c r="FM40" s="139">
        <f>FL40*100/$E$40</f>
        <v/>
      </c>
      <c r="FN40" s="133" t="n"/>
      <c r="FO40" s="139">
        <f>FN40*100/$E$40</f>
        <v/>
      </c>
      <c r="FP40" s="133" t="n"/>
      <c r="FQ40" s="139">
        <f>FP40*100/$E$40</f>
        <v/>
      </c>
      <c r="FR40" s="133" t="n"/>
      <c r="FS40" s="139">
        <f>FR40*100/$E$40</f>
        <v/>
      </c>
      <c r="FT40" s="133" t="n"/>
      <c r="FU40" s="139">
        <f>FT40*100/$E$40</f>
        <v/>
      </c>
      <c r="FV40" s="133" t="n"/>
      <c r="FW40" s="139">
        <f>FV40*100/$E$40</f>
        <v/>
      </c>
      <c r="FX40" s="133" t="n"/>
      <c r="FY40" s="140">
        <f>FX40*100/$E$40</f>
        <v/>
      </c>
      <c r="FZ40" s="133" t="n"/>
      <c r="GA40" s="140">
        <f>FZ40*100/$E$40</f>
        <v/>
      </c>
      <c r="GB40" s="133" t="n"/>
      <c r="GC40" s="140">
        <f>GB40*100/$E$40</f>
        <v/>
      </c>
      <c r="GD40" s="133" t="n"/>
      <c r="GE40" s="140">
        <f>GD40*100/$E$40</f>
        <v/>
      </c>
      <c r="GF40" s="133" t="n"/>
      <c r="GG40" s="140">
        <f>GF40*100/$E$40</f>
        <v/>
      </c>
      <c r="GH40" s="133" t="n"/>
      <c r="GI40" s="140">
        <f>GH40*100/$E$40</f>
        <v/>
      </c>
      <c r="GJ40" s="133" t="n"/>
      <c r="GK40" s="139">
        <f>GJ40*100/$E$40</f>
        <v/>
      </c>
      <c r="GL40" s="133" t="n"/>
      <c r="GM40" s="140">
        <f>GL40*100/$E$40</f>
        <v/>
      </c>
      <c r="GN40" s="133" t="n"/>
      <c r="GO40" s="139">
        <f>GN40*100/$E$40</f>
        <v/>
      </c>
      <c r="GP40" s="133" t="n"/>
      <c r="GQ40" s="140">
        <f>GP40*100/$E$40</f>
        <v/>
      </c>
      <c r="GR40" s="133" t="n"/>
      <c r="GS40" s="139">
        <f>GR40*100/$E$40</f>
        <v/>
      </c>
      <c r="GT40" s="133" t="n"/>
      <c r="GU40" s="139">
        <f>GT40*100/$E$40</f>
        <v/>
      </c>
      <c r="GV40" s="133" t="n"/>
      <c r="GW40" s="139">
        <f>GV40*100/$E$40</f>
        <v/>
      </c>
      <c r="GX40" s="133" t="n"/>
      <c r="GY40" s="140">
        <f>GX40*100/$E$40</f>
        <v/>
      </c>
      <c r="GZ40" s="133" t="n"/>
      <c r="HA40" s="140">
        <f>GZ40*100/$E$40</f>
        <v/>
      </c>
      <c r="HB40" s="133" t="n"/>
      <c r="HC40" s="140">
        <f>HB40*100/$E$40</f>
        <v/>
      </c>
      <c r="HD40" s="133" t="n"/>
      <c r="HE40" s="140">
        <f>HD40*100/$E$40</f>
        <v/>
      </c>
      <c r="HF40" s="133" t="n"/>
      <c r="HG40" s="140">
        <f>HF40*100/$E$40</f>
        <v/>
      </c>
      <c r="HH40" s="133" t="n"/>
      <c r="HI40" s="140">
        <f>HH40*100/$E$40</f>
        <v/>
      </c>
      <c r="HJ40" s="133" t="n"/>
      <c r="HK40" s="140">
        <f>HJ40*100/$E$40</f>
        <v/>
      </c>
      <c r="HL40" s="133" t="n"/>
      <c r="HM40" s="140">
        <f>HL40*100/$E$40</f>
        <v/>
      </c>
      <c r="HN40" s="133" t="n"/>
      <c r="HO40" s="140">
        <f>HN40*100/$E$40</f>
        <v/>
      </c>
      <c r="HP40" s="133" t="n"/>
      <c r="HQ40" s="140">
        <f>HP40*100/$E$40</f>
        <v/>
      </c>
      <c r="HR40" s="133" t="n"/>
      <c r="HS40" s="140">
        <f>HR40*100/$E$40</f>
        <v/>
      </c>
      <c r="HT40" s="133" t="n"/>
      <c r="HU40" s="140">
        <f>HT40*100/$E$40</f>
        <v/>
      </c>
      <c r="HV40" s="133" t="n"/>
      <c r="HW40" s="140">
        <f>HV40*100/$E$40</f>
        <v/>
      </c>
      <c r="HX40" s="133" t="n"/>
      <c r="HY40" s="140">
        <f>HX40*100/$E$40</f>
        <v/>
      </c>
      <c r="HZ40" s="133" t="n"/>
      <c r="IA40" s="139">
        <f>HZ40*100/$E$40</f>
        <v/>
      </c>
      <c r="IB40" s="133" t="n"/>
      <c r="IC40" s="139">
        <f>IB40*100/$E$40</f>
        <v/>
      </c>
      <c r="ID40" s="133" t="n"/>
      <c r="IE40" s="139">
        <f>ID40*100/$E$40</f>
        <v/>
      </c>
      <c r="IF40" s="133" t="n"/>
      <c r="IG40" s="139">
        <f>IF40*100/$E$40</f>
        <v/>
      </c>
      <c r="IH40" s="133" t="n"/>
      <c r="II40" s="139">
        <f>IH40*100/$E$40</f>
        <v/>
      </c>
      <c r="IJ40" s="133" t="n"/>
      <c r="IK40" s="139">
        <f>IJ40*100/$E$40</f>
        <v/>
      </c>
      <c r="IL40" s="133" t="n"/>
      <c r="IM40" s="140">
        <f>IL40*100/$E$40</f>
        <v/>
      </c>
      <c r="IN40" s="133" t="n"/>
      <c r="IO40" s="140">
        <f>IN40*100/$E$40</f>
        <v/>
      </c>
      <c r="IP40" s="133" t="n"/>
      <c r="IQ40" s="139">
        <f>IP40*100/$E$40</f>
        <v/>
      </c>
      <c r="IR40" s="133" t="n"/>
      <c r="IS40" s="139">
        <f>IR40*100/$E$40</f>
        <v/>
      </c>
      <c r="IT40" s="133" t="n"/>
      <c r="IU40" s="139">
        <f>IT40*100/$E$40</f>
        <v/>
      </c>
      <c r="IV40" s="133" t="n"/>
      <c r="IW40" s="139">
        <f>IV40*100/$E$40</f>
        <v/>
      </c>
      <c r="IX40" s="133" t="n"/>
      <c r="IY40" s="139">
        <f>IX40*100/$E$40</f>
        <v/>
      </c>
      <c r="IZ40" s="133" t="n"/>
      <c r="JA40" s="139">
        <f>IZ40*100/$E$40</f>
        <v/>
      </c>
      <c r="JB40" s="133" t="n"/>
      <c r="JC40" s="139">
        <f>JB40*100/$E$40</f>
        <v/>
      </c>
      <c r="JD40" s="133" t="n"/>
      <c r="JE40" s="139">
        <f>JD40*100/$E$40</f>
        <v/>
      </c>
      <c r="JF40" s="133" t="n"/>
      <c r="JG40" s="139">
        <f>JF40*100/$E$40</f>
        <v/>
      </c>
      <c r="JH40" s="133" t="n"/>
      <c r="JI40" s="139">
        <f>JH40*100/$E$40</f>
        <v/>
      </c>
      <c r="JJ40" s="133" t="n"/>
      <c r="JK40" s="139">
        <f>JJ40*100/$E$40</f>
        <v/>
      </c>
      <c r="JL40" s="133" t="n"/>
      <c r="JM40" s="139">
        <f>JL40*100/$E$40</f>
        <v/>
      </c>
      <c r="JN40" s="133" t="n"/>
      <c r="JO40" s="182">
        <f>JN40*100/$E$40</f>
        <v/>
      </c>
      <c r="JP40" s="133" t="n"/>
      <c r="JQ40" s="182">
        <f>JP40*100/$E$40</f>
        <v/>
      </c>
      <c r="JR40" s="108" t="n"/>
      <c r="JS40" s="121">
        <f>JR40*100/$E$40</f>
        <v/>
      </c>
      <c r="JT40" s="108" t="n"/>
      <c r="JU40" s="121">
        <f>JT40*100/$E$40</f>
        <v/>
      </c>
      <c r="JV40" s="108" t="n"/>
      <c r="JW40" s="121">
        <f>JV40*100/$E$40</f>
        <v/>
      </c>
      <c r="JX40" s="108" t="n"/>
      <c r="JY40" s="121">
        <f>JX40*100/$E$40</f>
        <v/>
      </c>
      <c r="JZ40" s="183">
        <f>JN40+JP40+JR40+JT40+JV40+JX40</f>
        <v/>
      </c>
      <c r="KA40" s="184">
        <f>JO40+JQ40+JS40+JU40+JW40+JY40</f>
        <v/>
      </c>
      <c r="KB40" s="185">
        <f>H40+J40+L40+N40+P40+R40+T40+V40+X40+Z40+AB40+AD40+AF40+AH40+AJ40+AL40+AN40+AP40+AR40+AT40+AV40+AX40+AZ40+BB40+BD40+BF40+BH40+BJ40+BL40+BN40+BP40+BR40+BT40+BV40+BX40+BZ40+CB40+CD40+CF40+CH40+CZ40+DB40+DD40+DF40+DH40+DJ40+DL40+DN40+DP40+DR40+DT40+DV40+DX40+DZ40+EB40+ED40+EF40+EH40+EJ40+EL40+EN40+EP40+ER40+ET40+EV40+FN40+FP40+FR40+FT40+FV40+FX40+FZ40+GB40+GD40+GF40+GH40+GJ40+GL40+GN40+GP40+GR40+GT40+GV40+GX40+GZ40+HB40+HD40+HF40+HH40+HJ40+HL40+HN40+HP40+HR40+HT40+HV40+HX40+HZ40+IB40+ID40+IF40+IH40+IJ40+IL40+IN40+IP40+IR40+IT40+IV40+IX40+IZ40+JB40+JD40+JF40+JH40+JJ40+JL40+JZ40+CJ40+CL40+CN40+CP40+CR40+CT40+CV40+CX40+EX40+EZ40+FB40+FD40+FF40+FH40+FJ40+FL40</f>
        <v/>
      </c>
      <c r="KC40" s="186">
        <f>I40+K40+M40+O40+Q40+S40+U40+W40+Y40+AA40+AC40+AE40+AG40+AI40+AK40+AM40+AO40+AQ40+AS40+AU40+AW40+AY40+BA40+BC40+BE40+BG40+BI40+BK40+BM40+BO40+BQ40+BS40+BU40+BW40+BY40+CA40+CC40+CE40+CG40+CI40+DA40+DC40+DE40+DG40+DI40+DK40+DM40+DO40+DQ40+DS40+DU40+DW40+DY40+EA40+EC40+EE40+EG40+EI40+EK40+EM40+EO40+EQ40+ES40+EU40+EW40+FO40+FS40+FU40+FW40+FQ40+FY40+GA40+GC40+GE40+GG40+GI40+GK40+GM40+GO40+GQ40+GS40+GU40+GW40+GY40+HA40+HC40+HE40+HG40+HI40+HK40+HM40+HO40+HQ40+HS40+HU40+HW40+HY40+IA40+IC40+IE40+IG40+II40+IK40+IM40+IO40+IQ40+IS40+IU40+IW40+IY40+JA40+JC40+JE40+JG40+JI40+JK40+JM40+KA40+CK40+CM40+CO40+CQ40+CS40+CU40+CW40+CY40+EY40+FA40+FC40+FE40+FG40+FI40+FK40+FM40</f>
        <v/>
      </c>
      <c r="KD40" s="187">
        <f>JO40+JQ40+JS40+JU40+JW40+JY40</f>
        <v/>
      </c>
      <c r="KE40" s="188">
        <f>KB40=E40</f>
        <v/>
      </c>
      <c r="KF40" s="189">
        <f>E40-KB40</f>
        <v/>
      </c>
      <c r="KG40" s="195" t="n"/>
    </row>
    <row r="41" ht="21.75" customFormat="1" customHeight="1" s="26">
      <c r="A41" s="126">
        <f>A40+1</f>
        <v/>
      </c>
      <c r="B41" s="175" t="inlineStr">
        <is>
          <t>Сорокин Е</t>
        </is>
      </c>
      <c r="C41" s="176" t="inlineStr">
        <is>
          <t>сварщик</t>
        </is>
      </c>
      <c r="D41" s="177">
        <f>$D$5</f>
        <v/>
      </c>
      <c r="E41" s="202" t="n">
        <v>160</v>
      </c>
      <c r="F41" s="191" t="n">
        <v>84149.67999999999</v>
      </c>
      <c r="G41" s="179">
        <f>F41/D41</f>
        <v/>
      </c>
      <c r="H41" s="125" t="n"/>
      <c r="I41" s="107">
        <f>H41*100/$E$41</f>
        <v/>
      </c>
      <c r="J41" s="108" t="n"/>
      <c r="K41" s="107">
        <f>J41*100/$E$41</f>
        <v/>
      </c>
      <c r="L41" s="108" t="n"/>
      <c r="M41" s="107">
        <f>L41*100/$E$41</f>
        <v/>
      </c>
      <c r="N41" s="108" t="n"/>
      <c r="O41" s="107">
        <f>N41*100/$E$41</f>
        <v/>
      </c>
      <c r="P41" s="108" t="n"/>
      <c r="Q41" s="122">
        <f>P41*100/$E$41</f>
        <v/>
      </c>
      <c r="R41" s="108" t="n"/>
      <c r="S41" s="122">
        <f>R41*100/$E$41</f>
        <v/>
      </c>
      <c r="T41" s="108" t="n"/>
      <c r="U41" s="107">
        <f>T41*100/$E$41</f>
        <v/>
      </c>
      <c r="V41" s="108" t="n"/>
      <c r="W41" s="107">
        <f>V41*100/$E$41</f>
        <v/>
      </c>
      <c r="X41" s="108" t="n"/>
      <c r="Y41" s="107">
        <f>X41*100/$E$41</f>
        <v/>
      </c>
      <c r="Z41" s="108" t="n"/>
      <c r="AA41" s="107">
        <f>Z41*100/$E$41</f>
        <v/>
      </c>
      <c r="AB41" s="108" t="n">
        <v>24.5</v>
      </c>
      <c r="AC41" s="107">
        <f>AB41*100/$E$41</f>
        <v/>
      </c>
      <c r="AD41" s="108" t="n">
        <v>16</v>
      </c>
      <c r="AE41" s="122">
        <f>AD41*100/$E$41</f>
        <v/>
      </c>
      <c r="AF41" s="108" t="n"/>
      <c r="AG41" s="122">
        <f>AF41*100/$E$41</f>
        <v/>
      </c>
      <c r="AH41" s="108" t="n"/>
      <c r="AI41" s="107">
        <f>AH41*100/$E$41</f>
        <v/>
      </c>
      <c r="AJ41" s="108" t="n"/>
      <c r="AK41" s="107">
        <f>AJ41*100/$E$41</f>
        <v/>
      </c>
      <c r="AL41" s="108" t="n"/>
      <c r="AM41" s="107">
        <f>AL41*100/$E$41</f>
        <v/>
      </c>
      <c r="AN41" s="108" t="n"/>
      <c r="AO41" s="107">
        <f>AN41*100/$E$41</f>
        <v/>
      </c>
      <c r="AP41" s="108" t="n"/>
      <c r="AQ41" s="107">
        <f>AP41*100/$E$41</f>
        <v/>
      </c>
      <c r="AR41" s="108" t="n"/>
      <c r="AS41" s="107">
        <f>AR41*100/$E$41</f>
        <v/>
      </c>
      <c r="AT41" s="108" t="n"/>
      <c r="AU41" s="90">
        <f>AT41*100/$E$41</f>
        <v/>
      </c>
      <c r="AV41" s="108" t="n">
        <v>2.5</v>
      </c>
      <c r="AW41" s="107">
        <f>AV41*100/$E$41</f>
        <v/>
      </c>
      <c r="AX41" s="108">
        <f>1+71.5</f>
        <v/>
      </c>
      <c r="AY41" s="107">
        <f>AX41*100/$E$41</f>
        <v/>
      </c>
      <c r="AZ41" s="108" t="n">
        <v>3</v>
      </c>
      <c r="BA41" s="107">
        <f>AZ41*100/$E$41</f>
        <v/>
      </c>
      <c r="BB41" s="108" t="n">
        <v>1.5</v>
      </c>
      <c r="BC41" s="107">
        <f>BB41*100/$E$41</f>
        <v/>
      </c>
      <c r="BD41" s="108" t="n"/>
      <c r="BE41" s="107">
        <f>BD41*100/$E$41</f>
        <v/>
      </c>
      <c r="BF41" s="108" t="n"/>
      <c r="BG41" s="107">
        <f>BF41*100/$E$41</f>
        <v/>
      </c>
      <c r="BH41" s="108" t="n"/>
      <c r="BI41" s="107">
        <f>BH41*100/$E$41</f>
        <v/>
      </c>
      <c r="BJ41" s="108" t="n"/>
      <c r="BK41" s="107">
        <f>BJ41*100/$E$41</f>
        <v/>
      </c>
      <c r="BL41" s="108" t="n">
        <v>2.5</v>
      </c>
      <c r="BM41" s="107">
        <f>BL41*100/$E$41</f>
        <v/>
      </c>
      <c r="BN41" s="108" t="n"/>
      <c r="BO41" s="107">
        <f>BN41*100/$E$41</f>
        <v/>
      </c>
      <c r="BP41" s="108" t="n"/>
      <c r="BQ41" s="107">
        <f>BP41*100/$E$41</f>
        <v/>
      </c>
      <c r="BR41" s="108" t="n">
        <v>8</v>
      </c>
      <c r="BS41" s="107">
        <f>BR41*100/$E$41</f>
        <v/>
      </c>
      <c r="BT41" s="108" t="n">
        <v>16</v>
      </c>
      <c r="BU41" s="107">
        <f>BT41*100/$E$41</f>
        <v/>
      </c>
      <c r="BV41" s="108" t="n"/>
      <c r="BW41" s="107">
        <f>BV41*100/$E$41</f>
        <v/>
      </c>
      <c r="BX41" s="108" t="n"/>
      <c r="BY41" s="107">
        <f>BX41*100/$E$41</f>
        <v/>
      </c>
      <c r="BZ41" s="108" t="n"/>
      <c r="CA41" s="107">
        <f>BZ41*100/$E$41</f>
        <v/>
      </c>
      <c r="CB41" s="108" t="n"/>
      <c r="CC41" s="107">
        <f>CB41*100/$E$41</f>
        <v/>
      </c>
      <c r="CD41" s="108" t="n"/>
      <c r="CE41" s="107">
        <f>CD41*100/$E$41</f>
        <v/>
      </c>
      <c r="CF41" s="108" t="n"/>
      <c r="CG41" s="107">
        <f>CF41*100/$E$41</f>
        <v/>
      </c>
      <c r="CH41" s="108" t="n"/>
      <c r="CI41" s="107">
        <f>CH41*100/$E$41</f>
        <v/>
      </c>
      <c r="CJ41" s="108" t="n"/>
      <c r="CK41" s="107">
        <f>CJ41*100/$E$41</f>
        <v/>
      </c>
      <c r="CL41" s="108" t="n"/>
      <c r="CM41" s="107">
        <f>CL41*100/$E$41</f>
        <v/>
      </c>
      <c r="CN41" s="108" t="n"/>
      <c r="CO41" s="122">
        <f>CN41*100/$E$41</f>
        <v/>
      </c>
      <c r="CP41" s="108" t="n"/>
      <c r="CQ41" s="107">
        <f>CP41*100/$E$41</f>
        <v/>
      </c>
      <c r="CR41" s="108" t="n"/>
      <c r="CS41" s="122">
        <f>CR41*100/$E$41</f>
        <v/>
      </c>
      <c r="CT41" s="108" t="n"/>
      <c r="CU41" s="122">
        <f>CT41*100/$E$41</f>
        <v/>
      </c>
      <c r="CV41" s="108" t="n"/>
      <c r="CW41" s="122">
        <f>CV41*100/$E$41</f>
        <v/>
      </c>
      <c r="CX41" s="108" t="n"/>
      <c r="CY41" s="122">
        <f>CX41*100/$E$41</f>
        <v/>
      </c>
      <c r="CZ41" s="108" t="n"/>
      <c r="DA41" s="122">
        <f>CZ41*100/$E$41</f>
        <v/>
      </c>
      <c r="DB41" s="108" t="n"/>
      <c r="DC41" s="122">
        <f>DB41*100/$E$41</f>
        <v/>
      </c>
      <c r="DD41" s="108" t="n"/>
      <c r="DE41" s="122">
        <f>DD41*100/$E$41</f>
        <v/>
      </c>
      <c r="DF41" s="108" t="n"/>
      <c r="DG41" s="122">
        <f>DF41*100/$E$41</f>
        <v/>
      </c>
      <c r="DH41" s="108" t="n"/>
      <c r="DI41" s="122">
        <f>DH41*100/$E$41</f>
        <v/>
      </c>
      <c r="DJ41" s="108" t="n"/>
      <c r="DK41" s="122">
        <f>DJ41*100/$E$41</f>
        <v/>
      </c>
      <c r="DL41" s="108" t="n"/>
      <c r="DM41" s="122">
        <f>DL41*100/$E$41</f>
        <v/>
      </c>
      <c r="DN41" s="108" t="n"/>
      <c r="DO41" s="122">
        <f>DN41*100/$E$41</f>
        <v/>
      </c>
      <c r="DP41" s="108" t="n"/>
      <c r="DQ41" s="122">
        <f>DP41*100/$E$41</f>
        <v/>
      </c>
      <c r="DR41" s="108" t="n"/>
      <c r="DS41" s="122">
        <f>DR41*100/$E$41</f>
        <v/>
      </c>
      <c r="DT41" s="108" t="n"/>
      <c r="DU41" s="122">
        <f>DT41*100/$E$41</f>
        <v/>
      </c>
      <c r="DV41" s="108" t="n"/>
      <c r="DW41" s="122">
        <f>DV41*100/$E$41</f>
        <v/>
      </c>
      <c r="DX41" s="108" t="n"/>
      <c r="DY41" s="122">
        <f>DX41*100/$E$41</f>
        <v/>
      </c>
      <c r="DZ41" s="108" t="n"/>
      <c r="EA41" s="122">
        <f>DZ41*100/$E$41</f>
        <v/>
      </c>
      <c r="EB41" s="108" t="n"/>
      <c r="EC41" s="122">
        <f>EB41*100/$E$41</f>
        <v/>
      </c>
      <c r="ED41" s="108" t="n"/>
      <c r="EE41" s="122">
        <f>ED41*100/$E$41</f>
        <v/>
      </c>
      <c r="EF41" s="108" t="n"/>
      <c r="EG41" s="122">
        <f>EF41*100/$E$41</f>
        <v/>
      </c>
      <c r="EH41" s="108" t="n"/>
      <c r="EI41" s="122">
        <f>EH41*100/$E$41</f>
        <v/>
      </c>
      <c r="EJ41" s="108" t="n"/>
      <c r="EK41" s="122">
        <f>EJ41*100/$E$41</f>
        <v/>
      </c>
      <c r="EL41" s="108" t="n"/>
      <c r="EM41" s="122">
        <f>EL41*100/$E$41</f>
        <v/>
      </c>
      <c r="EN41" s="108" t="n"/>
      <c r="EO41" s="122">
        <f>EN41*100/$E$41</f>
        <v/>
      </c>
      <c r="EP41" s="108" t="n"/>
      <c r="EQ41" s="122">
        <f>EP41*100/$E$41</f>
        <v/>
      </c>
      <c r="ER41" s="108" t="n"/>
      <c r="ES41" s="122">
        <f>ER41*100/$E$41</f>
        <v/>
      </c>
      <c r="ET41" s="108" t="n"/>
      <c r="EU41" s="122">
        <f>ET41*100/$E$41</f>
        <v/>
      </c>
      <c r="EV41" s="108" t="n"/>
      <c r="EW41" s="122">
        <f>EV41*100/$E$41</f>
        <v/>
      </c>
      <c r="EX41" s="108" t="n"/>
      <c r="EY41" s="122">
        <f>EX41*100/$E$41</f>
        <v/>
      </c>
      <c r="EZ41" s="108" t="n"/>
      <c r="FA41" s="122">
        <f>EZ41*100/$E$41</f>
        <v/>
      </c>
      <c r="FB41" s="108" t="n"/>
      <c r="FC41" s="122">
        <f>FB41*100/$E$41</f>
        <v/>
      </c>
      <c r="FD41" s="108" t="n"/>
      <c r="FE41" s="122">
        <f>FD41*100/$E$41</f>
        <v/>
      </c>
      <c r="FF41" s="108" t="n"/>
      <c r="FG41" s="122">
        <f>FF41*100/$E$41</f>
        <v/>
      </c>
      <c r="FH41" s="108" t="n"/>
      <c r="FI41" s="122">
        <f>FH41*100/$E$41</f>
        <v/>
      </c>
      <c r="FJ41" s="108" t="n"/>
      <c r="FK41" s="122">
        <f>FJ41*100/$E$41</f>
        <v/>
      </c>
      <c r="FL41" s="108" t="n"/>
      <c r="FM41" s="122">
        <f>FL41*100/$E$41</f>
        <v/>
      </c>
      <c r="FN41" s="108" t="n"/>
      <c r="FO41" s="122">
        <f>FN41*100/$E$41</f>
        <v/>
      </c>
      <c r="FP41" s="108" t="n"/>
      <c r="FQ41" s="122">
        <f>FP41*100/$E$41</f>
        <v/>
      </c>
      <c r="FR41" s="108" t="n"/>
      <c r="FS41" s="122">
        <f>FR41*100/$E$41</f>
        <v/>
      </c>
      <c r="FT41" s="108" t="n"/>
      <c r="FU41" s="122">
        <f>FT41*100/$E$41</f>
        <v/>
      </c>
      <c r="FV41" s="108" t="n"/>
      <c r="FW41" s="122">
        <f>FV41*100/$E$41</f>
        <v/>
      </c>
      <c r="FX41" s="108" t="n"/>
      <c r="FY41" s="107">
        <f>FX41*100/$E$41</f>
        <v/>
      </c>
      <c r="FZ41" s="108" t="n"/>
      <c r="GA41" s="107">
        <f>FZ41*100/$E$41</f>
        <v/>
      </c>
      <c r="GB41" s="108" t="n"/>
      <c r="GC41" s="107">
        <f>GB41*100/$E$41</f>
        <v/>
      </c>
      <c r="GD41" s="108" t="n"/>
      <c r="GE41" s="107">
        <f>GD41*100/$E$41</f>
        <v/>
      </c>
      <c r="GF41" s="108" t="n"/>
      <c r="GG41" s="107">
        <f>GF41*100/$E$41</f>
        <v/>
      </c>
      <c r="GH41" s="108" t="n"/>
      <c r="GI41" s="107">
        <f>GH41*100/$E$41</f>
        <v/>
      </c>
      <c r="GJ41" s="108" t="n"/>
      <c r="GK41" s="122">
        <f>GJ41*100/$E$41</f>
        <v/>
      </c>
      <c r="GL41" s="108" t="n"/>
      <c r="GM41" s="107">
        <f>GL41*100/$E$41</f>
        <v/>
      </c>
      <c r="GN41" s="108" t="n"/>
      <c r="GO41" s="122">
        <f>GN41*100/$E$41</f>
        <v/>
      </c>
      <c r="GP41" s="108" t="n"/>
      <c r="GQ41" s="107">
        <f>GP41*100/$E$41</f>
        <v/>
      </c>
      <c r="GR41" s="108" t="n"/>
      <c r="GS41" s="122">
        <f>GR41*100/$E$41</f>
        <v/>
      </c>
      <c r="GT41" s="108" t="n"/>
      <c r="GU41" s="122">
        <f>GT41*100/$E$41</f>
        <v/>
      </c>
      <c r="GV41" s="108" t="n"/>
      <c r="GW41" s="122">
        <f>GV41*100/$E$41</f>
        <v/>
      </c>
      <c r="GX41" s="108" t="n"/>
      <c r="GY41" s="107">
        <f>GX41*100/$E$41</f>
        <v/>
      </c>
      <c r="GZ41" s="108" t="n"/>
      <c r="HA41" s="107">
        <f>GZ41*100/$E$41</f>
        <v/>
      </c>
      <c r="HB41" s="108" t="n"/>
      <c r="HC41" s="107">
        <f>HB41*100/$E$41</f>
        <v/>
      </c>
      <c r="HD41" s="108" t="n"/>
      <c r="HE41" s="107">
        <f>HD41*100/$E$41</f>
        <v/>
      </c>
      <c r="HF41" s="108" t="n"/>
      <c r="HG41" s="107">
        <f>HF41*100/$E$41</f>
        <v/>
      </c>
      <c r="HH41" s="108" t="n"/>
      <c r="HI41" s="107">
        <f>HH41*100/$E$41</f>
        <v/>
      </c>
      <c r="HJ41" s="108" t="n"/>
      <c r="HK41" s="107">
        <f>HJ41*100/$E$41</f>
        <v/>
      </c>
      <c r="HL41" s="108" t="n"/>
      <c r="HM41" s="107">
        <f>HL41*100/$E$41</f>
        <v/>
      </c>
      <c r="HN41" s="108" t="n"/>
      <c r="HO41" s="107">
        <f>HN41*100/$E$41</f>
        <v/>
      </c>
      <c r="HP41" s="108" t="n"/>
      <c r="HQ41" s="107">
        <f>HP41*100/$E$41</f>
        <v/>
      </c>
      <c r="HR41" s="108" t="n"/>
      <c r="HS41" s="107">
        <f>HR41*100/$E$41</f>
        <v/>
      </c>
      <c r="HT41" s="108" t="n"/>
      <c r="HU41" s="107">
        <f>HT41*100/$E$41</f>
        <v/>
      </c>
      <c r="HV41" s="108" t="n"/>
      <c r="HW41" s="107">
        <f>HV41*100/$E$41</f>
        <v/>
      </c>
      <c r="HX41" s="108" t="n"/>
      <c r="HY41" s="107">
        <f>HX41*100/$E$41</f>
        <v/>
      </c>
      <c r="HZ41" s="108" t="n"/>
      <c r="IA41" s="122">
        <f>HZ41*100/$E$41</f>
        <v/>
      </c>
      <c r="IB41" s="108" t="n"/>
      <c r="IC41" s="122">
        <f>IB41*100/$E$41</f>
        <v/>
      </c>
      <c r="ID41" s="108" t="n"/>
      <c r="IE41" s="122">
        <f>ID41*100/$E$41</f>
        <v/>
      </c>
      <c r="IF41" s="108" t="n"/>
      <c r="IG41" s="122">
        <f>IF41*100/$E$41</f>
        <v/>
      </c>
      <c r="IH41" s="108" t="n"/>
      <c r="II41" s="122">
        <f>IH41*100/$E$41</f>
        <v/>
      </c>
      <c r="IJ41" s="108" t="n"/>
      <c r="IK41" s="122">
        <f>IJ41*100/$E$41</f>
        <v/>
      </c>
      <c r="IL41" s="108" t="n"/>
      <c r="IM41" s="107">
        <f>IL41*100/$E$41</f>
        <v/>
      </c>
      <c r="IN41" s="108" t="n"/>
      <c r="IO41" s="107">
        <f>IN41*100/$E$41</f>
        <v/>
      </c>
      <c r="IP41" s="108" t="n"/>
      <c r="IQ41" s="122">
        <f>IP41*100/$E$41</f>
        <v/>
      </c>
      <c r="IR41" s="108" t="n"/>
      <c r="IS41" s="122">
        <f>IR41*100/$E$41</f>
        <v/>
      </c>
      <c r="IT41" s="108" t="n"/>
      <c r="IU41" s="122">
        <f>IT41*100/$E$41</f>
        <v/>
      </c>
      <c r="IV41" s="108" t="n"/>
      <c r="IW41" s="122">
        <f>IV41*100/$E$41</f>
        <v/>
      </c>
      <c r="IX41" s="108" t="n"/>
      <c r="IY41" s="122">
        <f>IX41*100/$E$41</f>
        <v/>
      </c>
      <c r="IZ41" s="108" t="n"/>
      <c r="JA41" s="122">
        <f>IZ41*100/$E$41</f>
        <v/>
      </c>
      <c r="JB41" s="108" t="n"/>
      <c r="JC41" s="122">
        <f>JB41*100/$E$41</f>
        <v/>
      </c>
      <c r="JD41" s="108" t="n"/>
      <c r="JE41" s="122">
        <f>JD41*100/$E$41</f>
        <v/>
      </c>
      <c r="JF41" s="133" t="n"/>
      <c r="JG41" s="122">
        <f>JF41*100/$E$41</f>
        <v/>
      </c>
      <c r="JH41" s="108" t="n"/>
      <c r="JI41" s="122">
        <f>JH41*100/$E$41</f>
        <v/>
      </c>
      <c r="JJ41" s="108" t="n"/>
      <c r="JK41" s="122">
        <f>JJ41*100/$E$41</f>
        <v/>
      </c>
      <c r="JL41" s="108" t="n"/>
      <c r="JM41" s="122">
        <f>JL41*100/$E$41</f>
        <v/>
      </c>
      <c r="JN41" s="108" t="n">
        <v>10.5</v>
      </c>
      <c r="JO41" s="121">
        <f>JN41*100/$E$41</f>
        <v/>
      </c>
      <c r="JP41" s="108" t="n">
        <v>3</v>
      </c>
      <c r="JQ41" s="121">
        <f>JP41*100/$E$41</f>
        <v/>
      </c>
      <c r="JR41" s="108" t="n"/>
      <c r="JS41" s="121">
        <f>JR41*100/$E$41</f>
        <v/>
      </c>
      <c r="JT41" s="108" t="n"/>
      <c r="JU41" s="121">
        <f>JT41*100/$E$41</f>
        <v/>
      </c>
      <c r="JV41" s="108" t="n"/>
      <c r="JW41" s="121">
        <f>JV41*100/$E$41</f>
        <v/>
      </c>
      <c r="JX41" s="108" t="n"/>
      <c r="JY41" s="121">
        <f>JX41*100/$E$41</f>
        <v/>
      </c>
      <c r="JZ41" s="55">
        <f>JN41+JP41+JR41+JT41+JV41+JX41</f>
        <v/>
      </c>
      <c r="KA41" s="53">
        <f>JO41+JQ41+JS41+JU41+JW41+JY41</f>
        <v/>
      </c>
      <c r="KB41" s="185">
        <f>H41+J41+L41+N41+P41+R41+T41+V41+X41+Z41+AB41+AD41+AF41+AH41+AJ41+AL41+AN41+AP41+AR41+AT41+AV41+AX41+AZ41+BB41+BD41+BF41+BH41+BJ41+BL41+BN41+BP41+BR41+BT41+BV41+BX41+BZ41+CB41+CD41+CF41+CH41+CZ41+DB41+DD41+DF41+DH41+DJ41+DL41+DN41+DP41+DR41+DT41+DV41+DX41+DZ41+EB41+ED41+EF41+EH41+EJ41+EL41+EN41+EP41+ER41+ET41+EV41+FN41+FP41+FR41+FT41+FV41+FX41+FZ41+GB41+GD41+GF41+GH41+GJ41+GL41+GN41+GP41+GR41+GT41+GV41+GX41+GZ41+HB41+HD41+HF41+HH41+HJ41+HL41+HN41+HP41+HR41+HT41+HV41+HX41+HZ41+IB41+ID41+IF41+IH41+IJ41+IL41+IN41+IP41+IR41+IT41+IV41+IX41+IZ41+JB41+JD41+JF41+JH41+JJ41+JL41+JZ41+CJ41+CL41+CN41+CP41+CR41+CT41+CV41+CX41+EX41+EZ41+FB41+FD41+FF41+FH41+FJ41+FL41</f>
        <v/>
      </c>
      <c r="KC41" s="66">
        <f>I41+K41+M41+O41+Q41+S41+U41+W41+Y41+AA41+AC41+AE41+AG41+AI41+AK41+AM41+AO41+AQ41+AS41+AU41+AW41+AY41+BA41+BC41+BE41+BG41+BI41+BK41+BM41+BO41+BQ41+BS41+BU41+BW41+BY41+CA41+CC41+CE41+CG41+CI41+DA41+DC41+DE41+DG41+DI41+DK41+DM41+DO41+DQ41+DS41+DU41+DW41+DY41+EA41+EC41+EE41+EG41+EI41+EK41+EM41+EO41+EQ41+ES41+EU41+EW41+FO41+FS41+FU41+FW41+FQ41+FY41+GA41+GC41+GE41+GG41+GI41+GK41+GM41+GO41+GQ41+GS41+GU41+GW41+GY41+HA41+HC41+HE41+HG41+HI41+HK41+HM41+HO41+HQ41+HS41+HU41+HW41+HY41+IA41+IC41+IE41+IG41+II41+IK41+IM41+IO41+IQ41+IS41+IU41+IW41+IY41+JA41+JC41+JE41+JG41+JI41+JK41+JM41+KA41+CK41+CM41+CO41+CQ41+CS41+CU41+CW41+CY41+EY41+FA41+FC41+FE41+FG41+FI41+FK41+FM41</f>
        <v/>
      </c>
      <c r="KD41" s="44">
        <f>JO41+JQ41+JS41+JU41+JW41+JY41</f>
        <v/>
      </c>
      <c r="KE41" s="45">
        <f>KB41=E41</f>
        <v/>
      </c>
      <c r="KF41" s="101">
        <f>E41-KB41</f>
        <v/>
      </c>
      <c r="KG41" s="17" t="n"/>
    </row>
    <row r="42" ht="21.75" customFormat="1" customHeight="1" s="215">
      <c r="A42" s="126">
        <f>A41+1</f>
        <v/>
      </c>
      <c r="B42" s="175" t="inlineStr">
        <is>
          <t>Титаев А.А.</t>
        </is>
      </c>
      <c r="C42" s="176" t="inlineStr">
        <is>
          <t>слесарь МСР</t>
        </is>
      </c>
      <c r="D42" s="177">
        <f>$D$5</f>
        <v/>
      </c>
      <c r="E42" s="202" t="n">
        <v>128</v>
      </c>
      <c r="F42" s="191" t="n">
        <v>55770</v>
      </c>
      <c r="G42" s="179">
        <f>F42/D42</f>
        <v/>
      </c>
      <c r="H42" s="180">
        <f>8+8+8+8+8+8+8</f>
        <v/>
      </c>
      <c r="I42" s="140">
        <f>H42*100/$E$42</f>
        <v/>
      </c>
      <c r="J42" s="133" t="n">
        <v>4</v>
      </c>
      <c r="K42" s="140">
        <f>J42*100/$E$42</f>
        <v/>
      </c>
      <c r="L42" s="133" t="n"/>
      <c r="M42" s="140">
        <f>L42*100/$E$42</f>
        <v/>
      </c>
      <c r="N42" s="133" t="n"/>
      <c r="O42" s="140">
        <f>N42*100/$E$42</f>
        <v/>
      </c>
      <c r="P42" s="133" t="n"/>
      <c r="Q42" s="139">
        <f>P42*100/$E$42</f>
        <v/>
      </c>
      <c r="R42" s="133" t="n"/>
      <c r="S42" s="139">
        <f>R42*100/$E$42</f>
        <v/>
      </c>
      <c r="T42" s="133" t="n"/>
      <c r="U42" s="140">
        <f>T42*100/$E$42</f>
        <v/>
      </c>
      <c r="V42" s="133" t="n"/>
      <c r="W42" s="140">
        <f>V42*100/$E$42</f>
        <v/>
      </c>
      <c r="X42" s="133" t="n"/>
      <c r="Y42" s="140">
        <f>X42*100/$E$42</f>
        <v/>
      </c>
      <c r="Z42" s="133" t="n"/>
      <c r="AA42" s="140">
        <f>Z42*100/$E$42</f>
        <v/>
      </c>
      <c r="AB42" s="133" t="n"/>
      <c r="AC42" s="140">
        <f>AB42*100/$E$42</f>
        <v/>
      </c>
      <c r="AD42" s="133" t="n"/>
      <c r="AE42" s="139">
        <f>AD42*100/$E$42</f>
        <v/>
      </c>
      <c r="AF42" s="133" t="n"/>
      <c r="AG42" s="139">
        <f>AF42*100/$E$42</f>
        <v/>
      </c>
      <c r="AH42" s="133" t="n"/>
      <c r="AI42" s="140">
        <f>AH42*100/$E$42</f>
        <v/>
      </c>
      <c r="AJ42" s="133" t="n"/>
      <c r="AK42" s="140">
        <f>AJ42*100/$E$42</f>
        <v/>
      </c>
      <c r="AL42" s="133" t="n"/>
      <c r="AM42" s="140">
        <f>AL42*100/$E$42</f>
        <v/>
      </c>
      <c r="AN42" s="133">
        <f>2+4</f>
        <v/>
      </c>
      <c r="AO42" s="140">
        <f>AN42*100/$E$42</f>
        <v/>
      </c>
      <c r="AP42" s="133" t="n"/>
      <c r="AQ42" s="140">
        <f>AP42*100/$E$42</f>
        <v/>
      </c>
      <c r="AR42" s="133" t="n"/>
      <c r="AS42" s="140">
        <f>AR42*100/$E$42</f>
        <v/>
      </c>
      <c r="AT42" s="133" t="n"/>
      <c r="AU42" s="181">
        <f>AT42*100/$E$42</f>
        <v/>
      </c>
      <c r="AV42" s="133" t="n"/>
      <c r="AW42" s="140">
        <f>AV42*100/$E$42</f>
        <v/>
      </c>
      <c r="AX42" s="133" t="n"/>
      <c r="AY42" s="140">
        <f>AX42*100/$E$42</f>
        <v/>
      </c>
      <c r="AZ42" s="133" t="n"/>
      <c r="BA42" s="140">
        <f>AZ42*100/$E$42</f>
        <v/>
      </c>
      <c r="BB42" s="133" t="n"/>
      <c r="BC42" s="140">
        <f>BB42*100/$E$42</f>
        <v/>
      </c>
      <c r="BD42" s="133" t="n"/>
      <c r="BE42" s="140">
        <f>BD42*100/$E$42</f>
        <v/>
      </c>
      <c r="BF42" s="133" t="n"/>
      <c r="BG42" s="140">
        <f>BF42*100/$E$42</f>
        <v/>
      </c>
      <c r="BH42" s="133" t="n"/>
      <c r="BI42" s="140">
        <f>BH42*100/$E$42</f>
        <v/>
      </c>
      <c r="BJ42" s="133" t="n">
        <v>4</v>
      </c>
      <c r="BK42" s="140">
        <f>BJ42*100/$E$42</f>
        <v/>
      </c>
      <c r="BL42" s="133" t="n"/>
      <c r="BM42" s="140">
        <f>BL42*100/$E$42</f>
        <v/>
      </c>
      <c r="BN42" s="133" t="n"/>
      <c r="BO42" s="140">
        <f>BN42*100/$E$42</f>
        <v/>
      </c>
      <c r="BP42" s="133" t="n"/>
      <c r="BQ42" s="140">
        <f>BP42*100/$E$42</f>
        <v/>
      </c>
      <c r="BR42" s="133" t="n"/>
      <c r="BS42" s="140">
        <f>BR42*100/$E$42</f>
        <v/>
      </c>
      <c r="BT42" s="133" t="n"/>
      <c r="BU42" s="140">
        <f>BT42*100/$E$42</f>
        <v/>
      </c>
      <c r="BV42" s="133" t="n"/>
      <c r="BW42" s="140">
        <f>BV42*100/$E$42</f>
        <v/>
      </c>
      <c r="BX42" s="133" t="n">
        <v>2</v>
      </c>
      <c r="BY42" s="140">
        <f>BX42*100/$E$42</f>
        <v/>
      </c>
      <c r="BZ42" s="133" t="n">
        <v>4</v>
      </c>
      <c r="CA42" s="140">
        <f>BZ42*100/$E$42</f>
        <v/>
      </c>
      <c r="CB42" s="133" t="n"/>
      <c r="CC42" s="140">
        <f>CB42*100/$E$42</f>
        <v/>
      </c>
      <c r="CD42" s="133" t="n"/>
      <c r="CE42" s="140">
        <f>CD42*100/$E$42</f>
        <v/>
      </c>
      <c r="CF42" s="133" t="n"/>
      <c r="CG42" s="140">
        <f>CF42*100/$E$42</f>
        <v/>
      </c>
      <c r="CH42" s="133" t="n"/>
      <c r="CI42" s="140">
        <f>CH42*100/$E$42</f>
        <v/>
      </c>
      <c r="CJ42" s="133" t="n"/>
      <c r="CK42" s="140">
        <f>CJ42*100/$E$42</f>
        <v/>
      </c>
      <c r="CL42" s="133" t="n"/>
      <c r="CM42" s="140">
        <f>CL42*100/$E$42</f>
        <v/>
      </c>
      <c r="CN42" s="133" t="n">
        <v>8</v>
      </c>
      <c r="CO42" s="139">
        <f>CN42*100/$E$42</f>
        <v/>
      </c>
      <c r="CP42" s="133" t="n"/>
      <c r="CQ42" s="140">
        <f>CP42*100/$E$42</f>
        <v/>
      </c>
      <c r="CR42" s="133" t="n"/>
      <c r="CS42" s="139">
        <f>CR42*100/$E$42</f>
        <v/>
      </c>
      <c r="CT42" s="133" t="n"/>
      <c r="CU42" s="139">
        <f>CT42*100/$E$42</f>
        <v/>
      </c>
      <c r="CV42" s="133" t="n">
        <v>2</v>
      </c>
      <c r="CW42" s="139">
        <f>CV42*100/$E$42</f>
        <v/>
      </c>
      <c r="CX42" s="133" t="n">
        <v>3</v>
      </c>
      <c r="CY42" s="139">
        <f>CX42*100/$E$42</f>
        <v/>
      </c>
      <c r="CZ42" s="133" t="n"/>
      <c r="DA42" s="139">
        <f>CZ42*100/$E$42</f>
        <v/>
      </c>
      <c r="DB42" s="133" t="n"/>
      <c r="DC42" s="139">
        <f>DB42*100/$E$42</f>
        <v/>
      </c>
      <c r="DD42" s="133" t="n"/>
      <c r="DE42" s="139">
        <f>DD42*100/$E$42</f>
        <v/>
      </c>
      <c r="DF42" s="133" t="n">
        <v>8</v>
      </c>
      <c r="DG42" s="139">
        <f>DF42*100/$E$42</f>
        <v/>
      </c>
      <c r="DH42" s="133" t="n"/>
      <c r="DI42" s="139">
        <f>DH42*100/$E$42</f>
        <v/>
      </c>
      <c r="DJ42" s="133" t="n"/>
      <c r="DK42" s="139">
        <f>DJ42*100/$E$42</f>
        <v/>
      </c>
      <c r="DL42" s="133" t="n"/>
      <c r="DM42" s="139">
        <f>DL42*100/$E$42</f>
        <v/>
      </c>
      <c r="DN42" s="133" t="n">
        <v>2</v>
      </c>
      <c r="DO42" s="139">
        <f>DN42*100/$E$42</f>
        <v/>
      </c>
      <c r="DP42" s="133" t="n"/>
      <c r="DQ42" s="139">
        <f>DP42*100/$E$42</f>
        <v/>
      </c>
      <c r="DR42" s="133" t="n"/>
      <c r="DS42" s="139">
        <f>DR42*100/$E$42</f>
        <v/>
      </c>
      <c r="DT42" s="133" t="n"/>
      <c r="DU42" s="139">
        <f>DT42*100/$E$42</f>
        <v/>
      </c>
      <c r="DV42" s="133" t="n"/>
      <c r="DW42" s="139">
        <f>DV42*100/$E$42</f>
        <v/>
      </c>
      <c r="DX42" s="133" t="n"/>
      <c r="DY42" s="139">
        <f>DX42*100/$E$42</f>
        <v/>
      </c>
      <c r="DZ42" s="133" t="n"/>
      <c r="EA42" s="139">
        <f>DZ42*100/$E$42</f>
        <v/>
      </c>
      <c r="EB42" s="133" t="n"/>
      <c r="EC42" s="139">
        <f>EB42*100/$E$42</f>
        <v/>
      </c>
      <c r="ED42" s="133" t="n"/>
      <c r="EE42" s="139">
        <f>ED42*100/$E$42</f>
        <v/>
      </c>
      <c r="EF42" s="133" t="n"/>
      <c r="EG42" s="139">
        <f>EF42*100/$E$42</f>
        <v/>
      </c>
      <c r="EH42" s="133" t="n"/>
      <c r="EI42" s="139">
        <f>EH42*100/$E$42</f>
        <v/>
      </c>
      <c r="EJ42" s="133" t="n"/>
      <c r="EK42" s="139">
        <f>EJ42*100/$E$42</f>
        <v/>
      </c>
      <c r="EL42" s="133" t="n"/>
      <c r="EM42" s="139">
        <f>EL42*100/$E$42</f>
        <v/>
      </c>
      <c r="EN42" s="133" t="n">
        <v>4</v>
      </c>
      <c r="EO42" s="139">
        <f>EN42*100/$E$42</f>
        <v/>
      </c>
      <c r="EP42" s="133" t="n"/>
      <c r="EQ42" s="139">
        <f>EP42*100/$E$42</f>
        <v/>
      </c>
      <c r="ER42" s="133" t="n"/>
      <c r="ES42" s="139">
        <f>ER42*100/$E$42</f>
        <v/>
      </c>
      <c r="ET42" s="133" t="n"/>
      <c r="EU42" s="139">
        <f>ET42*100/$E$42</f>
        <v/>
      </c>
      <c r="EV42" s="133" t="n"/>
      <c r="EW42" s="139">
        <f>EV42*100/$E$42</f>
        <v/>
      </c>
      <c r="EX42" s="133" t="n">
        <v>4</v>
      </c>
      <c r="EY42" s="139">
        <f>EX42*100/$E$42</f>
        <v/>
      </c>
      <c r="EZ42" s="133" t="n"/>
      <c r="FA42" s="139">
        <f>EZ42*100/$E$42</f>
        <v/>
      </c>
      <c r="FB42" s="133" t="n">
        <v>1</v>
      </c>
      <c r="FC42" s="139">
        <f>FB42*100/$E$42</f>
        <v/>
      </c>
      <c r="FD42" s="133" t="n">
        <v>1</v>
      </c>
      <c r="FE42" s="139">
        <f>FD42*100/$E$42</f>
        <v/>
      </c>
      <c r="FF42" s="133" t="n">
        <v>4</v>
      </c>
      <c r="FG42" s="139">
        <f>FF42*100/$E$42</f>
        <v/>
      </c>
      <c r="FH42" s="133" t="n">
        <v>2</v>
      </c>
      <c r="FI42" s="139">
        <f>FH42*100/$E$42</f>
        <v/>
      </c>
      <c r="FJ42" s="133" t="n"/>
      <c r="FK42" s="139">
        <f>FJ42*100/$E$42</f>
        <v/>
      </c>
      <c r="FL42" s="133" t="n">
        <v>1</v>
      </c>
      <c r="FM42" s="139">
        <f>FL42*100/$E$42</f>
        <v/>
      </c>
      <c r="FN42" s="133" t="n">
        <v>4</v>
      </c>
      <c r="FO42" s="139">
        <f>FN42*100/$E$42</f>
        <v/>
      </c>
      <c r="FP42" s="133" t="n"/>
      <c r="FQ42" s="139">
        <f>FP42*100/$E$42</f>
        <v/>
      </c>
      <c r="FR42" s="133" t="n"/>
      <c r="FS42" s="139">
        <f>FR42*100/$E$42</f>
        <v/>
      </c>
      <c r="FT42" s="133" t="n"/>
      <c r="FU42" s="139">
        <f>FT42*100/$E$42</f>
        <v/>
      </c>
      <c r="FV42" s="133" t="n"/>
      <c r="FW42" s="139">
        <f>FV42*100/$E$42</f>
        <v/>
      </c>
      <c r="FX42" s="133" t="n"/>
      <c r="FY42" s="140">
        <f>FX42*100/$E$42</f>
        <v/>
      </c>
      <c r="FZ42" s="133" t="n"/>
      <c r="GA42" s="140">
        <f>FZ42*100/$E$42</f>
        <v/>
      </c>
      <c r="GB42" s="133" t="n"/>
      <c r="GC42" s="140">
        <f>GB42*100/$E$42</f>
        <v/>
      </c>
      <c r="GD42" s="133" t="n"/>
      <c r="GE42" s="140">
        <f>GD42*100/$E$42</f>
        <v/>
      </c>
      <c r="GF42" s="133" t="n"/>
      <c r="GG42" s="140">
        <f>GF42*100/$E$42</f>
        <v/>
      </c>
      <c r="GH42" s="133" t="n"/>
      <c r="GI42" s="140">
        <f>GH42*100/$E$42</f>
        <v/>
      </c>
      <c r="GJ42" s="133" t="n"/>
      <c r="GK42" s="139">
        <f>GJ42*100/$E$42</f>
        <v/>
      </c>
      <c r="GL42" s="133" t="n"/>
      <c r="GM42" s="140">
        <f>GL42*100/$E$42</f>
        <v/>
      </c>
      <c r="GN42" s="133" t="n"/>
      <c r="GO42" s="139">
        <f>GN42*100/$E$42</f>
        <v/>
      </c>
      <c r="GP42" s="133" t="n"/>
      <c r="GQ42" s="140">
        <f>GP42*100/$E$42</f>
        <v/>
      </c>
      <c r="GR42" s="133" t="n"/>
      <c r="GS42" s="139">
        <f>GR42*100/$E$42</f>
        <v/>
      </c>
      <c r="GT42" s="133" t="n"/>
      <c r="GU42" s="139">
        <f>GT42*100/$E$42</f>
        <v/>
      </c>
      <c r="GV42" s="133" t="n"/>
      <c r="GW42" s="139">
        <f>GV42*100/$E$42</f>
        <v/>
      </c>
      <c r="GX42" s="133" t="n"/>
      <c r="GY42" s="140">
        <f>GX42*100/$E$42</f>
        <v/>
      </c>
      <c r="GZ42" s="133" t="n"/>
      <c r="HA42" s="140">
        <f>GZ42*100/$E$42</f>
        <v/>
      </c>
      <c r="HB42" s="133" t="n"/>
      <c r="HC42" s="140">
        <f>HB42*100/$E$42</f>
        <v/>
      </c>
      <c r="HD42" s="133" t="n"/>
      <c r="HE42" s="140">
        <f>HD42*100/$E$42</f>
        <v/>
      </c>
      <c r="HF42" s="133" t="n"/>
      <c r="HG42" s="140">
        <f>HF42*100/$E$42</f>
        <v/>
      </c>
      <c r="HH42" s="133" t="n"/>
      <c r="HI42" s="140">
        <f>HH42*100/$E$42</f>
        <v/>
      </c>
      <c r="HJ42" s="133" t="n"/>
      <c r="HK42" s="140">
        <f>HJ42*100/$E$42</f>
        <v/>
      </c>
      <c r="HL42" s="133" t="n"/>
      <c r="HM42" s="140">
        <f>HL42*100/$E$42</f>
        <v/>
      </c>
      <c r="HN42" s="133" t="n"/>
      <c r="HO42" s="140">
        <f>HN42*100/$E$42</f>
        <v/>
      </c>
      <c r="HP42" s="133" t="n"/>
      <c r="HQ42" s="140">
        <f>HP42*100/$E$42</f>
        <v/>
      </c>
      <c r="HR42" s="133" t="n"/>
      <c r="HS42" s="140">
        <f>HR42*100/$E$42</f>
        <v/>
      </c>
      <c r="HT42" s="133" t="n"/>
      <c r="HU42" s="140">
        <f>HT42*100/$E$42</f>
        <v/>
      </c>
      <c r="HV42" s="133" t="n"/>
      <c r="HW42" s="140">
        <f>HV42*100/$E$42</f>
        <v/>
      </c>
      <c r="HX42" s="133" t="n"/>
      <c r="HY42" s="140">
        <f>HX42*100/$E$42</f>
        <v/>
      </c>
      <c r="HZ42" s="133" t="n"/>
      <c r="IA42" s="139">
        <f>HZ42*100/$E$42</f>
        <v/>
      </c>
      <c r="IB42" s="133" t="n"/>
      <c r="IC42" s="139">
        <f>IB42*100/$E$42</f>
        <v/>
      </c>
      <c r="ID42" s="133" t="n"/>
      <c r="IE42" s="139">
        <f>ID42*100/$E$42</f>
        <v/>
      </c>
      <c r="IF42" s="133" t="n"/>
      <c r="IG42" s="139">
        <f>IF42*100/$E$42</f>
        <v/>
      </c>
      <c r="IH42" s="133" t="n"/>
      <c r="II42" s="139">
        <f>IH42*100/$E$42</f>
        <v/>
      </c>
      <c r="IJ42" s="133" t="n"/>
      <c r="IK42" s="139">
        <f>IJ42*100/$E$42</f>
        <v/>
      </c>
      <c r="IL42" s="133" t="n"/>
      <c r="IM42" s="140">
        <f>IL42*100/$E$42</f>
        <v/>
      </c>
      <c r="IN42" s="133" t="n"/>
      <c r="IO42" s="140">
        <f>IN42*100/$E$42</f>
        <v/>
      </c>
      <c r="IP42" s="133" t="n"/>
      <c r="IQ42" s="139">
        <f>IP42*100/$E$42</f>
        <v/>
      </c>
      <c r="IR42" s="133">
        <f>4</f>
        <v/>
      </c>
      <c r="IS42" s="139">
        <f>IR42*100/$E$42</f>
        <v/>
      </c>
      <c r="IT42" s="133" t="n"/>
      <c r="IU42" s="139">
        <f>IT42*100/$E$42</f>
        <v/>
      </c>
      <c r="IV42" s="133" t="n"/>
      <c r="IW42" s="139">
        <f>IV42*100/$E$42</f>
        <v/>
      </c>
      <c r="IX42" s="133" t="n"/>
      <c r="IY42" s="139">
        <f>IX42*100/$E$42</f>
        <v/>
      </c>
      <c r="IZ42" s="133" t="n"/>
      <c r="JA42" s="139">
        <f>IZ42*100/$E$42</f>
        <v/>
      </c>
      <c r="JB42" s="133" t="n"/>
      <c r="JC42" s="139">
        <f>JB42*100/$E$42</f>
        <v/>
      </c>
      <c r="JD42" s="133" t="n"/>
      <c r="JE42" s="139">
        <f>JD42*100/$E$42</f>
        <v/>
      </c>
      <c r="JF42" s="133" t="n"/>
      <c r="JG42" s="139">
        <f>JF42*100/$E$42</f>
        <v/>
      </c>
      <c r="JH42" s="133" t="n"/>
      <c r="JI42" s="139">
        <f>JH42*100/$E$42</f>
        <v/>
      </c>
      <c r="JJ42" s="133" t="n"/>
      <c r="JK42" s="139">
        <f>JJ42*100/$E$42</f>
        <v/>
      </c>
      <c r="JL42" s="133">
        <f>8-4</f>
        <v/>
      </c>
      <c r="JM42" s="139">
        <f>JL42*100/$E$42</f>
        <v/>
      </c>
      <c r="JN42" s="133" t="n"/>
      <c r="JO42" s="182">
        <f>JN42*100/$E$42</f>
        <v/>
      </c>
      <c r="JP42" s="133" t="n"/>
      <c r="JQ42" s="182">
        <f>JP42*100/$E$42</f>
        <v/>
      </c>
      <c r="JR42" s="133" t="n"/>
      <c r="JS42" s="182">
        <f>JR42*100/$E$42</f>
        <v/>
      </c>
      <c r="JT42" s="133" t="n"/>
      <c r="JU42" s="182">
        <f>JT42*100/$E$42</f>
        <v/>
      </c>
      <c r="JV42" s="223" t="n"/>
      <c r="JW42" s="182">
        <f>JV42*100/$E$42</f>
        <v/>
      </c>
      <c r="JX42" s="223" t="n"/>
      <c r="JY42" s="182">
        <f>JX42*100/$E$42</f>
        <v/>
      </c>
      <c r="JZ42" s="183">
        <f>JN42+JP42+JR42+JT42+JV42+JX42</f>
        <v/>
      </c>
      <c r="KA42" s="184">
        <f>JO42+JQ42+JS42+JU42+JW42+JY42</f>
        <v/>
      </c>
      <c r="KB42" s="185">
        <f>H42+J42+L42+N42+P42+R42+T42+V42+X42+Z42+AB42+AD42+AF42+AH42+AJ42+AL42+AN42+AP42+AR42+AT42+AV42+AX42+AZ42+BB42+BD42+BF42+BH42+BJ42+BL42+BN42+BP42+BR42+BT42+BV42+BX42+BZ42+CB42+CD42+CF42+CH42+CZ42+DB42+DD42+DF42+DH42+DJ42+DL42+DN42+DP42+DR42+DT42+DV42+DX42+DZ42+EB42+ED42+EF42+EH42+EJ42+EL42+EN42+EP42+ER42+ET42+EV42+FN42+FP42+FR42+FT42+FV42+FX42+FZ42+GB42+GD42+GF42+GH42+GJ42+GL42+GN42+GP42+GR42+GT42+GV42+GX42+GZ42+HB42+HD42+HF42+HH42+HJ42+HL42+HN42+HP42+HR42+HT42+HV42+HX42+HZ42+IB42+ID42+IF42+IH42+IJ42+IL42+IN42+IP42+IR42+IT42+IV42+IX42+IZ42+JB42+JD42+JF42+JH42+JJ42+JL42+JZ42+CJ42+CL42+CN42+CP42+CR42+CT42+CV42+CX42+EX42+EZ42+FB42+FD42+FF42+FH42+FJ42+FL42</f>
        <v/>
      </c>
      <c r="KC42" s="186">
        <f>I42+K42+M42+O42+Q42+S42+U42+W42+Y42+AA42+AC42+AE42+AG42+AI42+AK42+AM42+AO42+AQ42+AS42+AU42+AW42+AY42+BA42+BC42+BE42+BG42+BI42+BK42+BM42+BO42+BQ42+BS42+BU42+BW42+BY42+CA42+CC42+CE42+CG42+CI42+DA42+DC42+DE42+DG42+DI42+DK42+DM42+DO42+DQ42+DS42+DU42+DW42+DY42+EA42+EC42+EE42+EG42+EI42+EK42+EM42+EO42+EQ42+ES42+EU42+EW42+FO42+FS42+FU42+FW42+FQ42+FY42+GA42+GC42+GE42+GG42+GI42+GK42+GM42+GO42+GQ42+GS42+GU42+GW42+GY42+HA42+HC42+HE42+HG42+HI42+HK42+HM42+HO42+HQ42+HS42+HU42+HW42+HY42+IA42+IC42+IE42+IG42+II42+IK42+IM42+IO42+IQ42+IS42+IU42+IW42+IY42+JA42+JC42+JE42+JG42+JI42+JK42+JM42+KA42+CK42+CM42+CO42+CQ42+CS42+CU42+CW42+CY42+EY42+FA42+FC42+FE42+FG42+FI42+FK42+FM42</f>
        <v/>
      </c>
      <c r="KD42" s="187">
        <f>JO42+JQ42+JS42+JU42+JW42+JY42</f>
        <v/>
      </c>
      <c r="KE42" s="188">
        <f>KB42=E42</f>
        <v/>
      </c>
      <c r="KF42" s="189">
        <f>E42-KB42</f>
        <v/>
      </c>
      <c r="KG42" s="210" t="n"/>
    </row>
    <row r="43" ht="21.75" customFormat="1" customHeight="1" s="210">
      <c r="A43" s="126">
        <f>A42+1</f>
        <v/>
      </c>
      <c r="B43" s="175" t="inlineStr">
        <is>
          <t>Токарев Н. С.</t>
        </is>
      </c>
      <c r="C43" s="176" t="inlineStr">
        <is>
          <t>фрезеровщик</t>
        </is>
      </c>
      <c r="D43" s="177">
        <f>$D$5</f>
        <v/>
      </c>
      <c r="E43" s="202" t="n">
        <v>192</v>
      </c>
      <c r="F43" s="191" t="n">
        <v>101149.88</v>
      </c>
      <c r="G43" s="179">
        <f>F43/D43</f>
        <v/>
      </c>
      <c r="H43" s="180" t="n"/>
      <c r="I43" s="140">
        <f>H43*100/$E$43</f>
        <v/>
      </c>
      <c r="J43" s="133" t="n"/>
      <c r="K43" s="140">
        <f>J43*100/$E$43</f>
        <v/>
      </c>
      <c r="L43" s="133" t="n"/>
      <c r="M43" s="140">
        <f>L43*100/$E$43</f>
        <v/>
      </c>
      <c r="N43" s="133" t="n"/>
      <c r="O43" s="140">
        <f>N43*100/$E$43</f>
        <v/>
      </c>
      <c r="P43" s="133" t="n"/>
      <c r="Q43" s="139">
        <f>P43*100/$E$43</f>
        <v/>
      </c>
      <c r="R43" s="133" t="n"/>
      <c r="S43" s="139">
        <f>R43*100/$E$43</f>
        <v/>
      </c>
      <c r="T43" s="133" t="n"/>
      <c r="U43" s="140">
        <f>T43*100/$E$43</f>
        <v/>
      </c>
      <c r="V43" s="133" t="n"/>
      <c r="W43" s="140">
        <f>V43*100/$E$43</f>
        <v/>
      </c>
      <c r="X43" s="133" t="n"/>
      <c r="Y43" s="140">
        <f>X43*100/$E$43</f>
        <v/>
      </c>
      <c r="Z43" s="133" t="n"/>
      <c r="AA43" s="140">
        <f>Z43*100/$E$43</f>
        <v/>
      </c>
      <c r="AB43" s="133" t="n"/>
      <c r="AC43" s="140">
        <f>AB43*100/$E$43</f>
        <v/>
      </c>
      <c r="AD43" s="133" t="n"/>
      <c r="AE43" s="139">
        <f>AD43*100/$E$43</f>
        <v/>
      </c>
      <c r="AF43" s="133" t="n"/>
      <c r="AG43" s="139">
        <f>AF43*100/$E$43</f>
        <v/>
      </c>
      <c r="AH43" s="133" t="n"/>
      <c r="AI43" s="140">
        <f>AH43*100/$E$43</f>
        <v/>
      </c>
      <c r="AJ43" s="133" t="n"/>
      <c r="AK43" s="140">
        <f>AJ43*100/$E$43</f>
        <v/>
      </c>
      <c r="AL43" s="133" t="n"/>
      <c r="AM43" s="140">
        <f>AL43*100/$E$43</f>
        <v/>
      </c>
      <c r="AN43" s="133" t="n"/>
      <c r="AO43" s="140">
        <f>AN43*100/$E$43</f>
        <v/>
      </c>
      <c r="AP43" s="133" t="n"/>
      <c r="AQ43" s="140">
        <f>AP43*100/$E$43</f>
        <v/>
      </c>
      <c r="AR43" s="133" t="n"/>
      <c r="AS43" s="140">
        <f>AR43*100/$E$43</f>
        <v/>
      </c>
      <c r="AT43" s="133" t="n"/>
      <c r="AU43" s="181">
        <f>AT43*100/$E$43</f>
        <v/>
      </c>
      <c r="AV43" s="133" t="n"/>
      <c r="AW43" s="140">
        <f>AV43*100/$E$43</f>
        <v/>
      </c>
      <c r="AX43" s="133">
        <f>12+12</f>
        <v/>
      </c>
      <c r="AY43" s="140">
        <f>AX43*100/$E$43</f>
        <v/>
      </c>
      <c r="AZ43" s="133" t="n"/>
      <c r="BA43" s="140">
        <f>AZ43*100/$E$43</f>
        <v/>
      </c>
      <c r="BB43" s="133" t="n"/>
      <c r="BC43" s="140">
        <f>BB43*100/$E$43</f>
        <v/>
      </c>
      <c r="BD43" s="133" t="n"/>
      <c r="BE43" s="140">
        <f>BD43*100/$E$43</f>
        <v/>
      </c>
      <c r="BF43" s="133" t="n"/>
      <c r="BG43" s="140">
        <f>BF43*100/$E$43</f>
        <v/>
      </c>
      <c r="BH43" s="133" t="n"/>
      <c r="BI43" s="140">
        <f>BH43*100/$E$43</f>
        <v/>
      </c>
      <c r="BJ43" s="133" t="n"/>
      <c r="BK43" s="140">
        <f>BJ43*100/$E$43</f>
        <v/>
      </c>
      <c r="BL43" s="133">
        <f>12+4</f>
        <v/>
      </c>
      <c r="BM43" s="140">
        <f>BL43*100/$E$43</f>
        <v/>
      </c>
      <c r="BN43" s="133" t="n"/>
      <c r="BO43" s="140">
        <f>BN43*100/$E$43</f>
        <v/>
      </c>
      <c r="BP43" s="133" t="n"/>
      <c r="BQ43" s="140">
        <f>BP43*100/$E$43</f>
        <v/>
      </c>
      <c r="BR43" s="133" t="n"/>
      <c r="BS43" s="140">
        <f>BR43*100/$E$43</f>
        <v/>
      </c>
      <c r="BT43" s="133" t="n"/>
      <c r="BU43" s="140">
        <f>BT43*100/$E$43</f>
        <v/>
      </c>
      <c r="BV43" s="133" t="n"/>
      <c r="BW43" s="140">
        <f>BV43*100/$E$43</f>
        <v/>
      </c>
      <c r="BX43" s="133" t="n"/>
      <c r="BY43" s="140">
        <f>BX43*100/$E$43</f>
        <v/>
      </c>
      <c r="BZ43" s="133" t="n"/>
      <c r="CA43" s="140">
        <f>BZ43*100/$E$43</f>
        <v/>
      </c>
      <c r="CB43" s="133" t="n"/>
      <c r="CC43" s="140">
        <f>CB43*100/$E$43</f>
        <v/>
      </c>
      <c r="CD43" s="133" t="n"/>
      <c r="CE43" s="140">
        <f>CD43*100/$E$43</f>
        <v/>
      </c>
      <c r="CF43" s="133" t="n"/>
      <c r="CG43" s="140">
        <f>CF43*100/$E$43</f>
        <v/>
      </c>
      <c r="CH43" s="133" t="n"/>
      <c r="CI43" s="140">
        <f>CH43*100/$E$43</f>
        <v/>
      </c>
      <c r="CJ43" s="133" t="n"/>
      <c r="CK43" s="140">
        <f>CJ43*100/$E$43</f>
        <v/>
      </c>
      <c r="CL43" s="133" t="n"/>
      <c r="CM43" s="140">
        <f>CL43*100/$E$43</f>
        <v/>
      </c>
      <c r="CN43" s="133">
        <f>12+12</f>
        <v/>
      </c>
      <c r="CO43" s="139">
        <f>CN43*100/$E$43</f>
        <v/>
      </c>
      <c r="CP43" s="133" t="n"/>
      <c r="CQ43" s="140">
        <f>CP43*100/$E$43</f>
        <v/>
      </c>
      <c r="CR43" s="133" t="n"/>
      <c r="CS43" s="139">
        <f>CR43*100/$E$43</f>
        <v/>
      </c>
      <c r="CT43" s="133" t="n"/>
      <c r="CU43" s="139">
        <f>CT43*100/$E$43</f>
        <v/>
      </c>
      <c r="CV43" s="133" t="n"/>
      <c r="CW43" s="139">
        <f>CV43*100/$E$43</f>
        <v/>
      </c>
      <c r="CX43" s="133" t="n"/>
      <c r="CY43" s="139">
        <f>CX43*100/$E$43</f>
        <v/>
      </c>
      <c r="CZ43" s="133" t="n"/>
      <c r="DA43" s="139">
        <f>CZ43*100/$E$43</f>
        <v/>
      </c>
      <c r="DB43" s="133" t="n"/>
      <c r="DC43" s="139">
        <f>DB43*100/$E$43</f>
        <v/>
      </c>
      <c r="DD43" s="133" t="n"/>
      <c r="DE43" s="139">
        <f>DD43*100/$E$43</f>
        <v/>
      </c>
      <c r="DF43" s="133" t="n"/>
      <c r="DG43" s="139">
        <f>DF43*100/$E$43</f>
        <v/>
      </c>
      <c r="DH43" s="133" t="n"/>
      <c r="DI43" s="139">
        <f>DH43*100/$E$43</f>
        <v/>
      </c>
      <c r="DJ43" s="133">
        <f>8+4+12+12+12</f>
        <v/>
      </c>
      <c r="DK43" s="139">
        <f>DJ43*100/$E$43</f>
        <v/>
      </c>
      <c r="DL43" s="133">
        <f>12+8+8+8</f>
        <v/>
      </c>
      <c r="DM43" s="139">
        <f>DL43*100/$E$43</f>
        <v/>
      </c>
      <c r="DN43" s="133" t="n"/>
      <c r="DO43" s="139">
        <f>DN43*100/$E$43</f>
        <v/>
      </c>
      <c r="DP43" s="133" t="n"/>
      <c r="DQ43" s="139">
        <f>DP43*100/$E$43</f>
        <v/>
      </c>
      <c r="DR43" s="133" t="n"/>
      <c r="DS43" s="139">
        <f>DR43*100/$E$43</f>
        <v/>
      </c>
      <c r="DT43" s="133" t="n"/>
      <c r="DU43" s="139">
        <f>DT43*100/$E$43</f>
        <v/>
      </c>
      <c r="DV43" s="133" t="n"/>
      <c r="DW43" s="139">
        <f>DV43*100/$E$43</f>
        <v/>
      </c>
      <c r="DX43" s="133" t="n"/>
      <c r="DY43" s="139">
        <f>DX43*100/$E$43</f>
        <v/>
      </c>
      <c r="DZ43" s="133" t="n"/>
      <c r="EA43" s="139">
        <f>DZ43*100/$E$43</f>
        <v/>
      </c>
      <c r="EB43" s="133" t="n"/>
      <c r="EC43" s="139">
        <f>EB43*100/$E$43</f>
        <v/>
      </c>
      <c r="ED43" s="133" t="n"/>
      <c r="EE43" s="139">
        <f>ED43*100/$E$43</f>
        <v/>
      </c>
      <c r="EF43" s="133" t="n"/>
      <c r="EG43" s="139">
        <f>EF43*100/$E$43</f>
        <v/>
      </c>
      <c r="EH43" s="133" t="n"/>
      <c r="EI43" s="139">
        <f>EH43*100/$E$43</f>
        <v/>
      </c>
      <c r="EJ43" s="133" t="n">
        <v>2</v>
      </c>
      <c r="EK43" s="139">
        <f>EJ43*100/$E$43</f>
        <v/>
      </c>
      <c r="EL43" s="133" t="n"/>
      <c r="EM43" s="139">
        <f>EL43*100/$E$43</f>
        <v/>
      </c>
      <c r="EN43" s="133" t="n"/>
      <c r="EO43" s="139">
        <f>EN43*100/$E$43</f>
        <v/>
      </c>
      <c r="EP43" s="133" t="n"/>
      <c r="EQ43" s="139">
        <f>EP43*100/$E$43</f>
        <v/>
      </c>
      <c r="ER43" s="133" t="n">
        <v>2</v>
      </c>
      <c r="ES43" s="139">
        <f>ER43*100/$E$43</f>
        <v/>
      </c>
      <c r="ET43" s="133">
        <f>12+12</f>
        <v/>
      </c>
      <c r="EU43" s="139">
        <f>ET43*100/$E$43</f>
        <v/>
      </c>
      <c r="EV43" s="133">
        <f>4+4+4+4</f>
        <v/>
      </c>
      <c r="EW43" s="139">
        <f>EV43*100/$E$43</f>
        <v/>
      </c>
      <c r="EX43" s="133" t="n"/>
      <c r="EY43" s="139">
        <f>EX43*100/$E$43</f>
        <v/>
      </c>
      <c r="EZ43" s="133" t="n"/>
      <c r="FA43" s="139">
        <f>EZ43*100/$E$43</f>
        <v/>
      </c>
      <c r="FB43" s="133" t="n"/>
      <c r="FC43" s="139">
        <f>FB43*100/$E$43</f>
        <v/>
      </c>
      <c r="FD43" s="133" t="n"/>
      <c r="FE43" s="139">
        <f>FD43*100/$E$43</f>
        <v/>
      </c>
      <c r="FF43" s="133" t="n"/>
      <c r="FG43" s="139">
        <f>FF43*100/$E$43</f>
        <v/>
      </c>
      <c r="FH43" s="133" t="n"/>
      <c r="FI43" s="139">
        <f>FH43*100/$E$43</f>
        <v/>
      </c>
      <c r="FJ43" s="133" t="n"/>
      <c r="FK43" s="139">
        <f>FJ43*100/$E$43</f>
        <v/>
      </c>
      <c r="FL43" s="133" t="n"/>
      <c r="FM43" s="139">
        <f>FL43*100/$E$43</f>
        <v/>
      </c>
      <c r="FN43" s="133" t="n"/>
      <c r="FO43" s="139">
        <f>FN43*100/$E$43</f>
        <v/>
      </c>
      <c r="FP43" s="133" t="n"/>
      <c r="FQ43" s="139">
        <f>FP43*100/$E$43</f>
        <v/>
      </c>
      <c r="FR43" s="133" t="n"/>
      <c r="FS43" s="139">
        <f>FR43*100/$E$43</f>
        <v/>
      </c>
      <c r="FT43" s="133" t="n"/>
      <c r="FU43" s="139">
        <f>FT43*100/$E$43</f>
        <v/>
      </c>
      <c r="FV43" s="133" t="n"/>
      <c r="FW43" s="139">
        <f>FV43*100/$E$43</f>
        <v/>
      </c>
      <c r="FX43" s="133" t="n"/>
      <c r="FY43" s="140">
        <f>FX43*100/$E$43</f>
        <v/>
      </c>
      <c r="FZ43" s="133" t="n"/>
      <c r="GA43" s="140">
        <f>FZ43*100/$E$43</f>
        <v/>
      </c>
      <c r="GB43" s="133" t="n"/>
      <c r="GC43" s="140">
        <f>GB43*100/$E$43</f>
        <v/>
      </c>
      <c r="GD43" s="133" t="n"/>
      <c r="GE43" s="140">
        <f>GD43*100/$E$43</f>
        <v/>
      </c>
      <c r="GF43" s="133" t="n"/>
      <c r="GG43" s="140">
        <f>GF43*100/$E$43</f>
        <v/>
      </c>
      <c r="GH43" s="133" t="n"/>
      <c r="GI43" s="140">
        <f>GH43*100/$E$43</f>
        <v/>
      </c>
      <c r="GJ43" s="133" t="n"/>
      <c r="GK43" s="139">
        <f>GJ43*100/$E$43</f>
        <v/>
      </c>
      <c r="GL43" s="133" t="n"/>
      <c r="GM43" s="140">
        <f>GL43*100/$E$43</f>
        <v/>
      </c>
      <c r="GN43" s="133" t="n"/>
      <c r="GO43" s="139">
        <f>GN43*100/$E$43</f>
        <v/>
      </c>
      <c r="GP43" s="133" t="n"/>
      <c r="GQ43" s="140">
        <f>GP43*100/$E$43</f>
        <v/>
      </c>
      <c r="GR43" s="133" t="n"/>
      <c r="GS43" s="139">
        <f>GR43*100/$E$43</f>
        <v/>
      </c>
      <c r="GT43" s="133" t="n"/>
      <c r="GU43" s="139">
        <f>GT43*100/$E$43</f>
        <v/>
      </c>
      <c r="GV43" s="133" t="n"/>
      <c r="GW43" s="139">
        <f>GV43*100/$E$43</f>
        <v/>
      </c>
      <c r="GX43" s="133" t="n"/>
      <c r="GY43" s="140">
        <f>GX43*100/$E$43</f>
        <v/>
      </c>
      <c r="GZ43" s="133" t="n"/>
      <c r="HA43" s="140">
        <f>GZ43*100/$E$43</f>
        <v/>
      </c>
      <c r="HB43" s="133" t="n"/>
      <c r="HC43" s="140">
        <f>HB43*100/$E$43</f>
        <v/>
      </c>
      <c r="HD43" s="133" t="n"/>
      <c r="HE43" s="140">
        <f>HD43*100/$E$43</f>
        <v/>
      </c>
      <c r="HF43" s="133" t="n"/>
      <c r="HG43" s="140">
        <f>HF43*100/$E$43</f>
        <v/>
      </c>
      <c r="HH43" s="133" t="n"/>
      <c r="HI43" s="140">
        <f>HH43*100/$E$43</f>
        <v/>
      </c>
      <c r="HJ43" s="133" t="n"/>
      <c r="HK43" s="140">
        <f>HJ43*100/$E$43</f>
        <v/>
      </c>
      <c r="HL43" s="133" t="n"/>
      <c r="HM43" s="140">
        <f>HL43*100/$E$43</f>
        <v/>
      </c>
      <c r="HN43" s="133" t="n"/>
      <c r="HO43" s="140">
        <f>HN43*100/$E$43</f>
        <v/>
      </c>
      <c r="HP43" s="133" t="n"/>
      <c r="HQ43" s="140">
        <f>HP43*100/$E$43</f>
        <v/>
      </c>
      <c r="HR43" s="133" t="n"/>
      <c r="HS43" s="140">
        <f>HR43*100/$E$43</f>
        <v/>
      </c>
      <c r="HT43" s="133" t="n"/>
      <c r="HU43" s="140">
        <f>HT43*100/$E$43</f>
        <v/>
      </c>
      <c r="HV43" s="133" t="n"/>
      <c r="HW43" s="140">
        <f>HV43*100/$E$43</f>
        <v/>
      </c>
      <c r="HX43" s="133" t="n"/>
      <c r="HY43" s="140">
        <f>HX43*100/$E$43</f>
        <v/>
      </c>
      <c r="HZ43" s="133" t="n"/>
      <c r="IA43" s="139">
        <f>HZ43*100/$E$43</f>
        <v/>
      </c>
      <c r="IB43" s="133" t="n"/>
      <c r="IC43" s="139">
        <f>IB43*100/$E$43</f>
        <v/>
      </c>
      <c r="ID43" s="133" t="n"/>
      <c r="IE43" s="139">
        <f>ID43*100/$E$43</f>
        <v/>
      </c>
      <c r="IF43" s="133" t="n"/>
      <c r="IG43" s="139">
        <f>IF43*100/$E$43</f>
        <v/>
      </c>
      <c r="IH43" s="133" t="n"/>
      <c r="II43" s="139">
        <f>IH43*100/$E$43</f>
        <v/>
      </c>
      <c r="IJ43" s="133" t="n"/>
      <c r="IK43" s="139">
        <f>IJ43*100/$E$43</f>
        <v/>
      </c>
      <c r="IL43" s="133" t="n"/>
      <c r="IM43" s="140">
        <f>IL43*100/$E$43</f>
        <v/>
      </c>
      <c r="IN43" s="133" t="n"/>
      <c r="IO43" s="140">
        <f>IN43*100/$E$43</f>
        <v/>
      </c>
      <c r="IP43" s="133" t="n"/>
      <c r="IQ43" s="139">
        <f>IP43*100/$E$43</f>
        <v/>
      </c>
      <c r="IR43" s="133" t="n"/>
      <c r="IS43" s="139">
        <f>IR43*100/$E$43</f>
        <v/>
      </c>
      <c r="IT43" s="133" t="n"/>
      <c r="IU43" s="139">
        <f>IT43*100/$E$43</f>
        <v/>
      </c>
      <c r="IV43" s="133" t="n"/>
      <c r="IW43" s="139">
        <f>IV43*100/$E$43</f>
        <v/>
      </c>
      <c r="IX43" s="133" t="n"/>
      <c r="IY43" s="139">
        <f>IX43*100/$E$43</f>
        <v/>
      </c>
      <c r="IZ43" s="133" t="n"/>
      <c r="JA43" s="139">
        <f>IZ43*100/$E$43</f>
        <v/>
      </c>
      <c r="JB43" s="133" t="n"/>
      <c r="JC43" s="139">
        <f>JB43*100/$E$43</f>
        <v/>
      </c>
      <c r="JD43" s="133" t="n"/>
      <c r="JE43" s="139">
        <f>JD43*100/$E$43</f>
        <v/>
      </c>
      <c r="JF43" s="133" t="n"/>
      <c r="JG43" s="139">
        <f>JF43*100/$E$43</f>
        <v/>
      </c>
      <c r="JH43" s="133" t="n"/>
      <c r="JI43" s="139">
        <f>JH43*100/$E$43</f>
        <v/>
      </c>
      <c r="JJ43" s="133" t="n"/>
      <c r="JK43" s="139">
        <f>JJ43*100/$E$43</f>
        <v/>
      </c>
      <c r="JL43" s="133" t="n"/>
      <c r="JM43" s="139">
        <f>JL43*100/$E$43</f>
        <v/>
      </c>
      <c r="JN43" s="133" t="n"/>
      <c r="JO43" s="182">
        <f>JN43*100/$E$43</f>
        <v/>
      </c>
      <c r="JP43" s="133" t="n"/>
      <c r="JQ43" s="182">
        <f>JP43*100/$E$43</f>
        <v/>
      </c>
      <c r="JR43" s="108" t="n"/>
      <c r="JS43" s="121">
        <f>JR43*100/$E$43</f>
        <v/>
      </c>
      <c r="JT43" s="108" t="n"/>
      <c r="JU43" s="121">
        <f>JT43*100/$E$43</f>
        <v/>
      </c>
      <c r="JV43" s="108" t="n"/>
      <c r="JW43" s="121">
        <f>JV43*100/$E$43</f>
        <v/>
      </c>
      <c r="JX43" s="108" t="n"/>
      <c r="JY43" s="121">
        <f>JX43*100/$E$43</f>
        <v/>
      </c>
      <c r="JZ43" s="183">
        <f>JN43+JP43+JR43+JT43+JV43+JX43</f>
        <v/>
      </c>
      <c r="KA43" s="184">
        <f>JO43+JQ43+JS43+JU43+JW43+JY43</f>
        <v/>
      </c>
      <c r="KB43" s="185">
        <f>H43+J43+L43+N43+P43+R43+T43+V43+X43+Z43+AB43+AD43+AF43+AH43+AJ43+AL43+AN43+AP43+AR43+AT43+AV43+AX43+AZ43+BB43+BD43+BF43+BH43+BJ43+BL43+BN43+BP43+BR43+BT43+BV43+BX43+BZ43+CB43+CD43+CF43+CH43+CZ43+DB43+DD43+DF43+DH43+DJ43+DL43+DN43+DP43+DR43+DT43+DV43+DX43+DZ43+EB43+ED43+EF43+EH43+EJ43+EL43+EN43+EP43+ER43+ET43+EV43+FN43+FP43+FR43+FT43+FV43+FX43+FZ43+GB43+GD43+GF43+GH43+GJ43+GL43+GN43+GP43+GR43+GT43+GV43+GX43+GZ43+HB43+HD43+HF43+HH43+HJ43+HL43+HN43+HP43+HR43+HT43+HV43+HX43+HZ43+IB43+ID43+IF43+IH43+IJ43+IL43+IN43+IP43+IR43+IT43+IV43+IX43+IZ43+JB43+JD43+JF43+JH43+JJ43+JL43+JZ43+CJ43+CL43+CN43+CP43+CR43+CT43+CV43+CX43+EX43+EZ43+FB43+FD43+FF43+FH43+FJ43+FL43</f>
        <v/>
      </c>
      <c r="KC43" s="186">
        <f>I43+K43+M43+O43+Q43+S43+U43+W43+Y43+AA43+AC43+AE43+AG43+AI43+AK43+AM43+AO43+AQ43+AS43+AU43+AW43+AY43+BA43+BC43+BE43+BG43+BI43+BK43+BM43+BO43+BQ43+BS43+BU43+BW43+BY43+CA43+CC43+CE43+CG43+CI43+DA43+DC43+DE43+DG43+DI43+DK43+DM43+DO43+DQ43+DS43+DU43+DW43+DY43+EA43+EC43+EE43+EG43+EI43+EK43+EM43+EO43+EQ43+ES43+EU43+EW43+FO43+FS43+FU43+FW43+FQ43+FY43+GA43+GC43+GE43+GG43+GI43+GK43+GM43+GO43+GQ43+GS43+GU43+GW43+GY43+HA43+HC43+HE43+HG43+HI43+HK43+HM43+HO43+HQ43+HS43+HU43+HW43+HY43+IA43+IC43+IE43+IG43+II43+IK43+IM43+IO43+IQ43+IS43+IU43+IW43+IY43+JA43+JC43+JE43+JG43+JI43+JK43+JM43+KA43+CK43+CM43+CO43+CQ43+CS43+CU43+CW43+CY43+EY43+FA43+FC43+FE43+FG43+FI43+FK43+FM43</f>
        <v/>
      </c>
      <c r="KD43" s="187">
        <f>JO43+JQ43+JS43+JU43+JW43+JY43</f>
        <v/>
      </c>
      <c r="KE43" s="188">
        <f>KB43=E43</f>
        <v/>
      </c>
      <c r="KF43" s="189">
        <f>E43-KB43</f>
        <v/>
      </c>
      <c r="KG43" s="212" t="n"/>
    </row>
    <row r="44" ht="21.75" customFormat="1" customHeight="1" s="212">
      <c r="A44" s="126">
        <f>A43+1</f>
        <v/>
      </c>
      <c r="B44" s="219" t="inlineStr">
        <is>
          <t>Трикачев С.И.</t>
        </is>
      </c>
      <c r="C44" s="220" t="inlineStr">
        <is>
          <t>токарь</t>
        </is>
      </c>
      <c r="D44" s="206">
        <f>$D$5</f>
        <v/>
      </c>
      <c r="E44" s="207" t="n">
        <v>168</v>
      </c>
      <c r="F44" s="221" t="n">
        <v>107473.5</v>
      </c>
      <c r="G44" s="179">
        <f>F44/D44</f>
        <v/>
      </c>
      <c r="H44" s="180" t="n"/>
      <c r="I44" s="140">
        <f>H44*100/$E$44</f>
        <v/>
      </c>
      <c r="J44" s="133" t="n"/>
      <c r="K44" s="140">
        <f>J44*100/$E$44</f>
        <v/>
      </c>
      <c r="L44" s="133" t="n"/>
      <c r="M44" s="140">
        <f>L44*100/$E$44</f>
        <v/>
      </c>
      <c r="N44" s="133" t="n"/>
      <c r="O44" s="140">
        <f>N44*100/$E$44</f>
        <v/>
      </c>
      <c r="P44" s="133" t="n"/>
      <c r="Q44" s="139">
        <f>P44*100/$E$44</f>
        <v/>
      </c>
      <c r="R44" s="133" t="n"/>
      <c r="S44" s="139">
        <f>R44*100/$E$44</f>
        <v/>
      </c>
      <c r="T44" s="133" t="n"/>
      <c r="U44" s="140">
        <f>T44*100/$E$44</f>
        <v/>
      </c>
      <c r="V44" s="133" t="n"/>
      <c r="W44" s="140">
        <f>V44*100/$E$44</f>
        <v/>
      </c>
      <c r="X44" s="133" t="n"/>
      <c r="Y44" s="140">
        <f>X44*100/$E$44</f>
        <v/>
      </c>
      <c r="Z44" s="133" t="n"/>
      <c r="AA44" s="140">
        <f>Z44*100/$E$44</f>
        <v/>
      </c>
      <c r="AB44" s="133" t="n"/>
      <c r="AC44" s="140">
        <f>AB44*100/$E$44</f>
        <v/>
      </c>
      <c r="AD44" s="133" t="n"/>
      <c r="AE44" s="139">
        <f>AD44*100/$E$44</f>
        <v/>
      </c>
      <c r="AF44" s="133" t="n"/>
      <c r="AG44" s="139">
        <f>AF44*100/$E$44</f>
        <v/>
      </c>
      <c r="AH44" s="133" t="n"/>
      <c r="AI44" s="140">
        <f>AH44*100/$E$44</f>
        <v/>
      </c>
      <c r="AJ44" s="133" t="n">
        <v>12</v>
      </c>
      <c r="AK44" s="140">
        <f>AJ44*100/$E$44</f>
        <v/>
      </c>
      <c r="AL44" s="133" t="n"/>
      <c r="AM44" s="140">
        <f>AL44*100/$E$44</f>
        <v/>
      </c>
      <c r="AN44" s="133" t="n"/>
      <c r="AO44" s="140">
        <f>AN44*100/$E$44</f>
        <v/>
      </c>
      <c r="AP44" s="133" t="n"/>
      <c r="AQ44" s="140">
        <f>AP44*100/$E$44</f>
        <v/>
      </c>
      <c r="AR44" s="133" t="n"/>
      <c r="AS44" s="140">
        <f>AR44*100/$E$44</f>
        <v/>
      </c>
      <c r="AT44" s="133" t="n"/>
      <c r="AU44" s="181">
        <f>AT44*100/$E$44</f>
        <v/>
      </c>
      <c r="AV44" s="133" t="n">
        <v>24</v>
      </c>
      <c r="AW44" s="140">
        <f>AV44*100/$E$44</f>
        <v/>
      </c>
      <c r="AX44" s="133" t="n"/>
      <c r="AY44" s="140">
        <f>AX44*100/$E$44</f>
        <v/>
      </c>
      <c r="AZ44" s="133" t="n"/>
      <c r="BA44" s="140">
        <f>AZ44*100/$E$44</f>
        <v/>
      </c>
      <c r="BB44" s="133" t="n"/>
      <c r="BC44" s="140">
        <f>BB44*100/$E$44</f>
        <v/>
      </c>
      <c r="BD44" s="133" t="n"/>
      <c r="BE44" s="140">
        <f>BD44*100/$E$44</f>
        <v/>
      </c>
      <c r="BF44" s="133" t="n"/>
      <c r="BG44" s="140">
        <f>BF44*100/$E$44</f>
        <v/>
      </c>
      <c r="BH44" s="133">
        <f>12+12</f>
        <v/>
      </c>
      <c r="BI44" s="140">
        <f>BH44*100/$E$44</f>
        <v/>
      </c>
      <c r="BJ44" s="133" t="n"/>
      <c r="BK44" s="140">
        <f>BJ44*100/$E$44</f>
        <v/>
      </c>
      <c r="BL44" s="133" t="n">
        <v>12</v>
      </c>
      <c r="BM44" s="140">
        <f>BL44*100/$E$44</f>
        <v/>
      </c>
      <c r="BN44" s="133">
        <f>4+12+12</f>
        <v/>
      </c>
      <c r="BO44" s="140">
        <f>BN44*100/$E$44</f>
        <v/>
      </c>
      <c r="BP44" s="133" t="n"/>
      <c r="BQ44" s="140">
        <f>BP44*100/$E$44</f>
        <v/>
      </c>
      <c r="BR44" s="133" t="n"/>
      <c r="BS44" s="140">
        <f>BR44*100/$E$44</f>
        <v/>
      </c>
      <c r="BT44" s="133" t="n"/>
      <c r="BU44" s="140">
        <f>BT44*100/$E$44</f>
        <v/>
      </c>
      <c r="BV44" s="133" t="n"/>
      <c r="BW44" s="140">
        <f>BV44*100/$E$44</f>
        <v/>
      </c>
      <c r="BX44" s="133" t="n"/>
      <c r="BY44" s="140">
        <f>BX44*100/$E$44</f>
        <v/>
      </c>
      <c r="BZ44" s="133" t="n"/>
      <c r="CA44" s="140">
        <f>BZ44*100/$E$44</f>
        <v/>
      </c>
      <c r="CB44" s="133" t="n"/>
      <c r="CC44" s="140">
        <f>CB44*100/$E$44</f>
        <v/>
      </c>
      <c r="CD44" s="133" t="n"/>
      <c r="CE44" s="140">
        <f>CD44*100/$E$44</f>
        <v/>
      </c>
      <c r="CF44" s="133" t="n"/>
      <c r="CG44" s="140">
        <f>CF44*100/$E$44</f>
        <v/>
      </c>
      <c r="CH44" s="133" t="n"/>
      <c r="CI44" s="140">
        <f>CH44*100/$E$44</f>
        <v/>
      </c>
      <c r="CJ44" s="133" t="n"/>
      <c r="CK44" s="140">
        <f>CJ44*100/$E$44</f>
        <v/>
      </c>
      <c r="CL44" s="133" t="n"/>
      <c r="CM44" s="140">
        <f>CL44*100/$E$44</f>
        <v/>
      </c>
      <c r="CN44" s="133" t="n"/>
      <c r="CO44" s="139">
        <f>CN44*100/$E$44</f>
        <v/>
      </c>
      <c r="CP44" s="133" t="n"/>
      <c r="CQ44" s="140">
        <f>CP44*100/$E$44</f>
        <v/>
      </c>
      <c r="CR44" s="133" t="n"/>
      <c r="CS44" s="139">
        <f>CR44*100/$E$44</f>
        <v/>
      </c>
      <c r="CT44" s="133" t="n"/>
      <c r="CU44" s="139">
        <f>CT44*100/$E$44</f>
        <v/>
      </c>
      <c r="CV44" s="133" t="n"/>
      <c r="CW44" s="139">
        <f>CV44*100/$E$44</f>
        <v/>
      </c>
      <c r="CX44" s="133" t="n"/>
      <c r="CY44" s="139">
        <f>CX44*100/$E$44</f>
        <v/>
      </c>
      <c r="CZ44" s="133" t="n"/>
      <c r="DA44" s="139">
        <f>CZ44*100/$E$44</f>
        <v/>
      </c>
      <c r="DB44" s="133" t="n"/>
      <c r="DC44" s="139">
        <f>DB44*100/$E$44</f>
        <v/>
      </c>
      <c r="DD44" s="133" t="n"/>
      <c r="DE44" s="139">
        <f>DD44*100/$E$44</f>
        <v/>
      </c>
      <c r="DF44" s="133" t="n"/>
      <c r="DG44" s="139">
        <f>DF44*100/$E$44</f>
        <v/>
      </c>
      <c r="DH44" s="133" t="n"/>
      <c r="DI44" s="139">
        <f>DH44*100/$E$44</f>
        <v/>
      </c>
      <c r="DJ44" s="133" t="n"/>
      <c r="DK44" s="139">
        <f>DJ44*100/$E$44</f>
        <v/>
      </c>
      <c r="DL44" s="133" t="n"/>
      <c r="DM44" s="139">
        <f>DL44*100/$E$44</f>
        <v/>
      </c>
      <c r="DN44" s="133" t="n"/>
      <c r="DO44" s="139">
        <f>DN44*100/$E$44</f>
        <v/>
      </c>
      <c r="DP44" s="133" t="n"/>
      <c r="DQ44" s="139">
        <f>DP44*100/$E$44</f>
        <v/>
      </c>
      <c r="DR44" s="133" t="n"/>
      <c r="DS44" s="139">
        <f>DR44*100/$E$44</f>
        <v/>
      </c>
      <c r="DT44" s="133" t="n"/>
      <c r="DU44" s="139">
        <f>DT44*100/$E$44</f>
        <v/>
      </c>
      <c r="DV44" s="133" t="n"/>
      <c r="DW44" s="139">
        <f>DV44*100/$E$44</f>
        <v/>
      </c>
      <c r="DX44" s="133" t="n"/>
      <c r="DY44" s="139">
        <f>DX44*100/$E$44</f>
        <v/>
      </c>
      <c r="DZ44" s="133" t="n"/>
      <c r="EA44" s="139">
        <f>DZ44*100/$E$44</f>
        <v/>
      </c>
      <c r="EB44" s="133" t="n"/>
      <c r="EC44" s="139">
        <f>EB44*100/$E$44</f>
        <v/>
      </c>
      <c r="ED44" s="133" t="n"/>
      <c r="EE44" s="139">
        <f>ED44*100/$E$44</f>
        <v/>
      </c>
      <c r="EF44" s="133" t="n"/>
      <c r="EG44" s="139">
        <f>EF44*100/$E$44</f>
        <v/>
      </c>
      <c r="EH44" s="133" t="n"/>
      <c r="EI44" s="139">
        <f>EH44*100/$E$44</f>
        <v/>
      </c>
      <c r="EJ44" s="133" t="n"/>
      <c r="EK44" s="139">
        <f>EJ44*100/$E$44</f>
        <v/>
      </c>
      <c r="EL44" s="133" t="n"/>
      <c r="EM44" s="139">
        <f>EL44*100/$E$44</f>
        <v/>
      </c>
      <c r="EN44" s="133" t="n"/>
      <c r="EO44" s="139">
        <f>EN44*100/$E$44</f>
        <v/>
      </c>
      <c r="EP44" s="133" t="n"/>
      <c r="EQ44" s="139">
        <f>EP44*100/$E$44</f>
        <v/>
      </c>
      <c r="ER44" s="133" t="n">
        <v>8</v>
      </c>
      <c r="ES44" s="139">
        <f>ER44*100/$E$44</f>
        <v/>
      </c>
      <c r="ET44" s="133" t="n"/>
      <c r="EU44" s="139">
        <f>ET44*100/$E$44</f>
        <v/>
      </c>
      <c r="EV44" s="133" t="n"/>
      <c r="EW44" s="139">
        <f>EV44*100/$E$44</f>
        <v/>
      </c>
      <c r="EX44" s="133" t="n"/>
      <c r="EY44" s="139">
        <f>EX44*100/$E$44</f>
        <v/>
      </c>
      <c r="EZ44" s="133" t="n"/>
      <c r="FA44" s="139">
        <f>EZ44*100/$E$44</f>
        <v/>
      </c>
      <c r="FB44" s="133" t="n"/>
      <c r="FC44" s="139">
        <f>FB44*100/$E$44</f>
        <v/>
      </c>
      <c r="FD44" s="133" t="n"/>
      <c r="FE44" s="139">
        <f>FD44*100/$E$44</f>
        <v/>
      </c>
      <c r="FF44" s="133" t="n"/>
      <c r="FG44" s="139">
        <f>FF44*100/$E$44</f>
        <v/>
      </c>
      <c r="FH44" s="133" t="n"/>
      <c r="FI44" s="139">
        <f>FH44*100/$E$44</f>
        <v/>
      </c>
      <c r="FJ44" s="133" t="n"/>
      <c r="FK44" s="139">
        <f>FJ44*100/$E$44</f>
        <v/>
      </c>
      <c r="FL44" s="133" t="n"/>
      <c r="FM44" s="139">
        <f>FL44*100/$E$44</f>
        <v/>
      </c>
      <c r="FN44" s="133" t="n"/>
      <c r="FO44" s="139">
        <f>FN44*100/$E$44</f>
        <v/>
      </c>
      <c r="FP44" s="133" t="n"/>
      <c r="FQ44" s="139">
        <f>FP44*100/$E$44</f>
        <v/>
      </c>
      <c r="FR44" s="133" t="n"/>
      <c r="FS44" s="139">
        <f>FR44*100/$E$44</f>
        <v/>
      </c>
      <c r="FT44" s="133" t="n"/>
      <c r="FU44" s="139">
        <f>FT44*100/$E$44</f>
        <v/>
      </c>
      <c r="FV44" s="133" t="n"/>
      <c r="FW44" s="139">
        <f>FV44*100/$E$44</f>
        <v/>
      </c>
      <c r="FX44" s="133" t="n"/>
      <c r="FY44" s="140">
        <f>FX44*100/$E$44</f>
        <v/>
      </c>
      <c r="FZ44" s="133" t="n"/>
      <c r="GA44" s="140">
        <f>FZ44*100/$E$44</f>
        <v/>
      </c>
      <c r="GB44" s="133" t="n"/>
      <c r="GC44" s="140">
        <f>GB44*100/$E$44</f>
        <v/>
      </c>
      <c r="GD44" s="133" t="n"/>
      <c r="GE44" s="140">
        <f>GD44*100/$E$44</f>
        <v/>
      </c>
      <c r="GF44" s="133" t="n"/>
      <c r="GG44" s="140">
        <f>GF44*100/$E$44</f>
        <v/>
      </c>
      <c r="GH44" s="133" t="n"/>
      <c r="GI44" s="140">
        <f>GH44*100/$E$44</f>
        <v/>
      </c>
      <c r="GJ44" s="133" t="n"/>
      <c r="GK44" s="139">
        <f>GJ44*100/$E$44</f>
        <v/>
      </c>
      <c r="GL44" s="133" t="n"/>
      <c r="GM44" s="140">
        <f>GL44*100/$E$44</f>
        <v/>
      </c>
      <c r="GN44" s="133" t="n"/>
      <c r="GO44" s="139">
        <f>GN44*100/$E$44</f>
        <v/>
      </c>
      <c r="GP44" s="133" t="n"/>
      <c r="GQ44" s="140">
        <f>GP44*100/$E$44</f>
        <v/>
      </c>
      <c r="GR44" s="133" t="n"/>
      <c r="GS44" s="139">
        <f>GR44*100/$E$44</f>
        <v/>
      </c>
      <c r="GT44" s="133" t="n"/>
      <c r="GU44" s="139">
        <f>GT44*100/$E$44</f>
        <v/>
      </c>
      <c r="GV44" s="133" t="n"/>
      <c r="GW44" s="139">
        <f>GV44*100/$E$44</f>
        <v/>
      </c>
      <c r="GX44" s="133" t="n"/>
      <c r="GY44" s="140">
        <f>GX44*100/$E$44</f>
        <v/>
      </c>
      <c r="GZ44" s="133" t="n"/>
      <c r="HA44" s="140">
        <f>GZ44*100/$E$44</f>
        <v/>
      </c>
      <c r="HB44" s="133" t="n"/>
      <c r="HC44" s="140">
        <f>HB44*100/$E$44</f>
        <v/>
      </c>
      <c r="HD44" s="133" t="n"/>
      <c r="HE44" s="140">
        <f>HD44*100/$E$44</f>
        <v/>
      </c>
      <c r="HF44" s="133" t="n"/>
      <c r="HG44" s="140">
        <f>HF44*100/$E$44</f>
        <v/>
      </c>
      <c r="HH44" s="133" t="n"/>
      <c r="HI44" s="140">
        <f>HH44*100/$E$44</f>
        <v/>
      </c>
      <c r="HJ44" s="133" t="n"/>
      <c r="HK44" s="140">
        <f>HJ44*100/$E$44</f>
        <v/>
      </c>
      <c r="HL44" s="133" t="n"/>
      <c r="HM44" s="140">
        <f>HL44*100/$E$44</f>
        <v/>
      </c>
      <c r="HN44" s="133" t="n"/>
      <c r="HO44" s="140">
        <f>HN44*100/$E$44</f>
        <v/>
      </c>
      <c r="HP44" s="133" t="n"/>
      <c r="HQ44" s="140">
        <f>HP44*100/$E$44</f>
        <v/>
      </c>
      <c r="HR44" s="133" t="n"/>
      <c r="HS44" s="140">
        <f>HR44*100/$E$44</f>
        <v/>
      </c>
      <c r="HT44" s="133" t="n"/>
      <c r="HU44" s="140">
        <f>HT44*100/$E$44</f>
        <v/>
      </c>
      <c r="HV44" s="133" t="n"/>
      <c r="HW44" s="140">
        <f>HV44*100/$E$44</f>
        <v/>
      </c>
      <c r="HX44" s="133" t="n"/>
      <c r="HY44" s="140">
        <f>HX44*100/$E$44</f>
        <v/>
      </c>
      <c r="HZ44" s="133" t="n"/>
      <c r="IA44" s="139">
        <f>HZ44*100/$E$44</f>
        <v/>
      </c>
      <c r="IB44" s="133" t="n"/>
      <c r="IC44" s="139">
        <f>IB44*100/$E$44</f>
        <v/>
      </c>
      <c r="ID44" s="133" t="n"/>
      <c r="IE44" s="139">
        <f>ID44*100/$E$44</f>
        <v/>
      </c>
      <c r="IF44" s="133" t="n"/>
      <c r="IG44" s="139">
        <f>IF44*100/$E$44</f>
        <v/>
      </c>
      <c r="IH44" s="133" t="n"/>
      <c r="II44" s="139">
        <f>IH44*100/$E$44</f>
        <v/>
      </c>
      <c r="IJ44" s="133" t="n"/>
      <c r="IK44" s="139">
        <f>IJ44*100/$E$44</f>
        <v/>
      </c>
      <c r="IL44" s="133" t="n"/>
      <c r="IM44" s="140">
        <f>IL44*100/$E$44</f>
        <v/>
      </c>
      <c r="IN44" s="133" t="n"/>
      <c r="IO44" s="140">
        <f>IN44*100/$E$44</f>
        <v/>
      </c>
      <c r="IP44" s="133" t="n"/>
      <c r="IQ44" s="139">
        <f>IP44*100/$E$44</f>
        <v/>
      </c>
      <c r="IR44" s="133" t="n"/>
      <c r="IS44" s="139">
        <f>IR44*100/$E$44</f>
        <v/>
      </c>
      <c r="IT44" s="133" t="n"/>
      <c r="IU44" s="139">
        <f>IT44*100/$E$44</f>
        <v/>
      </c>
      <c r="IV44" s="133" t="n"/>
      <c r="IW44" s="139">
        <f>IV44*100/$E$44</f>
        <v/>
      </c>
      <c r="IX44" s="133" t="n"/>
      <c r="IY44" s="139">
        <f>IX44*100/$E$44</f>
        <v/>
      </c>
      <c r="IZ44" s="133" t="n"/>
      <c r="JA44" s="139">
        <f>IZ44*100/$E$44</f>
        <v/>
      </c>
      <c r="JB44" s="133" t="n"/>
      <c r="JC44" s="139">
        <f>JB44*100/$E$44</f>
        <v/>
      </c>
      <c r="JD44" s="133" t="n"/>
      <c r="JE44" s="139">
        <f>JD44*100/$E$44</f>
        <v/>
      </c>
      <c r="JF44" s="133">
        <f>12+12+2+12+12</f>
        <v/>
      </c>
      <c r="JG44" s="139">
        <f>JF44*100/$E$44</f>
        <v/>
      </c>
      <c r="JH44" s="133" t="n"/>
      <c r="JI44" s="139">
        <f>JH44*100/$E$44</f>
        <v/>
      </c>
      <c r="JJ44" s="133" t="n"/>
      <c r="JK44" s="139">
        <f>JJ44*100/$E$44</f>
        <v/>
      </c>
      <c r="JL44" s="133" t="n">
        <v>10</v>
      </c>
      <c r="JM44" s="139">
        <f>JL44*100/$E$44</f>
        <v/>
      </c>
      <c r="JN44" s="133" t="n"/>
      <c r="JO44" s="182">
        <f>JN44*100/$E$44</f>
        <v/>
      </c>
      <c r="JP44" s="133" t="n"/>
      <c r="JQ44" s="182">
        <f>JP44*100/$E$44</f>
        <v/>
      </c>
      <c r="JR44" s="108" t="n"/>
      <c r="JS44" s="121">
        <f>JR44*100/$E$44</f>
        <v/>
      </c>
      <c r="JT44" s="108" t="n"/>
      <c r="JU44" s="121">
        <f>JT44*100/$E$44</f>
        <v/>
      </c>
      <c r="JV44" s="108" t="n"/>
      <c r="JW44" s="121">
        <f>JV44*100/$E$44</f>
        <v/>
      </c>
      <c r="JX44" s="108" t="n"/>
      <c r="JY44" s="121">
        <f>JX44*100/$E$44</f>
        <v/>
      </c>
      <c r="JZ44" s="183">
        <f>JN44+JP44+JR44+JT44+JV44+JX44</f>
        <v/>
      </c>
      <c r="KA44" s="184">
        <f>JO44+JQ44+JS44+JU44+JW44+JY44</f>
        <v/>
      </c>
      <c r="KB44" s="185">
        <f>H44+J44+L44+N44+P44+R44+T44+V44+X44+Z44+AB44+AD44+AF44+AH44+AJ44+AL44+AN44+AP44+AR44+AT44+AV44+AX44+AZ44+BB44+BD44+BF44+BH44+BJ44+BL44+BN44+BP44+BR44+BT44+BV44+BX44+BZ44+CB44+CD44+CF44+CH44+CZ44+DB44+DD44+DF44+DH44+DJ44+DL44+DN44+DP44+DR44+DT44+DV44+DX44+DZ44+EB44+ED44+EF44+EH44+EJ44+EL44+EN44+EP44+ER44+ET44+EV44+FN44+FP44+FR44+FT44+FV44+FX44+FZ44+GB44+GD44+GF44+GH44+GJ44+GL44+GN44+GP44+GR44+GT44+GV44+GX44+GZ44+HB44+HD44+HF44+HH44+HJ44+HL44+HN44+HP44+HR44+HT44+HV44+HX44+HZ44+IB44+ID44+IF44+IH44+IJ44+IL44+IN44+IP44+IR44+IT44+IV44+IX44+IZ44+JB44+JD44+JF44+JH44+JJ44+JL44+JZ44+CJ44+CL44+CN44+CP44+CR44+CT44+CV44+CX44+EX44+EZ44+FB44+FD44+FF44+FH44+FJ44+FL44</f>
        <v/>
      </c>
      <c r="KC44" s="186">
        <f>I44+K44+M44+O44+Q44+S44+U44+W44+Y44+AA44+AC44+AE44+AG44+AI44+AK44+AM44+AO44+AQ44+AS44+AU44+AW44+AY44+BA44+BC44+BE44+BG44+BI44+BK44+BM44+BO44+BQ44+BS44+BU44+BW44+BY44+CA44+CC44+CE44+CG44+CI44+DA44+DC44+DE44+DG44+DI44+DK44+DM44+DO44+DQ44+DS44+DU44+DW44+DY44+EA44+EC44+EE44+EG44+EI44+EK44+EM44+EO44+EQ44+ES44+EU44+EW44+FO44+FS44+FU44+FW44+FQ44+FY44+GA44+GC44+GE44+GG44+GI44+GK44+GM44+GO44+GQ44+GS44+GU44+GW44+GY44+HA44+HC44+HE44+HG44+HI44+HK44+HM44+HO44+HQ44+HS44+HU44+HW44+HY44+IA44+IC44+IE44+IG44+II44+IK44+IM44+IO44+IQ44+IS44+IU44+IW44+IY44+JA44+JC44+JE44+JG44+JI44+JK44+JM44+KA44+CK44+CM44+CO44+CQ44+CS44+CU44+CW44+CY44+EY44+FA44+FC44+FE44+FG44+FI44+FK44+FM44</f>
        <v/>
      </c>
      <c r="KD44" s="187">
        <f>JO44+JQ44+JS44+JU44+JW44+JY44</f>
        <v/>
      </c>
      <c r="KE44" s="188">
        <f>KB44=E44</f>
        <v/>
      </c>
      <c r="KF44" s="189">
        <f>E44-KB44</f>
        <v/>
      </c>
      <c r="KG44" s="210" t="n"/>
    </row>
    <row r="45" ht="21.75" customFormat="1" customHeight="1" s="195">
      <c r="A45" s="126">
        <f>A44+1</f>
        <v/>
      </c>
      <c r="B45" s="175" t="inlineStr">
        <is>
          <t>Федотов Е.А.</t>
        </is>
      </c>
      <c r="C45" s="176" t="inlineStr">
        <is>
          <t>термист</t>
        </is>
      </c>
      <c r="D45" s="177">
        <f>$D$5</f>
        <v/>
      </c>
      <c r="E45" s="202" t="n">
        <v>136</v>
      </c>
      <c r="F45" s="193" t="n">
        <v>68902.87</v>
      </c>
      <c r="G45" s="179">
        <f>F45/D45</f>
        <v/>
      </c>
      <c r="H45" s="180" t="n"/>
      <c r="I45" s="140">
        <f>H45*100/$E$45</f>
        <v/>
      </c>
      <c r="J45" s="133" t="n"/>
      <c r="K45" s="140">
        <f>J45*100/$E$45</f>
        <v/>
      </c>
      <c r="L45" s="133" t="n"/>
      <c r="M45" s="140">
        <f>L45*100/$E$45</f>
        <v/>
      </c>
      <c r="N45" s="133" t="n"/>
      <c r="O45" s="140">
        <f>N45*100/$E$45</f>
        <v/>
      </c>
      <c r="P45" s="133" t="n"/>
      <c r="Q45" s="139">
        <f>P45*100/$E$45</f>
        <v/>
      </c>
      <c r="R45" s="133" t="n"/>
      <c r="S45" s="139">
        <f>R45*100/$E$45</f>
        <v/>
      </c>
      <c r="T45" s="133" t="n"/>
      <c r="U45" s="140">
        <f>T45*100/$E$45</f>
        <v/>
      </c>
      <c r="V45" s="133" t="n"/>
      <c r="W45" s="140">
        <f>V45*100/$E$45</f>
        <v/>
      </c>
      <c r="X45" s="133" t="n"/>
      <c r="Y45" s="140">
        <f>X45*100/$E$45</f>
        <v/>
      </c>
      <c r="Z45" s="133" t="n"/>
      <c r="AA45" s="140">
        <f>Z45*100/$E$45</f>
        <v/>
      </c>
      <c r="AB45" s="133" t="n"/>
      <c r="AC45" s="140">
        <f>AB45*100/$E$45</f>
        <v/>
      </c>
      <c r="AD45" s="133" t="n"/>
      <c r="AE45" s="139">
        <f>AD45*100/$E$45</f>
        <v/>
      </c>
      <c r="AF45" s="133" t="n"/>
      <c r="AG45" s="139">
        <f>AF45*100/$E$45</f>
        <v/>
      </c>
      <c r="AH45" s="133">
        <f>8+2</f>
        <v/>
      </c>
      <c r="AI45" s="140">
        <f>AH45*100/$E$45</f>
        <v/>
      </c>
      <c r="AJ45" s="133" t="n"/>
      <c r="AK45" s="140">
        <f>AJ45*100/$E$45</f>
        <v/>
      </c>
      <c r="AL45" s="133" t="n"/>
      <c r="AM45" s="140">
        <f>AL45*100/$E$45</f>
        <v/>
      </c>
      <c r="AN45" s="133">
        <f>2+2</f>
        <v/>
      </c>
      <c r="AO45" s="140">
        <f>AN45*100/$E$45</f>
        <v/>
      </c>
      <c r="AP45" s="133" t="n"/>
      <c r="AQ45" s="140">
        <f>AP45*100/$E$45</f>
        <v/>
      </c>
      <c r="AR45" s="133" t="n"/>
      <c r="AS45" s="140">
        <f>AR45*100/$E$45</f>
        <v/>
      </c>
      <c r="AT45" s="133" t="n"/>
      <c r="AU45" s="181">
        <f>AT45*100/$E$45</f>
        <v/>
      </c>
      <c r="AV45" s="133" t="n"/>
      <c r="AW45" s="140">
        <f>AV45*100/$E$45</f>
        <v/>
      </c>
      <c r="AX45" s="133" t="n">
        <v>3</v>
      </c>
      <c r="AY45" s="140">
        <f>AX45*100/$E$45</f>
        <v/>
      </c>
      <c r="AZ45" s="133">
        <f>1+2</f>
        <v/>
      </c>
      <c r="BA45" s="140">
        <f>AZ45*100/$E$45</f>
        <v/>
      </c>
      <c r="BB45" s="133" t="n"/>
      <c r="BC45" s="140">
        <f>BB45*100/$E$45</f>
        <v/>
      </c>
      <c r="BD45" s="133" t="n"/>
      <c r="BE45" s="140">
        <f>BD45*100/$E$45</f>
        <v/>
      </c>
      <c r="BF45" s="133" t="n"/>
      <c r="BG45" s="140">
        <f>BF45*100/$E$45</f>
        <v/>
      </c>
      <c r="BH45" s="133" t="n"/>
      <c r="BI45" s="140">
        <f>BH45*100/$E$45</f>
        <v/>
      </c>
      <c r="BJ45" s="133" t="n"/>
      <c r="BK45" s="140">
        <f>BJ45*100/$E$45</f>
        <v/>
      </c>
      <c r="BL45" s="133" t="n"/>
      <c r="BM45" s="140">
        <f>BL45*100/$E$45</f>
        <v/>
      </c>
      <c r="BN45" s="133">
        <f>8+2</f>
        <v/>
      </c>
      <c r="BO45" s="140">
        <f>BN45*100/$E$45</f>
        <v/>
      </c>
      <c r="BP45" s="133" t="n"/>
      <c r="BQ45" s="140">
        <f>BP45*100/$E$45</f>
        <v/>
      </c>
      <c r="BR45" s="133" t="n"/>
      <c r="BS45" s="140">
        <f>BR45*100/$E$45</f>
        <v/>
      </c>
      <c r="BT45" s="133" t="n"/>
      <c r="BU45" s="140">
        <f>BT45*100/$E$45</f>
        <v/>
      </c>
      <c r="BV45" s="133" t="n"/>
      <c r="BW45" s="140">
        <f>BV45*100/$E$45</f>
        <v/>
      </c>
      <c r="BX45" s="133">
        <f>8+8+4</f>
        <v/>
      </c>
      <c r="BY45" s="140">
        <f>BX45*100/$E$45</f>
        <v/>
      </c>
      <c r="BZ45" s="133" t="n">
        <v>4</v>
      </c>
      <c r="CA45" s="140">
        <f>BZ45*100/$E$45</f>
        <v/>
      </c>
      <c r="CB45" s="133">
        <f>3+4</f>
        <v/>
      </c>
      <c r="CC45" s="140">
        <f>CB45*100/$E$45</f>
        <v/>
      </c>
      <c r="CD45" s="133" t="n"/>
      <c r="CE45" s="140">
        <f>CD45*100/$E$45</f>
        <v/>
      </c>
      <c r="CF45" s="133" t="n"/>
      <c r="CG45" s="140">
        <f>CF45*100/$E$45</f>
        <v/>
      </c>
      <c r="CH45" s="133" t="n"/>
      <c r="CI45" s="140">
        <f>CH45*100/$E$45</f>
        <v/>
      </c>
      <c r="CJ45" s="133">
        <f>8+8</f>
        <v/>
      </c>
      <c r="CK45" s="140">
        <f>CJ45*100/$E$45</f>
        <v/>
      </c>
      <c r="CL45" s="133">
        <f>3+1+8</f>
        <v/>
      </c>
      <c r="CM45" s="140">
        <f>CL45*100/$E$45</f>
        <v/>
      </c>
      <c r="CN45" s="133" t="n"/>
      <c r="CO45" s="139">
        <f>CN45*100/$E$45</f>
        <v/>
      </c>
      <c r="CP45" s="133" t="n">
        <v>1</v>
      </c>
      <c r="CQ45" s="140">
        <f>CP45*100/$E$45</f>
        <v/>
      </c>
      <c r="CR45" s="133" t="n"/>
      <c r="CS45" s="139">
        <f>CR45*100/$E$45</f>
        <v/>
      </c>
      <c r="CT45" s="133" t="n">
        <v>2</v>
      </c>
      <c r="CU45" s="139">
        <f>CT45*100/$E$45</f>
        <v/>
      </c>
      <c r="CV45" s="133" t="n"/>
      <c r="CW45" s="139">
        <f>CV45*100/$E$45</f>
        <v/>
      </c>
      <c r="CX45" s="133" t="n"/>
      <c r="CY45" s="139">
        <f>CX45*100/$E$45</f>
        <v/>
      </c>
      <c r="CZ45" s="133" t="n">
        <v>3</v>
      </c>
      <c r="DA45" s="139">
        <f>CZ45*100/$E$45</f>
        <v/>
      </c>
      <c r="DB45" s="133" t="n">
        <v>2</v>
      </c>
      <c r="DC45" s="139">
        <f>DB45*100/$E$45</f>
        <v/>
      </c>
      <c r="DD45" s="133">
        <f>1+2</f>
        <v/>
      </c>
      <c r="DE45" s="139">
        <f>DD45*100/$E$45</f>
        <v/>
      </c>
      <c r="DF45" s="133" t="n">
        <v>2</v>
      </c>
      <c r="DG45" s="139">
        <f>DF45*100/$E$45</f>
        <v/>
      </c>
      <c r="DH45" s="133" t="n">
        <v>1</v>
      </c>
      <c r="DI45" s="139">
        <f>DH45*100/$E$45</f>
        <v/>
      </c>
      <c r="DJ45" s="133" t="n"/>
      <c r="DK45" s="139">
        <f>DJ45*100/$E$45</f>
        <v/>
      </c>
      <c r="DL45" s="133" t="n"/>
      <c r="DM45" s="139">
        <f>DL45*100/$E$45</f>
        <v/>
      </c>
      <c r="DN45" s="133" t="n"/>
      <c r="DO45" s="139">
        <f>DN45*100/$E$45</f>
        <v/>
      </c>
      <c r="DP45" s="133" t="n"/>
      <c r="DQ45" s="139">
        <f>DP45*100/$E$45</f>
        <v/>
      </c>
      <c r="DR45" s="133" t="n"/>
      <c r="DS45" s="139">
        <f>DR45*100/$E$45</f>
        <v/>
      </c>
      <c r="DT45" s="133" t="n"/>
      <c r="DU45" s="139">
        <f>DT45*100/$E$45</f>
        <v/>
      </c>
      <c r="DV45" s="133" t="n"/>
      <c r="DW45" s="139">
        <f>DV45*100/$E$45</f>
        <v/>
      </c>
      <c r="DX45" s="133" t="n"/>
      <c r="DY45" s="139">
        <f>DX45*100/$E$45</f>
        <v/>
      </c>
      <c r="DZ45" s="133" t="n"/>
      <c r="EA45" s="139">
        <f>DZ45*100/$E$45</f>
        <v/>
      </c>
      <c r="EB45" s="133" t="n"/>
      <c r="EC45" s="139">
        <f>EB45*100/$E$45</f>
        <v/>
      </c>
      <c r="ED45" s="133">
        <f>3+1</f>
        <v/>
      </c>
      <c r="EE45" s="139">
        <f>ED45*100/$E$45</f>
        <v/>
      </c>
      <c r="EF45" s="133" t="n"/>
      <c r="EG45" s="139">
        <f>EF45*100/$E$45</f>
        <v/>
      </c>
      <c r="EH45" s="133" t="n"/>
      <c r="EI45" s="139">
        <f>EH45*100/$E$45</f>
        <v/>
      </c>
      <c r="EJ45" s="133" t="n">
        <v>2</v>
      </c>
      <c r="EK45" s="139">
        <f>EJ45*100/$E$45</f>
        <v/>
      </c>
      <c r="EL45" s="133" t="n"/>
      <c r="EM45" s="139">
        <f>EL45*100/$E$45</f>
        <v/>
      </c>
      <c r="EN45" s="133" t="n">
        <v>4</v>
      </c>
      <c r="EO45" s="139">
        <f>EN45*100/$E$45</f>
        <v/>
      </c>
      <c r="EP45" s="133" t="n"/>
      <c r="EQ45" s="139">
        <f>EP45*100/$E$45</f>
        <v/>
      </c>
      <c r="ER45" s="133" t="n">
        <v>2</v>
      </c>
      <c r="ES45" s="139">
        <f>ER45*100/$E$45</f>
        <v/>
      </c>
      <c r="ET45" s="133" t="n"/>
      <c r="EU45" s="139">
        <f>ET45*100/$E$45</f>
        <v/>
      </c>
      <c r="EV45" s="133" t="n"/>
      <c r="EW45" s="139">
        <f>EV45*100/$E$45</f>
        <v/>
      </c>
      <c r="EX45" s="133" t="n"/>
      <c r="EY45" s="139">
        <f>EX45*100/$E$45</f>
        <v/>
      </c>
      <c r="EZ45" s="133" t="n"/>
      <c r="FA45" s="139">
        <f>EZ45*100/$E$45</f>
        <v/>
      </c>
      <c r="FB45" s="133" t="n"/>
      <c r="FC45" s="139">
        <f>FB45*100/$E$45</f>
        <v/>
      </c>
      <c r="FD45" s="133" t="n"/>
      <c r="FE45" s="139">
        <f>FD45*100/$E$45</f>
        <v/>
      </c>
      <c r="FF45" s="133" t="n"/>
      <c r="FG45" s="139">
        <f>FF45*100/$E$45</f>
        <v/>
      </c>
      <c r="FH45" s="133" t="n"/>
      <c r="FI45" s="139">
        <f>FH45*100/$E$45</f>
        <v/>
      </c>
      <c r="FJ45" s="133" t="n">
        <v>2</v>
      </c>
      <c r="FK45" s="139">
        <f>FJ45*100/$E$45</f>
        <v/>
      </c>
      <c r="FL45" s="133" t="n"/>
      <c r="FM45" s="139">
        <f>FL45*100/$E$45</f>
        <v/>
      </c>
      <c r="FN45" s="133" t="n"/>
      <c r="FO45" s="139">
        <f>FN45*100/$E$45</f>
        <v/>
      </c>
      <c r="FP45" s="133" t="n"/>
      <c r="FQ45" s="139">
        <f>FP45*100/$E$45</f>
        <v/>
      </c>
      <c r="FR45" s="133" t="n"/>
      <c r="FS45" s="139">
        <f>FR45*100/$E$45</f>
        <v/>
      </c>
      <c r="FT45" s="133" t="n"/>
      <c r="FU45" s="139">
        <f>FT45*100/$E$45</f>
        <v/>
      </c>
      <c r="FV45" s="133" t="n"/>
      <c r="FW45" s="139">
        <f>FV45*100/$E$45</f>
        <v/>
      </c>
      <c r="FX45" s="133" t="n"/>
      <c r="FY45" s="140">
        <f>FX45*100/$E$45</f>
        <v/>
      </c>
      <c r="FZ45" s="133">
        <f>2+2</f>
        <v/>
      </c>
      <c r="GA45" s="140">
        <f>FZ45*100/$E$45</f>
        <v/>
      </c>
      <c r="GB45" s="133" t="n">
        <v>2</v>
      </c>
      <c r="GC45" s="140">
        <f>GB45*100/$E$45</f>
        <v/>
      </c>
      <c r="GD45" s="133" t="n">
        <v>2</v>
      </c>
      <c r="GE45" s="140">
        <f>GD45*100/$E$45</f>
        <v/>
      </c>
      <c r="GF45" s="133" t="n"/>
      <c r="GG45" s="140">
        <f>GF45*100/$E$45</f>
        <v/>
      </c>
      <c r="GH45" s="133" t="n"/>
      <c r="GI45" s="140">
        <f>GH45*100/$E$45</f>
        <v/>
      </c>
      <c r="GJ45" s="133" t="n"/>
      <c r="GK45" s="139">
        <f>GJ45*100/$E$45</f>
        <v/>
      </c>
      <c r="GL45" s="133" t="n"/>
      <c r="GM45" s="140">
        <f>GL45*100/$E$45</f>
        <v/>
      </c>
      <c r="GN45" s="133" t="n"/>
      <c r="GO45" s="139">
        <f>GN45*100/$E$45</f>
        <v/>
      </c>
      <c r="GP45" s="133" t="n"/>
      <c r="GQ45" s="140">
        <f>GP45*100/$E$45</f>
        <v/>
      </c>
      <c r="GR45" s="133" t="n"/>
      <c r="GS45" s="139">
        <f>GR45*100/$E$45</f>
        <v/>
      </c>
      <c r="GT45" s="133" t="n"/>
      <c r="GU45" s="139">
        <f>GT45*100/$E$45</f>
        <v/>
      </c>
      <c r="GV45" s="133" t="n"/>
      <c r="GW45" s="139">
        <f>GV45*100/$E$45</f>
        <v/>
      </c>
      <c r="GX45" s="133" t="n"/>
      <c r="GY45" s="140">
        <f>GX45*100/$E$45</f>
        <v/>
      </c>
      <c r="GZ45" s="133" t="n"/>
      <c r="HA45" s="140">
        <f>GZ45*100/$E$45</f>
        <v/>
      </c>
      <c r="HB45" s="133" t="n"/>
      <c r="HC45" s="140">
        <f>HB45*100/$E$45</f>
        <v/>
      </c>
      <c r="HD45" s="133" t="n"/>
      <c r="HE45" s="140">
        <f>HD45*100/$E$45</f>
        <v/>
      </c>
      <c r="HF45" s="133" t="n"/>
      <c r="HG45" s="140">
        <f>HF45*100/$E$45</f>
        <v/>
      </c>
      <c r="HH45" s="133" t="n"/>
      <c r="HI45" s="140">
        <f>HH45*100/$E$45</f>
        <v/>
      </c>
      <c r="HJ45" s="133" t="n"/>
      <c r="HK45" s="140">
        <f>HJ45*100/$E$45</f>
        <v/>
      </c>
      <c r="HL45" s="133" t="n"/>
      <c r="HM45" s="140">
        <f>HL45*100/$E$45</f>
        <v/>
      </c>
      <c r="HN45" s="133" t="n"/>
      <c r="HO45" s="140">
        <f>HN45*100/$E$45</f>
        <v/>
      </c>
      <c r="HP45" s="133" t="n"/>
      <c r="HQ45" s="140">
        <f>HP45*100/$E$45</f>
        <v/>
      </c>
      <c r="HR45" s="133" t="n"/>
      <c r="HS45" s="140">
        <f>HR45*100/$E$45</f>
        <v/>
      </c>
      <c r="HT45" s="133" t="n"/>
      <c r="HU45" s="140">
        <f>HT45*100/$E$45</f>
        <v/>
      </c>
      <c r="HV45" s="133" t="n"/>
      <c r="HW45" s="140">
        <f>HV45*100/$E$45</f>
        <v/>
      </c>
      <c r="HX45" s="133" t="n"/>
      <c r="HY45" s="140">
        <f>HX45*100/$E$45</f>
        <v/>
      </c>
      <c r="HZ45" s="133" t="n"/>
      <c r="IA45" s="139">
        <f>HZ45*100/$E$45</f>
        <v/>
      </c>
      <c r="IB45" s="133" t="n"/>
      <c r="IC45" s="139">
        <f>IB45*100/$E$45</f>
        <v/>
      </c>
      <c r="ID45" s="133" t="n"/>
      <c r="IE45" s="139">
        <f>ID45*100/$E$45</f>
        <v/>
      </c>
      <c r="IF45" s="133" t="n"/>
      <c r="IG45" s="139">
        <f>IF45*100/$E$45</f>
        <v/>
      </c>
      <c r="IH45" s="133" t="n"/>
      <c r="II45" s="139">
        <f>IH45*100/$E$45</f>
        <v/>
      </c>
      <c r="IJ45" s="133" t="n"/>
      <c r="IK45" s="139">
        <f>IJ45*100/$E$45</f>
        <v/>
      </c>
      <c r="IL45" s="133" t="n"/>
      <c r="IM45" s="140">
        <f>IL45*100/$E$45</f>
        <v/>
      </c>
      <c r="IN45" s="133" t="n"/>
      <c r="IO45" s="140">
        <f>IN45*100/$E$45</f>
        <v/>
      </c>
      <c r="IP45" s="133" t="n">
        <v>2</v>
      </c>
      <c r="IQ45" s="139">
        <f>IP45*100/$E$45</f>
        <v/>
      </c>
      <c r="IR45" s="133">
        <f>2+2</f>
        <v/>
      </c>
      <c r="IS45" s="139">
        <f>IR45*100/$E$45</f>
        <v/>
      </c>
      <c r="IT45" s="133" t="n"/>
      <c r="IU45" s="139">
        <f>IT45*100/$E$45</f>
        <v/>
      </c>
      <c r="IV45" s="133" t="n"/>
      <c r="IW45" s="139">
        <f>IV45*100/$E$45</f>
        <v/>
      </c>
      <c r="IX45" s="133" t="n"/>
      <c r="IY45" s="139">
        <f>IX45*100/$E$45</f>
        <v/>
      </c>
      <c r="IZ45" s="133" t="n"/>
      <c r="JA45" s="139">
        <f>IZ45*100/$E$45</f>
        <v/>
      </c>
      <c r="JB45" s="133" t="n"/>
      <c r="JC45" s="139">
        <f>JB45*100/$E$45</f>
        <v/>
      </c>
      <c r="JD45" s="133" t="n"/>
      <c r="JE45" s="139">
        <f>JD45*100/$E$45</f>
        <v/>
      </c>
      <c r="JF45" s="133" t="n">
        <v>3</v>
      </c>
      <c r="JG45" s="139">
        <f>JF45*100/$E$45</f>
        <v/>
      </c>
      <c r="JH45" s="133" t="n"/>
      <c r="JI45" s="139">
        <f>JH45*100/$E$45</f>
        <v/>
      </c>
      <c r="JJ45" s="133" t="n"/>
      <c r="JK45" s="139">
        <f>JJ45*100/$E$45</f>
        <v/>
      </c>
      <c r="JL45" s="133" t="n">
        <v>2</v>
      </c>
      <c r="JM45" s="139">
        <f>JL45*100/$E$45</f>
        <v/>
      </c>
      <c r="JN45" s="133" t="n"/>
      <c r="JO45" s="182">
        <f>JN45*100/$E$45</f>
        <v/>
      </c>
      <c r="JP45" s="133" t="n"/>
      <c r="JQ45" s="182">
        <f>JP45*100/$E$45</f>
        <v/>
      </c>
      <c r="JR45" s="133" t="n"/>
      <c r="JS45" s="182">
        <f>JR45*100/$E$45</f>
        <v/>
      </c>
      <c r="JT45" s="133" t="n"/>
      <c r="JU45" s="182">
        <f>JT45*100/$E$45</f>
        <v/>
      </c>
      <c r="JV45" s="133" t="n"/>
      <c r="JW45" s="182">
        <f>JV45*100/$E$45</f>
        <v/>
      </c>
      <c r="JX45" s="133" t="n"/>
      <c r="JY45" s="182">
        <f>JX45*100/$E$45</f>
        <v/>
      </c>
      <c r="JZ45" s="183">
        <f>JN45+JP45+JR45+JT45+JV45+JX45</f>
        <v/>
      </c>
      <c r="KA45" s="184">
        <f>JO45+JQ45+JS45+JU45+JW45+JY45</f>
        <v/>
      </c>
      <c r="KB45" s="185">
        <f>H45+J45+L45+N45+P45+R45+T45+V45+X45+Z45+AB45+AD45+AF45+AH45+AJ45+AL45+AN45+AP45+AR45+AT45+AV45+AX45+AZ45+BB45+BD45+BF45+BH45+BJ45+BL45+BN45+BP45+BR45+BT45+BV45+BX45+BZ45+CB45+CD45+CF45+CH45+CZ45+DB45+DD45+DF45+DH45+DJ45+DL45+DN45+DP45+DR45+DT45+DV45+DX45+DZ45+EB45+ED45+EF45+EH45+EJ45+EL45+EN45+EP45+ER45+ET45+EV45+FN45+FP45+FR45+FT45+FV45+FX45+FZ45+GB45+GD45+GF45+GH45+GJ45+GL45+GN45+GP45+GR45+GT45+GV45+GX45+GZ45+HB45+HD45+HF45+HH45+HJ45+HL45+HN45+HP45+HR45+HT45+HV45+HX45+HZ45+IB45+ID45+IF45+IH45+IJ45+IL45+IN45+IP45+IR45+IT45+IV45+IX45+IZ45+JB45+JD45+JF45+JH45+JJ45+JL45+JZ45+CJ45+CL45+CN45+CP45+CR45+CT45+CV45+CX45+EX45+EZ45+FB45+FD45+FF45+FH45+FJ45+FL45</f>
        <v/>
      </c>
      <c r="KC45" s="186">
        <f>I45+K45+M45+O45+Q45+S45+U45+W45+Y45+AA45+AC45+AE45+AG45+AI45+AK45+AM45+AO45+AQ45+AS45+AU45+AW45+AY45+BA45+BC45+BE45+BG45+BI45+BK45+BM45+BO45+BQ45+BS45+BU45+BW45+BY45+CA45+CC45+CE45+CG45+CI45+DA45+DC45+DE45+DG45+DI45+DK45+DM45+DO45+DQ45+DS45+DU45+DW45+DY45+EA45+EC45+EE45+EG45+EI45+EK45+EM45+EO45+EQ45+ES45+EU45+EW45+FO45+FS45+FU45+FW45+FQ45+FY45+GA45+GC45+GE45+GG45+GI45+GK45+GM45+GO45+GQ45+GS45+GU45+GW45+GY45+HA45+HC45+HE45+HG45+HI45+HK45+HM45+HO45+HQ45+HS45+HU45+HW45+HY45+IA45+IC45+IE45+IG45+II45+IK45+IM45+IO45+IQ45+IS45+IU45+IW45+IY45+JA45+JC45+JE45+JG45+JI45+JK45+JM45+KA45+CK45+CM45+CO45+CQ45+CS45+CU45+CW45+CY45+EY45+FA45+FC45+FE45+FG45+FI45+FK45+FM45</f>
        <v/>
      </c>
      <c r="KD45" s="187">
        <f>JO45+JQ45+JS45+JU45+JW45+JY45</f>
        <v/>
      </c>
      <c r="KE45" s="188">
        <f>KB45=E45</f>
        <v/>
      </c>
      <c r="KF45" s="189">
        <f>E45-KB45</f>
        <v/>
      </c>
      <c r="KG45" s="196" t="n"/>
    </row>
    <row r="46" ht="21.75" customFormat="1" customHeight="1" s="212">
      <c r="A46" s="126">
        <f>A45+1</f>
        <v/>
      </c>
      <c r="B46" s="175" t="inlineStr">
        <is>
          <t>Фещенко Д.М.</t>
        </is>
      </c>
      <c r="C46" s="176" t="inlineStr">
        <is>
          <t xml:space="preserve">Оператор СПУ </t>
        </is>
      </c>
      <c r="D46" s="177">
        <f>$D$5</f>
        <v/>
      </c>
      <c r="E46" s="202" t="n">
        <v>172</v>
      </c>
      <c r="F46" s="193" t="n">
        <v>101149.88</v>
      </c>
      <c r="G46" s="179">
        <f>F46/D46</f>
        <v/>
      </c>
      <c r="H46" s="180" t="n"/>
      <c r="I46" s="140">
        <f>H46*100/$E$46</f>
        <v/>
      </c>
      <c r="J46" s="133" t="n"/>
      <c r="K46" s="140">
        <f>J46*100/$E$46</f>
        <v/>
      </c>
      <c r="L46" s="133" t="n"/>
      <c r="M46" s="140">
        <f>L46*100/$E$46</f>
        <v/>
      </c>
      <c r="N46" s="133" t="n"/>
      <c r="O46" s="140">
        <f>N46*100/$E$46</f>
        <v/>
      </c>
      <c r="P46" s="133" t="n"/>
      <c r="Q46" s="139">
        <f>P46*100/$E$46</f>
        <v/>
      </c>
      <c r="R46" s="180" t="n"/>
      <c r="S46" s="139">
        <f>R46*100/$E$46</f>
        <v/>
      </c>
      <c r="T46" s="133" t="n"/>
      <c r="U46" s="140">
        <f>T46*100/$E$46</f>
        <v/>
      </c>
      <c r="V46" s="133" t="n"/>
      <c r="W46" s="140">
        <f>V46*100/$E$46</f>
        <v/>
      </c>
      <c r="X46" s="133" t="n"/>
      <c r="Y46" s="140">
        <f>X46*100/$E$46</f>
        <v/>
      </c>
      <c r="Z46" s="133" t="n"/>
      <c r="AA46" s="140">
        <f>Z46*100/$E$46</f>
        <v/>
      </c>
      <c r="AB46" s="133" t="n"/>
      <c r="AC46" s="140">
        <f>AB46*100/$E$46</f>
        <v/>
      </c>
      <c r="AD46" s="133" t="n"/>
      <c r="AE46" s="139">
        <f>AD46*100/$E$46</f>
        <v/>
      </c>
      <c r="AF46" s="133" t="n"/>
      <c r="AG46" s="139">
        <f>AF46*100/$E$46</f>
        <v/>
      </c>
      <c r="AH46" s="133" t="n"/>
      <c r="AI46" s="140">
        <f>AH46*100/$E$46</f>
        <v/>
      </c>
      <c r="AJ46" s="133" t="n"/>
      <c r="AK46" s="140">
        <f>AJ46*100/$E$46</f>
        <v/>
      </c>
      <c r="AL46" s="133" t="n"/>
      <c r="AM46" s="140">
        <f>AL46*100/$E$46</f>
        <v/>
      </c>
      <c r="AN46" s="133" t="n">
        <v>18</v>
      </c>
      <c r="AO46" s="140">
        <f>AN46*100/$E$46</f>
        <v/>
      </c>
      <c r="AP46" s="133" t="n"/>
      <c r="AQ46" s="140">
        <f>AP46*100/$E$46</f>
        <v/>
      </c>
      <c r="AR46" s="133" t="n"/>
      <c r="AS46" s="140">
        <f>AR46*100/$E$46</f>
        <v/>
      </c>
      <c r="AT46" s="133" t="n"/>
      <c r="AU46" s="181">
        <f>AT46*100/$E$46</f>
        <v/>
      </c>
      <c r="AV46" s="133" t="n"/>
      <c r="AW46" s="140">
        <f>AV46*100/$E$46</f>
        <v/>
      </c>
      <c r="AX46" s="133" t="n"/>
      <c r="AY46" s="140">
        <f>AX46*100/$E$46</f>
        <v/>
      </c>
      <c r="AZ46" s="133" t="n"/>
      <c r="BA46" s="140">
        <f>AZ46*100/$E$46</f>
        <v/>
      </c>
      <c r="BB46" s="133" t="n"/>
      <c r="BC46" s="140">
        <f>BB46*100/$E$46</f>
        <v/>
      </c>
      <c r="BD46" s="133" t="n"/>
      <c r="BE46" s="140">
        <f>BD46*100/$E$46</f>
        <v/>
      </c>
      <c r="BF46" s="133" t="n"/>
      <c r="BG46" s="140">
        <f>BF46*100/$E$46</f>
        <v/>
      </c>
      <c r="BH46" s="133" t="n"/>
      <c r="BI46" s="140">
        <f>BH46*100/$E$46</f>
        <v/>
      </c>
      <c r="BJ46" s="133" t="n"/>
      <c r="BK46" s="140">
        <f>BJ46*100/$E$46</f>
        <v/>
      </c>
      <c r="BL46" s="133" t="n"/>
      <c r="BM46" s="140">
        <f>BL46*100/$E$46</f>
        <v/>
      </c>
      <c r="BN46" s="133" t="n"/>
      <c r="BO46" s="140">
        <f>BN46*100/$E$46</f>
        <v/>
      </c>
      <c r="BP46" s="133" t="n"/>
      <c r="BQ46" s="140">
        <f>BP46*100/$E$46</f>
        <v/>
      </c>
      <c r="BR46" s="133" t="n"/>
      <c r="BS46" s="140">
        <f>BR46*100/$E$46</f>
        <v/>
      </c>
      <c r="BT46" s="133" t="n"/>
      <c r="BU46" s="140">
        <f>BT46*100/$E$46</f>
        <v/>
      </c>
      <c r="BV46" s="133" t="n"/>
      <c r="BW46" s="140">
        <f>BV46*100/$E$46</f>
        <v/>
      </c>
      <c r="BX46" s="133" t="n"/>
      <c r="BY46" s="140">
        <f>BX46*100/$E$46</f>
        <v/>
      </c>
      <c r="BZ46" s="133" t="n"/>
      <c r="CA46" s="140">
        <f>BZ46*100/$E$46</f>
        <v/>
      </c>
      <c r="CB46" s="133" t="n"/>
      <c r="CC46" s="140">
        <f>CB46*100/$E$46</f>
        <v/>
      </c>
      <c r="CD46" s="133" t="n"/>
      <c r="CE46" s="140">
        <f>CD46*100/$E$46</f>
        <v/>
      </c>
      <c r="CF46" s="133" t="n"/>
      <c r="CG46" s="140">
        <f>CF46*100/$E$46</f>
        <v/>
      </c>
      <c r="CH46" s="133" t="n"/>
      <c r="CI46" s="140">
        <f>CH46*100/$E$46</f>
        <v/>
      </c>
      <c r="CJ46" s="133" t="n"/>
      <c r="CK46" s="140">
        <f>CJ46*100/$E$46</f>
        <v/>
      </c>
      <c r="CL46" s="133" t="n"/>
      <c r="CM46" s="140">
        <f>CL46*100/$E$46</f>
        <v/>
      </c>
      <c r="CN46" s="133" t="n"/>
      <c r="CO46" s="139">
        <f>CN46*100/$E$46</f>
        <v/>
      </c>
      <c r="CP46" s="133" t="n"/>
      <c r="CQ46" s="140">
        <f>CP46*100/$E$46</f>
        <v/>
      </c>
      <c r="CR46" s="133" t="n"/>
      <c r="CS46" s="139">
        <f>CR46*100/$E$46</f>
        <v/>
      </c>
      <c r="CT46" s="133" t="n"/>
      <c r="CU46" s="139">
        <f>CT46*100/$E$46</f>
        <v/>
      </c>
      <c r="CV46" s="133" t="n"/>
      <c r="CW46" s="139">
        <f>CV46*100/$E$46</f>
        <v/>
      </c>
      <c r="CX46" s="133" t="n"/>
      <c r="CY46" s="139">
        <f>CX46*100/$E$46</f>
        <v/>
      </c>
      <c r="CZ46" s="133" t="n"/>
      <c r="DA46" s="139">
        <f>CZ46*100/$E$46</f>
        <v/>
      </c>
      <c r="DB46" s="133" t="n">
        <v>12</v>
      </c>
      <c r="DC46" s="139">
        <f>DB46*100/$E$46</f>
        <v/>
      </c>
      <c r="DD46" s="133" t="n"/>
      <c r="DE46" s="139">
        <f>DD46*100/$E$46</f>
        <v/>
      </c>
      <c r="DF46" s="133" t="n">
        <v>30</v>
      </c>
      <c r="DG46" s="139">
        <f>DF46*100/$E$46</f>
        <v/>
      </c>
      <c r="DH46" s="133" t="n"/>
      <c r="DI46" s="139">
        <f>DH46*100/$E$46</f>
        <v/>
      </c>
      <c r="DJ46" s="133" t="n"/>
      <c r="DK46" s="139">
        <f>DJ46*100/$E$46</f>
        <v/>
      </c>
      <c r="DL46" s="133" t="n"/>
      <c r="DM46" s="139">
        <f>DL46*100/$E$46</f>
        <v/>
      </c>
      <c r="DN46" s="133" t="n"/>
      <c r="DO46" s="139">
        <f>DN46*100/$E$46</f>
        <v/>
      </c>
      <c r="DP46" s="133" t="n"/>
      <c r="DQ46" s="139">
        <f>DP46*100/$E$46</f>
        <v/>
      </c>
      <c r="DR46" s="133" t="n"/>
      <c r="DS46" s="139">
        <f>DR46*100/$E$46</f>
        <v/>
      </c>
      <c r="DT46" s="133" t="n"/>
      <c r="DU46" s="139">
        <f>DT46*100/$E$46</f>
        <v/>
      </c>
      <c r="DV46" s="133" t="n"/>
      <c r="DW46" s="139">
        <f>DV46*100/$E$46</f>
        <v/>
      </c>
      <c r="DX46" s="133" t="n"/>
      <c r="DY46" s="139">
        <f>DX46*100/$E$46</f>
        <v/>
      </c>
      <c r="DZ46" s="133" t="n"/>
      <c r="EA46" s="139">
        <f>DZ46*100/$E$46</f>
        <v/>
      </c>
      <c r="EB46" s="133" t="n"/>
      <c r="EC46" s="139">
        <f>EB46*100/$E$46</f>
        <v/>
      </c>
      <c r="ED46" s="133" t="n">
        <v>12</v>
      </c>
      <c r="EE46" s="139">
        <f>ED46*100/$E$46</f>
        <v/>
      </c>
      <c r="EF46" s="133" t="n">
        <v>18</v>
      </c>
      <c r="EG46" s="139">
        <f>EF46*100/$E$46</f>
        <v/>
      </c>
      <c r="EH46" s="133" t="n">
        <v>12</v>
      </c>
      <c r="EI46" s="139">
        <f>EH46*100/$E$46</f>
        <v/>
      </c>
      <c r="EJ46" s="133" t="n">
        <v>16</v>
      </c>
      <c r="EK46" s="139">
        <f>EJ46*100/$E$46</f>
        <v/>
      </c>
      <c r="EL46" s="133" t="n">
        <v>24</v>
      </c>
      <c r="EM46" s="139">
        <f>EL46*100/$E$46</f>
        <v/>
      </c>
      <c r="EN46" s="133" t="n"/>
      <c r="EO46" s="139">
        <f>EN46*100/$E$46</f>
        <v/>
      </c>
      <c r="EP46" s="133" t="n"/>
      <c r="EQ46" s="139">
        <f>EP46*100/$E$46</f>
        <v/>
      </c>
      <c r="ER46" s="133" t="n"/>
      <c r="ES46" s="139">
        <f>ER46*100/$E$46</f>
        <v/>
      </c>
      <c r="ET46" s="133" t="n">
        <v>12</v>
      </c>
      <c r="EU46" s="139">
        <f>ET46*100/$E$46</f>
        <v/>
      </c>
      <c r="EV46" s="133" t="n"/>
      <c r="EW46" s="139">
        <f>EV46*100/$E$46</f>
        <v/>
      </c>
      <c r="EX46" s="133" t="n"/>
      <c r="EY46" s="139">
        <f>EX46*100/$E$46</f>
        <v/>
      </c>
      <c r="EZ46" s="133" t="n">
        <v>18</v>
      </c>
      <c r="FA46" s="139">
        <f>EZ46*100/$E$46</f>
        <v/>
      </c>
      <c r="FB46" s="133" t="n"/>
      <c r="FC46" s="139">
        <f>FB46*100/$E$46</f>
        <v/>
      </c>
      <c r="FD46" s="133" t="n"/>
      <c r="FE46" s="139">
        <f>FD46*100/$E$46</f>
        <v/>
      </c>
      <c r="FF46" s="133" t="n"/>
      <c r="FG46" s="139">
        <f>FF46*100/$E$46</f>
        <v/>
      </c>
      <c r="FH46" s="133" t="n"/>
      <c r="FI46" s="139">
        <f>FH46*100/$E$46</f>
        <v/>
      </c>
      <c r="FJ46" s="133" t="n"/>
      <c r="FK46" s="139">
        <f>FJ46*100/$E$46</f>
        <v/>
      </c>
      <c r="FL46" s="133" t="n"/>
      <c r="FM46" s="139">
        <f>FL46*100/$E$46</f>
        <v/>
      </c>
      <c r="FN46" s="133" t="n"/>
      <c r="FO46" s="139">
        <f>FN46*100/$E$46</f>
        <v/>
      </c>
      <c r="FP46" s="133" t="n"/>
      <c r="FQ46" s="139">
        <f>FP46*100/$E$46</f>
        <v/>
      </c>
      <c r="FR46" s="133" t="n"/>
      <c r="FS46" s="139">
        <f>FR46*100/$E$46</f>
        <v/>
      </c>
      <c r="FT46" s="133" t="n"/>
      <c r="FU46" s="139">
        <f>FT46*100/$E$46</f>
        <v/>
      </c>
      <c r="FV46" s="133" t="n"/>
      <c r="FW46" s="139">
        <f>FV46*100/$E$46</f>
        <v/>
      </c>
      <c r="FX46" s="133" t="n"/>
      <c r="FY46" s="140">
        <f>FX46*100/$E$46</f>
        <v/>
      </c>
      <c r="FZ46" s="133" t="n"/>
      <c r="GA46" s="140">
        <f>FZ46*100/$E$46</f>
        <v/>
      </c>
      <c r="GB46" s="133" t="n"/>
      <c r="GC46" s="140">
        <f>GB46*100/$E$46</f>
        <v/>
      </c>
      <c r="GD46" s="133" t="n"/>
      <c r="GE46" s="140">
        <f>GD46*100/$E$46</f>
        <v/>
      </c>
      <c r="GF46" s="133" t="n"/>
      <c r="GG46" s="140">
        <f>GF46*100/$E$46</f>
        <v/>
      </c>
      <c r="GH46" s="133" t="n"/>
      <c r="GI46" s="140">
        <f>GH46*100/$E$46</f>
        <v/>
      </c>
      <c r="GJ46" s="133" t="n"/>
      <c r="GK46" s="139">
        <f>GJ46*100/$E$46</f>
        <v/>
      </c>
      <c r="GL46" s="133" t="n"/>
      <c r="GM46" s="140">
        <f>GL46*100/$E$46</f>
        <v/>
      </c>
      <c r="GN46" s="133" t="n"/>
      <c r="GO46" s="139">
        <f>GN46*100/$E$46</f>
        <v/>
      </c>
      <c r="GP46" s="133" t="n"/>
      <c r="GQ46" s="140">
        <f>GP46*100/$E$46</f>
        <v/>
      </c>
      <c r="GR46" s="133" t="n"/>
      <c r="GS46" s="139">
        <f>GR46*100/$E$46</f>
        <v/>
      </c>
      <c r="GT46" s="133" t="n"/>
      <c r="GU46" s="139">
        <f>GT46*100/$E$46</f>
        <v/>
      </c>
      <c r="GV46" s="133" t="n"/>
      <c r="GW46" s="139">
        <f>GV46*100/$E$46</f>
        <v/>
      </c>
      <c r="GX46" s="133" t="n"/>
      <c r="GY46" s="140">
        <f>GX46*100/$E$46</f>
        <v/>
      </c>
      <c r="GZ46" s="133" t="n"/>
      <c r="HA46" s="140">
        <f>GZ46*100/$E$46</f>
        <v/>
      </c>
      <c r="HB46" s="133" t="n"/>
      <c r="HC46" s="140">
        <f>HB46*100/$E$46</f>
        <v/>
      </c>
      <c r="HD46" s="133" t="n"/>
      <c r="HE46" s="140">
        <f>HD46*100/$E$46</f>
        <v/>
      </c>
      <c r="HF46" s="133" t="n"/>
      <c r="HG46" s="140">
        <f>HF46*100/$E$46</f>
        <v/>
      </c>
      <c r="HH46" s="133" t="n"/>
      <c r="HI46" s="140">
        <f>HH46*100/$E$46</f>
        <v/>
      </c>
      <c r="HJ46" s="133" t="n"/>
      <c r="HK46" s="140">
        <f>HJ46*100/$E$46</f>
        <v/>
      </c>
      <c r="HL46" s="133" t="n"/>
      <c r="HM46" s="140">
        <f>HL46*100/$E$46</f>
        <v/>
      </c>
      <c r="HN46" s="133" t="n"/>
      <c r="HO46" s="140">
        <f>HN46*100/$E$46</f>
        <v/>
      </c>
      <c r="HP46" s="133" t="n"/>
      <c r="HQ46" s="140">
        <f>HP46*100/$E$46</f>
        <v/>
      </c>
      <c r="HR46" s="133" t="n"/>
      <c r="HS46" s="140">
        <f>HR46*100/$E$46</f>
        <v/>
      </c>
      <c r="HT46" s="133" t="n"/>
      <c r="HU46" s="140">
        <f>HT46*100/$E$46</f>
        <v/>
      </c>
      <c r="HV46" s="133" t="n"/>
      <c r="HW46" s="140">
        <f>HV46*100/$E$46</f>
        <v/>
      </c>
      <c r="HX46" s="133" t="n"/>
      <c r="HY46" s="140">
        <f>HX46*100/$E$46</f>
        <v/>
      </c>
      <c r="HZ46" s="133" t="n"/>
      <c r="IA46" s="139">
        <f>HZ46*100/$E$46</f>
        <v/>
      </c>
      <c r="IB46" s="133" t="n"/>
      <c r="IC46" s="139">
        <f>IB46*100/$E$46</f>
        <v/>
      </c>
      <c r="ID46" s="133" t="n"/>
      <c r="IE46" s="139">
        <f>ID46*100/$E$46</f>
        <v/>
      </c>
      <c r="IF46" s="133" t="n"/>
      <c r="IG46" s="139">
        <f>IF46*100/$E$46</f>
        <v/>
      </c>
      <c r="IH46" s="133" t="n"/>
      <c r="II46" s="139">
        <f>IH46*100/$E$46</f>
        <v/>
      </c>
      <c r="IJ46" s="133" t="n"/>
      <c r="IK46" s="139">
        <f>IJ46*100/$E$46</f>
        <v/>
      </c>
      <c r="IL46" s="133" t="n"/>
      <c r="IM46" s="140">
        <f>IL46*100/$E$46</f>
        <v/>
      </c>
      <c r="IN46" s="133" t="n"/>
      <c r="IO46" s="140">
        <f>IN46*100/$E$46</f>
        <v/>
      </c>
      <c r="IP46" s="133" t="n"/>
      <c r="IQ46" s="139">
        <f>IP46*100/$E$46</f>
        <v/>
      </c>
      <c r="IR46" s="133" t="n"/>
      <c r="IS46" s="139">
        <f>IR46*100/$E$46</f>
        <v/>
      </c>
      <c r="IT46" s="133" t="n"/>
      <c r="IU46" s="139">
        <f>IT46*100/$E$46</f>
        <v/>
      </c>
      <c r="IV46" s="133" t="n"/>
      <c r="IW46" s="139">
        <f>IV46*100/$E$46</f>
        <v/>
      </c>
      <c r="IX46" s="133" t="n"/>
      <c r="IY46" s="139">
        <f>IX46*100/$E$46</f>
        <v/>
      </c>
      <c r="IZ46" s="133" t="n"/>
      <c r="JA46" s="139">
        <f>IZ46*100/$E$46</f>
        <v/>
      </c>
      <c r="JB46" s="133" t="n"/>
      <c r="JC46" s="139">
        <f>JB46*100/$E$46</f>
        <v/>
      </c>
      <c r="JD46" s="133" t="n"/>
      <c r="JE46" s="139">
        <f>JD46*100/$E$46</f>
        <v/>
      </c>
      <c r="JF46" s="133" t="n"/>
      <c r="JG46" s="139">
        <f>JF46*100/$E$46</f>
        <v/>
      </c>
      <c r="JH46" s="133" t="n"/>
      <c r="JI46" s="139">
        <f>JH46*100/$E$46</f>
        <v/>
      </c>
      <c r="JJ46" s="133" t="n"/>
      <c r="JK46" s="139">
        <f>JJ46*100/$E$46</f>
        <v/>
      </c>
      <c r="JL46" s="133" t="n"/>
      <c r="JM46" s="139">
        <f>JL46*100/$E$46</f>
        <v/>
      </c>
      <c r="JN46" s="133" t="n"/>
      <c r="JO46" s="182">
        <f>JN46*100/$E$46</f>
        <v/>
      </c>
      <c r="JP46" s="133" t="n"/>
      <c r="JQ46" s="182">
        <f>JP46*100/$E$46</f>
        <v/>
      </c>
      <c r="JR46" s="133" t="n"/>
      <c r="JS46" s="182">
        <f>JR46*100/$E$46</f>
        <v/>
      </c>
      <c r="JT46" s="133" t="n"/>
      <c r="JU46" s="182">
        <f>JT46*100/$E$46</f>
        <v/>
      </c>
      <c r="JV46" s="133" t="n"/>
      <c r="JW46" s="182">
        <f>JV46*100/$E$46</f>
        <v/>
      </c>
      <c r="JX46" s="133" t="n"/>
      <c r="JY46" s="182">
        <f>JX46*100/$E$46</f>
        <v/>
      </c>
      <c r="JZ46" s="183">
        <f>JN46+JP46+JR46+JT46+JV46+JX46</f>
        <v/>
      </c>
      <c r="KA46" s="184">
        <f>JO46+JQ46+JS46+JU46+JW46+JY46</f>
        <v/>
      </c>
      <c r="KB46" s="185">
        <f>H46+J46+L46+N46+P46+R46+T46+V46+X46+Z46+AB46+AD46+AF46+AH46+AJ46+AL46+AN46+AP46+AR46+AT46+AV46+AX46+AZ46+BB46+BD46+BF46+BH46+BJ46+BL46+BN46+BP46+BR46+BT46+BV46+BX46+BZ46+CB46+CD46+CF46+CH46+CZ46+DB46+DD46+DF46+DH46+DJ46+DL46+DN46+DP46+DR46+DT46+DV46+DX46+DZ46+EB46+ED46+EF46+EH46+EJ46+EL46+EN46+EP46+ER46+ET46+EV46+FN46+FP46+FR46+FT46+FV46+FX46+FZ46+GB46+GD46+GF46+GH46+GJ46+GL46+GN46+GP46+GR46+GT46+GV46+GX46+GZ46+HB46+HD46+HF46+HH46+HJ46+HL46+HN46+HP46+HR46+HT46+HV46+HX46+HZ46+IB46+ID46+IF46+IH46+IJ46+IL46+IN46+IP46+IR46+IT46+IV46+IX46+IZ46+JB46+JD46+JF46+JH46+JJ46+JL46+JZ46+CJ46+CL46+CN46+CP46+CR46+CT46+CV46+CX46+EX46+EZ46+FB46+FD46+FF46+FH46+FJ46+FL46</f>
        <v/>
      </c>
      <c r="KC46" s="186">
        <f>I46+K46+M46+O46+Q46+S46+U46+W46+Y46+AA46+AC46+AE46+AG46+AI46+AK46+AM46+AO46+AQ46+AS46+AU46+AW46+AY46+BA46+BC46+BE46+BG46+BI46+BK46+BM46+BO46+BQ46+BS46+BU46+BW46+BY46+CA46+CC46+CE46+CG46+CI46+DA46+DC46+DE46+DG46+DI46+DK46+DM46+DO46+DQ46+DS46+DU46+DW46+DY46+EA46+EC46+EE46+EG46+EI46+EK46+EM46+EO46+EQ46+ES46+EU46+EW46+FO46+FS46+FU46+FW46+FQ46+FY46+GA46+GC46+GE46+GG46+GI46+GK46+GM46+GO46+GQ46+GS46+GU46+GW46+GY46+HA46+HC46+HE46+HG46+HI46+HK46+HM46+HO46+HQ46+HS46+HU46+HW46+HY46+IA46+IC46+IE46+IG46+II46+IK46+IM46+IO46+IQ46+IS46+IU46+IW46+IY46+JA46+JC46+JE46+JG46+JI46+JK46+JM46+KA46+CK46+CM46+CO46+CQ46+CS46+CU46+CW46+CY46+EY46+FA46+FC46+FE46+FG46+FI46+FK46+FM46</f>
        <v/>
      </c>
      <c r="KD46" s="187">
        <f>JO46+JQ46+JS46+JU46+JW46+JY46</f>
        <v/>
      </c>
      <c r="KE46" s="188">
        <f>KB46=E46</f>
        <v/>
      </c>
      <c r="KF46" s="189">
        <f>E46-KB46</f>
        <v/>
      </c>
      <c r="KG46" s="210" t="n"/>
    </row>
    <row r="47" ht="21.75" customFormat="1" customHeight="1" s="212">
      <c r="A47" s="126">
        <f>A46+1</f>
        <v/>
      </c>
      <c r="B47" s="175" t="inlineStr">
        <is>
          <t>Чередников В.С.</t>
        </is>
      </c>
      <c r="C47" s="176" t="inlineStr">
        <is>
          <t>токарь</t>
        </is>
      </c>
      <c r="D47" s="206">
        <f>$D$5</f>
        <v/>
      </c>
      <c r="E47" s="207" t="n">
        <v>144</v>
      </c>
      <c r="F47" s="193" t="n">
        <v>74712.64</v>
      </c>
      <c r="G47" s="179">
        <f>F47/D47</f>
        <v/>
      </c>
      <c r="H47" s="180" t="n">
        <v>26</v>
      </c>
      <c r="I47" s="140">
        <f>H47*100/$E$47</f>
        <v/>
      </c>
      <c r="J47" s="133" t="n"/>
      <c r="K47" s="140">
        <f>J47*100/$E$47</f>
        <v/>
      </c>
      <c r="L47" s="133" t="n"/>
      <c r="M47" s="140">
        <f>L47*100/$E$47</f>
        <v/>
      </c>
      <c r="N47" s="133" t="n"/>
      <c r="O47" s="140">
        <f>N47*100/$E$47</f>
        <v/>
      </c>
      <c r="P47" s="133" t="n"/>
      <c r="Q47" s="139">
        <f>P47*100/$E$47</f>
        <v/>
      </c>
      <c r="R47" s="133" t="n"/>
      <c r="S47" s="139">
        <f>R47*100/$E$47</f>
        <v/>
      </c>
      <c r="T47" s="133" t="n"/>
      <c r="U47" s="140">
        <f>T47*100/$E$47</f>
        <v/>
      </c>
      <c r="V47" s="133" t="n"/>
      <c r="W47" s="140">
        <f>V47*100/$E$47</f>
        <v/>
      </c>
      <c r="X47" s="133" t="n"/>
      <c r="Y47" s="140">
        <f>X47*100/$E$47</f>
        <v/>
      </c>
      <c r="Z47" s="133" t="n"/>
      <c r="AA47" s="140">
        <f>Z47*100/$E$47</f>
        <v/>
      </c>
      <c r="AB47" s="133" t="n"/>
      <c r="AC47" s="140">
        <f>AB47*100/$E$47</f>
        <v/>
      </c>
      <c r="AD47" s="133" t="n"/>
      <c r="AE47" s="139">
        <f>AD47*100/$E$47</f>
        <v/>
      </c>
      <c r="AF47" s="133" t="n"/>
      <c r="AG47" s="139">
        <f>AF47*100/$E$47</f>
        <v/>
      </c>
      <c r="AH47" s="133" t="n"/>
      <c r="AI47" s="140">
        <f>AH47*100/$E$47</f>
        <v/>
      </c>
      <c r="AJ47" s="133" t="n"/>
      <c r="AK47" s="140">
        <f>AJ47*100/$E$47</f>
        <v/>
      </c>
      <c r="AL47" s="133" t="n"/>
      <c r="AM47" s="140">
        <f>AL47*100/$E$47</f>
        <v/>
      </c>
      <c r="AN47" s="133" t="n">
        <v>8</v>
      </c>
      <c r="AO47" s="140">
        <f>AN47*100/$E$47</f>
        <v/>
      </c>
      <c r="AP47" s="133" t="n"/>
      <c r="AQ47" s="140">
        <f>AP47*100/$E$47</f>
        <v/>
      </c>
      <c r="AR47" s="133" t="n"/>
      <c r="AS47" s="140">
        <f>AR47*100/$E$47</f>
        <v/>
      </c>
      <c r="AT47" s="133" t="n"/>
      <c r="AU47" s="181">
        <f>AT47*100/$E$47</f>
        <v/>
      </c>
      <c r="AV47" s="133" t="n"/>
      <c r="AW47" s="140">
        <f>AV47*100/$E$47</f>
        <v/>
      </c>
      <c r="AX47" s="133" t="n"/>
      <c r="AY47" s="140">
        <f>AX47*100/$E$47</f>
        <v/>
      </c>
      <c r="AZ47" s="133" t="n"/>
      <c r="BA47" s="140">
        <f>AZ47*100/$E$47</f>
        <v/>
      </c>
      <c r="BB47" s="133" t="n"/>
      <c r="BC47" s="140">
        <f>BB47*100/$E$47</f>
        <v/>
      </c>
      <c r="BD47" s="133" t="n"/>
      <c r="BE47" s="140">
        <f>BD47*100/$E$47</f>
        <v/>
      </c>
      <c r="BF47" s="133" t="n"/>
      <c r="BG47" s="140">
        <f>BF47*100/$E$47</f>
        <v/>
      </c>
      <c r="BH47" s="133" t="n"/>
      <c r="BI47" s="140">
        <f>BH47*100/$E$47</f>
        <v/>
      </c>
      <c r="BJ47" s="133" t="n"/>
      <c r="BK47" s="140">
        <f>BJ47*100/$E$47</f>
        <v/>
      </c>
      <c r="BL47" s="133" t="n"/>
      <c r="BM47" s="140">
        <f>BL47*100/$E$47</f>
        <v/>
      </c>
      <c r="BN47" s="133" t="n"/>
      <c r="BO47" s="140">
        <f>BN47*100/$E$47</f>
        <v/>
      </c>
      <c r="BP47" s="133" t="n"/>
      <c r="BQ47" s="140">
        <f>BP47*100/$E$47</f>
        <v/>
      </c>
      <c r="BR47" s="133" t="n">
        <v>8</v>
      </c>
      <c r="BS47" s="140">
        <f>BR47*100/$E$47</f>
        <v/>
      </c>
      <c r="BT47" s="133" t="n"/>
      <c r="BU47" s="140">
        <f>BT47*100/$E$47</f>
        <v/>
      </c>
      <c r="BV47" s="133" t="n"/>
      <c r="BW47" s="140">
        <f>BV47*100/$E$47</f>
        <v/>
      </c>
      <c r="BX47" s="133" t="n"/>
      <c r="BY47" s="140">
        <f>BX47*100/$E$47</f>
        <v/>
      </c>
      <c r="BZ47" s="133" t="n">
        <v>8</v>
      </c>
      <c r="CA47" s="140">
        <f>BZ47*100/$E$47</f>
        <v/>
      </c>
      <c r="CB47" s="133" t="n">
        <v>48</v>
      </c>
      <c r="CC47" s="140">
        <f>CB47*100/$E$47</f>
        <v/>
      </c>
      <c r="CD47" s="133" t="n"/>
      <c r="CE47" s="140">
        <f>CD47*100/$E$47</f>
        <v/>
      </c>
      <c r="CF47" s="133" t="n"/>
      <c r="CG47" s="140">
        <f>CF47*100/$E$47</f>
        <v/>
      </c>
      <c r="CH47" s="133" t="n"/>
      <c r="CI47" s="140">
        <f>CH47*100/$E$47</f>
        <v/>
      </c>
      <c r="CJ47" s="133" t="n"/>
      <c r="CK47" s="140">
        <f>CJ47*100/$E$47</f>
        <v/>
      </c>
      <c r="CL47" s="133" t="n"/>
      <c r="CM47" s="140">
        <f>CL47*100/$E$47</f>
        <v/>
      </c>
      <c r="CN47" s="133" t="n"/>
      <c r="CO47" s="139">
        <f>CN47*100/$E$47</f>
        <v/>
      </c>
      <c r="CP47" s="133" t="n"/>
      <c r="CQ47" s="140">
        <f>CP47*100/$E$47</f>
        <v/>
      </c>
      <c r="CR47" s="133" t="n"/>
      <c r="CS47" s="139">
        <f>CR47*100/$E$47</f>
        <v/>
      </c>
      <c r="CT47" s="133" t="n">
        <v>8</v>
      </c>
      <c r="CU47" s="139">
        <f>CT47*100/$E$47</f>
        <v/>
      </c>
      <c r="CV47" s="133" t="n"/>
      <c r="CW47" s="139">
        <f>CV47*100/$E$47</f>
        <v/>
      </c>
      <c r="CX47" s="133" t="n">
        <v>14</v>
      </c>
      <c r="CY47" s="139">
        <f>CX47*100/$E$47</f>
        <v/>
      </c>
      <c r="CZ47" s="133" t="n"/>
      <c r="DA47" s="139">
        <f>CZ47*100/$E$47</f>
        <v/>
      </c>
      <c r="DB47" s="133" t="n"/>
      <c r="DC47" s="139">
        <f>DB47*100/$E$47</f>
        <v/>
      </c>
      <c r="DD47" s="133" t="n"/>
      <c r="DE47" s="139">
        <f>DD47*100/$E$47</f>
        <v/>
      </c>
      <c r="DF47" s="133" t="n"/>
      <c r="DG47" s="139">
        <f>DF47*100/$E$47</f>
        <v/>
      </c>
      <c r="DH47" s="133" t="n"/>
      <c r="DI47" s="139">
        <f>DH47*100/$E$47</f>
        <v/>
      </c>
      <c r="DJ47" s="133" t="n"/>
      <c r="DK47" s="139">
        <f>DJ47*100/$E$47</f>
        <v/>
      </c>
      <c r="DL47" s="133" t="n"/>
      <c r="DM47" s="139">
        <f>DL47*100/$E$47</f>
        <v/>
      </c>
      <c r="DN47" s="133" t="n"/>
      <c r="DO47" s="139">
        <f>DN47*100/$E$47</f>
        <v/>
      </c>
      <c r="DP47" s="133" t="n"/>
      <c r="DQ47" s="139">
        <f>DP47*100/$E$47</f>
        <v/>
      </c>
      <c r="DR47" s="133" t="n"/>
      <c r="DS47" s="139">
        <f>DR47*100/$E$47</f>
        <v/>
      </c>
      <c r="DT47" s="133" t="n"/>
      <c r="DU47" s="139">
        <f>DT47*100/$E$47</f>
        <v/>
      </c>
      <c r="DV47" s="133" t="n"/>
      <c r="DW47" s="139">
        <f>DV47*100/$E$47</f>
        <v/>
      </c>
      <c r="DX47" s="133" t="n"/>
      <c r="DY47" s="139">
        <f>DX47*100/$E$47</f>
        <v/>
      </c>
      <c r="DZ47" s="133" t="n"/>
      <c r="EA47" s="139">
        <f>DZ47*100/$E$47</f>
        <v/>
      </c>
      <c r="EB47" s="133" t="n"/>
      <c r="EC47" s="139">
        <f>EB47*100/$E$47</f>
        <v/>
      </c>
      <c r="ED47" s="133" t="n"/>
      <c r="EE47" s="139">
        <f>ED47*100/$E$47</f>
        <v/>
      </c>
      <c r="EF47" s="133" t="n"/>
      <c r="EG47" s="139">
        <f>EF47*100/$E$47</f>
        <v/>
      </c>
      <c r="EH47" s="133" t="n"/>
      <c r="EI47" s="139">
        <f>EH47*100/$E$47</f>
        <v/>
      </c>
      <c r="EJ47" s="133" t="n"/>
      <c r="EK47" s="139">
        <f>EJ47*100/$E$47</f>
        <v/>
      </c>
      <c r="EL47" s="133" t="n"/>
      <c r="EM47" s="139">
        <f>EL47*100/$E$47</f>
        <v/>
      </c>
      <c r="EN47" s="133" t="n">
        <v>8</v>
      </c>
      <c r="EO47" s="139">
        <f>EN47*100/$E$47</f>
        <v/>
      </c>
      <c r="EP47" s="133" t="n"/>
      <c r="EQ47" s="139">
        <f>EP47*100/$E$47</f>
        <v/>
      </c>
      <c r="ER47" s="133" t="n"/>
      <c r="ES47" s="139">
        <f>ER47*100/$E$47</f>
        <v/>
      </c>
      <c r="ET47" s="133" t="n"/>
      <c r="EU47" s="139">
        <f>ET47*100/$E$47</f>
        <v/>
      </c>
      <c r="EV47" s="133" t="n"/>
      <c r="EW47" s="139">
        <f>EV47*100/$E$47</f>
        <v/>
      </c>
      <c r="EX47" s="133" t="n"/>
      <c r="EY47" s="139">
        <f>EX47*100/$E$47</f>
        <v/>
      </c>
      <c r="EZ47" s="133" t="n"/>
      <c r="FA47" s="139">
        <f>EZ47*100/$E$47</f>
        <v/>
      </c>
      <c r="FB47" s="133" t="n">
        <v>4</v>
      </c>
      <c r="FC47" s="139">
        <f>FB47*100/$E$47</f>
        <v/>
      </c>
      <c r="FD47" s="133" t="n">
        <v>4</v>
      </c>
      <c r="FE47" s="139">
        <f>FD47*100/$E$47</f>
        <v/>
      </c>
      <c r="FF47" s="133" t="n"/>
      <c r="FG47" s="139">
        <f>FF47*100/$E$47</f>
        <v/>
      </c>
      <c r="FH47" s="133" t="n"/>
      <c r="FI47" s="139">
        <f>FH47*100/$E$47</f>
        <v/>
      </c>
      <c r="FJ47" s="133" t="n"/>
      <c r="FK47" s="139">
        <f>FJ47*100/$E$47</f>
        <v/>
      </c>
      <c r="FL47" s="133" t="n"/>
      <c r="FM47" s="139">
        <f>FL47*100/$E$47</f>
        <v/>
      </c>
      <c r="FN47" s="133" t="n"/>
      <c r="FO47" s="139">
        <f>FN47*100/$E$47</f>
        <v/>
      </c>
      <c r="FP47" s="133" t="n"/>
      <c r="FQ47" s="139">
        <f>FP47*100/$E$47</f>
        <v/>
      </c>
      <c r="FR47" s="133" t="n"/>
      <c r="FS47" s="139">
        <f>FR47*100/$E$47</f>
        <v/>
      </c>
      <c r="FT47" s="133" t="n"/>
      <c r="FU47" s="139">
        <f>FT47*100/$E$47</f>
        <v/>
      </c>
      <c r="FV47" s="133" t="n"/>
      <c r="FW47" s="139">
        <f>FV47*100/$E$47</f>
        <v/>
      </c>
      <c r="FX47" s="133" t="n"/>
      <c r="FY47" s="140">
        <f>FX47*100/$E$47</f>
        <v/>
      </c>
      <c r="FZ47" s="133" t="n"/>
      <c r="GA47" s="140">
        <f>FZ47*100/$E$47</f>
        <v/>
      </c>
      <c r="GB47" s="133" t="n"/>
      <c r="GC47" s="140">
        <f>GB47*100/$E$47</f>
        <v/>
      </c>
      <c r="GD47" s="133" t="n"/>
      <c r="GE47" s="140">
        <f>GD47*100/$E$47</f>
        <v/>
      </c>
      <c r="GF47" s="133" t="n"/>
      <c r="GG47" s="140">
        <f>GF47*100/$E$47</f>
        <v/>
      </c>
      <c r="GH47" s="133" t="n"/>
      <c r="GI47" s="140">
        <f>GH47*100/$E$47</f>
        <v/>
      </c>
      <c r="GJ47" s="133" t="n"/>
      <c r="GK47" s="139">
        <f>GJ47*100/$E$47</f>
        <v/>
      </c>
      <c r="GL47" s="133" t="n"/>
      <c r="GM47" s="140">
        <f>GL47*100/$E$47</f>
        <v/>
      </c>
      <c r="GN47" s="133" t="n"/>
      <c r="GO47" s="139">
        <f>GN47*100/$E$47</f>
        <v/>
      </c>
      <c r="GP47" s="133" t="n"/>
      <c r="GQ47" s="140">
        <f>GP47*100/$E$47</f>
        <v/>
      </c>
      <c r="GR47" s="133" t="n"/>
      <c r="GS47" s="139">
        <f>GR47*100/$E$47</f>
        <v/>
      </c>
      <c r="GT47" s="133" t="n"/>
      <c r="GU47" s="139">
        <f>GT47*100/$E$47</f>
        <v/>
      </c>
      <c r="GV47" s="133" t="n"/>
      <c r="GW47" s="139">
        <f>GV47*100/$E$47</f>
        <v/>
      </c>
      <c r="GX47" s="133" t="n"/>
      <c r="GY47" s="140">
        <f>GX47*100/$E$47</f>
        <v/>
      </c>
      <c r="GZ47" s="133" t="n"/>
      <c r="HA47" s="140">
        <f>GZ47*100/$E$47</f>
        <v/>
      </c>
      <c r="HB47" s="133" t="n"/>
      <c r="HC47" s="140">
        <f>HB47*100/$E$47</f>
        <v/>
      </c>
      <c r="HD47" s="133" t="n"/>
      <c r="HE47" s="140">
        <f>HD47*100/$E$47</f>
        <v/>
      </c>
      <c r="HF47" s="133" t="n"/>
      <c r="HG47" s="140">
        <f>HF47*100/$E$47</f>
        <v/>
      </c>
      <c r="HH47" s="133" t="n"/>
      <c r="HI47" s="140">
        <f>HH47*100/$E$47</f>
        <v/>
      </c>
      <c r="HJ47" s="133" t="n"/>
      <c r="HK47" s="140">
        <f>HJ47*100/$E$47</f>
        <v/>
      </c>
      <c r="HL47" s="133" t="n"/>
      <c r="HM47" s="140">
        <f>HL47*100/$E$47</f>
        <v/>
      </c>
      <c r="HN47" s="133" t="n"/>
      <c r="HO47" s="140">
        <f>HN47*100/$E$47</f>
        <v/>
      </c>
      <c r="HP47" s="133" t="n"/>
      <c r="HQ47" s="140">
        <f>HP47*100/$E$47</f>
        <v/>
      </c>
      <c r="HR47" s="133" t="n"/>
      <c r="HS47" s="140">
        <f>HR47*100/$E$47</f>
        <v/>
      </c>
      <c r="HT47" s="133" t="n"/>
      <c r="HU47" s="140">
        <f>HT47*100/$E$47</f>
        <v/>
      </c>
      <c r="HV47" s="133" t="n"/>
      <c r="HW47" s="140">
        <f>HV47*100/$E$47</f>
        <v/>
      </c>
      <c r="HX47" s="133" t="n"/>
      <c r="HY47" s="140">
        <f>HX47*100/$E$47</f>
        <v/>
      </c>
      <c r="HZ47" s="133" t="n"/>
      <c r="IA47" s="139">
        <f>HZ47*100/$E$47</f>
        <v/>
      </c>
      <c r="IB47" s="133" t="n"/>
      <c r="IC47" s="139">
        <f>IB47*100/$E$47</f>
        <v/>
      </c>
      <c r="ID47" s="133" t="n"/>
      <c r="IE47" s="139">
        <f>ID47*100/$E$47</f>
        <v/>
      </c>
      <c r="IF47" s="133" t="n"/>
      <c r="IG47" s="139">
        <f>IF47*100/$E$47</f>
        <v/>
      </c>
      <c r="IH47" s="133" t="n"/>
      <c r="II47" s="139">
        <f>IH47*100/$E$47</f>
        <v/>
      </c>
      <c r="IJ47" s="133" t="n"/>
      <c r="IK47" s="139">
        <f>IJ47*100/$E$47</f>
        <v/>
      </c>
      <c r="IL47" s="133" t="n"/>
      <c r="IM47" s="140">
        <f>IL47*100/$E$47</f>
        <v/>
      </c>
      <c r="IN47" s="133" t="n"/>
      <c r="IO47" s="140">
        <f>IN47*100/$E$47</f>
        <v/>
      </c>
      <c r="IP47" s="133" t="n"/>
      <c r="IQ47" s="139">
        <f>IP47*100/$E$47</f>
        <v/>
      </c>
      <c r="IR47" s="133" t="n"/>
      <c r="IS47" s="139">
        <f>IR47*100/$E$47</f>
        <v/>
      </c>
      <c r="IT47" s="133" t="n"/>
      <c r="IU47" s="139">
        <f>IT47*100/$E$47</f>
        <v/>
      </c>
      <c r="IV47" s="133" t="n">
        <v>8</v>
      </c>
      <c r="IW47" s="139">
        <f>IV47*100/$E$47</f>
        <v/>
      </c>
      <c r="IX47" s="133" t="n"/>
      <c r="IY47" s="139">
        <f>IX47*100/$E$47</f>
        <v/>
      </c>
      <c r="IZ47" s="133" t="n"/>
      <c r="JA47" s="139">
        <f>IZ47*100/$E$47</f>
        <v/>
      </c>
      <c r="JB47" s="133" t="n"/>
      <c r="JC47" s="139">
        <f>JB47*100/$E$47</f>
        <v/>
      </c>
      <c r="JD47" s="133" t="n"/>
      <c r="JE47" s="139">
        <f>JD47*100/$E$47</f>
        <v/>
      </c>
      <c r="JF47" s="133" t="n"/>
      <c r="JG47" s="139">
        <f>JF47*100/$E$47</f>
        <v/>
      </c>
      <c r="JH47" s="133" t="n"/>
      <c r="JI47" s="139">
        <f>JH47*100/$E$47</f>
        <v/>
      </c>
      <c r="JJ47" s="133" t="n"/>
      <c r="JK47" s="139">
        <f>JJ47*100/$E$47</f>
        <v/>
      </c>
      <c r="JL47" s="133" t="n"/>
      <c r="JM47" s="139">
        <f>JL47*100/$E$47</f>
        <v/>
      </c>
      <c r="JN47" s="133" t="n"/>
      <c r="JO47" s="182">
        <f>JN47*100/$E$47</f>
        <v/>
      </c>
      <c r="JP47" s="133" t="n"/>
      <c r="JQ47" s="182">
        <f>JP47*100/$E$47</f>
        <v/>
      </c>
      <c r="JR47" s="133" t="n"/>
      <c r="JS47" s="182">
        <f>JR47*100/$E$47</f>
        <v/>
      </c>
      <c r="JT47" s="133" t="n"/>
      <c r="JU47" s="182">
        <f>JT47*100/$E$47</f>
        <v/>
      </c>
      <c r="JV47" s="133" t="n"/>
      <c r="JW47" s="182">
        <f>JV47*100/$E$47</f>
        <v/>
      </c>
      <c r="JX47" s="133" t="n"/>
      <c r="JY47" s="182">
        <f>JX47*100/$E$47</f>
        <v/>
      </c>
      <c r="JZ47" s="183">
        <f>JN47+JP47+JR47+JT47+JV47+JX47</f>
        <v/>
      </c>
      <c r="KA47" s="184">
        <f>JO47+JQ47+JS47+JU47+JW47+JY47</f>
        <v/>
      </c>
      <c r="KB47" s="185">
        <f>H47+J47+L47+N47+P47+R47+T47+V47+X47+Z47+AB47+AD47+AF47+AH47+AJ47+AL47+AN47+AP47+AR47+AT47+AV47+AX47+AZ47+BB47+BD47+BF47+BH47+BJ47+BL47+BN47+BP47+BR47+BT47+BV47+BX47+BZ47+CB47+CD47+CF47+CH47+CZ47+DB47+DD47+DF47+DH47+DJ47+DL47+DN47+DP47+DR47+DT47+DV47+DX47+DZ47+EB47+ED47+EF47+EH47+EJ47+EL47+EN47+EP47+ER47+ET47+EV47+FN47+FP47+FR47+FT47+FV47+FX47+FZ47+GB47+GD47+GF47+GH47+GJ47+GL47+GN47+GP47+GR47+GT47+GV47+GX47+GZ47+HB47+HD47+HF47+HH47+HJ47+HL47+HN47+HP47+HR47+HT47+HV47+HX47+HZ47+IB47+ID47+IF47+IH47+IJ47+IL47+IN47+IP47+IR47+IT47+IV47+IX47+IZ47+JB47+JD47+JF47+JH47+JJ47+JL47+JZ47+CJ47+CL47+CN47+CP47+CR47+CT47+CV47+CX47+EX47+EZ47+FB47+FD47+FF47+FH47+FJ47+FL47</f>
        <v/>
      </c>
      <c r="KC47" s="186">
        <f>I47+K47+M47+O47+Q47+S47+U47+W47+Y47+AA47+AC47+AE47+AG47+AI47+AK47+AM47+AO47+AQ47+AS47+AU47+AW47+AY47+BA47+BC47+BE47+BG47+BI47+BK47+BM47+BO47+BQ47+BS47+BU47+BW47+BY47+CA47+CC47+CE47+CG47+CI47+DA47+DC47+DE47+DG47+DI47+DK47+DM47+DO47+DQ47+DS47+DU47+DW47+DY47+EA47+EC47+EE47+EG47+EI47+EK47+EM47+EO47+EQ47+ES47+EU47+EW47+FO47+FS47+FU47+FW47+FQ47+FY47+GA47+GC47+GE47+GG47+GI47+GK47+GM47+GO47+GQ47+GS47+GU47+GW47+GY47+HA47+HC47+HE47+HG47+HI47+HK47+HM47+HO47+HQ47+HS47+HU47+HW47+HY47+IA47+IC47+IE47+IG47+II47+IK47+IM47+IO47+IQ47+IS47+IU47+IW47+IY47+JA47+JC47+JE47+JG47+JI47+JK47+JM47+KA47+CK47+CM47+CO47+CQ47+CS47+CU47+CW47+CY47+EY47+FA47+FC47+FE47+FG47+FI47+FK47+FM47</f>
        <v/>
      </c>
      <c r="KD47" s="187">
        <f>JO47+JQ47+JS47+JU47+JW47+JY47</f>
        <v/>
      </c>
      <c r="KE47" s="188">
        <f>KB47=E47</f>
        <v/>
      </c>
      <c r="KF47" s="189">
        <f>E47-KB47</f>
        <v/>
      </c>
      <c r="KG47" s="210" t="n"/>
    </row>
    <row r="48" ht="21.75" customFormat="1" customHeight="1" s="195">
      <c r="A48" s="126">
        <f>A47+1</f>
        <v/>
      </c>
      <c r="B48" s="175" t="inlineStr">
        <is>
          <t>Чигоряев С.А.</t>
        </is>
      </c>
      <c r="C48" s="176" t="inlineStr">
        <is>
          <t>слесарь</t>
        </is>
      </c>
      <c r="D48" s="177">
        <f>$D$5</f>
        <v/>
      </c>
      <c r="E48" s="202" t="n">
        <v>152</v>
      </c>
      <c r="F48" s="193" t="n">
        <v>97702.28</v>
      </c>
      <c r="G48" s="179">
        <f>F48/D48</f>
        <v/>
      </c>
      <c r="H48" s="180" t="n"/>
      <c r="I48" s="140">
        <f>H48*100/$E$48</f>
        <v/>
      </c>
      <c r="J48" s="133" t="n"/>
      <c r="K48" s="140">
        <f>J48*100/$E$48</f>
        <v/>
      </c>
      <c r="L48" s="133" t="n"/>
      <c r="M48" s="140">
        <f>L48*100/$E$48</f>
        <v/>
      </c>
      <c r="N48" s="133" t="n"/>
      <c r="O48" s="140">
        <f>N48*100/$E$48</f>
        <v/>
      </c>
      <c r="P48" s="133" t="n"/>
      <c r="Q48" s="139">
        <f>P48*100/$E$48</f>
        <v/>
      </c>
      <c r="R48" s="133" t="n"/>
      <c r="S48" s="139">
        <f>R48*100/$E$48</f>
        <v/>
      </c>
      <c r="T48" s="133" t="n"/>
      <c r="U48" s="140">
        <f>T48*100/$E$48</f>
        <v/>
      </c>
      <c r="V48" s="133" t="n"/>
      <c r="W48" s="140">
        <f>V48*100/$E$48</f>
        <v/>
      </c>
      <c r="X48" s="133" t="n"/>
      <c r="Y48" s="140">
        <f>X48*100/$E$48</f>
        <v/>
      </c>
      <c r="Z48" s="133" t="n"/>
      <c r="AA48" s="140">
        <f>Z48*100/$E$48</f>
        <v/>
      </c>
      <c r="AB48" s="133" t="n"/>
      <c r="AC48" s="140">
        <f>AB48*100/$E$48</f>
        <v/>
      </c>
      <c r="AD48" s="133" t="n"/>
      <c r="AE48" s="139">
        <f>AD48*100/$E$48</f>
        <v/>
      </c>
      <c r="AF48" s="133" t="n">
        <v>16</v>
      </c>
      <c r="AG48" s="139">
        <f>AF48*100/$E$48</f>
        <v/>
      </c>
      <c r="AH48" s="133" t="n"/>
      <c r="AI48" s="140">
        <f>AH48*100/$E$48</f>
        <v/>
      </c>
      <c r="AJ48" s="133" t="n"/>
      <c r="AK48" s="140">
        <f>AJ48*100/$E$48</f>
        <v/>
      </c>
      <c r="AL48" s="133" t="n">
        <v>72</v>
      </c>
      <c r="AM48" s="140">
        <f>AL48*100/$E$48</f>
        <v/>
      </c>
      <c r="AN48" s="133" t="n">
        <v>16</v>
      </c>
      <c r="AO48" s="140">
        <f>AN48*100/$E$48</f>
        <v/>
      </c>
      <c r="AP48" s="133" t="n"/>
      <c r="AQ48" s="140">
        <f>AP48*100/$E$48</f>
        <v/>
      </c>
      <c r="AR48" s="133" t="n"/>
      <c r="AS48" s="140">
        <f>AR48*100/$E$48</f>
        <v/>
      </c>
      <c r="AT48" s="133" t="n"/>
      <c r="AU48" s="181">
        <f>AT48*100/$E$48</f>
        <v/>
      </c>
      <c r="AV48" s="133" t="n"/>
      <c r="AW48" s="140">
        <f>AV48*100/$E$48</f>
        <v/>
      </c>
      <c r="AX48" s="133" t="n">
        <v>48</v>
      </c>
      <c r="AY48" s="140">
        <f>AX48*100/$E$48</f>
        <v/>
      </c>
      <c r="AZ48" s="133" t="n"/>
      <c r="BA48" s="140">
        <f>AZ48*100/$E$48</f>
        <v/>
      </c>
      <c r="BB48" s="133" t="n"/>
      <c r="BC48" s="140">
        <f>BB48*100/$E$48</f>
        <v/>
      </c>
      <c r="BD48" s="133" t="n"/>
      <c r="BE48" s="140">
        <f>BD48*100/$E$48</f>
        <v/>
      </c>
      <c r="BF48" s="133" t="n"/>
      <c r="BG48" s="140">
        <f>BF48*100/$E$48</f>
        <v/>
      </c>
      <c r="BH48" s="133" t="n"/>
      <c r="BI48" s="140">
        <f>BH48*100/$E$48</f>
        <v/>
      </c>
      <c r="BJ48" s="133" t="n"/>
      <c r="BK48" s="140">
        <f>BJ48*100/$E$48</f>
        <v/>
      </c>
      <c r="BL48" s="133" t="n"/>
      <c r="BM48" s="140">
        <f>BL48*100/$E$48</f>
        <v/>
      </c>
      <c r="BN48" s="133" t="n"/>
      <c r="BO48" s="140">
        <f>BN48*100/$E$48</f>
        <v/>
      </c>
      <c r="BP48" s="133" t="n"/>
      <c r="BQ48" s="140">
        <f>BP48*100/$E$48</f>
        <v/>
      </c>
      <c r="BR48" s="133" t="n"/>
      <c r="BS48" s="140">
        <f>BR48*100/$E$48</f>
        <v/>
      </c>
      <c r="BT48" s="133" t="n"/>
      <c r="BU48" s="140">
        <f>BT48*100/$E$48</f>
        <v/>
      </c>
      <c r="BV48" s="133" t="n"/>
      <c r="BW48" s="140">
        <f>BV48*100/$E$48</f>
        <v/>
      </c>
      <c r="BX48" s="133" t="n"/>
      <c r="BY48" s="140">
        <f>BX48*100/$E$48</f>
        <v/>
      </c>
      <c r="BZ48" s="133" t="n"/>
      <c r="CA48" s="140">
        <f>BZ48*100/$E$48</f>
        <v/>
      </c>
      <c r="CB48" s="133" t="n"/>
      <c r="CC48" s="140">
        <f>CB48*100/$E$48</f>
        <v/>
      </c>
      <c r="CD48" s="133" t="n"/>
      <c r="CE48" s="140">
        <f>CD48*100/$E$48</f>
        <v/>
      </c>
      <c r="CF48" s="133" t="n"/>
      <c r="CG48" s="140">
        <f>CF48*100/$E$48</f>
        <v/>
      </c>
      <c r="CH48" s="133" t="n"/>
      <c r="CI48" s="140">
        <f>CH48*100/$E$48</f>
        <v/>
      </c>
      <c r="CJ48" s="133" t="n"/>
      <c r="CK48" s="140">
        <f>CJ48*100/$E$48</f>
        <v/>
      </c>
      <c r="CL48" s="133" t="n"/>
      <c r="CM48" s="140">
        <f>CL48*100/$E$48</f>
        <v/>
      </c>
      <c r="CN48" s="133" t="n"/>
      <c r="CO48" s="139">
        <f>CN48*100/$E$48</f>
        <v/>
      </c>
      <c r="CP48" s="133" t="n"/>
      <c r="CQ48" s="140">
        <f>CP48*100/$E$48</f>
        <v/>
      </c>
      <c r="CR48" s="133" t="n"/>
      <c r="CS48" s="139">
        <f>CR48*100/$E$48</f>
        <v/>
      </c>
      <c r="CT48" s="133" t="n"/>
      <c r="CU48" s="139">
        <f>CT48*100/$E$48</f>
        <v/>
      </c>
      <c r="CV48" s="133" t="n"/>
      <c r="CW48" s="139">
        <f>CV48*100/$E$48</f>
        <v/>
      </c>
      <c r="CX48" s="133" t="n"/>
      <c r="CY48" s="139">
        <f>CX48*100/$E$48</f>
        <v/>
      </c>
      <c r="CZ48" s="133" t="n"/>
      <c r="DA48" s="139">
        <f>CZ48*100/$E$48</f>
        <v/>
      </c>
      <c r="DB48" s="133" t="n"/>
      <c r="DC48" s="139">
        <f>DB48*100/$E$48</f>
        <v/>
      </c>
      <c r="DD48" s="133" t="n"/>
      <c r="DE48" s="139">
        <f>DD48*100/$E$48</f>
        <v/>
      </c>
      <c r="DF48" s="133" t="n"/>
      <c r="DG48" s="139">
        <f>DF48*100/$E$48</f>
        <v/>
      </c>
      <c r="DH48" s="133" t="n"/>
      <c r="DI48" s="139">
        <f>DH48*100/$E$48</f>
        <v/>
      </c>
      <c r="DJ48" s="133" t="n"/>
      <c r="DK48" s="139">
        <f>DJ48*100/$E$48</f>
        <v/>
      </c>
      <c r="DL48" s="133" t="n"/>
      <c r="DM48" s="139">
        <f>DL48*100/$E$48</f>
        <v/>
      </c>
      <c r="DN48" s="133" t="n"/>
      <c r="DO48" s="139">
        <f>DN48*100/$E$48</f>
        <v/>
      </c>
      <c r="DP48" s="133" t="n"/>
      <c r="DQ48" s="139">
        <f>DP48*100/$E$48</f>
        <v/>
      </c>
      <c r="DR48" s="133" t="n"/>
      <c r="DS48" s="139">
        <f>DR48*100/$E$48</f>
        <v/>
      </c>
      <c r="DT48" s="133" t="n"/>
      <c r="DU48" s="139">
        <f>DT48*100/$E$48</f>
        <v/>
      </c>
      <c r="DV48" s="133" t="n"/>
      <c r="DW48" s="139">
        <f>DV48*100/$E$48</f>
        <v/>
      </c>
      <c r="DX48" s="133" t="n"/>
      <c r="DY48" s="139">
        <f>DX48*100/$E$48</f>
        <v/>
      </c>
      <c r="DZ48" s="133" t="n"/>
      <c r="EA48" s="139">
        <f>DZ48*100/$E$48</f>
        <v/>
      </c>
      <c r="EB48" s="133" t="n"/>
      <c r="EC48" s="139">
        <f>EB48*100/$E$48</f>
        <v/>
      </c>
      <c r="ED48" s="133" t="n"/>
      <c r="EE48" s="139">
        <f>ED48*100/$E$48</f>
        <v/>
      </c>
      <c r="EF48" s="133" t="n"/>
      <c r="EG48" s="139">
        <f>EF48*100/$E$48</f>
        <v/>
      </c>
      <c r="EH48" s="133" t="n"/>
      <c r="EI48" s="139">
        <f>EH48*100/$E$48</f>
        <v/>
      </c>
      <c r="EJ48" s="133" t="n"/>
      <c r="EK48" s="139">
        <f>EJ48*100/$E$48</f>
        <v/>
      </c>
      <c r="EL48" s="133" t="n"/>
      <c r="EM48" s="139">
        <f>EL48*100/$E$48</f>
        <v/>
      </c>
      <c r="EN48" s="133" t="n"/>
      <c r="EO48" s="139">
        <f>EN48*100/$E$48</f>
        <v/>
      </c>
      <c r="EP48" s="133" t="n"/>
      <c r="EQ48" s="139">
        <f>EP48*100/$E$48</f>
        <v/>
      </c>
      <c r="ER48" s="133" t="n"/>
      <c r="ES48" s="139">
        <f>ER48*100/$E$48</f>
        <v/>
      </c>
      <c r="ET48" s="133" t="n"/>
      <c r="EU48" s="139">
        <f>ET48*100/$E$48</f>
        <v/>
      </c>
      <c r="EV48" s="133" t="n"/>
      <c r="EW48" s="139">
        <f>EV48*100/$E$48</f>
        <v/>
      </c>
      <c r="EX48" s="133" t="n"/>
      <c r="EY48" s="139">
        <f>EX48*100/$E$48</f>
        <v/>
      </c>
      <c r="EZ48" s="133" t="n"/>
      <c r="FA48" s="139">
        <f>EZ48*100/$E$48</f>
        <v/>
      </c>
      <c r="FB48" s="133" t="n"/>
      <c r="FC48" s="139">
        <f>FB48*100/$E$48</f>
        <v/>
      </c>
      <c r="FD48" s="133" t="n"/>
      <c r="FE48" s="139">
        <f>FD48*100/$E$48</f>
        <v/>
      </c>
      <c r="FF48" s="133" t="n"/>
      <c r="FG48" s="139">
        <f>FF48*100/$E$48</f>
        <v/>
      </c>
      <c r="FH48" s="133" t="n"/>
      <c r="FI48" s="139">
        <f>FH48*100/$E$48</f>
        <v/>
      </c>
      <c r="FJ48" s="133" t="n"/>
      <c r="FK48" s="139">
        <f>FJ48*100/$E$48</f>
        <v/>
      </c>
      <c r="FL48" s="133" t="n"/>
      <c r="FM48" s="139">
        <f>FL48*100/$E$48</f>
        <v/>
      </c>
      <c r="FN48" s="133" t="n"/>
      <c r="FO48" s="139">
        <f>FN48*100/$E$48</f>
        <v/>
      </c>
      <c r="FP48" s="133" t="n"/>
      <c r="FQ48" s="139">
        <f>FP48*100/$E$48</f>
        <v/>
      </c>
      <c r="FR48" s="133" t="n"/>
      <c r="FS48" s="139">
        <f>FR48*100/$E$48</f>
        <v/>
      </c>
      <c r="FT48" s="133" t="n"/>
      <c r="FU48" s="139">
        <f>FT48*100/$E$48</f>
        <v/>
      </c>
      <c r="FV48" s="133" t="n"/>
      <c r="FW48" s="139">
        <f>FV48*100/$E$48</f>
        <v/>
      </c>
      <c r="FX48" s="133" t="n"/>
      <c r="FY48" s="140">
        <f>FX48*100/$E$48</f>
        <v/>
      </c>
      <c r="FZ48" s="133" t="n"/>
      <c r="GA48" s="140">
        <f>FZ48*100/$E$48</f>
        <v/>
      </c>
      <c r="GB48" s="133" t="n"/>
      <c r="GC48" s="140">
        <f>GB48*100/$E$48</f>
        <v/>
      </c>
      <c r="GD48" s="133" t="n"/>
      <c r="GE48" s="140">
        <f>GD48*100/$E$48</f>
        <v/>
      </c>
      <c r="GF48" s="133" t="n"/>
      <c r="GG48" s="140">
        <f>GF48*100/$E$48</f>
        <v/>
      </c>
      <c r="GH48" s="133" t="n"/>
      <c r="GI48" s="140">
        <f>GH48*100/$E$48</f>
        <v/>
      </c>
      <c r="GJ48" s="133" t="n"/>
      <c r="GK48" s="139">
        <f>GJ48*100/$E$48</f>
        <v/>
      </c>
      <c r="GL48" s="133" t="n"/>
      <c r="GM48" s="140">
        <f>GL48*100/$E$48</f>
        <v/>
      </c>
      <c r="GN48" s="133" t="n"/>
      <c r="GO48" s="139">
        <f>GN48*100/$E$48</f>
        <v/>
      </c>
      <c r="GP48" s="133" t="n"/>
      <c r="GQ48" s="140">
        <f>GP48*100/$E$48</f>
        <v/>
      </c>
      <c r="GR48" s="133" t="n"/>
      <c r="GS48" s="139">
        <f>GR48*100/$E$48</f>
        <v/>
      </c>
      <c r="GT48" s="133" t="n"/>
      <c r="GU48" s="139">
        <f>GT48*100/$E$48</f>
        <v/>
      </c>
      <c r="GV48" s="133" t="n"/>
      <c r="GW48" s="139">
        <f>GV48*100/$E$48</f>
        <v/>
      </c>
      <c r="GX48" s="133" t="n"/>
      <c r="GY48" s="140">
        <f>GX48*100/$E$48</f>
        <v/>
      </c>
      <c r="GZ48" s="133" t="n"/>
      <c r="HA48" s="140">
        <f>GZ48*100/$E$48</f>
        <v/>
      </c>
      <c r="HB48" s="133" t="n"/>
      <c r="HC48" s="140">
        <f>HB48*100/$E$48</f>
        <v/>
      </c>
      <c r="HD48" s="133" t="n"/>
      <c r="HE48" s="140">
        <f>HD48*100/$E$48</f>
        <v/>
      </c>
      <c r="HF48" s="133" t="n"/>
      <c r="HG48" s="140">
        <f>HF48*100/$E$48</f>
        <v/>
      </c>
      <c r="HH48" s="133" t="n"/>
      <c r="HI48" s="140">
        <f>HH48*100/$E$48</f>
        <v/>
      </c>
      <c r="HJ48" s="133" t="n"/>
      <c r="HK48" s="140">
        <f>HJ48*100/$E$48</f>
        <v/>
      </c>
      <c r="HL48" s="133" t="n"/>
      <c r="HM48" s="140">
        <f>HL48*100/$E$48</f>
        <v/>
      </c>
      <c r="HN48" s="133" t="n"/>
      <c r="HO48" s="140">
        <f>HN48*100/$E$48</f>
        <v/>
      </c>
      <c r="HP48" s="133" t="n"/>
      <c r="HQ48" s="140">
        <f>HP48*100/$E$48</f>
        <v/>
      </c>
      <c r="HR48" s="133" t="n"/>
      <c r="HS48" s="140">
        <f>HR48*100/$E$48</f>
        <v/>
      </c>
      <c r="HT48" s="133" t="n"/>
      <c r="HU48" s="140">
        <f>HT48*100/$E$48</f>
        <v/>
      </c>
      <c r="HV48" s="133" t="n"/>
      <c r="HW48" s="140">
        <f>HV48*100/$E$48</f>
        <v/>
      </c>
      <c r="HX48" s="133" t="n"/>
      <c r="HY48" s="140">
        <f>HX48*100/$E$48</f>
        <v/>
      </c>
      <c r="HZ48" s="133" t="n"/>
      <c r="IA48" s="139">
        <f>HZ48*100/$E$48</f>
        <v/>
      </c>
      <c r="IB48" s="133" t="n"/>
      <c r="IC48" s="139">
        <f>IB48*100/$E$48</f>
        <v/>
      </c>
      <c r="ID48" s="133" t="n"/>
      <c r="IE48" s="139">
        <f>ID48*100/$E$48</f>
        <v/>
      </c>
      <c r="IF48" s="133" t="n"/>
      <c r="IG48" s="139">
        <f>IF48*100/$E$48</f>
        <v/>
      </c>
      <c r="IH48" s="133" t="n"/>
      <c r="II48" s="139">
        <f>IH48*100/$E$48</f>
        <v/>
      </c>
      <c r="IJ48" s="133" t="n"/>
      <c r="IK48" s="139">
        <f>IJ48*100/$E$48</f>
        <v/>
      </c>
      <c r="IL48" s="133" t="n"/>
      <c r="IM48" s="140">
        <f>IL48*100/$E$48</f>
        <v/>
      </c>
      <c r="IN48" s="133" t="n"/>
      <c r="IO48" s="140">
        <f>IN48*100/$E$48</f>
        <v/>
      </c>
      <c r="IP48" s="133" t="n"/>
      <c r="IQ48" s="139">
        <f>IP48*100/$E$48</f>
        <v/>
      </c>
      <c r="IR48" s="133" t="n"/>
      <c r="IS48" s="139">
        <f>IR48*100/$E$48</f>
        <v/>
      </c>
      <c r="IT48" s="133" t="n"/>
      <c r="IU48" s="139">
        <f>IT48*100/$E$48</f>
        <v/>
      </c>
      <c r="IV48" s="133" t="n"/>
      <c r="IW48" s="139">
        <f>IV48*100/$E$48</f>
        <v/>
      </c>
      <c r="IX48" s="133" t="n"/>
      <c r="IY48" s="139">
        <f>IX48*100/$E$48</f>
        <v/>
      </c>
      <c r="IZ48" s="133" t="n"/>
      <c r="JA48" s="139">
        <f>IZ48*100/$E$48</f>
        <v/>
      </c>
      <c r="JB48" s="133" t="n"/>
      <c r="JC48" s="139">
        <f>JB48*100/$E$48</f>
        <v/>
      </c>
      <c r="JD48" s="133" t="n"/>
      <c r="JE48" s="139">
        <f>JD48*100/$E$48</f>
        <v/>
      </c>
      <c r="JF48" s="133" t="n"/>
      <c r="JG48" s="139">
        <f>JF48*100/$E$48</f>
        <v/>
      </c>
      <c r="JH48" s="133" t="n"/>
      <c r="JI48" s="139">
        <f>JH48*100/$E$48</f>
        <v/>
      </c>
      <c r="JJ48" s="133" t="n"/>
      <c r="JK48" s="139">
        <f>JJ48*100/$E$48</f>
        <v/>
      </c>
      <c r="JL48" s="133" t="n"/>
      <c r="JM48" s="139">
        <f>JL48*100/$E$48</f>
        <v/>
      </c>
      <c r="JN48" s="133" t="n"/>
      <c r="JO48" s="182">
        <f>JN48*100/$E$48</f>
        <v/>
      </c>
      <c r="JP48" s="133" t="n"/>
      <c r="JQ48" s="182">
        <f>JP48*100/$E$48</f>
        <v/>
      </c>
      <c r="JR48" s="133" t="n"/>
      <c r="JS48" s="182">
        <f>JR48*100/$E$48</f>
        <v/>
      </c>
      <c r="JT48" s="133" t="n"/>
      <c r="JU48" s="182">
        <f>JT48*100/$E$48</f>
        <v/>
      </c>
      <c r="JV48" s="133" t="n"/>
      <c r="JW48" s="182">
        <f>JV48*100/$E$48</f>
        <v/>
      </c>
      <c r="JX48" s="133" t="n"/>
      <c r="JY48" s="182">
        <f>JX48*100/$E$48</f>
        <v/>
      </c>
      <c r="JZ48" s="183">
        <f>JN48+JP48+JR48+JT48+JV48+JX48</f>
        <v/>
      </c>
      <c r="KA48" s="184">
        <f>JO48+JQ48+JS48+JU48+JW48+JY48</f>
        <v/>
      </c>
      <c r="KB48" s="185">
        <f>H48+J48+L48+N48+P48+R48+T48+V48+X48+Z48+AB48+AD48+AF48+AH48+AJ48+AL48+AN48+AP48+AR48+AT48+AV48+AX48+AZ48+BB48+BD48+BF48+BH48+BJ48+BL48+BN48+BP48+BR48+BT48+BV48+BX48+BZ48+CB48+CD48+CF48+CH48+CZ48+DB48+DD48+DF48+DH48+DJ48+DL48+DN48+DP48+DR48+DT48+DV48+DX48+DZ48+EB48+ED48+EF48+EH48+EJ48+EL48+EN48+EP48+ER48+ET48+EV48+FN48+FP48+FR48+FT48+FV48+FX48+FZ48+GB48+GD48+GF48+GH48+GJ48+GL48+GN48+GP48+GR48+GT48+GV48+GX48+GZ48+HB48+HD48+HF48+HH48+HJ48+HL48+HN48+HP48+HR48+HT48+HV48+HX48+HZ48+IB48+ID48+IF48+IH48+IJ48+IL48+IN48+IP48+IR48+IT48+IV48+IX48+IZ48+JB48+JD48+JF48+JH48+JJ48+JL48+JZ48+CJ48+CL48+CN48+CP48+CR48+CT48+CV48+CX48+EX48+EZ48+FB48+FD48+FF48+FH48+FJ48+FL48</f>
        <v/>
      </c>
      <c r="KC48" s="186">
        <f>I48+K48+M48+O48+Q48+S48+U48+W48+Y48+AA48+AC48+AE48+AG48+AI48+AK48+AM48+AO48+AQ48+AS48+AU48+AW48+AY48+BA48+BC48+BE48+BG48+BI48+BK48+BM48+BO48+BQ48+BS48+BU48+BW48+BY48+CA48+CC48+CE48+CG48+CI48+DA48+DC48+DE48+DG48+DI48+DK48+DM48+DO48+DQ48+DS48+DU48+DW48+DY48+EA48+EC48+EE48+EG48+EI48+EK48+EM48+EO48+EQ48+ES48+EU48+EW48+FO48+FS48+FU48+FW48+FQ48+FY48+GA48+GC48+GE48+GG48+GI48+GK48+GM48+GO48+GQ48+GS48+GU48+GW48+GY48+HA48+HC48+HE48+HG48+HI48+HK48+HM48+HO48+HQ48+HS48+HU48+HW48+HY48+IA48+IC48+IE48+IG48+II48+IK48+IM48+IO48+IQ48+IS48+IU48+IW48+IY48+JA48+JC48+JE48+JG48+JI48+JK48+JM48+KA48+CK48+CM48+CO48+CQ48+CS48+CU48+CW48+CY48+EY48+FA48+FC48+FE48+FG48+FI48+FK48+FM48</f>
        <v/>
      </c>
      <c r="KD48" s="187">
        <f>JO48+JQ48+JS48+JU48+JW48+JY48</f>
        <v/>
      </c>
      <c r="KE48" s="188">
        <f>KB48=E48</f>
        <v/>
      </c>
      <c r="KF48" s="189">
        <f>E48-KB48</f>
        <v/>
      </c>
      <c r="KG48" s="196" t="n"/>
    </row>
    <row r="49" ht="21.75" customFormat="1" customHeight="1" s="212">
      <c r="A49" s="126">
        <f>A48+1</f>
        <v/>
      </c>
      <c r="B49" s="175" t="inlineStr">
        <is>
          <t>Шишлов Д.А.</t>
        </is>
      </c>
      <c r="C49" s="176" t="inlineStr">
        <is>
          <t>токарь</t>
        </is>
      </c>
      <c r="D49" s="177">
        <f>$D$5</f>
        <v/>
      </c>
      <c r="E49" s="202" t="n">
        <v>152</v>
      </c>
      <c r="F49" s="193" t="n">
        <v>74713</v>
      </c>
      <c r="G49" s="179">
        <f>F49/D49</f>
        <v/>
      </c>
      <c r="H49" s="180" t="n">
        <v>60</v>
      </c>
      <c r="I49" s="140">
        <f>H49*100/$E$49</f>
        <v/>
      </c>
      <c r="J49" s="133" t="n"/>
      <c r="K49" s="140">
        <f>J49*100/$E$49</f>
        <v/>
      </c>
      <c r="L49" s="133" t="n"/>
      <c r="M49" s="140">
        <f>L49*100/$E$49</f>
        <v/>
      </c>
      <c r="N49" s="133" t="n"/>
      <c r="O49" s="140">
        <f>N49*100/$E$49</f>
        <v/>
      </c>
      <c r="P49" s="133" t="n"/>
      <c r="Q49" s="139">
        <f>P49*100/$E$49</f>
        <v/>
      </c>
      <c r="R49" s="180" t="n"/>
      <c r="S49" s="139">
        <f>R49*100/$E$49</f>
        <v/>
      </c>
      <c r="T49" s="133" t="n"/>
      <c r="U49" s="140">
        <f>T49*100/$E$49</f>
        <v/>
      </c>
      <c r="V49" s="133" t="n"/>
      <c r="W49" s="140">
        <f>V49*100/$E$49</f>
        <v/>
      </c>
      <c r="X49" s="133" t="n"/>
      <c r="Y49" s="140">
        <f>X49*100/$E$49</f>
        <v/>
      </c>
      <c r="Z49" s="133" t="n"/>
      <c r="AA49" s="140">
        <f>Z49*100/$E$49</f>
        <v/>
      </c>
      <c r="AB49" s="133" t="n"/>
      <c r="AC49" s="140">
        <f>AB49*100/$E$49</f>
        <v/>
      </c>
      <c r="AD49" s="133" t="n"/>
      <c r="AE49" s="139">
        <f>AD49*100/$E$49</f>
        <v/>
      </c>
      <c r="AF49" s="133" t="n"/>
      <c r="AG49" s="139">
        <f>AF49*100/$E$49</f>
        <v/>
      </c>
      <c r="AH49" s="133" t="n"/>
      <c r="AI49" s="140">
        <f>AH49*100/$E$49</f>
        <v/>
      </c>
      <c r="AJ49" s="133" t="n"/>
      <c r="AK49" s="140">
        <f>AJ49*100/$E$49</f>
        <v/>
      </c>
      <c r="AL49" s="133" t="n"/>
      <c r="AM49" s="140">
        <f>AL49*100/$E$49</f>
        <v/>
      </c>
      <c r="AN49" s="133" t="n"/>
      <c r="AO49" s="140">
        <f>AN49*100/$E$49</f>
        <v/>
      </c>
      <c r="AP49" s="133" t="n"/>
      <c r="AQ49" s="140">
        <f>AP49*100/$E$49</f>
        <v/>
      </c>
      <c r="AR49" s="133" t="n"/>
      <c r="AS49" s="140">
        <f>AR49*100/$E$49</f>
        <v/>
      </c>
      <c r="AT49" s="133" t="n"/>
      <c r="AU49" s="181">
        <f>AT49*100/$E$49</f>
        <v/>
      </c>
      <c r="AV49" s="133" t="n"/>
      <c r="AW49" s="140">
        <f>AV49*100/$E$49</f>
        <v/>
      </c>
      <c r="AX49" s="133" t="n"/>
      <c r="AY49" s="140">
        <f>AX49*100/$E$49</f>
        <v/>
      </c>
      <c r="AZ49" s="133" t="n"/>
      <c r="BA49" s="140">
        <f>AZ49*100/$E$49</f>
        <v/>
      </c>
      <c r="BB49" s="133" t="n"/>
      <c r="BC49" s="140">
        <f>BB49*100/$E$49</f>
        <v/>
      </c>
      <c r="BD49" s="133" t="n"/>
      <c r="BE49" s="140">
        <f>BD49*100/$E$49</f>
        <v/>
      </c>
      <c r="BF49" s="133" t="n"/>
      <c r="BG49" s="140">
        <f>BF49*100/$E$49</f>
        <v/>
      </c>
      <c r="BH49" s="133" t="n"/>
      <c r="BI49" s="140">
        <f>BH49*100/$E$49</f>
        <v/>
      </c>
      <c r="BJ49" s="133" t="n"/>
      <c r="BK49" s="140">
        <f>BJ49*100/$E$49</f>
        <v/>
      </c>
      <c r="BL49" s="133" t="n"/>
      <c r="BM49" s="140">
        <f>BL49*100/$E$49</f>
        <v/>
      </c>
      <c r="BN49" s="133" t="n"/>
      <c r="BO49" s="140">
        <f>BN49*100/$E$49</f>
        <v/>
      </c>
      <c r="BP49" s="133" t="n"/>
      <c r="BQ49" s="140">
        <f>BP49*100/$E$49</f>
        <v/>
      </c>
      <c r="BR49" s="133" t="n"/>
      <c r="BS49" s="140">
        <f>BR49*100/$E$49</f>
        <v/>
      </c>
      <c r="BT49" s="133" t="n"/>
      <c r="BU49" s="140">
        <f>BT49*100/$E$49</f>
        <v/>
      </c>
      <c r="BV49" s="133" t="n"/>
      <c r="BW49" s="140">
        <f>BV49*100/$E$49</f>
        <v/>
      </c>
      <c r="BX49" s="133" t="n"/>
      <c r="BY49" s="140">
        <f>BX49*100/$E$49</f>
        <v/>
      </c>
      <c r="BZ49" s="133" t="n">
        <v>32</v>
      </c>
      <c r="CA49" s="140">
        <f>BZ49*100/$E$49</f>
        <v/>
      </c>
      <c r="CB49" s="133" t="n"/>
      <c r="CC49" s="140">
        <f>CB49*100/$E$49</f>
        <v/>
      </c>
      <c r="CD49" s="133" t="n"/>
      <c r="CE49" s="140">
        <f>CD49*100/$E$49</f>
        <v/>
      </c>
      <c r="CF49" s="133" t="n"/>
      <c r="CG49" s="140">
        <f>CF49*100/$E$49</f>
        <v/>
      </c>
      <c r="CH49" s="133" t="n"/>
      <c r="CI49" s="140">
        <f>CH49*100/$E$49</f>
        <v/>
      </c>
      <c r="CJ49" s="133" t="n"/>
      <c r="CK49" s="140">
        <f>CJ49*100/$E$49</f>
        <v/>
      </c>
      <c r="CL49" s="133" t="n"/>
      <c r="CM49" s="140">
        <f>CL49*100/$E$49</f>
        <v/>
      </c>
      <c r="CN49" s="133" t="n"/>
      <c r="CO49" s="139">
        <f>CN49*100/$E$49</f>
        <v/>
      </c>
      <c r="CP49" s="133" t="n"/>
      <c r="CQ49" s="140">
        <f>CP49*100/$E$49</f>
        <v/>
      </c>
      <c r="CR49" s="133" t="n"/>
      <c r="CS49" s="139">
        <f>CR49*100/$E$49</f>
        <v/>
      </c>
      <c r="CT49" s="133" t="n"/>
      <c r="CU49" s="139">
        <f>CT49*100/$E$49</f>
        <v/>
      </c>
      <c r="CV49" s="133" t="n">
        <v>8</v>
      </c>
      <c r="CW49" s="139">
        <f>CV49*100/$E$49</f>
        <v/>
      </c>
      <c r="CX49" s="133" t="n"/>
      <c r="CY49" s="139">
        <f>CX49*100/$E$49</f>
        <v/>
      </c>
      <c r="CZ49" s="133" t="n"/>
      <c r="DA49" s="139">
        <f>CZ49*100/$E$49</f>
        <v/>
      </c>
      <c r="DB49" s="133" t="n"/>
      <c r="DC49" s="139">
        <f>DB49*100/$E$49</f>
        <v/>
      </c>
      <c r="DD49" s="133" t="n"/>
      <c r="DE49" s="139">
        <f>DD49*100/$E$49</f>
        <v/>
      </c>
      <c r="DF49" s="133" t="n"/>
      <c r="DG49" s="139">
        <f>DF49*100/$E$49</f>
        <v/>
      </c>
      <c r="DH49" s="133" t="n">
        <v>2</v>
      </c>
      <c r="DI49" s="139">
        <f>DH49*100/$E$49</f>
        <v/>
      </c>
      <c r="DJ49" s="133" t="n"/>
      <c r="DK49" s="139">
        <f>DJ49*100/$E$49</f>
        <v/>
      </c>
      <c r="DL49" s="133" t="n"/>
      <c r="DM49" s="139">
        <f>DL49*100/$E$49</f>
        <v/>
      </c>
      <c r="DN49" s="133" t="n"/>
      <c r="DO49" s="139">
        <f>DN49*100/$E$49</f>
        <v/>
      </c>
      <c r="DP49" s="133" t="n"/>
      <c r="DQ49" s="139">
        <f>DP49*100/$E$49</f>
        <v/>
      </c>
      <c r="DR49" s="133" t="n"/>
      <c r="DS49" s="139">
        <f>DR49*100/$E$49</f>
        <v/>
      </c>
      <c r="DT49" s="133" t="n"/>
      <c r="DU49" s="139">
        <f>DT49*100/$E$49</f>
        <v/>
      </c>
      <c r="DV49" s="133" t="n"/>
      <c r="DW49" s="139">
        <f>DV49*100/$E$49</f>
        <v/>
      </c>
      <c r="DX49" s="133" t="n"/>
      <c r="DY49" s="139">
        <f>DX49*100/$E$49</f>
        <v/>
      </c>
      <c r="DZ49" s="133" t="n"/>
      <c r="EA49" s="139">
        <f>DZ49*100/$E$49</f>
        <v/>
      </c>
      <c r="EB49" s="133" t="n"/>
      <c r="EC49" s="139">
        <f>EB49*100/$E$49</f>
        <v/>
      </c>
      <c r="ED49" s="133" t="n"/>
      <c r="EE49" s="139">
        <f>ED49*100/$E$49</f>
        <v/>
      </c>
      <c r="EF49" s="133" t="n"/>
      <c r="EG49" s="139">
        <f>EF49*100/$E$49</f>
        <v/>
      </c>
      <c r="EH49" s="133" t="n"/>
      <c r="EI49" s="139">
        <f>EH49*100/$E$49</f>
        <v/>
      </c>
      <c r="EJ49" s="133" t="n"/>
      <c r="EK49" s="139">
        <f>EJ49*100/$E$49</f>
        <v/>
      </c>
      <c r="EL49" s="133" t="n"/>
      <c r="EM49" s="139">
        <f>EL49*100/$E$49</f>
        <v/>
      </c>
      <c r="EN49" s="133" t="n"/>
      <c r="EO49" s="139">
        <f>EN49*100/$E$49</f>
        <v/>
      </c>
      <c r="EP49" s="133" t="n"/>
      <c r="EQ49" s="139">
        <f>EP49*100/$E$49</f>
        <v/>
      </c>
      <c r="ER49" s="133" t="n"/>
      <c r="ES49" s="139">
        <f>ER49*100/$E$49</f>
        <v/>
      </c>
      <c r="ET49" s="133" t="n"/>
      <c r="EU49" s="139">
        <f>ET49*100/$E$49</f>
        <v/>
      </c>
      <c r="EV49" s="133" t="n"/>
      <c r="EW49" s="139">
        <f>EV49*100/$E$49</f>
        <v/>
      </c>
      <c r="EX49" s="133" t="n"/>
      <c r="EY49" s="139">
        <f>EX49*100/$E$49</f>
        <v/>
      </c>
      <c r="EZ49" s="133" t="n"/>
      <c r="FA49" s="139">
        <f>EZ49*100/$E$49</f>
        <v/>
      </c>
      <c r="FB49" s="133" t="n">
        <v>4</v>
      </c>
      <c r="FC49" s="139">
        <f>FB49*100/$E$49</f>
        <v/>
      </c>
      <c r="FD49" s="133" t="n">
        <v>4</v>
      </c>
      <c r="FE49" s="139">
        <f>FD49*100/$E$49</f>
        <v/>
      </c>
      <c r="FF49" s="133" t="n">
        <v>16</v>
      </c>
      <c r="FG49" s="139">
        <f>FF49*100/$E$49</f>
        <v/>
      </c>
      <c r="FH49" s="133" t="n"/>
      <c r="FI49" s="139">
        <f>FH49*100/$E$49</f>
        <v/>
      </c>
      <c r="FJ49" s="133" t="n"/>
      <c r="FK49" s="139">
        <f>FJ49*100/$E$49</f>
        <v/>
      </c>
      <c r="FL49" s="133" t="n"/>
      <c r="FM49" s="139">
        <f>FL49*100/$E$49</f>
        <v/>
      </c>
      <c r="FN49" s="133" t="n"/>
      <c r="FO49" s="139">
        <f>FN49*100/$E$49</f>
        <v/>
      </c>
      <c r="FP49" s="133" t="n"/>
      <c r="FQ49" s="139">
        <f>FP49*100/$E$49</f>
        <v/>
      </c>
      <c r="FR49" s="133" t="n"/>
      <c r="FS49" s="139">
        <f>FR49*100/$E$49</f>
        <v/>
      </c>
      <c r="FT49" s="133" t="n"/>
      <c r="FU49" s="139">
        <f>FT49*100/$E$49</f>
        <v/>
      </c>
      <c r="FV49" s="133" t="n"/>
      <c r="FW49" s="139">
        <f>FV49*100/$E$49</f>
        <v/>
      </c>
      <c r="FX49" s="133" t="n"/>
      <c r="FY49" s="140">
        <f>FX49*100/$E$49</f>
        <v/>
      </c>
      <c r="FZ49" s="133" t="n"/>
      <c r="GA49" s="140">
        <f>FZ49*100/$E$49</f>
        <v/>
      </c>
      <c r="GB49" s="133" t="n"/>
      <c r="GC49" s="140">
        <f>GB49*100/$E$49</f>
        <v/>
      </c>
      <c r="GD49" s="133" t="n"/>
      <c r="GE49" s="140">
        <f>GD49*100/$E$49</f>
        <v/>
      </c>
      <c r="GF49" s="133" t="n"/>
      <c r="GG49" s="140">
        <f>GF49*100/$E$49</f>
        <v/>
      </c>
      <c r="GH49" s="133" t="n"/>
      <c r="GI49" s="140">
        <f>GH49*100/$E$49</f>
        <v/>
      </c>
      <c r="GJ49" s="133" t="n"/>
      <c r="GK49" s="139">
        <f>GJ49*100/$E$49</f>
        <v/>
      </c>
      <c r="GL49" s="133" t="n"/>
      <c r="GM49" s="140">
        <f>GL49*100/$E$49</f>
        <v/>
      </c>
      <c r="GN49" s="133" t="n"/>
      <c r="GO49" s="139">
        <f>GN49*100/$E$49</f>
        <v/>
      </c>
      <c r="GP49" s="133" t="n"/>
      <c r="GQ49" s="140">
        <f>GP49*100/$E$49</f>
        <v/>
      </c>
      <c r="GR49" s="133" t="n"/>
      <c r="GS49" s="139">
        <f>GR49*100/$E$49</f>
        <v/>
      </c>
      <c r="GT49" s="133" t="n"/>
      <c r="GU49" s="139">
        <f>GT49*100/$E$49</f>
        <v/>
      </c>
      <c r="GV49" s="133" t="n"/>
      <c r="GW49" s="139">
        <f>GV49*100/$E$49</f>
        <v/>
      </c>
      <c r="GX49" s="133" t="n"/>
      <c r="GY49" s="140">
        <f>GX49*100/$E$49</f>
        <v/>
      </c>
      <c r="GZ49" s="133" t="n"/>
      <c r="HA49" s="140">
        <f>GZ49*100/$E$49</f>
        <v/>
      </c>
      <c r="HB49" s="133" t="n"/>
      <c r="HC49" s="140">
        <f>HB49*100/$E$49</f>
        <v/>
      </c>
      <c r="HD49" s="133" t="n"/>
      <c r="HE49" s="140">
        <f>HD49*100/$E$49</f>
        <v/>
      </c>
      <c r="HF49" s="133" t="n"/>
      <c r="HG49" s="140">
        <f>HF49*100/$E$49</f>
        <v/>
      </c>
      <c r="HH49" s="133" t="n"/>
      <c r="HI49" s="140">
        <f>HH49*100/$E$49</f>
        <v/>
      </c>
      <c r="HJ49" s="133" t="n"/>
      <c r="HK49" s="140">
        <f>HJ49*100/$E$49</f>
        <v/>
      </c>
      <c r="HL49" s="133" t="n"/>
      <c r="HM49" s="140">
        <f>HL49*100/$E$49</f>
        <v/>
      </c>
      <c r="HN49" s="133" t="n"/>
      <c r="HO49" s="140">
        <f>HN49*100/$E$49</f>
        <v/>
      </c>
      <c r="HP49" s="133" t="n"/>
      <c r="HQ49" s="140">
        <f>HP49*100/$E$49</f>
        <v/>
      </c>
      <c r="HR49" s="133" t="n"/>
      <c r="HS49" s="140">
        <f>HR49*100/$E$49</f>
        <v/>
      </c>
      <c r="HT49" s="133" t="n"/>
      <c r="HU49" s="140">
        <f>HT49*100/$E$49</f>
        <v/>
      </c>
      <c r="HV49" s="133" t="n"/>
      <c r="HW49" s="140">
        <f>HV49*100/$E$49</f>
        <v/>
      </c>
      <c r="HX49" s="133" t="n"/>
      <c r="HY49" s="140">
        <f>HX49*100/$E$49</f>
        <v/>
      </c>
      <c r="HZ49" s="133" t="n"/>
      <c r="IA49" s="139">
        <f>HZ49*100/$E$49</f>
        <v/>
      </c>
      <c r="IB49" s="133" t="n"/>
      <c r="IC49" s="139">
        <f>IB49*100/$E$49</f>
        <v/>
      </c>
      <c r="ID49" s="133" t="n"/>
      <c r="IE49" s="139">
        <f>ID49*100/$E$49</f>
        <v/>
      </c>
      <c r="IF49" s="133" t="n"/>
      <c r="IG49" s="139">
        <f>IF49*100/$E$49</f>
        <v/>
      </c>
      <c r="IH49" s="133" t="n"/>
      <c r="II49" s="139">
        <f>IH49*100/$E$49</f>
        <v/>
      </c>
      <c r="IJ49" s="133" t="n"/>
      <c r="IK49" s="139">
        <f>IJ49*100/$E$49</f>
        <v/>
      </c>
      <c r="IL49" s="133" t="n"/>
      <c r="IM49" s="140">
        <f>IL49*100/$E$49</f>
        <v/>
      </c>
      <c r="IN49" s="133" t="n"/>
      <c r="IO49" s="140">
        <f>IN49*100/$E$49</f>
        <v/>
      </c>
      <c r="IP49" s="133" t="n"/>
      <c r="IQ49" s="139">
        <f>IP49*100/$E$49</f>
        <v/>
      </c>
      <c r="IR49" s="133" t="n">
        <v>26</v>
      </c>
      <c r="IS49" s="139">
        <f>IR49*100/$E$49</f>
        <v/>
      </c>
      <c r="IT49" s="133" t="n"/>
      <c r="IU49" s="139">
        <f>IT49*100/$E$49</f>
        <v/>
      </c>
      <c r="IV49" s="133" t="n"/>
      <c r="IW49" s="139">
        <f>IV49*100/$E$49</f>
        <v/>
      </c>
      <c r="IX49" s="133" t="n"/>
      <c r="IY49" s="139">
        <f>IX49*100/$E$49</f>
        <v/>
      </c>
      <c r="IZ49" s="133" t="n"/>
      <c r="JA49" s="139">
        <f>IZ49*100/$E$49</f>
        <v/>
      </c>
      <c r="JB49" s="133" t="n"/>
      <c r="JC49" s="139">
        <f>JB49*100/$E$49</f>
        <v/>
      </c>
      <c r="JD49" s="133" t="n"/>
      <c r="JE49" s="139">
        <f>JD49*100/$E$49</f>
        <v/>
      </c>
      <c r="JF49" s="133" t="n"/>
      <c r="JG49" s="139">
        <f>JF49*100/$E$49</f>
        <v/>
      </c>
      <c r="JH49" s="133" t="n"/>
      <c r="JI49" s="139">
        <f>JH49*100/$E$49</f>
        <v/>
      </c>
      <c r="JJ49" s="133" t="n"/>
      <c r="JK49" s="139">
        <f>JJ49*100/$E$49</f>
        <v/>
      </c>
      <c r="JL49" s="133" t="n"/>
      <c r="JM49" s="139">
        <f>JL49*100/$E$49</f>
        <v/>
      </c>
      <c r="JN49" s="133" t="n"/>
      <c r="JO49" s="182">
        <f>JN49*100/$E$49</f>
        <v/>
      </c>
      <c r="JP49" s="133" t="n"/>
      <c r="JQ49" s="182">
        <f>JP49*100/$E$49</f>
        <v/>
      </c>
      <c r="JR49" s="133" t="n"/>
      <c r="JS49" s="182">
        <f>JR49*100/$E$49</f>
        <v/>
      </c>
      <c r="JT49" s="133" t="n"/>
      <c r="JU49" s="182">
        <f>JT49*100/$E$49</f>
        <v/>
      </c>
      <c r="JV49" s="133" t="n"/>
      <c r="JW49" s="182">
        <f>JV49*100/$E$49</f>
        <v/>
      </c>
      <c r="JX49" s="133" t="n"/>
      <c r="JY49" s="182">
        <f>JX49*100/$E$49</f>
        <v/>
      </c>
      <c r="JZ49" s="183">
        <f>JN49+JP49+JR49+JT49+JV49+JX49</f>
        <v/>
      </c>
      <c r="KA49" s="184">
        <f>JO49+JQ49+JS49+JU49+JW49+JY49</f>
        <v/>
      </c>
      <c r="KB49" s="185">
        <f>H49+J49+L49+N49+P49+R49+T49+V49+X49+Z49+AB49+AD49+AF49+AH49+AJ49+AL49+AN49+AP49+AR49+AT49+AV49+AX49+AZ49+BB49+BD49+BF49+BH49+BJ49+BL49+BN49+BP49+BR49+BT49+BV49+BX49+BZ49+CB49+CD49+CF49+CH49+CZ49+DB49+DD49+DF49+DH49+DJ49+DL49+DN49+DP49+DR49+DT49+DV49+DX49+DZ49+EB49+ED49+EF49+EH49+EJ49+EL49+EN49+EP49+ER49+ET49+EV49+FN49+FP49+FR49+FT49+FV49+FX49+FZ49+GB49+GD49+GF49+GH49+GJ49+GL49+GN49+GP49+GR49+GT49+GV49+GX49+GZ49+HB49+HD49+HF49+HH49+HJ49+HL49+HN49+HP49+HR49+HT49+HV49+HX49+HZ49+IB49+ID49+IF49+IH49+IJ49+IL49+IN49+IP49+IR49+IT49+IV49+IX49+IZ49+JB49+JD49+JF49+JH49+JJ49+JL49+JZ49+CJ49+CL49+CN49+CP49+CR49+CT49+CV49+CX49+EX49+EZ49+FB49+FD49+FF49+FH49+FJ49+FL49</f>
        <v/>
      </c>
      <c r="KC49" s="186">
        <f>I49+K49+M49+O49+Q49+S49+U49+W49+Y49+AA49+AC49+AE49+AG49+AI49+AK49+AM49+AO49+AQ49+AS49+AU49+AW49+AY49+BA49+BC49+BE49+BG49+BI49+BK49+BM49+BO49+BQ49+BS49+BU49+BW49+BY49+CA49+CC49+CE49+CG49+CI49+DA49+DC49+DE49+DG49+DI49+DK49+DM49+DO49+DQ49+DS49+DU49+DW49+DY49+EA49+EC49+EE49+EG49+EI49+EK49+EM49+EO49+EQ49+ES49+EU49+EW49+FO49+FS49+FU49+FW49+FQ49+FY49+GA49+GC49+GE49+GG49+GI49+GK49+GM49+GO49+GQ49+GS49+GU49+GW49+GY49+HA49+HC49+HE49+HG49+HI49+HK49+HM49+HO49+HQ49+HS49+HU49+HW49+HY49+IA49+IC49+IE49+IG49+II49+IK49+IM49+IO49+IQ49+IS49+IU49+IW49+IY49+JA49+JC49+JE49+JG49+JI49+JK49+JM49+KA49+CK49+CM49+CO49+CQ49+CS49+CU49+CW49+CY49+EY49+FA49+FC49+FE49+FG49+FI49+FK49+FM49</f>
        <v/>
      </c>
      <c r="KD49" s="187">
        <f>JO49+JQ49+JS49+JU49+JW49+JY49</f>
        <v/>
      </c>
      <c r="KE49" s="188">
        <f>KB49=E49</f>
        <v/>
      </c>
      <c r="KF49" s="189">
        <f>E49-KB49</f>
        <v/>
      </c>
      <c r="KG49" s="210" t="n"/>
    </row>
    <row r="50" ht="27" customFormat="1" customHeight="1" s="11" thickBot="1">
      <c r="A50" s="126">
        <f>A49+1</f>
        <v/>
      </c>
      <c r="B50" s="175" t="inlineStr">
        <is>
          <t>Южиков А.Ю.</t>
        </is>
      </c>
      <c r="C50" s="176" t="inlineStr">
        <is>
          <t>сварщик</t>
        </is>
      </c>
      <c r="D50" s="177">
        <f>$D$5</f>
        <v/>
      </c>
      <c r="E50" s="202" t="n">
        <v>64</v>
      </c>
      <c r="F50" s="222" t="n">
        <v>68853.84</v>
      </c>
      <c r="G50" s="179">
        <f>F50/D50</f>
        <v/>
      </c>
      <c r="H50" s="125" t="n"/>
      <c r="I50" s="107">
        <f>H50*100/$E$50</f>
        <v/>
      </c>
      <c r="J50" s="108" t="n"/>
      <c r="K50" s="107">
        <f>J50*100/$E$50</f>
        <v/>
      </c>
      <c r="L50" s="108" t="n"/>
      <c r="M50" s="107">
        <f>L50*100/$E$50</f>
        <v/>
      </c>
      <c r="N50" s="108" t="n"/>
      <c r="O50" s="107">
        <f>N50*100/$E$50</f>
        <v/>
      </c>
      <c r="P50" s="108" t="n"/>
      <c r="Q50" s="122">
        <f>P50*100/$E$50</f>
        <v/>
      </c>
      <c r="R50" s="125" t="n"/>
      <c r="S50" s="122">
        <f>R50*100/$E$50</f>
        <v/>
      </c>
      <c r="T50" s="108" t="n"/>
      <c r="U50" s="107">
        <f>T50*100/$E$50</f>
        <v/>
      </c>
      <c r="V50" s="108" t="n"/>
      <c r="W50" s="107">
        <f>V50*100/$E$50</f>
        <v/>
      </c>
      <c r="X50" s="108" t="n"/>
      <c r="Y50" s="107">
        <f>X50*100/$E$50</f>
        <v/>
      </c>
      <c r="Z50" s="108" t="n"/>
      <c r="AA50" s="107">
        <f>Z50*100/$E$50</f>
        <v/>
      </c>
      <c r="AB50" s="108" t="n"/>
      <c r="AC50" s="107">
        <f>AB50*100/$E$50</f>
        <v/>
      </c>
      <c r="AD50" s="108" t="n"/>
      <c r="AE50" s="122">
        <f>AD50*100/$E$50</f>
        <v/>
      </c>
      <c r="AF50" s="108" t="n"/>
      <c r="AG50" s="122">
        <f>AF50*100/$E$50</f>
        <v/>
      </c>
      <c r="AH50" s="108" t="n"/>
      <c r="AI50" s="107">
        <f>AH50*100/$E$50</f>
        <v/>
      </c>
      <c r="AJ50" s="108" t="n"/>
      <c r="AK50" s="107">
        <f>AJ50*100/$E$50</f>
        <v/>
      </c>
      <c r="AL50" s="108" t="n"/>
      <c r="AM50" s="107">
        <f>AL50*100/$E$50</f>
        <v/>
      </c>
      <c r="AN50" s="108" t="n"/>
      <c r="AO50" s="107">
        <f>AN50*100/$E$50</f>
        <v/>
      </c>
      <c r="AP50" s="108" t="n">
        <v>15</v>
      </c>
      <c r="AQ50" s="107">
        <f>AP50*100/$E$50</f>
        <v/>
      </c>
      <c r="AR50" s="108" t="n"/>
      <c r="AS50" s="107">
        <f>AR50*100/$E$50</f>
        <v/>
      </c>
      <c r="AT50" s="108" t="n"/>
      <c r="AU50" s="90">
        <f>AT50*100/$E$50</f>
        <v/>
      </c>
      <c r="AV50" s="108" t="n"/>
      <c r="AW50" s="107">
        <f>AV50*100/$E$50</f>
        <v/>
      </c>
      <c r="AX50" s="108" t="n">
        <v>33</v>
      </c>
      <c r="AY50" s="107">
        <f>AX50*100/$E$50</f>
        <v/>
      </c>
      <c r="AZ50" s="108" t="n"/>
      <c r="BA50" s="107">
        <f>AZ50*100/$E$50</f>
        <v/>
      </c>
      <c r="BB50" s="108" t="n"/>
      <c r="BC50" s="107">
        <f>BB50*100/$E$50</f>
        <v/>
      </c>
      <c r="BD50" s="108" t="n"/>
      <c r="BE50" s="107">
        <f>BD50*100/$E$50</f>
        <v/>
      </c>
      <c r="BF50" s="108" t="n"/>
      <c r="BG50" s="107">
        <f>BF50*100/$E$50</f>
        <v/>
      </c>
      <c r="BH50" s="108" t="n"/>
      <c r="BI50" s="107">
        <f>BH50*100/$E$50</f>
        <v/>
      </c>
      <c r="BJ50" s="108" t="n"/>
      <c r="BK50" s="107">
        <f>BJ50*100/$E$50</f>
        <v/>
      </c>
      <c r="BL50" s="108" t="n"/>
      <c r="BM50" s="107">
        <f>BL50*100/$E$50</f>
        <v/>
      </c>
      <c r="BN50" s="108" t="n"/>
      <c r="BO50" s="107">
        <f>BN50*100/$E$50</f>
        <v/>
      </c>
      <c r="BP50" s="108" t="n"/>
      <c r="BQ50" s="107">
        <f>BP50*100/$E$50</f>
        <v/>
      </c>
      <c r="BR50" s="108" t="n"/>
      <c r="BS50" s="107">
        <f>BR50*100/$E$50</f>
        <v/>
      </c>
      <c r="BT50" s="108" t="n"/>
      <c r="BU50" s="107">
        <f>BT50*100/$E$50</f>
        <v/>
      </c>
      <c r="BV50" s="108" t="n"/>
      <c r="BW50" s="107">
        <f>BV50*100/$E$50</f>
        <v/>
      </c>
      <c r="BX50" s="108" t="n"/>
      <c r="BY50" s="107">
        <f>BX50*100/$E$50</f>
        <v/>
      </c>
      <c r="BZ50" s="108" t="n"/>
      <c r="CA50" s="107">
        <f>BZ50*100/$E$50</f>
        <v/>
      </c>
      <c r="CB50" s="108" t="n"/>
      <c r="CC50" s="107">
        <f>CB50*100/$E$50</f>
        <v/>
      </c>
      <c r="CD50" s="108" t="n"/>
      <c r="CE50" s="107">
        <f>CD50*100/$E$50</f>
        <v/>
      </c>
      <c r="CF50" s="108" t="n"/>
      <c r="CG50" s="107">
        <f>CF50*100/$E$50</f>
        <v/>
      </c>
      <c r="CH50" s="108" t="n"/>
      <c r="CI50" s="107">
        <f>CH50*100/$E$50</f>
        <v/>
      </c>
      <c r="CJ50" s="108" t="n"/>
      <c r="CK50" s="107">
        <f>CJ50*100/$E$50</f>
        <v/>
      </c>
      <c r="CL50" s="108" t="n"/>
      <c r="CM50" s="107">
        <f>CL50*100/$E$50</f>
        <v/>
      </c>
      <c r="CN50" s="108" t="n"/>
      <c r="CO50" s="122">
        <f>CN50*100/$E$50</f>
        <v/>
      </c>
      <c r="CP50" s="108" t="n"/>
      <c r="CQ50" s="107">
        <f>CP50*100/$E$50</f>
        <v/>
      </c>
      <c r="CR50" s="108" t="n"/>
      <c r="CS50" s="122">
        <f>CR50*100/$E$50</f>
        <v/>
      </c>
      <c r="CT50" s="108" t="n"/>
      <c r="CU50" s="122">
        <f>CT50*100/$E$50</f>
        <v/>
      </c>
      <c r="CV50" s="108" t="n"/>
      <c r="CW50" s="122">
        <f>CV50*100/$E$50</f>
        <v/>
      </c>
      <c r="CX50" s="108" t="n"/>
      <c r="CY50" s="122">
        <f>CX50*100/$E$50</f>
        <v/>
      </c>
      <c r="CZ50" s="108" t="n"/>
      <c r="DA50" s="122">
        <f>CZ50*100/$E$50</f>
        <v/>
      </c>
      <c r="DB50" s="108" t="n"/>
      <c r="DC50" s="122">
        <f>DB50*100/$E$50</f>
        <v/>
      </c>
      <c r="DD50" s="108" t="n"/>
      <c r="DE50" s="122">
        <f>DD50*100/$E$50</f>
        <v/>
      </c>
      <c r="DF50" s="108" t="n"/>
      <c r="DG50" s="122">
        <f>DF50*100/$E$50</f>
        <v/>
      </c>
      <c r="DH50" s="108" t="n"/>
      <c r="DI50" s="122">
        <f>DH50*100/$E$50</f>
        <v/>
      </c>
      <c r="DJ50" s="108" t="n"/>
      <c r="DK50" s="122">
        <f>DJ50*100/$E$50</f>
        <v/>
      </c>
      <c r="DL50" s="108" t="n"/>
      <c r="DM50" s="122">
        <f>DL50*100/$E$50</f>
        <v/>
      </c>
      <c r="DN50" s="108" t="n"/>
      <c r="DO50" s="122">
        <f>DN50*100/$E$50</f>
        <v/>
      </c>
      <c r="DP50" s="108" t="n"/>
      <c r="DQ50" s="122">
        <f>DP50*100/$E$50</f>
        <v/>
      </c>
      <c r="DR50" s="108" t="n"/>
      <c r="DS50" s="122">
        <f>DR50*100/$E$50</f>
        <v/>
      </c>
      <c r="DT50" s="108" t="n"/>
      <c r="DU50" s="122">
        <f>DT50*100/$E$50</f>
        <v/>
      </c>
      <c r="DV50" s="108" t="n"/>
      <c r="DW50" s="122">
        <f>DV50*100/$E$50</f>
        <v/>
      </c>
      <c r="DX50" s="108" t="n"/>
      <c r="DY50" s="122">
        <f>DX50*100/$E$50</f>
        <v/>
      </c>
      <c r="DZ50" s="108" t="n"/>
      <c r="EA50" s="122">
        <f>DZ50*100/$E$50</f>
        <v/>
      </c>
      <c r="EB50" s="108" t="n"/>
      <c r="EC50" s="122">
        <f>EB50*100/$E$50</f>
        <v/>
      </c>
      <c r="ED50" s="108" t="n"/>
      <c r="EE50" s="122">
        <f>ED50*100/$E$50</f>
        <v/>
      </c>
      <c r="EF50" s="108" t="n"/>
      <c r="EG50" s="122">
        <f>EF50*100/$E$50</f>
        <v/>
      </c>
      <c r="EH50" s="108" t="n"/>
      <c r="EI50" s="122">
        <f>EH50*100/$E$50</f>
        <v/>
      </c>
      <c r="EJ50" s="108" t="n"/>
      <c r="EK50" s="122">
        <f>EJ50*100/$E$50</f>
        <v/>
      </c>
      <c r="EL50" s="108" t="n"/>
      <c r="EM50" s="122">
        <f>EL50*100/$E$50</f>
        <v/>
      </c>
      <c r="EN50" s="108" t="n"/>
      <c r="EO50" s="122">
        <f>EN50*100/$E$50</f>
        <v/>
      </c>
      <c r="EP50" s="108" t="n"/>
      <c r="EQ50" s="122">
        <f>EP50*100/$E$50</f>
        <v/>
      </c>
      <c r="ER50" s="108" t="n"/>
      <c r="ES50" s="122">
        <f>ER50*100/$E$50</f>
        <v/>
      </c>
      <c r="ET50" s="108" t="n"/>
      <c r="EU50" s="122">
        <f>ET50*100/$E$50</f>
        <v/>
      </c>
      <c r="EV50" s="108" t="n"/>
      <c r="EW50" s="122">
        <f>EV50*100/$E$50</f>
        <v/>
      </c>
      <c r="EX50" s="108" t="n"/>
      <c r="EY50" s="122">
        <f>EX50*100/$E$50</f>
        <v/>
      </c>
      <c r="EZ50" s="108" t="n"/>
      <c r="FA50" s="122">
        <f>EZ50*100/$E$50</f>
        <v/>
      </c>
      <c r="FB50" s="108" t="n"/>
      <c r="FC50" s="122">
        <f>FB50*100/$E$50</f>
        <v/>
      </c>
      <c r="FD50" s="108" t="n"/>
      <c r="FE50" s="122">
        <f>FD50*100/$E$50</f>
        <v/>
      </c>
      <c r="FF50" s="108" t="n"/>
      <c r="FG50" s="122">
        <f>FF50*100/$E$50</f>
        <v/>
      </c>
      <c r="FH50" s="108" t="n"/>
      <c r="FI50" s="122">
        <f>FH50*100/$E$50</f>
        <v/>
      </c>
      <c r="FJ50" s="108" t="n"/>
      <c r="FK50" s="122">
        <f>FJ50*100/$E$50</f>
        <v/>
      </c>
      <c r="FL50" s="108" t="n"/>
      <c r="FM50" s="122">
        <f>FL50*100/$E$50</f>
        <v/>
      </c>
      <c r="FN50" s="108" t="n"/>
      <c r="FO50" s="122">
        <f>FN50*100/$E$50</f>
        <v/>
      </c>
      <c r="FP50" s="108" t="n"/>
      <c r="FQ50" s="122">
        <f>FP50*100/$E$50</f>
        <v/>
      </c>
      <c r="FR50" s="108" t="n"/>
      <c r="FS50" s="122">
        <f>FR50*100/$E$50</f>
        <v/>
      </c>
      <c r="FT50" s="108" t="n"/>
      <c r="FU50" s="122">
        <f>FT50*100/$E$50</f>
        <v/>
      </c>
      <c r="FV50" s="108" t="n"/>
      <c r="FW50" s="122">
        <f>FV50*100/$E$50</f>
        <v/>
      </c>
      <c r="FX50" s="108" t="n"/>
      <c r="FY50" s="107">
        <f>FX50*100/$E$50</f>
        <v/>
      </c>
      <c r="FZ50" s="108" t="n"/>
      <c r="GA50" s="107">
        <f>FZ50*100/$E$50</f>
        <v/>
      </c>
      <c r="GB50" s="108" t="n"/>
      <c r="GC50" s="107">
        <f>GB50*100/$E$50</f>
        <v/>
      </c>
      <c r="GD50" s="108" t="n"/>
      <c r="GE50" s="107">
        <f>GD50*100/$E$50</f>
        <v/>
      </c>
      <c r="GF50" s="108" t="n"/>
      <c r="GG50" s="107">
        <f>GF50*100/$E$50</f>
        <v/>
      </c>
      <c r="GH50" s="108" t="n"/>
      <c r="GI50" s="107">
        <f>GH50*100/$E$50</f>
        <v/>
      </c>
      <c r="GJ50" s="108" t="n"/>
      <c r="GK50" s="122">
        <f>GJ50*100/$E$50</f>
        <v/>
      </c>
      <c r="GL50" s="108" t="n"/>
      <c r="GM50" s="107">
        <f>GL50*100/$E$50</f>
        <v/>
      </c>
      <c r="GN50" s="108" t="n"/>
      <c r="GO50" s="122">
        <f>GN50*100/$E$50</f>
        <v/>
      </c>
      <c r="GP50" s="108" t="n"/>
      <c r="GQ50" s="107">
        <f>GP50*100/$E$50</f>
        <v/>
      </c>
      <c r="GR50" s="108" t="n"/>
      <c r="GS50" s="122">
        <f>GR50*100/$E$50</f>
        <v/>
      </c>
      <c r="GT50" s="108" t="n"/>
      <c r="GU50" s="122">
        <f>GT50*100/$E$50</f>
        <v/>
      </c>
      <c r="GV50" s="108" t="n"/>
      <c r="GW50" s="122">
        <f>GV50*100/$E$50</f>
        <v/>
      </c>
      <c r="GX50" s="108" t="n"/>
      <c r="GY50" s="107">
        <f>GX50*100/$E$50</f>
        <v/>
      </c>
      <c r="GZ50" s="108" t="n"/>
      <c r="HA50" s="107">
        <f>GZ50*100/$E$50</f>
        <v/>
      </c>
      <c r="HB50" s="108" t="n"/>
      <c r="HC50" s="107">
        <f>HB50*100/$E$50</f>
        <v/>
      </c>
      <c r="HD50" s="108" t="n"/>
      <c r="HE50" s="107">
        <f>HD50*100/$E$50</f>
        <v/>
      </c>
      <c r="HF50" s="108" t="n"/>
      <c r="HG50" s="107">
        <f>HF50*100/$E$50</f>
        <v/>
      </c>
      <c r="HH50" s="108" t="n"/>
      <c r="HI50" s="107">
        <f>HH50*100/$E$50</f>
        <v/>
      </c>
      <c r="HJ50" s="108" t="n"/>
      <c r="HK50" s="107">
        <f>HJ50*100/$E$50</f>
        <v/>
      </c>
      <c r="HL50" s="108" t="n"/>
      <c r="HM50" s="107">
        <f>HL50*100/$E$50</f>
        <v/>
      </c>
      <c r="HN50" s="108" t="n"/>
      <c r="HO50" s="107">
        <f>HN50*100/$E$50</f>
        <v/>
      </c>
      <c r="HP50" s="108" t="n"/>
      <c r="HQ50" s="107">
        <f>HP50*100/$E$50</f>
        <v/>
      </c>
      <c r="HR50" s="108" t="n"/>
      <c r="HS50" s="107">
        <f>HR50*100/$E$50</f>
        <v/>
      </c>
      <c r="HT50" s="108" t="n"/>
      <c r="HU50" s="107">
        <f>HT50*100/$E$50</f>
        <v/>
      </c>
      <c r="HV50" s="108" t="n"/>
      <c r="HW50" s="107">
        <f>HV50*100/$E$50</f>
        <v/>
      </c>
      <c r="HX50" s="108" t="n"/>
      <c r="HY50" s="107">
        <f>HX50*100/$E$50</f>
        <v/>
      </c>
      <c r="HZ50" s="108" t="n"/>
      <c r="IA50" s="122">
        <f>HZ50*100/$E$50</f>
        <v/>
      </c>
      <c r="IB50" s="108" t="n"/>
      <c r="IC50" s="122">
        <f>IB50*100/$E$50</f>
        <v/>
      </c>
      <c r="ID50" s="108" t="n"/>
      <c r="IE50" s="122">
        <f>ID50*100/$E$50</f>
        <v/>
      </c>
      <c r="IF50" s="108" t="n"/>
      <c r="IG50" s="122">
        <f>IF50*100/$E$50</f>
        <v/>
      </c>
      <c r="IH50" s="108" t="n"/>
      <c r="II50" s="122">
        <f>IH50*100/$E$50</f>
        <v/>
      </c>
      <c r="IJ50" s="108" t="n"/>
      <c r="IK50" s="122">
        <f>IJ50*100/$E$50</f>
        <v/>
      </c>
      <c r="IL50" s="108" t="n"/>
      <c r="IM50" s="107">
        <f>IL50*100/$E$50</f>
        <v/>
      </c>
      <c r="IN50" s="108" t="n"/>
      <c r="IO50" s="107">
        <f>IN50*100/$E$50</f>
        <v/>
      </c>
      <c r="IP50" s="108" t="n"/>
      <c r="IQ50" s="122">
        <f>IP50*100/$E$50</f>
        <v/>
      </c>
      <c r="IR50" s="108" t="n"/>
      <c r="IS50" s="122">
        <f>IR50*100/$E$50</f>
        <v/>
      </c>
      <c r="IT50" s="108" t="n"/>
      <c r="IU50" s="122">
        <f>IT50*100/$E$50</f>
        <v/>
      </c>
      <c r="IV50" s="108" t="n"/>
      <c r="IW50" s="122">
        <f>IV50*100/$E$50</f>
        <v/>
      </c>
      <c r="IX50" s="108" t="n"/>
      <c r="IY50" s="122">
        <f>IX50*100/$E$50</f>
        <v/>
      </c>
      <c r="IZ50" s="108" t="n"/>
      <c r="JA50" s="122">
        <f>IZ50*100/$E$50</f>
        <v/>
      </c>
      <c r="JB50" s="108" t="n"/>
      <c r="JC50" s="122">
        <f>JB50*100/$E$50</f>
        <v/>
      </c>
      <c r="JD50" s="108" t="n"/>
      <c r="JE50" s="122">
        <f>JD50*100/$E$50</f>
        <v/>
      </c>
      <c r="JF50" s="108" t="n"/>
      <c r="JG50" s="122">
        <f>JF50*100/$E$50</f>
        <v/>
      </c>
      <c r="JH50" s="108" t="n"/>
      <c r="JI50" s="122">
        <f>JH50*100/$E$50</f>
        <v/>
      </c>
      <c r="JJ50" s="108" t="n"/>
      <c r="JK50" s="122">
        <f>JJ50*100/$E$50</f>
        <v/>
      </c>
      <c r="JL50" s="108" t="n"/>
      <c r="JM50" s="122">
        <f>JL50*100/$E$50</f>
        <v/>
      </c>
      <c r="JN50" s="108" t="n">
        <v>16</v>
      </c>
      <c r="JO50" s="121">
        <f>JN50*100/$E$50</f>
        <v/>
      </c>
      <c r="JP50" s="108" t="n"/>
      <c r="JQ50" s="121">
        <f>JP50*100/$E$50</f>
        <v/>
      </c>
      <c r="JR50" s="108" t="n"/>
      <c r="JS50" s="121">
        <f>JR50*100/$E$50</f>
        <v/>
      </c>
      <c r="JT50" s="108" t="n"/>
      <c r="JU50" s="121">
        <f>JT50*100/$E$50</f>
        <v/>
      </c>
      <c r="JV50" s="108" t="n"/>
      <c r="JW50" s="121">
        <f>JV50*100/$E$50</f>
        <v/>
      </c>
      <c r="JX50" s="108" t="n"/>
      <c r="JY50" s="121">
        <f>JX50*100/$E$50</f>
        <v/>
      </c>
      <c r="JZ50" s="55">
        <f>JN50+JP50+JR50+JT50+JV50+JX50</f>
        <v/>
      </c>
      <c r="KA50" s="53">
        <f>JO50+JQ50+JS50+JU50+JW50+JY50</f>
        <v/>
      </c>
      <c r="KB50" s="185">
        <f>H50+J50+L50+N50+P50+R50+T50+V50+X50+Z50+AB50+AD50+AF50+AH50+AJ50+AL50+AN50+AP50+AR50+AT50+AV50+AX50+AZ50+BB50+BD50+BF50+BH50+BJ50+BL50+BN50+BP50+BR50+BT50+BV50+BX50+BZ50+CB50+CD50+CF50+CH50+CZ50+DB50+DD50+DF50+DH50+DJ50+DL50+DN50+DP50+DR50+DT50+DV50+DX50+DZ50+EB50+ED50+EF50+EH50+EJ50+EL50+EN50+EP50+ER50+ET50+EV50+FN50+FP50+FR50+FT50+FV50+FX50+FZ50+GB50+GD50+GF50+GH50+GJ50+GL50+GN50+GP50+GR50+GT50+GV50+GX50+GZ50+HB50+HD50+HF50+HH50+HJ50+HL50+HN50+HP50+HR50+HT50+HV50+HX50+HZ50+IB50+ID50+IF50+IH50+IJ50+IL50+IN50+IP50+IR50+IT50+IV50+IX50+IZ50+JB50+JD50+JF50+JH50+JJ50+JL50+JZ50+CJ50+CL50+CN50+CP50+CR50+CT50+CV50+CX50+EX50+EZ50+FB50+FD50+FF50+FH50+FJ50+FL50</f>
        <v/>
      </c>
      <c r="KC50" s="66">
        <f>I50+K50+M50+O50+Q50+S50+U50+W50+Y50+AA50+AC50+AE50+AG50+AI50+AK50+AM50+AO50+AQ50+AS50+AU50+AW50+AY50+BA50+BC50+BE50+BG50+BI50+BK50+BM50+BO50+BQ50+BS50+BU50+BW50+BY50+CA50+CC50+CE50+CG50+CI50+DA50+DC50+DE50+DG50+DI50+DK50+DM50+DO50+DQ50+DS50+DU50+DW50+DY50+EA50+EC50+EE50+EG50+EI50+EK50+EM50+EO50+EQ50+ES50+EU50+EW50+FO50+FS50+FU50+FW50+FQ50+FY50+GA50+GC50+GE50+GG50+GI50+GK50+GM50+GO50+GQ50+GS50+GU50+GW50+GY50+HA50+HC50+HE50+HG50+HI50+HK50+HM50+HO50+HQ50+HS50+HU50+HW50+HY50+IA50+IC50+IE50+IG50+II50+IK50+IM50+IO50+IQ50+IS50+IU50+IW50+IY50+JA50+JC50+JE50+JG50+JI50+JK50+JM50+KA50+CK50+CM50+CO50+CQ50+CS50+CU50+CW50+CY50+EY50+FA50+FC50+FE50+FG50+FI50+FK50+FM50</f>
        <v/>
      </c>
      <c r="KD50" s="44">
        <f>JO50+JQ50+JS50+JU50+JW50+JY50</f>
        <v/>
      </c>
      <c r="KE50" s="45">
        <f>KB50=E50</f>
        <v/>
      </c>
      <c r="KF50" s="101">
        <f>E50-KB50</f>
        <v/>
      </c>
      <c r="KG50" s="28" t="n"/>
    </row>
    <row r="51" ht="29.25" customFormat="1" customHeight="1" s="100" thickBot="1">
      <c r="A51" s="129" t="n"/>
      <c r="B51" s="135" t="inlineStr">
        <is>
          <t>Итого</t>
        </is>
      </c>
      <c r="C51" s="91" t="n"/>
      <c r="D51" s="131">
        <f>SUM(D9:D50)</f>
        <v/>
      </c>
      <c r="E51" s="31">
        <f>SUM(E9:E50)</f>
        <v/>
      </c>
      <c r="F51" s="92">
        <f>SUM(F9:F50)</f>
        <v/>
      </c>
      <c r="G51" s="105">
        <f>E51*F52</f>
        <v/>
      </c>
      <c r="H51" s="95">
        <f>SUM(H9:H50)</f>
        <v/>
      </c>
      <c r="I51" s="96">
        <f>SUM(I9:I50)</f>
        <v/>
      </c>
      <c r="J51" s="89">
        <f>SUM(J9:J50)</f>
        <v/>
      </c>
      <c r="K51" s="96">
        <f>SUM(K9:K50)</f>
        <v/>
      </c>
      <c r="L51" s="89">
        <f>SUM(L9:L50)</f>
        <v/>
      </c>
      <c r="M51" s="96">
        <f>SUM(M9:M50)</f>
        <v/>
      </c>
      <c r="N51" s="89">
        <f>SUM(N9:N50)</f>
        <v/>
      </c>
      <c r="O51" s="96">
        <f>SUM(O9:O50)</f>
        <v/>
      </c>
      <c r="P51" s="89">
        <f>SUM(P9:P50)</f>
        <v/>
      </c>
      <c r="Q51" s="96">
        <f>SUM(Q9:Q50)</f>
        <v/>
      </c>
      <c r="R51" s="95">
        <f>SUM(R9:R50)</f>
        <v/>
      </c>
      <c r="S51" s="96">
        <f>SUM(S9:S50)</f>
        <v/>
      </c>
      <c r="T51" s="89">
        <f>SUM(T9:T50)</f>
        <v/>
      </c>
      <c r="U51" s="96">
        <f>SUM(U9:U50)</f>
        <v/>
      </c>
      <c r="V51" s="89">
        <f>SUM(V9:V50)</f>
        <v/>
      </c>
      <c r="W51" s="96">
        <f>SUM(W9:W50)</f>
        <v/>
      </c>
      <c r="X51" s="89">
        <f>SUM(X9:X50)</f>
        <v/>
      </c>
      <c r="Y51" s="96">
        <f>SUM(Y9:Y50)</f>
        <v/>
      </c>
      <c r="Z51" s="89">
        <f>SUM(Z9:Z50)</f>
        <v/>
      </c>
      <c r="AA51" s="96">
        <f>SUM(AA9:AA50)</f>
        <v/>
      </c>
      <c r="AB51" s="89">
        <f>SUM(AB9:AB50)</f>
        <v/>
      </c>
      <c r="AC51" s="96">
        <f>SUM(AC9:AC50)</f>
        <v/>
      </c>
      <c r="AD51" s="89">
        <f>SUM(AD9:AD50)</f>
        <v/>
      </c>
      <c r="AE51" s="96">
        <f>SUM(AE9:AE50)</f>
        <v/>
      </c>
      <c r="AF51" s="89">
        <f>SUM(AF9:AF50)</f>
        <v/>
      </c>
      <c r="AG51" s="96">
        <f>SUM(AG9:AG50)</f>
        <v/>
      </c>
      <c r="AH51" s="89">
        <f>SUM(AH9:AH50)</f>
        <v/>
      </c>
      <c r="AI51" s="96">
        <f>SUM(AI9:AI50)</f>
        <v/>
      </c>
      <c r="AJ51" s="89">
        <f>SUM(AJ9:AJ50)</f>
        <v/>
      </c>
      <c r="AK51" s="96">
        <f>SUM(AK9:AK50)</f>
        <v/>
      </c>
      <c r="AL51" s="89">
        <f>SUM(AL9:AL50)</f>
        <v/>
      </c>
      <c r="AM51" s="96">
        <f>SUM(AM9:AM50)</f>
        <v/>
      </c>
      <c r="AN51" s="89">
        <f>SUM(AN9:AN50)</f>
        <v/>
      </c>
      <c r="AO51" s="96">
        <f>SUM(AO9:AO50)</f>
        <v/>
      </c>
      <c r="AP51" s="89">
        <f>SUM(AP9:AP50)</f>
        <v/>
      </c>
      <c r="AQ51" s="96">
        <f>SUM(AQ9:AQ50)</f>
        <v/>
      </c>
      <c r="AR51" s="89">
        <f>SUM(AR9:AR50)</f>
        <v/>
      </c>
      <c r="AS51" s="96">
        <f>SUM(AS9:AS50)</f>
        <v/>
      </c>
      <c r="AT51" s="89">
        <f>SUM(AT9:AT50)</f>
        <v/>
      </c>
      <c r="AU51" s="96">
        <f>SUM(AU9:AU50)</f>
        <v/>
      </c>
      <c r="AV51" s="89">
        <f>SUM(AV9:AV50)</f>
        <v/>
      </c>
      <c r="AW51" s="96">
        <f>SUM(AW9:AW50)</f>
        <v/>
      </c>
      <c r="AX51" s="89">
        <f>SUM(AX9:AX50)</f>
        <v/>
      </c>
      <c r="AY51" s="96">
        <f>SUM(AY9:AY50)</f>
        <v/>
      </c>
      <c r="AZ51" s="89">
        <f>SUM(AZ9:AZ50)</f>
        <v/>
      </c>
      <c r="BA51" s="96">
        <f>SUM(BA9:BA50)</f>
        <v/>
      </c>
      <c r="BB51" s="89">
        <f>SUM(BB9:BB50)</f>
        <v/>
      </c>
      <c r="BC51" s="96">
        <f>SUM(BC9:BC50)</f>
        <v/>
      </c>
      <c r="BD51" s="89">
        <f>SUM(BD9:BD50)</f>
        <v/>
      </c>
      <c r="BE51" s="96">
        <f>SUM(BE9:BE50)</f>
        <v/>
      </c>
      <c r="BF51" s="89">
        <f>SUM(BF9:BF50)</f>
        <v/>
      </c>
      <c r="BG51" s="96">
        <f>SUM(BG9:BG50)</f>
        <v/>
      </c>
      <c r="BH51" s="89">
        <f>SUM(BH9:BH50)</f>
        <v/>
      </c>
      <c r="BI51" s="96">
        <f>SUM(BI9:BI50)</f>
        <v/>
      </c>
      <c r="BJ51" s="89">
        <f>SUM(BJ9:BJ50)</f>
        <v/>
      </c>
      <c r="BK51" s="96">
        <f>SUM(BK9:BK50)</f>
        <v/>
      </c>
      <c r="BL51" s="89">
        <f>SUM(BL9:BL50)</f>
        <v/>
      </c>
      <c r="BM51" s="96">
        <f>SUM(BM9:BM50)</f>
        <v/>
      </c>
      <c r="BN51" s="89">
        <f>SUM(BN9:BN50)</f>
        <v/>
      </c>
      <c r="BO51" s="96">
        <f>SUM(BO9:BO50)</f>
        <v/>
      </c>
      <c r="BP51" s="89">
        <f>SUM(BP9:BP50)</f>
        <v/>
      </c>
      <c r="BQ51" s="96">
        <f>SUM(BQ9:BQ50)</f>
        <v/>
      </c>
      <c r="BR51" s="89">
        <f>SUM(BR9:BR50)</f>
        <v/>
      </c>
      <c r="BS51" s="96">
        <f>SUM(BS9:BS50)</f>
        <v/>
      </c>
      <c r="BT51" s="89">
        <f>SUM(BT9:BT50)</f>
        <v/>
      </c>
      <c r="BU51" s="96">
        <f>SUM(BU9:BU50)</f>
        <v/>
      </c>
      <c r="BV51" s="89">
        <f>SUM(BV9:BV50)</f>
        <v/>
      </c>
      <c r="BW51" s="96">
        <f>SUM(BW9:BW50)</f>
        <v/>
      </c>
      <c r="BX51" s="89">
        <f>SUM(BX9:BX50)</f>
        <v/>
      </c>
      <c r="BY51" s="96">
        <f>SUM(BY9:BY50)</f>
        <v/>
      </c>
      <c r="BZ51" s="89">
        <f>SUM(BZ9:BZ50)</f>
        <v/>
      </c>
      <c r="CA51" s="96">
        <f>SUM(CA9:CA50)</f>
        <v/>
      </c>
      <c r="CB51" s="89">
        <f>SUM(CB9:CB50)</f>
        <v/>
      </c>
      <c r="CC51" s="96">
        <f>SUM(CC9:CC50)</f>
        <v/>
      </c>
      <c r="CD51" s="89">
        <f>SUM(CD9:CD50)</f>
        <v/>
      </c>
      <c r="CE51" s="96">
        <f>SUM(CE9:CE50)</f>
        <v/>
      </c>
      <c r="CF51" s="89">
        <f>SUM(CF9:CF50)</f>
        <v/>
      </c>
      <c r="CG51" s="96">
        <f>SUM(CG9:CG50)</f>
        <v/>
      </c>
      <c r="CH51" s="89">
        <f>SUM(CH9:CH50)</f>
        <v/>
      </c>
      <c r="CI51" s="96">
        <f>SUM(CI9:CI50)</f>
        <v/>
      </c>
      <c r="CJ51" s="89">
        <f>SUM(CJ9:CJ50)</f>
        <v/>
      </c>
      <c r="CK51" s="96">
        <f>SUM(CK9:CK50)</f>
        <v/>
      </c>
      <c r="CL51" s="89">
        <f>SUM(CL9:CL50)</f>
        <v/>
      </c>
      <c r="CM51" s="96">
        <f>SUM(CM9:CM50)</f>
        <v/>
      </c>
      <c r="CN51" s="89">
        <f>SUM(CN9:CN50)</f>
        <v/>
      </c>
      <c r="CO51" s="96">
        <f>SUM(CO9:CO50)</f>
        <v/>
      </c>
      <c r="CP51" s="89">
        <f>SUM(CP9:CP50)</f>
        <v/>
      </c>
      <c r="CQ51" s="96">
        <f>SUM(CQ9:CQ50)</f>
        <v/>
      </c>
      <c r="CR51" s="89">
        <f>SUM(CR9:CR50)</f>
        <v/>
      </c>
      <c r="CS51" s="96">
        <f>SUM(CS9:CS50)</f>
        <v/>
      </c>
      <c r="CT51" s="89">
        <f>SUM(CT9:CT50)</f>
        <v/>
      </c>
      <c r="CU51" s="96">
        <f>SUM(CU9:CU50)</f>
        <v/>
      </c>
      <c r="CV51" s="89">
        <f>SUM(CV9:CV50)</f>
        <v/>
      </c>
      <c r="CW51" s="96">
        <f>SUM(CW9:CW50)</f>
        <v/>
      </c>
      <c r="CX51" s="89">
        <f>SUM(CX9:CX50)</f>
        <v/>
      </c>
      <c r="CY51" s="96">
        <f>SUM(CY9:CY50)</f>
        <v/>
      </c>
      <c r="CZ51" s="89">
        <f>SUM(CZ9:CZ50)</f>
        <v/>
      </c>
      <c r="DA51" s="96">
        <f>SUM(DA9:DA50)</f>
        <v/>
      </c>
      <c r="DB51" s="89">
        <f>SUM(DB9:DB50)</f>
        <v/>
      </c>
      <c r="DC51" s="96">
        <f>SUM(DC9:DC50)</f>
        <v/>
      </c>
      <c r="DD51" s="89">
        <f>SUM(DD9:DD50)</f>
        <v/>
      </c>
      <c r="DE51" s="96">
        <f>SUM(DE9:DE50)</f>
        <v/>
      </c>
      <c r="DF51" s="89">
        <f>SUM(DF9:DF50)</f>
        <v/>
      </c>
      <c r="DG51" s="96">
        <f>SUM(DG9:DG50)</f>
        <v/>
      </c>
      <c r="DH51" s="89">
        <f>SUM(DH9:DH50)</f>
        <v/>
      </c>
      <c r="DI51" s="96">
        <f>SUM(DI9:DI50)</f>
        <v/>
      </c>
      <c r="DJ51" s="89">
        <f>SUM(DJ9:DJ50)</f>
        <v/>
      </c>
      <c r="DK51" s="96">
        <f>SUM(DK9:DK50)</f>
        <v/>
      </c>
      <c r="DL51" s="89">
        <f>SUM(DL9:DL50)</f>
        <v/>
      </c>
      <c r="DM51" s="96">
        <f>SUM(DM9:DM50)</f>
        <v/>
      </c>
      <c r="DN51" s="89">
        <f>SUM(DN9:DN50)</f>
        <v/>
      </c>
      <c r="DO51" s="96">
        <f>SUM(DO9:DO50)</f>
        <v/>
      </c>
      <c r="DP51" s="89">
        <f>SUM(DP9:DP50)</f>
        <v/>
      </c>
      <c r="DQ51" s="96">
        <f>SUM(DQ9:DQ50)</f>
        <v/>
      </c>
      <c r="DR51" s="89">
        <f>SUM(DR9:DR50)</f>
        <v/>
      </c>
      <c r="DS51" s="96">
        <f>SUM(DS9:DS50)</f>
        <v/>
      </c>
      <c r="DT51" s="89">
        <f>SUM(DT9:DT50)</f>
        <v/>
      </c>
      <c r="DU51" s="96">
        <f>SUM(DU9:DU50)</f>
        <v/>
      </c>
      <c r="DV51" s="89">
        <f>SUM(DV9:DV50)</f>
        <v/>
      </c>
      <c r="DW51" s="96">
        <f>SUM(DW9:DW50)</f>
        <v/>
      </c>
      <c r="DX51" s="89">
        <f>SUM(DX9:DX50)</f>
        <v/>
      </c>
      <c r="DY51" s="96">
        <f>SUM(DY9:DY50)</f>
        <v/>
      </c>
      <c r="DZ51" s="89">
        <f>SUM(DZ9:DZ50)</f>
        <v/>
      </c>
      <c r="EA51" s="96">
        <f>SUM(EA9:EA50)</f>
        <v/>
      </c>
      <c r="EB51" s="89">
        <f>SUM(EB9:EB50)</f>
        <v/>
      </c>
      <c r="EC51" s="96">
        <f>SUM(EC9:EC50)</f>
        <v/>
      </c>
      <c r="ED51" s="89">
        <f>SUM(ED9:ED50)</f>
        <v/>
      </c>
      <c r="EE51" s="96">
        <f>SUM(EE9:EE50)</f>
        <v/>
      </c>
      <c r="EF51" s="89">
        <f>SUM(EF9:EF50)</f>
        <v/>
      </c>
      <c r="EG51" s="96">
        <f>SUM(EG9:EG50)</f>
        <v/>
      </c>
      <c r="EH51" s="89">
        <f>SUM(EH9:EH50)</f>
        <v/>
      </c>
      <c r="EI51" s="96">
        <f>SUM(EI9:EI50)</f>
        <v/>
      </c>
      <c r="EJ51" s="89">
        <f>SUM(EJ9:EJ50)</f>
        <v/>
      </c>
      <c r="EK51" s="96">
        <f>SUM(EK9:EK50)</f>
        <v/>
      </c>
      <c r="EL51" s="89">
        <f>SUM(EL9:EL50)</f>
        <v/>
      </c>
      <c r="EM51" s="96">
        <f>SUM(EM9:EM50)</f>
        <v/>
      </c>
      <c r="EN51" s="89">
        <f>SUM(EN9:EN50)</f>
        <v/>
      </c>
      <c r="EO51" s="96">
        <f>SUM(EO9:EO50)</f>
        <v/>
      </c>
      <c r="EP51" s="89">
        <f>SUM(EP9:EP50)</f>
        <v/>
      </c>
      <c r="EQ51" s="96">
        <f>SUM(EQ9:EQ50)</f>
        <v/>
      </c>
      <c r="ER51" s="89">
        <f>SUM(ER9:ER50)</f>
        <v/>
      </c>
      <c r="ES51" s="96">
        <f>SUM(ES9:ES50)</f>
        <v/>
      </c>
      <c r="ET51" s="89">
        <f>SUM(ET9:ET50)</f>
        <v/>
      </c>
      <c r="EU51" s="96">
        <f>SUM(EU9:EU50)</f>
        <v/>
      </c>
      <c r="EV51" s="89">
        <f>SUM(EV9:EV50)</f>
        <v/>
      </c>
      <c r="EW51" s="96">
        <f>SUM(EW9:EW50)</f>
        <v/>
      </c>
      <c r="EX51" s="89">
        <f>SUM(EX9:EX50)</f>
        <v/>
      </c>
      <c r="EY51" s="96">
        <f>SUM(EY9:EY50)</f>
        <v/>
      </c>
      <c r="EZ51" s="89">
        <f>SUM(EZ9:EZ50)</f>
        <v/>
      </c>
      <c r="FA51" s="96">
        <f>SUM(FA9:FA50)</f>
        <v/>
      </c>
      <c r="FB51" s="89">
        <f>SUM(FB9:FB50)</f>
        <v/>
      </c>
      <c r="FC51" s="96">
        <f>SUM(FC9:FC50)</f>
        <v/>
      </c>
      <c r="FD51" s="89">
        <f>SUM(FD9:FD50)</f>
        <v/>
      </c>
      <c r="FE51" s="96">
        <f>SUM(FE9:FE50)</f>
        <v/>
      </c>
      <c r="FF51" s="89">
        <f>SUM(FF9:FF50)</f>
        <v/>
      </c>
      <c r="FG51" s="96">
        <f>SUM(FG9:FG50)</f>
        <v/>
      </c>
      <c r="FH51" s="89">
        <f>SUM(FH9:FH50)</f>
        <v/>
      </c>
      <c r="FI51" s="96">
        <f>SUM(FI9:FI50)</f>
        <v/>
      </c>
      <c r="FJ51" s="89">
        <f>SUM(FJ9:FJ50)</f>
        <v/>
      </c>
      <c r="FK51" s="96">
        <f>SUM(FK9:FK50)</f>
        <v/>
      </c>
      <c r="FL51" s="89">
        <f>SUM(FL9:FL50)</f>
        <v/>
      </c>
      <c r="FM51" s="96">
        <f>SUM(FM9:FM50)</f>
        <v/>
      </c>
      <c r="FN51" s="89">
        <f>SUM(FN9:FN50)</f>
        <v/>
      </c>
      <c r="FO51" s="96">
        <f>SUM(FO9:FO50)</f>
        <v/>
      </c>
      <c r="FP51" s="89">
        <f>SUM(FP9:FP50)</f>
        <v/>
      </c>
      <c r="FQ51" s="96">
        <f>SUM(FQ9:FQ50)</f>
        <v/>
      </c>
      <c r="FR51" s="89">
        <f>SUM(FR9:FR50)</f>
        <v/>
      </c>
      <c r="FS51" s="96">
        <f>SUM(FS9:FS50)</f>
        <v/>
      </c>
      <c r="FT51" s="89">
        <f>SUM(FT9:FT50)</f>
        <v/>
      </c>
      <c r="FU51" s="96">
        <f>SUM(FU9:FU50)</f>
        <v/>
      </c>
      <c r="FV51" s="89">
        <f>SUM(FV9:FV50)</f>
        <v/>
      </c>
      <c r="FW51" s="96">
        <f>SUM(FW9:FW50)</f>
        <v/>
      </c>
      <c r="FX51" s="89">
        <f>SUM(FX9:FX50)</f>
        <v/>
      </c>
      <c r="FY51" s="96">
        <f>SUM(FY9:FY50)</f>
        <v/>
      </c>
      <c r="FZ51" s="89">
        <f>SUM(FZ9:FZ50)</f>
        <v/>
      </c>
      <c r="GA51" s="96">
        <f>SUM(GA9:GA50)</f>
        <v/>
      </c>
      <c r="GB51" s="89">
        <f>SUM(GB9:GB50)</f>
        <v/>
      </c>
      <c r="GC51" s="96">
        <f>SUM(GC9:GC50)</f>
        <v/>
      </c>
      <c r="GD51" s="89">
        <f>SUM(GD9:GD50)</f>
        <v/>
      </c>
      <c r="GE51" s="96">
        <f>SUM(GE9:GE50)</f>
        <v/>
      </c>
      <c r="GF51" s="89">
        <f>SUM(GF9:GF50)</f>
        <v/>
      </c>
      <c r="GG51" s="96">
        <f>SUM(GG9:GG50)</f>
        <v/>
      </c>
      <c r="GH51" s="89">
        <f>SUM(GH9:GH50)</f>
        <v/>
      </c>
      <c r="GI51" s="96">
        <f>SUM(GI9:GI50)</f>
        <v/>
      </c>
      <c r="GJ51" s="89">
        <f>SUM(GJ9:GJ50)</f>
        <v/>
      </c>
      <c r="GK51" s="96">
        <f>SUM(GK9:GK50)</f>
        <v/>
      </c>
      <c r="GL51" s="89">
        <f>SUM(GL9:GL50)</f>
        <v/>
      </c>
      <c r="GM51" s="96">
        <f>SUM(GM9:GM50)</f>
        <v/>
      </c>
      <c r="GN51" s="89">
        <f>SUM(GN9:GN50)</f>
        <v/>
      </c>
      <c r="GO51" s="96">
        <f>SUM(GO9:GO50)</f>
        <v/>
      </c>
      <c r="GP51" s="89">
        <f>SUM(GP9:GP50)</f>
        <v/>
      </c>
      <c r="GQ51" s="96">
        <f>SUM(GQ9:GQ50)</f>
        <v/>
      </c>
      <c r="GR51" s="89">
        <f>SUM(GR9:GR50)</f>
        <v/>
      </c>
      <c r="GS51" s="96">
        <f>SUM(GS9:GS50)</f>
        <v/>
      </c>
      <c r="GT51" s="89">
        <f>SUM(GT9:GT50)</f>
        <v/>
      </c>
      <c r="GU51" s="96">
        <f>SUM(GU9:GU50)</f>
        <v/>
      </c>
      <c r="GV51" s="89">
        <f>SUM(GV9:GV50)</f>
        <v/>
      </c>
      <c r="GW51" s="96">
        <f>SUM(GW9:GW50)</f>
        <v/>
      </c>
      <c r="GX51" s="89">
        <f>SUM(GX9:GX50)</f>
        <v/>
      </c>
      <c r="GY51" s="96">
        <f>SUM(GY9:GY50)</f>
        <v/>
      </c>
      <c r="GZ51" s="89">
        <f>SUM(GZ9:GZ50)</f>
        <v/>
      </c>
      <c r="HA51" s="96">
        <f>SUM(HA9:HA50)</f>
        <v/>
      </c>
      <c r="HB51" s="89">
        <f>SUM(HB9:HB50)</f>
        <v/>
      </c>
      <c r="HC51" s="96">
        <f>SUM(HC9:HC50)</f>
        <v/>
      </c>
      <c r="HD51" s="89">
        <f>SUM(HD9:HD50)</f>
        <v/>
      </c>
      <c r="HE51" s="96">
        <f>SUM(HE9:HE50)</f>
        <v/>
      </c>
      <c r="HF51" s="89">
        <f>SUM(HF9:HF50)</f>
        <v/>
      </c>
      <c r="HG51" s="96">
        <f>SUM(HG9:HG50)</f>
        <v/>
      </c>
      <c r="HH51" s="89">
        <f>SUM(HH9:HH50)</f>
        <v/>
      </c>
      <c r="HI51" s="96">
        <f>SUM(HI9:HI50)</f>
        <v/>
      </c>
      <c r="HJ51" s="89">
        <f>SUM(HJ9:HJ50)</f>
        <v/>
      </c>
      <c r="HK51" s="96">
        <f>SUM(HK9:HK50)</f>
        <v/>
      </c>
      <c r="HL51" s="89">
        <f>SUM(HL9:HL50)</f>
        <v/>
      </c>
      <c r="HM51" s="96">
        <f>SUM(HM9:HM50)</f>
        <v/>
      </c>
      <c r="HN51" s="89">
        <f>SUM(HN9:HN50)</f>
        <v/>
      </c>
      <c r="HO51" s="96">
        <f>SUM(HO9:HO50)</f>
        <v/>
      </c>
      <c r="HP51" s="89">
        <f>SUM(HP9:HP50)</f>
        <v/>
      </c>
      <c r="HQ51" s="96">
        <f>SUM(HQ9:HQ50)</f>
        <v/>
      </c>
      <c r="HR51" s="89">
        <f>SUM(HR9:HR50)</f>
        <v/>
      </c>
      <c r="HS51" s="96">
        <f>SUM(HS9:HS50)</f>
        <v/>
      </c>
      <c r="HT51" s="89">
        <f>SUM(HT9:HT50)</f>
        <v/>
      </c>
      <c r="HU51" s="96">
        <f>SUM(HU9:HU50)</f>
        <v/>
      </c>
      <c r="HV51" s="89">
        <f>SUM(HV9:HV50)</f>
        <v/>
      </c>
      <c r="HW51" s="96">
        <f>SUM(HW9:HW50)</f>
        <v/>
      </c>
      <c r="HX51" s="89">
        <f>SUM(HX9:HX50)</f>
        <v/>
      </c>
      <c r="HY51" s="96">
        <f>SUM(HY9:HY50)</f>
        <v/>
      </c>
      <c r="HZ51" s="89">
        <f>SUM(HZ9:HZ50)</f>
        <v/>
      </c>
      <c r="IA51" s="96">
        <f>SUM(IA9:IA50)</f>
        <v/>
      </c>
      <c r="IB51" s="89">
        <f>SUM(IB9:IB50)</f>
        <v/>
      </c>
      <c r="IC51" s="96">
        <f>SUM(IC9:IC50)</f>
        <v/>
      </c>
      <c r="ID51" s="89">
        <f>SUM(ID9:ID50)</f>
        <v/>
      </c>
      <c r="IE51" s="96">
        <f>SUM(IE9:IE50)</f>
        <v/>
      </c>
      <c r="IF51" s="89">
        <f>SUM(IF9:IF50)</f>
        <v/>
      </c>
      <c r="IG51" s="96">
        <f>SUM(IG9:IG50)</f>
        <v/>
      </c>
      <c r="IH51" s="89">
        <f>SUM(IH9:IH50)</f>
        <v/>
      </c>
      <c r="II51" s="96">
        <f>SUM(II9:II50)</f>
        <v/>
      </c>
      <c r="IJ51" s="89">
        <f>SUM(IJ9:IJ50)</f>
        <v/>
      </c>
      <c r="IK51" s="96">
        <f>SUM(IK9:IK50)</f>
        <v/>
      </c>
      <c r="IL51" s="89">
        <f>SUM(IL9:IL50)</f>
        <v/>
      </c>
      <c r="IM51" s="96">
        <f>SUM(IM9:IM50)</f>
        <v/>
      </c>
      <c r="IN51" s="89">
        <f>SUM(IN9:IN50)</f>
        <v/>
      </c>
      <c r="IO51" s="96">
        <f>SUM(IO9:IO50)</f>
        <v/>
      </c>
      <c r="IP51" s="89">
        <f>SUM(IP9:IP50)</f>
        <v/>
      </c>
      <c r="IQ51" s="96">
        <f>SUM(IQ9:IQ50)</f>
        <v/>
      </c>
      <c r="IR51" s="89">
        <f>SUM(IR9:IR50)</f>
        <v/>
      </c>
      <c r="IS51" s="96">
        <f>SUM(IS9:IS50)</f>
        <v/>
      </c>
      <c r="IT51" s="89">
        <f>SUM(IT9:IT50)</f>
        <v/>
      </c>
      <c r="IU51" s="96">
        <f>SUM(IU9:IU50)</f>
        <v/>
      </c>
      <c r="IV51" s="89">
        <f>SUM(IV9:IV50)</f>
        <v/>
      </c>
      <c r="IW51" s="96">
        <f>SUM(IW9:IW50)</f>
        <v/>
      </c>
      <c r="IX51" s="89">
        <f>SUM(IX9:IX50)</f>
        <v/>
      </c>
      <c r="IY51" s="96">
        <f>SUM(IY9:IY50)</f>
        <v/>
      </c>
      <c r="IZ51" s="89">
        <f>SUM(IZ9:IZ50)</f>
        <v/>
      </c>
      <c r="JA51" s="96">
        <f>SUM(JA9:JA50)</f>
        <v/>
      </c>
      <c r="JB51" s="89">
        <f>SUM(JB9:JB50)</f>
        <v/>
      </c>
      <c r="JC51" s="96">
        <f>SUM(JC9:JC50)</f>
        <v/>
      </c>
      <c r="JD51" s="89">
        <f>SUM(JD9:JD50)</f>
        <v/>
      </c>
      <c r="JE51" s="96">
        <f>SUM(JE9:JE50)</f>
        <v/>
      </c>
      <c r="JF51" s="89">
        <f>SUM(JF9:JF50)</f>
        <v/>
      </c>
      <c r="JG51" s="96">
        <f>SUM(JG9:JG50)</f>
        <v/>
      </c>
      <c r="JH51" s="89">
        <f>SUM(JH9:JH50)</f>
        <v/>
      </c>
      <c r="JI51" s="96">
        <f>SUM(JI9:JI50)</f>
        <v/>
      </c>
      <c r="JJ51" s="89">
        <f>SUM(JJ9:JJ50)</f>
        <v/>
      </c>
      <c r="JK51" s="96">
        <f>SUM(JK9:JK50)</f>
        <v/>
      </c>
      <c r="JL51" s="89">
        <f>SUM(JL9:JL50)</f>
        <v/>
      </c>
      <c r="JM51" s="96">
        <f>SUM(JM9:JM50)</f>
        <v/>
      </c>
      <c r="JN51" s="93">
        <f>SUM(JN9:JN50)</f>
        <v/>
      </c>
      <c r="JO51" s="102">
        <f>JN51*100/$E$23</f>
        <v/>
      </c>
      <c r="JP51" s="94">
        <f>SUM(JP9:JP50)</f>
        <v/>
      </c>
      <c r="JQ51" s="103">
        <f>JP51*100/$E$13</f>
        <v/>
      </c>
      <c r="JR51" s="94">
        <f>SUM(JR9:JR50)</f>
        <v/>
      </c>
      <c r="JS51" s="102">
        <f>JR51*100/$E$23</f>
        <v/>
      </c>
      <c r="JT51" s="94">
        <f>SUM(JT9:JT50)</f>
        <v/>
      </c>
      <c r="JU51" s="102">
        <f>JT51*100/$E$23</f>
        <v/>
      </c>
      <c r="JV51" s="94">
        <f>SUM(JV9:JV50)</f>
        <v/>
      </c>
      <c r="JW51" s="102">
        <f>JV51*100/$E$23</f>
        <v/>
      </c>
      <c r="JX51" s="94">
        <f>SUM(JX9:JX50)</f>
        <v/>
      </c>
      <c r="JY51" s="102">
        <f>JX51*100/$E$23</f>
        <v/>
      </c>
      <c r="JZ51" s="102">
        <f>JN51+JP51+JR51+JT51+JV51+JX51</f>
        <v/>
      </c>
      <c r="KA51" s="106">
        <f>SUM(KA9:KA50)</f>
        <v/>
      </c>
      <c r="KB51" s="104">
        <f>H51+J51+L51+N51+P51+R51+T51+V51+X51+Z51+AB51+AD51+AF51+AH51+AJ51+AL51+AN51+AP51+AR51+AT51+AV51+AX51+AZ51+BB51+BD51+BF51+BH51+BJ51+BL51+BN51+BP51+BR51+BT51+BV51+BX51+BZ51+CB51+CD51+CF51+CH51+CZ51+DB51+DD51+DF51+DH51+DJ51+DL51+DN51+DP51+DR51+DT51+DV51+DX51+DZ51+EB51+ED51+EF51+EH51+EJ51+EL51+EN51+EP51+ER51+ET51+EV51+FN51+FP51+FR51+FT51+FV51+FX51+FZ51+GB51+GD51+GF51+GH51+GJ51+GL51+GN51+GP51+GR51+GT51+GV51+GX51+GZ51+HB51+HD51+HF51+HH51+HJ51+HL51+HN51+HP51+HR51+HT51+HV51+HX51+HZ51+IB51+ID51+IF51+IH51+IJ51+IL51+IN51+IP51+IR51+IT51+IV51+IX51+IZ51+JB51+JD51+JF51+JH51+JJ51+JL51+JZ51+CJ51+CL51+CN51+CP51+CR51+CT51+CV51+CX51+EX51+EZ51+FB51+FD51+FF51+FH51+FJ51+FL51</f>
        <v/>
      </c>
      <c r="KC51" s="116">
        <f>I51+K51+M51+O51+Q51+S51+U51+W51+Y51+AA51+AC51+AE51+AG51+AI51+AK51+AM51+AO51+AQ51+AS51+AU51+AW51+AY51+BA51+BC51+BE51+BG51+BI51+BK51+BM51+BO51+BQ51+BS51+BU51+BW51+BY51+CA51+CC51+CE51+CG51+CI51+DA51+DC51+DE51+DG51+DI51+DK51+DM51+DO51+DQ51+DS51+DU51+DW51+DY51+EA51+EC51+EE51+EG51+EI51+EK51+EM51+EO51+EQ51+ES51+EU51+EW51+FO51+FS51+FU51+FW51+FQ51+FY51+GA51+GC51+GE51+GG51+GI51+GK51+GM51+GO51+GQ51+GS51+GU51+GW51+GY51+HA51+HC51+HE51+HG51+HI51+HK51+HM51+HO51+HQ51+HS51+HU51+HW51+HY51+IA51+IC51+IE51+IG51+II51+IK51+IM51+IO51+IQ51+IS51+IU51+IW51+IY51+JA51+JC51+JE51+JG51+JI51+JK51+JM51+KA51+CK51+CM51+CO51+CQ51+CS51+CU51+CW51+CY51+EY51+FA51+FC51+FE51+FG51+FI51+FK51+FM51</f>
        <v/>
      </c>
      <c r="KD51" s="97" t="n"/>
      <c r="KE51" s="98" t="n"/>
      <c r="KF51" s="97" t="n"/>
      <c r="KG51" s="97" t="n"/>
      <c r="KH51" s="98" t="n"/>
      <c r="KI51" s="98" t="n"/>
      <c r="KJ51" s="98" t="n"/>
      <c r="KK51" s="98" t="n"/>
      <c r="KL51" s="98" t="n"/>
      <c r="KM51" s="98" t="n"/>
      <c r="KN51" s="99" t="n"/>
    </row>
    <row r="52" ht="29.25" customFormat="1" customHeight="1" s="292" thickBot="1">
      <c r="A52" s="111" t="n"/>
      <c r="B52" s="148" t="inlineStr">
        <is>
          <t>Плановая ЗП</t>
        </is>
      </c>
      <c r="C52" s="78" t="n"/>
      <c r="D52" s="112" t="n"/>
      <c r="E52" s="113" t="n"/>
      <c r="F52" s="250">
        <f>F51/D51</f>
        <v/>
      </c>
      <c r="G52" s="118" t="n"/>
      <c r="H52" s="276">
        <f>$F$52*H51</f>
        <v/>
      </c>
      <c r="I52" s="277" t="n"/>
      <c r="J52" s="245">
        <f>$F$52*J51</f>
        <v/>
      </c>
      <c r="K52" s="246" t="n"/>
      <c r="L52" s="245">
        <f>$F$52*L51</f>
        <v/>
      </c>
      <c r="M52" s="246" t="n"/>
      <c r="N52" s="254">
        <f>$F$52*N51</f>
        <v/>
      </c>
      <c r="O52" s="255" t="n"/>
      <c r="P52" s="245">
        <f>$F$52*P51</f>
        <v/>
      </c>
      <c r="Q52" s="246" t="n"/>
      <c r="R52" s="269">
        <f>$F$52*R51</f>
        <v/>
      </c>
      <c r="S52" s="246" t="n"/>
      <c r="T52" s="311">
        <f>$F$52*T51</f>
        <v/>
      </c>
      <c r="V52" s="291">
        <f>$F$52*V51</f>
        <v/>
      </c>
      <c r="X52" s="291">
        <f>$F$52*X51</f>
        <v/>
      </c>
      <c r="Z52" s="313">
        <f>$F$52*Z51</f>
        <v/>
      </c>
      <c r="AA52" s="306" t="n"/>
      <c r="AB52" s="245">
        <f>$F$52*AB51</f>
        <v/>
      </c>
      <c r="AC52" s="246" t="n"/>
      <c r="AD52" s="250">
        <f>$F$52*AD51</f>
        <v/>
      </c>
      <c r="AE52" s="251" t="n"/>
      <c r="AF52" s="245">
        <f>$F$52*AF51</f>
        <v/>
      </c>
      <c r="AG52" s="246" t="n"/>
      <c r="AH52" s="245">
        <f>$F$52*AH51</f>
        <v/>
      </c>
      <c r="AI52" s="246" t="n"/>
      <c r="AJ52" s="245">
        <f>$F$52*AJ51</f>
        <v/>
      </c>
      <c r="AK52" s="246" t="n"/>
      <c r="AL52" s="245">
        <f>$F$52*AL51</f>
        <v/>
      </c>
      <c r="AM52" s="246" t="n"/>
      <c r="AN52" s="250">
        <f>$F$52*AN51</f>
        <v/>
      </c>
      <c r="AO52" s="251" t="n"/>
      <c r="AP52" s="250">
        <f>$F$52*AP51</f>
        <v/>
      </c>
      <c r="AQ52" s="251" t="n"/>
      <c r="AR52" s="245">
        <f>$F$52*AR51</f>
        <v/>
      </c>
      <c r="AS52" s="246" t="n"/>
      <c r="AT52" s="250">
        <f>$F$52*AT51</f>
        <v/>
      </c>
      <c r="AU52" s="251" t="n"/>
      <c r="AV52" s="245">
        <f>$F$52*AV51</f>
        <v/>
      </c>
      <c r="AW52" s="246" t="n"/>
      <c r="AX52" s="250">
        <f>$F$52*AX51</f>
        <v/>
      </c>
      <c r="AY52" s="251" t="n"/>
      <c r="AZ52" s="245">
        <f>$F$52*AZ51</f>
        <v/>
      </c>
      <c r="BA52" s="246" t="n"/>
      <c r="BB52" s="250">
        <f>$F$52*BB51</f>
        <v/>
      </c>
      <c r="BC52" s="251" t="n"/>
      <c r="BD52" s="245">
        <f>$F$52*BD51</f>
        <v/>
      </c>
      <c r="BE52" s="246" t="n"/>
      <c r="BF52" s="250">
        <f>$F$52*BF51</f>
        <v/>
      </c>
      <c r="BG52" s="251" t="n"/>
      <c r="BH52" s="250">
        <f>$F$52*BH51</f>
        <v/>
      </c>
      <c r="BI52" s="251" t="n"/>
      <c r="BJ52" s="250">
        <f>$F$52*BJ51</f>
        <v/>
      </c>
      <c r="BK52" s="251" t="n"/>
      <c r="BL52" s="245">
        <f>$F$52*BL51</f>
        <v/>
      </c>
      <c r="BM52" s="246" t="n"/>
      <c r="BN52" s="245">
        <f>$F$52*BN51</f>
        <v/>
      </c>
      <c r="BO52" s="246" t="n"/>
      <c r="BP52" s="245">
        <f>$F$52*BP51</f>
        <v/>
      </c>
      <c r="BQ52" s="246" t="n"/>
      <c r="BR52" s="245">
        <f>$F$52*BR51</f>
        <v/>
      </c>
      <c r="BS52" s="246" t="n"/>
      <c r="BT52" s="245">
        <f>$F$52*BT51</f>
        <v/>
      </c>
      <c r="BU52" s="246" t="n"/>
      <c r="BV52" s="245">
        <f>$F$52*BV51</f>
        <v/>
      </c>
      <c r="BW52" s="246" t="n"/>
      <c r="BX52" s="245">
        <f>$F$52*BX51</f>
        <v/>
      </c>
      <c r="BY52" s="246" t="n"/>
      <c r="BZ52" s="245">
        <f>$F$52*BZ51</f>
        <v/>
      </c>
      <c r="CA52" s="246" t="n"/>
      <c r="CB52" s="250">
        <f>$F$52*CB51</f>
        <v/>
      </c>
      <c r="CC52" s="251" t="n"/>
      <c r="CD52" s="250">
        <f>$F$52*CD51</f>
        <v/>
      </c>
      <c r="CE52" s="251" t="n"/>
      <c r="CF52" s="250">
        <f>$F$52*CF51</f>
        <v/>
      </c>
      <c r="CG52" s="251" t="n"/>
      <c r="CH52" s="245">
        <f>$F$52*CH51</f>
        <v/>
      </c>
      <c r="CI52" s="246" t="n"/>
      <c r="CJ52" s="245">
        <f>$F$52*CJ51</f>
        <v/>
      </c>
      <c r="CK52" s="246" t="n"/>
      <c r="CL52" s="245">
        <f>$F$52*CL51</f>
        <v/>
      </c>
      <c r="CM52" s="246" t="n"/>
      <c r="CN52" s="245">
        <f>$F$52*CN51</f>
        <v/>
      </c>
      <c r="CO52" s="246" t="n"/>
      <c r="CP52" s="290">
        <f>$F$52*CP51</f>
        <v/>
      </c>
      <c r="CQ52" s="255" t="n"/>
      <c r="CR52" s="245">
        <f>$F$52*CR51</f>
        <v/>
      </c>
      <c r="CS52" s="246" t="n"/>
      <c r="CT52" s="245">
        <f>$F$52*CT51</f>
        <v/>
      </c>
      <c r="CU52" s="246" t="n"/>
      <c r="CV52" s="273">
        <f>$F$52*CV51</f>
        <v/>
      </c>
      <c r="CW52" s="251" t="n"/>
      <c r="CX52" s="245">
        <f>$F$52*CX51</f>
        <v/>
      </c>
      <c r="CY52" s="246" t="n"/>
      <c r="CZ52" s="245">
        <f>$F$52*CZ51</f>
        <v/>
      </c>
      <c r="DA52" s="246" t="n"/>
      <c r="DB52" s="273">
        <f>$F$52*DB51</f>
        <v/>
      </c>
      <c r="DC52" s="251" t="n"/>
      <c r="DD52" s="245">
        <f>$F$52*DD51</f>
        <v/>
      </c>
      <c r="DE52" s="246" t="n"/>
      <c r="DF52" s="250">
        <f>$F$52*DF51</f>
        <v/>
      </c>
      <c r="DG52" s="251" t="n"/>
      <c r="DH52" s="245">
        <f>$F$52*DH51</f>
        <v/>
      </c>
      <c r="DI52" s="246" t="n"/>
      <c r="DJ52" s="245">
        <f>$F$52*DJ51</f>
        <v/>
      </c>
      <c r="DK52" s="246" t="n"/>
      <c r="DL52" s="250">
        <f>$F$52*DL51</f>
        <v/>
      </c>
      <c r="DM52" s="251" t="n"/>
      <c r="DN52" s="254">
        <f>$F$52*DN51</f>
        <v/>
      </c>
      <c r="DO52" s="255" t="n"/>
      <c r="DP52" s="250">
        <f>$F$52*DP51</f>
        <v/>
      </c>
      <c r="DQ52" s="251" t="n"/>
      <c r="DR52" s="245">
        <f>$F$52*DR51</f>
        <v/>
      </c>
      <c r="DS52" s="246" t="n"/>
      <c r="DT52" s="250">
        <f>$F$52*DT51</f>
        <v/>
      </c>
      <c r="DU52" s="251" t="n"/>
      <c r="DV52" s="245">
        <f>$F$52*DV51</f>
        <v/>
      </c>
      <c r="DW52" s="246" t="n"/>
      <c r="DX52" s="254">
        <f>$F$52*DX51</f>
        <v/>
      </c>
      <c r="DY52" s="255" t="n"/>
      <c r="DZ52" s="245">
        <f>$F$52*DZ51</f>
        <v/>
      </c>
      <c r="EA52" s="246" t="n"/>
      <c r="EB52" s="245">
        <f>$F$52*EB51</f>
        <v/>
      </c>
      <c r="EC52" s="246" t="n"/>
      <c r="ED52" s="245">
        <f>$F$52*ED51</f>
        <v/>
      </c>
      <c r="EE52" s="246" t="n"/>
      <c r="EF52" s="290">
        <f>$F$52*EF51</f>
        <v/>
      </c>
      <c r="EG52" s="255" t="n"/>
      <c r="EH52" s="245">
        <f>$F$52*EH51</f>
        <v/>
      </c>
      <c r="EI52" s="246" t="n"/>
      <c r="EJ52" s="245">
        <f>$F$52*EJ51</f>
        <v/>
      </c>
      <c r="EK52" s="246" t="n"/>
      <c r="EL52" s="245">
        <f>$F$52*EL51</f>
        <v/>
      </c>
      <c r="EM52" s="246" t="n"/>
      <c r="EN52" s="245">
        <f>$F$52*EN51</f>
        <v/>
      </c>
      <c r="EO52" s="246" t="n"/>
      <c r="EP52" s="245">
        <f>$F$52*EP51</f>
        <v/>
      </c>
      <c r="EQ52" s="246" t="n"/>
      <c r="ER52" s="245">
        <f>$F$52*ER51</f>
        <v/>
      </c>
      <c r="ES52" s="246" t="n"/>
      <c r="ET52" s="245">
        <f>$F$52*ET51</f>
        <v/>
      </c>
      <c r="EU52" s="246" t="n"/>
      <c r="EV52" s="245">
        <f>$F$52*EV51</f>
        <v/>
      </c>
      <c r="EW52" s="246" t="n"/>
      <c r="EX52" s="275">
        <f>$F$52*EX51</f>
        <v/>
      </c>
      <c r="EY52" s="266" t="n"/>
      <c r="EZ52" s="245">
        <f>$F$52*EZ51</f>
        <v/>
      </c>
      <c r="FA52" s="246" t="n"/>
      <c r="FB52" s="245">
        <f>$F$52*FB51</f>
        <v/>
      </c>
      <c r="FC52" s="246" t="n"/>
      <c r="FD52" s="245">
        <f>$F$52*FD51</f>
        <v/>
      </c>
      <c r="FE52" s="246" t="n"/>
      <c r="FF52" s="245">
        <f>$F$52*FF51</f>
        <v/>
      </c>
      <c r="FG52" s="246" t="n"/>
      <c r="FH52" s="245">
        <f>$F$52*FH51</f>
        <v/>
      </c>
      <c r="FI52" s="246" t="n"/>
      <c r="FJ52" s="273">
        <f>$F$52*FJ51</f>
        <v/>
      </c>
      <c r="FK52" s="251" t="n"/>
      <c r="FL52" s="250">
        <f>$F$52*FL51</f>
        <v/>
      </c>
      <c r="FM52" s="251" t="n"/>
      <c r="FN52" s="245">
        <f>$F$52*FN51</f>
        <v/>
      </c>
      <c r="FO52" s="246" t="n"/>
      <c r="FP52" s="245">
        <f>$F$52*FP51</f>
        <v/>
      </c>
      <c r="FQ52" s="246" t="n"/>
      <c r="FR52" s="245">
        <f>$F$52*FR51</f>
        <v/>
      </c>
      <c r="FS52" s="246" t="n"/>
      <c r="FT52" s="245">
        <f>$F$52*FT51</f>
        <v/>
      </c>
      <c r="FU52" s="246" t="n"/>
      <c r="FV52" s="245">
        <f>$F$52*FV51</f>
        <v/>
      </c>
      <c r="FW52" s="246" t="n"/>
      <c r="FX52" s="254">
        <f>$F$52*FX51</f>
        <v/>
      </c>
      <c r="FY52" s="255" t="n"/>
      <c r="FZ52" s="254">
        <f>$F$52*FZ51</f>
        <v/>
      </c>
      <c r="GA52" s="255" t="n"/>
      <c r="GB52" s="254">
        <f>$F$52*GB51</f>
        <v/>
      </c>
      <c r="GC52" s="255" t="n"/>
      <c r="GD52" s="254">
        <f>$F$52*GD51</f>
        <v/>
      </c>
      <c r="GE52" s="255" t="n"/>
      <c r="GF52" s="245">
        <f>$F$52*GF51</f>
        <v/>
      </c>
      <c r="GG52" s="246" t="n"/>
      <c r="GH52" s="245">
        <f>$F$52*GH51</f>
        <v/>
      </c>
      <c r="GI52" s="246" t="n"/>
      <c r="GJ52" s="245">
        <f>$F$52*GJ51</f>
        <v/>
      </c>
      <c r="GK52" s="246" t="n"/>
      <c r="GL52" s="245">
        <f>$F$52*GL51</f>
        <v/>
      </c>
      <c r="GM52" s="246" t="n"/>
      <c r="GN52" s="262">
        <f>$F$52*GN51</f>
        <v/>
      </c>
      <c r="GO52" s="263" t="n"/>
      <c r="GP52" s="262">
        <f>$F$52*GP51</f>
        <v/>
      </c>
      <c r="GQ52" s="263" t="n"/>
      <c r="GR52" s="262">
        <f>$F$52*GR51</f>
        <v/>
      </c>
      <c r="GS52" s="263" t="n"/>
      <c r="GT52" s="262">
        <f>$F$52*GT51</f>
        <v/>
      </c>
      <c r="GU52" s="263" t="n"/>
      <c r="GV52" s="262">
        <f>$F$52*GV51</f>
        <v/>
      </c>
      <c r="GW52" s="263" t="n"/>
      <c r="GX52" s="262">
        <f>$F$52*GX51</f>
        <v/>
      </c>
      <c r="GY52" s="263" t="n"/>
      <c r="GZ52" s="262">
        <f>$F$52*GZ51</f>
        <v/>
      </c>
      <c r="HA52" s="263" t="n"/>
      <c r="HB52" s="262">
        <f>$F$52*HB51</f>
        <v/>
      </c>
      <c r="HC52" s="263" t="n"/>
      <c r="HD52" s="262">
        <f>$F$52*HD51</f>
        <v/>
      </c>
      <c r="HE52" s="263" t="n"/>
      <c r="HF52" s="262">
        <f>$F$52*HF51</f>
        <v/>
      </c>
      <c r="HG52" s="263" t="n"/>
      <c r="HH52" s="262">
        <f>$F$52*HH51</f>
        <v/>
      </c>
      <c r="HI52" s="263" t="n"/>
      <c r="HJ52" s="262">
        <f>$F$52*HJ51</f>
        <v/>
      </c>
      <c r="HK52" s="263" t="n"/>
      <c r="HL52" s="262">
        <f>$F$52*HL51</f>
        <v/>
      </c>
      <c r="HM52" s="263" t="n"/>
      <c r="HN52" s="262">
        <f>$F$52*HN51</f>
        <v/>
      </c>
      <c r="HO52" s="263" t="n"/>
      <c r="HP52" s="262">
        <f>$F$52*HP51</f>
        <v/>
      </c>
      <c r="HQ52" s="263" t="n"/>
      <c r="HR52" s="262">
        <f>$F$52*HR51</f>
        <v/>
      </c>
      <c r="HS52" s="263" t="n"/>
      <c r="HT52" s="262">
        <f>$F$52*HT51</f>
        <v/>
      </c>
      <c r="HU52" s="263" t="n"/>
      <c r="HV52" s="276">
        <f>$F$52*HV51</f>
        <v/>
      </c>
      <c r="HW52" s="277" t="n"/>
      <c r="HX52" s="314">
        <f>$F$52*HX51</f>
        <v/>
      </c>
      <c r="HY52" s="266" t="n"/>
      <c r="HZ52" s="314">
        <f>$F$52*HZ51</f>
        <v/>
      </c>
      <c r="IA52" s="266" t="n"/>
      <c r="IB52" s="262">
        <f>$F$52*IB51</f>
        <v/>
      </c>
      <c r="IC52" s="263" t="n"/>
      <c r="ID52" s="276">
        <f>$F$52*ID51</f>
        <v/>
      </c>
      <c r="IE52" s="277" t="n"/>
      <c r="IF52" s="245">
        <f>$F$52*IF51</f>
        <v/>
      </c>
      <c r="IG52" s="246" t="n"/>
      <c r="IH52" s="245">
        <f>$F$52*IH51</f>
        <v/>
      </c>
      <c r="II52" s="246" t="n"/>
      <c r="IJ52" s="245">
        <f>$F$52*IJ51</f>
        <v/>
      </c>
      <c r="IK52" s="246" t="n"/>
      <c r="IL52" s="245">
        <f>$F$52*IL51</f>
        <v/>
      </c>
      <c r="IM52" s="246" t="n"/>
      <c r="IN52" s="245">
        <f>$F$52*IN51</f>
        <v/>
      </c>
      <c r="IO52" s="246" t="n"/>
      <c r="IP52" s="245">
        <f>$F$52*IP51</f>
        <v/>
      </c>
      <c r="IQ52" s="246" t="n"/>
      <c r="IR52" s="245">
        <f>$F$52*IR51</f>
        <v/>
      </c>
      <c r="IS52" s="246" t="n"/>
      <c r="IT52" s="245">
        <f>$F$52*IT51</f>
        <v/>
      </c>
      <c r="IU52" s="246" t="n"/>
      <c r="IV52" s="245">
        <f>$F$52*IV51</f>
        <v/>
      </c>
      <c r="IW52" s="246" t="n"/>
      <c r="IX52" s="245">
        <f>$F$52*IX51</f>
        <v/>
      </c>
      <c r="IY52" s="246" t="n"/>
      <c r="IZ52" s="245">
        <f>$F$52*IZ51</f>
        <v/>
      </c>
      <c r="JA52" s="246" t="n"/>
      <c r="JB52" s="245">
        <f>$F$52*JB51</f>
        <v/>
      </c>
      <c r="JC52" s="246" t="n"/>
      <c r="JD52" s="245">
        <f>$F$52*JD51</f>
        <v/>
      </c>
      <c r="JE52" s="246" t="n"/>
      <c r="JF52" s="245">
        <f>$F$52*JF51</f>
        <v/>
      </c>
      <c r="JG52" s="246" t="n"/>
      <c r="JH52" s="245">
        <f>$F$52*JH51</f>
        <v/>
      </c>
      <c r="JI52" s="246" t="n"/>
      <c r="JJ52" s="262">
        <f>$F$52*JJ51</f>
        <v/>
      </c>
      <c r="JK52" s="263" t="n"/>
      <c r="JL52" s="245">
        <f>$F$52*JL51</f>
        <v/>
      </c>
      <c r="JM52" s="246" t="n"/>
      <c r="JN52" s="276">
        <f>$F$52*JN51</f>
        <v/>
      </c>
      <c r="JO52" s="277" t="n"/>
      <c r="JP52" s="282">
        <f>$F$52*JP51</f>
        <v/>
      </c>
      <c r="JQ52" s="277" t="n"/>
      <c r="JR52" s="282">
        <f>$F$52*JR51</f>
        <v/>
      </c>
      <c r="JS52" s="277" t="n"/>
      <c r="JT52" s="282">
        <f>$F$52*JT51</f>
        <v/>
      </c>
      <c r="JU52" s="277" t="n"/>
      <c r="JV52" s="282">
        <f>$F$52*JV51</f>
        <v/>
      </c>
      <c r="JW52" s="277" t="n"/>
      <c r="JX52" s="282">
        <f>$F$52*JX51</f>
        <v/>
      </c>
      <c r="JY52" s="277" t="n"/>
      <c r="JZ52" s="297">
        <f>JN52+JP52+JR52+JT52+JX52</f>
        <v/>
      </c>
      <c r="KA52" s="263" t="n"/>
      <c r="KB52" s="298">
        <f>SUM(H52:JY52)</f>
        <v/>
      </c>
      <c r="KC52" s="246" t="n"/>
      <c r="KD52" s="2" t="n"/>
      <c r="KE52" s="279" t="n"/>
      <c r="KF52" s="97">
        <f>H52+AB52+AD52+AF52+AH52+AJ52+AL52+AN52+AP52+AR52+AT52+AV52+AX52+AZ52+BB52+BD52+BF52+BH52+BJ52+BL52+BN52+BP52+BR52+BT52+BV52+BX52+BZ52+CB52+CD52+CF52+CH52+CJ52+CL52+CN52+CP52+CR52+CT52+CV52+CX52+CZ52+DB52+DD52+DF52+DH52+DJ52+DL52+DN52+DP52+DR52+DT52+DV52+DX52+DZ52+EB52+ED52+EF52+EH52+EJ52+EL52+EN52+EP52+ER52+ET52+EV52+EX52+EZ52+FB52+FD52+FF52+FH52+FJ52+FL52+FN52+FZ52+GB52+GD52+IP52+IR52+IT52+IV52+JF52+JL52+JN52+JP52+IX52+J52</f>
        <v/>
      </c>
      <c r="KG52" s="279" t="n"/>
      <c r="KH52" s="279" t="n"/>
      <c r="KI52" s="279" t="n"/>
      <c r="KJ52" s="279" t="n"/>
      <c r="KK52" s="279" t="n"/>
      <c r="KL52" s="279" t="n"/>
      <c r="KM52" s="279" t="n"/>
      <c r="KN52" s="279" t="n"/>
    </row>
    <row r="53" ht="29.25" customHeight="1" thickBot="1">
      <c r="A53" s="111" t="n"/>
      <c r="B53" s="77" t="inlineStr">
        <is>
          <t>Фактическая ЗП</t>
        </is>
      </c>
      <c r="C53" s="78" t="n"/>
      <c r="D53" s="112" t="n"/>
      <c r="E53" s="113" t="n"/>
      <c r="F53" s="250">
        <f>KB53/E51</f>
        <v/>
      </c>
      <c r="G53" s="118" t="n"/>
      <c r="H53" s="332">
        <f>11218.38+302812.51</f>
        <v/>
      </c>
      <c r="I53" s="251" t="n"/>
      <c r="J53" s="293" t="n">
        <v>3668.68</v>
      </c>
      <c r="K53" s="246" t="n"/>
      <c r="L53" s="293" t="n"/>
      <c r="M53" s="246" t="n"/>
      <c r="N53" s="294" t="n"/>
      <c r="O53" s="255" t="n"/>
      <c r="P53" s="293" t="n"/>
      <c r="Q53" s="246" t="n"/>
      <c r="R53" s="315" t="n"/>
      <c r="S53" s="246" t="n"/>
      <c r="T53" s="315" t="n"/>
      <c r="U53" s="246" t="n"/>
      <c r="V53" s="253" t="n"/>
      <c r="W53" s="246" t="n"/>
      <c r="X53" s="300" t="n"/>
      <c r="Y53" s="255" t="n"/>
      <c r="Z53" s="253" t="n"/>
      <c r="AA53" s="246" t="n"/>
      <c r="AB53" s="253" t="n">
        <v>39860.89</v>
      </c>
      <c r="AC53" s="246" t="n"/>
      <c r="AD53" s="261" t="n">
        <v>87864.87</v>
      </c>
      <c r="AE53" s="251" t="n"/>
      <c r="AF53" s="253" t="n">
        <v>56037.81</v>
      </c>
      <c r="AG53" s="246" t="n"/>
      <c r="AH53" s="253" t="n">
        <v>9690.98</v>
      </c>
      <c r="AI53" s="246" t="n"/>
      <c r="AJ53" s="253" t="n">
        <v>48344.76</v>
      </c>
      <c r="AK53" s="246" t="n"/>
      <c r="AL53" s="253" t="n">
        <v>131783.31</v>
      </c>
      <c r="AM53" s="246" t="n"/>
      <c r="AN53" s="261" t="n">
        <v>186460.93</v>
      </c>
      <c r="AO53" s="251" t="n"/>
      <c r="AP53" s="261" t="n">
        <v>39633.85</v>
      </c>
      <c r="AQ53" s="251" t="n"/>
      <c r="AR53" s="253" t="n">
        <v>5826.74</v>
      </c>
      <c r="AS53" s="246" t="n"/>
      <c r="AT53" s="261" t="n">
        <v>4370.43</v>
      </c>
      <c r="AU53" s="251" t="n"/>
      <c r="AV53" s="253" t="n">
        <v>61281.42</v>
      </c>
      <c r="AW53" s="246" t="n"/>
      <c r="AX53" s="261" t="n">
        <v>440574</v>
      </c>
      <c r="AY53" s="251" t="n"/>
      <c r="AZ53" s="253" t="n">
        <v>10957.74</v>
      </c>
      <c r="BA53" s="246" t="n"/>
      <c r="BB53" s="261" t="n">
        <v>1070.17</v>
      </c>
      <c r="BC53" s="251" t="n"/>
      <c r="BD53" s="253" t="n">
        <v>21543.29</v>
      </c>
      <c r="BE53" s="246" t="n"/>
      <c r="BF53" s="261" t="n">
        <v>6879.31</v>
      </c>
      <c r="BG53" s="251" t="n"/>
      <c r="BH53" s="261" t="n">
        <v>39352.48</v>
      </c>
      <c r="BI53" s="251" t="n"/>
      <c r="BJ53" s="261" t="n">
        <v>59862.92</v>
      </c>
      <c r="BK53" s="251" t="n"/>
      <c r="BL53" s="253" t="n">
        <v>52723.08</v>
      </c>
      <c r="BM53" s="246" t="n"/>
      <c r="BN53" s="253" t="n">
        <v>48640.52</v>
      </c>
      <c r="BO53" s="246" t="n"/>
      <c r="BP53" s="253" t="n">
        <v>12345.87</v>
      </c>
      <c r="BQ53" s="246" t="n"/>
      <c r="BR53" s="253" t="n">
        <v>10444.63</v>
      </c>
      <c r="BS53" s="246" t="n"/>
      <c r="BT53" s="253" t="n">
        <v>11384.96</v>
      </c>
      <c r="BU53" s="246" t="n"/>
      <c r="BV53" s="253" t="n">
        <v>3039.84</v>
      </c>
      <c r="BW53" s="246" t="n"/>
      <c r="BX53" s="253" t="n">
        <v>26207.76</v>
      </c>
      <c r="BY53" s="246" t="n"/>
      <c r="BZ53" s="253">
        <f>5982.94+59656.35</f>
        <v/>
      </c>
      <c r="CA53" s="246" t="n"/>
      <c r="CB53" s="261" t="n">
        <v>85907.07000000001</v>
      </c>
      <c r="CC53" s="251" t="n"/>
      <c r="CD53" s="261" t="n">
        <v>42022.68</v>
      </c>
      <c r="CE53" s="251" t="n"/>
      <c r="CF53" s="261" t="n">
        <v>80664.37</v>
      </c>
      <c r="CG53" s="251" t="n"/>
      <c r="CH53" s="253" t="n">
        <v>78697.86</v>
      </c>
      <c r="CI53" s="246" t="n"/>
      <c r="CJ53" s="253" t="n">
        <v>10643.14</v>
      </c>
      <c r="CK53" s="246" t="n"/>
      <c r="CL53" s="253" t="n">
        <v>17803.78</v>
      </c>
      <c r="CM53" s="246" t="n"/>
      <c r="CN53" s="253" t="n">
        <v>39507.58</v>
      </c>
      <c r="CO53" s="246" t="n"/>
      <c r="CP53" s="300" t="n">
        <v>15303.71</v>
      </c>
      <c r="CQ53" s="255" t="n"/>
      <c r="CR53" s="253" t="n">
        <v>4900.02</v>
      </c>
      <c r="CS53" s="246" t="n"/>
      <c r="CT53" s="253" t="n">
        <v>8016.44</v>
      </c>
      <c r="CU53" s="246" t="n"/>
      <c r="CV53" s="300">
        <f>1495.02+19356.01</f>
        <v/>
      </c>
      <c r="CW53" s="255" t="n"/>
      <c r="CX53" s="253" t="n">
        <v>41261.26</v>
      </c>
      <c r="CY53" s="246" t="n"/>
      <c r="CZ53" s="261" t="n">
        <v>7020.54</v>
      </c>
      <c r="DA53" s="251" t="n"/>
      <c r="DB53" s="261" t="n">
        <v>20714.17</v>
      </c>
      <c r="DC53" s="251" t="n"/>
      <c r="DD53" s="253" t="n">
        <v>23695.83</v>
      </c>
      <c r="DE53" s="246" t="n"/>
      <c r="DF53" s="261" t="n">
        <v>59104.53</v>
      </c>
      <c r="DG53" s="251" t="n"/>
      <c r="DH53" s="253">
        <f>375.18+13587.09</f>
        <v/>
      </c>
      <c r="DI53" s="246" t="n"/>
      <c r="DJ53" s="253" t="n">
        <v>255747.91</v>
      </c>
      <c r="DK53" s="246" t="n"/>
      <c r="DL53" s="261" t="n">
        <v>120908.98</v>
      </c>
      <c r="DM53" s="251" t="n"/>
      <c r="DN53" s="274" t="n">
        <v>5877.79</v>
      </c>
      <c r="DO53" s="255" t="n"/>
      <c r="DP53" s="261">
        <f>14077.7+1769.47</f>
        <v/>
      </c>
      <c r="DQ53" s="251" t="n"/>
      <c r="DR53" s="253">
        <f>2422.95+884.73</f>
        <v/>
      </c>
      <c r="DS53" s="246" t="n"/>
      <c r="DT53" s="261">
        <f>11397.14+884.73</f>
        <v/>
      </c>
      <c r="DU53" s="251" t="n"/>
      <c r="DV53" s="253">
        <f>21920.56+3538.94</f>
        <v/>
      </c>
      <c r="DW53" s="246" t="n"/>
      <c r="DX53" s="274" t="n">
        <v>1122.04</v>
      </c>
      <c r="DY53" s="255" t="n"/>
      <c r="DZ53" s="253" t="n">
        <v>27698.55</v>
      </c>
      <c r="EA53" s="246" t="n"/>
      <c r="EB53" s="253" t="n">
        <v>6513</v>
      </c>
      <c r="EC53" s="246" t="n"/>
      <c r="ED53" s="253" t="n">
        <v>74014.25999999999</v>
      </c>
      <c r="EE53" s="246" t="n"/>
      <c r="EF53" s="315" t="n">
        <v>86198.39999999999</v>
      </c>
      <c r="EG53" s="246" t="n"/>
      <c r="EH53" s="253" t="n">
        <v>13323.56</v>
      </c>
      <c r="EI53" s="246" t="n"/>
      <c r="EJ53" s="253" t="n">
        <v>47746.39</v>
      </c>
      <c r="EK53" s="246" t="n"/>
      <c r="EL53" s="253" t="n">
        <v>42423.43</v>
      </c>
      <c r="EM53" s="246" t="n"/>
      <c r="EN53" s="253" t="n">
        <v>44648.29</v>
      </c>
      <c r="EO53" s="246" t="n"/>
      <c r="EP53" s="253" t="n">
        <v>38281.89</v>
      </c>
      <c r="EQ53" s="246" t="n"/>
      <c r="ER53" s="253" t="n">
        <v>32050.72</v>
      </c>
      <c r="ES53" s="246" t="n"/>
      <c r="ET53" s="253" t="n">
        <v>98960.22</v>
      </c>
      <c r="EU53" s="246" t="n"/>
      <c r="EV53" s="253" t="n">
        <v>36752.69</v>
      </c>
      <c r="EW53" s="246" t="n"/>
      <c r="EX53" s="300" t="n">
        <v>5694.42</v>
      </c>
      <c r="EY53" s="255" t="n"/>
      <c r="EZ53" s="253" t="n">
        <v>12544.57</v>
      </c>
      <c r="FA53" s="246" t="n"/>
      <c r="FB53" s="253">
        <f>747.51+5212.78</f>
        <v/>
      </c>
      <c r="FC53" s="246" t="n"/>
      <c r="FD53" s="253">
        <f>747.51+29985.88</f>
        <v/>
      </c>
      <c r="FE53" s="246" t="n"/>
      <c r="FF53" s="253">
        <f>2992.89+11361.29</f>
        <v/>
      </c>
      <c r="FG53" s="246" t="n"/>
      <c r="FH53" s="253" t="n">
        <v>818.83</v>
      </c>
      <c r="FI53" s="246" t="n"/>
      <c r="FJ53" s="289" t="n">
        <v>4787.8</v>
      </c>
      <c r="FK53" s="251" t="n"/>
      <c r="FL53" s="320" t="n">
        <v>409.42</v>
      </c>
      <c r="FM53" s="263" t="n"/>
      <c r="FN53" s="296" t="n">
        <v>1642.93</v>
      </c>
      <c r="FO53" s="263" t="n"/>
      <c r="FP53" s="253" t="n"/>
      <c r="FQ53" s="246" t="n"/>
      <c r="FR53" s="253" t="n"/>
      <c r="FS53" s="246" t="n"/>
      <c r="FT53" s="253" t="n"/>
      <c r="FU53" s="246" t="n"/>
      <c r="FV53" s="253" t="n"/>
      <c r="FW53" s="246" t="n"/>
      <c r="FX53" s="274" t="n"/>
      <c r="FY53" s="255" t="n"/>
      <c r="FZ53" s="274" t="n">
        <v>2108.25</v>
      </c>
      <c r="GA53" s="255" t="n"/>
      <c r="GB53" s="274" t="n">
        <v>1054.12</v>
      </c>
      <c r="GC53" s="255" t="n"/>
      <c r="GD53" s="274" t="n">
        <v>1054.12</v>
      </c>
      <c r="GE53" s="255" t="n"/>
      <c r="GF53" s="253" t="n"/>
      <c r="GG53" s="246" t="n"/>
      <c r="GH53" s="253" t="n"/>
      <c r="GI53" s="246" t="n"/>
      <c r="GJ53" s="253" t="n"/>
      <c r="GK53" s="246" t="n"/>
      <c r="GL53" s="253" t="n"/>
      <c r="GM53" s="246" t="n"/>
      <c r="GN53" s="253" t="n"/>
      <c r="GO53" s="246" t="n"/>
      <c r="GP53" s="253" t="n"/>
      <c r="GQ53" s="246" t="n"/>
      <c r="GR53" s="253" t="n"/>
      <c r="GS53" s="246" t="n"/>
      <c r="GT53" s="253" t="n"/>
      <c r="GU53" s="246" t="n"/>
      <c r="GV53" s="253" t="n"/>
      <c r="GW53" s="246" t="n"/>
      <c r="GX53" s="253" t="n"/>
      <c r="GY53" s="246" t="n"/>
      <c r="GZ53" s="253" t="n"/>
      <c r="HA53" s="246" t="n"/>
      <c r="HB53" s="253" t="n"/>
      <c r="HC53" s="246" t="n"/>
      <c r="HD53" s="253" t="n"/>
      <c r="HE53" s="246" t="n"/>
      <c r="HF53" s="253" t="n"/>
      <c r="HG53" s="246" t="n"/>
      <c r="HH53" s="253" t="n"/>
      <c r="HI53" s="246" t="n"/>
      <c r="HJ53" s="253" t="n"/>
      <c r="HK53" s="246" t="n"/>
      <c r="HL53" s="253" t="n"/>
      <c r="HM53" s="246" t="n"/>
      <c r="HN53" s="253" t="n"/>
      <c r="HO53" s="246" t="n"/>
      <c r="HP53" s="253" t="n"/>
      <c r="HQ53" s="246" t="n"/>
      <c r="HR53" s="253" t="n"/>
      <c r="HS53" s="246" t="n"/>
      <c r="HT53" s="253" t="n"/>
      <c r="HU53" s="246" t="n"/>
      <c r="HV53" s="289" t="n"/>
      <c r="HW53" s="251" t="n"/>
      <c r="HX53" s="274" t="n"/>
      <c r="HY53" s="255" t="n"/>
      <c r="HZ53" s="253" t="n"/>
      <c r="IA53" s="246" t="n"/>
      <c r="IB53" s="253" t="n"/>
      <c r="IC53" s="246" t="n"/>
      <c r="ID53" s="289" t="n"/>
      <c r="IE53" s="251" t="n"/>
      <c r="IF53" s="253" t="n"/>
      <c r="IG53" s="246" t="n"/>
      <c r="IH53" s="253" t="n"/>
      <c r="II53" s="246" t="n"/>
      <c r="IJ53" s="253" t="n"/>
      <c r="IK53" s="246" t="n"/>
      <c r="IL53" s="253" t="n"/>
      <c r="IM53" s="246" t="n"/>
      <c r="IN53" s="253" t="n"/>
      <c r="IO53" s="246" t="n"/>
      <c r="IP53" s="253" t="n">
        <v>7626.53</v>
      </c>
      <c r="IQ53" s="246" t="n"/>
      <c r="IR53" s="253">
        <f>4863.09+49497.45</f>
        <v/>
      </c>
      <c r="IS53" s="246" t="n"/>
      <c r="IT53" s="253" t="n">
        <v>2808.37</v>
      </c>
      <c r="IU53" s="246" t="n"/>
      <c r="IV53" s="253" t="n">
        <v>17909.43</v>
      </c>
      <c r="IW53" s="246" t="n"/>
      <c r="IX53" s="253" t="n">
        <v>12544.98</v>
      </c>
      <c r="IY53" s="246" t="n"/>
      <c r="IZ53" s="253" t="n"/>
      <c r="JA53" s="246" t="n"/>
      <c r="JB53" s="253" t="n"/>
      <c r="JC53" s="246" t="n"/>
      <c r="JD53" s="253" t="n"/>
      <c r="JE53" s="246" t="n"/>
      <c r="JF53" s="253" t="n">
        <v>80840.11</v>
      </c>
      <c r="JG53" s="246" t="n"/>
      <c r="JH53" s="253" t="n"/>
      <c r="JI53" s="246" t="n"/>
      <c r="JJ53" s="253" t="n"/>
      <c r="JK53" s="246" t="n"/>
      <c r="JL53" s="253">
        <f>42597+58399.88+3488245.77</f>
        <v/>
      </c>
      <c r="JM53" s="246" t="n"/>
      <c r="JN53" s="289" t="n">
        <v>36170.6</v>
      </c>
      <c r="JO53" s="251" t="n"/>
      <c r="JP53" s="264">
        <f>652595.21+6763.74</f>
        <v/>
      </c>
      <c r="JQ53" s="251" t="n"/>
      <c r="JR53" s="264" t="n"/>
      <c r="JS53" s="251" t="n"/>
      <c r="JT53" s="264" t="n"/>
      <c r="JU53" s="251" t="n"/>
      <c r="JV53" s="264" t="n"/>
      <c r="JW53" s="251" t="n"/>
      <c r="JX53" s="264" t="n"/>
      <c r="JY53" s="251" t="n"/>
      <c r="JZ53" s="302">
        <f>JN53+JP53+JR53+JT53+JV53+JX53</f>
        <v/>
      </c>
      <c r="KA53" s="246" t="n"/>
      <c r="KB53" s="303">
        <f>SUM(H53:JY53)</f>
        <v/>
      </c>
      <c r="KC53" s="246" t="n"/>
      <c r="KD53" s="2">
        <f>KB52-KB54</f>
        <v/>
      </c>
      <c r="KF53" s="97">
        <f>KB52-KF52</f>
        <v/>
      </c>
    </row>
    <row r="54" ht="29.25" customHeight="1" thickBot="1">
      <c r="A54" s="115" t="n"/>
      <c r="B54" s="76" t="inlineStr">
        <is>
          <t xml:space="preserve">Отклонение (+/-) к плану </t>
        </is>
      </c>
      <c r="C54" s="78" t="n"/>
      <c r="D54" s="112" t="n"/>
      <c r="E54" s="113" t="n"/>
      <c r="F54" s="250" t="n"/>
      <c r="G54" s="118" t="n"/>
      <c r="H54" s="273">
        <f>H52-H53</f>
        <v/>
      </c>
      <c r="I54" s="251" t="n"/>
      <c r="J54" s="245">
        <f>J52-J53</f>
        <v/>
      </c>
      <c r="K54" s="246" t="n"/>
      <c r="L54" s="245">
        <f>L52-L53</f>
        <v/>
      </c>
      <c r="M54" s="246" t="n"/>
      <c r="N54" s="254">
        <f>N52-N53</f>
        <v/>
      </c>
      <c r="O54" s="255" t="n"/>
      <c r="P54" s="245">
        <f>P52-P53</f>
        <v/>
      </c>
      <c r="Q54" s="246" t="n"/>
      <c r="R54" s="295">
        <f>R52-R53</f>
        <v/>
      </c>
      <c r="S54" s="263" t="n"/>
      <c r="T54" s="275">
        <f>T52-T53</f>
        <v/>
      </c>
      <c r="U54" s="266" t="n"/>
      <c r="V54" s="314">
        <f>V52-V53</f>
        <v/>
      </c>
      <c r="W54" s="266" t="n"/>
      <c r="X54" s="314">
        <f>X52-X53</f>
        <v/>
      </c>
      <c r="Y54" s="266" t="n"/>
      <c r="Z54" s="262">
        <f>Z52-Z53</f>
        <v/>
      </c>
      <c r="AA54" s="263" t="n"/>
      <c r="AB54" s="262">
        <f>AB52-AB53</f>
        <v/>
      </c>
      <c r="AC54" s="263" t="n"/>
      <c r="AD54" s="330">
        <f>AD52-AD53</f>
        <v/>
      </c>
      <c r="AE54" s="277" t="n"/>
      <c r="AF54" s="262">
        <f>AF52-AF53</f>
        <v/>
      </c>
      <c r="AG54" s="263" t="n"/>
      <c r="AH54" s="262">
        <f>AH52-AH53</f>
        <v/>
      </c>
      <c r="AI54" s="263" t="n"/>
      <c r="AJ54" s="262">
        <f>AJ52-AJ53</f>
        <v/>
      </c>
      <c r="AK54" s="263" t="n"/>
      <c r="AL54" s="245">
        <f>AL52-AL53</f>
        <v/>
      </c>
      <c r="AM54" s="246" t="n"/>
      <c r="AN54" s="250">
        <f>AN52-AN53</f>
        <v/>
      </c>
      <c r="AO54" s="251" t="n"/>
      <c r="AP54" s="250">
        <f>AP52-AP53</f>
        <v/>
      </c>
      <c r="AQ54" s="251" t="n"/>
      <c r="AR54" s="245">
        <f>AR52-AR53</f>
        <v/>
      </c>
      <c r="AS54" s="246" t="n"/>
      <c r="AT54" s="250">
        <f>AT52-AT53</f>
        <v/>
      </c>
      <c r="AU54" s="251" t="n"/>
      <c r="AV54" s="245">
        <f>AV52-AV53</f>
        <v/>
      </c>
      <c r="AW54" s="246" t="n"/>
      <c r="AX54" s="250">
        <f>AX52-AX53</f>
        <v/>
      </c>
      <c r="AY54" s="251" t="n"/>
      <c r="AZ54" s="245">
        <f>AZ52-AZ53</f>
        <v/>
      </c>
      <c r="BA54" s="246" t="n"/>
      <c r="BB54" s="250">
        <f>BB52-BB53</f>
        <v/>
      </c>
      <c r="BC54" s="251" t="n"/>
      <c r="BD54" s="245">
        <f>BD52-BD53</f>
        <v/>
      </c>
      <c r="BE54" s="246" t="n"/>
      <c r="BF54" s="250">
        <f>BF52-BF53</f>
        <v/>
      </c>
      <c r="BG54" s="251" t="n"/>
      <c r="BH54" s="250">
        <f>BH52-BH53</f>
        <v/>
      </c>
      <c r="BI54" s="251" t="n"/>
      <c r="BJ54" s="250">
        <f>BJ52-BJ53</f>
        <v/>
      </c>
      <c r="BK54" s="251" t="n"/>
      <c r="BL54" s="245">
        <f>BL52-BL53</f>
        <v/>
      </c>
      <c r="BM54" s="246" t="n"/>
      <c r="BN54" s="245">
        <f>BN52-BN53</f>
        <v/>
      </c>
      <c r="BO54" s="246" t="n"/>
      <c r="BP54" s="245">
        <f>BP52-BP53</f>
        <v/>
      </c>
      <c r="BQ54" s="246" t="n"/>
      <c r="BR54" s="245">
        <f>BR52-BR53</f>
        <v/>
      </c>
      <c r="BS54" s="246" t="n"/>
      <c r="BT54" s="245">
        <f>BT52-BT53</f>
        <v/>
      </c>
      <c r="BU54" s="246" t="n"/>
      <c r="BV54" s="245">
        <f>BV52-BV53</f>
        <v/>
      </c>
      <c r="BW54" s="246" t="n"/>
      <c r="BX54" s="245">
        <f>BX52-BX53</f>
        <v/>
      </c>
      <c r="BY54" s="246" t="n"/>
      <c r="BZ54" s="245">
        <f>BZ52-BZ53</f>
        <v/>
      </c>
      <c r="CA54" s="246" t="n"/>
      <c r="CB54" s="250">
        <f>CB52-CB53</f>
        <v/>
      </c>
      <c r="CC54" s="251" t="n"/>
      <c r="CD54" s="250">
        <f>CD52-CD53</f>
        <v/>
      </c>
      <c r="CE54" s="251" t="n"/>
      <c r="CF54" s="250">
        <f>CF52-CF53</f>
        <v/>
      </c>
      <c r="CG54" s="251" t="n"/>
      <c r="CH54" s="245">
        <f>CH52-CH53</f>
        <v/>
      </c>
      <c r="CI54" s="246" t="n"/>
      <c r="CJ54" s="245">
        <f>CJ52-CJ53</f>
        <v/>
      </c>
      <c r="CK54" s="246" t="n"/>
      <c r="CL54" s="245">
        <f>CL52-CL53</f>
        <v/>
      </c>
      <c r="CM54" s="246" t="n"/>
      <c r="CN54" s="245">
        <f>CN52-CN53</f>
        <v/>
      </c>
      <c r="CO54" s="246" t="n"/>
      <c r="CP54" s="290">
        <f>CP52-CP53</f>
        <v/>
      </c>
      <c r="CQ54" s="255" t="n"/>
      <c r="CR54" s="245">
        <f>CR52-CR53</f>
        <v/>
      </c>
      <c r="CS54" s="246" t="n"/>
      <c r="CT54" s="245">
        <f>CT52-CT53</f>
        <v/>
      </c>
      <c r="CU54" s="246" t="n"/>
      <c r="CV54" s="276">
        <f>CV52-CV53</f>
        <v/>
      </c>
      <c r="CW54" s="277" t="n"/>
      <c r="CX54" s="245">
        <f>CX52-CX53</f>
        <v/>
      </c>
      <c r="CY54" s="246" t="n"/>
      <c r="CZ54" s="250">
        <f>CZ52-CZ53</f>
        <v/>
      </c>
      <c r="DA54" s="251" t="n"/>
      <c r="DB54" s="250">
        <f>DB52-DB53</f>
        <v/>
      </c>
      <c r="DC54" s="251" t="n"/>
      <c r="DD54" s="245">
        <f>DD52-DD53</f>
        <v/>
      </c>
      <c r="DE54" s="246" t="n"/>
      <c r="DF54" s="250">
        <f>DF52-DF53</f>
        <v/>
      </c>
      <c r="DG54" s="251" t="n"/>
      <c r="DH54" s="245">
        <f>DH52-DH53</f>
        <v/>
      </c>
      <c r="DI54" s="246" t="n"/>
      <c r="DJ54" s="245">
        <f>DJ52-DJ53</f>
        <v/>
      </c>
      <c r="DK54" s="246" t="n"/>
      <c r="DL54" s="250">
        <f>DL52-DL53</f>
        <v/>
      </c>
      <c r="DM54" s="251" t="n"/>
      <c r="DN54" s="254">
        <f>DN52-DN53</f>
        <v/>
      </c>
      <c r="DO54" s="255" t="n"/>
      <c r="DP54" s="245">
        <f>DP52-DP53</f>
        <v/>
      </c>
      <c r="DQ54" s="246" t="n"/>
      <c r="DR54" s="245">
        <f>DR52-DR53</f>
        <v/>
      </c>
      <c r="DS54" s="246" t="n"/>
      <c r="DT54" s="250">
        <f>DT52-DT53</f>
        <v/>
      </c>
      <c r="DU54" s="251" t="n"/>
      <c r="DV54" s="245">
        <f>DV52-DV53</f>
        <v/>
      </c>
      <c r="DW54" s="246" t="n"/>
      <c r="DX54" s="254">
        <f>DX52-DX53</f>
        <v/>
      </c>
      <c r="DY54" s="255" t="n"/>
      <c r="DZ54" s="245">
        <f>DZ52-DZ53</f>
        <v/>
      </c>
      <c r="EA54" s="246" t="n"/>
      <c r="EB54" s="245">
        <f>EB52-EB53</f>
        <v/>
      </c>
      <c r="EC54" s="246" t="n"/>
      <c r="ED54" s="245">
        <f>ED52-ED53</f>
        <v/>
      </c>
      <c r="EE54" s="246" t="n"/>
      <c r="EF54" s="290">
        <f>EF52-EF53</f>
        <v/>
      </c>
      <c r="EG54" s="255" t="n"/>
      <c r="EH54" s="245">
        <f>EH52-EH53</f>
        <v/>
      </c>
      <c r="EI54" s="246" t="n"/>
      <c r="EJ54" s="245">
        <f>EJ52-EJ53</f>
        <v/>
      </c>
      <c r="EK54" s="246" t="n"/>
      <c r="EL54" s="245">
        <f>EL52-EL53</f>
        <v/>
      </c>
      <c r="EM54" s="246" t="n"/>
      <c r="EN54" s="245">
        <f>EN52-EN53</f>
        <v/>
      </c>
      <c r="EO54" s="246" t="n"/>
      <c r="EP54" s="245">
        <f>EP52-EP53</f>
        <v/>
      </c>
      <c r="EQ54" s="246" t="n"/>
      <c r="ER54" s="245">
        <f>ER52-ER53</f>
        <v/>
      </c>
      <c r="ES54" s="246" t="n"/>
      <c r="ET54" s="245">
        <f>ET52-ET53</f>
        <v/>
      </c>
      <c r="EU54" s="246" t="n"/>
      <c r="EV54" s="245">
        <f>EV52-EV53</f>
        <v/>
      </c>
      <c r="EW54" s="246" t="n"/>
      <c r="EX54" s="290">
        <f>EX52-EX53</f>
        <v/>
      </c>
      <c r="EY54" s="255" t="n"/>
      <c r="EZ54" s="245">
        <f>EZ52-EZ53</f>
        <v/>
      </c>
      <c r="FA54" s="246" t="n"/>
      <c r="FB54" s="245">
        <f>FB52-FB53</f>
        <v/>
      </c>
      <c r="FC54" s="246" t="n"/>
      <c r="FD54" s="245">
        <f>FD52-FD53</f>
        <v/>
      </c>
      <c r="FE54" s="246" t="n"/>
      <c r="FF54" s="245">
        <f>FF52-FF53</f>
        <v/>
      </c>
      <c r="FG54" s="246" t="n"/>
      <c r="FH54" s="245">
        <f>FH52-FH53</f>
        <v/>
      </c>
      <c r="FI54" s="246" t="n"/>
      <c r="FJ54" s="269">
        <f>FJ52-FJ53</f>
        <v/>
      </c>
      <c r="FK54" s="246" t="n"/>
      <c r="FL54" s="245">
        <f>FL52-FL53</f>
        <v/>
      </c>
      <c r="FM54" s="246" t="n"/>
      <c r="FN54" s="245">
        <f>FN52-FN53</f>
        <v/>
      </c>
      <c r="FO54" s="246" t="n"/>
      <c r="FP54" s="245">
        <f>FP52-FP53</f>
        <v/>
      </c>
      <c r="FQ54" s="246" t="n"/>
      <c r="FR54" s="245">
        <f>FR52-FR53</f>
        <v/>
      </c>
      <c r="FS54" s="246" t="n"/>
      <c r="FT54" s="245">
        <f>FT52-FT53</f>
        <v/>
      </c>
      <c r="FU54" s="246" t="n"/>
      <c r="FV54" s="245">
        <f>FV52-FV53</f>
        <v/>
      </c>
      <c r="FW54" s="246" t="n"/>
      <c r="FX54" s="254">
        <f>FX52-FX53</f>
        <v/>
      </c>
      <c r="FY54" s="255" t="n"/>
      <c r="FZ54" s="254">
        <f>FZ52-FZ53</f>
        <v/>
      </c>
      <c r="GA54" s="255" t="n"/>
      <c r="GB54" s="254">
        <f>GB52-GB53</f>
        <v/>
      </c>
      <c r="GC54" s="255" t="n"/>
      <c r="GD54" s="254">
        <f>GD52-GD53</f>
        <v/>
      </c>
      <c r="GE54" s="255" t="n"/>
      <c r="GF54" s="245">
        <f>GF52-GF53</f>
        <v/>
      </c>
      <c r="GG54" s="246" t="n"/>
      <c r="GH54" s="245">
        <f>GH52-GH53</f>
        <v/>
      </c>
      <c r="GI54" s="246" t="n"/>
      <c r="GJ54" s="245">
        <f>GJ52-GJ53</f>
        <v/>
      </c>
      <c r="GK54" s="246" t="n"/>
      <c r="GL54" s="245">
        <f>GL52-GL53</f>
        <v/>
      </c>
      <c r="GM54" s="246" t="n"/>
      <c r="GN54" s="245">
        <f>GN52-GN53</f>
        <v/>
      </c>
      <c r="GO54" s="246" t="n"/>
      <c r="GP54" s="245">
        <f>GP52-GP53</f>
        <v/>
      </c>
      <c r="GQ54" s="246" t="n"/>
      <c r="GR54" s="245">
        <f>GR52-GR53</f>
        <v/>
      </c>
      <c r="GS54" s="246" t="n"/>
      <c r="GT54" s="245">
        <f>GT52-GT53</f>
        <v/>
      </c>
      <c r="GU54" s="246" t="n"/>
      <c r="GV54" s="245">
        <f>GV52-GV53</f>
        <v/>
      </c>
      <c r="GW54" s="246" t="n"/>
      <c r="GX54" s="245">
        <f>GX52-GX53</f>
        <v/>
      </c>
      <c r="GY54" s="246" t="n"/>
      <c r="GZ54" s="245">
        <f>GZ52-GZ53</f>
        <v/>
      </c>
      <c r="HA54" s="246" t="n"/>
      <c r="HB54" s="245">
        <f>HB52-HB53</f>
        <v/>
      </c>
      <c r="HC54" s="246" t="n"/>
      <c r="HD54" s="245">
        <f>HD52-HD53</f>
        <v/>
      </c>
      <c r="HE54" s="246" t="n"/>
      <c r="HF54" s="245">
        <f>HF52-HF53</f>
        <v/>
      </c>
      <c r="HG54" s="246" t="n"/>
      <c r="HH54" s="245">
        <f>HH52-HH53</f>
        <v/>
      </c>
      <c r="HI54" s="246" t="n"/>
      <c r="HJ54" s="245">
        <f>HJ52-HJ53</f>
        <v/>
      </c>
      <c r="HK54" s="246" t="n"/>
      <c r="HL54" s="245">
        <f>HL52-HL53</f>
        <v/>
      </c>
      <c r="HM54" s="246" t="n"/>
      <c r="HN54" s="245">
        <f>HN52-HN53</f>
        <v/>
      </c>
      <c r="HO54" s="246" t="n"/>
      <c r="HP54" s="245">
        <f>HP52-HP53</f>
        <v/>
      </c>
      <c r="HQ54" s="246" t="n"/>
      <c r="HR54" s="245">
        <f>HR52-HR53</f>
        <v/>
      </c>
      <c r="HS54" s="246" t="n"/>
      <c r="HT54" s="245">
        <f>HT52-HT53</f>
        <v/>
      </c>
      <c r="HU54" s="246" t="n"/>
      <c r="HV54" s="273">
        <f>HV52-HV53</f>
        <v/>
      </c>
      <c r="HW54" s="251" t="n"/>
      <c r="HX54" s="254">
        <f>HX52-HX53</f>
        <v/>
      </c>
      <c r="HY54" s="255" t="n"/>
      <c r="HZ54" s="254">
        <f>HZ52-HZ53</f>
        <v/>
      </c>
      <c r="IA54" s="255" t="n"/>
      <c r="IB54" s="245">
        <f>IB52-IB53</f>
        <v/>
      </c>
      <c r="IC54" s="246" t="n"/>
      <c r="ID54" s="273">
        <f>ID52-ID53</f>
        <v/>
      </c>
      <c r="IE54" s="251" t="n"/>
      <c r="IF54" s="245">
        <f>IF52-IF53</f>
        <v/>
      </c>
      <c r="IG54" s="246" t="n"/>
      <c r="IH54" s="245">
        <f>IH52-IH53</f>
        <v/>
      </c>
      <c r="II54" s="246" t="n"/>
      <c r="IJ54" s="245">
        <f>IJ52-IJ53</f>
        <v/>
      </c>
      <c r="IK54" s="246" t="n"/>
      <c r="IL54" s="245">
        <f>IL52-IL53</f>
        <v/>
      </c>
      <c r="IM54" s="246" t="n"/>
      <c r="IN54" s="245">
        <f>IN52-IN53</f>
        <v/>
      </c>
      <c r="IO54" s="246" t="n"/>
      <c r="IP54" s="245">
        <f>IP52-IP53</f>
        <v/>
      </c>
      <c r="IQ54" s="246" t="n"/>
      <c r="IR54" s="245">
        <f>IR52-IR53</f>
        <v/>
      </c>
      <c r="IS54" s="246" t="n"/>
      <c r="IT54" s="245">
        <f>IT52-IT53</f>
        <v/>
      </c>
      <c r="IU54" s="246" t="n"/>
      <c r="IV54" s="245">
        <f>IV52-IV53</f>
        <v/>
      </c>
      <c r="IW54" s="246" t="n"/>
      <c r="IX54" s="245">
        <f>IX52-IX53</f>
        <v/>
      </c>
      <c r="IY54" s="246" t="n"/>
      <c r="IZ54" s="245">
        <f>IZ52-IZ53</f>
        <v/>
      </c>
      <c r="JA54" s="246" t="n"/>
      <c r="JB54" s="245">
        <f>JB52-JB53</f>
        <v/>
      </c>
      <c r="JC54" s="246" t="n"/>
      <c r="JD54" s="245">
        <f>JD52-JD53</f>
        <v/>
      </c>
      <c r="JE54" s="246" t="n"/>
      <c r="JF54" s="245">
        <f>JF52-JF53</f>
        <v/>
      </c>
      <c r="JG54" s="246" t="n"/>
      <c r="JH54" s="245">
        <f>JH52-JH53</f>
        <v/>
      </c>
      <c r="JI54" s="246" t="n"/>
      <c r="JJ54" s="245">
        <f>JJ52-JJ53</f>
        <v/>
      </c>
      <c r="JK54" s="246" t="n"/>
      <c r="JL54" s="245">
        <f>JL52-JL53</f>
        <v/>
      </c>
      <c r="JM54" s="246" t="n"/>
      <c r="JN54" s="273">
        <f>JN52-JN53</f>
        <v/>
      </c>
      <c r="JO54" s="251" t="n"/>
      <c r="JP54" s="250">
        <f>JP52-JP53</f>
        <v/>
      </c>
      <c r="JQ54" s="251" t="n"/>
      <c r="JR54" s="245">
        <f>JR52-JR53</f>
        <v/>
      </c>
      <c r="JS54" s="246" t="n"/>
      <c r="JT54" s="245">
        <f>JT52-JT53</f>
        <v/>
      </c>
      <c r="JU54" s="246" t="n"/>
      <c r="JV54" s="245">
        <f>JV52-JV53</f>
        <v/>
      </c>
      <c r="JW54" s="246" t="n"/>
      <c r="JX54" s="250">
        <f>JX52-JX53</f>
        <v/>
      </c>
      <c r="JY54" s="251" t="n"/>
      <c r="JZ54" s="245">
        <f>JZ52-JZ53</f>
        <v/>
      </c>
      <c r="KA54" s="246" t="n"/>
      <c r="KB54" s="298">
        <f>SUM(H54:JY54)</f>
        <v/>
      </c>
      <c r="KC54" s="246" t="n"/>
      <c r="KD54" s="2" t="n"/>
      <c r="KF54" s="97" t="n"/>
    </row>
    <row r="55" ht="11.25" customHeight="1">
      <c r="B55" s="32" t="n"/>
      <c r="D55" s="279" t="inlineStr">
        <is>
          <t>частично актован</t>
        </is>
      </c>
      <c r="M55" s="279" t="n"/>
      <c r="CT55" s="279" t="n"/>
      <c r="CU55" s="279" t="n"/>
      <c r="KB55" s="307" t="n"/>
      <c r="KC55" s="308" t="n"/>
    </row>
    <row r="56" ht="11.25" customHeight="1">
      <c r="B56" s="33" t="n"/>
      <c r="D56" s="279" t="inlineStr">
        <is>
          <t>НЗП</t>
        </is>
      </c>
      <c r="M56" s="279" t="n"/>
      <c r="CT56" s="279" t="n"/>
      <c r="CU56" s="279" t="n"/>
    </row>
    <row r="57" ht="11.25" customHeight="1">
      <c r="B57" s="34" t="n"/>
      <c r="D57" s="279" t="inlineStr">
        <is>
          <t>актовка</t>
        </is>
      </c>
      <c r="M57" s="279" t="n"/>
      <c r="CT57" s="279" t="n"/>
      <c r="CU57" s="279" t="n"/>
    </row>
    <row r="58" ht="11.25" customHeight="1">
      <c r="B58" s="35" t="n"/>
      <c r="D58" s="279" t="inlineStr">
        <is>
          <t>для заполнения данными бухгалтерии</t>
        </is>
      </c>
      <c r="M58" s="279" t="n"/>
      <c r="CT58" s="279" t="n"/>
      <c r="CU58" s="279" t="n"/>
    </row>
    <row r="59" ht="29.25" customHeight="1">
      <c r="CT59" s="279" t="n"/>
      <c r="CU59" s="279" t="n"/>
    </row>
    <row r="60" ht="14.25" customHeight="1">
      <c r="CT60" s="279" t="n"/>
      <c r="CU60" s="279" t="n"/>
    </row>
    <row r="61" ht="13.2" customHeight="1">
      <c r="BF61" s="88" t="n"/>
      <c r="CD61" s="88" t="n"/>
      <c r="CR61" s="88" t="n"/>
      <c r="CT61" s="88" t="n"/>
      <c r="CU61" s="279" t="n"/>
      <c r="DL61" s="88" t="n"/>
      <c r="DX61" s="88" t="n"/>
      <c r="EJ61" s="88" t="n"/>
      <c r="EP61" s="88" t="n"/>
      <c r="EX61" s="88" t="n"/>
      <c r="GX61" s="88" t="n"/>
      <c r="GZ61" s="88" t="n"/>
      <c r="HB61" s="88" t="n"/>
      <c r="HD61" s="88" t="n"/>
      <c r="HF61" s="88" t="n"/>
      <c r="HH61" s="88" t="n"/>
      <c r="HJ61" s="88" t="n"/>
      <c r="HL61" s="88" t="n"/>
      <c r="KF61" s="88" t="n"/>
    </row>
    <row r="62" ht="13.2" customHeight="1">
      <c r="CT62" s="279" t="n"/>
      <c r="CU62" s="279" t="n"/>
    </row>
    <row r="63" ht="13.2" customHeight="1">
      <c r="CT63" s="279" t="n"/>
      <c r="CU63" s="279" t="n"/>
    </row>
    <row r="64" ht="13.2" customHeight="1">
      <c r="CT64" s="279" t="n"/>
      <c r="CU64" s="279" t="n"/>
    </row>
    <row r="65" ht="13.2" customHeight="1">
      <c r="CT65" s="279" t="n"/>
      <c r="CU65" s="279" t="n"/>
    </row>
    <row r="66" ht="13.2" customHeight="1">
      <c r="CT66" s="279" t="n"/>
      <c r="CU66" s="279" t="n"/>
    </row>
    <row r="67" ht="13.2" customHeight="1">
      <c r="CT67" s="279" t="n"/>
      <c r="CU67" s="279" t="n"/>
    </row>
    <row r="68" ht="13.2" customHeight="1">
      <c r="CT68" s="279" t="n"/>
      <c r="CU68" s="279" t="n"/>
    </row>
    <row r="69" ht="13.2" customHeight="1">
      <c r="CT69" s="279" t="n"/>
      <c r="CU69" s="279" t="n"/>
      <c r="JE69" s="301" t="n"/>
    </row>
    <row r="70" ht="13.2" customHeight="1">
      <c r="CT70" s="279" t="n"/>
      <c r="CU70" s="279" t="n"/>
      <c r="JE70" s="278" t="n"/>
    </row>
    <row r="71" ht="13.2" customHeight="1">
      <c r="CT71" s="279" t="n"/>
      <c r="CU71" s="279" t="n"/>
    </row>
    <row r="72" ht="13.2" customHeight="1">
      <c r="CT72" s="279" t="n"/>
      <c r="CU72" s="279" t="n"/>
    </row>
    <row r="73" ht="13.2" customHeight="1">
      <c r="CT73" s="279" t="n"/>
      <c r="CU73" s="279" t="n"/>
    </row>
    <row r="74" ht="13.2" customHeight="1">
      <c r="CT74" s="279" t="n"/>
      <c r="CU74" s="279" t="n"/>
    </row>
    <row r="75" ht="13.2" customHeight="1">
      <c r="CT75" s="279" t="n"/>
      <c r="CU75" s="279" t="n"/>
    </row>
    <row r="76" ht="13.2" customHeight="1">
      <c r="CT76" s="279" t="n"/>
      <c r="CU76" s="279" t="n"/>
    </row>
    <row r="77" ht="13.2" customHeight="1">
      <c r="CT77" s="279" t="n"/>
      <c r="CU77" s="279" t="n"/>
    </row>
    <row r="78" ht="13.2" customHeight="1">
      <c r="CT78" s="279" t="n"/>
      <c r="CU78" s="279" t="n"/>
    </row>
    <row r="79" ht="13.2" customHeight="1">
      <c r="CT79" s="279" t="n"/>
      <c r="CU79" s="279" t="n"/>
    </row>
    <row r="80" ht="13.2" customHeight="1">
      <c r="CT80" s="279" t="n"/>
      <c r="CU80" s="279" t="n"/>
    </row>
    <row r="81" ht="13.2" customHeight="1">
      <c r="CT81" s="279" t="n"/>
      <c r="CU81" s="279" t="n"/>
    </row>
    <row r="82" ht="13.2" customHeight="1">
      <c r="CT82" s="279" t="n"/>
      <c r="CU82" s="279" t="n"/>
    </row>
    <row r="83" ht="13.2" customHeight="1">
      <c r="CT83" s="279" t="n"/>
      <c r="CU83" s="279" t="n"/>
    </row>
    <row r="84" ht="13.2" customHeight="1">
      <c r="CT84" s="279" t="n"/>
      <c r="CU84" s="279" t="n"/>
    </row>
    <row r="85" ht="13.2" customHeight="1">
      <c r="CT85" s="279" t="n"/>
      <c r="CU85" s="279" t="n"/>
    </row>
    <row r="86" ht="13.2" customHeight="1">
      <c r="CT86" s="279" t="n"/>
      <c r="CU86" s="279" t="n"/>
    </row>
    <row r="87" ht="13.2" customHeight="1">
      <c r="CT87" s="279" t="n"/>
      <c r="CU87" s="279" t="n"/>
    </row>
    <row r="88" ht="13.2" customHeight="1">
      <c r="CT88" s="279" t="n"/>
      <c r="CU88" s="279" t="n"/>
    </row>
    <row r="89" ht="13.2" customHeight="1">
      <c r="CT89" s="279" t="n"/>
      <c r="CU89" s="279" t="n"/>
    </row>
    <row r="90" ht="13.2" customHeight="1">
      <c r="CT90" s="279" t="n"/>
      <c r="CU90" s="279" t="n"/>
    </row>
    <row r="91" ht="13.2" customHeight="1">
      <c r="CT91" s="279" t="n"/>
      <c r="CU91" s="279" t="n"/>
    </row>
    <row r="92" ht="13.2" customHeight="1">
      <c r="CT92" s="279" t="n"/>
      <c r="CU92" s="279" t="n"/>
    </row>
    <row r="93" ht="13.2" customHeight="1">
      <c r="CT93" s="279" t="n"/>
      <c r="CU93" s="279" t="n"/>
    </row>
    <row r="94" ht="13.2" customHeight="1">
      <c r="CT94" s="279" t="n"/>
      <c r="CU94" s="279" t="n"/>
    </row>
    <row r="95" ht="13.2" customHeight="1">
      <c r="CT95" s="279" t="n"/>
      <c r="CU95" s="279" t="n"/>
    </row>
    <row r="96" ht="13.2" customHeight="1">
      <c r="CT96" s="279" t="n"/>
      <c r="CU96" s="279" t="n"/>
    </row>
    <row r="97" ht="13.2" customHeight="1">
      <c r="CT97" s="279" t="n"/>
      <c r="CU97" s="279" t="n"/>
    </row>
    <row r="98" ht="13.2" customHeight="1">
      <c r="CT98" s="279" t="n"/>
      <c r="CU98" s="279" t="n"/>
    </row>
    <row r="99" ht="13.2" customHeight="1">
      <c r="CT99" s="279" t="n"/>
      <c r="CU99" s="279" t="n"/>
    </row>
    <row r="100" ht="13.2" customHeight="1">
      <c r="CT100" s="279" t="n"/>
      <c r="CU100" s="279" t="n"/>
    </row>
    <row r="101" ht="13.2" customHeight="1">
      <c r="CT101" s="279" t="n"/>
      <c r="CU101" s="279" t="n"/>
    </row>
    <row r="102" ht="13.2" customHeight="1">
      <c r="CT102" s="279" t="n"/>
      <c r="CU102" s="279" t="n"/>
    </row>
    <row r="103" ht="13.2" customHeight="1">
      <c r="CT103" s="279" t="n"/>
      <c r="CU103" s="279" t="n"/>
    </row>
    <row r="104" ht="13.2" customHeight="1">
      <c r="CT104" s="279" t="n"/>
      <c r="CU104" s="279" t="n"/>
    </row>
    <row r="105" ht="13.2" customHeight="1">
      <c r="CT105" s="279" t="n"/>
      <c r="CU105" s="279" t="n"/>
    </row>
    <row r="106" ht="13.2" customHeight="1">
      <c r="CT106" s="279" t="n"/>
      <c r="CU106" s="279" t="n"/>
    </row>
    <row r="107" ht="13.2" customHeight="1">
      <c r="CT107" s="279" t="n"/>
      <c r="CU107" s="279" t="n"/>
    </row>
    <row r="108" ht="13.2" customHeight="1">
      <c r="CT108" s="279" t="n"/>
      <c r="CU108" s="279" t="n"/>
    </row>
    <row r="109" ht="13.2" customHeight="1">
      <c r="CT109" s="279" t="n"/>
      <c r="CU109" s="279" t="n"/>
    </row>
    <row r="110" ht="13.2" customHeight="1">
      <c r="CT110" s="279" t="n"/>
      <c r="CU110" s="279" t="n"/>
    </row>
    <row r="111" ht="13.2" customHeight="1">
      <c r="CT111" s="279" t="n"/>
      <c r="CU111" s="279" t="n"/>
    </row>
    <row r="112" ht="13.2" customHeight="1">
      <c r="CT112" s="279" t="n"/>
      <c r="CU112" s="279" t="n"/>
    </row>
    <row r="113" ht="13.2" customHeight="1">
      <c r="CT113" s="279" t="n"/>
      <c r="CU113" s="279" t="n"/>
    </row>
    <row r="114" ht="13.2" customHeight="1">
      <c r="CT114" s="279" t="n"/>
      <c r="CU114" s="279" t="n"/>
    </row>
    <row r="115" ht="13.2" customHeight="1">
      <c r="CT115" s="279" t="n"/>
      <c r="CU115" s="279" t="n"/>
    </row>
    <row r="116" ht="13.2" customHeight="1">
      <c r="CT116" s="279" t="n"/>
      <c r="CU116" s="279" t="n"/>
    </row>
    <row r="117" ht="13.2" customHeight="1">
      <c r="CT117" s="279" t="n"/>
      <c r="CU117" s="279" t="n"/>
    </row>
    <row r="118" ht="13.2" customHeight="1">
      <c r="CT118" s="279" t="n"/>
      <c r="CU118" s="279" t="n"/>
    </row>
    <row r="119" ht="13.2" customHeight="1">
      <c r="CT119" s="279" t="n"/>
      <c r="CU119" s="279" t="n"/>
    </row>
    <row r="120" ht="13.2" customHeight="1">
      <c r="CT120" s="279" t="n"/>
      <c r="CU120" s="279" t="n"/>
    </row>
    <row r="121" ht="13.2" customHeight="1">
      <c r="CT121" s="279" t="n"/>
      <c r="CU121" s="279" t="n"/>
    </row>
    <row r="122" ht="13.2" customHeight="1">
      <c r="CT122" s="279" t="n"/>
      <c r="CU122" s="279" t="n"/>
    </row>
    <row r="123" ht="13.2" customHeight="1">
      <c r="CT123" s="279" t="n"/>
      <c r="CU123" s="279" t="n"/>
    </row>
    <row r="124" ht="13.2" customHeight="1">
      <c r="CT124" s="279" t="n"/>
      <c r="CU124" s="279" t="n"/>
    </row>
    <row r="125" ht="13.2" customHeight="1">
      <c r="CT125" s="279" t="n"/>
      <c r="CU125" s="279" t="n"/>
    </row>
    <row r="126" ht="13.2" customHeight="1">
      <c r="CT126" s="279" t="n"/>
      <c r="CU126" s="279" t="n"/>
    </row>
    <row r="127" ht="13.2" customHeight="1">
      <c r="CT127" s="279" t="n"/>
      <c r="CU127" s="279" t="n"/>
    </row>
    <row r="128" ht="13.2" customHeight="1">
      <c r="CT128" s="279" t="n"/>
      <c r="CU128" s="279" t="n"/>
    </row>
    <row r="129" ht="13.2" customHeight="1">
      <c r="CT129" s="279" t="n"/>
      <c r="CU129" s="279" t="n"/>
    </row>
    <row r="130" ht="13.2" customHeight="1">
      <c r="CT130" s="279" t="n"/>
      <c r="CU130" s="279" t="n"/>
    </row>
    <row r="131" ht="13.2" customHeight="1">
      <c r="CT131" s="279" t="n"/>
      <c r="CU131" s="279" t="n"/>
    </row>
    <row r="132" ht="13.2" customHeight="1">
      <c r="CT132" s="279" t="n"/>
      <c r="CU132" s="279" t="n"/>
    </row>
    <row r="133" ht="13.2" customHeight="1">
      <c r="CT133" s="279" t="n"/>
      <c r="CU133" s="279" t="n"/>
    </row>
    <row r="134" ht="13.2" customHeight="1">
      <c r="CT134" s="279" t="n"/>
      <c r="CU134" s="279" t="n"/>
    </row>
    <row r="135" ht="13.2" customHeight="1">
      <c r="CT135" s="279" t="n"/>
      <c r="CU135" s="279" t="n"/>
    </row>
    <row r="136" ht="13.2" customHeight="1">
      <c r="CT136" s="279" t="n"/>
      <c r="CU136" s="279" t="n"/>
    </row>
    <row r="137" ht="13.2" customHeight="1">
      <c r="CT137" s="279" t="n"/>
      <c r="CU137" s="279" t="n"/>
    </row>
    <row r="138" ht="13.2" customHeight="1">
      <c r="CT138" s="279" t="n"/>
      <c r="CU138" s="279" t="n"/>
    </row>
    <row r="139" ht="13.2" customHeight="1">
      <c r="CT139" s="279" t="n"/>
      <c r="CU139" s="279" t="n"/>
    </row>
    <row r="140" ht="13.2" customHeight="1">
      <c r="CT140" s="279" t="n"/>
      <c r="CU140" s="279" t="n"/>
    </row>
    <row r="141" ht="13.2" customHeight="1">
      <c r="CT141" s="279" t="n"/>
      <c r="CU141" s="279" t="n"/>
    </row>
    <row r="142" ht="13.2" customHeight="1">
      <c r="CT142" s="279" t="n"/>
      <c r="CU142" s="279" t="n"/>
    </row>
    <row r="143" ht="13.2" customHeight="1">
      <c r="CT143" s="279" t="n"/>
      <c r="CU143" s="279" t="n"/>
    </row>
    <row r="144" ht="13.2" customHeight="1">
      <c r="CT144" s="279" t="n"/>
      <c r="CU144" s="279" t="n"/>
    </row>
    <row r="145" ht="13.2" customHeight="1">
      <c r="CT145" s="279" t="n"/>
      <c r="CU145" s="279" t="n"/>
    </row>
    <row r="146" ht="13.2" customHeight="1">
      <c r="CT146" s="279" t="n"/>
      <c r="CU146" s="279" t="n"/>
    </row>
    <row r="147" ht="13.2" customHeight="1">
      <c r="CT147" s="279" t="n"/>
      <c r="CU147" s="279" t="n"/>
    </row>
    <row r="148" ht="13.2" customHeight="1">
      <c r="CT148" s="279" t="n"/>
      <c r="CU148" s="279" t="n"/>
    </row>
    <row r="149" ht="13.2" customHeight="1">
      <c r="CT149" s="279" t="n"/>
      <c r="CU149" s="279" t="n"/>
    </row>
    <row r="150" ht="13.2" customHeight="1">
      <c r="CT150" s="279" t="n"/>
      <c r="CU150" s="279" t="n"/>
    </row>
    <row r="151" ht="13.2" customHeight="1">
      <c r="CT151" s="279" t="n"/>
      <c r="CU151" s="279" t="n"/>
    </row>
    <row r="152" ht="13.2" customHeight="1">
      <c r="CT152" s="279" t="n"/>
      <c r="CU152" s="279" t="n"/>
    </row>
    <row r="153" ht="13.2" customHeight="1">
      <c r="CT153" s="279" t="n"/>
      <c r="CU153" s="279" t="n"/>
    </row>
    <row r="154" ht="13.2" customHeight="1">
      <c r="CT154" s="279" t="n"/>
      <c r="CU154" s="279" t="n"/>
    </row>
    <row r="155" ht="13.2" customHeight="1">
      <c r="CT155" s="279" t="n"/>
      <c r="CU155" s="279" t="n"/>
    </row>
    <row r="156" ht="13.2" customHeight="1">
      <c r="CT156" s="279" t="n"/>
      <c r="CU156" s="279" t="n"/>
    </row>
    <row r="157" ht="13.2" customHeight="1">
      <c r="CT157" s="279" t="n"/>
      <c r="CU157" s="279" t="n"/>
    </row>
    <row r="158" ht="13.2" customHeight="1">
      <c r="CT158" s="279" t="n"/>
      <c r="CU158" s="279" t="n"/>
    </row>
    <row r="159" ht="13.2" customHeight="1">
      <c r="CT159" s="279" t="n"/>
      <c r="CU159" s="279" t="n"/>
    </row>
    <row r="160" ht="13.2" customHeight="1">
      <c r="CT160" s="279" t="n"/>
      <c r="CU160" s="279" t="n"/>
    </row>
    <row r="161" ht="13.2" customHeight="1">
      <c r="CT161" s="279" t="n"/>
      <c r="CU161" s="279" t="n"/>
    </row>
    <row r="162" ht="13.2" customHeight="1">
      <c r="CT162" s="279" t="n"/>
      <c r="CU162" s="279" t="n"/>
    </row>
    <row r="163" ht="13.2" customHeight="1">
      <c r="CT163" s="279" t="n"/>
      <c r="CU163" s="279" t="n"/>
    </row>
    <row r="164" ht="13.2" customHeight="1">
      <c r="CT164" s="279" t="n"/>
      <c r="CU164" s="279" t="n"/>
    </row>
    <row r="165" ht="13.2" customHeight="1">
      <c r="CT165" s="279" t="n"/>
      <c r="CU165" s="279" t="n"/>
    </row>
    <row r="166" ht="13.2" customHeight="1">
      <c r="CT166" s="279" t="n"/>
      <c r="CU166" s="279" t="n"/>
    </row>
    <row r="167" ht="13.2" customHeight="1">
      <c r="CT167" s="279" t="n"/>
      <c r="CU167" s="279" t="n"/>
    </row>
    <row r="168" ht="13.2" customHeight="1">
      <c r="CT168" s="279" t="n"/>
      <c r="CU168" s="279" t="n"/>
    </row>
    <row r="169" ht="13.2" customHeight="1">
      <c r="CT169" s="279" t="n"/>
      <c r="CU169" s="279" t="n"/>
    </row>
    <row r="170" ht="13.2" customHeight="1">
      <c r="CT170" s="279" t="n"/>
      <c r="CU170" s="279" t="n"/>
    </row>
    <row r="171" ht="13.2" customHeight="1">
      <c r="CT171" s="279" t="n"/>
      <c r="CU171" s="279" t="n"/>
    </row>
    <row r="172" ht="13.2" customHeight="1">
      <c r="CT172" s="279" t="n"/>
      <c r="CU172" s="279" t="n"/>
    </row>
    <row r="173" ht="13.2" customHeight="1">
      <c r="CT173" s="279" t="n"/>
      <c r="CU173" s="279" t="n"/>
    </row>
    <row r="174" ht="13.2" customHeight="1">
      <c r="CT174" s="279" t="n"/>
      <c r="CU174" s="279" t="n"/>
    </row>
    <row r="175" ht="13.2" customHeight="1">
      <c r="CT175" s="279" t="n"/>
      <c r="CU175" s="279" t="n"/>
    </row>
    <row r="176" ht="13.2" customHeight="1">
      <c r="CT176" s="279" t="n"/>
      <c r="CU176" s="279" t="n"/>
    </row>
    <row r="177" ht="13.2" customHeight="1">
      <c r="CT177" s="279" t="n"/>
      <c r="CU177" s="279" t="n"/>
    </row>
    <row r="178" ht="13.2" customHeight="1">
      <c r="CT178" s="279" t="n"/>
      <c r="CU178" s="279" t="n"/>
    </row>
    <row r="179" ht="13.2" customHeight="1">
      <c r="CT179" s="279" t="n"/>
      <c r="CU179" s="279" t="n"/>
    </row>
    <row r="180" ht="13.2" customHeight="1">
      <c r="CT180" s="279" t="n"/>
      <c r="CU180" s="279" t="n"/>
    </row>
    <row r="181" ht="13.2" customHeight="1">
      <c r="CT181" s="279" t="n"/>
      <c r="CU181" s="279" t="n"/>
    </row>
    <row r="182" ht="13.2" customHeight="1">
      <c r="CT182" s="279" t="n"/>
      <c r="CU182" s="279" t="n"/>
    </row>
    <row r="183" ht="13.2" customHeight="1">
      <c r="CT183" s="279" t="n"/>
      <c r="CU183" s="279" t="n"/>
    </row>
    <row r="184" ht="13.2" customHeight="1">
      <c r="CT184" s="279" t="n"/>
      <c r="CU184" s="279" t="n"/>
    </row>
    <row r="185" ht="13.2" customHeight="1">
      <c r="CT185" s="279" t="n"/>
      <c r="CU185" s="279" t="n"/>
    </row>
    <row r="186" ht="13.2" customHeight="1">
      <c r="CT186" s="279" t="n"/>
      <c r="CU186" s="279" t="n"/>
    </row>
    <row r="187" ht="13.2" customHeight="1">
      <c r="CT187" s="279" t="n"/>
      <c r="CU187" s="279" t="n"/>
    </row>
    <row r="188" ht="13.2" customHeight="1">
      <c r="CT188" s="279" t="n"/>
      <c r="CU188" s="279" t="n"/>
    </row>
    <row r="189" ht="13.2" customHeight="1">
      <c r="CT189" s="279" t="n"/>
      <c r="CU189" s="279" t="n"/>
    </row>
    <row r="190" ht="13.2" customHeight="1">
      <c r="CT190" s="279" t="n"/>
      <c r="CU190" s="279" t="n"/>
    </row>
    <row r="191" ht="13.2" customHeight="1">
      <c r="CT191" s="279" t="n"/>
      <c r="CU191" s="279" t="n"/>
    </row>
    <row r="192" ht="13.2" customHeight="1">
      <c r="CT192" s="279" t="n"/>
      <c r="CU192" s="279" t="n"/>
    </row>
    <row r="193" ht="13.2" customHeight="1">
      <c r="CT193" s="279" t="n"/>
      <c r="CU193" s="279" t="n"/>
    </row>
    <row r="194" ht="13.2" customHeight="1">
      <c r="CT194" s="279" t="n"/>
      <c r="CU194" s="279" t="n"/>
    </row>
    <row r="195" ht="13.2" customHeight="1">
      <c r="CT195" s="279" t="n"/>
      <c r="CU195" s="279" t="n"/>
    </row>
    <row r="196" ht="13.2" customHeight="1">
      <c r="CT196" s="279" t="n"/>
      <c r="CU196" s="279" t="n"/>
    </row>
    <row r="197" ht="13.2" customHeight="1">
      <c r="CT197" s="279" t="n"/>
      <c r="CU197" s="279" t="n"/>
    </row>
    <row r="198" ht="13.2" customHeight="1">
      <c r="CT198" s="279" t="n"/>
      <c r="CU198" s="279" t="n"/>
    </row>
    <row r="199" ht="13.2" customHeight="1">
      <c r="CT199" s="279" t="n"/>
      <c r="CU199" s="279" t="n"/>
    </row>
    <row r="200" ht="13.2" customHeight="1">
      <c r="CT200" s="279" t="n"/>
      <c r="CU200" s="279" t="n"/>
    </row>
    <row r="201" ht="13.2" customHeight="1">
      <c r="CT201" s="279" t="n"/>
      <c r="CU201" s="279" t="n"/>
    </row>
    <row r="202" ht="13.2" customHeight="1">
      <c r="CT202" s="279" t="n"/>
      <c r="CU202" s="279" t="n"/>
    </row>
    <row r="203" ht="13.2" customHeight="1">
      <c r="CT203" s="279" t="n"/>
      <c r="CU203" s="279" t="n"/>
    </row>
    <row r="204" ht="13.2" customHeight="1">
      <c r="CT204" s="279" t="n"/>
      <c r="CU204" s="279" t="n"/>
    </row>
    <row r="205" ht="13.2" customHeight="1">
      <c r="CT205" s="279" t="n"/>
      <c r="CU205" s="279" t="n"/>
    </row>
    <row r="206" ht="13.2" customHeight="1">
      <c r="CT206" s="279" t="n"/>
      <c r="CU206" s="279" t="n"/>
    </row>
    <row r="207" ht="13.2" customHeight="1">
      <c r="CT207" s="279" t="n"/>
      <c r="CU207" s="279" t="n"/>
    </row>
    <row r="208" ht="13.2" customHeight="1">
      <c r="CT208" s="279" t="n"/>
      <c r="CU208" s="279" t="n"/>
    </row>
    <row r="209" ht="13.2" customHeight="1">
      <c r="CT209" s="279" t="n"/>
      <c r="CU209" s="279" t="n"/>
    </row>
    <row r="210" ht="13.2" customHeight="1">
      <c r="CT210" s="279" t="n"/>
      <c r="CU210" s="279" t="n"/>
    </row>
    <row r="211" ht="13.2" customHeight="1">
      <c r="CT211" s="279" t="n"/>
      <c r="CU211" s="279" t="n"/>
    </row>
    <row r="212" ht="13.2" customHeight="1">
      <c r="CT212" s="279" t="n"/>
      <c r="CU212" s="279" t="n"/>
    </row>
    <row r="213" ht="13.2" customHeight="1">
      <c r="CT213" s="279" t="n"/>
      <c r="CU213" s="279" t="n"/>
    </row>
    <row r="214" ht="13.2" customHeight="1">
      <c r="CT214" s="279" t="n"/>
      <c r="CU214" s="279" t="n"/>
    </row>
    <row r="215" ht="13.2" customHeight="1">
      <c r="CT215" s="279" t="n"/>
      <c r="CU215" s="279" t="n"/>
    </row>
    <row r="216" ht="13.2" customHeight="1">
      <c r="CT216" s="279" t="n"/>
      <c r="CU216" s="279" t="n"/>
    </row>
    <row r="217" ht="13.2" customHeight="1">
      <c r="CT217" s="279" t="n"/>
      <c r="CU217" s="279" t="n"/>
    </row>
    <row r="218" ht="13.2" customHeight="1">
      <c r="CT218" s="279" t="n"/>
      <c r="CU218" s="279" t="n"/>
    </row>
    <row r="219" ht="13.2" customHeight="1">
      <c r="CT219" s="279" t="n"/>
      <c r="CU219" s="279" t="n"/>
    </row>
    <row r="220" ht="13.2" customHeight="1">
      <c r="CT220" s="279" t="n"/>
      <c r="CU220" s="279" t="n"/>
    </row>
    <row r="221" ht="13.2" customHeight="1">
      <c r="CT221" s="279" t="n"/>
      <c r="CU221" s="279" t="n"/>
    </row>
    <row r="222" ht="13.2" customHeight="1">
      <c r="CT222" s="279" t="n"/>
      <c r="CU222" s="279" t="n"/>
    </row>
    <row r="223" ht="13.2" customHeight="1">
      <c r="CT223" s="279" t="n"/>
      <c r="CU223" s="279" t="n"/>
    </row>
    <row r="224" ht="13.2" customHeight="1">
      <c r="CT224" s="279" t="n"/>
      <c r="CU224" s="279" t="n"/>
    </row>
    <row r="225" ht="13.2" customHeight="1">
      <c r="CT225" s="279" t="n"/>
      <c r="CU225" s="279" t="n"/>
    </row>
    <row r="226" ht="13.2" customHeight="1">
      <c r="CT226" s="279" t="n"/>
      <c r="CU226" s="279" t="n"/>
    </row>
    <row r="227" ht="13.2" customHeight="1">
      <c r="CT227" s="279" t="n"/>
      <c r="CU227" s="279" t="n"/>
    </row>
    <row r="228" ht="13.2" customHeight="1">
      <c r="CT228" s="279" t="n"/>
      <c r="CU228" s="279" t="n"/>
    </row>
    <row r="229" ht="13.2" customHeight="1">
      <c r="CT229" s="279" t="n"/>
      <c r="CU229" s="279" t="n"/>
    </row>
    <row r="230" ht="13.2" customHeight="1">
      <c r="CT230" s="279" t="n"/>
      <c r="CU230" s="279" t="n"/>
    </row>
    <row r="231" ht="13.2" customHeight="1">
      <c r="CT231" s="279" t="n"/>
      <c r="CU231" s="279" t="n"/>
    </row>
    <row r="232" ht="13.2" customHeight="1">
      <c r="CT232" s="279" t="n"/>
      <c r="CU232" s="279" t="n"/>
    </row>
    <row r="233" ht="13.2" customHeight="1">
      <c r="CT233" s="279" t="n"/>
      <c r="CU233" s="279" t="n"/>
    </row>
    <row r="234" ht="13.2" customHeight="1">
      <c r="CT234" s="279" t="n"/>
      <c r="CU234" s="279" t="n"/>
    </row>
    <row r="235" ht="13.2" customHeight="1">
      <c r="CT235" s="279" t="n"/>
      <c r="CU235" s="279" t="n"/>
    </row>
    <row r="236" ht="13.2" customHeight="1">
      <c r="CT236" s="279" t="n"/>
      <c r="CU236" s="279" t="n"/>
    </row>
    <row r="237" ht="13.2" customHeight="1">
      <c r="CT237" s="279" t="n"/>
      <c r="CU237" s="279" t="n"/>
    </row>
    <row r="238" ht="13.2" customHeight="1">
      <c r="CT238" s="279" t="n"/>
      <c r="CU238" s="279" t="n"/>
    </row>
    <row r="239" ht="13.2" customHeight="1">
      <c r="CT239" s="279" t="n"/>
      <c r="CU239" s="279" t="n"/>
    </row>
    <row r="240" ht="13.2" customHeight="1">
      <c r="CT240" s="279" t="n"/>
      <c r="CU240" s="279" t="n"/>
    </row>
    <row r="241" ht="13.2" customHeight="1">
      <c r="CT241" s="279" t="n"/>
      <c r="CU241" s="279" t="n"/>
    </row>
    <row r="242" ht="13.2" customHeight="1">
      <c r="CT242" s="279" t="n"/>
      <c r="CU242" s="279" t="n"/>
    </row>
    <row r="243" ht="13.2" customHeight="1">
      <c r="CT243" s="279" t="n"/>
      <c r="CU243" s="279" t="n"/>
    </row>
    <row r="244" ht="13.2" customHeight="1">
      <c r="CT244" s="279" t="n"/>
      <c r="CU244" s="279" t="n"/>
    </row>
    <row r="245" ht="13.2" customHeight="1">
      <c r="CT245" s="279" t="n"/>
      <c r="CU245" s="279" t="n"/>
    </row>
    <row r="246" ht="13.2" customHeight="1">
      <c r="CT246" s="279" t="n"/>
      <c r="CU246" s="279" t="n"/>
    </row>
    <row r="247" ht="13.2" customHeight="1">
      <c r="CT247" s="279" t="n"/>
      <c r="CU247" s="279" t="n"/>
    </row>
    <row r="248" ht="13.2" customHeight="1">
      <c r="CT248" s="279" t="n"/>
      <c r="CU248" s="279" t="n"/>
    </row>
    <row r="249" ht="13.2" customHeight="1">
      <c r="CT249" s="279" t="n"/>
      <c r="CU249" s="279" t="n"/>
    </row>
    <row r="250" ht="13.2" customHeight="1">
      <c r="CT250" s="279" t="n"/>
      <c r="CU250" s="279" t="n"/>
    </row>
    <row r="251" ht="13.2" customHeight="1">
      <c r="CT251" s="279" t="n"/>
      <c r="CU251" s="279" t="n"/>
    </row>
    <row r="252" ht="13.2" customHeight="1">
      <c r="CT252" s="279" t="n"/>
      <c r="CU252" s="279" t="n"/>
    </row>
    <row r="253" ht="13.2" customHeight="1">
      <c r="CT253" s="279" t="n"/>
      <c r="CU253" s="279" t="n"/>
    </row>
    <row r="254" ht="13.2" customHeight="1">
      <c r="CT254" s="279" t="n"/>
      <c r="CU254" s="279" t="n"/>
    </row>
    <row r="255" ht="13.2" customHeight="1">
      <c r="CT255" s="279" t="n"/>
      <c r="CU255" s="279" t="n"/>
    </row>
    <row r="256" ht="13.2" customHeight="1">
      <c r="CT256" s="279" t="n"/>
      <c r="CU256" s="279" t="n"/>
    </row>
    <row r="257" ht="13.2" customHeight="1">
      <c r="CT257" s="279" t="n"/>
      <c r="CU257" s="279" t="n"/>
    </row>
    <row r="258" ht="13.2" customHeight="1">
      <c r="CT258" s="279" t="n"/>
      <c r="CU258" s="279" t="n"/>
    </row>
    <row r="259" ht="13.2" customHeight="1">
      <c r="CT259" s="279" t="n"/>
      <c r="CU259" s="279" t="n"/>
    </row>
    <row r="260" ht="13.2" customHeight="1">
      <c r="CT260" s="279" t="n"/>
      <c r="CU260" s="279" t="n"/>
    </row>
    <row r="261" ht="13.2" customHeight="1">
      <c r="CT261" s="279" t="n"/>
      <c r="CU261" s="279" t="n"/>
    </row>
    <row r="262" ht="13.2" customHeight="1">
      <c r="CT262" s="279" t="n"/>
      <c r="CU262" s="279" t="n"/>
    </row>
    <row r="263" ht="13.2" customHeight="1">
      <c r="CT263" s="279" t="n"/>
      <c r="CU263" s="279" t="n"/>
    </row>
    <row r="264" ht="13.2" customHeight="1">
      <c r="CT264" s="279" t="n"/>
      <c r="CU264" s="279" t="n"/>
    </row>
    <row r="265" ht="13.2" customHeight="1">
      <c r="CT265" s="279" t="n"/>
      <c r="CU265" s="279" t="n"/>
    </row>
    <row r="266" ht="13.2" customHeight="1">
      <c r="CT266" s="279" t="n"/>
      <c r="CU266" s="279" t="n"/>
    </row>
    <row r="267" ht="13.2" customHeight="1">
      <c r="CT267" s="279" t="n"/>
      <c r="CU267" s="279" t="n"/>
    </row>
    <row r="268" ht="13.2" customHeight="1">
      <c r="CT268" s="279" t="n"/>
      <c r="CU268" s="279" t="n"/>
    </row>
    <row r="269" ht="13.2" customHeight="1">
      <c r="CT269" s="279" t="n"/>
      <c r="CU269" s="279" t="n"/>
    </row>
    <row r="270" ht="13.2" customHeight="1">
      <c r="CT270" s="279" t="n"/>
      <c r="CU270" s="279" t="n"/>
    </row>
    <row r="271" ht="13.2" customHeight="1">
      <c r="CT271" s="279" t="n"/>
      <c r="CU271" s="279" t="n"/>
    </row>
    <row r="272" ht="13.2" customHeight="1">
      <c r="CT272" s="279" t="n"/>
      <c r="CU272" s="279" t="n"/>
    </row>
    <row r="273" ht="13.2" customHeight="1">
      <c r="CT273" s="279" t="n"/>
      <c r="CU273" s="279" t="n"/>
    </row>
    <row r="274" ht="13.2" customHeight="1">
      <c r="CT274" s="279" t="n"/>
      <c r="CU274" s="279" t="n"/>
    </row>
    <row r="275" ht="13.2" customHeight="1">
      <c r="CT275" s="279" t="n"/>
      <c r="CU275" s="279" t="n"/>
    </row>
    <row r="276" ht="13.2" customHeight="1">
      <c r="CT276" s="279" t="n"/>
      <c r="CU276" s="279" t="n"/>
    </row>
    <row r="277" ht="13.2" customHeight="1">
      <c r="CT277" s="279" t="n"/>
      <c r="CU277" s="279" t="n"/>
    </row>
    <row r="278" ht="13.2" customHeight="1">
      <c r="CT278" s="279" t="n"/>
      <c r="CU278" s="279" t="n"/>
    </row>
    <row r="279" ht="13.2" customHeight="1">
      <c r="CT279" s="279" t="n"/>
      <c r="CU279" s="279" t="n"/>
    </row>
    <row r="280" ht="13.2" customHeight="1">
      <c r="CT280" s="279" t="n"/>
      <c r="CU280" s="279" t="n"/>
    </row>
    <row r="281" ht="13.2" customHeight="1">
      <c r="CT281" s="279" t="n"/>
      <c r="CU281" s="279" t="n"/>
    </row>
    <row r="282" ht="13.2" customHeight="1">
      <c r="CT282" s="279" t="n"/>
      <c r="CU282" s="279" t="n"/>
    </row>
    <row r="283" ht="13.2" customHeight="1">
      <c r="CT283" s="279" t="n"/>
      <c r="CU283" s="279" t="n"/>
    </row>
    <row r="284" ht="13.2" customHeight="1">
      <c r="CT284" s="279" t="n"/>
      <c r="CU284" s="279" t="n"/>
    </row>
    <row r="285" ht="13.2" customHeight="1">
      <c r="CT285" s="279" t="n"/>
      <c r="CU285" s="279" t="n"/>
    </row>
    <row r="286" ht="13.2" customHeight="1">
      <c r="CT286" s="279" t="n"/>
      <c r="CU286" s="279" t="n"/>
    </row>
    <row r="287" ht="13.2" customHeight="1">
      <c r="CT287" s="279" t="n"/>
      <c r="CU287" s="279" t="n"/>
    </row>
    <row r="288" ht="13.2" customHeight="1">
      <c r="CT288" s="279" t="n"/>
      <c r="CU288" s="279" t="n"/>
    </row>
    <row r="289" ht="13.2" customHeight="1">
      <c r="CT289" s="279" t="n"/>
      <c r="CU289" s="279" t="n"/>
    </row>
    <row r="290" ht="13.2" customHeight="1">
      <c r="CT290" s="279" t="n"/>
      <c r="CU290" s="279" t="n"/>
    </row>
    <row r="291" ht="13.2" customHeight="1">
      <c r="CT291" s="279" t="n"/>
      <c r="CU291" s="279" t="n"/>
    </row>
    <row r="292" ht="13.2" customHeight="1">
      <c r="CT292" s="279" t="n"/>
      <c r="CU292" s="279" t="n"/>
    </row>
    <row r="293" ht="13.2" customHeight="1">
      <c r="CT293" s="279" t="n"/>
      <c r="CU293" s="279" t="n"/>
    </row>
    <row r="294" ht="13.2" customHeight="1">
      <c r="CT294" s="279" t="n"/>
      <c r="CU294" s="279" t="n"/>
    </row>
    <row r="295" ht="13.2" customHeight="1">
      <c r="CT295" s="279" t="n"/>
      <c r="CU295" s="279" t="n"/>
    </row>
    <row r="296" ht="13.2" customHeight="1">
      <c r="CT296" s="279" t="n"/>
      <c r="CU296" s="279" t="n"/>
    </row>
    <row r="297" ht="13.2" customHeight="1">
      <c r="CT297" s="279" t="n"/>
      <c r="CU297" s="279" t="n"/>
    </row>
    <row r="298" ht="13.2" customHeight="1">
      <c r="CT298" s="279" t="n"/>
      <c r="CU298" s="279" t="n"/>
    </row>
    <row r="299" ht="13.2" customHeight="1">
      <c r="CT299" s="279" t="n"/>
      <c r="CU299" s="279" t="n"/>
    </row>
    <row r="300" ht="13.2" customHeight="1">
      <c r="CT300" s="279" t="n"/>
      <c r="CU300" s="279" t="n"/>
    </row>
    <row r="301" ht="13.2" customHeight="1">
      <c r="CT301" s="279" t="n"/>
      <c r="CU301" s="279" t="n"/>
    </row>
    <row r="302" ht="13.2" customHeight="1">
      <c r="CT302" s="279" t="n"/>
      <c r="CU302" s="279" t="n"/>
    </row>
    <row r="303" ht="13.2" customHeight="1">
      <c r="CT303" s="279" t="n"/>
      <c r="CU303" s="279" t="n"/>
    </row>
    <row r="304" ht="13.2" customHeight="1">
      <c r="CT304" s="279" t="n"/>
      <c r="CU304" s="279" t="n"/>
    </row>
    <row r="305" ht="13.2" customHeight="1">
      <c r="CT305" s="279" t="n"/>
      <c r="CU305" s="279" t="n"/>
    </row>
    <row r="306" ht="13.2" customHeight="1">
      <c r="CT306" s="279" t="n"/>
      <c r="CU306" s="279" t="n"/>
    </row>
    <row r="307" ht="13.2" customHeight="1">
      <c r="CT307" s="279" t="n"/>
      <c r="CU307" s="279" t="n"/>
    </row>
    <row r="308" ht="13.2" customHeight="1">
      <c r="CT308" s="279" t="n"/>
      <c r="CU308" s="279" t="n"/>
    </row>
    <row r="309" ht="13.2" customHeight="1">
      <c r="CT309" s="279" t="n"/>
      <c r="CU309" s="279" t="n"/>
    </row>
    <row r="310" ht="13.2" customHeight="1">
      <c r="CT310" s="279" t="n"/>
      <c r="CU310" s="279" t="n"/>
    </row>
    <row r="311" ht="13.2" customHeight="1">
      <c r="CT311" s="279" t="n"/>
      <c r="CU311" s="279" t="n"/>
    </row>
    <row r="312" ht="13.2" customHeight="1">
      <c r="CT312" s="279" t="n"/>
      <c r="CU312" s="279" t="n"/>
    </row>
    <row r="313" ht="13.2" customHeight="1">
      <c r="CT313" s="279" t="n"/>
      <c r="CU313" s="279" t="n"/>
    </row>
    <row r="314" ht="13.2" customHeight="1">
      <c r="CT314" s="279" t="n"/>
      <c r="CU314" s="279" t="n"/>
    </row>
    <row r="315" ht="13.2" customHeight="1">
      <c r="CT315" s="279" t="n"/>
      <c r="CU315" s="279" t="n"/>
    </row>
    <row r="316" ht="13.2" customHeight="1">
      <c r="CT316" s="279" t="n"/>
      <c r="CU316" s="279" t="n"/>
    </row>
    <row r="317" ht="13.2" customHeight="1">
      <c r="CT317" s="279" t="n"/>
      <c r="CU317" s="279" t="n"/>
    </row>
    <row r="318" ht="13.2" customHeight="1">
      <c r="CT318" s="279" t="n"/>
      <c r="CU318" s="279" t="n"/>
    </row>
    <row r="319" ht="13.2" customHeight="1">
      <c r="CT319" s="279" t="n"/>
      <c r="CU319" s="279" t="n"/>
    </row>
    <row r="320" ht="13.2" customHeight="1">
      <c r="CT320" s="279" t="n"/>
      <c r="CU320" s="279" t="n"/>
    </row>
    <row r="321" ht="13.2" customHeight="1">
      <c r="CT321" s="279" t="n"/>
      <c r="CU321" s="279" t="n"/>
    </row>
    <row r="322" ht="13.2" customHeight="1">
      <c r="CT322" s="279" t="n"/>
      <c r="CU322" s="279" t="n"/>
    </row>
    <row r="323" ht="13.2" customHeight="1">
      <c r="CT323" s="279" t="n"/>
      <c r="CU323" s="279" t="n"/>
    </row>
    <row r="324" ht="13.2" customHeight="1">
      <c r="CT324" s="279" t="n"/>
      <c r="CU324" s="279" t="n"/>
    </row>
    <row r="325" ht="13.2" customHeight="1">
      <c r="CT325" s="279" t="n"/>
      <c r="CU325" s="279" t="n"/>
    </row>
    <row r="326" ht="13.2" customHeight="1">
      <c r="CT326" s="279" t="n"/>
      <c r="CU326" s="279" t="n"/>
    </row>
    <row r="327" ht="13.2" customHeight="1">
      <c r="CT327" s="279" t="n"/>
      <c r="CU327" s="279" t="n"/>
    </row>
    <row r="328" ht="13.2" customHeight="1">
      <c r="CT328" s="279" t="n"/>
      <c r="CU328" s="279" t="n"/>
    </row>
    <row r="329" ht="13.2" customHeight="1">
      <c r="CT329" s="279" t="n"/>
      <c r="CU329" s="279" t="n"/>
    </row>
    <row r="330" ht="13.2" customHeight="1">
      <c r="CT330" s="279" t="n"/>
      <c r="CU330" s="279" t="n"/>
    </row>
    <row r="331" ht="13.2" customHeight="1">
      <c r="CT331" s="279" t="n"/>
      <c r="CU331" s="279" t="n"/>
    </row>
    <row r="332" ht="13.2" customHeight="1">
      <c r="CT332" s="279" t="n"/>
      <c r="CU332" s="279" t="n"/>
    </row>
    <row r="333" ht="13.2" customHeight="1">
      <c r="CT333" s="279" t="n"/>
      <c r="CU333" s="279" t="n"/>
    </row>
    <row r="334" ht="13.2" customHeight="1">
      <c r="CT334" s="279" t="n"/>
      <c r="CU334" s="279" t="n"/>
    </row>
    <row r="335" ht="13.2" customHeight="1">
      <c r="CT335" s="279" t="n"/>
      <c r="CU335" s="279" t="n"/>
    </row>
    <row r="336" ht="13.2" customHeight="1">
      <c r="CT336" s="279" t="n"/>
      <c r="CU336" s="279" t="n"/>
    </row>
    <row r="337" ht="13.2" customHeight="1">
      <c r="CT337" s="279" t="n"/>
      <c r="CU337" s="279" t="n"/>
    </row>
    <row r="338" ht="13.2" customHeight="1">
      <c r="CT338" s="279" t="n"/>
      <c r="CU338" s="279" t="n"/>
    </row>
    <row r="339" ht="13.2" customHeight="1">
      <c r="CT339" s="279" t="n"/>
      <c r="CU339" s="279" t="n"/>
    </row>
    <row r="340" ht="13.2" customHeight="1">
      <c r="CT340" s="279" t="n"/>
      <c r="CU340" s="279" t="n"/>
    </row>
    <row r="341" ht="13.2" customHeight="1">
      <c r="CT341" s="279" t="n"/>
      <c r="CU341" s="279" t="n"/>
    </row>
    <row r="342" ht="13.2" customHeight="1">
      <c r="CT342" s="279" t="n"/>
      <c r="CU342" s="279" t="n"/>
    </row>
    <row r="343" ht="13.2" customHeight="1">
      <c r="CT343" s="279" t="n"/>
      <c r="CU343" s="279" t="n"/>
    </row>
    <row r="344" ht="13.2" customHeight="1">
      <c r="CT344" s="279" t="n"/>
      <c r="CU344" s="279" t="n"/>
    </row>
    <row r="345" ht="13.2" customHeight="1">
      <c r="CT345" s="279" t="n"/>
      <c r="CU345" s="279" t="n"/>
    </row>
    <row r="346" ht="13.2" customHeight="1">
      <c r="CT346" s="279" t="n"/>
      <c r="CU346" s="279" t="n"/>
    </row>
    <row r="347" ht="13.2" customHeight="1">
      <c r="CT347" s="279" t="n"/>
      <c r="CU347" s="279" t="n"/>
    </row>
    <row r="348" ht="13.2" customHeight="1">
      <c r="CT348" s="279" t="n"/>
      <c r="CU348" s="279" t="n"/>
    </row>
    <row r="349" ht="13.2" customHeight="1">
      <c r="CT349" s="279" t="n"/>
      <c r="CU349" s="279" t="n"/>
    </row>
    <row r="350" ht="13.2" customHeight="1">
      <c r="CT350" s="279" t="n"/>
      <c r="CU350" s="279" t="n"/>
    </row>
    <row r="351" ht="13.2" customHeight="1">
      <c r="CT351" s="279" t="n"/>
      <c r="CU351" s="279" t="n"/>
    </row>
    <row r="352" ht="13.2" customHeight="1">
      <c r="CT352" s="279" t="n"/>
      <c r="CU352" s="279" t="n"/>
    </row>
    <row r="353" ht="13.2" customHeight="1">
      <c r="CT353" s="279" t="n"/>
      <c r="CU353" s="279" t="n"/>
    </row>
    <row r="354" ht="13.2" customHeight="1">
      <c r="CT354" s="279" t="n"/>
      <c r="CU354" s="279" t="n"/>
    </row>
    <row r="355" ht="13.2" customHeight="1">
      <c r="CT355" s="279" t="n"/>
      <c r="CU355" s="279" t="n"/>
    </row>
    <row r="356" ht="13.2" customHeight="1">
      <c r="CT356" s="279" t="n"/>
      <c r="CU356" s="279" t="n"/>
    </row>
    <row r="357" ht="13.2" customHeight="1">
      <c r="CT357" s="279" t="n"/>
      <c r="CU357" s="279" t="n"/>
    </row>
    <row r="358" ht="13.2" customHeight="1">
      <c r="CT358" s="279" t="n"/>
      <c r="CU358" s="279" t="n"/>
    </row>
    <row r="359" ht="13.2" customHeight="1">
      <c r="CT359" s="279" t="n"/>
      <c r="CU359" s="279" t="n"/>
    </row>
    <row r="360" ht="13.2" customHeight="1">
      <c r="CT360" s="279" t="n"/>
      <c r="CU360" s="279" t="n"/>
    </row>
    <row r="361" ht="13.2" customHeight="1">
      <c r="CT361" s="279" t="n"/>
      <c r="CU361" s="279" t="n"/>
    </row>
    <row r="362" ht="13.2" customHeight="1">
      <c r="CT362" s="279" t="n"/>
      <c r="CU362" s="279" t="n"/>
    </row>
    <row r="363" ht="13.2" customHeight="1">
      <c r="CT363" s="279" t="n"/>
      <c r="CU363" s="279" t="n"/>
    </row>
    <row r="364" ht="13.2" customHeight="1">
      <c r="CT364" s="279" t="n"/>
      <c r="CU364" s="279" t="n"/>
    </row>
    <row r="365" ht="13.2" customHeight="1">
      <c r="CT365" s="279" t="n"/>
      <c r="CU365" s="279" t="n"/>
    </row>
    <row r="366" ht="13.2" customHeight="1">
      <c r="CT366" s="279" t="n"/>
      <c r="CU366" s="279" t="n"/>
    </row>
    <row r="367" ht="13.2" customHeight="1">
      <c r="CT367" s="279" t="n"/>
      <c r="CU367" s="279" t="n"/>
    </row>
    <row r="368" ht="13.2" customHeight="1">
      <c r="CT368" s="279" t="n"/>
      <c r="CU368" s="279" t="n"/>
    </row>
    <row r="369" ht="13.2" customHeight="1">
      <c r="CT369" s="279" t="n"/>
      <c r="CU369" s="279" t="n"/>
    </row>
    <row r="370" ht="13.2" customHeight="1">
      <c r="CT370" s="279" t="n"/>
      <c r="CU370" s="279" t="n"/>
    </row>
    <row r="371" ht="13.2" customHeight="1">
      <c r="CT371" s="279" t="n"/>
      <c r="CU371" s="279" t="n"/>
    </row>
    <row r="372" ht="13.2" customHeight="1">
      <c r="CT372" s="279" t="n"/>
      <c r="CU372" s="279" t="n"/>
    </row>
    <row r="373" ht="13.2" customHeight="1">
      <c r="CT373" s="279" t="n"/>
      <c r="CU373" s="279" t="n"/>
    </row>
    <row r="374" ht="13.2" customHeight="1">
      <c r="CT374" s="279" t="n"/>
      <c r="CU374" s="279" t="n"/>
    </row>
    <row r="375" ht="13.2" customHeight="1">
      <c r="CT375" s="279" t="n"/>
      <c r="CU375" s="279" t="n"/>
    </row>
    <row r="376" ht="13.2" customHeight="1">
      <c r="CT376" s="279" t="n"/>
      <c r="CU376" s="279" t="n"/>
    </row>
    <row r="377" ht="13.2" customHeight="1">
      <c r="CT377" s="279" t="n"/>
      <c r="CU377" s="279" t="n"/>
    </row>
    <row r="378" ht="13.2" customHeight="1">
      <c r="CT378" s="279" t="n"/>
      <c r="CU378" s="279" t="n"/>
    </row>
    <row r="379" ht="13.2" customHeight="1">
      <c r="CT379" s="279" t="n"/>
      <c r="CU379" s="279" t="n"/>
    </row>
    <row r="380" ht="13.2" customHeight="1">
      <c r="CT380" s="279" t="n"/>
      <c r="CU380" s="279" t="n"/>
    </row>
    <row r="381" ht="13.2" customHeight="1">
      <c r="CT381" s="279" t="n"/>
      <c r="CU381" s="279" t="n"/>
    </row>
    <row r="382" ht="13.2" customHeight="1">
      <c r="CT382" s="279" t="n"/>
      <c r="CU382" s="279" t="n"/>
    </row>
    <row r="383" ht="13.2" customHeight="1">
      <c r="CT383" s="279" t="n"/>
      <c r="CU383" s="279" t="n"/>
    </row>
    <row r="384" ht="13.2" customHeight="1">
      <c r="CT384" s="279" t="n"/>
      <c r="CU384" s="279" t="n"/>
    </row>
    <row r="385" ht="13.2" customHeight="1">
      <c r="CT385" s="279" t="n"/>
      <c r="CU385" s="279" t="n"/>
    </row>
    <row r="386" ht="13.2" customHeight="1">
      <c r="CT386" s="279" t="n"/>
      <c r="CU386" s="279" t="n"/>
    </row>
    <row r="387" ht="13.2" customHeight="1">
      <c r="CT387" s="279" t="n"/>
      <c r="CU387" s="279" t="n"/>
    </row>
    <row r="388" ht="13.2" customHeight="1">
      <c r="CT388" s="279" t="n"/>
      <c r="CU388" s="279" t="n"/>
    </row>
    <row r="389" ht="13.2" customHeight="1">
      <c r="CT389" s="279" t="n"/>
      <c r="CU389" s="279" t="n"/>
    </row>
    <row r="390" ht="13.2" customHeight="1">
      <c r="CT390" s="279" t="n"/>
      <c r="CU390" s="279" t="n"/>
    </row>
    <row r="391" ht="13.2" customHeight="1">
      <c r="CT391" s="279" t="n"/>
      <c r="CU391" s="279" t="n"/>
    </row>
    <row r="392" ht="13.2" customHeight="1">
      <c r="CT392" s="279" t="n"/>
      <c r="CU392" s="279" t="n"/>
    </row>
    <row r="393" ht="13.2" customHeight="1">
      <c r="CT393" s="279" t="n"/>
      <c r="CU393" s="279" t="n"/>
    </row>
    <row r="394" ht="13.2" customHeight="1">
      <c r="CT394" s="279" t="n"/>
      <c r="CU394" s="279" t="n"/>
    </row>
    <row r="395" ht="13.2" customHeight="1">
      <c r="CT395" s="279" t="n"/>
      <c r="CU395" s="279" t="n"/>
    </row>
    <row r="396" ht="13.2" customHeight="1">
      <c r="CT396" s="279" t="n"/>
      <c r="CU396" s="279" t="n"/>
    </row>
    <row r="397" ht="13.2" customHeight="1">
      <c r="CT397" s="279" t="n"/>
      <c r="CU397" s="279" t="n"/>
    </row>
    <row r="398" ht="13.2" customHeight="1">
      <c r="CT398" s="279" t="n"/>
      <c r="CU398" s="279" t="n"/>
    </row>
    <row r="399" ht="13.2" customHeight="1">
      <c r="CT399" s="279" t="n"/>
      <c r="CU399" s="279" t="n"/>
    </row>
    <row r="400" ht="13.2" customHeight="1">
      <c r="CT400" s="279" t="n"/>
      <c r="CU400" s="279" t="n"/>
    </row>
    <row r="401" ht="13.2" customHeight="1">
      <c r="CT401" s="279" t="n"/>
      <c r="CU401" s="279" t="n"/>
    </row>
    <row r="402" ht="13.2" customHeight="1">
      <c r="CT402" s="279" t="n"/>
      <c r="CU402" s="279" t="n"/>
    </row>
    <row r="403" ht="13.2" customHeight="1">
      <c r="CT403" s="279" t="n"/>
      <c r="CU403" s="279" t="n"/>
    </row>
    <row r="404" ht="13.2" customHeight="1">
      <c r="CT404" s="279" t="n"/>
      <c r="CU404" s="279" t="n"/>
    </row>
    <row r="405" ht="13.2" customHeight="1">
      <c r="CT405" s="279" t="n"/>
      <c r="CU405" s="279" t="n"/>
    </row>
    <row r="406" ht="13.2" customHeight="1">
      <c r="CT406" s="279" t="n"/>
      <c r="CU406" s="279" t="n"/>
    </row>
    <row r="407" ht="13.2" customHeight="1">
      <c r="CT407" s="279" t="n"/>
      <c r="CU407" s="279" t="n"/>
    </row>
    <row r="408" ht="13.2" customHeight="1">
      <c r="CT408" s="279" t="n"/>
      <c r="CU408" s="279" t="n"/>
    </row>
    <row r="409" ht="13.2" customHeight="1">
      <c r="CT409" s="279" t="n"/>
      <c r="CU409" s="279" t="n"/>
    </row>
    <row r="410" ht="13.2" customHeight="1">
      <c r="CT410" s="279" t="n"/>
      <c r="CU410" s="279" t="n"/>
    </row>
    <row r="411" ht="13.2" customHeight="1">
      <c r="CT411" s="279" t="n"/>
      <c r="CU411" s="279" t="n"/>
    </row>
    <row r="412" ht="13.2" customHeight="1">
      <c r="CT412" s="279" t="n"/>
      <c r="CU412" s="279" t="n"/>
    </row>
    <row r="413" ht="13.2" customHeight="1">
      <c r="CT413" s="279" t="n"/>
      <c r="CU413" s="279" t="n"/>
    </row>
    <row r="414" ht="13.2" customHeight="1">
      <c r="CT414" s="279" t="n"/>
      <c r="CU414" s="279" t="n"/>
    </row>
    <row r="415" ht="13.2" customHeight="1">
      <c r="CT415" s="279" t="n"/>
      <c r="CU415" s="279" t="n"/>
    </row>
    <row r="416" ht="13.2" customHeight="1">
      <c r="CT416" s="279" t="n"/>
      <c r="CU416" s="279" t="n"/>
    </row>
    <row r="417" ht="13.2" customHeight="1">
      <c r="CT417" s="279" t="n"/>
      <c r="CU417" s="279" t="n"/>
    </row>
    <row r="418" ht="13.2" customHeight="1">
      <c r="CT418" s="279" t="n"/>
      <c r="CU418" s="279" t="n"/>
    </row>
    <row r="419" ht="13.2" customHeight="1">
      <c r="CT419" s="279" t="n"/>
      <c r="CU419" s="279" t="n"/>
    </row>
    <row r="420" ht="13.2" customHeight="1">
      <c r="CT420" s="279" t="n"/>
      <c r="CU420" s="279" t="n"/>
    </row>
    <row r="421" ht="13.2" customHeight="1">
      <c r="CT421" s="279" t="n"/>
      <c r="CU421" s="279" t="n"/>
    </row>
    <row r="422" ht="13.2" customHeight="1">
      <c r="CT422" s="279" t="n"/>
      <c r="CU422" s="279" t="n"/>
    </row>
    <row r="423" ht="13.2" customHeight="1">
      <c r="CT423" s="279" t="n"/>
      <c r="CU423" s="279" t="n"/>
    </row>
    <row r="424" ht="13.2" customHeight="1">
      <c r="CT424" s="279" t="n"/>
      <c r="CU424" s="279" t="n"/>
    </row>
    <row r="425" ht="13.2" customHeight="1">
      <c r="CT425" s="279" t="n"/>
      <c r="CU425" s="279" t="n"/>
    </row>
    <row r="426" ht="13.2" customHeight="1">
      <c r="CT426" s="279" t="n"/>
      <c r="CU426" s="279" t="n"/>
    </row>
    <row r="427" ht="13.2" customHeight="1">
      <c r="CT427" s="279" t="n"/>
      <c r="CU427" s="279" t="n"/>
    </row>
    <row r="428" ht="13.2" customHeight="1">
      <c r="CT428" s="279" t="n"/>
      <c r="CU428" s="279" t="n"/>
    </row>
    <row r="429" ht="13.2" customHeight="1">
      <c r="CT429" s="279" t="n"/>
      <c r="CU429" s="279" t="n"/>
    </row>
    <row r="430" ht="13.2" customHeight="1">
      <c r="CT430" s="279" t="n"/>
      <c r="CU430" s="279" t="n"/>
    </row>
    <row r="431" ht="13.2" customHeight="1">
      <c r="CT431" s="279" t="n"/>
      <c r="CU431" s="279" t="n"/>
    </row>
    <row r="432" ht="13.2" customHeight="1">
      <c r="CT432" s="279" t="n"/>
      <c r="CU432" s="279" t="n"/>
    </row>
    <row r="433" ht="13.2" customHeight="1">
      <c r="CT433" s="279" t="n"/>
      <c r="CU433" s="279" t="n"/>
    </row>
    <row r="434" ht="13.2" customHeight="1">
      <c r="CT434" s="279" t="n"/>
      <c r="CU434" s="279" t="n"/>
    </row>
    <row r="435" ht="13.2" customHeight="1">
      <c r="CT435" s="279" t="n"/>
      <c r="CU435" s="279" t="n"/>
    </row>
    <row r="436" ht="13.2" customHeight="1">
      <c r="CT436" s="279" t="n"/>
      <c r="CU436" s="279" t="n"/>
    </row>
    <row r="437" ht="13.2" customHeight="1">
      <c r="CT437" s="279" t="n"/>
      <c r="CU437" s="279" t="n"/>
    </row>
    <row r="438" ht="13.2" customHeight="1">
      <c r="CT438" s="279" t="n"/>
      <c r="CU438" s="279" t="n"/>
    </row>
    <row r="439" ht="13.2" customHeight="1">
      <c r="CT439" s="279" t="n"/>
      <c r="CU439" s="279" t="n"/>
    </row>
    <row r="440" ht="13.2" customHeight="1">
      <c r="CT440" s="279" t="n"/>
      <c r="CU440" s="279" t="n"/>
    </row>
    <row r="441" ht="13.2" customHeight="1">
      <c r="CT441" s="279" t="n"/>
      <c r="CU441" s="279" t="n"/>
    </row>
    <row r="442" ht="13.2" customHeight="1">
      <c r="CT442" s="279" t="n"/>
      <c r="CU442" s="279" t="n"/>
    </row>
    <row r="443" ht="13.2" customHeight="1">
      <c r="CT443" s="279" t="n"/>
      <c r="CU443" s="279" t="n"/>
    </row>
    <row r="444" ht="13.2" customHeight="1">
      <c r="CT444" s="279" t="n"/>
      <c r="CU444" s="279" t="n"/>
    </row>
    <row r="445" ht="13.2" customHeight="1">
      <c r="CT445" s="279" t="n"/>
      <c r="CU445" s="279" t="n"/>
    </row>
    <row r="446" ht="13.2" customHeight="1">
      <c r="CT446" s="279" t="n"/>
      <c r="CU446" s="279" t="n"/>
    </row>
    <row r="447" ht="13.2" customHeight="1">
      <c r="CT447" s="279" t="n"/>
      <c r="CU447" s="279" t="n"/>
    </row>
    <row r="448" ht="13.2" customHeight="1">
      <c r="CT448" s="279" t="n"/>
      <c r="CU448" s="279" t="n"/>
    </row>
    <row r="449" ht="13.2" customHeight="1">
      <c r="CT449" s="279" t="n"/>
      <c r="CU449" s="279" t="n"/>
    </row>
    <row r="450" ht="13.2" customHeight="1">
      <c r="CT450" s="279" t="n"/>
      <c r="CU450" s="279" t="n"/>
    </row>
    <row r="451" ht="13.2" customHeight="1">
      <c r="CT451" s="279" t="n"/>
      <c r="CU451" s="279" t="n"/>
    </row>
    <row r="452" ht="13.2" customHeight="1">
      <c r="CT452" s="279" t="n"/>
      <c r="CU452" s="279" t="n"/>
    </row>
    <row r="453" ht="13.2" customHeight="1">
      <c r="CT453" s="279" t="n"/>
      <c r="CU453" s="279" t="n"/>
    </row>
    <row r="454" ht="13.2" customHeight="1">
      <c r="CT454" s="279" t="n"/>
      <c r="CU454" s="279" t="n"/>
    </row>
    <row r="455" ht="13.2" customHeight="1">
      <c r="CT455" s="279" t="n"/>
      <c r="CU455" s="279" t="n"/>
    </row>
    <row r="456" ht="13.2" customHeight="1">
      <c r="CT456" s="279" t="n"/>
      <c r="CU456" s="279" t="n"/>
    </row>
    <row r="457" ht="13.2" customHeight="1">
      <c r="CT457" s="279" t="n"/>
      <c r="CU457" s="279" t="n"/>
    </row>
    <row r="458" ht="12.75" customHeight="1">
      <c r="CT458" s="279" t="n"/>
      <c r="CU458" s="279" t="n"/>
    </row>
    <row r="459" ht="12.75" customHeight="1">
      <c r="CT459" s="279" t="n"/>
      <c r="CU459" s="279" t="n"/>
    </row>
  </sheetData>
  <autoFilter ref="A8:KF58"/>
  <mergeCells count="725">
    <mergeCell ref="FB54:FC54"/>
    <mergeCell ref="ER54:ES54"/>
    <mergeCell ref="ET54:EU54"/>
    <mergeCell ref="IX54:IY54"/>
    <mergeCell ref="JJ5:JK5"/>
    <mergeCell ref="AP52:AQ52"/>
    <mergeCell ref="IX4:IY4"/>
    <mergeCell ref="AR52:AS52"/>
    <mergeCell ref="CP5:CQ5"/>
    <mergeCell ref="Z53:AA53"/>
    <mergeCell ref="CR5:CS5"/>
    <mergeCell ref="GD54:GE54"/>
    <mergeCell ref="GF54:GG54"/>
    <mergeCell ref="AZ5:BA5"/>
    <mergeCell ref="BB5:BC5"/>
    <mergeCell ref="BD5:BE5"/>
    <mergeCell ref="BN53:BO53"/>
    <mergeCell ref="AT5:AU5"/>
    <mergeCell ref="JR4:JS5"/>
    <mergeCell ref="JT4:JU5"/>
    <mergeCell ref="HR54:HS54"/>
    <mergeCell ref="J4:K4"/>
    <mergeCell ref="CB52:CC52"/>
    <mergeCell ref="L4:M4"/>
    <mergeCell ref="CD52:CE52"/>
    <mergeCell ref="BV52:BW52"/>
    <mergeCell ref="EB5:EC5"/>
    <mergeCell ref="ED5:EE5"/>
    <mergeCell ref="FX52:FY52"/>
    <mergeCell ref="FZ52:GA52"/>
    <mergeCell ref="CX53:CY53"/>
    <mergeCell ref="CZ53:DA53"/>
    <mergeCell ref="BR4:BS4"/>
    <mergeCell ref="BT4:BU4"/>
    <mergeCell ref="JD54:JE54"/>
    <mergeCell ref="GJ5:GK5"/>
    <mergeCell ref="CL54:CM54"/>
    <mergeCell ref="EZ4:FA4"/>
    <mergeCell ref="CN54:CO54"/>
    <mergeCell ref="HJ52:HK52"/>
    <mergeCell ref="HL52:HM52"/>
    <mergeCell ref="EJ53:EK53"/>
    <mergeCell ref="EL53:EM53"/>
    <mergeCell ref="DD4:DE4"/>
    <mergeCell ref="AT52:AU52"/>
    <mergeCell ref="IN53:IO53"/>
    <mergeCell ref="IP53:IQ53"/>
    <mergeCell ref="IF53:IG53"/>
    <mergeCell ref="IH53:II53"/>
    <mergeCell ref="IR53:IS53"/>
    <mergeCell ref="HJ4:HK4"/>
    <mergeCell ref="DV54:DW54"/>
    <mergeCell ref="HB4:HC4"/>
    <mergeCell ref="DX54:DY54"/>
    <mergeCell ref="IB54:IC54"/>
    <mergeCell ref="N52:O52"/>
    <mergeCell ref="JT53:JU53"/>
    <mergeCell ref="GR5:GS5"/>
    <mergeCell ref="A1:G1"/>
    <mergeCell ref="FH54:FI54"/>
    <mergeCell ref="GD4:GE4"/>
    <mergeCell ref="JL6:JM6"/>
    <mergeCell ref="FJ54:FK54"/>
    <mergeCell ref="JN3:KA3"/>
    <mergeCell ref="X5:Y5"/>
    <mergeCell ref="AR53:AS53"/>
    <mergeCell ref="Z5:AA5"/>
    <mergeCell ref="JN54:JO54"/>
    <mergeCell ref="JF54:JG54"/>
    <mergeCell ref="BL53:BM53"/>
    <mergeCell ref="JF4:JG4"/>
    <mergeCell ref="AZ52:BA52"/>
    <mergeCell ref="JH4:JI4"/>
    <mergeCell ref="BB52:BC52"/>
    <mergeCell ref="HP4:HQ4"/>
    <mergeCell ref="FD52:FE52"/>
    <mergeCell ref="FF52:FG52"/>
    <mergeCell ref="HD5:HE5"/>
    <mergeCell ref="BJ5:BK5"/>
    <mergeCell ref="CD53:CE53"/>
    <mergeCell ref="BL5:BM5"/>
    <mergeCell ref="AV4:AW4"/>
    <mergeCell ref="AX4:AY4"/>
    <mergeCell ref="DH52:DI52"/>
    <mergeCell ref="FN5:FO5"/>
    <mergeCell ref="FP5:FQ5"/>
    <mergeCell ref="FF5:FG5"/>
    <mergeCell ref="FH5:FI5"/>
    <mergeCell ref="GB53:GC53"/>
    <mergeCell ref="BP54:BQ54"/>
    <mergeCell ref="BR54:BS54"/>
    <mergeCell ref="DX4:DY4"/>
    <mergeCell ref="GF52:GG52"/>
    <mergeCell ref="GP52:GQ52"/>
    <mergeCell ref="GR52:GS52"/>
    <mergeCell ref="GH52:GI52"/>
    <mergeCell ref="GJ52:GK52"/>
    <mergeCell ref="IP5:IQ5"/>
    <mergeCell ref="DP53:DQ53"/>
    <mergeCell ref="DR53:DS53"/>
    <mergeCell ref="T54:U54"/>
    <mergeCell ref="DH53:DI53"/>
    <mergeCell ref="DJ53:DK53"/>
    <mergeCell ref="CJ4:CK4"/>
    <mergeCell ref="CH4:CI4"/>
    <mergeCell ref="ET52:EU52"/>
    <mergeCell ref="HL53:HM53"/>
    <mergeCell ref="GT5:GU5"/>
    <mergeCell ref="HN53:HO53"/>
    <mergeCell ref="GF4:GG4"/>
    <mergeCell ref="DB54:DC54"/>
    <mergeCell ref="DD54:DE54"/>
    <mergeCell ref="CT54:CU54"/>
    <mergeCell ref="CV54:CW54"/>
    <mergeCell ref="AT53:AU53"/>
    <mergeCell ref="GX54:GY54"/>
    <mergeCell ref="GZ54:HA54"/>
    <mergeCell ref="HL5:HM5"/>
    <mergeCell ref="BF54:BG54"/>
    <mergeCell ref="GX4:GY4"/>
    <mergeCell ref="IX53:IY53"/>
    <mergeCell ref="IZ53:JA53"/>
    <mergeCell ref="HR4:HS4"/>
    <mergeCell ref="L52:M52"/>
    <mergeCell ref="JE70:JH70"/>
    <mergeCell ref="CF53:CG53"/>
    <mergeCell ref="D5:E5"/>
    <mergeCell ref="IJ54:IK54"/>
    <mergeCell ref="IL54:IM54"/>
    <mergeCell ref="CZ5:DA5"/>
    <mergeCell ref="IJ4:IK4"/>
    <mergeCell ref="AD52:AE52"/>
    <mergeCell ref="DB5:DC5"/>
    <mergeCell ref="DZ52:EA52"/>
    <mergeCell ref="EB52:EC52"/>
    <mergeCell ref="AZ53:BA53"/>
    <mergeCell ref="AH5:AI5"/>
    <mergeCell ref="BB53:BC53"/>
    <mergeCell ref="AB4:AC4"/>
    <mergeCell ref="CJ52:CK52"/>
    <mergeCell ref="R4:S4"/>
    <mergeCell ref="T4:U4"/>
    <mergeCell ref="JX54:JY54"/>
    <mergeCell ref="CL52:CM52"/>
    <mergeCell ref="V4:W4"/>
    <mergeCell ref="EJ5:EK5"/>
    <mergeCell ref="EL5:EM5"/>
    <mergeCell ref="FF53:FG53"/>
    <mergeCell ref="DZ4:EA4"/>
    <mergeCell ref="AN54:AO54"/>
    <mergeCell ref="DB4:DC4"/>
    <mergeCell ref="FL52:FM52"/>
    <mergeCell ref="FN52:FO52"/>
    <mergeCell ref="CL53:CM53"/>
    <mergeCell ref="CN53:CO53"/>
    <mergeCell ref="JP52:JQ52"/>
    <mergeCell ref="BD4:BE4"/>
    <mergeCell ref="BF4:BG4"/>
    <mergeCell ref="FV5:FW5"/>
    <mergeCell ref="GP53:GQ53"/>
    <mergeCell ref="FX5:FY5"/>
    <mergeCell ref="GR53:GS53"/>
    <mergeCell ref="A2:A7"/>
    <mergeCell ref="FJ4:FK4"/>
    <mergeCell ref="C2:C7"/>
    <mergeCell ref="FL4:FM4"/>
    <mergeCell ref="HT52:HU52"/>
    <mergeCell ref="BP1:BQ1"/>
    <mergeCell ref="BX54:BY54"/>
    <mergeCell ref="BZ54:CA54"/>
    <mergeCell ref="ET53:EU53"/>
    <mergeCell ref="IL4:IM4"/>
    <mergeCell ref="AF52:AG52"/>
    <mergeCell ref="IB53:IC53"/>
    <mergeCell ref="ID53:IE53"/>
    <mergeCell ref="HT53:HU53"/>
    <mergeCell ref="EF54:EG54"/>
    <mergeCell ref="HV53:HW53"/>
    <mergeCell ref="EH54:EI54"/>
    <mergeCell ref="GV4:GW4"/>
    <mergeCell ref="JF52:JG52"/>
    <mergeCell ref="IX5:IY5"/>
    <mergeCell ref="HN54:HO54"/>
    <mergeCell ref="HF54:HG54"/>
    <mergeCell ref="HP54:HQ54"/>
    <mergeCell ref="HH54:HI54"/>
    <mergeCell ref="V52:W52"/>
    <mergeCell ref="L53:M53"/>
    <mergeCell ref="X52:Y52"/>
    <mergeCell ref="CD5:CE5"/>
    <mergeCell ref="N53:O53"/>
    <mergeCell ref="CF5:CG5"/>
    <mergeCell ref="FR54:FS54"/>
    <mergeCell ref="DF52:DG52"/>
    <mergeCell ref="JP54:JQ54"/>
    <mergeCell ref="L5:M5"/>
    <mergeCell ref="N5:O5"/>
    <mergeCell ref="BH52:BI52"/>
    <mergeCell ref="BJ52:BK52"/>
    <mergeCell ref="DP5:DQ5"/>
    <mergeCell ref="DR5:DS5"/>
    <mergeCell ref="R54:S54"/>
    <mergeCell ref="HN5:HO5"/>
    <mergeCell ref="BT5:BU5"/>
    <mergeCell ref="ER52:ES52"/>
    <mergeCell ref="IR54:IS54"/>
    <mergeCell ref="BR53:BS53"/>
    <mergeCell ref="AJ4:AK4"/>
    <mergeCell ref="AL4:AM4"/>
    <mergeCell ref="CT52:CU52"/>
    <mergeCell ref="CV52:CW52"/>
    <mergeCell ref="FB5:FC5"/>
    <mergeCell ref="FD5:FE5"/>
    <mergeCell ref="FN53:FO53"/>
    <mergeCell ref="ET5:EU5"/>
    <mergeCell ref="EV5:EW5"/>
    <mergeCell ref="EN4:EO4"/>
    <mergeCell ref="EF4:EG4"/>
    <mergeCell ref="FP53:FQ53"/>
    <mergeCell ref="GX52:GY52"/>
    <mergeCell ref="EH4:EI4"/>
    <mergeCell ref="GZ52:HA52"/>
    <mergeCell ref="BD54:BE54"/>
    <mergeCell ref="JR53:JS53"/>
    <mergeCell ref="IZ5:JA5"/>
    <mergeCell ref="DZ53:EA53"/>
    <mergeCell ref="EZ54:FA54"/>
    <mergeCell ref="H54:I54"/>
    <mergeCell ref="JZ52:KA52"/>
    <mergeCell ref="KB52:KC52"/>
    <mergeCell ref="DJ54:DK54"/>
    <mergeCell ref="GZ53:HA53"/>
    <mergeCell ref="DL54:DM54"/>
    <mergeCell ref="FR4:FS4"/>
    <mergeCell ref="FT4:FU4"/>
    <mergeCell ref="AF53:AG53"/>
    <mergeCell ref="IB5:IC5"/>
    <mergeCell ref="AH53:AI53"/>
    <mergeCell ref="HT5:HU5"/>
    <mergeCell ref="HV5:HW5"/>
    <mergeCell ref="GL54:GM54"/>
    <mergeCell ref="B2:B7"/>
    <mergeCell ref="HH4:HI4"/>
    <mergeCell ref="GN54:GO54"/>
    <mergeCell ref="JF53:JG53"/>
    <mergeCell ref="JR52:JS52"/>
    <mergeCell ref="JH53:JI53"/>
    <mergeCell ref="IT54:IU54"/>
    <mergeCell ref="JF5:JG5"/>
    <mergeCell ref="JH5:JI5"/>
    <mergeCell ref="IR4:IS4"/>
    <mergeCell ref="AL52:AM52"/>
    <mergeCell ref="IT4:IU4"/>
    <mergeCell ref="AN52:AO52"/>
    <mergeCell ref="CL5:CM5"/>
    <mergeCell ref="V53:W53"/>
    <mergeCell ref="CN5:CO5"/>
    <mergeCell ref="BZ4:CA4"/>
    <mergeCell ref="CB4:CC4"/>
    <mergeCell ref="JL54:JM54"/>
    <mergeCell ref="EJ52:EK52"/>
    <mergeCell ref="EL52:EM52"/>
    <mergeCell ref="BJ53:BK53"/>
    <mergeCell ref="AD4:AE4"/>
    <mergeCell ref="N4:O4"/>
    <mergeCell ref="HR52:HS52"/>
    <mergeCell ref="P4:Q4"/>
    <mergeCell ref="BX52:BY52"/>
    <mergeCell ref="BZ52:CA52"/>
    <mergeCell ref="DX5:DY5"/>
    <mergeCell ref="ER53:ES53"/>
    <mergeCell ref="DZ5:EA5"/>
    <mergeCell ref="DL4:DM4"/>
    <mergeCell ref="FT52:FU52"/>
    <mergeCell ref="DN4:DO4"/>
    <mergeCell ref="FV52:FW52"/>
    <mergeCell ref="Z54:AA54"/>
    <mergeCell ref="ID5:IE5"/>
    <mergeCell ref="AB54:AC54"/>
    <mergeCell ref="CV53:CW53"/>
    <mergeCell ref="BP4:BQ4"/>
    <mergeCell ref="GF5:GG5"/>
    <mergeCell ref="JD52:JE52"/>
    <mergeCell ref="HB53:HC53"/>
    <mergeCell ref="GD53:GE53"/>
    <mergeCell ref="CF54:CG54"/>
    <mergeCell ref="EV4:EW4"/>
    <mergeCell ref="CH54:CI54"/>
    <mergeCell ref="EX4:EY4"/>
    <mergeCell ref="CJ54:CK54"/>
    <mergeCell ref="HF52:HG52"/>
    <mergeCell ref="HH52:HI52"/>
    <mergeCell ref="JE69:JH69"/>
    <mergeCell ref="JZ53:KA53"/>
    <mergeCell ref="KB53:KC53"/>
    <mergeCell ref="JL3:JM4"/>
    <mergeCell ref="EH53:EI53"/>
    <mergeCell ref="FP54:FQ54"/>
    <mergeCell ref="IV4:IW4"/>
    <mergeCell ref="IL53:IM53"/>
    <mergeCell ref="AF5:AG5"/>
    <mergeCell ref="KB55:KC55"/>
    <mergeCell ref="HF4:HG4"/>
    <mergeCell ref="DR54:DS54"/>
    <mergeCell ref="DT54:DU54"/>
    <mergeCell ref="BT53:BU53"/>
    <mergeCell ref="HX54:HY54"/>
    <mergeCell ref="IJ5:IK5"/>
    <mergeCell ref="HZ54:IA54"/>
    <mergeCell ref="IL5:IM5"/>
    <mergeCell ref="HX4:HY4"/>
    <mergeCell ref="R52:S52"/>
    <mergeCell ref="J52:K52"/>
    <mergeCell ref="BR5:BS5"/>
    <mergeCell ref="DN52:DO52"/>
    <mergeCell ref="JH6:JI6"/>
    <mergeCell ref="FF54:FG54"/>
    <mergeCell ref="DP52:DQ52"/>
    <mergeCell ref="T5:U5"/>
    <mergeCell ref="AN53:AO53"/>
    <mergeCell ref="V5:W5"/>
    <mergeCell ref="H4:I4"/>
    <mergeCell ref="JJ4:JK4"/>
    <mergeCell ref="JB4:JC4"/>
    <mergeCell ref="AV52:AW52"/>
    <mergeCell ref="DD5:DE5"/>
    <mergeCell ref="CT5:CU5"/>
    <mergeCell ref="EZ52:FA52"/>
    <mergeCell ref="FB52:FC52"/>
    <mergeCell ref="JV54:JW54"/>
    <mergeCell ref="GZ5:HA5"/>
    <mergeCell ref="BZ53:CA53"/>
    <mergeCell ref="HB5:HC5"/>
    <mergeCell ref="BH5:BI5"/>
    <mergeCell ref="CB53:CC53"/>
    <mergeCell ref="GL4:GM4"/>
    <mergeCell ref="GN4:GO4"/>
    <mergeCell ref="IV52:IW52"/>
    <mergeCell ref="AR4:AS4"/>
    <mergeCell ref="AT4:AU4"/>
    <mergeCell ref="IX52:IY52"/>
    <mergeCell ref="GF53:GG53"/>
    <mergeCell ref="FV53:FW53"/>
    <mergeCell ref="FX53:FY53"/>
    <mergeCell ref="EP4:EQ4"/>
    <mergeCell ref="BL54:BM54"/>
    <mergeCell ref="BN54:BO54"/>
    <mergeCell ref="DT4:DU4"/>
    <mergeCell ref="GL52:GM52"/>
    <mergeCell ref="GN52:GO52"/>
    <mergeCell ref="HZ4:IA4"/>
    <mergeCell ref="DM1:DP1"/>
    <mergeCell ref="T52:U52"/>
    <mergeCell ref="EN54:EO54"/>
    <mergeCell ref="EP54:EQ54"/>
    <mergeCell ref="HH53:HI53"/>
    <mergeCell ref="HJ53:HK53"/>
    <mergeCell ref="GB4:GC4"/>
    <mergeCell ref="JJ6:JK6"/>
    <mergeCell ref="CX54:CY54"/>
    <mergeCell ref="CZ54:DA54"/>
    <mergeCell ref="CR54:CS54"/>
    <mergeCell ref="AP53:AQ53"/>
    <mergeCell ref="GT54:GU54"/>
    <mergeCell ref="GV54:GW54"/>
    <mergeCell ref="BF52:BG52"/>
    <mergeCell ref="GT4:GU4"/>
    <mergeCell ref="JL52:JM52"/>
    <mergeCell ref="IT53:IU53"/>
    <mergeCell ref="AN5:AO5"/>
    <mergeCell ref="IV53:IW53"/>
    <mergeCell ref="AP5:AQ5"/>
    <mergeCell ref="ER5:ES5"/>
    <mergeCell ref="J53:K53"/>
    <mergeCell ref="IF54:IG54"/>
    <mergeCell ref="IH54:II54"/>
    <mergeCell ref="JD4:JE4"/>
    <mergeCell ref="AX52:AY52"/>
    <mergeCell ref="IF4:IG4"/>
    <mergeCell ref="CV5:CW5"/>
    <mergeCell ref="Z52:AA52"/>
    <mergeCell ref="CT53:CU53"/>
    <mergeCell ref="BL4:BM4"/>
    <mergeCell ref="ED52:EE52"/>
    <mergeCell ref="BN4:BO4"/>
    <mergeCell ref="DV52:DW52"/>
    <mergeCell ref="EF52:EG52"/>
    <mergeCell ref="DX52:DY52"/>
    <mergeCell ref="GD5:GE5"/>
    <mergeCell ref="AV53:AW53"/>
    <mergeCell ref="AX53:AY53"/>
    <mergeCell ref="HZ52:IA52"/>
    <mergeCell ref="IB52:IC52"/>
    <mergeCell ref="CH52:CI52"/>
    <mergeCell ref="ID52:IE52"/>
    <mergeCell ref="EF5:EG5"/>
    <mergeCell ref="EH5:EI5"/>
    <mergeCell ref="FB53:FC53"/>
    <mergeCell ref="FD53:FE53"/>
    <mergeCell ref="DV4:DW4"/>
    <mergeCell ref="AH54:AI54"/>
    <mergeCell ref="AR54:AS54"/>
    <mergeCell ref="CX4:CY4"/>
    <mergeCell ref="AJ54:AK54"/>
    <mergeCell ref="IN5:IO5"/>
    <mergeCell ref="AL54:AM54"/>
    <mergeCell ref="FH52:FI52"/>
    <mergeCell ref="FJ52:FK52"/>
    <mergeCell ref="HP5:HQ5"/>
    <mergeCell ref="CH53:CI53"/>
    <mergeCell ref="JN52:JO52"/>
    <mergeCell ref="GL53:GM53"/>
    <mergeCell ref="FT5:FU5"/>
    <mergeCell ref="GN53:GO53"/>
    <mergeCell ref="FD4:FE4"/>
    <mergeCell ref="FF4:FG4"/>
    <mergeCell ref="BJ1:BK1"/>
    <mergeCell ref="FH4:FI4"/>
    <mergeCell ref="BT54:BU54"/>
    <mergeCell ref="BV54:BW54"/>
    <mergeCell ref="T53:U53"/>
    <mergeCell ref="HH5:HI5"/>
    <mergeCell ref="FZ54:GA54"/>
    <mergeCell ref="KB3:KC6"/>
    <mergeCell ref="GB54:GC54"/>
    <mergeCell ref="IZ54:JA54"/>
    <mergeCell ref="JB54:JC54"/>
    <mergeCell ref="BP52:BQ52"/>
    <mergeCell ref="BF53:BG53"/>
    <mergeCell ref="BR52:BS52"/>
    <mergeCell ref="IT5:IU5"/>
    <mergeCell ref="IV5:IW5"/>
    <mergeCell ref="HJ54:HK54"/>
    <mergeCell ref="HL54:HM54"/>
    <mergeCell ref="IH4:II4"/>
    <mergeCell ref="HD54:HE54"/>
    <mergeCell ref="AB52:AC52"/>
    <mergeCell ref="BZ5:CA5"/>
    <mergeCell ref="CB5:CC5"/>
    <mergeCell ref="JT52:JU52"/>
    <mergeCell ref="JV52:JW52"/>
    <mergeCell ref="DB52:DC52"/>
    <mergeCell ref="DD52:DE52"/>
    <mergeCell ref="H5:I5"/>
    <mergeCell ref="DL5:DM5"/>
    <mergeCell ref="EF53:EG53"/>
    <mergeCell ref="JZ4:KA6"/>
    <mergeCell ref="DN5:DO5"/>
    <mergeCell ref="DX53:DY53"/>
    <mergeCell ref="DF5:DG5"/>
    <mergeCell ref="CZ4:DA4"/>
    <mergeCell ref="CP4:CQ4"/>
    <mergeCell ref="CR4:CS4"/>
    <mergeCell ref="N54:O54"/>
    <mergeCell ref="HJ5:HK5"/>
    <mergeCell ref="CJ53:CK53"/>
    <mergeCell ref="EN52:EO52"/>
    <mergeCell ref="FZ4:GA4"/>
    <mergeCell ref="IR52:IS52"/>
    <mergeCell ref="AF4:AG4"/>
    <mergeCell ref="IJ52:IK52"/>
    <mergeCell ref="AH4:AI4"/>
    <mergeCell ref="IL52:IM52"/>
    <mergeCell ref="FJ53:FK53"/>
    <mergeCell ref="FL53:FM53"/>
    <mergeCell ref="EB4:EC4"/>
    <mergeCell ref="G6:G7"/>
    <mergeCell ref="GT52:GU52"/>
    <mergeCell ref="ED4:EE4"/>
    <mergeCell ref="GV52:GW52"/>
    <mergeCell ref="AZ54:BA54"/>
    <mergeCell ref="JN53:JO53"/>
    <mergeCell ref="BB54:BC54"/>
    <mergeCell ref="JP53:JQ53"/>
    <mergeCell ref="FD54:FE54"/>
    <mergeCell ref="EV54:EW54"/>
    <mergeCell ref="EX54:EY54"/>
    <mergeCell ref="GT53:GU53"/>
    <mergeCell ref="GV53:GW53"/>
    <mergeCell ref="DH54:DI54"/>
    <mergeCell ref="FP4:FQ4"/>
    <mergeCell ref="AB53:AC53"/>
    <mergeCell ref="AD53:AE53"/>
    <mergeCell ref="HR5:HS5"/>
    <mergeCell ref="GH54:GI54"/>
    <mergeCell ref="HD4:HE4"/>
    <mergeCell ref="GJ54:GK54"/>
    <mergeCell ref="BF5:BG5"/>
    <mergeCell ref="AV5:AW5"/>
    <mergeCell ref="AX5:AY5"/>
    <mergeCell ref="D6:D7"/>
    <mergeCell ref="JV4:JW5"/>
    <mergeCell ref="F6:F7"/>
    <mergeCell ref="JX4:JY5"/>
    <mergeCell ref="P54:Q54"/>
    <mergeCell ref="JN4:JO5"/>
    <mergeCell ref="JP4:JQ5"/>
    <mergeCell ref="F2:G5"/>
    <mergeCell ref="CF52:CG52"/>
    <mergeCell ref="J5:K5"/>
    <mergeCell ref="IN4:IO4"/>
    <mergeCell ref="GB52:GC52"/>
    <mergeCell ref="AH52:AI52"/>
    <mergeCell ref="GD52:GE52"/>
    <mergeCell ref="IP4:IQ4"/>
    <mergeCell ref="AJ52:AK52"/>
    <mergeCell ref="CH5:CI5"/>
    <mergeCell ref="DB53:DC53"/>
    <mergeCell ref="CJ5:CK5"/>
    <mergeCell ref="DD53:DE53"/>
    <mergeCell ref="DF53:DG53"/>
    <mergeCell ref="BV4:BW4"/>
    <mergeCell ref="BX4:BY4"/>
    <mergeCell ref="JH54:JI54"/>
    <mergeCell ref="EP52:EQ52"/>
    <mergeCell ref="GL5:GM5"/>
    <mergeCell ref="GN5:GO5"/>
    <mergeCell ref="GP5:GQ5"/>
    <mergeCell ref="H6:AA6"/>
    <mergeCell ref="DR52:DS52"/>
    <mergeCell ref="BH53:BI53"/>
    <mergeCell ref="CP54:CQ54"/>
    <mergeCell ref="HN52:HO52"/>
    <mergeCell ref="HP52:HQ52"/>
    <mergeCell ref="DT5:DU5"/>
    <mergeCell ref="EN53:EO53"/>
    <mergeCell ref="EP53:EQ53"/>
    <mergeCell ref="DF4:DG4"/>
    <mergeCell ref="AT54:AU54"/>
    <mergeCell ref="DH4:DI4"/>
    <mergeCell ref="AD54:AE54"/>
    <mergeCell ref="DJ4:DK4"/>
    <mergeCell ref="V54:W54"/>
    <mergeCell ref="HZ5:IA5"/>
    <mergeCell ref="IJ53:IK53"/>
    <mergeCell ref="HL4:HM4"/>
    <mergeCell ref="DZ54:EA54"/>
    <mergeCell ref="JX52:JY52"/>
    <mergeCell ref="EB54:EC54"/>
    <mergeCell ref="ED54:EE54"/>
    <mergeCell ref="IZ52:JA52"/>
    <mergeCell ref="AC6:AD6"/>
    <mergeCell ref="GX53:GY53"/>
    <mergeCell ref="FZ53:GA53"/>
    <mergeCell ref="ER4:ES4"/>
    <mergeCell ref="ET4:EU4"/>
    <mergeCell ref="JV53:JW53"/>
    <mergeCell ref="H53:I53"/>
    <mergeCell ref="JX53:JY53"/>
    <mergeCell ref="IZ4:JA4"/>
    <mergeCell ref="FL54:FM54"/>
    <mergeCell ref="FN54:FO54"/>
    <mergeCell ref="JN6:JY6"/>
    <mergeCell ref="AB5:AC5"/>
    <mergeCell ref="AD5:AE5"/>
    <mergeCell ref="JJ54:JK54"/>
    <mergeCell ref="BP53:BQ53"/>
    <mergeCell ref="BD52:BE52"/>
    <mergeCell ref="HT54:HU54"/>
    <mergeCell ref="IF5:IG5"/>
    <mergeCell ref="HV54:HW54"/>
    <mergeCell ref="IH5:II5"/>
    <mergeCell ref="HT4:HU4"/>
    <mergeCell ref="HN4:HO4"/>
    <mergeCell ref="H52:I52"/>
    <mergeCell ref="BN5:BO5"/>
    <mergeCell ref="BP5:BQ5"/>
    <mergeCell ref="AZ4:BA4"/>
    <mergeCell ref="BB4:BC4"/>
    <mergeCell ref="DJ52:DK52"/>
    <mergeCell ref="DL52:DM52"/>
    <mergeCell ref="FR5:FS5"/>
    <mergeCell ref="FJ5:FK5"/>
    <mergeCell ref="AJ53:AK53"/>
    <mergeCell ref="FL5:FM5"/>
    <mergeCell ref="DV5:DW5"/>
    <mergeCell ref="CX5:CY5"/>
    <mergeCell ref="DT53:DU53"/>
    <mergeCell ref="DL53:DM53"/>
    <mergeCell ref="X54:Y54"/>
    <mergeCell ref="CL4:CM4"/>
    <mergeCell ref="DN53:DO53"/>
    <mergeCell ref="CN4:CO4"/>
    <mergeCell ref="EV52:EW52"/>
    <mergeCell ref="CD4:CE4"/>
    <mergeCell ref="CF4:CG4"/>
    <mergeCell ref="EX52:EY52"/>
    <mergeCell ref="JR54:JS54"/>
    <mergeCell ref="HP53:HQ53"/>
    <mergeCell ref="GV5:GW5"/>
    <mergeCell ref="BV53:BW53"/>
    <mergeCell ref="HR53:HS53"/>
    <mergeCell ref="GX5:GY5"/>
    <mergeCell ref="BX53:BY53"/>
    <mergeCell ref="GH4:GI4"/>
    <mergeCell ref="GJ4:GK4"/>
    <mergeCell ref="JB52:JC52"/>
    <mergeCell ref="AP4:AQ4"/>
    <mergeCell ref="IT52:IU52"/>
    <mergeCell ref="FT53:FU53"/>
    <mergeCell ref="HB54:HC54"/>
    <mergeCell ref="BH54:BI54"/>
    <mergeCell ref="BJ54:BK54"/>
    <mergeCell ref="JB53:JC53"/>
    <mergeCell ref="JD53:JE53"/>
    <mergeCell ref="HV4:HW4"/>
    <mergeCell ref="P52:Q52"/>
    <mergeCell ref="EJ54:EK54"/>
    <mergeCell ref="IN54:IO54"/>
    <mergeCell ref="H2:BC2"/>
    <mergeCell ref="JF6:JG6"/>
    <mergeCell ref="IP54:IQ54"/>
    <mergeCell ref="AL53:AM53"/>
    <mergeCell ref="AL3:AM3"/>
    <mergeCell ref="GR54:GS54"/>
    <mergeCell ref="GP4:GQ4"/>
    <mergeCell ref="JH52:JI52"/>
    <mergeCell ref="AR5:AS5"/>
    <mergeCell ref="AJ5:AK5"/>
    <mergeCell ref="BD53:BE53"/>
    <mergeCell ref="AL5:AM5"/>
    <mergeCell ref="JZ54:KA54"/>
    <mergeCell ref="CN52:CO52"/>
    <mergeCell ref="X4:Y4"/>
    <mergeCell ref="KB54:KC54"/>
    <mergeCell ref="CP52:CQ52"/>
    <mergeCell ref="Z4:AA4"/>
    <mergeCell ref="CR52:CS52"/>
    <mergeCell ref="EN5:EO5"/>
    <mergeCell ref="EP5:EQ5"/>
    <mergeCell ref="ID54:IE54"/>
    <mergeCell ref="FP52:FQ52"/>
    <mergeCell ref="FR52:FS52"/>
    <mergeCell ref="CP53:CQ53"/>
    <mergeCell ref="CR53:CS53"/>
    <mergeCell ref="BH4:BI4"/>
    <mergeCell ref="BJ4:BK4"/>
    <mergeCell ref="IV54:IW54"/>
    <mergeCell ref="DT52:DU52"/>
    <mergeCell ref="FZ5:GA5"/>
    <mergeCell ref="GB5:GC5"/>
    <mergeCell ref="FN4:FO4"/>
    <mergeCell ref="HV52:HW52"/>
    <mergeCell ref="HX52:HY52"/>
    <mergeCell ref="CB54:CC54"/>
    <mergeCell ref="CD54:CE54"/>
    <mergeCell ref="EV53:EW53"/>
    <mergeCell ref="EX53:EY53"/>
    <mergeCell ref="EZ53:FA53"/>
    <mergeCell ref="DP4:DQ4"/>
    <mergeCell ref="DR4:DS4"/>
    <mergeCell ref="D2:E4"/>
    <mergeCell ref="AF54:AG54"/>
    <mergeCell ref="HX53:HY53"/>
    <mergeCell ref="HZ53:IA53"/>
    <mergeCell ref="EL54:EM54"/>
    <mergeCell ref="GZ4:HA4"/>
    <mergeCell ref="GR4:GS4"/>
    <mergeCell ref="JJ52:JK52"/>
    <mergeCell ref="DN54:DO54"/>
    <mergeCell ref="GH53:GI53"/>
    <mergeCell ref="GJ53:GK53"/>
    <mergeCell ref="JB5:JC5"/>
    <mergeCell ref="FB4:FC4"/>
    <mergeCell ref="P53:Q53"/>
    <mergeCell ref="R53:S53"/>
    <mergeCell ref="FT54:FU54"/>
    <mergeCell ref="FV54:FW54"/>
    <mergeCell ref="FX54:FY54"/>
    <mergeCell ref="H3:AA3"/>
    <mergeCell ref="P5:Q5"/>
    <mergeCell ref="JT54:JU54"/>
    <mergeCell ref="R5:S5"/>
    <mergeCell ref="BT52:BU52"/>
    <mergeCell ref="BL52:BM52"/>
    <mergeCell ref="BN52:BO52"/>
    <mergeCell ref="IR5:IS5"/>
    <mergeCell ref="IB4:IC4"/>
    <mergeCell ref="ID4:IE4"/>
    <mergeCell ref="BV5:BW5"/>
    <mergeCell ref="BX5:BY5"/>
    <mergeCell ref="AP54:AQ54"/>
    <mergeCell ref="AN4:AO4"/>
    <mergeCell ref="CX52:CY52"/>
    <mergeCell ref="CZ52:DA52"/>
    <mergeCell ref="EX5:EY5"/>
    <mergeCell ref="FR53:FS53"/>
    <mergeCell ref="X53:Y53"/>
    <mergeCell ref="EZ5:FA5"/>
    <mergeCell ref="EJ4:EK4"/>
    <mergeCell ref="HB52:HC52"/>
    <mergeCell ref="E6:E7"/>
    <mergeCell ref="EL4:EM4"/>
    <mergeCell ref="HD52:HE52"/>
    <mergeCell ref="DH5:DI5"/>
    <mergeCell ref="EB53:EC53"/>
    <mergeCell ref="JD5:JE5"/>
    <mergeCell ref="DJ5:DK5"/>
    <mergeCell ref="ED53:EE53"/>
    <mergeCell ref="CT4:CU4"/>
    <mergeCell ref="DV53:DW53"/>
    <mergeCell ref="CV4:CW4"/>
    <mergeCell ref="J54:K54"/>
    <mergeCell ref="L54:M54"/>
    <mergeCell ref="EH52:EI52"/>
    <mergeCell ref="HF5:HG5"/>
    <mergeCell ref="HD53:HE53"/>
    <mergeCell ref="DP54:DQ54"/>
    <mergeCell ref="DF54:DG54"/>
    <mergeCell ref="HF53:HG53"/>
    <mergeCell ref="FV4:FW4"/>
    <mergeCell ref="IN52:IO52"/>
    <mergeCell ref="FX4:FY4"/>
    <mergeCell ref="IF52:IG52"/>
    <mergeCell ref="IP52:IQ52"/>
    <mergeCell ref="IH52:II52"/>
    <mergeCell ref="HX5:HY5"/>
    <mergeCell ref="FH53:FI53"/>
    <mergeCell ref="GP54:GQ54"/>
    <mergeCell ref="AV54:AW54"/>
    <mergeCell ref="JJ53:JK53"/>
    <mergeCell ref="AX54:AY54"/>
    <mergeCell ref="GH5:GI5"/>
    <mergeCell ref="JL53:JM53"/>
    <mergeCell ref="JJ3:JK3"/>
  </mergeCells>
  <pageMargins left="0.3937007874015748" right="0.1181102362204725" top="0.7874015748031497" bottom="0.1968503937007874" header="0.3149606299212598" footer="0.3149606299212598"/>
  <pageSetup orientation="landscape" paperSize="9" scale="66"/>
  <rowBreaks count="1" manualBreakCount="1">
    <brk id="32" min="0" max="288" man="1"/>
  </rowBreaks>
  <colBreaks count="5" manualBreakCount="5">
    <brk id="43" min="0" max="57" man="1"/>
    <brk id="73" min="0" max="57" man="1"/>
    <brk id="101" min="0" max="57" man="1"/>
    <brk id="129" min="0" max="57" man="1"/>
    <brk id="157" min="0" max="57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O460"/>
  <sheetViews>
    <sheetView showGridLines="0" view="pageBreakPreview" zoomScale="80" zoomScaleNormal="80" zoomScaleSheetLayoutView="80" workbookViewId="0">
      <pane xSplit="7" ySplit="8" topLeftCell="H54" activePane="bottomRight" state="frozen"/>
      <selection pane="topRight" activeCell="H1" sqref="H1"/>
      <selection pane="bottomLeft" activeCell="A9" sqref="A9"/>
      <selection pane="bottomRight" activeCell="JJ25" sqref="JJ25"/>
    </sheetView>
  </sheetViews>
  <sheetFormatPr baseColWidth="8" defaultColWidth="9.109375" defaultRowHeight="12.75" customHeight="1"/>
  <cols>
    <col width="4.33203125" customWidth="1" style="279" min="1" max="1"/>
    <col width="21.88671875" customWidth="1" style="279" min="2" max="2"/>
    <col width="12.44140625" customWidth="1" style="279" min="3" max="3"/>
    <col width="7.109375" customWidth="1" style="279" min="4" max="4"/>
    <col width="6.88671875" customWidth="1" style="279" min="5" max="5"/>
    <col width="9.5546875" customWidth="1" style="279" min="6" max="6"/>
    <col width="11.33203125" customWidth="1" style="279" min="7" max="7"/>
    <col width="6.5546875" customWidth="1" style="279" min="8" max="9"/>
    <col width="6" customWidth="1" style="279" min="10" max="12"/>
    <col width="6" customWidth="1" style="2" min="13" max="13"/>
    <col hidden="1" outlineLevel="1" width="6" customWidth="1" style="279" min="14" max="17"/>
    <col hidden="1" outlineLevel="1" collapsed="1" width="6.33203125" customWidth="1" style="279" min="18" max="18"/>
    <col hidden="1" outlineLevel="1" width="6.33203125" customWidth="1" style="279" min="19" max="19"/>
    <col hidden="1" outlineLevel="1" width="7.33203125" customWidth="1" style="279" min="20" max="27"/>
    <col collapsed="1" width="6.6640625" customWidth="1" style="279" min="28" max="28"/>
    <col width="6.6640625" customWidth="1" style="279" min="29" max="29"/>
    <col width="6.88671875" customWidth="1" style="279" min="30" max="31"/>
    <col collapsed="1" width="6.44140625" customWidth="1" style="279" min="32" max="32"/>
    <col width="9" customWidth="1" style="279" min="33" max="33"/>
    <col width="6.88671875" customWidth="1" style="279" min="34" max="35"/>
    <col width="7" customWidth="1" style="279" min="36" max="36"/>
    <col width="6.33203125" customWidth="1" style="279" min="37" max="37"/>
    <col width="6.44140625" customWidth="1" style="279" min="38" max="40"/>
    <col width="7.33203125" customWidth="1" style="279" min="41" max="41"/>
    <col collapsed="1" width="7.33203125" customWidth="1" style="279" min="42" max="42"/>
    <col width="7.33203125" customWidth="1" style="279" min="43" max="45"/>
    <col width="6.88671875" customWidth="1" style="279" min="46" max="49"/>
    <col width="6.44140625" customWidth="1" style="279" min="50" max="51"/>
    <col width="6" customWidth="1" style="279" min="52" max="52"/>
    <col width="7.44140625" customWidth="1" style="279" min="53" max="53"/>
    <col collapsed="1" width="6" customWidth="1" style="279" min="54" max="54"/>
    <col width="6" customWidth="1" style="279" min="55" max="55"/>
    <col width="6.88671875" customWidth="1" style="279" min="56" max="57"/>
    <col collapsed="1" width="6.88671875" customWidth="1" style="279" min="58" max="58"/>
    <col width="6.88671875" customWidth="1" style="279" min="59" max="61"/>
    <col width="6.44140625" customWidth="1" style="279" min="62" max="65"/>
    <col width="7.33203125" customWidth="1" style="279" min="66" max="69"/>
    <col width="6.6640625" customWidth="1" style="279" min="70" max="81"/>
    <col outlineLevel="1" width="6.6640625" customWidth="1" style="279" min="82" max="83"/>
    <col width="6.5546875" customWidth="1" style="279" min="84" max="93"/>
    <col width="7.33203125" customWidth="1" style="279" min="94" max="97"/>
    <col width="7.33203125" customWidth="1" style="3" min="98" max="99"/>
    <col width="7.33203125" customWidth="1" style="279" min="100" max="105"/>
    <col hidden="1" width="7.33203125" customWidth="1" style="279" min="106" max="107"/>
    <col width="7.33203125" customWidth="1" style="279" min="108" max="109"/>
    <col width="6.33203125" customWidth="1" style="279" min="110" max="110"/>
    <col width="6.88671875" customWidth="1" style="279" min="111" max="111"/>
    <col width="6.33203125" customWidth="1" style="279" min="112" max="115"/>
    <col width="7.109375" customWidth="1" style="279" min="116" max="117"/>
    <col collapsed="1" width="6.33203125" customWidth="1" style="279" min="118" max="118"/>
    <col width="6.33203125" customWidth="1" style="279" min="119" max="123"/>
    <col width="7.6640625" customWidth="1" style="279" min="124" max="125"/>
    <col width="6.33203125" customWidth="1" style="279" min="126" max="127"/>
    <col width="7.109375" customWidth="1" style="279" min="128" max="129"/>
    <col width="6.6640625" customWidth="1" style="279" min="130" max="133"/>
    <col collapsed="1" width="6.6640625" customWidth="1" style="279" min="134" max="134"/>
    <col width="6.6640625" customWidth="1" style="279" min="135" max="135"/>
    <col collapsed="1" width="7.33203125" customWidth="1" style="279" min="136" max="136"/>
    <col width="7.33203125" customWidth="1" style="279" min="137" max="139"/>
    <col width="6.6640625" customWidth="1" style="279" min="140" max="141"/>
    <col width="6" customWidth="1" style="279" min="142" max="142"/>
    <col width="6.109375" customWidth="1" style="279" min="143" max="145"/>
    <col width="6.5546875" customWidth="1" style="279" min="146" max="147"/>
    <col collapsed="1" width="7.33203125" customWidth="1" style="279" min="148" max="148"/>
    <col width="6.33203125" customWidth="1" style="279" min="149" max="149"/>
    <col width="7.33203125" customWidth="1" style="279" min="150" max="150"/>
    <col width="8.44140625" customWidth="1" style="279" min="151" max="151"/>
    <col width="7.33203125" customWidth="1" style="279" min="152" max="165"/>
    <col collapsed="1" width="7.33203125" customWidth="1" style="279" min="166" max="166"/>
    <col width="7.33203125" customWidth="1" style="279" min="167" max="183"/>
    <col hidden="1" width="7.33203125" customWidth="1" style="279" min="184" max="185"/>
    <col hidden="1" outlineLevel="1" width="7.33203125" customWidth="1" style="279" min="186" max="191"/>
    <col hidden="1" outlineLevel="1" collapsed="1" width="7.33203125" customWidth="1" style="279" min="192" max="192"/>
    <col hidden="1" outlineLevel="1" width="7.33203125" customWidth="1" style="279" min="193" max="195"/>
    <col hidden="1" outlineLevel="1" collapsed="1" width="7.33203125" customWidth="1" style="279" min="196" max="196"/>
    <col hidden="1" outlineLevel="1" width="7.33203125" customWidth="1" style="279" min="197" max="231"/>
    <col hidden="1" outlineLevel="1" collapsed="1" width="7.33203125" customWidth="1" style="279" min="232" max="232"/>
    <col hidden="1" outlineLevel="1" width="7.33203125" customWidth="1" style="279" min="233" max="241"/>
    <col hidden="1" outlineLevel="1" collapsed="1" width="7.33203125" customWidth="1" style="279" min="242" max="242"/>
    <col hidden="1" outlineLevel="1" width="7.33203125" customWidth="1" style="279" min="243" max="263"/>
    <col hidden="1" outlineLevel="1" width="7" customWidth="1" style="279" min="264" max="264"/>
    <col hidden="1" outlineLevel="1" width="7.33203125" customWidth="1" style="279" min="265" max="267"/>
    <col collapsed="1" width="7.33203125" customWidth="1" style="279" min="268" max="268"/>
    <col width="7.33203125" customWidth="1" style="279" min="269" max="271"/>
    <col width="6.88671875" customWidth="1" style="279" min="272" max="272"/>
    <col width="7.33203125" customWidth="1" style="279" min="273" max="273"/>
    <col collapsed="1" width="7.33203125" customWidth="1" style="279" min="274" max="274"/>
    <col width="7.33203125" customWidth="1" style="279" min="275" max="277"/>
    <col width="7" customWidth="1" style="279" min="278" max="278"/>
    <col width="7.33203125" customWidth="1" style="279" min="279" max="279"/>
    <col hidden="1" outlineLevel="1" width="6" customWidth="1" style="279" min="280" max="280"/>
    <col hidden="1" outlineLevel="1" width="5.5546875" customWidth="1" style="279" min="281" max="281"/>
    <col hidden="1" outlineLevel="1" width="5.88671875" customWidth="1" style="279" min="282" max="282"/>
    <col hidden="1" outlineLevel="1" width="6.5546875" customWidth="1" style="279" min="283" max="283"/>
    <col hidden="1" outlineLevel="1" width="5.44140625" customWidth="1" style="279" min="284" max="284"/>
    <col hidden="1" outlineLevel="1" width="6" customWidth="1" style="279" min="285" max="285"/>
    <col collapsed="1" width="7.33203125" customWidth="1" style="279" min="286" max="286"/>
    <col width="9.88671875" customWidth="1" style="279" min="287" max="287"/>
    <col width="9.44140625" customWidth="1" style="279" min="288" max="288"/>
    <col width="11.5546875" customWidth="1" style="279" min="289" max="289"/>
    <col width="17.5546875" customWidth="1" style="279" min="290" max="290"/>
    <col width="11" customWidth="1" style="279" min="291" max="291"/>
    <col width="15.44140625" customWidth="1" style="279" min="292" max="292"/>
    <col width="9.109375" customWidth="1" style="279" min="293" max="293"/>
    <col width="9.109375" customWidth="1" style="279" min="294" max="16384"/>
  </cols>
  <sheetData>
    <row r="1" ht="17.25" customFormat="1" customHeight="1" s="288" thickBot="1">
      <c r="A1" s="265" t="inlineStr">
        <is>
          <t>Расшифровка зарплаты рабочих за Февраль 2024 г</t>
        </is>
      </c>
      <c r="B1" s="266" t="n"/>
      <c r="C1" s="266" t="n"/>
      <c r="D1" s="266" t="n"/>
      <c r="E1" s="266" t="n"/>
      <c r="F1" s="266" t="n"/>
      <c r="G1" s="266" t="n"/>
      <c r="M1" s="5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V1" s="39" t="n"/>
      <c r="AW1" s="39" t="n"/>
      <c r="BB1" s="37" t="n"/>
      <c r="BC1" s="37" t="n"/>
      <c r="BD1" s="37" t="n"/>
      <c r="BE1" s="37" t="n"/>
      <c r="BJ1" s="287" t="n"/>
      <c r="BP1" s="287" t="n"/>
      <c r="CD1" s="36" t="n"/>
      <c r="DM1" s="310" t="n"/>
      <c r="DQ1" s="41" t="n"/>
      <c r="DR1" s="37" t="n"/>
      <c r="DS1" s="37" t="n"/>
      <c r="DT1" s="37" t="n"/>
      <c r="DU1" s="37" t="n"/>
      <c r="DV1" s="37" t="n"/>
      <c r="DW1" s="37" t="n"/>
      <c r="DX1" s="37" t="n"/>
      <c r="DY1" s="37" t="n"/>
      <c r="ER1" s="36" t="n"/>
      <c r="ES1" s="36" t="n"/>
      <c r="GZ1" s="39" t="n"/>
      <c r="HA1" s="39" t="n"/>
      <c r="HD1" s="37" t="n"/>
      <c r="HE1" s="37" t="n"/>
      <c r="HK1" s="39" t="n"/>
      <c r="HL1" s="39" t="n"/>
      <c r="HM1" s="40" t="n"/>
      <c r="HN1" s="39" t="n"/>
      <c r="HO1" s="39" t="n"/>
      <c r="HP1" s="39" t="n"/>
      <c r="HQ1" s="40" t="n"/>
      <c r="IO1" s="37" t="n"/>
      <c r="IQ1" s="37" t="n"/>
    </row>
    <row r="2" ht="11.25" customHeight="1" thickBot="1">
      <c r="A2" s="283" t="inlineStr">
        <is>
          <t>№ П/П</t>
        </is>
      </c>
      <c r="B2" s="299" t="inlineStr">
        <is>
          <t>Работники</t>
        </is>
      </c>
      <c r="C2" s="285" t="n"/>
      <c r="D2" s="337" t="inlineStr">
        <is>
          <t>Отработано часов</t>
        </is>
      </c>
      <c r="E2" s="305" t="n"/>
      <c r="F2" s="285" t="inlineStr">
        <is>
          <t>Оклад с РК</t>
        </is>
      </c>
      <c r="G2" s="308" t="n"/>
      <c r="H2" s="335" t="inlineStr">
        <is>
          <t>Распределение по заказам</t>
        </is>
      </c>
      <c r="I2" s="255" t="n"/>
      <c r="J2" s="255" t="n"/>
      <c r="K2" s="255" t="n"/>
      <c r="L2" s="255" t="n"/>
      <c r="M2" s="255" t="n"/>
      <c r="N2" s="255" t="n"/>
      <c r="O2" s="255" t="n"/>
      <c r="P2" s="255" t="n"/>
      <c r="Q2" s="255" t="n"/>
      <c r="R2" s="255" t="n"/>
      <c r="S2" s="255" t="n"/>
      <c r="T2" s="255" t="n"/>
      <c r="U2" s="255" t="n"/>
      <c r="V2" s="255" t="n"/>
      <c r="W2" s="255" t="n"/>
      <c r="X2" s="255" t="n"/>
      <c r="Y2" s="255" t="n"/>
      <c r="Z2" s="255" t="n"/>
      <c r="AA2" s="255" t="n"/>
      <c r="AB2" s="255" t="n"/>
      <c r="AC2" s="255" t="n"/>
      <c r="AD2" s="255" t="n"/>
      <c r="AE2" s="255" t="n"/>
      <c r="AF2" s="255" t="n"/>
      <c r="AG2" s="255" t="n"/>
      <c r="AH2" s="255" t="n"/>
      <c r="AI2" s="255" t="n"/>
      <c r="AJ2" s="255" t="n"/>
      <c r="AK2" s="255" t="n"/>
      <c r="AL2" s="255" t="n"/>
      <c r="AM2" s="255" t="n"/>
      <c r="AN2" s="255" t="n"/>
      <c r="AO2" s="255" t="n"/>
      <c r="AP2" s="255" t="n"/>
      <c r="AQ2" s="255" t="n"/>
      <c r="AR2" s="255" t="n"/>
      <c r="AS2" s="255" t="n"/>
      <c r="AT2" s="255" t="n"/>
      <c r="AU2" s="255" t="n"/>
      <c r="AV2" s="255" t="n"/>
      <c r="AW2" s="255" t="n"/>
      <c r="AX2" s="255" t="n"/>
      <c r="AY2" s="255" t="n"/>
      <c r="AZ2" s="255" t="n"/>
      <c r="BA2" s="255" t="n"/>
      <c r="BB2" s="255" t="n"/>
      <c r="BC2" s="255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  <c r="BN2" s="47" t="n"/>
      <c r="BO2" s="47" t="n"/>
      <c r="BP2" s="47" t="n"/>
      <c r="BQ2" s="47" t="n"/>
      <c r="BR2" s="47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  <c r="CO2" s="47" t="n"/>
      <c r="CP2" s="47" t="n"/>
      <c r="CQ2" s="47" t="n"/>
      <c r="CR2" s="47" t="n"/>
      <c r="CS2" s="47" t="n"/>
      <c r="CT2" s="47" t="n"/>
      <c r="CU2" s="47" t="n"/>
      <c r="CV2" s="47" t="n"/>
      <c r="CW2" s="47" t="n"/>
      <c r="CX2" s="47" t="n"/>
      <c r="CY2" s="47" t="n"/>
      <c r="CZ2" s="47" t="n"/>
      <c r="DA2" s="47" t="n"/>
      <c r="DB2" s="47" t="n"/>
      <c r="DC2" s="47" t="n"/>
      <c r="DD2" s="47" t="n"/>
      <c r="DE2" s="47" t="n"/>
      <c r="DF2" s="47" t="n"/>
      <c r="DG2" s="47" t="n"/>
      <c r="DH2" s="47" t="n"/>
      <c r="DI2" s="47" t="n"/>
      <c r="DJ2" s="47" t="n"/>
      <c r="DK2" s="47" t="n"/>
      <c r="DL2" s="47" t="n"/>
      <c r="DM2" s="47" t="n"/>
      <c r="DN2" s="47" t="n"/>
      <c r="DO2" s="47" t="n"/>
      <c r="DP2" s="47" t="n"/>
      <c r="DQ2" s="47" t="n"/>
      <c r="DR2" s="47" t="n"/>
      <c r="DS2" s="47" t="n"/>
      <c r="DT2" s="47" t="n"/>
      <c r="DU2" s="47" t="n"/>
      <c r="DV2" s="47" t="n"/>
      <c r="DW2" s="47" t="n"/>
      <c r="DX2" s="47" t="n"/>
      <c r="DY2" s="47" t="n"/>
      <c r="DZ2" s="47" t="n"/>
      <c r="EA2" s="47" t="n"/>
      <c r="EB2" s="47" t="n"/>
      <c r="EC2" s="47" t="n"/>
      <c r="ED2" s="47" t="n"/>
      <c r="EE2" s="47" t="n"/>
      <c r="EF2" s="47" t="n"/>
      <c r="EG2" s="47" t="n"/>
      <c r="EH2" s="47" t="n"/>
      <c r="EI2" s="47" t="n"/>
      <c r="EJ2" s="47" t="n"/>
      <c r="EK2" s="47" t="n"/>
      <c r="EL2" s="47" t="n"/>
      <c r="EM2" s="47" t="n"/>
      <c r="EN2" s="47" t="n"/>
      <c r="EO2" s="47" t="n"/>
      <c r="EP2" s="47" t="n"/>
      <c r="EQ2" s="47" t="n"/>
      <c r="ER2" s="47" t="n"/>
      <c r="ES2" s="47" t="n"/>
      <c r="ET2" s="47" t="n"/>
      <c r="EU2" s="47" t="n"/>
      <c r="EV2" s="47" t="n"/>
      <c r="EW2" s="47" t="n"/>
      <c r="EX2" s="47" t="n"/>
      <c r="EY2" s="47" t="n"/>
      <c r="EZ2" s="47" t="n"/>
      <c r="FA2" s="47" t="n"/>
      <c r="FB2" s="47" t="n"/>
      <c r="FC2" s="47" t="n"/>
      <c r="FD2" s="47" t="n"/>
      <c r="FE2" s="47" t="n"/>
      <c r="FF2" s="47" t="n"/>
      <c r="FG2" s="47" t="n"/>
      <c r="FH2" s="47" t="n"/>
      <c r="FI2" s="47" t="n"/>
      <c r="FJ2" s="47" t="n"/>
      <c r="FK2" s="47" t="n"/>
      <c r="FL2" s="47" t="n"/>
      <c r="FM2" s="47" t="n"/>
      <c r="FN2" s="47" t="n"/>
      <c r="FO2" s="47" t="n"/>
      <c r="FP2" s="47" t="n"/>
      <c r="FQ2" s="47" t="n"/>
      <c r="FR2" s="47" t="n"/>
      <c r="FS2" s="47" t="n"/>
      <c r="FT2" s="47" t="n"/>
      <c r="FU2" s="47" t="n"/>
      <c r="FV2" s="47" t="n"/>
      <c r="FW2" s="47" t="n"/>
      <c r="FX2" s="47" t="n"/>
      <c r="FY2" s="47" t="n"/>
      <c r="FZ2" s="47" t="n"/>
      <c r="GA2" s="47" t="n"/>
      <c r="GB2" s="47" t="n"/>
      <c r="GC2" s="47" t="n"/>
      <c r="GD2" s="47" t="n"/>
      <c r="GE2" s="47" t="n"/>
      <c r="GF2" s="47" t="n"/>
      <c r="GG2" s="47" t="n"/>
      <c r="GH2" s="47" t="n"/>
      <c r="GI2" s="47" t="n"/>
      <c r="GJ2" s="47" t="n"/>
      <c r="GK2" s="47" t="n"/>
      <c r="GL2" s="47" t="n"/>
      <c r="GM2" s="47" t="n"/>
      <c r="GN2" s="47" t="n"/>
      <c r="GO2" s="47" t="n"/>
      <c r="GP2" s="47" t="n"/>
      <c r="GQ2" s="47" t="n"/>
      <c r="GR2" s="47" t="n"/>
      <c r="GS2" s="47" t="n"/>
      <c r="GT2" s="47" t="n"/>
      <c r="GU2" s="47" t="n"/>
      <c r="GV2" s="47" t="n"/>
      <c r="GW2" s="47" t="n"/>
      <c r="GX2" s="47" t="n"/>
      <c r="GY2" s="47" t="n"/>
      <c r="GZ2" s="47" t="n"/>
      <c r="HA2" s="47" t="n"/>
      <c r="HB2" s="47" t="n"/>
      <c r="HC2" s="47" t="n"/>
      <c r="HD2" s="47" t="n"/>
      <c r="HE2" s="47" t="n"/>
      <c r="HF2" s="47" t="n"/>
      <c r="HG2" s="47" t="n"/>
      <c r="HH2" s="47" t="n"/>
      <c r="HI2" s="47" t="n"/>
      <c r="HJ2" s="47" t="n"/>
      <c r="HK2" s="47" t="n"/>
      <c r="HL2" s="47" t="n"/>
      <c r="HM2" s="47" t="n"/>
      <c r="HN2" s="47" t="n"/>
      <c r="HO2" s="47" t="n"/>
      <c r="HP2" s="47" t="n"/>
      <c r="HQ2" s="47" t="n"/>
      <c r="HR2" s="47" t="n"/>
      <c r="HS2" s="47" t="n"/>
      <c r="HT2" s="47" t="n"/>
      <c r="HU2" s="47" t="n"/>
      <c r="HV2" s="47" t="n"/>
      <c r="HW2" s="47" t="n"/>
      <c r="HX2" s="47" t="n"/>
      <c r="HY2" s="47" t="n"/>
      <c r="HZ2" s="47" t="n"/>
      <c r="IA2" s="47" t="n"/>
      <c r="IB2" s="47" t="n"/>
      <c r="IC2" s="47" t="n"/>
      <c r="ID2" s="47" t="n"/>
      <c r="IE2" s="47" t="n"/>
      <c r="IF2" s="47" t="n"/>
      <c r="IG2" s="47" t="n"/>
      <c r="IH2" s="47" t="n"/>
      <c r="II2" s="47" t="n"/>
      <c r="IJ2" s="47" t="n"/>
      <c r="IK2" s="47" t="n"/>
      <c r="IL2" s="47" t="n"/>
      <c r="IM2" s="47" t="n"/>
      <c r="IN2" s="47" t="n"/>
      <c r="IO2" s="47" t="n"/>
      <c r="IP2" s="47" t="n"/>
      <c r="IQ2" s="47" t="n"/>
      <c r="IR2" s="47" t="n"/>
      <c r="IS2" s="47" t="n"/>
      <c r="IT2" s="47" t="n"/>
      <c r="IU2" s="47" t="n"/>
      <c r="IV2" s="47" t="n"/>
      <c r="IW2" s="47" t="n"/>
      <c r="IX2" s="47" t="n"/>
      <c r="IY2" s="47" t="n"/>
      <c r="IZ2" s="47" t="n"/>
      <c r="JA2" s="47" t="n"/>
      <c r="JB2" s="47" t="n"/>
      <c r="JC2" s="47" t="n"/>
      <c r="JD2" s="47" t="n"/>
      <c r="JE2" s="47" t="n"/>
      <c r="JF2" s="47" t="n"/>
      <c r="JG2" s="47" t="n"/>
      <c r="JH2" s="47" t="n"/>
      <c r="JI2" s="47" t="n"/>
      <c r="JJ2" s="47" t="n"/>
      <c r="JK2" s="47" t="n"/>
      <c r="JL2" s="47" t="n"/>
      <c r="JM2" s="47" t="n"/>
      <c r="JN2" s="47" t="n"/>
      <c r="JO2" s="47" t="n"/>
      <c r="JP2" s="47" t="n"/>
      <c r="JQ2" s="47" t="n"/>
      <c r="JR2" s="47" t="n"/>
      <c r="JS2" s="47" t="n"/>
      <c r="JT2" s="47" t="n"/>
      <c r="JU2" s="47" t="n"/>
      <c r="JV2" s="47" t="n"/>
      <c r="JW2" s="47" t="n"/>
      <c r="JX2" s="47" t="n"/>
      <c r="JY2" s="47" t="n"/>
      <c r="JZ2" s="47" t="n"/>
      <c r="KA2" s="47" t="n"/>
      <c r="KB2" s="47" t="n"/>
      <c r="KC2" s="48" t="n"/>
    </row>
    <row r="3" ht="14.25" customHeight="1">
      <c r="A3" s="284" t="n"/>
      <c r="B3" s="284" t="n"/>
      <c r="C3" s="286" t="n"/>
      <c r="D3" s="286" t="n"/>
      <c r="E3" s="306" t="n"/>
      <c r="F3" s="286" t="n"/>
      <c r="H3" s="339" t="inlineStr">
        <is>
          <t>ОСНАСТКА</t>
        </is>
      </c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0" t="n"/>
      <c r="S3" s="340" t="n"/>
      <c r="T3" s="340" t="n"/>
      <c r="U3" s="340" t="n"/>
      <c r="V3" s="340" t="n"/>
      <c r="W3" s="340" t="n"/>
      <c r="X3" s="340" t="n"/>
      <c r="Y3" s="340" t="n"/>
      <c r="Z3" s="340" t="n"/>
      <c r="AA3" s="248" t="n"/>
      <c r="AB3" s="68" t="n"/>
      <c r="AC3" s="68" t="n"/>
      <c r="AD3" s="68" t="n"/>
      <c r="AE3" s="68" t="n"/>
      <c r="AF3" s="68" t="n"/>
      <c r="AG3" s="68" t="n"/>
      <c r="AH3" s="68" t="n"/>
      <c r="AI3" s="144" t="n"/>
      <c r="AJ3" s="145" t="n"/>
      <c r="AK3" s="145" t="n"/>
      <c r="AL3" s="336" t="n"/>
      <c r="AM3" s="271" t="n"/>
      <c r="AN3" s="68" t="n"/>
      <c r="AO3" s="68" t="n"/>
      <c r="AP3" s="68" t="n"/>
      <c r="AQ3" s="68" t="n"/>
      <c r="AR3" s="68" t="n"/>
      <c r="AS3" s="68" t="n"/>
      <c r="AT3" s="68" t="n"/>
      <c r="AU3" s="68" t="n"/>
      <c r="AV3" s="68" t="n"/>
      <c r="AW3" s="68" t="n"/>
      <c r="AX3" s="69" t="n"/>
      <c r="AY3" s="68" t="n"/>
      <c r="AZ3" s="68" t="n"/>
      <c r="BA3" s="68" t="n"/>
      <c r="BB3" s="68" t="n"/>
      <c r="BC3" s="68" t="n"/>
      <c r="BD3" s="43" t="n"/>
      <c r="BE3" s="43" t="n"/>
      <c r="BF3" s="43" t="n"/>
      <c r="BG3" s="43" t="n"/>
      <c r="BH3" s="43" t="n"/>
      <c r="BI3" s="43" t="n"/>
      <c r="BJ3" s="43" t="n"/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  <c r="CO3" s="43" t="n"/>
      <c r="CP3" s="43" t="n"/>
      <c r="CQ3" s="43" t="n"/>
      <c r="CR3" s="43" t="n"/>
      <c r="CS3" s="43" t="n"/>
      <c r="CT3" s="43" t="n"/>
      <c r="CU3" s="43" t="n"/>
      <c r="CV3" s="43" t="n"/>
      <c r="CW3" s="43" t="n"/>
      <c r="CX3" s="43" t="n"/>
      <c r="CY3" s="43" t="n"/>
      <c r="CZ3" s="43" t="n"/>
      <c r="DA3" s="43" t="n"/>
      <c r="DB3" s="43" t="n"/>
      <c r="DC3" s="43" t="n"/>
      <c r="DD3" s="43" t="n"/>
      <c r="DE3" s="43" t="n"/>
      <c r="DF3" s="43" t="n"/>
      <c r="DG3" s="43" t="n"/>
      <c r="DH3" s="43" t="n"/>
      <c r="DI3" s="43" t="n"/>
      <c r="DJ3" s="43" t="n"/>
      <c r="DK3" s="43" t="n"/>
      <c r="DL3" s="43" t="n"/>
      <c r="DM3" s="43" t="n"/>
      <c r="DN3" s="43" t="n"/>
      <c r="DO3" s="43" t="n"/>
      <c r="DP3" s="43" t="n"/>
      <c r="DQ3" s="43" t="n"/>
      <c r="DR3" s="43" t="n"/>
      <c r="DS3" s="43" t="n"/>
      <c r="DT3" s="43" t="n"/>
      <c r="DU3" s="43" t="n"/>
      <c r="DV3" s="43" t="n"/>
      <c r="DW3" s="43" t="n"/>
      <c r="DX3" s="43" t="n"/>
      <c r="DY3" s="43" t="n"/>
      <c r="DZ3" s="43" t="n"/>
      <c r="EA3" s="43" t="n"/>
      <c r="EB3" s="43" t="n"/>
      <c r="EC3" s="43" t="n"/>
      <c r="ED3" s="43" t="n"/>
      <c r="EE3" s="43" t="n"/>
      <c r="EF3" s="43" t="n"/>
      <c r="EG3" s="43" t="n"/>
      <c r="EH3" s="43" t="n"/>
      <c r="EI3" s="43" t="n"/>
      <c r="EJ3" s="43" t="n"/>
      <c r="EK3" s="43" t="n"/>
      <c r="EL3" s="43" t="n"/>
      <c r="EM3" s="43" t="n"/>
      <c r="EN3" s="43" t="n"/>
      <c r="EO3" s="43" t="n"/>
      <c r="EP3" s="43" t="n"/>
      <c r="EQ3" s="43" t="n"/>
      <c r="ER3" s="43" t="n"/>
      <c r="ES3" s="43" t="n"/>
      <c r="ET3" s="43" t="n"/>
      <c r="EU3" s="43" t="n"/>
      <c r="EV3" s="43" t="n"/>
      <c r="EW3" s="43" t="n"/>
      <c r="EX3" s="43" t="n"/>
      <c r="EY3" s="43" t="n"/>
      <c r="EZ3" s="43" t="n"/>
      <c r="FA3" s="62" t="n"/>
      <c r="FB3" s="63" t="n"/>
      <c r="FC3" s="62" t="n"/>
      <c r="FD3" s="63" t="n"/>
      <c r="FE3" s="62" t="n"/>
      <c r="FF3" s="63" t="n"/>
      <c r="FG3" s="62" t="n"/>
      <c r="FH3" s="43" t="n"/>
      <c r="FI3" s="62" t="n"/>
      <c r="FJ3" s="43" t="n"/>
      <c r="FK3" s="43" t="n"/>
      <c r="FL3" s="43" t="n"/>
      <c r="FM3" s="43" t="n"/>
      <c r="FN3" s="43" t="n"/>
      <c r="FO3" s="43" t="n"/>
      <c r="FP3" s="43" t="n"/>
      <c r="FQ3" s="43" t="n"/>
      <c r="FR3" s="43" t="n"/>
      <c r="FS3" s="43" t="n"/>
      <c r="FT3" s="43" t="n"/>
      <c r="FU3" s="43" t="n"/>
      <c r="FV3" s="43" t="n"/>
      <c r="FW3" s="43" t="n"/>
      <c r="FX3" s="43" t="n"/>
      <c r="FY3" s="43" t="n"/>
      <c r="FZ3" s="43" t="n"/>
      <c r="GA3" s="43" t="n"/>
      <c r="GB3" s="43" t="n"/>
      <c r="GC3" s="43" t="n"/>
      <c r="GD3" s="43" t="n"/>
      <c r="GE3" s="43" t="n"/>
      <c r="GF3" s="43" t="n"/>
      <c r="GG3" s="43" t="n"/>
      <c r="GH3" s="43" t="n"/>
      <c r="GI3" s="54" t="n"/>
      <c r="GJ3" s="43" t="n"/>
      <c r="GK3" s="43" t="n"/>
      <c r="GL3" s="43" t="n"/>
      <c r="GM3" s="43" t="n"/>
      <c r="GN3" s="43" t="n"/>
      <c r="GO3" s="43" t="n"/>
      <c r="GP3" s="43" t="n"/>
      <c r="GQ3" s="43" t="n"/>
      <c r="GR3" s="43" t="n"/>
      <c r="GS3" s="43" t="n"/>
      <c r="GT3" s="43" t="n"/>
      <c r="GU3" s="43" t="n"/>
      <c r="GV3" s="50" t="n"/>
      <c r="GW3" s="50" t="n"/>
      <c r="GX3" s="50" t="n"/>
      <c r="GY3" s="50" t="n"/>
      <c r="GZ3" s="50" t="n"/>
      <c r="HA3" s="50" t="n"/>
      <c r="HB3" s="43" t="n"/>
      <c r="HC3" s="43" t="n"/>
      <c r="HD3" s="43" t="n"/>
      <c r="HE3" s="43" t="n"/>
      <c r="HF3" s="49" t="n"/>
      <c r="HG3" s="43" t="n"/>
      <c r="HH3" s="43" t="n"/>
      <c r="HI3" s="43" t="n"/>
      <c r="HJ3" s="43" t="n"/>
      <c r="HK3" s="43" t="n"/>
      <c r="HL3" s="43" t="n"/>
      <c r="HM3" s="43" t="n"/>
      <c r="HN3" s="43" t="n"/>
      <c r="HO3" s="43" t="n"/>
      <c r="HP3" s="43" t="n"/>
      <c r="HQ3" s="43" t="n"/>
      <c r="HR3" s="43" t="n"/>
      <c r="HS3" s="43" t="n"/>
      <c r="HT3" s="43" t="n"/>
      <c r="HU3" s="43" t="n"/>
      <c r="HV3" s="43" t="n"/>
      <c r="HW3" s="43" t="n"/>
      <c r="HX3" s="43" t="n"/>
      <c r="HY3" s="43" t="n"/>
      <c r="HZ3" s="43" t="n"/>
      <c r="IA3" s="43" t="n"/>
      <c r="IB3" s="43" t="n"/>
      <c r="IC3" s="43" t="n"/>
      <c r="ID3" s="43" t="n"/>
      <c r="IE3" s="43" t="n"/>
      <c r="IF3" s="43" t="n"/>
      <c r="IG3" s="43" t="n"/>
      <c r="IH3" s="43" t="n"/>
      <c r="II3" s="43" t="n"/>
      <c r="IJ3" s="43" t="n"/>
      <c r="IK3" s="43" t="n"/>
      <c r="IL3" s="43" t="n"/>
      <c r="IM3" s="43" t="n"/>
      <c r="IN3" s="43" t="n"/>
      <c r="IO3" s="43" t="n"/>
      <c r="IP3" s="43" t="n"/>
      <c r="IQ3" s="43" t="n"/>
      <c r="IR3" s="43" t="n"/>
      <c r="IS3" s="43" t="n"/>
      <c r="IT3" s="43" t="n"/>
      <c r="IU3" s="43" t="n"/>
      <c r="IV3" s="43" t="n"/>
      <c r="IW3" s="43" t="n"/>
      <c r="IX3" s="43" t="n"/>
      <c r="IY3" s="43" t="n"/>
      <c r="IZ3" s="50" t="n"/>
      <c r="JA3" s="50" t="n"/>
      <c r="JB3" s="50" t="n"/>
      <c r="JC3" s="50" t="n"/>
      <c r="JD3" s="50" t="n"/>
      <c r="JE3" s="50" t="n"/>
      <c r="JF3" s="42" t="n"/>
      <c r="JG3" s="42" t="n"/>
      <c r="JH3" s="42" t="n"/>
      <c r="JI3" s="42" t="n"/>
      <c r="JJ3" s="342" t="n"/>
      <c r="JK3" s="340" t="n"/>
      <c r="JL3" s="304" t="inlineStr">
        <is>
          <t>Работы с обслуживанием цеха и оборудования</t>
        </is>
      </c>
      <c r="JM3" s="305" t="n"/>
      <c r="JN3" s="270" t="inlineStr">
        <is>
          <t>Подготовительные работы по ОС</t>
        </is>
      </c>
      <c r="JO3" s="271" t="n"/>
      <c r="JP3" s="271" t="n"/>
      <c r="JQ3" s="271" t="n"/>
      <c r="JR3" s="271" t="n"/>
      <c r="JS3" s="271" t="n"/>
      <c r="JT3" s="271" t="n"/>
      <c r="JU3" s="271" t="n"/>
      <c r="JV3" s="271" t="n"/>
      <c r="JW3" s="271" t="n"/>
      <c r="JX3" s="271" t="n"/>
      <c r="JY3" s="271" t="n"/>
      <c r="JZ3" s="271" t="n"/>
      <c r="KA3" s="272" t="n"/>
      <c r="KB3" s="316" t="inlineStr">
        <is>
          <t>ВСЕГО</t>
        </is>
      </c>
      <c r="KC3" s="306" t="n"/>
    </row>
    <row r="4" ht="104.25" customHeight="1">
      <c r="A4" s="284" t="n"/>
      <c r="B4" s="284" t="n"/>
      <c r="C4" s="286" t="n"/>
      <c r="D4" s="338" t="n"/>
      <c r="E4" s="281" t="n"/>
      <c r="F4" s="286" t="n"/>
      <c r="H4" s="260" t="inlineStr">
        <is>
          <t>Установка ТВЧ</t>
        </is>
      </c>
      <c r="I4" s="248" t="n"/>
      <c r="J4" s="249" t="inlineStr">
        <is>
          <t>Стол ТК.164.01.000</t>
        </is>
      </c>
      <c r="K4" s="248" t="n"/>
      <c r="L4" s="249" t="inlineStr">
        <is>
          <t>Опора закладная ТК.163.00.000</t>
        </is>
      </c>
      <c r="M4" s="248" t="n"/>
      <c r="N4" s="260" t="n"/>
      <c r="O4" s="248" t="n"/>
      <c r="P4" s="260" t="n"/>
      <c r="Q4" s="248" t="n"/>
      <c r="R4" s="260" t="n"/>
      <c r="S4" s="248" t="n"/>
      <c r="T4" s="260" t="n"/>
      <c r="U4" s="248" t="n"/>
      <c r="V4" s="260" t="n"/>
      <c r="W4" s="248" t="n"/>
      <c r="X4" s="260" t="n"/>
      <c r="Y4" s="248" t="n"/>
      <c r="Z4" s="260" t="n"/>
      <c r="AA4" s="248" t="n"/>
      <c r="AB4" s="249" t="inlineStr">
        <is>
          <t>Цевочное колесо sprocket парт№ 100026187(00571157-0062) (СИБ/503/00011292)</t>
        </is>
      </c>
      <c r="AC4" s="248" t="n"/>
      <c r="AD4" s="260" t="inlineStr">
        <is>
          <t>Нож воздушный СИТК.501.100.00.000</t>
        </is>
      </c>
      <c r="AE4" s="248" t="n"/>
      <c r="AF4" s="249" t="inlineStr">
        <is>
          <t>Фланец промежуточный S252666 SL-300</t>
        </is>
      </c>
      <c r="AG4" s="248" t="n"/>
      <c r="AH4" s="260" t="inlineStr">
        <is>
          <t>ЗВЕЗДОЧКА DKB 34*126-7-330 ВЕ668500 PF6</t>
        </is>
      </c>
      <c r="AI4" s="248" t="n"/>
      <c r="AJ4" s="260" t="inlineStr">
        <is>
          <t>Колесо цевочное S239573ZA комбайн SL300/500/900</t>
        </is>
      </c>
      <c r="AK4" s="248" t="n"/>
      <c r="AL4" s="260" t="inlineStr">
        <is>
          <t>КОМПЛЕКТ НАПРАВЛЯЮЩИХ ПРИНУДИТЕЛЬНЫХ SPR3-1300 PF4 ООО СИТК BE668509+5325509 КОНВЕЙЕР PF6</t>
        </is>
      </c>
      <c r="AM4" s="248" t="n"/>
      <c r="AN4" s="260" t="inlineStr">
        <is>
          <t>УЗЕЛ ПРИВОДА MR65-1100 5320018 КОНВЕЙЕР PF6/1142</t>
        </is>
      </c>
      <c r="AO4" s="248" t="n"/>
      <c r="AP4" s="260" t="inlineStr">
        <is>
          <t>КМП угололков Р6 для MRHS 5325486 конвейер PF6/1142</t>
        </is>
      </c>
      <c r="AQ4" s="248" t="n"/>
      <c r="AR4" s="260" t="inlineStr">
        <is>
          <t>ЦЕПЕСЪЕМНИК CAT 5410007 КОНВЕЙЕР PF6/1142</t>
        </is>
      </c>
      <c r="AS4" s="248" t="n"/>
      <c r="AT4" s="260" t="inlineStr">
        <is>
          <t>Палец 40ХН D57мм L228мм СИТК.433.00.01.002</t>
        </is>
      </c>
      <c r="AU4" s="248" t="n"/>
      <c r="AV4" s="260" t="inlineStr">
        <is>
          <t>Ремонт редуктора внешнего барабана режущего органа МВ-670 зав.295 инв.№СО54558</t>
        </is>
      </c>
      <c r="AW4" s="248" t="n"/>
      <c r="AX4" s="260" t="inlineStr">
        <is>
          <t>Ремонт цепного барабана вспомогатильного привода скребкового конвейера Rybnil850</t>
        </is>
      </c>
      <c r="AY4" s="248" t="n"/>
      <c r="AZ4" s="260" t="inlineStr">
        <is>
          <t>ВАЛ ПРИВОДНОЙ ESW260-D280 531-9847 КОНВЕЙЕР PF4/1132</t>
        </is>
      </c>
      <c r="BA4" s="248" t="n"/>
      <c r="BB4" s="260" t="inlineStr">
        <is>
          <t>Лыжа забойная S253003 SL-300</t>
        </is>
      </c>
      <c r="BC4" s="248" t="n"/>
      <c r="BD4" s="260" t="inlineStr">
        <is>
          <t>ВАЛ ПРИВОДНОЙ ESW260-D280 531-9847 КОНВЕЙЕР PF4/1132</t>
        </is>
      </c>
      <c r="BE4" s="248" t="n"/>
      <c r="BF4" s="249" t="inlineStr">
        <is>
          <t>Втулка BUSHING, STRAIGHT, OD 114.00000 MM, НАПРАВЛЯЮШАЯ СТАЛЬ 10051104 ОЧИСТНОЙ КОМБАЙН 4LS20 (СИБ/503/00091512)</t>
        </is>
      </c>
      <c r="BG4" s="248" t="n"/>
      <c r="BH4" s="260" t="inlineStr">
        <is>
          <t>Вал S252748 для комбайна SL-300 срезной</t>
        </is>
      </c>
      <c r="BI4" s="248" t="n"/>
      <c r="BJ4" s="260" t="inlineStr">
        <is>
          <t>ВАЛ_ШЛИЦЕВОЙ_01069528-0529</t>
        </is>
      </c>
      <c r="BK4" s="248" t="n"/>
      <c r="BL4" s="260" t="inlineStr">
        <is>
          <t>Вал шлицевой 01069528-2156</t>
        </is>
      </c>
      <c r="BM4" s="248" t="n"/>
      <c r="BN4" s="260" t="inlineStr">
        <is>
          <t>Вал шлицевой 01069528-2156</t>
        </is>
      </c>
      <c r="BO4" s="248" t="n"/>
      <c r="BP4" s="260" t="inlineStr">
        <is>
          <t>Палец цилиндрический 01069427-2016 PIN. HEADED, (METRIC) комбайн 4LS-20 (СИБ/503/00018135)</t>
        </is>
      </c>
      <c r="BQ4" s="248" t="n"/>
      <c r="BR4" s="260" t="inlineStr">
        <is>
          <t>СРЕЗНОЙ ПАЛЕЦ ф60*180 PART. №ГТМ-70.00.11</t>
        </is>
      </c>
      <c r="BS4" s="248" t="n"/>
      <c r="BT4" s="260" t="inlineStr">
        <is>
          <t>Вал срезной поворотного редуктора S253055 00</t>
        </is>
      </c>
      <c r="BU4" s="248" t="n"/>
      <c r="BV4" s="260" t="inlineStr">
        <is>
          <t>Барабан цепной 2*34*126*Z5*24.659.000.000</t>
        </is>
      </c>
      <c r="BW4" s="248" t="n"/>
      <c r="BX4" s="249" t="inlineStr">
        <is>
          <t>Колесо ведомое цевочное S239573ZA</t>
        </is>
      </c>
      <c r="BY4" s="248" t="n"/>
      <c r="BZ4" s="249" t="inlineStr">
        <is>
          <t>Барабан цепной 2х34х126 Z-7 25/2хW220 разгрузочного привода скребкового перегружателя GROT 950</t>
        </is>
      </c>
      <c r="CA4" s="248" t="n"/>
      <c r="CB4" s="260" t="inlineStr">
        <is>
          <t>Ремонт вибровозбудителя HAVER NIAGARA YD55 поз.62</t>
        </is>
      </c>
      <c r="CC4" s="248" t="n"/>
      <c r="CD4" s="347" t="inlineStr">
        <is>
          <t>Фиксатор 5086997 PF AFC</t>
        </is>
      </c>
      <c r="CE4" s="248" t="n"/>
      <c r="CF4" s="260" t="inlineStr">
        <is>
          <t>Звездочка DKB 34*126-7-330 BE668500 PF6</t>
        </is>
      </c>
      <c r="CG4" s="248" t="n"/>
      <c r="CH4" s="260" t="inlineStr">
        <is>
          <t>Звездочка DKB 34*126-7-330 BE668500 PF6</t>
        </is>
      </c>
      <c r="CI4" s="248" t="n"/>
      <c r="CJ4" s="260" t="inlineStr">
        <is>
          <t>Ремонт редуктора внешнего барабана режущего органа комбайна проходческого МБ-1670 инв.№СО54570</t>
        </is>
      </c>
      <c r="CK4" s="248" t="n"/>
      <c r="CL4" s="260" t="inlineStr">
        <is>
          <t>Палец цилиндрический 01069432-1058  комбайн 4LS-20 (СИБ/503/00018132)</t>
        </is>
      </c>
      <c r="CM4" s="248" t="n"/>
      <c r="CN4" s="260" t="inlineStr">
        <is>
          <t>ремонт вентилятора УВЦГ-9</t>
        </is>
      </c>
      <c r="CO4" s="248" t="n"/>
      <c r="CP4" s="249" t="inlineStr">
        <is>
          <t>Фиксатор стойки перекрытия</t>
        </is>
      </c>
      <c r="CQ4" s="248" t="n"/>
      <c r="CR4" s="349" t="inlineStr">
        <is>
          <t>Направляющая захвата EICKHOFF S 291897Y комбайна SL-900</t>
        </is>
      </c>
      <c r="CS4" s="248" t="n"/>
      <c r="CT4" s="260" t="inlineStr">
        <is>
          <t>Комплект кулачков САТ5316972 конвейер AFC PF6/1142</t>
        </is>
      </c>
      <c r="CU4" s="248" t="n"/>
      <c r="CV4" s="260" t="inlineStr">
        <is>
          <t>Барабан перфорированный 3 D440 ФПП3.МЧ.56 ФПП-3000МЧ</t>
        </is>
      </c>
      <c r="CW4" s="248" t="n"/>
      <c r="CX4" s="249" t="inlineStr">
        <is>
          <t>Втулка BUSHING, FLANGED, OD 590.43 MM, ID 565.42 РАЗРЕЗНАЯ С БУРТОМ СТАЛЬ 100400330 ОЧИСТНОЙ КОМБАЙН 4LS20 (СИБ/503/00091509)</t>
        </is>
      </c>
      <c r="CY4" s="248" t="n"/>
      <c r="CZ4" s="260" t="inlineStr">
        <is>
          <t>Соединитель 3000 КН WY20.091.01-01.003</t>
        </is>
      </c>
      <c r="DA4" s="248" t="n"/>
      <c r="DB4" s="346" t="inlineStr">
        <is>
          <t>ремонт вентилятора УВЦГ-9</t>
        </is>
      </c>
      <c r="DC4" s="248" t="n"/>
      <c r="DD4" s="260" t="inlineStr">
        <is>
          <t>Опора звездочки 1300 112162</t>
        </is>
      </c>
      <c r="DE4" s="248" t="n"/>
      <c r="DF4" s="260" t="inlineStr">
        <is>
          <t>Вал с подшипниковой опорой 5408099 BSW220*10 конвейер PF6/1142</t>
        </is>
      </c>
      <c r="DG4" s="248" t="n"/>
      <c r="DH4" s="260" t="inlineStr">
        <is>
          <t>Вал с подшипниковой опорой 5408099 BSW220*10 конвейер PF6/1142</t>
        </is>
      </c>
      <c r="DI4" s="248" t="n"/>
      <c r="DJ4" s="260" t="inlineStr">
        <is>
          <t>Вал приводной BSW260-D280 ВЕ668730 КР15</t>
        </is>
      </c>
      <c r="DK4" s="248" t="n"/>
      <c r="DL4" s="260" t="inlineStr">
        <is>
          <t>Ремонт вибровозбудителя BIRTLEY поз.300</t>
        </is>
      </c>
      <c r="DM4" s="248" t="n"/>
      <c r="DN4" s="260" t="inlineStr">
        <is>
          <t>Звездочка 100134501 конвейер JOY AFC</t>
        </is>
      </c>
      <c r="DO4" s="248" t="n"/>
      <c r="DP4" s="260" t="inlineStr">
        <is>
          <t>РЕМКОМПЛЕКТ S289671Y КОМБАЙН SL-500</t>
        </is>
      </c>
      <c r="DQ4" s="248" t="n"/>
      <c r="DR4" s="249" t="inlineStr">
        <is>
          <t>Шкив 40ХН 230х80 СИТК.433.00.01.001-01 для прямой скобы под канат D32мм</t>
        </is>
      </c>
      <c r="DS4" s="248" t="n"/>
      <c r="DT4" s="260" t="inlineStr">
        <is>
          <t>Шкив 40ХН 230х80 СИТК.433.00.01.001-01 для прямой скобы под канат D32мм</t>
        </is>
      </c>
      <c r="DU4" s="248" t="n"/>
      <c r="DV4" s="260" t="inlineStr">
        <is>
          <t>Цевочное колесо sprocket парт№ 100026187(00571157-0062) (СИБ/503/00011292)</t>
        </is>
      </c>
      <c r="DW4" s="248" t="n"/>
      <c r="DX4" s="260" t="inlineStr">
        <is>
          <t>Вал ведущий D11,25 GH31190</t>
        </is>
      </c>
      <c r="DY4" s="248" t="n"/>
      <c r="DZ4" s="260" t="inlineStr">
        <is>
          <t>КМП угололков Р6 для MRHS 5325486 конвейер PF6/1142</t>
        </is>
      </c>
      <c r="EA4" s="248" t="n"/>
      <c r="EB4" s="260" t="inlineStr">
        <is>
          <t>ОПОРА САМОУСТАНАВЛИВАЮЩАЯ СЯ S287324 SL900</t>
        </is>
      </c>
      <c r="EC4" s="248" t="n"/>
      <c r="ED4" s="260" t="inlineStr">
        <is>
          <t>Крепеж к бойку ДУ910.38.011А (болт ДУ910.38.003, гайка ДУ.38.014 , винт ДУ910.38.005), кмт</t>
        </is>
      </c>
      <c r="EE4" s="248" t="n"/>
      <c r="EF4" s="249" t="inlineStr">
        <is>
          <t>Боек ДУ910.38.011А в сборе</t>
        </is>
      </c>
      <c r="EG4" s="248" t="n"/>
      <c r="EH4" s="249" t="inlineStr">
        <is>
          <t>Боек ДУ910.38.011А в сборе</t>
        </is>
      </c>
      <c r="EI4" s="248" t="n"/>
      <c r="EJ4" s="249" t="inlineStr">
        <is>
          <t>КОНСОЛЬ СЪЕМНИКА ДЛЯ КОНЦЕВОЙ СЕКЦИИ В СБОРЕ СИТК BE 1503201 КОНВЕЙЕР PF6</t>
        </is>
      </c>
      <c r="EK4" s="248" t="n"/>
      <c r="EL4" s="249" t="inlineStr">
        <is>
          <t>Вал срезной S254290 SL900</t>
        </is>
      </c>
      <c r="EM4" s="248" t="n"/>
      <c r="EN4" s="260" t="inlineStr">
        <is>
          <t>Ремонт вибровозбудителя HAVER NIAGARA YD55 поз.701</t>
        </is>
      </c>
      <c r="EO4" s="248" t="n"/>
      <c r="EP4" s="260" t="inlineStr">
        <is>
          <t>Колесо зубчатое Z10 m46, 791 (G-1914.01), ZZM</t>
        </is>
      </c>
      <c r="EQ4" s="248" t="n"/>
      <c r="ER4" s="260" t="inlineStr">
        <is>
          <t>Звездочка DKB 34х126-7-330 5408100 конвейер PF-6</t>
        </is>
      </c>
      <c r="ES4" s="248" t="n"/>
      <c r="ET4" s="249" t="inlineStr">
        <is>
          <t>ЗВЕЗДОЧКА GEAR, SPUR, 3-1/2DP ПРИВОДНАЯ 01069718-0061 ОЧИСТНОЙ КОМБАЙН 4LS20 (СИБ/503/00091511)</t>
        </is>
      </c>
      <c r="EU4" s="248" t="n"/>
      <c r="EV4" s="260" t="inlineStr">
        <is>
          <t>Вал S262640 комбайн SL-300</t>
        </is>
      </c>
      <c r="EW4" s="248" t="n"/>
      <c r="EX4" s="260" t="inlineStr">
        <is>
          <t>Вал срезной S254290 SL900</t>
        </is>
      </c>
      <c r="EY4" s="248" t="n"/>
      <c r="EZ4" s="260" t="inlineStr">
        <is>
          <t>Звездочка 100051103 (под одинарный привод)</t>
        </is>
      </c>
      <c r="FA4" s="248" t="n"/>
      <c r="FB4" s="249" t="inlineStr">
        <is>
          <t>Вал S252748 для комбайна SL-300 срезной</t>
        </is>
      </c>
      <c r="FC4" s="248" t="n"/>
      <c r="FD4" s="260" t="inlineStr">
        <is>
          <t>Колесо ведущее 03039850-2007 (Колесо ведущее 03069850-2007)</t>
        </is>
      </c>
      <c r="FE4" s="248" t="n"/>
      <c r="FF4" s="348" t="inlineStr">
        <is>
          <t>Третьяковка Ворота, согласно ТЗ</t>
        </is>
      </c>
      <c r="FG4" s="248" t="n"/>
      <c r="FH4" s="260" t="inlineStr">
        <is>
          <t>Нож 22434/2 W02 к дробилке Scorpion 3000Р</t>
        </is>
      </c>
      <c r="FI4" s="248" t="n"/>
      <c r="FJ4" s="260" t="inlineStr">
        <is>
          <t>Ремонт вибровозбудителя ГИСЛ 62 поз.76</t>
        </is>
      </c>
      <c r="FK4" s="248" t="n"/>
      <c r="FL4" s="260" t="inlineStr">
        <is>
          <t>Ремонт редуктора J350 комбайна JOY4 LS20</t>
        </is>
      </c>
      <c r="FM4" s="248" t="n"/>
      <c r="FN4" s="260" t="inlineStr">
        <is>
          <t>Соединитель рештаков 763-7020-Y2 конвейер скребковый JOY AFC</t>
        </is>
      </c>
      <c r="FO4" s="248" t="n"/>
      <c r="FP4" s="260" t="inlineStr">
        <is>
          <t>ЦЕПЕСЪЕМНИК DKB48*144/160-7-250 BE4863293 КОНВЕЙЕР CAT PF6/1142</t>
        </is>
      </c>
      <c r="FQ4" s="248" t="n"/>
      <c r="FR4" s="260" t="inlineStr">
        <is>
          <t>Вал приводной 286 ФППЗ.МЧ.40. ФППЗ-3000МЧ</t>
        </is>
      </c>
      <c r="FS4" s="248" t="n"/>
      <c r="FT4" s="260" t="inlineStr">
        <is>
          <t>Опора S262941 (СИТК.294.000.СБ)</t>
        </is>
      </c>
      <c r="FU4" s="248" t="n"/>
      <c r="FV4" s="260" t="inlineStr">
        <is>
          <t>Цепесъемник САТ5410007 конвейер PF6/1142</t>
        </is>
      </c>
      <c r="FW4" s="248" t="n"/>
      <c r="FX4" s="347" t="inlineStr">
        <is>
          <t>Палец 40ХН D57мм L228мм СИТК.433.00.01.002</t>
        </is>
      </c>
      <c r="FY4" s="248" t="n"/>
      <c r="FZ4" s="260" t="inlineStr">
        <is>
          <t>ОПОРА САМОУСТАНАВЛИВАЮЩАЯ СЯ S287324 SL900</t>
        </is>
      </c>
      <c r="GA4" s="248" t="n"/>
      <c r="GB4" s="346" t="inlineStr">
        <is>
          <t>ремонт вентилятора УВЦГ-9</t>
        </is>
      </c>
      <c r="GC4" s="248" t="n"/>
      <c r="GD4" s="260" t="n"/>
      <c r="GE4" s="248" t="n"/>
      <c r="GF4" s="260" t="n"/>
      <c r="GG4" s="248" t="n"/>
      <c r="GH4" s="260" t="n"/>
      <c r="GI4" s="248" t="n"/>
      <c r="GJ4" s="260" t="n"/>
      <c r="GK4" s="248" t="n"/>
      <c r="GL4" s="260" t="n"/>
      <c r="GM4" s="248" t="n"/>
      <c r="GN4" s="260" t="n"/>
      <c r="GO4" s="248" t="n"/>
      <c r="GP4" s="260" t="n"/>
      <c r="GQ4" s="248" t="n"/>
      <c r="GR4" s="260" t="n"/>
      <c r="GS4" s="248" t="n"/>
      <c r="GT4" s="260" t="n"/>
      <c r="GU4" s="248" t="n"/>
      <c r="GV4" s="260" t="n"/>
      <c r="GW4" s="248" t="n"/>
      <c r="GX4" s="260" t="n"/>
      <c r="GY4" s="248" t="n"/>
      <c r="GZ4" s="260" t="n"/>
      <c r="HA4" s="248" t="n"/>
      <c r="HB4" s="260" t="n"/>
      <c r="HC4" s="248" t="n"/>
      <c r="HD4" s="260" t="n"/>
      <c r="HE4" s="248" t="n"/>
      <c r="HF4" s="260" t="n"/>
      <c r="HG4" s="248" t="n"/>
      <c r="HH4" s="260" t="n"/>
      <c r="HI4" s="248" t="n"/>
      <c r="HJ4" s="260" t="n"/>
      <c r="HK4" s="248" t="n"/>
      <c r="HL4" s="260" t="n"/>
      <c r="HM4" s="248" t="n"/>
      <c r="HN4" s="260" t="n"/>
      <c r="HO4" s="248" t="n"/>
      <c r="HP4" s="260" t="n"/>
      <c r="HQ4" s="248" t="n"/>
      <c r="HR4" s="260" t="n"/>
      <c r="HS4" s="248" t="n"/>
      <c r="HT4" s="260" t="n"/>
      <c r="HU4" s="248" t="n"/>
      <c r="HV4" s="260" t="n"/>
      <c r="HW4" s="248" t="n"/>
      <c r="HX4" s="260" t="n"/>
      <c r="HY4" s="248" t="n"/>
      <c r="HZ4" s="260" t="n"/>
      <c r="IA4" s="248" t="n"/>
      <c r="IB4" s="260" t="n"/>
      <c r="IC4" s="248" t="n"/>
      <c r="ID4" s="260" t="n"/>
      <c r="IE4" s="248" t="n"/>
      <c r="IF4" s="260" t="n"/>
      <c r="IG4" s="248" t="n"/>
      <c r="IH4" s="260" t="n"/>
      <c r="II4" s="248" t="n"/>
      <c r="IJ4" s="260" t="n"/>
      <c r="IK4" s="248" t="n"/>
      <c r="IL4" s="260" t="n"/>
      <c r="IM4" s="248" t="n"/>
      <c r="IN4" s="260" t="n"/>
      <c r="IO4" s="248" t="n"/>
      <c r="IP4" s="260" t="n"/>
      <c r="IQ4" s="248" t="n"/>
      <c r="IR4" s="260" t="n"/>
      <c r="IS4" s="248" t="n"/>
      <c r="IT4" s="260" t="n"/>
      <c r="IU4" s="248" t="n"/>
      <c r="IV4" s="260" t="n"/>
      <c r="IW4" s="248" t="n"/>
      <c r="IX4" s="260" t="n"/>
      <c r="IY4" s="248" t="n"/>
      <c r="IZ4" s="260" t="n"/>
      <c r="JA4" s="248" t="n"/>
      <c r="JB4" s="260" t="n"/>
      <c r="JC4" s="248" t="n"/>
      <c r="JD4" s="260" t="n"/>
      <c r="JE4" s="248" t="n"/>
      <c r="JF4" s="260" t="n"/>
      <c r="JG4" s="248" t="n"/>
      <c r="JH4" s="260" t="inlineStr">
        <is>
          <t>Звездочка 5114187</t>
        </is>
      </c>
      <c r="JI4" s="248" t="n"/>
      <c r="JJ4" s="347" t="inlineStr">
        <is>
          <t>Шайба 40ХН М57 СИТК.433.00.01.003-01 для канатного блока</t>
        </is>
      </c>
      <c r="JK4" s="248" t="n"/>
      <c r="JL4" s="286" t="n"/>
      <c r="JM4" s="306" t="n"/>
      <c r="JN4" s="260" t="inlineStr">
        <is>
          <t>Гараж</t>
        </is>
      </c>
      <c r="JO4" s="248" t="n"/>
      <c r="JP4" s="260" t="inlineStr">
        <is>
          <t>Токарный станок</t>
        </is>
      </c>
      <c r="JQ4" s="248" t="n"/>
      <c r="JR4" s="260" t="inlineStr">
        <is>
          <t>Фрезерный стьанок</t>
        </is>
      </c>
      <c r="JS4" s="248" t="n"/>
      <c r="JT4" s="256" t="n"/>
      <c r="JU4" s="257" t="n"/>
      <c r="JV4" s="256" t="n"/>
      <c r="JW4" s="257" t="n"/>
      <c r="JX4" s="256" t="n"/>
      <c r="JY4" s="257" t="n"/>
      <c r="JZ4" s="317" t="inlineStr">
        <is>
          <t>Итого сч. 08</t>
        </is>
      </c>
      <c r="KA4" s="268" t="n"/>
      <c r="KC4" s="306" t="n"/>
      <c r="KF4" s="6" t="n"/>
    </row>
    <row r="5" ht="30.75" customHeight="1">
      <c r="A5" s="284" t="n"/>
      <c r="B5" s="284" t="n"/>
      <c r="C5" s="286" t="n"/>
      <c r="D5" s="280" t="n">
        <v>159</v>
      </c>
      <c r="E5" s="281" t="n"/>
      <c r="F5" s="286" t="n"/>
      <c r="H5" s="247" t="inlineStr">
        <is>
          <t>00 07 2 223</t>
        </is>
      </c>
      <c r="I5" s="248" t="n"/>
      <c r="J5" s="252" t="inlineStr">
        <is>
          <t>00 07 1 001</t>
        </is>
      </c>
      <c r="K5" s="248" t="n"/>
      <c r="L5" s="252" t="inlineStr">
        <is>
          <t>00 07 4 421</t>
        </is>
      </c>
      <c r="M5" s="248" t="n"/>
      <c r="N5" s="247" t="n"/>
      <c r="O5" s="248" t="n"/>
      <c r="P5" s="247" t="n"/>
      <c r="Q5" s="248" t="n"/>
      <c r="R5" s="247" t="n"/>
      <c r="S5" s="248" t="n"/>
      <c r="T5" s="247" t="n"/>
      <c r="U5" s="248" t="n"/>
      <c r="V5" s="247" t="n"/>
      <c r="W5" s="248" t="n"/>
      <c r="X5" s="247" t="n"/>
      <c r="Y5" s="248" t="n"/>
      <c r="Z5" s="247" t="n"/>
      <c r="AA5" s="248" t="n"/>
      <c r="AB5" s="252" t="inlineStr">
        <is>
          <t>00 01 4 405</t>
        </is>
      </c>
      <c r="AC5" s="248" t="n"/>
      <c r="AD5" s="247" t="inlineStr">
        <is>
          <t>00 05 1 017</t>
        </is>
      </c>
      <c r="AE5" s="248" t="n"/>
      <c r="AF5" s="252" t="inlineStr">
        <is>
          <t>01 01 3 252</t>
        </is>
      </c>
      <c r="AG5" s="248" t="n"/>
      <c r="AH5" s="247" t="inlineStr">
        <is>
          <t>01 01 3 254</t>
        </is>
      </c>
      <c r="AI5" s="248" t="n"/>
      <c r="AJ5" s="247" t="inlineStr">
        <is>
          <t>01 01 3 260</t>
        </is>
      </c>
      <c r="AK5" s="248" t="n"/>
      <c r="AL5" s="247" t="inlineStr">
        <is>
          <t>01 01 3 323</t>
        </is>
      </c>
      <c r="AM5" s="248" t="n"/>
      <c r="AN5" s="247" t="inlineStr">
        <is>
          <t>01 01 3 327</t>
        </is>
      </c>
      <c r="AO5" s="248" t="n"/>
      <c r="AP5" s="247" t="inlineStr">
        <is>
          <t>01 01 3 329</t>
        </is>
      </c>
      <c r="AQ5" s="248" t="n"/>
      <c r="AR5" s="247" t="inlineStr">
        <is>
          <t>01 01 3 332</t>
        </is>
      </c>
      <c r="AS5" s="248" t="n"/>
      <c r="AT5" s="247" t="inlineStr">
        <is>
          <t>01 01 4 342</t>
        </is>
      </c>
      <c r="AU5" s="248" t="n"/>
      <c r="AV5" s="247" t="inlineStr">
        <is>
          <t>01 03 4 376</t>
        </is>
      </c>
      <c r="AW5" s="248" t="n"/>
      <c r="AX5" s="247" t="inlineStr">
        <is>
          <t>04 03 3 313</t>
        </is>
      </c>
      <c r="AY5" s="248" t="n"/>
      <c r="AZ5" s="247" t="inlineStr">
        <is>
          <t>10 01 2 210</t>
        </is>
      </c>
      <c r="BA5" s="248" t="n"/>
      <c r="BB5" s="247" t="inlineStr">
        <is>
          <t>10 01 4 388</t>
        </is>
      </c>
      <c r="BC5" s="248" t="n"/>
      <c r="BD5" s="247" t="inlineStr">
        <is>
          <t>10 01 4 506</t>
        </is>
      </c>
      <c r="BE5" s="248" t="n"/>
      <c r="BF5" s="252" t="inlineStr">
        <is>
          <t>12 01 4 415</t>
        </is>
      </c>
      <c r="BG5" s="248" t="n"/>
      <c r="BH5" s="247" t="inlineStr">
        <is>
          <t>12 01 4 426</t>
        </is>
      </c>
      <c r="BI5" s="248" t="n"/>
      <c r="BJ5" s="247" t="inlineStr">
        <is>
          <t>12 01 4 431</t>
        </is>
      </c>
      <c r="BK5" s="248" t="n"/>
      <c r="BL5" s="247" t="inlineStr">
        <is>
          <t>12 01 4 432</t>
        </is>
      </c>
      <c r="BM5" s="248" t="n"/>
      <c r="BN5" s="247" t="inlineStr">
        <is>
          <t>12 01 4 433</t>
        </is>
      </c>
      <c r="BO5" s="248" t="n"/>
      <c r="BP5" s="247" t="inlineStr">
        <is>
          <t>12 01 4 434</t>
        </is>
      </c>
      <c r="BQ5" s="248" t="n"/>
      <c r="BR5" s="247" t="inlineStr">
        <is>
          <t>12 01 4 436</t>
        </is>
      </c>
      <c r="BS5" s="248" t="n"/>
      <c r="BT5" s="247" t="inlineStr">
        <is>
          <t>19 01 4 387</t>
        </is>
      </c>
      <c r="BU5" s="248" t="n"/>
      <c r="BV5" s="344" t="inlineStr">
        <is>
          <t>24 01 1 016</t>
        </is>
      </c>
      <c r="BW5" s="248" t="n"/>
      <c r="BX5" s="252" t="inlineStr">
        <is>
          <t>34 01 3 297</t>
        </is>
      </c>
      <c r="BY5" s="248" t="n"/>
      <c r="BZ5" s="252" t="inlineStr">
        <is>
          <t>36 01 3 270</t>
        </is>
      </c>
      <c r="CA5" s="248" t="n"/>
      <c r="CB5" s="247" t="inlineStr">
        <is>
          <t>47 03 2 175</t>
        </is>
      </c>
      <c r="CC5" s="248" t="n"/>
      <c r="CD5" s="323" t="inlineStr">
        <is>
          <t>01 01 1 024</t>
        </is>
      </c>
      <c r="CE5" s="248" t="n"/>
      <c r="CF5" s="247" t="inlineStr">
        <is>
          <t>01 01 3 293</t>
        </is>
      </c>
      <c r="CG5" s="248" t="n"/>
      <c r="CH5" s="247" t="inlineStr">
        <is>
          <t>01 01 3 328</t>
        </is>
      </c>
      <c r="CI5" s="248" t="n"/>
      <c r="CJ5" s="247" t="inlineStr">
        <is>
          <t>01 04 4 406</t>
        </is>
      </c>
      <c r="CK5" s="248" t="n"/>
      <c r="CL5" s="247" t="inlineStr">
        <is>
          <t>12 01 4 435</t>
        </is>
      </c>
      <c r="CM5" s="248" t="n"/>
      <c r="CN5" s="247" t="inlineStr">
        <is>
          <t>12 03 1 008</t>
        </is>
      </c>
      <c r="CO5" s="248" t="n"/>
      <c r="CP5" s="252" t="inlineStr">
        <is>
          <t>12 03 2 135</t>
        </is>
      </c>
      <c r="CQ5" s="248" t="n"/>
      <c r="CR5" s="343" t="inlineStr">
        <is>
          <t>01 01 3 249</t>
        </is>
      </c>
      <c r="CS5" s="248" t="n"/>
      <c r="CT5" s="247" t="inlineStr">
        <is>
          <t>01 01 3 294</t>
        </is>
      </c>
      <c r="CU5" s="248" t="n"/>
      <c r="CV5" s="247" t="inlineStr">
        <is>
          <t>10 01 2 211</t>
        </is>
      </c>
      <c r="CW5" s="248" t="n"/>
      <c r="CX5" s="252" t="inlineStr">
        <is>
          <t>12 01 4 414</t>
        </is>
      </c>
      <c r="CY5" s="248" t="n"/>
      <c r="CZ5" s="247" t="inlineStr">
        <is>
          <t>12 01 4 428</t>
        </is>
      </c>
      <c r="DA5" s="248" t="n"/>
      <c r="DB5" s="345" t="inlineStr">
        <is>
          <t>12 03 1 008</t>
        </is>
      </c>
      <c r="DC5" s="248" t="n"/>
      <c r="DD5" s="247" t="inlineStr">
        <is>
          <t>01 01 3 283</t>
        </is>
      </c>
      <c r="DE5" s="248" t="n"/>
      <c r="DF5" s="247" t="inlineStr">
        <is>
          <t>01 01 3 292</t>
        </is>
      </c>
      <c r="DG5" s="248" t="n"/>
      <c r="DH5" s="247" t="inlineStr">
        <is>
          <t>01 01 3 322</t>
        </is>
      </c>
      <c r="DI5" s="248" t="n"/>
      <c r="DJ5" s="247" t="inlineStr">
        <is>
          <t>10 01 2 209</t>
        </is>
      </c>
      <c r="DK5" s="248" t="n"/>
      <c r="DL5" s="247" t="inlineStr">
        <is>
          <t>47 03 4 396</t>
        </is>
      </c>
      <c r="DM5" s="248" t="n"/>
      <c r="DN5" s="247" t="inlineStr">
        <is>
          <t>01 01 3 281</t>
        </is>
      </c>
      <c r="DO5" s="248" t="n"/>
      <c r="DP5" s="247" t="inlineStr">
        <is>
          <t>10 01 3 306</t>
        </is>
      </c>
      <c r="DQ5" s="248" t="n"/>
      <c r="DR5" s="252" t="inlineStr">
        <is>
          <t>01 01 1 020</t>
        </is>
      </c>
      <c r="DS5" s="248" t="n"/>
      <c r="DT5" s="247" t="inlineStr">
        <is>
          <t>01 01 4 344</t>
        </is>
      </c>
      <c r="DU5" s="248" t="n"/>
      <c r="DV5" s="247" t="inlineStr">
        <is>
          <t>12 01 4 392</t>
        </is>
      </c>
      <c r="DW5" s="248" t="n"/>
      <c r="DX5" s="247" t="inlineStr">
        <is>
          <t>51 01 4 391</t>
        </is>
      </c>
      <c r="DY5" s="248" t="n"/>
      <c r="DZ5" s="247" t="inlineStr">
        <is>
          <t>01 01 3 295</t>
        </is>
      </c>
      <c r="EA5" s="248" t="n"/>
      <c r="EB5" s="247" t="inlineStr">
        <is>
          <t>10 01 1 049</t>
        </is>
      </c>
      <c r="EC5" s="248" t="n"/>
      <c r="ED5" s="247" t="inlineStr">
        <is>
          <t>04 01 4 401</t>
        </is>
      </c>
      <c r="EE5" s="248" t="n"/>
      <c r="EF5" s="252" t="inlineStr">
        <is>
          <t>12 01 4 380</t>
        </is>
      </c>
      <c r="EG5" s="248" t="n"/>
      <c r="EH5" s="252" t="inlineStr">
        <is>
          <t>12 01 4 385</t>
        </is>
      </c>
      <c r="EI5" s="248" t="n"/>
      <c r="EJ5" s="252" t="inlineStr">
        <is>
          <t>01 01 3 330</t>
        </is>
      </c>
      <c r="EK5" s="248" t="n"/>
      <c r="EL5" s="252" t="inlineStr">
        <is>
          <t>01 01 4 361</t>
        </is>
      </c>
      <c r="EM5" s="248" t="n"/>
      <c r="EN5" s="247" t="inlineStr">
        <is>
          <t>47 03 3 311</t>
        </is>
      </c>
      <c r="EO5" s="248" t="n"/>
      <c r="EP5" s="247" t="inlineStr">
        <is>
          <t>23 01 4 350</t>
        </is>
      </c>
      <c r="EQ5" s="248" t="n"/>
      <c r="ER5" s="247" t="inlineStr">
        <is>
          <t>01 01 1 013</t>
        </is>
      </c>
      <c r="ES5" s="248" t="n"/>
      <c r="ET5" s="252" t="inlineStr">
        <is>
          <t>12 01 4 416</t>
        </is>
      </c>
      <c r="EU5" s="248" t="n"/>
      <c r="EV5" s="247" t="inlineStr">
        <is>
          <t>01 01 1 012</t>
        </is>
      </c>
      <c r="EW5" s="248" t="n"/>
      <c r="EX5" s="247" t="inlineStr">
        <is>
          <t>01 01 1 022</t>
        </is>
      </c>
      <c r="EY5" s="248" t="n"/>
      <c r="EZ5" s="247" t="inlineStr">
        <is>
          <t>12 01 4 383</t>
        </is>
      </c>
      <c r="FA5" s="248" t="n"/>
      <c r="FB5" s="252" t="inlineStr">
        <is>
          <t>12 01 4 427</t>
        </is>
      </c>
      <c r="FC5" s="248" t="n"/>
      <c r="FD5" s="247" t="inlineStr">
        <is>
          <t>07 01 2 126</t>
        </is>
      </c>
      <c r="FE5" s="248" t="n"/>
      <c r="FF5" s="344" t="inlineStr">
        <is>
          <t>51 01 1 030</t>
        </is>
      </c>
      <c r="FG5" s="248" t="n"/>
      <c r="FH5" s="247" t="inlineStr">
        <is>
          <t>00 01 1 025</t>
        </is>
      </c>
      <c r="FI5" s="248" t="n"/>
      <c r="FJ5" s="247" t="inlineStr">
        <is>
          <t>47 03 4 397</t>
        </is>
      </c>
      <c r="FK5" s="248" t="n"/>
      <c r="FL5" s="247" t="inlineStr">
        <is>
          <t>02 03 3 339</t>
        </is>
      </c>
      <c r="FM5" s="248" t="n"/>
      <c r="FN5" s="247" t="inlineStr">
        <is>
          <t>01 01 3 268</t>
        </is>
      </c>
      <c r="FO5" s="248" t="n"/>
      <c r="FP5" s="247" t="inlineStr">
        <is>
          <t>01 01 3 334</t>
        </is>
      </c>
      <c r="FQ5" s="248" t="n"/>
      <c r="FR5" s="247" t="inlineStr">
        <is>
          <t>01 01 4 409</t>
        </is>
      </c>
      <c r="FS5" s="248" t="n"/>
      <c r="FT5" s="247" t="inlineStr">
        <is>
          <t>10 01 4 364</t>
        </is>
      </c>
      <c r="FU5" s="248" t="n"/>
      <c r="FV5" s="247" t="inlineStr">
        <is>
          <t>10 01 4 410</t>
        </is>
      </c>
      <c r="FW5" s="248" t="n"/>
      <c r="FX5" s="323" t="inlineStr">
        <is>
          <t>01 01 1 018</t>
        </is>
      </c>
      <c r="FY5" s="248" t="n"/>
      <c r="FZ5" s="247" t="inlineStr">
        <is>
          <t>10 01 1 049</t>
        </is>
      </c>
      <c r="GA5" s="248" t="n"/>
      <c r="GB5" s="345" t="inlineStr">
        <is>
          <t>12 03 1 008</t>
        </is>
      </c>
      <c r="GC5" s="248" t="n"/>
      <c r="GD5" s="247" t="n"/>
      <c r="GE5" s="248" t="n"/>
      <c r="GF5" s="247" t="n"/>
      <c r="GG5" s="248" t="n"/>
      <c r="GH5" s="247" t="n"/>
      <c r="GI5" s="248" t="n"/>
      <c r="GJ5" s="247" t="n"/>
      <c r="GK5" s="248" t="n"/>
      <c r="GL5" s="247" t="n"/>
      <c r="GM5" s="248" t="n"/>
      <c r="GN5" s="247" t="n"/>
      <c r="GO5" s="248" t="n"/>
      <c r="GP5" s="247" t="n"/>
      <c r="GQ5" s="248" t="n"/>
      <c r="GR5" s="247" t="n"/>
      <c r="GS5" s="248" t="n"/>
      <c r="GT5" s="247" t="n"/>
      <c r="GU5" s="248" t="n"/>
      <c r="GV5" s="247" t="n"/>
      <c r="GW5" s="248" t="n"/>
      <c r="GX5" s="247" t="n"/>
      <c r="GY5" s="248" t="n"/>
      <c r="GZ5" s="247" t="n"/>
      <c r="HA5" s="248" t="n"/>
      <c r="HB5" s="247" t="n"/>
      <c r="HC5" s="248" t="n"/>
      <c r="HD5" s="247" t="n"/>
      <c r="HE5" s="248" t="n"/>
      <c r="HF5" s="247" t="n"/>
      <c r="HG5" s="248" t="n"/>
      <c r="HH5" s="247" t="n"/>
      <c r="HI5" s="248" t="n"/>
      <c r="HJ5" s="247" t="n"/>
      <c r="HK5" s="248" t="n"/>
      <c r="HL5" s="247" t="n"/>
      <c r="HM5" s="248" t="n"/>
      <c r="HN5" s="247" t="n"/>
      <c r="HO5" s="248" t="n"/>
      <c r="HP5" s="247" t="n"/>
      <c r="HQ5" s="248" t="n"/>
      <c r="HR5" s="247" t="n"/>
      <c r="HS5" s="248" t="n"/>
      <c r="HT5" s="247" t="n"/>
      <c r="HU5" s="248" t="n"/>
      <c r="HV5" s="247" t="n"/>
      <c r="HW5" s="248" t="n"/>
      <c r="HX5" s="247" t="n"/>
      <c r="HY5" s="248" t="n"/>
      <c r="HZ5" s="247" t="n"/>
      <c r="IA5" s="248" t="n"/>
      <c r="IB5" s="247" t="n"/>
      <c r="IC5" s="248" t="n"/>
      <c r="ID5" s="247" t="n"/>
      <c r="IE5" s="248" t="n"/>
      <c r="IF5" s="247" t="n"/>
      <c r="IG5" s="248" t="n"/>
      <c r="IH5" s="247" t="n"/>
      <c r="II5" s="248" t="n"/>
      <c r="IJ5" s="247" t="n"/>
      <c r="IK5" s="248" t="n"/>
      <c r="IL5" s="247" t="n"/>
      <c r="IM5" s="248" t="n"/>
      <c r="IN5" s="247" t="n"/>
      <c r="IO5" s="248" t="n"/>
      <c r="IP5" s="247" t="n"/>
      <c r="IQ5" s="248" t="n"/>
      <c r="IR5" s="247" t="n"/>
      <c r="IS5" s="248" t="n"/>
      <c r="IT5" s="247" t="n"/>
      <c r="IU5" s="248" t="n"/>
      <c r="IV5" s="247" t="n"/>
      <c r="IW5" s="248" t="n"/>
      <c r="IX5" s="247" t="n"/>
      <c r="IY5" s="248" t="n"/>
      <c r="IZ5" s="247" t="n"/>
      <c r="JA5" s="248" t="n"/>
      <c r="JB5" s="247" t="n"/>
      <c r="JC5" s="248" t="n"/>
      <c r="JD5" s="247" t="n"/>
      <c r="JE5" s="248" t="n"/>
      <c r="JF5" s="247" t="n"/>
      <c r="JG5" s="248" t="n"/>
      <c r="JH5" s="247" t="inlineStr">
        <is>
          <t>10 01 2 215</t>
        </is>
      </c>
      <c r="JI5" s="248" t="n"/>
      <c r="JJ5" s="323" t="inlineStr">
        <is>
          <t>01 01 1 019</t>
        </is>
      </c>
      <c r="JK5" s="248" t="n"/>
      <c r="JL5" s="173" t="n"/>
      <c r="JM5" s="109" t="n"/>
      <c r="JN5" s="247" t="inlineStr">
        <is>
          <t>08сч</t>
        </is>
      </c>
      <c r="JO5" s="248" t="n"/>
      <c r="JP5" s="247" t="inlineStr">
        <is>
          <t>08сч</t>
        </is>
      </c>
      <c r="JQ5" s="248" t="n"/>
      <c r="JR5" s="247" t="inlineStr">
        <is>
          <t>08сч</t>
        </is>
      </c>
      <c r="JS5" s="248" t="n"/>
      <c r="JT5" s="258" t="n"/>
      <c r="JU5" s="259" t="n"/>
      <c r="JV5" s="258" t="n"/>
      <c r="JW5" s="259" t="n"/>
      <c r="JX5" s="258" t="n"/>
      <c r="JY5" s="259" t="n"/>
      <c r="JZ5" s="318" t="n"/>
      <c r="KA5" s="306" t="n"/>
      <c r="KC5" s="306" t="n"/>
      <c r="KF5" s="7" t="n"/>
    </row>
    <row r="6" ht="17.25" customHeight="1" thickBot="1">
      <c r="A6" s="284" t="n"/>
      <c r="B6" s="284" t="n"/>
      <c r="C6" s="286" t="n"/>
      <c r="D6" s="324" t="inlineStr">
        <is>
          <t>План</t>
        </is>
      </c>
      <c r="E6" s="341" t="inlineStr">
        <is>
          <t>Факт</t>
        </is>
      </c>
      <c r="F6" s="326" t="inlineStr">
        <is>
          <t>Месяц</t>
        </is>
      </c>
      <c r="G6" s="321" t="inlineStr">
        <is>
          <t>Часовая ставка</t>
        </is>
      </c>
      <c r="H6" s="329" t="inlineStr">
        <is>
          <t>23 счет</t>
        </is>
      </c>
      <c r="I6" s="328" t="n"/>
      <c r="J6" s="328" t="n"/>
      <c r="K6" s="328" t="n"/>
      <c r="L6" s="328" t="n"/>
      <c r="M6" s="328" t="n"/>
      <c r="N6" s="328" t="n"/>
      <c r="O6" s="328" t="n"/>
      <c r="P6" s="328" t="n"/>
      <c r="Q6" s="328" t="n"/>
      <c r="R6" s="328" t="n"/>
      <c r="S6" s="328" t="n"/>
      <c r="T6" s="328" t="n"/>
      <c r="U6" s="328" t="n"/>
      <c r="V6" s="328" t="n"/>
      <c r="W6" s="328" t="n"/>
      <c r="X6" s="328" t="n"/>
      <c r="Y6" s="328" t="n"/>
      <c r="Z6" s="328" t="n"/>
      <c r="AA6" s="259" t="n"/>
      <c r="AB6" s="134" t="n"/>
      <c r="AC6" s="331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34" t="n"/>
      <c r="CC6" s="134" t="n"/>
      <c r="CD6" s="134" t="n"/>
      <c r="CE6" s="134" t="n"/>
      <c r="CF6" s="134" t="n"/>
      <c r="CG6" s="134" t="n"/>
      <c r="CH6" s="134" t="n"/>
      <c r="CI6" s="134" t="n"/>
      <c r="CJ6" s="134" t="n"/>
      <c r="CK6" s="134" t="n"/>
      <c r="CL6" s="134" t="n"/>
      <c r="CM6" s="134" t="n"/>
      <c r="CN6" s="134" t="n"/>
      <c r="CO6" s="134" t="n"/>
      <c r="CP6" s="134" t="n"/>
      <c r="CQ6" s="134" t="n"/>
      <c r="CR6" s="134" t="n"/>
      <c r="CS6" s="134" t="n"/>
      <c r="CT6" s="134" t="n"/>
      <c r="CU6" s="134" t="n"/>
      <c r="CV6" s="134" t="n"/>
      <c r="CW6" s="134" t="n"/>
      <c r="CX6" s="134" t="n"/>
      <c r="CY6" s="134" t="n"/>
      <c r="CZ6" s="134" t="n"/>
      <c r="DA6" s="134" t="n"/>
      <c r="DB6" s="134" t="n"/>
      <c r="DC6" s="134" t="n"/>
      <c r="DD6" s="134" t="n"/>
      <c r="DE6" s="134" t="n"/>
      <c r="DF6" s="134" t="n"/>
      <c r="DG6" s="134" t="n"/>
      <c r="DH6" s="134" t="n"/>
      <c r="DI6" s="134" t="n"/>
      <c r="DJ6" s="134" t="n"/>
      <c r="DK6" s="134" t="n"/>
      <c r="DL6" s="134" t="n"/>
      <c r="DM6" s="134" t="n"/>
      <c r="DN6" s="134" t="n"/>
      <c r="DO6" s="134" t="n"/>
      <c r="DP6" s="134" t="n"/>
      <c r="DQ6" s="134" t="n"/>
      <c r="DR6" s="134" t="n"/>
      <c r="DS6" s="134" t="n"/>
      <c r="DT6" s="134" t="n"/>
      <c r="DU6" s="134" t="n"/>
      <c r="DV6" s="134" t="n"/>
      <c r="DW6" s="134" t="n"/>
      <c r="DX6" s="134" t="n"/>
      <c r="DY6" s="134" t="n"/>
      <c r="DZ6" s="134" t="n"/>
      <c r="EA6" s="134" t="n"/>
      <c r="EB6" s="134" t="n"/>
      <c r="EC6" s="134" t="n"/>
      <c r="ED6" s="134" t="n"/>
      <c r="EE6" s="134" t="n"/>
      <c r="EF6" s="134" t="n"/>
      <c r="EG6" s="134" t="n"/>
      <c r="EH6" s="134" t="n"/>
      <c r="EI6" s="134" t="n"/>
      <c r="EJ6" s="134" t="n"/>
      <c r="EK6" s="134" t="n"/>
      <c r="EL6" s="134" t="n"/>
      <c r="EM6" s="134" t="n"/>
      <c r="EN6" s="134" t="n"/>
      <c r="EO6" s="134" t="n"/>
      <c r="EP6" s="134" t="n"/>
      <c r="EQ6" s="134" t="n"/>
      <c r="ER6" s="134" t="n"/>
      <c r="ES6" s="134" t="n"/>
      <c r="ET6" s="134" t="n"/>
      <c r="EU6" s="134" t="n"/>
      <c r="EV6" s="134" t="n"/>
      <c r="EW6" s="174" t="n"/>
      <c r="EX6" s="174" t="n"/>
      <c r="EY6" s="174" t="n"/>
      <c r="EZ6" s="174" t="n"/>
      <c r="FA6" s="174" t="n"/>
      <c r="FB6" s="174" t="n"/>
      <c r="FC6" s="174" t="n"/>
      <c r="FD6" s="134" t="n"/>
      <c r="FE6" s="134" t="n"/>
      <c r="FF6" s="134" t="n"/>
      <c r="FG6" s="134" t="n"/>
      <c r="FH6" s="134" t="n"/>
      <c r="FI6" s="134" t="n"/>
      <c r="FJ6" s="134" t="n"/>
      <c r="FK6" s="134" t="n"/>
      <c r="FL6" s="134" t="n"/>
      <c r="FM6" s="134" t="n"/>
      <c r="FN6" s="134" t="n"/>
      <c r="FO6" s="134" t="n"/>
      <c r="FP6" s="134" t="n"/>
      <c r="FQ6" s="134" t="n"/>
      <c r="FR6" s="134" t="n"/>
      <c r="FS6" s="134" t="n"/>
      <c r="FT6" s="134" t="n"/>
      <c r="FU6" s="134" t="n"/>
      <c r="FV6" s="134" t="n"/>
      <c r="FW6" s="134" t="n"/>
      <c r="FX6" s="134" t="n"/>
      <c r="FY6" s="134" t="n"/>
      <c r="FZ6" s="134" t="n"/>
      <c r="GA6" s="134" t="n"/>
      <c r="GB6" s="134" t="n"/>
      <c r="GC6" s="134" t="n"/>
      <c r="GD6" s="134" t="n"/>
      <c r="GE6" s="134" t="n"/>
      <c r="GF6" s="134" t="n"/>
      <c r="GG6" s="134" t="n"/>
      <c r="GH6" s="134" t="n"/>
      <c r="GI6" s="134" t="n"/>
      <c r="GJ6" s="134" t="n"/>
      <c r="GK6" s="134" t="n"/>
      <c r="GL6" s="134" t="n"/>
      <c r="GM6" s="134" t="n"/>
      <c r="GN6" s="134" t="n"/>
      <c r="GO6" s="134" t="n"/>
      <c r="GP6" s="134" t="n"/>
      <c r="GQ6" s="134" t="n"/>
      <c r="GR6" s="134" t="n"/>
      <c r="GS6" s="134" t="n"/>
      <c r="GT6" s="134" t="n"/>
      <c r="GU6" s="134" t="n"/>
      <c r="GV6" s="134" t="n"/>
      <c r="GW6" s="134" t="n"/>
      <c r="GX6" s="134" t="n"/>
      <c r="GY6" s="134" t="n"/>
      <c r="GZ6" s="134" t="n"/>
      <c r="HA6" s="134" t="n"/>
      <c r="HB6" s="134" t="n"/>
      <c r="HC6" s="134" t="n"/>
      <c r="HD6" s="134" t="n"/>
      <c r="HE6" s="134" t="n"/>
      <c r="HF6" s="134" t="n"/>
      <c r="HG6" s="134" t="n"/>
      <c r="HH6" s="134" t="n"/>
      <c r="HI6" s="134" t="n"/>
      <c r="HJ6" s="134" t="n"/>
      <c r="HK6" s="134" t="n"/>
      <c r="HL6" s="134" t="n"/>
      <c r="HM6" s="134" t="n"/>
      <c r="HN6" s="134" t="n"/>
      <c r="HO6" s="134" t="n"/>
      <c r="HP6" s="134" t="n"/>
      <c r="HQ6" s="134" t="n"/>
      <c r="HR6" s="134" t="n"/>
      <c r="HS6" s="134" t="n"/>
      <c r="HT6" s="134" t="n"/>
      <c r="HU6" s="134" t="n"/>
      <c r="HV6" s="134" t="n"/>
      <c r="HW6" s="134" t="n"/>
      <c r="HX6" s="134" t="n"/>
      <c r="HY6" s="134" t="n"/>
      <c r="HZ6" s="134" t="n"/>
      <c r="IA6" s="134" t="n"/>
      <c r="IB6" s="134" t="n"/>
      <c r="IC6" s="134" t="n"/>
      <c r="ID6" s="134" t="n"/>
      <c r="IE6" s="134" t="n"/>
      <c r="IF6" s="134" t="n"/>
      <c r="IG6" s="134" t="n"/>
      <c r="IH6" s="134" t="n"/>
      <c r="II6" s="134" t="n"/>
      <c r="IJ6" s="134" t="n"/>
      <c r="IK6" s="134" t="n"/>
      <c r="IL6" s="134" t="n"/>
      <c r="IM6" s="134" t="n"/>
      <c r="IN6" s="134" t="n"/>
      <c r="IO6" s="134" t="n"/>
      <c r="IP6" s="134" t="n"/>
      <c r="IQ6" s="134" t="n"/>
      <c r="IR6" s="134" t="n"/>
      <c r="IS6" s="134" t="n"/>
      <c r="IT6" s="134" t="n"/>
      <c r="IU6" s="134" t="n"/>
      <c r="IV6" s="134" t="n"/>
      <c r="IW6" s="134" t="n"/>
      <c r="IX6" s="134" t="n"/>
      <c r="IY6" s="134" t="n"/>
      <c r="IZ6" s="134" t="n"/>
      <c r="JA6" s="134" t="n"/>
      <c r="JB6" s="134" t="n"/>
      <c r="JC6" s="134" t="n"/>
      <c r="JD6" s="134" t="n"/>
      <c r="JE6" s="134" t="n"/>
      <c r="JF6" s="309" t="inlineStr">
        <is>
          <t>28 сч</t>
        </is>
      </c>
      <c r="JG6" s="263" t="n"/>
      <c r="JH6" s="309" t="inlineStr">
        <is>
          <t>28 сч</t>
        </is>
      </c>
      <c r="JI6" s="263" t="n"/>
      <c r="JJ6" s="312" t="n"/>
      <c r="JK6" s="306" t="n"/>
      <c r="JL6" s="267" t="inlineStr">
        <is>
          <t>25 счет</t>
        </is>
      </c>
      <c r="JM6" s="268" t="n"/>
      <c r="JN6" s="333" t="inlineStr">
        <is>
          <t>08 cч</t>
        </is>
      </c>
      <c r="JO6" s="334" t="n"/>
      <c r="JP6" s="334" t="n"/>
      <c r="JQ6" s="334" t="n"/>
      <c r="JR6" s="334" t="n"/>
      <c r="JS6" s="334" t="n"/>
      <c r="JT6" s="334" t="n"/>
      <c r="JU6" s="334" t="n"/>
      <c r="JV6" s="334" t="n"/>
      <c r="JW6" s="334" t="n"/>
      <c r="JX6" s="334" t="n"/>
      <c r="JY6" s="257" t="n"/>
      <c r="JZ6" s="319" t="n"/>
      <c r="KA6" s="263" t="n"/>
      <c r="KC6" s="306" t="n"/>
      <c r="KE6" s="2" t="n"/>
    </row>
    <row r="7" ht="18.75" customHeight="1" thickBot="1">
      <c r="A7" s="284" t="n"/>
      <c r="B7" s="284" t="n"/>
      <c r="C7" s="286" t="n"/>
      <c r="D7" s="325" t="n"/>
      <c r="E7" s="322" t="n"/>
      <c r="F7" s="325" t="n"/>
      <c r="G7" s="322" t="n"/>
      <c r="H7" s="149" t="inlineStr">
        <is>
          <t>часы</t>
        </is>
      </c>
      <c r="I7" s="150" t="inlineStr">
        <is>
          <t>доля</t>
        </is>
      </c>
      <c r="J7" s="149" t="inlineStr">
        <is>
          <t>часы</t>
        </is>
      </c>
      <c r="K7" s="150" t="inlineStr">
        <is>
          <t>доля</t>
        </is>
      </c>
      <c r="L7" s="149" t="inlineStr">
        <is>
          <t>часы</t>
        </is>
      </c>
      <c r="M7" s="151" t="inlineStr">
        <is>
          <t>доля</t>
        </is>
      </c>
      <c r="N7" s="152" t="inlineStr">
        <is>
          <t>часы</t>
        </is>
      </c>
      <c r="O7" s="151" t="inlineStr">
        <is>
          <t>доля</t>
        </is>
      </c>
      <c r="P7" s="153" t="inlineStr">
        <is>
          <t>часы</t>
        </is>
      </c>
      <c r="Q7" s="154" t="inlineStr">
        <is>
          <t>доля</t>
        </is>
      </c>
      <c r="R7" s="155" t="inlineStr">
        <is>
          <t>часы</t>
        </is>
      </c>
      <c r="S7" s="156" t="inlineStr">
        <is>
          <t>доля</t>
        </is>
      </c>
      <c r="T7" s="156" t="inlineStr">
        <is>
          <t>часы</t>
        </is>
      </c>
      <c r="U7" s="156" t="inlineStr">
        <is>
          <t>доля</t>
        </is>
      </c>
      <c r="V7" s="156" t="inlineStr">
        <is>
          <t>часы</t>
        </is>
      </c>
      <c r="W7" s="156" t="inlineStr">
        <is>
          <t>доля</t>
        </is>
      </c>
      <c r="X7" s="156" t="inlineStr">
        <is>
          <t>часы</t>
        </is>
      </c>
      <c r="Y7" s="156" t="inlineStr">
        <is>
          <t>доля</t>
        </is>
      </c>
      <c r="Z7" s="156" t="inlineStr">
        <is>
          <t>часы</t>
        </is>
      </c>
      <c r="AA7" s="157" t="inlineStr">
        <is>
          <t>доля</t>
        </is>
      </c>
      <c r="AB7" s="158" t="inlineStr">
        <is>
          <t>часы</t>
        </is>
      </c>
      <c r="AC7" s="154" t="inlineStr">
        <is>
          <t>доля</t>
        </is>
      </c>
      <c r="AD7" s="159" t="inlineStr">
        <is>
          <t>часы</t>
        </is>
      </c>
      <c r="AE7" s="160" t="inlineStr">
        <is>
          <t>доля</t>
        </is>
      </c>
      <c r="AF7" s="161" t="inlineStr">
        <is>
          <t>часы</t>
        </is>
      </c>
      <c r="AG7" s="162" t="inlineStr">
        <is>
          <t>доля</t>
        </is>
      </c>
      <c r="AH7" s="161" t="inlineStr">
        <is>
          <t>часы</t>
        </is>
      </c>
      <c r="AI7" s="162" t="inlineStr">
        <is>
          <t>доля</t>
        </is>
      </c>
      <c r="AJ7" s="161" t="inlineStr">
        <is>
          <t>часы</t>
        </is>
      </c>
      <c r="AK7" s="162" t="inlineStr">
        <is>
          <t>доля</t>
        </is>
      </c>
      <c r="AL7" s="161" t="inlineStr">
        <is>
          <t>часы</t>
        </is>
      </c>
      <c r="AM7" s="162" t="inlineStr">
        <is>
          <t>доля</t>
        </is>
      </c>
      <c r="AN7" s="161" t="inlineStr">
        <is>
          <t>часы</t>
        </is>
      </c>
      <c r="AO7" s="162" t="inlineStr">
        <is>
          <t>доля</t>
        </is>
      </c>
      <c r="AP7" s="161" t="inlineStr">
        <is>
          <t>часы</t>
        </is>
      </c>
      <c r="AQ7" s="162" t="inlineStr">
        <is>
          <t>доля</t>
        </is>
      </c>
      <c r="AR7" s="161" t="inlineStr">
        <is>
          <t>часы</t>
        </is>
      </c>
      <c r="AS7" s="162" t="inlineStr">
        <is>
          <t>доля</t>
        </is>
      </c>
      <c r="AT7" s="161" t="inlineStr">
        <is>
          <t>часы</t>
        </is>
      </c>
      <c r="AU7" s="162" t="inlineStr">
        <is>
          <t>доля</t>
        </is>
      </c>
      <c r="AV7" s="161" t="inlineStr">
        <is>
          <t>часы</t>
        </is>
      </c>
      <c r="AW7" s="162" t="inlineStr">
        <is>
          <t>доля</t>
        </is>
      </c>
      <c r="AX7" s="161" t="inlineStr">
        <is>
          <t>часы</t>
        </is>
      </c>
      <c r="AY7" s="162" t="inlineStr">
        <is>
          <t>доля</t>
        </is>
      </c>
      <c r="AZ7" s="161" t="inlineStr">
        <is>
          <t>часы</t>
        </is>
      </c>
      <c r="BA7" s="162" t="inlineStr">
        <is>
          <t>доля</t>
        </is>
      </c>
      <c r="BB7" s="161" t="inlineStr">
        <is>
          <t>часы</t>
        </is>
      </c>
      <c r="BC7" s="162" t="inlineStr">
        <is>
          <t>доля</t>
        </is>
      </c>
      <c r="BD7" s="161" t="inlineStr">
        <is>
          <t>часы</t>
        </is>
      </c>
      <c r="BE7" s="162" t="inlineStr">
        <is>
          <t>доля</t>
        </is>
      </c>
      <c r="BF7" s="161" t="inlineStr">
        <is>
          <t>часы</t>
        </is>
      </c>
      <c r="BG7" s="162" t="inlineStr">
        <is>
          <t>доля</t>
        </is>
      </c>
      <c r="BH7" s="161" t="inlineStr">
        <is>
          <t>часы</t>
        </is>
      </c>
      <c r="BI7" s="162" t="inlineStr">
        <is>
          <t>доля</t>
        </is>
      </c>
      <c r="BJ7" s="161" t="inlineStr">
        <is>
          <t>часы</t>
        </is>
      </c>
      <c r="BK7" s="162" t="inlineStr">
        <is>
          <t>доля</t>
        </is>
      </c>
      <c r="BL7" s="161" t="inlineStr">
        <is>
          <t>часы</t>
        </is>
      </c>
      <c r="BM7" s="163" t="inlineStr">
        <is>
          <t>доля</t>
        </is>
      </c>
      <c r="BN7" s="161" t="inlineStr">
        <is>
          <t>часы</t>
        </is>
      </c>
      <c r="BO7" s="163" t="inlineStr">
        <is>
          <t>доля</t>
        </is>
      </c>
      <c r="BP7" s="161" t="inlineStr">
        <is>
          <t>часы</t>
        </is>
      </c>
      <c r="BQ7" s="163" t="inlineStr">
        <is>
          <t>доля</t>
        </is>
      </c>
      <c r="BR7" s="161" t="inlineStr">
        <is>
          <t>часы</t>
        </is>
      </c>
      <c r="BS7" s="163" t="inlineStr">
        <is>
          <t>доля</t>
        </is>
      </c>
      <c r="BT7" s="161" t="inlineStr">
        <is>
          <t>часы</t>
        </is>
      </c>
      <c r="BU7" s="163" t="inlineStr">
        <is>
          <t>доля</t>
        </is>
      </c>
      <c r="BV7" s="161" t="inlineStr">
        <is>
          <t>часы</t>
        </is>
      </c>
      <c r="BW7" s="163" t="inlineStr">
        <is>
          <t>доля</t>
        </is>
      </c>
      <c r="BX7" s="161" t="inlineStr">
        <is>
          <t>часы</t>
        </is>
      </c>
      <c r="BY7" s="163" t="inlineStr">
        <is>
          <t>доля</t>
        </is>
      </c>
      <c r="BZ7" s="161" t="inlineStr">
        <is>
          <t>часы</t>
        </is>
      </c>
      <c r="CA7" s="163" t="inlineStr">
        <is>
          <t>доля</t>
        </is>
      </c>
      <c r="CB7" s="161" t="inlineStr">
        <is>
          <t>часы</t>
        </is>
      </c>
      <c r="CC7" s="162" t="inlineStr">
        <is>
          <t>доля</t>
        </is>
      </c>
      <c r="CD7" s="161" t="inlineStr">
        <is>
          <t>часы</t>
        </is>
      </c>
      <c r="CE7" s="162" t="inlineStr">
        <is>
          <t>доля</t>
        </is>
      </c>
      <c r="CF7" s="161" t="inlineStr">
        <is>
          <t>часы</t>
        </is>
      </c>
      <c r="CG7" s="163" t="inlineStr">
        <is>
          <t>доля</t>
        </is>
      </c>
      <c r="CH7" s="161" t="inlineStr">
        <is>
          <t>часы</t>
        </is>
      </c>
      <c r="CI7" s="163" t="inlineStr">
        <is>
          <t>доля</t>
        </is>
      </c>
      <c r="CJ7" s="161" t="inlineStr">
        <is>
          <t>часы</t>
        </is>
      </c>
      <c r="CK7" s="163" t="inlineStr">
        <is>
          <t>доля</t>
        </is>
      </c>
      <c r="CL7" s="161" t="inlineStr">
        <is>
          <t>часы</t>
        </is>
      </c>
      <c r="CM7" s="163" t="inlineStr">
        <is>
          <t>доля</t>
        </is>
      </c>
      <c r="CN7" s="153" t="inlineStr">
        <is>
          <t>часы</t>
        </is>
      </c>
      <c r="CO7" s="164" t="inlineStr">
        <is>
          <t>доля</t>
        </is>
      </c>
      <c r="CP7" s="165" t="inlineStr">
        <is>
          <t>часы</t>
        </is>
      </c>
      <c r="CQ7" s="166" t="inlineStr">
        <is>
          <t>доля</t>
        </is>
      </c>
      <c r="CR7" s="161" t="inlineStr">
        <is>
          <t>часы</t>
        </is>
      </c>
      <c r="CS7" s="163" t="inlineStr">
        <is>
          <t>доля</t>
        </is>
      </c>
      <c r="CT7" s="161" t="inlineStr">
        <is>
          <t>часы</t>
        </is>
      </c>
      <c r="CU7" s="163" t="inlineStr">
        <is>
          <t>доля</t>
        </is>
      </c>
      <c r="CV7" s="165" t="inlineStr">
        <is>
          <t>часы</t>
        </is>
      </c>
      <c r="CW7" s="166" t="inlineStr">
        <is>
          <t>доля</t>
        </is>
      </c>
      <c r="CX7" s="161" t="inlineStr">
        <is>
          <t>часы</t>
        </is>
      </c>
      <c r="CY7" s="163" t="inlineStr">
        <is>
          <t>доля</t>
        </is>
      </c>
      <c r="CZ7" s="161" t="inlineStr">
        <is>
          <t>часы</t>
        </is>
      </c>
      <c r="DA7" s="163" t="inlineStr">
        <is>
          <t>доля</t>
        </is>
      </c>
      <c r="DB7" s="165" t="inlineStr">
        <is>
          <t>часы</t>
        </is>
      </c>
      <c r="DC7" s="163" t="inlineStr">
        <is>
          <t>доля</t>
        </is>
      </c>
      <c r="DD7" s="161" t="inlineStr">
        <is>
          <t>часы</t>
        </is>
      </c>
      <c r="DE7" s="163" t="inlineStr">
        <is>
          <t>доля</t>
        </is>
      </c>
      <c r="DF7" s="161" t="inlineStr">
        <is>
          <t>часы</t>
        </is>
      </c>
      <c r="DG7" s="162" t="inlineStr">
        <is>
          <t>доля</t>
        </is>
      </c>
      <c r="DH7" s="161" t="inlineStr">
        <is>
          <t>часы</t>
        </is>
      </c>
      <c r="DI7" s="163" t="inlineStr">
        <is>
          <t>доля</t>
        </is>
      </c>
      <c r="DJ7" s="161" t="inlineStr">
        <is>
          <t>часы</t>
        </is>
      </c>
      <c r="DK7" s="163" t="inlineStr">
        <is>
          <t>доля</t>
        </is>
      </c>
      <c r="DL7" s="161" t="inlineStr">
        <is>
          <t>часы</t>
        </is>
      </c>
      <c r="DM7" s="162" t="inlineStr">
        <is>
          <t>доля</t>
        </is>
      </c>
      <c r="DN7" s="161" t="inlineStr">
        <is>
          <t>часы</t>
        </is>
      </c>
      <c r="DO7" s="166" t="inlineStr">
        <is>
          <t>доля</t>
        </is>
      </c>
      <c r="DP7" s="161" t="inlineStr">
        <is>
          <t>часы</t>
        </is>
      </c>
      <c r="DQ7" s="163" t="inlineStr">
        <is>
          <t>доля</t>
        </is>
      </c>
      <c r="DR7" s="161" t="inlineStr">
        <is>
          <t>доля</t>
        </is>
      </c>
      <c r="DS7" s="163" t="inlineStr">
        <is>
          <t>доля</t>
        </is>
      </c>
      <c r="DT7" s="161" t="inlineStr">
        <is>
          <t>часы</t>
        </is>
      </c>
      <c r="DU7" s="162" t="inlineStr">
        <is>
          <t>доля</t>
        </is>
      </c>
      <c r="DV7" s="161" t="inlineStr">
        <is>
          <t>часы</t>
        </is>
      </c>
      <c r="DW7" s="163" t="inlineStr">
        <is>
          <t>доля</t>
        </is>
      </c>
      <c r="DX7" s="153" t="inlineStr">
        <is>
          <t>часы</t>
        </is>
      </c>
      <c r="DY7" s="167" t="inlineStr">
        <is>
          <t>доля</t>
        </is>
      </c>
      <c r="DZ7" s="153" t="inlineStr">
        <is>
          <t>часы</t>
        </is>
      </c>
      <c r="EA7" s="167" t="inlineStr">
        <is>
          <t>доля</t>
        </is>
      </c>
      <c r="EB7" s="153" t="inlineStr">
        <is>
          <t>часы</t>
        </is>
      </c>
      <c r="EC7" s="167" t="inlineStr">
        <is>
          <t>доля</t>
        </is>
      </c>
      <c r="ED7" s="153" t="inlineStr">
        <is>
          <t>часы</t>
        </is>
      </c>
      <c r="EE7" s="167" t="inlineStr">
        <is>
          <t>доля</t>
        </is>
      </c>
      <c r="EF7" s="159" t="inlineStr">
        <is>
          <t>часы</t>
        </is>
      </c>
      <c r="EG7" s="168" t="inlineStr">
        <is>
          <t>доля</t>
        </is>
      </c>
      <c r="EH7" s="153" t="inlineStr">
        <is>
          <t>часы</t>
        </is>
      </c>
      <c r="EI7" s="167" t="inlineStr">
        <is>
          <t>доля</t>
        </is>
      </c>
      <c r="EJ7" s="153" t="inlineStr">
        <is>
          <t>часы</t>
        </is>
      </c>
      <c r="EK7" s="167" t="inlineStr">
        <is>
          <t>доля</t>
        </is>
      </c>
      <c r="EL7" s="153" t="inlineStr">
        <is>
          <t>часы</t>
        </is>
      </c>
      <c r="EM7" s="167" t="inlineStr">
        <is>
          <t>доля</t>
        </is>
      </c>
      <c r="EN7" s="153" t="inlineStr">
        <is>
          <t>часы</t>
        </is>
      </c>
      <c r="EO7" s="167" t="inlineStr">
        <is>
          <t>доля</t>
        </is>
      </c>
      <c r="EP7" s="153" t="inlineStr">
        <is>
          <t>часы</t>
        </is>
      </c>
      <c r="EQ7" s="167" t="inlineStr">
        <is>
          <t>доля</t>
        </is>
      </c>
      <c r="ER7" s="153" t="inlineStr">
        <is>
          <t>часы</t>
        </is>
      </c>
      <c r="ES7" s="167" t="inlineStr">
        <is>
          <t>доля</t>
        </is>
      </c>
      <c r="ET7" s="153" t="inlineStr">
        <is>
          <t>часы</t>
        </is>
      </c>
      <c r="EU7" s="167" t="inlineStr">
        <is>
          <t>доля</t>
        </is>
      </c>
      <c r="EV7" s="153" t="inlineStr">
        <is>
          <t>часы</t>
        </is>
      </c>
      <c r="EW7" s="167" t="inlineStr">
        <is>
          <t>доля</t>
        </is>
      </c>
      <c r="EX7" s="159" t="inlineStr">
        <is>
          <t>часы</t>
        </is>
      </c>
      <c r="EY7" s="169" t="inlineStr">
        <is>
          <t>доля</t>
        </is>
      </c>
      <c r="EZ7" s="153" t="inlineStr">
        <is>
          <t>часы</t>
        </is>
      </c>
      <c r="FA7" s="170" t="inlineStr">
        <is>
          <t>доля</t>
        </is>
      </c>
      <c r="FB7" s="153" t="inlineStr">
        <is>
          <t>часы</t>
        </is>
      </c>
      <c r="FC7" s="170" t="inlineStr">
        <is>
          <t>доля</t>
        </is>
      </c>
      <c r="FD7" s="153" t="inlineStr">
        <is>
          <t>часы</t>
        </is>
      </c>
      <c r="FE7" s="170" t="inlineStr">
        <is>
          <t>доля</t>
        </is>
      </c>
      <c r="FF7" s="153" t="inlineStr">
        <is>
          <t>часы</t>
        </is>
      </c>
      <c r="FG7" s="170" t="inlineStr">
        <is>
          <t>доля</t>
        </is>
      </c>
      <c r="FH7" s="153" t="inlineStr">
        <is>
          <t>часы</t>
        </is>
      </c>
      <c r="FI7" s="170" t="inlineStr">
        <is>
          <t>доля</t>
        </is>
      </c>
      <c r="FJ7" s="159" t="inlineStr">
        <is>
          <t>часы</t>
        </is>
      </c>
      <c r="FK7" s="171" t="inlineStr">
        <is>
          <t>доля</t>
        </is>
      </c>
      <c r="FL7" s="172" t="inlineStr">
        <is>
          <t>часы</t>
        </is>
      </c>
      <c r="FM7" s="170" t="inlineStr">
        <is>
          <t>доля</t>
        </is>
      </c>
      <c r="FN7" s="153" t="inlineStr">
        <is>
          <t>часы</t>
        </is>
      </c>
      <c r="FO7" s="167" t="inlineStr">
        <is>
          <t>доля</t>
        </is>
      </c>
      <c r="FP7" s="153" t="inlineStr">
        <is>
          <t>часы</t>
        </is>
      </c>
      <c r="FQ7" s="167" t="inlineStr">
        <is>
          <t>доля</t>
        </is>
      </c>
      <c r="FR7" s="153" t="inlineStr">
        <is>
          <t>часы</t>
        </is>
      </c>
      <c r="FS7" s="167" t="inlineStr">
        <is>
          <t>доля</t>
        </is>
      </c>
      <c r="FT7" s="153" t="inlineStr">
        <is>
          <t>часы</t>
        </is>
      </c>
      <c r="FU7" s="167" t="inlineStr">
        <is>
          <t>доля</t>
        </is>
      </c>
      <c r="FV7" s="153" t="inlineStr">
        <is>
          <t>часы</t>
        </is>
      </c>
      <c r="FW7" s="167" t="inlineStr">
        <is>
          <t>доля</t>
        </is>
      </c>
      <c r="FX7" s="153" t="inlineStr">
        <is>
          <t>часы</t>
        </is>
      </c>
      <c r="FY7" s="168" t="inlineStr">
        <is>
          <t>доля</t>
        </is>
      </c>
      <c r="FZ7" s="153" t="inlineStr">
        <is>
          <t>часы</t>
        </is>
      </c>
      <c r="GA7" s="168" t="inlineStr">
        <is>
          <t>доля</t>
        </is>
      </c>
      <c r="GB7" s="153" t="inlineStr">
        <is>
          <t>часы</t>
        </is>
      </c>
      <c r="GC7" s="168" t="inlineStr">
        <is>
          <t>доля</t>
        </is>
      </c>
      <c r="GD7" s="153" t="inlineStr">
        <is>
          <t>часы</t>
        </is>
      </c>
      <c r="GE7" s="168" t="inlineStr">
        <is>
          <t>доля</t>
        </is>
      </c>
      <c r="GF7" s="153" t="inlineStr">
        <is>
          <t>часы</t>
        </is>
      </c>
      <c r="GG7" s="167" t="inlineStr">
        <is>
          <t>доля</t>
        </is>
      </c>
      <c r="GH7" s="153" t="inlineStr">
        <is>
          <t>часы</t>
        </is>
      </c>
      <c r="GI7" s="170" t="inlineStr">
        <is>
          <t>доля</t>
        </is>
      </c>
      <c r="GJ7" s="153" t="inlineStr">
        <is>
          <t>часы</t>
        </is>
      </c>
      <c r="GK7" s="167" t="inlineStr">
        <is>
          <t>доля</t>
        </is>
      </c>
      <c r="GL7" s="153" t="inlineStr">
        <is>
          <t>часы</t>
        </is>
      </c>
      <c r="GM7" s="167" t="inlineStr">
        <is>
          <t>доля</t>
        </is>
      </c>
      <c r="GN7" s="153" t="inlineStr">
        <is>
          <t>часы</t>
        </is>
      </c>
      <c r="GO7" s="167" t="inlineStr">
        <is>
          <t>доля</t>
        </is>
      </c>
      <c r="GP7" s="153" t="inlineStr">
        <is>
          <t>часы</t>
        </is>
      </c>
      <c r="GQ7" s="167" t="inlineStr">
        <is>
          <t>доля</t>
        </is>
      </c>
      <c r="GR7" s="153" t="inlineStr">
        <is>
          <t>часы</t>
        </is>
      </c>
      <c r="GS7" s="167" t="inlineStr">
        <is>
          <t>доля</t>
        </is>
      </c>
      <c r="GT7" s="153" t="inlineStr">
        <is>
          <t>часы</t>
        </is>
      </c>
      <c r="GU7" s="167" t="inlineStr">
        <is>
          <t>доля</t>
        </is>
      </c>
      <c r="GV7" s="153" t="inlineStr">
        <is>
          <t>часы</t>
        </is>
      </c>
      <c r="GW7" s="167" t="inlineStr">
        <is>
          <t>доля</t>
        </is>
      </c>
      <c r="GX7" s="153" t="inlineStr">
        <is>
          <t>часы</t>
        </is>
      </c>
      <c r="GY7" s="167" t="inlineStr">
        <is>
          <t>доля</t>
        </is>
      </c>
      <c r="GZ7" s="153" t="inlineStr">
        <is>
          <t>часы</t>
        </is>
      </c>
      <c r="HA7" s="167" t="inlineStr">
        <is>
          <t>доля</t>
        </is>
      </c>
      <c r="HB7" s="153" t="inlineStr">
        <is>
          <t>часы</t>
        </is>
      </c>
      <c r="HC7" s="167" t="inlineStr">
        <is>
          <t>доля</t>
        </is>
      </c>
      <c r="HD7" s="153" t="inlineStr">
        <is>
          <t>часы</t>
        </is>
      </c>
      <c r="HE7" s="167" t="inlineStr">
        <is>
          <t>доля</t>
        </is>
      </c>
      <c r="HF7" s="153" t="inlineStr">
        <is>
          <t>часы</t>
        </is>
      </c>
      <c r="HG7" s="167" t="inlineStr">
        <is>
          <t>доля</t>
        </is>
      </c>
      <c r="HH7" s="153" t="inlineStr">
        <is>
          <t>часы</t>
        </is>
      </c>
      <c r="HI7" s="167" t="inlineStr">
        <is>
          <t>доля</t>
        </is>
      </c>
      <c r="HJ7" s="153" t="inlineStr">
        <is>
          <t>часы</t>
        </is>
      </c>
      <c r="HK7" s="167" t="inlineStr">
        <is>
          <t>доля</t>
        </is>
      </c>
      <c r="HL7" s="153" t="inlineStr">
        <is>
          <t>часы</t>
        </is>
      </c>
      <c r="HM7" s="167" t="inlineStr">
        <is>
          <t>доля</t>
        </is>
      </c>
      <c r="HN7" s="153" t="inlineStr">
        <is>
          <t>часы</t>
        </is>
      </c>
      <c r="HO7" s="167" t="inlineStr">
        <is>
          <t>доля</t>
        </is>
      </c>
      <c r="HP7" s="153" t="inlineStr">
        <is>
          <t>часы</t>
        </is>
      </c>
      <c r="HQ7" s="167" t="inlineStr">
        <is>
          <t>доля</t>
        </is>
      </c>
      <c r="HR7" s="153" t="inlineStr">
        <is>
          <t>часы</t>
        </is>
      </c>
      <c r="HS7" s="167" t="inlineStr">
        <is>
          <t>доля</t>
        </is>
      </c>
      <c r="HT7" s="153" t="inlineStr">
        <is>
          <t>часы</t>
        </is>
      </c>
      <c r="HU7" s="168" t="inlineStr">
        <is>
          <t>доля</t>
        </is>
      </c>
      <c r="HV7" s="153" t="inlineStr">
        <is>
          <t>часы</t>
        </is>
      </c>
      <c r="HW7" s="167" t="inlineStr">
        <is>
          <t>доля</t>
        </is>
      </c>
      <c r="HX7" s="153" t="inlineStr">
        <is>
          <t>часы</t>
        </is>
      </c>
      <c r="HY7" s="168" t="inlineStr">
        <is>
          <t>доля</t>
        </is>
      </c>
      <c r="HZ7" s="153" t="inlineStr">
        <is>
          <t>часы</t>
        </is>
      </c>
      <c r="IA7" s="168" t="inlineStr">
        <is>
          <t>доля</t>
        </is>
      </c>
      <c r="IB7" s="153" t="inlineStr">
        <is>
          <t>часы</t>
        </is>
      </c>
      <c r="IC7" s="167" t="inlineStr">
        <is>
          <t>доля</t>
        </is>
      </c>
      <c r="ID7" s="159" t="inlineStr">
        <is>
          <t>часы</t>
        </is>
      </c>
      <c r="IE7" s="167" t="inlineStr">
        <is>
          <t>доля</t>
        </is>
      </c>
      <c r="IF7" s="153" t="inlineStr">
        <is>
          <t>часы</t>
        </is>
      </c>
      <c r="IG7" s="167" t="inlineStr">
        <is>
          <t>доля</t>
        </is>
      </c>
      <c r="IH7" s="153" t="inlineStr">
        <is>
          <t>часы</t>
        </is>
      </c>
      <c r="II7" s="167" t="inlineStr">
        <is>
          <t>доля</t>
        </is>
      </c>
      <c r="IJ7" s="153" t="inlineStr">
        <is>
          <t>часы</t>
        </is>
      </c>
      <c r="IK7" s="167" t="inlineStr">
        <is>
          <t>доля</t>
        </is>
      </c>
      <c r="IL7" s="153" t="inlineStr">
        <is>
          <t>часы</t>
        </is>
      </c>
      <c r="IM7" s="167" t="inlineStr">
        <is>
          <t>доля</t>
        </is>
      </c>
      <c r="IN7" s="153" t="inlineStr">
        <is>
          <t>часы</t>
        </is>
      </c>
      <c r="IO7" s="167" t="inlineStr">
        <is>
          <t>доля</t>
        </is>
      </c>
      <c r="IP7" s="153" t="inlineStr">
        <is>
          <t>часы</t>
        </is>
      </c>
      <c r="IQ7" s="167" t="inlineStr">
        <is>
          <t>доля</t>
        </is>
      </c>
      <c r="IR7" s="153" t="inlineStr">
        <is>
          <t>часы</t>
        </is>
      </c>
      <c r="IS7" s="167" t="inlineStr">
        <is>
          <t>доля</t>
        </is>
      </c>
      <c r="IT7" s="153" t="inlineStr">
        <is>
          <t>часы</t>
        </is>
      </c>
      <c r="IU7" s="167" t="inlineStr">
        <is>
          <t>доля</t>
        </is>
      </c>
      <c r="IV7" s="153" t="inlineStr">
        <is>
          <t>часы</t>
        </is>
      </c>
      <c r="IW7" s="167" t="inlineStr">
        <is>
          <t>доля</t>
        </is>
      </c>
      <c r="IX7" s="153" t="inlineStr">
        <is>
          <t>часы</t>
        </is>
      </c>
      <c r="IY7" s="167" t="inlineStr">
        <is>
          <t>доля</t>
        </is>
      </c>
      <c r="IZ7" s="153" t="inlineStr">
        <is>
          <t>часы</t>
        </is>
      </c>
      <c r="JA7" s="167" t="inlineStr">
        <is>
          <t>доля</t>
        </is>
      </c>
      <c r="JB7" s="153" t="inlineStr">
        <is>
          <t>часы</t>
        </is>
      </c>
      <c r="JC7" s="167" t="inlineStr">
        <is>
          <t>доля</t>
        </is>
      </c>
      <c r="JD7" s="153" t="inlineStr">
        <is>
          <t>часы</t>
        </is>
      </c>
      <c r="JE7" s="167" t="inlineStr">
        <is>
          <t>доля</t>
        </is>
      </c>
      <c r="JF7" s="72" t="inlineStr">
        <is>
          <t>часы</t>
        </is>
      </c>
      <c r="JG7" s="146" t="inlineStr">
        <is>
          <t>доля</t>
        </is>
      </c>
      <c r="JH7" s="70" t="inlineStr">
        <is>
          <t>часы</t>
        </is>
      </c>
      <c r="JI7" s="244" t="inlineStr">
        <is>
          <t>доля</t>
        </is>
      </c>
      <c r="JJ7" s="72" t="inlineStr">
        <is>
          <t>часы</t>
        </is>
      </c>
      <c r="JK7" s="73" t="inlineStr">
        <is>
          <t>доля</t>
        </is>
      </c>
      <c r="JL7" s="72" t="inlineStr">
        <is>
          <t>часы</t>
        </is>
      </c>
      <c r="JM7" s="73" t="inlineStr">
        <is>
          <t>доля</t>
        </is>
      </c>
      <c r="JN7" s="153" t="inlineStr">
        <is>
          <t>часы</t>
        </is>
      </c>
      <c r="JO7" s="167" t="inlineStr">
        <is>
          <t>доля</t>
        </is>
      </c>
      <c r="JP7" s="153" t="inlineStr">
        <is>
          <t>часы</t>
        </is>
      </c>
      <c r="JQ7" s="167" t="inlineStr">
        <is>
          <t>доля</t>
        </is>
      </c>
      <c r="JR7" s="153" t="inlineStr">
        <is>
          <t>часы</t>
        </is>
      </c>
      <c r="JS7" s="167" t="inlineStr">
        <is>
          <t>доля</t>
        </is>
      </c>
      <c r="JT7" s="71" t="inlineStr">
        <is>
          <t>часы</t>
        </is>
      </c>
      <c r="JU7" s="71" t="inlineStr">
        <is>
          <t>доля</t>
        </is>
      </c>
      <c r="JV7" s="71" t="inlineStr">
        <is>
          <t>часы</t>
        </is>
      </c>
      <c r="JW7" s="71" t="inlineStr">
        <is>
          <t>доля</t>
        </is>
      </c>
      <c r="JX7" s="71" t="inlineStr">
        <is>
          <t>часы</t>
        </is>
      </c>
      <c r="JY7" s="73" t="inlineStr">
        <is>
          <t>доля</t>
        </is>
      </c>
      <c r="JZ7" s="72" t="inlineStr">
        <is>
          <t>часы</t>
        </is>
      </c>
      <c r="KA7" s="73" t="inlineStr">
        <is>
          <t>доля</t>
        </is>
      </c>
      <c r="KB7" s="74" t="inlineStr">
        <is>
          <t>часы</t>
        </is>
      </c>
      <c r="KC7" s="75" t="inlineStr">
        <is>
          <t>доля</t>
        </is>
      </c>
      <c r="KE7" s="279" t="inlineStr">
        <is>
          <t>проверка</t>
        </is>
      </c>
    </row>
    <row r="8" ht="16.5" customHeight="1" thickBot="1">
      <c r="A8" s="283" t="n"/>
      <c r="B8" s="299" t="n"/>
      <c r="C8" s="285" t="n"/>
      <c r="D8" s="127" t="n"/>
      <c r="E8" s="128" t="n"/>
      <c r="F8" s="80" t="n"/>
      <c r="G8" s="79" t="n"/>
      <c r="H8" s="56" t="n"/>
      <c r="I8" s="61" t="n"/>
      <c r="J8" s="56" t="n"/>
      <c r="K8" s="61" t="n"/>
      <c r="L8" s="56" t="n"/>
      <c r="M8" s="81" t="n"/>
      <c r="N8" s="8" t="n"/>
      <c r="O8" s="82" t="n"/>
      <c r="P8" s="8" t="n"/>
      <c r="Q8" s="85" t="n"/>
      <c r="R8" s="84" t="n"/>
      <c r="S8" s="83" t="n"/>
      <c r="T8" s="83" t="n"/>
      <c r="U8" s="83" t="n"/>
      <c r="V8" s="84" t="n"/>
      <c r="W8" s="83" t="n"/>
      <c r="X8" s="83" t="n"/>
      <c r="Y8" s="83" t="n"/>
      <c r="Z8" s="83" t="n"/>
      <c r="AA8" s="85" t="n"/>
      <c r="AB8" s="84" t="n"/>
      <c r="AC8" s="85" t="n"/>
      <c r="AD8" s="56" t="n"/>
      <c r="AE8" s="82" t="n"/>
      <c r="AF8" s="38" t="n"/>
      <c r="AG8" s="84" t="n"/>
      <c r="AH8" s="38" t="n"/>
      <c r="AI8" s="84" t="n"/>
      <c r="AJ8" s="38" t="n"/>
      <c r="AK8" s="84" t="n"/>
      <c r="AL8" s="38" t="n"/>
      <c r="AM8" s="84" t="n"/>
      <c r="AN8" s="38" t="n"/>
      <c r="AO8" s="84" t="n"/>
      <c r="AP8" s="38" t="n"/>
      <c r="AQ8" s="84" t="n"/>
      <c r="AR8" s="38" t="n"/>
      <c r="AS8" s="84" t="n"/>
      <c r="AT8" s="38" t="n"/>
      <c r="AU8" s="84" t="n"/>
      <c r="AV8" s="38" t="n"/>
      <c r="AW8" s="84" t="n"/>
      <c r="AX8" s="38" t="n"/>
      <c r="AY8" s="84" t="n"/>
      <c r="AZ8" s="38" t="n"/>
      <c r="BA8" s="84" t="n"/>
      <c r="BB8" s="38" t="n"/>
      <c r="BC8" s="84" t="n"/>
      <c r="BD8" s="38" t="n"/>
      <c r="BE8" s="84" t="n"/>
      <c r="BF8" s="38" t="n"/>
      <c r="BG8" s="84" t="n"/>
      <c r="BH8" s="38" t="n"/>
      <c r="BI8" s="84" t="n"/>
      <c r="BJ8" s="38" t="n"/>
      <c r="BK8" s="84" t="n"/>
      <c r="BL8" s="38" t="n"/>
      <c r="BM8" s="86" t="n"/>
      <c r="BN8" s="38" t="n"/>
      <c r="BO8" s="86" t="n"/>
      <c r="BP8" s="38" t="n"/>
      <c r="BQ8" s="86" t="n"/>
      <c r="BR8" s="38" t="n"/>
      <c r="BS8" s="86" t="n"/>
      <c r="BT8" s="38" t="n"/>
      <c r="BU8" s="58" t="n"/>
      <c r="BV8" s="38" t="n"/>
      <c r="BW8" s="86" t="n"/>
      <c r="BX8" s="38" t="n"/>
      <c r="BY8" s="86" t="n"/>
      <c r="BZ8" s="38" t="n"/>
      <c r="CA8" s="86" t="n"/>
      <c r="CB8" s="38" t="n"/>
      <c r="CC8" s="84" t="n"/>
      <c r="CD8" s="38" t="n"/>
      <c r="CE8" s="84" t="n"/>
      <c r="CF8" s="38" t="n"/>
      <c r="CG8" s="86" t="n"/>
      <c r="CH8" s="38" t="n"/>
      <c r="CI8" s="86" t="n"/>
      <c r="CJ8" s="136" t="n"/>
      <c r="CK8" s="86" t="n"/>
      <c r="CL8" s="136" t="n"/>
      <c r="CM8" s="86" t="n"/>
      <c r="CN8" s="8" t="n"/>
      <c r="CO8" s="86" t="n"/>
      <c r="CP8" s="60" t="n"/>
      <c r="CQ8" s="81" t="n"/>
      <c r="CR8" s="136" t="n"/>
      <c r="CS8" s="86" t="n"/>
      <c r="CT8" s="136" t="n"/>
      <c r="CU8" s="86" t="n"/>
      <c r="CV8" s="60" t="n"/>
      <c r="CW8" s="81" t="n"/>
      <c r="CX8" s="136" t="n"/>
      <c r="CY8" s="86" t="n"/>
      <c r="CZ8" s="38" t="n"/>
      <c r="DA8" s="86" t="n"/>
      <c r="DB8" s="59" t="n"/>
      <c r="DC8" s="81" t="n"/>
      <c r="DD8" s="38" t="n"/>
      <c r="DE8" s="86" t="n"/>
      <c r="DF8" s="38" t="n"/>
      <c r="DG8" s="84" t="n"/>
      <c r="DH8" s="38" t="n"/>
      <c r="DI8" s="86" t="n"/>
      <c r="DJ8" s="38" t="n"/>
      <c r="DK8" s="86" t="n"/>
      <c r="DL8" s="38" t="n"/>
      <c r="DM8" s="84" t="n"/>
      <c r="DN8" s="38" t="n"/>
      <c r="DO8" s="81" t="n"/>
      <c r="DP8" s="38" t="n"/>
      <c r="DQ8" s="58" t="n"/>
      <c r="DR8" s="136" t="n"/>
      <c r="DS8" s="86" t="n"/>
      <c r="DT8" s="38" t="n"/>
      <c r="DU8" s="57" t="n"/>
      <c r="DV8" s="38" t="n"/>
      <c r="DW8" s="58" t="n"/>
      <c r="DX8" s="136" t="n"/>
      <c r="DY8" s="60" t="n"/>
      <c r="DZ8" s="136" t="n"/>
      <c r="EA8" s="137" t="n"/>
      <c r="EB8" s="136" t="n"/>
      <c r="EC8" s="137" t="n"/>
      <c r="ED8" s="8" t="n"/>
      <c r="EE8" s="10" t="n"/>
      <c r="EF8" s="56" t="n"/>
      <c r="EG8" s="9" t="n"/>
      <c r="EH8" s="8" t="n"/>
      <c r="EI8" s="10" t="n"/>
      <c r="EJ8" s="8" t="n"/>
      <c r="EK8" s="10" t="n"/>
      <c r="EL8" s="8" t="n"/>
      <c r="EM8" s="10" t="n"/>
      <c r="EN8" s="136" t="n"/>
      <c r="EO8" s="137" t="n"/>
      <c r="EP8" s="136" t="n"/>
      <c r="EQ8" s="137" t="n"/>
      <c r="ER8" s="136" t="n"/>
      <c r="ES8" s="137" t="n"/>
      <c r="ET8" s="136" t="n"/>
      <c r="EU8" s="137" t="n"/>
      <c r="EV8" s="136" t="n"/>
      <c r="EW8" s="137" t="n"/>
      <c r="EX8" s="56" t="n"/>
      <c r="EY8" s="60" t="n"/>
      <c r="EZ8" s="8" t="n"/>
      <c r="FA8" s="137" t="n"/>
      <c r="FB8" s="8" t="n"/>
      <c r="FC8" s="137" t="n"/>
      <c r="FD8" s="8" t="n"/>
      <c r="FE8" s="137" t="n"/>
      <c r="FF8" s="8" t="n"/>
      <c r="FG8" s="137" t="n"/>
      <c r="FH8" s="8" t="n"/>
      <c r="FI8" s="137" t="n"/>
      <c r="FJ8" s="56" t="n"/>
      <c r="FK8" s="56" t="n"/>
      <c r="FL8" s="61" t="n"/>
      <c r="FM8" s="60" t="n"/>
      <c r="FN8" s="136" t="n"/>
      <c r="FO8" s="137" t="n"/>
      <c r="FP8" s="136" t="n"/>
      <c r="FQ8" s="137" t="n"/>
      <c r="FR8" s="136" t="n"/>
      <c r="FS8" s="137" t="n"/>
      <c r="FT8" s="136" t="n"/>
      <c r="FU8" s="137" t="n"/>
      <c r="FV8" s="136" t="n"/>
      <c r="FW8" s="137" t="n"/>
      <c r="FX8" s="136" t="n"/>
      <c r="FY8" s="60" t="n"/>
      <c r="FZ8" s="136" t="n"/>
      <c r="GA8" s="60" t="n"/>
      <c r="GB8" s="136" t="n"/>
      <c r="GC8" s="60" t="n"/>
      <c r="GD8" s="136" t="n"/>
      <c r="GE8" s="60" t="n"/>
      <c r="GF8" s="136" t="n"/>
      <c r="GG8" s="60" t="n"/>
      <c r="GH8" s="8" t="n"/>
      <c r="GI8" s="60" t="n"/>
      <c r="GJ8" s="8" t="n"/>
      <c r="GK8" s="60" t="n"/>
      <c r="GL8" s="136" t="n"/>
      <c r="GM8" s="60" t="n"/>
      <c r="GN8" s="136" t="n"/>
      <c r="GO8" s="137" t="n"/>
      <c r="GP8" s="136" t="n"/>
      <c r="GQ8" s="60" t="n"/>
      <c r="GR8" s="136" t="n"/>
      <c r="GS8" s="60" t="n"/>
      <c r="GT8" s="136" t="n"/>
      <c r="GU8" s="60" t="n"/>
      <c r="GV8" s="136" t="n"/>
      <c r="GW8" s="137" t="n"/>
      <c r="GX8" s="136" t="n"/>
      <c r="GY8" s="60" t="n"/>
      <c r="GZ8" s="136" t="n"/>
      <c r="HA8" s="60" t="n"/>
      <c r="HB8" s="136" t="n"/>
      <c r="HC8" s="60" t="n"/>
      <c r="HD8" s="136" t="n"/>
      <c r="HE8" s="60" t="n"/>
      <c r="HF8" s="136" t="n"/>
      <c r="HG8" s="60" t="n"/>
      <c r="HH8" s="136" t="n"/>
      <c r="HI8" s="60" t="n"/>
      <c r="HJ8" s="136" t="n"/>
      <c r="HK8" s="60" t="n"/>
      <c r="HL8" s="136" t="n"/>
      <c r="HM8" s="60" t="n"/>
      <c r="HN8" s="136" t="n"/>
      <c r="HO8" s="60" t="n"/>
      <c r="HP8" s="136" t="n"/>
      <c r="HQ8" s="60" t="n"/>
      <c r="HR8" s="136" t="n"/>
      <c r="HS8" s="60" t="n"/>
      <c r="HT8" s="136" t="n"/>
      <c r="HU8" s="60" t="n"/>
      <c r="HV8" s="8" t="n"/>
      <c r="HW8" s="137" t="n"/>
      <c r="HX8" s="136" t="n"/>
      <c r="HY8" s="60" t="n"/>
      <c r="HZ8" s="8" t="n"/>
      <c r="IA8" s="60" t="n"/>
      <c r="IB8" s="8" t="n"/>
      <c r="IC8" s="137" t="n"/>
      <c r="ID8" s="56" t="n"/>
      <c r="IE8" s="60" t="n"/>
      <c r="IF8" s="136" t="n"/>
      <c r="IG8" s="60" t="n"/>
      <c r="IH8" s="136" t="n"/>
      <c r="II8" s="60" t="n"/>
      <c r="IJ8" s="136" t="n"/>
      <c r="IK8" s="60" t="n"/>
      <c r="IL8" s="136" t="n"/>
      <c r="IM8" s="60" t="n"/>
      <c r="IN8" s="136" t="n"/>
      <c r="IO8" s="60" t="n"/>
      <c r="IP8" s="8" t="n"/>
      <c r="IQ8" s="137" t="n"/>
      <c r="IR8" s="8" t="n"/>
      <c r="IS8" s="60" t="n"/>
      <c r="IT8" s="136" t="n"/>
      <c r="IU8" s="137" t="n"/>
      <c r="IV8" s="136" t="n"/>
      <c r="IW8" s="137" t="n"/>
      <c r="IX8" s="8" t="n"/>
      <c r="IY8" s="137" t="n"/>
      <c r="IZ8" s="136" t="n"/>
      <c r="JA8" s="137" t="n"/>
      <c r="JB8" s="136" t="n"/>
      <c r="JC8" s="137" t="n"/>
      <c r="JD8" s="8" t="n"/>
      <c r="JE8" s="60" t="n"/>
      <c r="JF8" s="136" t="n"/>
      <c r="JG8" s="137" t="n"/>
      <c r="JH8" s="110" t="n"/>
      <c r="JI8" s="137" t="n"/>
      <c r="JJ8" s="8" t="n"/>
      <c r="JK8" s="10" t="n"/>
      <c r="JL8" s="136" t="n"/>
      <c r="JM8" s="137" t="n"/>
      <c r="JN8" s="136" t="n"/>
      <c r="JO8" s="137" t="n"/>
      <c r="JP8" s="136" t="n"/>
      <c r="JQ8" s="137" t="n"/>
      <c r="JR8" s="8" t="n"/>
      <c r="JS8" s="60" t="n"/>
      <c r="JT8" s="61" t="n"/>
      <c r="JU8" s="61" t="n"/>
      <c r="JV8" s="61" t="n"/>
      <c r="JW8" s="61" t="n"/>
      <c r="JX8" s="61" t="n"/>
      <c r="JY8" s="10" t="n"/>
      <c r="JZ8" s="8" t="n"/>
      <c r="KA8" s="10" t="n"/>
      <c r="KB8" s="65" t="n"/>
      <c r="KC8" s="87" t="n"/>
    </row>
    <row r="9" ht="21.75" customFormat="1" customHeight="1" s="210" thickBot="1">
      <c r="A9" s="126" t="n">
        <v>1</v>
      </c>
      <c r="B9" s="175" t="inlineStr">
        <is>
          <t>Батурин А.Ю.</t>
        </is>
      </c>
      <c r="C9" s="176" t="inlineStr">
        <is>
          <t>термист</t>
        </is>
      </c>
      <c r="D9" s="177">
        <f>$D$5</f>
        <v/>
      </c>
      <c r="E9" s="202" t="n">
        <v>159</v>
      </c>
      <c r="F9" s="197" t="n">
        <v>75793.16</v>
      </c>
      <c r="G9" s="217">
        <f>F9/D9</f>
        <v/>
      </c>
      <c r="H9" s="224">
        <f>3+4+4+4</f>
        <v/>
      </c>
      <c r="I9" s="181">
        <f>H9*100/$E$9</f>
        <v/>
      </c>
      <c r="J9" s="225" t="n"/>
      <c r="K9" s="181">
        <f>J9*100/$E$9</f>
        <v/>
      </c>
      <c r="L9" s="225" t="n"/>
      <c r="M9" s="181">
        <f>L9*100/$E$9</f>
        <v/>
      </c>
      <c r="N9" s="225" t="n"/>
      <c r="O9" s="181">
        <f>N9*100/$E$9</f>
        <v/>
      </c>
      <c r="P9" s="225" t="n"/>
      <c r="Q9" s="182">
        <f>P9*100/$E$9</f>
        <v/>
      </c>
      <c r="R9" s="225" t="n"/>
      <c r="S9" s="226">
        <f>R9*100/$E$9</f>
        <v/>
      </c>
      <c r="T9" s="225" t="n"/>
      <c r="U9" s="181">
        <f>T9*100/$E$9</f>
        <v/>
      </c>
      <c r="V9" s="225" t="n"/>
      <c r="W9" s="181">
        <f>V9*100/$E$9</f>
        <v/>
      </c>
      <c r="X9" s="225" t="n"/>
      <c r="Y9" s="181">
        <f>X9*100/$E$9</f>
        <v/>
      </c>
      <c r="Z9" s="225" t="n"/>
      <c r="AA9" s="181">
        <f>Z9*100/$E$9</f>
        <v/>
      </c>
      <c r="AB9" s="225">
        <f>3+1+3+8</f>
        <v/>
      </c>
      <c r="AC9" s="181">
        <f>AB9*100/$E$9</f>
        <v/>
      </c>
      <c r="AD9" s="225">
        <f>2+3+1</f>
        <v/>
      </c>
      <c r="AE9" s="226">
        <f>AD9*100/$E$9</f>
        <v/>
      </c>
      <c r="AF9" s="225">
        <f>4+5</f>
        <v/>
      </c>
      <c r="AG9" s="226">
        <f>AF9*100/$E$9</f>
        <v/>
      </c>
      <c r="AH9" s="225">
        <f>4+5</f>
        <v/>
      </c>
      <c r="AI9" s="181">
        <f>AH9*100/$E$9</f>
        <v/>
      </c>
      <c r="AJ9" s="225">
        <f>4+3+2+4</f>
        <v/>
      </c>
      <c r="AK9" s="181">
        <f>AJ9*100/$E$9</f>
        <v/>
      </c>
      <c r="AL9" s="225" t="n">
        <v>2</v>
      </c>
      <c r="AM9" s="181">
        <f>AL9*100/$E$9</f>
        <v/>
      </c>
      <c r="AN9" s="225">
        <f>2+2+2+2</f>
        <v/>
      </c>
      <c r="AO9" s="181">
        <f>AN9*100/$E$9</f>
        <v/>
      </c>
      <c r="AP9" s="225" t="n">
        <v>1</v>
      </c>
      <c r="AQ9" s="181">
        <f>AP9*100/$E$9</f>
        <v/>
      </c>
      <c r="AR9" s="225" t="n">
        <v>2</v>
      </c>
      <c r="AS9" s="181">
        <f>AR9*100/$E$9</f>
        <v/>
      </c>
      <c r="AT9" s="225" t="n">
        <v>5</v>
      </c>
      <c r="AU9" s="181">
        <f>AT9*100/$E$9</f>
        <v/>
      </c>
      <c r="AV9" s="225" t="n">
        <v>3</v>
      </c>
      <c r="AW9" s="181">
        <f>AV9*100/$E$9</f>
        <v/>
      </c>
      <c r="AX9" s="225" t="n">
        <v>4</v>
      </c>
      <c r="AY9" s="181">
        <f>AX9*100/$E$9</f>
        <v/>
      </c>
      <c r="AZ9" s="225" t="n">
        <v>3</v>
      </c>
      <c r="BA9" s="181">
        <f>AZ9*100/$E$9</f>
        <v/>
      </c>
      <c r="BB9" s="225" t="n">
        <v>2</v>
      </c>
      <c r="BC9" s="181">
        <f>BB9*100/$E$9</f>
        <v/>
      </c>
      <c r="BD9" s="225" t="n">
        <v>3</v>
      </c>
      <c r="BE9" s="181">
        <f>BD9*100/$E$9</f>
        <v/>
      </c>
      <c r="BF9" s="225" t="n">
        <v>3</v>
      </c>
      <c r="BG9" s="181">
        <f>BF9*100/$E$9</f>
        <v/>
      </c>
      <c r="BH9" s="225">
        <f>7+4</f>
        <v/>
      </c>
      <c r="BI9" s="181">
        <f>BH9*100/$E$9</f>
        <v/>
      </c>
      <c r="BJ9" s="225" t="n">
        <v>2</v>
      </c>
      <c r="BK9" s="181">
        <f>BJ9*100/$E$9</f>
        <v/>
      </c>
      <c r="BL9" s="225" t="n">
        <v>5</v>
      </c>
      <c r="BM9" s="181">
        <f>BL9*100/$E$9</f>
        <v/>
      </c>
      <c r="BN9" s="225" t="n">
        <v>3</v>
      </c>
      <c r="BO9" s="181">
        <f>BN9*100/$E$9</f>
        <v/>
      </c>
      <c r="BP9" s="225">
        <f>2+3</f>
        <v/>
      </c>
      <c r="BQ9" s="181">
        <f>BP9*100/$E$9</f>
        <v/>
      </c>
      <c r="BR9" s="225" t="n">
        <v>3</v>
      </c>
      <c r="BS9" s="181">
        <f>BR9*100/$E$9</f>
        <v/>
      </c>
      <c r="BT9" s="225">
        <f>1+4+4</f>
        <v/>
      </c>
      <c r="BU9" s="181">
        <f>BT9*100/$E$9</f>
        <v/>
      </c>
      <c r="BV9" s="225">
        <f>2+1</f>
        <v/>
      </c>
      <c r="BW9" s="181">
        <f>BV9*100/$E$9</f>
        <v/>
      </c>
      <c r="BX9" s="225" t="n">
        <v>4</v>
      </c>
      <c r="BY9" s="181">
        <f>BX9*100/$E$9</f>
        <v/>
      </c>
      <c r="BZ9" s="225" t="n">
        <v>4</v>
      </c>
      <c r="CA9" s="181">
        <f>BZ9*100/$E$9</f>
        <v/>
      </c>
      <c r="CB9" s="225" t="n">
        <v>4</v>
      </c>
      <c r="CC9" s="181">
        <f>CB9*100/$E$9</f>
        <v/>
      </c>
      <c r="CD9" s="225" t="n"/>
      <c r="CE9" s="227">
        <f>CD9*100/$E$9</f>
        <v/>
      </c>
      <c r="CF9" s="225" t="n"/>
      <c r="CG9" s="181">
        <f>CF9*100/$E$9</f>
        <v/>
      </c>
      <c r="CH9" s="225" t="n"/>
      <c r="CI9" s="181">
        <f>CH9*100/$E$9</f>
        <v/>
      </c>
      <c r="CJ9" s="225" t="n"/>
      <c r="CK9" s="181">
        <f>CJ9*100/$E$9</f>
        <v/>
      </c>
      <c r="CL9" s="225" t="n"/>
      <c r="CM9" s="181">
        <f>CL9*100/$E$9</f>
        <v/>
      </c>
      <c r="CN9" s="225" t="n"/>
      <c r="CO9" s="139">
        <f>CN9*100/$E$9</f>
        <v/>
      </c>
      <c r="CP9" s="225" t="n"/>
      <c r="CQ9" s="181">
        <f>CP9*100/$E$9</f>
        <v/>
      </c>
      <c r="CR9" s="225" t="n"/>
      <c r="CS9" s="182">
        <f>CR9*100/$E$9</f>
        <v/>
      </c>
      <c r="CT9" s="225" t="n"/>
      <c r="CU9" s="182">
        <f>CT9*100/$E$9</f>
        <v/>
      </c>
      <c r="CV9" s="225" t="n"/>
      <c r="CW9" s="182">
        <f>CV9*100/$E$9</f>
        <v/>
      </c>
      <c r="CX9" s="225" t="n"/>
      <c r="CY9" s="182">
        <f>CX9*100/$E$9</f>
        <v/>
      </c>
      <c r="CZ9" s="225" t="n"/>
      <c r="DA9" s="182">
        <f>CZ9*100/$E$9</f>
        <v/>
      </c>
      <c r="DB9" s="225" t="n"/>
      <c r="DC9" s="182">
        <f>DB9*100/$E$9</f>
        <v/>
      </c>
      <c r="DD9" s="225" t="n"/>
      <c r="DE9" s="182">
        <f>DD9*100/$E$9</f>
        <v/>
      </c>
      <c r="DF9" s="225" t="n"/>
      <c r="DG9" s="182">
        <f>DF9*100/$E$9</f>
        <v/>
      </c>
      <c r="DH9" s="225" t="n"/>
      <c r="DI9" s="182">
        <f>DH9*100/$E$9</f>
        <v/>
      </c>
      <c r="DJ9" s="225" t="n"/>
      <c r="DK9" s="182">
        <f>DJ9*100/$E$9</f>
        <v/>
      </c>
      <c r="DL9" s="225" t="n"/>
      <c r="DM9" s="182">
        <f>DL9*100/$E$9</f>
        <v/>
      </c>
      <c r="DN9" s="225" t="n"/>
      <c r="DO9" s="182">
        <f>DN9*100/$E$9</f>
        <v/>
      </c>
      <c r="DP9" s="225" t="n"/>
      <c r="DQ9" s="182">
        <f>DP9*100/$E$9</f>
        <v/>
      </c>
      <c r="DR9" s="225" t="n"/>
      <c r="DS9" s="182">
        <f>DR9*100/$E$9</f>
        <v/>
      </c>
      <c r="DT9" s="225" t="n"/>
      <c r="DU9" s="182">
        <f>DT9*100/$E$9</f>
        <v/>
      </c>
      <c r="DV9" s="225" t="n"/>
      <c r="DW9" s="182">
        <f>DV9*100/$E$9</f>
        <v/>
      </c>
      <c r="DX9" s="225" t="n"/>
      <c r="DY9" s="182">
        <f>DX9*100/$E$9</f>
        <v/>
      </c>
      <c r="DZ9" s="225" t="n"/>
      <c r="EA9" s="182">
        <f>DZ9*100/$E$9</f>
        <v/>
      </c>
      <c r="EB9" s="225" t="n"/>
      <c r="EC9" s="182">
        <f>EB9*100/$E$9</f>
        <v/>
      </c>
      <c r="ED9" s="225" t="n"/>
      <c r="EE9" s="182">
        <f>ED9*100/$E$9</f>
        <v/>
      </c>
      <c r="EF9" s="225" t="n"/>
      <c r="EG9" s="182">
        <f>EF9*100/$E$9</f>
        <v/>
      </c>
      <c r="EH9" s="225" t="n"/>
      <c r="EI9" s="182">
        <f>EH9*100/$E$9</f>
        <v/>
      </c>
      <c r="EJ9" s="225" t="n"/>
      <c r="EK9" s="182">
        <f>EJ9*100/$E$9</f>
        <v/>
      </c>
      <c r="EL9" s="225" t="n"/>
      <c r="EM9" s="182">
        <f>EL9*100/$E$9</f>
        <v/>
      </c>
      <c r="EN9" s="225" t="n"/>
      <c r="EO9" s="182">
        <f>EN9*100/$E$9</f>
        <v/>
      </c>
      <c r="EP9" s="225" t="n"/>
      <c r="EQ9" s="182">
        <f>EP9*100/$E$9</f>
        <v/>
      </c>
      <c r="ER9" s="225" t="n"/>
      <c r="ES9" s="182">
        <f>ER9*100/$E$9</f>
        <v/>
      </c>
      <c r="ET9" s="225" t="n"/>
      <c r="EU9" s="182">
        <f>ET9*100/$E$9</f>
        <v/>
      </c>
      <c r="EV9" s="225" t="n"/>
      <c r="EW9" s="182">
        <f>EV9*100/$E$9</f>
        <v/>
      </c>
      <c r="EX9" s="225" t="n"/>
      <c r="EY9" s="182">
        <f>EX9*100/$E$9</f>
        <v/>
      </c>
      <c r="EZ9" s="225" t="n"/>
      <c r="FA9" s="182">
        <f>EZ9*100/$E$9</f>
        <v/>
      </c>
      <c r="FB9" s="225" t="n"/>
      <c r="FC9" s="182">
        <f>FB9*100/$E$9</f>
        <v/>
      </c>
      <c r="FD9" s="225" t="n"/>
      <c r="FE9" s="182">
        <f>FD9*100/$E$9</f>
        <v/>
      </c>
      <c r="FF9" s="225" t="n"/>
      <c r="FG9" s="182">
        <f>FF9*100/$E$9</f>
        <v/>
      </c>
      <c r="FH9" s="225" t="n"/>
      <c r="FI9" s="182">
        <f>FH9*100/$E$9</f>
        <v/>
      </c>
      <c r="FJ9" s="225" t="n"/>
      <c r="FK9" s="182">
        <f>FJ9*100/$E$9</f>
        <v/>
      </c>
      <c r="FL9" s="225" t="n"/>
      <c r="FM9" s="182">
        <f>FL9*100/$E$9</f>
        <v/>
      </c>
      <c r="FN9" s="225" t="n"/>
      <c r="FO9" s="182">
        <f>FN9*100/$E$9</f>
        <v/>
      </c>
      <c r="FP9" s="225" t="n"/>
      <c r="FQ9" s="182">
        <f>FP9*100/$E$9</f>
        <v/>
      </c>
      <c r="FR9" s="225" t="n"/>
      <c r="FS9" s="182">
        <f>FR9*100/$E$9</f>
        <v/>
      </c>
      <c r="FT9" s="225" t="n"/>
      <c r="FU9" s="182">
        <f>FT9*100/$E$9</f>
        <v/>
      </c>
      <c r="FV9" s="225" t="n"/>
      <c r="FW9" s="182">
        <f>FV9*100/$E$9</f>
        <v/>
      </c>
      <c r="FX9" s="225" t="n"/>
      <c r="FY9" s="181">
        <f>FX9*100/$E$9</f>
        <v/>
      </c>
      <c r="FZ9" s="225" t="n"/>
      <c r="GA9" s="181">
        <f>FZ9*100/$E$9</f>
        <v/>
      </c>
      <c r="GB9" s="225" t="n"/>
      <c r="GC9" s="181">
        <f>GB9*100/$E$9</f>
        <v/>
      </c>
      <c r="GD9" s="225" t="n"/>
      <c r="GE9" s="181">
        <f>GD9*100/$E$9</f>
        <v/>
      </c>
      <c r="GF9" s="225" t="n"/>
      <c r="GG9" s="181">
        <f>GF9*100/$E$9</f>
        <v/>
      </c>
      <c r="GH9" s="225" t="n"/>
      <c r="GI9" s="181">
        <f>GH9*100/$E$9</f>
        <v/>
      </c>
      <c r="GJ9" s="225" t="n"/>
      <c r="GK9" s="182">
        <f>GJ9*100/$E$9</f>
        <v/>
      </c>
      <c r="GL9" s="225" t="n"/>
      <c r="GM9" s="181">
        <f>GL9*100/$E$9</f>
        <v/>
      </c>
      <c r="GN9" s="225" t="n"/>
      <c r="GO9" s="182">
        <f>GN9*100/$E$9</f>
        <v/>
      </c>
      <c r="GP9" s="225" t="n"/>
      <c r="GQ9" s="181">
        <f>GP9*100/$E$9</f>
        <v/>
      </c>
      <c r="GR9" s="225" t="n"/>
      <c r="GS9" s="182">
        <f>GR9*100/$E$9</f>
        <v/>
      </c>
      <c r="GT9" s="225" t="n"/>
      <c r="GU9" s="182">
        <f>GT9*100/$E$9</f>
        <v/>
      </c>
      <c r="GV9" s="225" t="n"/>
      <c r="GW9" s="182">
        <f>GV9*100/$E$9</f>
        <v/>
      </c>
      <c r="GX9" s="225" t="n"/>
      <c r="GY9" s="181">
        <f>GX9*100/$E$9</f>
        <v/>
      </c>
      <c r="GZ9" s="225" t="n"/>
      <c r="HA9" s="181">
        <f>GZ9*100/$E$9</f>
        <v/>
      </c>
      <c r="HB9" s="225" t="n"/>
      <c r="HC9" s="181">
        <f>HB9*100/$E$9</f>
        <v/>
      </c>
      <c r="HD9" s="225" t="n"/>
      <c r="HE9" s="181">
        <f>HD9*100/$E$9</f>
        <v/>
      </c>
      <c r="HF9" s="225" t="n"/>
      <c r="HG9" s="181">
        <f>HF9*100/$E$9</f>
        <v/>
      </c>
      <c r="HH9" s="225" t="n"/>
      <c r="HI9" s="181">
        <f>HH9*100/$E$9</f>
        <v/>
      </c>
      <c r="HJ9" s="225" t="n"/>
      <c r="HK9" s="181">
        <f>HJ9*100/$E$9</f>
        <v/>
      </c>
      <c r="HL9" s="225" t="n"/>
      <c r="HM9" s="181">
        <f>HL9*100/$E$9</f>
        <v/>
      </c>
      <c r="HN9" s="225" t="n"/>
      <c r="HO9" s="181">
        <f>HN9*100/$E$9</f>
        <v/>
      </c>
      <c r="HP9" s="225" t="n"/>
      <c r="HQ9" s="181">
        <f>HP9*100/$E$9</f>
        <v/>
      </c>
      <c r="HR9" s="225" t="n"/>
      <c r="HS9" s="181">
        <f>HR9*100/$E$9</f>
        <v/>
      </c>
      <c r="HT9" s="225" t="n"/>
      <c r="HU9" s="181">
        <f>HT9*100/$E$9</f>
        <v/>
      </c>
      <c r="HV9" s="225" t="n"/>
      <c r="HW9" s="181">
        <f>HV9*100/$E$9</f>
        <v/>
      </c>
      <c r="HX9" s="225" t="n"/>
      <c r="HY9" s="181">
        <f>HX9*100/$E$9</f>
        <v/>
      </c>
      <c r="HZ9" s="225" t="n"/>
      <c r="IA9" s="182">
        <f>HZ9*100/$E$9</f>
        <v/>
      </c>
      <c r="IB9" s="225" t="n"/>
      <c r="IC9" s="182">
        <f>IB9*100/$E$9</f>
        <v/>
      </c>
      <c r="ID9" s="225" t="n"/>
      <c r="IE9" s="182">
        <f>ID9*100/$E$9</f>
        <v/>
      </c>
      <c r="IF9" s="225" t="n"/>
      <c r="IG9" s="182">
        <f>IF9*100/$E$9</f>
        <v/>
      </c>
      <c r="IH9" s="225" t="n"/>
      <c r="II9" s="182">
        <f>IH9*100/$E$9</f>
        <v/>
      </c>
      <c r="IJ9" s="225" t="n"/>
      <c r="IK9" s="182">
        <f>IJ9*100/$E$9</f>
        <v/>
      </c>
      <c r="IL9" s="225" t="n"/>
      <c r="IM9" s="181">
        <f>IL9*100/$E$9</f>
        <v/>
      </c>
      <c r="IN9" s="225" t="n"/>
      <c r="IO9" s="181">
        <f>IN9*100/$E$9</f>
        <v/>
      </c>
      <c r="IP9" s="225" t="n"/>
      <c r="IQ9" s="182">
        <f>IP9*100/$E$9</f>
        <v/>
      </c>
      <c r="IR9" s="225" t="n"/>
      <c r="IS9" s="182">
        <f>IR9*100/$E$9</f>
        <v/>
      </c>
      <c r="IT9" s="225" t="n"/>
      <c r="IU9" s="182">
        <f>IT9*100/$E$9</f>
        <v/>
      </c>
      <c r="IV9" s="225" t="n"/>
      <c r="IW9" s="182">
        <f>IV9*100/$E$9</f>
        <v/>
      </c>
      <c r="IX9" s="225" t="n"/>
      <c r="IY9" s="182">
        <f>IX9*100/$E$9</f>
        <v/>
      </c>
      <c r="IZ9" s="225" t="n"/>
      <c r="JA9" s="182">
        <f>IZ9*100/$E$9</f>
        <v/>
      </c>
      <c r="JB9" s="225" t="n"/>
      <c r="JC9" s="182">
        <f>JB9*100/$E$9</f>
        <v/>
      </c>
      <c r="JD9" s="225" t="n"/>
      <c r="JE9" s="182">
        <f>JD9*100/$E$9</f>
        <v/>
      </c>
      <c r="JF9" s="228" t="n"/>
      <c r="JG9" s="182">
        <f>JF9*100/$E$9</f>
        <v/>
      </c>
      <c r="JH9" s="225" t="n"/>
      <c r="JI9" s="182">
        <f>JH9*100/$E$9</f>
        <v/>
      </c>
      <c r="JJ9" s="225" t="n"/>
      <c r="JK9" s="182">
        <f>JJ9*100/$E$9</f>
        <v/>
      </c>
      <c r="JL9" s="225">
        <f>1+2</f>
        <v/>
      </c>
      <c r="JM9" s="182">
        <f>JL9*100/$E$9</f>
        <v/>
      </c>
      <c r="JN9" s="225" t="n"/>
      <c r="JO9" s="182">
        <f>JN9*100/$E$9</f>
        <v/>
      </c>
      <c r="JP9" s="225" t="n"/>
      <c r="JQ9" s="182">
        <f>JP9*100/$E$9</f>
        <v/>
      </c>
      <c r="JR9" s="225" t="n"/>
      <c r="JS9" s="182">
        <f>JR9*100/$E$9</f>
        <v/>
      </c>
      <c r="JT9" s="225" t="n"/>
      <c r="JU9" s="139">
        <f>JT9*100/$E$9</f>
        <v/>
      </c>
      <c r="JV9" s="133" t="n"/>
      <c r="JW9" s="139">
        <f>JV9*100/$E$9</f>
        <v/>
      </c>
      <c r="JX9" s="133" t="n"/>
      <c r="JY9" s="139">
        <f>JX9*100/$E$9</f>
        <v/>
      </c>
      <c r="JZ9" s="183">
        <f>JN9+JP9+JR9+JT9+JV9+JX9</f>
        <v/>
      </c>
      <c r="KA9" s="184">
        <f>JO9+JQ9+JS9+JU9+JW9+JY9</f>
        <v/>
      </c>
      <c r="KB9" s="185">
        <f>H9+J9+L9+N9+P9+R9+T9+V9+X9+Z9+AB9+AD9+AF9+AH9+AJ9+AL9+AN9+AP9+AR9+AT9+AV9+AX9+AZ9+BB9+BD9+BF9+BH9+BJ9+BL9+BN9+BP9+BR9+BT9+BV9+BX9+BZ9+CB9+CD9+CF9+CH9+CZ9+DB9+DD9+DF9+DH9+DJ9+DL9+DN9+DP9+DR9+DT9+DV9+DX9+DZ9+EB9+ED9+EF9+EH9+EJ9+EL9+EN9+EP9+ER9+ET9+EV9+FN9+FP9+FR9+FT9+FV9+FX9+FZ9+GB9+GD9+GF9+GH9+GJ9+GL9+GN9+GP9+GR9+GT9+GV9+GX9+GZ9+HB9+HD9+HF9+HH9+HJ9+HL9+HN9+HP9+HR9+HT9+HV9+HX9+HZ9+IB9+ID9+IF9+IH9+IJ9+IL9+IN9+IP9+IR9+IT9+IV9+IX9+IZ9+JB9+JD9+JF9+JH9+JJ9+JL9+JZ9+CJ9+CL9+CN9+CP9+CR9+CT9+CV9+CX9+EX9+EZ9+FB9+FD9+FF9+FH9+FJ9+FL9</f>
        <v/>
      </c>
      <c r="KC9" s="186">
        <f>I9+K9+M9+O9+Q9+S9+U9+W9+Y9+AA9+AC9+AE9+AG9+AI9+AK9+AM9+AO9+AQ9+AS9+AU9+AW9+AY9+BA9+BC9+BE9+BG9+BI9+BK9+BM9+BO9+BQ9+BS9+BU9+BW9+BY9+CA9+CC9+CE9+CG9+CI9+DA9+DC9+DE9+DG9+DI9+DK9+DM9+DO9+DQ9+DS9+DU9+DW9+DY9+EA9+EC9+EE9+EG9+EI9+EK9+EM9+EO9+EQ9+ES9+EU9+EW9+FO9+FS9+FU9+FW9+FQ9+FY9+GA9+GC9+GE9+GG9+GI9+GK9+GM9+GO9+GQ9+GS9+GU9+GW9+GY9+HA9+HC9+HE9+HG9+HI9+HK9+HM9+HO9+HQ9+HS9+HU9+HW9+HY9+IA9+IC9+IE9+IG9+II9+IK9+IM9+IO9+IQ9+IS9+IU9+IW9+IY9+JA9+JC9+JE9+JG9+JI9+JK9+JM9+KA9+CK9+CM9+CO9+CQ9+CS9+CU9+CW9+CY9+EY9+FA9+FC9+FE9+FG9+FI9+FK9+FM9</f>
        <v/>
      </c>
      <c r="KD9" s="187">
        <f>JO9+JQ9+JS9+JU9+JW9+JY9</f>
        <v/>
      </c>
      <c r="KE9" s="188">
        <f>KB9=E9</f>
        <v/>
      </c>
      <c r="KF9" s="189">
        <f>E9-KB9</f>
        <v/>
      </c>
    </row>
    <row r="10" ht="21.75" customFormat="1" customHeight="1" s="215">
      <c r="A10" s="126">
        <f>A9+1</f>
        <v/>
      </c>
      <c r="B10" s="175" t="inlineStr">
        <is>
          <t>Блощинский С.В.</t>
        </is>
      </c>
      <c r="C10" s="176" t="inlineStr">
        <is>
          <t>слесарь</t>
        </is>
      </c>
      <c r="D10" s="177">
        <f>$D$5</f>
        <v/>
      </c>
      <c r="E10" s="202" t="n">
        <v>127</v>
      </c>
      <c r="F10" s="178" t="n">
        <v>75793.14999999999</v>
      </c>
      <c r="G10" s="179">
        <f>F10/D10</f>
        <v/>
      </c>
      <c r="H10" s="180" t="n"/>
      <c r="I10" s="181">
        <f>H10*100/$E$10</f>
        <v/>
      </c>
      <c r="J10" s="133" t="n"/>
      <c r="K10" s="181">
        <f>J10*100/$E$9</f>
        <v/>
      </c>
      <c r="L10" s="133" t="n"/>
      <c r="M10" s="181">
        <f>L10*100/E10</f>
        <v/>
      </c>
      <c r="N10" s="133" t="n"/>
      <c r="O10" s="181">
        <f>N10*100/E10</f>
        <v/>
      </c>
      <c r="P10" s="133" t="n"/>
      <c r="Q10" s="182">
        <f>P10*100/E10</f>
        <v/>
      </c>
      <c r="R10" s="133" t="n"/>
      <c r="S10" s="182">
        <f>R10*100/E10</f>
        <v/>
      </c>
      <c r="T10" s="133" t="n"/>
      <c r="U10" s="181">
        <f>T10*100/$E$10</f>
        <v/>
      </c>
      <c r="V10" s="133" t="n"/>
      <c r="W10" s="181">
        <f>V10*100/E10</f>
        <v/>
      </c>
      <c r="X10" s="133" t="n"/>
      <c r="Y10" s="181">
        <f>X10*100/$E$10</f>
        <v/>
      </c>
      <c r="Z10" s="133" t="n"/>
      <c r="AA10" s="181">
        <f>Z10*100/$E$10</f>
        <v/>
      </c>
      <c r="AB10" s="133" t="n"/>
      <c r="AC10" s="181">
        <f>AB10*100/$E$10</f>
        <v/>
      </c>
      <c r="AD10" s="133" t="n"/>
      <c r="AE10" s="182">
        <f>AD10*100/$E$10</f>
        <v/>
      </c>
      <c r="AF10" s="133" t="n"/>
      <c r="AG10" s="182">
        <f>AF10*100/$E$10</f>
        <v/>
      </c>
      <c r="AH10" s="133" t="n"/>
      <c r="AI10" s="181">
        <f>AH10*100/$E$10</f>
        <v/>
      </c>
      <c r="AJ10" s="133" t="n"/>
      <c r="AK10" s="181">
        <f>AJ10*100/$E$10</f>
        <v/>
      </c>
      <c r="AL10" s="133" t="n"/>
      <c r="AM10" s="181">
        <f>AL10*100/$E$10</f>
        <v/>
      </c>
      <c r="AN10" s="133">
        <f>8+4+4</f>
        <v/>
      </c>
      <c r="AO10" s="181">
        <f>AN10*100/$E$10</f>
        <v/>
      </c>
      <c r="AP10" s="133" t="n"/>
      <c r="AQ10" s="181">
        <f>AP10*100/$E$10</f>
        <v/>
      </c>
      <c r="AR10" s="133" t="n"/>
      <c r="AS10" s="181">
        <f>AR10*100/$E$10</f>
        <v/>
      </c>
      <c r="AT10" s="133" t="n"/>
      <c r="AU10" s="181">
        <f>AT10*100/$E$10</f>
        <v/>
      </c>
      <c r="AV10" s="133" t="n"/>
      <c r="AW10" s="181">
        <f>AV10*100/$E$10</f>
        <v/>
      </c>
      <c r="AX10" s="133" t="n"/>
      <c r="AY10" s="181">
        <f>AX10*100/$E$10</f>
        <v/>
      </c>
      <c r="AZ10" s="133" t="n"/>
      <c r="BA10" s="181">
        <f>AZ10*100/$E$10</f>
        <v/>
      </c>
      <c r="BB10" s="133" t="n"/>
      <c r="BC10" s="181">
        <f>BB10*100/$E$10</f>
        <v/>
      </c>
      <c r="BD10" s="133" t="n"/>
      <c r="BE10" s="181">
        <f>BD10*100/$E$10</f>
        <v/>
      </c>
      <c r="BF10" s="133" t="n"/>
      <c r="BG10" s="181">
        <f>BF10*100/$E$10</f>
        <v/>
      </c>
      <c r="BH10" s="133" t="n"/>
      <c r="BI10" s="181">
        <f>BH10*100/$E$10</f>
        <v/>
      </c>
      <c r="BJ10" s="133" t="n"/>
      <c r="BK10" s="181">
        <f>BJ10*100/$E$10</f>
        <v/>
      </c>
      <c r="BL10" s="133" t="n"/>
      <c r="BM10" s="181">
        <f>BL10*100/$E$10</f>
        <v/>
      </c>
      <c r="BN10" s="133" t="n"/>
      <c r="BO10" s="181">
        <f>BN10*100/$E$10</f>
        <v/>
      </c>
      <c r="BP10" s="133" t="n"/>
      <c r="BQ10" s="181">
        <f>BP10*100/$E$10</f>
        <v/>
      </c>
      <c r="BR10" s="133" t="n"/>
      <c r="BS10" s="181">
        <f>BR10*100/$E$10</f>
        <v/>
      </c>
      <c r="BT10" s="133" t="n"/>
      <c r="BU10" s="181">
        <f>BT10*100/$E$10</f>
        <v/>
      </c>
      <c r="BV10" s="133" t="n"/>
      <c r="BW10" s="181">
        <f>BV10*100/$E$10</f>
        <v/>
      </c>
      <c r="BX10" s="133" t="n"/>
      <c r="BY10" s="181">
        <f>BX10*100/$E$10</f>
        <v/>
      </c>
      <c r="BZ10" s="133" t="n"/>
      <c r="CA10" s="181">
        <f>BZ10*100/$E$10</f>
        <v/>
      </c>
      <c r="CB10" s="133" t="n"/>
      <c r="CC10" s="181">
        <f>CB10*100/$E$10</f>
        <v/>
      </c>
      <c r="CD10" s="133" t="n"/>
      <c r="CE10" s="227">
        <f>CD10*100/E10</f>
        <v/>
      </c>
      <c r="CF10" s="133" t="n"/>
      <c r="CG10" s="181">
        <f>CF10*100/$E$10</f>
        <v/>
      </c>
      <c r="CH10" s="133" t="n"/>
      <c r="CI10" s="181">
        <f>CH10*100/$E$10</f>
        <v/>
      </c>
      <c r="CJ10" s="133" t="n"/>
      <c r="CK10" s="181">
        <f>CJ10*100/$E$10</f>
        <v/>
      </c>
      <c r="CL10" s="133" t="n"/>
      <c r="CM10" s="181">
        <f>CL10*100/$E$10</f>
        <v/>
      </c>
      <c r="CN10" s="133" t="n"/>
      <c r="CO10" s="139">
        <f>CN10*100/$E$10</f>
        <v/>
      </c>
      <c r="CP10" s="133" t="n"/>
      <c r="CQ10" s="181">
        <f>CP10*100/$E$10</f>
        <v/>
      </c>
      <c r="CR10" s="133" t="n"/>
      <c r="CS10" s="182">
        <f>CR10*100/$E$10</f>
        <v/>
      </c>
      <c r="CT10" s="133" t="n"/>
      <c r="CU10" s="182">
        <f>CT10*100/$E$10</f>
        <v/>
      </c>
      <c r="CV10" s="133" t="n"/>
      <c r="CW10" s="182">
        <f>CV10*100/$E$10</f>
        <v/>
      </c>
      <c r="CX10" s="133" t="n"/>
      <c r="CY10" s="182">
        <f>CX10*100/$E$10</f>
        <v/>
      </c>
      <c r="CZ10" s="133" t="n"/>
      <c r="DA10" s="182">
        <f>CZ10*100/$E$10</f>
        <v/>
      </c>
      <c r="DB10" s="133" t="n"/>
      <c r="DC10" s="182">
        <f>DB10*100/$E$10</f>
        <v/>
      </c>
      <c r="DD10" s="133" t="n"/>
      <c r="DE10" s="182">
        <f>DD10*100/$E$10</f>
        <v/>
      </c>
      <c r="DF10" s="133" t="n"/>
      <c r="DG10" s="182">
        <f>DF10*100/$E$10</f>
        <v/>
      </c>
      <c r="DH10" s="133" t="n"/>
      <c r="DI10" s="182">
        <f>DH10*100/$E$10</f>
        <v/>
      </c>
      <c r="DJ10" s="133" t="n"/>
      <c r="DK10" s="182">
        <f>DJ10*100/$E$10</f>
        <v/>
      </c>
      <c r="DL10" s="133" t="n"/>
      <c r="DM10" s="182">
        <f>DL10*100/$E$10</f>
        <v/>
      </c>
      <c r="DN10" s="133" t="n"/>
      <c r="DO10" s="182">
        <f>DN10*100/$E$10</f>
        <v/>
      </c>
      <c r="DP10" s="133" t="n"/>
      <c r="DQ10" s="182">
        <f>DP10*100/$E$10</f>
        <v/>
      </c>
      <c r="DR10" s="133" t="n"/>
      <c r="DS10" s="182">
        <f>DR10*100/$E$10</f>
        <v/>
      </c>
      <c r="DT10" s="133" t="n"/>
      <c r="DU10" s="182">
        <f>DT10*100/$E$10</f>
        <v/>
      </c>
      <c r="DV10" s="133" t="n"/>
      <c r="DW10" s="182">
        <f>DV10*100/$E$10</f>
        <v/>
      </c>
      <c r="DX10" s="133" t="n"/>
      <c r="DY10" s="182">
        <f>DX10*100/$E$10</f>
        <v/>
      </c>
      <c r="DZ10" s="133" t="n"/>
      <c r="EA10" s="182">
        <f>DZ10*100/$E$10</f>
        <v/>
      </c>
      <c r="EB10" s="133" t="n"/>
      <c r="EC10" s="182">
        <f>EB10*100/$E$10</f>
        <v/>
      </c>
      <c r="ED10" s="133" t="n"/>
      <c r="EE10" s="182">
        <f>ED10*100/$E$10</f>
        <v/>
      </c>
      <c r="EF10" s="133" t="n"/>
      <c r="EG10" s="182">
        <f>EF10*100/$E$10</f>
        <v/>
      </c>
      <c r="EH10" s="133" t="n"/>
      <c r="EI10" s="182">
        <f>EH10*100/$E$10</f>
        <v/>
      </c>
      <c r="EJ10" s="133" t="n"/>
      <c r="EK10" s="182">
        <f>EJ10*100/E10</f>
        <v/>
      </c>
      <c r="EL10" s="133" t="n"/>
      <c r="EM10" s="182">
        <f>EL10*100/$E$10</f>
        <v/>
      </c>
      <c r="EN10" s="133" t="n"/>
      <c r="EO10" s="182">
        <f>EN10*100/$E$10</f>
        <v/>
      </c>
      <c r="EP10" s="133" t="n"/>
      <c r="EQ10" s="182">
        <f>EP10*100/$E$10</f>
        <v/>
      </c>
      <c r="ER10" s="133" t="n"/>
      <c r="ES10" s="182">
        <f>ER10*100/$E$10</f>
        <v/>
      </c>
      <c r="ET10" s="133" t="n"/>
      <c r="EU10" s="182">
        <f>ET10*100/$E$10</f>
        <v/>
      </c>
      <c r="EV10" s="133" t="n"/>
      <c r="EW10" s="182">
        <f>EV10*100/$E$10</f>
        <v/>
      </c>
      <c r="EX10" s="133" t="n"/>
      <c r="EY10" s="182">
        <f>EX10*100/$E$10</f>
        <v/>
      </c>
      <c r="EZ10" s="133" t="n"/>
      <c r="FA10" s="182">
        <f>EZ10*100/$E$10</f>
        <v/>
      </c>
      <c r="FB10" s="133" t="n"/>
      <c r="FC10" s="182">
        <f>FB10*100/$E$10</f>
        <v/>
      </c>
      <c r="FD10" s="133" t="n"/>
      <c r="FE10" s="182">
        <f>FD10*100/$E$10</f>
        <v/>
      </c>
      <c r="FF10" s="133">
        <f>8+4+4</f>
        <v/>
      </c>
      <c r="FG10" s="182">
        <f>FF10*100/$E$10</f>
        <v/>
      </c>
      <c r="FH10" s="133" t="n"/>
      <c r="FI10" s="182">
        <f>FH10*100/$E$10</f>
        <v/>
      </c>
      <c r="FJ10" s="133" t="n"/>
      <c r="FK10" s="182">
        <f>FJ10*100/$E$10</f>
        <v/>
      </c>
      <c r="FL10" s="133" t="n"/>
      <c r="FM10" s="182">
        <f>FL10*100/$E$10</f>
        <v/>
      </c>
      <c r="FN10" s="133" t="n"/>
      <c r="FO10" s="182">
        <f>FN10*100/$E$10</f>
        <v/>
      </c>
      <c r="FP10" s="133" t="n"/>
      <c r="FQ10" s="182">
        <f>FP10*100/$E$10</f>
        <v/>
      </c>
      <c r="FR10" s="133" t="n"/>
      <c r="FS10" s="182">
        <f>FR10*100/$E$10</f>
        <v/>
      </c>
      <c r="FT10" s="133" t="n"/>
      <c r="FU10" s="182">
        <f>FT10*100/$E$10</f>
        <v/>
      </c>
      <c r="FV10" s="133" t="n"/>
      <c r="FW10" s="182">
        <f>FV10*100/$E$10</f>
        <v/>
      </c>
      <c r="FX10" s="133" t="n"/>
      <c r="FY10" s="182">
        <f>FX10*100/$E$10</f>
        <v/>
      </c>
      <c r="FZ10" s="133" t="n"/>
      <c r="GA10" s="182">
        <f>FZ10*100/$E$10</f>
        <v/>
      </c>
      <c r="GB10" s="133" t="n"/>
      <c r="GC10" s="182">
        <f>GB10*100/$E$10</f>
        <v/>
      </c>
      <c r="GD10" s="133" t="n"/>
      <c r="GE10" s="182">
        <f>GD10*100/$E$10</f>
        <v/>
      </c>
      <c r="GF10" s="133" t="n"/>
      <c r="GG10" s="182">
        <f>GF10*100/$E$10</f>
        <v/>
      </c>
      <c r="GH10" s="133" t="n"/>
      <c r="GI10" s="182">
        <f>GH10*100/$E$10</f>
        <v/>
      </c>
      <c r="GJ10" s="133" t="n"/>
      <c r="GK10" s="182">
        <f>GJ10*100/$E$10</f>
        <v/>
      </c>
      <c r="GL10" s="133" t="n"/>
      <c r="GM10" s="182">
        <f>GL10*100/$E$10</f>
        <v/>
      </c>
      <c r="GN10" s="133" t="n"/>
      <c r="GO10" s="182">
        <f>GN10*100/$E$10</f>
        <v/>
      </c>
      <c r="GP10" s="133" t="n"/>
      <c r="GQ10" s="182">
        <f>GP10*100/$E$10</f>
        <v/>
      </c>
      <c r="GR10" s="133" t="n"/>
      <c r="GS10" s="182">
        <f>GR10*100/$E$10</f>
        <v/>
      </c>
      <c r="GT10" s="133" t="n"/>
      <c r="GU10" s="182">
        <f>GT10*100/$E$10</f>
        <v/>
      </c>
      <c r="GV10" s="133" t="n"/>
      <c r="GW10" s="182">
        <f>GV10*100/$E$10</f>
        <v/>
      </c>
      <c r="GX10" s="133" t="n"/>
      <c r="GY10" s="182">
        <f>GX10*100/$E$10</f>
        <v/>
      </c>
      <c r="GZ10" s="133" t="n"/>
      <c r="HA10" s="182">
        <f>GZ10*100/$E$10</f>
        <v/>
      </c>
      <c r="HB10" s="133" t="n"/>
      <c r="HC10" s="182">
        <f>HB10*100/$E$10</f>
        <v/>
      </c>
      <c r="HD10" s="133" t="n"/>
      <c r="HE10" s="182">
        <f>HD10*100/$E$10</f>
        <v/>
      </c>
      <c r="HF10" s="133" t="n"/>
      <c r="HG10" s="182">
        <f>HF10*100/$E$10</f>
        <v/>
      </c>
      <c r="HH10" s="133" t="n"/>
      <c r="HI10" s="182">
        <f>HH10*100/$E$10</f>
        <v/>
      </c>
      <c r="HJ10" s="133" t="n"/>
      <c r="HK10" s="182">
        <f>HJ10*100/$E$10</f>
        <v/>
      </c>
      <c r="HL10" s="133" t="n"/>
      <c r="HM10" s="182">
        <f>HL10*100/$E$10</f>
        <v/>
      </c>
      <c r="HN10" s="133" t="n"/>
      <c r="HO10" s="182">
        <f>HN10*100/$E$10</f>
        <v/>
      </c>
      <c r="HP10" s="133" t="n"/>
      <c r="HQ10" s="182">
        <f>HP10*100/$E$10</f>
        <v/>
      </c>
      <c r="HR10" s="133" t="n"/>
      <c r="HS10" s="182">
        <f>HR10*100/$E$10</f>
        <v/>
      </c>
      <c r="HT10" s="133" t="n"/>
      <c r="HU10" s="182">
        <f>HT10*100/$E$10</f>
        <v/>
      </c>
      <c r="HV10" s="133" t="n"/>
      <c r="HW10" s="182">
        <f>HV10*100/$E$10</f>
        <v/>
      </c>
      <c r="HX10" s="133" t="n"/>
      <c r="HY10" s="182">
        <f>HX10*100/$E$10</f>
        <v/>
      </c>
      <c r="HZ10" s="133" t="n"/>
      <c r="IA10" s="182">
        <f>HZ10*100/$E$10</f>
        <v/>
      </c>
      <c r="IB10" s="133" t="n"/>
      <c r="IC10" s="182">
        <f>IB10*100/$E$10</f>
        <v/>
      </c>
      <c r="ID10" s="133" t="n"/>
      <c r="IE10" s="182">
        <f>ID10*100/$E$10</f>
        <v/>
      </c>
      <c r="IF10" s="133" t="n"/>
      <c r="IG10" s="182">
        <f>IF10*100/$E$10</f>
        <v/>
      </c>
      <c r="IH10" s="133" t="n"/>
      <c r="II10" s="182">
        <f>IH10*100/$E$10</f>
        <v/>
      </c>
      <c r="IJ10" s="133" t="n"/>
      <c r="IK10" s="182">
        <f>IJ10*100/$E$10</f>
        <v/>
      </c>
      <c r="IL10" s="133" t="n"/>
      <c r="IM10" s="182">
        <f>IL10*100/$E$10</f>
        <v/>
      </c>
      <c r="IN10" s="133" t="n"/>
      <c r="IO10" s="182">
        <f>IN10*100/$E$10</f>
        <v/>
      </c>
      <c r="IP10" s="133" t="n"/>
      <c r="IQ10" s="182">
        <f>IP10*100/$E$10</f>
        <v/>
      </c>
      <c r="IR10" s="133" t="n"/>
      <c r="IS10" s="182">
        <f>IR10*100/$E$10</f>
        <v/>
      </c>
      <c r="IT10" s="133" t="n"/>
      <c r="IU10" s="182">
        <f>IT10*100/$E$10</f>
        <v/>
      </c>
      <c r="IV10" s="133" t="n"/>
      <c r="IW10" s="182">
        <f>IV10*100/$E$10</f>
        <v/>
      </c>
      <c r="IX10" s="133" t="n"/>
      <c r="IY10" s="182">
        <f>IX10*100/$E$10</f>
        <v/>
      </c>
      <c r="IZ10" s="133" t="n"/>
      <c r="JA10" s="182">
        <f>IZ10*100/$E$10</f>
        <v/>
      </c>
      <c r="JB10" s="133" t="n"/>
      <c r="JC10" s="182">
        <f>JB10*100/$E$10</f>
        <v/>
      </c>
      <c r="JD10" s="133" t="n"/>
      <c r="JE10" s="182">
        <f>JD10*100/$E$10</f>
        <v/>
      </c>
      <c r="JF10" s="133" t="n"/>
      <c r="JG10" s="182">
        <f>JF10*100/$E$10</f>
        <v/>
      </c>
      <c r="JH10" s="133" t="n"/>
      <c r="JI10" s="182">
        <f>JH10*100/$E$10</f>
        <v/>
      </c>
      <c r="JJ10" s="133" t="n"/>
      <c r="JK10" s="182">
        <f>JJ10*100/$E$10</f>
        <v/>
      </c>
      <c r="JL10" s="133" t="n"/>
      <c r="JM10" s="182">
        <f>JL10*100/$E$10</f>
        <v/>
      </c>
      <c r="JN10" s="133" t="n"/>
      <c r="JO10" s="182">
        <f>JN10*100/$E$10</f>
        <v/>
      </c>
      <c r="JP10" s="133">
        <f>8+8+8+8</f>
        <v/>
      </c>
      <c r="JQ10" s="182">
        <f>JP10*100/$E$10</f>
        <v/>
      </c>
      <c r="JR10" s="133">
        <f>8+7+8+8+8+8+8+8</f>
        <v/>
      </c>
      <c r="JS10" s="182">
        <f>JR10*100/$E$10</f>
        <v/>
      </c>
      <c r="JT10" s="133" t="n"/>
      <c r="JU10" s="139">
        <f>JT10*100/$E$10</f>
        <v/>
      </c>
      <c r="JV10" s="133" t="n"/>
      <c r="JW10" s="139">
        <f>JV10*100/$E$10</f>
        <v/>
      </c>
      <c r="JX10" s="133" t="n"/>
      <c r="JY10" s="139">
        <f>JX10*100/$E$10</f>
        <v/>
      </c>
      <c r="JZ10" s="183">
        <f>JN10+JP10+JR10+JT10+JV10+JX10</f>
        <v/>
      </c>
      <c r="KA10" s="184">
        <f>JO10+JQ10+JS10+JU10+JW10+JY10</f>
        <v/>
      </c>
      <c r="KB10" s="185">
        <f>H10+J10+L10+N10+P10+R10+T10+V10+X10+Z10+AB10+AD10+AF10+AH10+AJ10+AL10+AN10+AP10+AR10+AT10+AV10+AX10+AZ10+BB10+BD10+BF10+BH10+BJ10+BL10+BN10+BP10+BR10+BT10+BV10+BX10+BZ10+CB10+CD10+CF10+CH10+CZ10+DB10+DD10+DF10+DH10+DJ10+DL10+DN10+DP10+DR10+DT10+DV10+DX10+DZ10+EB10+ED10+EF10+EH10+EJ10+EL10+EN10+EP10+ER10+ET10+EV10+FN10+FP10+FR10+FT10+FV10+FX10+FZ10+GB10+GD10+GF10+GH10+GJ10+GL10+GN10+GP10+GR10+GT10+GV10+GX10+GZ10+HB10+HD10+HF10+HH10+HJ10+HL10+HN10+HP10+HR10+HT10+HV10+HX10+HZ10+IB10+ID10+IF10+IH10+IJ10+IL10+IN10+IP10+IR10+IT10+IV10+IX10+IZ10+JB10+JD10+JF10+JH10+JJ10+JL10+JZ10+CJ10+CL10+CN10+CP10+CR10+CT10+CV10+CX10+EX10+EZ10+FB10+FD10+FF10+FH10+FJ10+FL10</f>
        <v/>
      </c>
      <c r="KC10" s="186">
        <f>I10+K10+M10+O10+Q10+S10+U10+W10+Y10+AA10+AC10+AE10+AG10+AI10+AK10+AM10+AO10+AQ10+AS10+AU10+AW10+AY10+BA10+BC10+BE10+BG10+BI10+BK10+BM10+BO10+BQ10+BS10+BU10+BW10+BY10+CA10+CC10+CE10+CG10+CI10+DA10+DC10+DE10+DG10+DI10+DK10+DM10+DO10+DQ10+DS10+DU10+DW10+DY10+EA10+EC10+EE10+EG10+EI10+EK10+EM10+EO10+EQ10+ES10+EU10+EW10+FO10+FS10+FU10+FW10+FQ10+FY10+GA10+GC10+GE10+GG10+GI10+GK10+GM10+GO10+GQ10+GS10+GU10+GW10+GY10+HA10+HC10+HE10+HG10+HI10+HK10+HM10+HO10+HQ10+HS10+HU10+HW10+HY10+IA10+IC10+IE10+IG10+II10+IK10+IM10+IO10+IQ10+IS10+IU10+IW10+IY10+JA10+JC10+JE10+JG10+JI10+JK10+JM10+KA10+CK10+CM10+CO10+CQ10+CS10+CU10+CW10+CY10+EY10+FA10+FC10+FE10+FG10+FI10+FK10+FM10</f>
        <v/>
      </c>
      <c r="KD10" s="187">
        <f>JO10+JQ10+JS10+JU10+JW10+JY10</f>
        <v/>
      </c>
      <c r="KE10" s="188">
        <f>KB10=E10</f>
        <v/>
      </c>
      <c r="KF10" s="189">
        <f>E10-KB10</f>
        <v/>
      </c>
    </row>
    <row r="11" ht="21.75" customFormat="1" customHeight="1" s="210">
      <c r="A11" s="126">
        <f>A10+1</f>
        <v/>
      </c>
      <c r="B11" s="175" t="inlineStr">
        <is>
          <t>Бреев И.И.</t>
        </is>
      </c>
      <c r="C11" s="194" t="inlineStr">
        <is>
          <t>токарь</t>
        </is>
      </c>
      <c r="D11" s="177">
        <f>$D$5</f>
        <v/>
      </c>
      <c r="E11" s="202" t="n">
        <v>159</v>
      </c>
      <c r="F11" s="191" t="n">
        <v>111265.49</v>
      </c>
      <c r="G11" s="179">
        <f>F11/D11</f>
        <v/>
      </c>
      <c r="H11" s="180" t="n"/>
      <c r="I11" s="181">
        <f>H11*100/$E$11</f>
        <v/>
      </c>
      <c r="J11" s="133" t="n"/>
      <c r="K11" s="181">
        <f>J11*100/$E$11</f>
        <v/>
      </c>
      <c r="L11" s="133" t="n"/>
      <c r="M11" s="181">
        <f>L11*100/$E$11</f>
        <v/>
      </c>
      <c r="N11" s="133" t="n"/>
      <c r="O11" s="181">
        <f>N11*100/$E$11</f>
        <v/>
      </c>
      <c r="P11" s="133" t="n"/>
      <c r="Q11" s="182">
        <f>P11*100/$E$11</f>
        <v/>
      </c>
      <c r="R11" s="133" t="n"/>
      <c r="S11" s="182">
        <f>R11*100/$E$11</f>
        <v/>
      </c>
      <c r="T11" s="133" t="n"/>
      <c r="U11" s="181">
        <f>T11*100/$E$11</f>
        <v/>
      </c>
      <c r="V11" s="133" t="n"/>
      <c r="W11" s="181">
        <f>V11*100/$E$11</f>
        <v/>
      </c>
      <c r="X11" s="133" t="n"/>
      <c r="Y11" s="181">
        <f>X11*100/$E$11</f>
        <v/>
      </c>
      <c r="Z11" s="133" t="n"/>
      <c r="AA11" s="181">
        <f>Z11*100/$E$11</f>
        <v/>
      </c>
      <c r="AB11" s="133">
        <f>4+8+8+7</f>
        <v/>
      </c>
      <c r="AC11" s="181">
        <f>AB11*100/$E$11</f>
        <v/>
      </c>
      <c r="AD11" s="133" t="n">
        <v>3</v>
      </c>
      <c r="AE11" s="182">
        <f>AD11*100/$E$11</f>
        <v/>
      </c>
      <c r="AF11" s="133" t="n"/>
      <c r="AG11" s="182">
        <f>AF11*100/$E$11</f>
        <v/>
      </c>
      <c r="AH11" s="133">
        <f>2+2</f>
        <v/>
      </c>
      <c r="AI11" s="181">
        <f>AH11*100/$E$11</f>
        <v/>
      </c>
      <c r="AJ11" s="133" t="n"/>
      <c r="AK11" s="181">
        <f>AJ11*100/$E$11</f>
        <v/>
      </c>
      <c r="AL11" s="133" t="n"/>
      <c r="AM11" s="181">
        <f>AL11*100/$E$11</f>
        <v/>
      </c>
      <c r="AN11" s="133" t="n"/>
      <c r="AO11" s="181">
        <f>AN11*100/$E$11</f>
        <v/>
      </c>
      <c r="AP11" s="133" t="n"/>
      <c r="AQ11" s="181">
        <f>AP11*100/$E$11</f>
        <v/>
      </c>
      <c r="AR11" s="133" t="n"/>
      <c r="AS11" s="181">
        <f>AR11*100/$E$11</f>
        <v/>
      </c>
      <c r="AT11" s="133" t="n"/>
      <c r="AU11" s="181">
        <f>AT11*100/$E$11</f>
        <v/>
      </c>
      <c r="AV11" s="133">
        <f>2+2+8+8</f>
        <v/>
      </c>
      <c r="AW11" s="181">
        <f>AV11*100/$E$11</f>
        <v/>
      </c>
      <c r="AX11" s="133" t="n"/>
      <c r="AY11" s="181">
        <f>AX11*100/$E$11</f>
        <v/>
      </c>
      <c r="AZ11" s="133" t="n"/>
      <c r="BA11" s="181">
        <f>AZ11*100/$E$11</f>
        <v/>
      </c>
      <c r="BB11" s="133" t="n"/>
      <c r="BC11" s="181">
        <f>BB11*100/$E$11</f>
        <v/>
      </c>
      <c r="BD11" s="133" t="n"/>
      <c r="BE11" s="181">
        <f>BD11*100/$E$11</f>
        <v/>
      </c>
      <c r="BF11" s="133" t="n"/>
      <c r="BG11" s="181">
        <f>BF11*100/$E$11</f>
        <v/>
      </c>
      <c r="BH11" s="133" t="n">
        <v>8</v>
      </c>
      <c r="BI11" s="181">
        <f>BH11*100/$E$11</f>
        <v/>
      </c>
      <c r="BJ11" s="133">
        <f>1+8</f>
        <v/>
      </c>
      <c r="BK11" s="181">
        <f>BJ11*100/$E$11</f>
        <v/>
      </c>
      <c r="BL11" s="133" t="n"/>
      <c r="BM11" s="181">
        <f>BL11*100/$E$11</f>
        <v/>
      </c>
      <c r="BN11" s="133" t="n"/>
      <c r="BO11" s="181">
        <f>BN11*100/$E$11</f>
        <v/>
      </c>
      <c r="BP11" s="133">
        <f>8+6+8</f>
        <v/>
      </c>
      <c r="BQ11" s="181">
        <f>BP11*100/$E$11</f>
        <v/>
      </c>
      <c r="BR11" s="133" t="n">
        <v>4</v>
      </c>
      <c r="BS11" s="181">
        <f>BR11*100/$E$11</f>
        <v/>
      </c>
      <c r="BT11" s="133" t="n"/>
      <c r="BU11" s="181">
        <f>BT11*100/$E$11</f>
        <v/>
      </c>
      <c r="BV11" s="133">
        <f>5+2</f>
        <v/>
      </c>
      <c r="BW11" s="181">
        <f>BV11*100/$E$11</f>
        <v/>
      </c>
      <c r="BX11" s="133">
        <f>4+3</f>
        <v/>
      </c>
      <c r="BY11" s="181">
        <f>BX11*100/$E$11</f>
        <v/>
      </c>
      <c r="BZ11" s="133">
        <f>2+4</f>
        <v/>
      </c>
      <c r="CA11" s="181">
        <f>BZ11*100/$E$11</f>
        <v/>
      </c>
      <c r="CB11" s="133" t="n"/>
      <c r="CC11" s="181">
        <f>CB11*100/$E$11</f>
        <v/>
      </c>
      <c r="CD11" s="133" t="n"/>
      <c r="CE11" s="181">
        <f>CD11*100/$E$11</f>
        <v/>
      </c>
      <c r="CF11" s="133" t="n">
        <v>2</v>
      </c>
      <c r="CG11" s="181">
        <f>CF11*100/$E$11</f>
        <v/>
      </c>
      <c r="CH11" s="133" t="n">
        <v>2</v>
      </c>
      <c r="CI11" s="181">
        <f>CH11*100/$E$11</f>
        <v/>
      </c>
      <c r="CJ11" s="133">
        <f>4+3</f>
        <v/>
      </c>
      <c r="CK11" s="181">
        <f>CJ11*100/$E$11</f>
        <v/>
      </c>
      <c r="CL11" s="133" t="n">
        <v>8</v>
      </c>
      <c r="CM11" s="181">
        <f>CL11*100/$E$11</f>
        <v/>
      </c>
      <c r="CN11" s="133">
        <f>4+4</f>
        <v/>
      </c>
      <c r="CO11" s="139">
        <f>CN11*100/$E$11</f>
        <v/>
      </c>
      <c r="CP11" s="133" t="n">
        <v>7</v>
      </c>
      <c r="CQ11" s="181">
        <f>CP11*100/$E$11</f>
        <v/>
      </c>
      <c r="CR11" s="133" t="n"/>
      <c r="CS11" s="182">
        <f>CR11*100/$E$11</f>
        <v/>
      </c>
      <c r="CT11" s="133" t="n"/>
      <c r="CU11" s="182">
        <f>CT11*100/$E$11</f>
        <v/>
      </c>
      <c r="CV11" s="133" t="n"/>
      <c r="CW11" s="182">
        <f>CV11*100/$E$11</f>
        <v/>
      </c>
      <c r="CX11" s="133" t="n"/>
      <c r="CY11" s="182">
        <f>CX11*100/$E$11</f>
        <v/>
      </c>
      <c r="CZ11" s="133" t="n"/>
      <c r="DA11" s="182">
        <f>CZ11*100/$E$11</f>
        <v/>
      </c>
      <c r="DB11" s="133" t="n"/>
      <c r="DC11" s="182">
        <f>DB11*100/$E$11</f>
        <v/>
      </c>
      <c r="DD11" s="133" t="n"/>
      <c r="DE11" s="182">
        <f>DD11*100/$E$11</f>
        <v/>
      </c>
      <c r="DF11" s="133" t="n"/>
      <c r="DG11" s="182">
        <f>DF11*100/$E$11</f>
        <v/>
      </c>
      <c r="DH11" s="133" t="n"/>
      <c r="DI11" s="182">
        <f>DH11*100/$E$11</f>
        <v/>
      </c>
      <c r="DJ11" s="133" t="n"/>
      <c r="DK11" s="182">
        <f>DJ11*100/$E$11</f>
        <v/>
      </c>
      <c r="DL11" s="133" t="n"/>
      <c r="DM11" s="182">
        <f>DL11*100/$E$11</f>
        <v/>
      </c>
      <c r="DN11" s="133" t="n"/>
      <c r="DO11" s="182">
        <f>DN11*100/$E$11</f>
        <v/>
      </c>
      <c r="DP11" s="133" t="n"/>
      <c r="DQ11" s="182">
        <f>DP11*100/$E$11</f>
        <v/>
      </c>
      <c r="DR11" s="133" t="n"/>
      <c r="DS11" s="182">
        <f>DR11*100/$E$11</f>
        <v/>
      </c>
      <c r="DT11" s="133" t="n"/>
      <c r="DU11" s="182">
        <f>DT11*100/$E$11</f>
        <v/>
      </c>
      <c r="DV11" s="133" t="n"/>
      <c r="DW11" s="182">
        <f>DV11*100/$E$11</f>
        <v/>
      </c>
      <c r="DX11" s="133" t="n"/>
      <c r="DY11" s="182">
        <f>DX11*100/$E$11</f>
        <v/>
      </c>
      <c r="DZ11" s="133" t="n"/>
      <c r="EA11" s="182">
        <f>DZ11*100/$E$11</f>
        <v/>
      </c>
      <c r="EB11" s="133" t="n"/>
      <c r="EC11" s="182">
        <f>EB11*100/$E$11</f>
        <v/>
      </c>
      <c r="ED11" s="133" t="n"/>
      <c r="EE11" s="182">
        <f>ED11*100/$E$11</f>
        <v/>
      </c>
      <c r="EF11" s="133" t="n"/>
      <c r="EG11" s="182">
        <f>EF11*100/$E$11</f>
        <v/>
      </c>
      <c r="EH11" s="133" t="n"/>
      <c r="EI11" s="182">
        <f>EH11*100/$E$11</f>
        <v/>
      </c>
      <c r="EJ11" s="133" t="n"/>
      <c r="EK11" s="182">
        <f>EJ11*100/$E$11</f>
        <v/>
      </c>
      <c r="EL11" s="133" t="n"/>
      <c r="EM11" s="182">
        <f>EL11*100/$E$11</f>
        <v/>
      </c>
      <c r="EN11" s="133" t="n"/>
      <c r="EO11" s="182">
        <f>EN11*100/$E$11</f>
        <v/>
      </c>
      <c r="EP11" s="133" t="n"/>
      <c r="EQ11" s="182">
        <f>EP11*100/$E$11</f>
        <v/>
      </c>
      <c r="ER11" s="133" t="n"/>
      <c r="ES11" s="182">
        <f>ER11*100/$E$11</f>
        <v/>
      </c>
      <c r="ET11" s="133" t="n"/>
      <c r="EU11" s="182">
        <f>ET11*100/$E$11</f>
        <v/>
      </c>
      <c r="EV11" s="133" t="n"/>
      <c r="EW11" s="182">
        <f>EV11*100/$E$11</f>
        <v/>
      </c>
      <c r="EX11" s="133" t="n"/>
      <c r="EY11" s="182">
        <f>EX11*100/$E$11</f>
        <v/>
      </c>
      <c r="EZ11" s="133" t="n"/>
      <c r="FA11" s="182">
        <f>EZ11*100/$E$11</f>
        <v/>
      </c>
      <c r="FB11" s="133" t="n"/>
      <c r="FC11" s="182">
        <f>FB11*100/$E$11</f>
        <v/>
      </c>
      <c r="FD11" s="133" t="n"/>
      <c r="FE11" s="182">
        <f>FD11*100/$E$11</f>
        <v/>
      </c>
      <c r="FF11" s="133" t="n"/>
      <c r="FG11" s="182">
        <f>FF11*100/$E$11</f>
        <v/>
      </c>
      <c r="FH11" s="133" t="n"/>
      <c r="FI11" s="182">
        <f>FH11*100/$E$11</f>
        <v/>
      </c>
      <c r="FJ11" s="133" t="n"/>
      <c r="FK11" s="182">
        <f>FJ11*100/$E$11</f>
        <v/>
      </c>
      <c r="FL11" s="133" t="n"/>
      <c r="FM11" s="182">
        <f>FL11*100/$E$11</f>
        <v/>
      </c>
      <c r="FN11" s="133" t="n"/>
      <c r="FO11" s="182">
        <f>FN11*100/$E$11</f>
        <v/>
      </c>
      <c r="FP11" s="133" t="n"/>
      <c r="FQ11" s="182">
        <f>FP11*100/$E$11</f>
        <v/>
      </c>
      <c r="FR11" s="133" t="n"/>
      <c r="FS11" s="182">
        <f>FR11*100/$E$11</f>
        <v/>
      </c>
      <c r="FT11" s="133" t="n"/>
      <c r="FU11" s="182">
        <f>FT11*100/$E$11</f>
        <v/>
      </c>
      <c r="FV11" s="133" t="n"/>
      <c r="FW11" s="182">
        <f>FV11*100/$E$11</f>
        <v/>
      </c>
      <c r="FX11" s="240" t="n">
        <v>3</v>
      </c>
      <c r="FY11" s="181">
        <f>FX11*100/$E$11</f>
        <v/>
      </c>
      <c r="FZ11" s="133" t="n"/>
      <c r="GA11" s="181">
        <f>FZ11*100/$E$11</f>
        <v/>
      </c>
      <c r="GB11" s="133" t="n"/>
      <c r="GC11" s="181">
        <f>GB11*100/$E$11</f>
        <v/>
      </c>
      <c r="GD11" s="133" t="n"/>
      <c r="GE11" s="181">
        <f>GD11*100/$E$11</f>
        <v/>
      </c>
      <c r="GF11" s="133" t="n"/>
      <c r="GG11" s="181">
        <f>GF11*100/$E$11</f>
        <v/>
      </c>
      <c r="GH11" s="133" t="n"/>
      <c r="GI11" s="181">
        <f>GH11*100/$E$11</f>
        <v/>
      </c>
      <c r="GJ11" s="133" t="n"/>
      <c r="GK11" s="182">
        <f>GJ11*100/$E$11</f>
        <v/>
      </c>
      <c r="GL11" s="133" t="n"/>
      <c r="GM11" s="181">
        <f>GL11*100/$E$11</f>
        <v/>
      </c>
      <c r="GN11" s="133" t="n"/>
      <c r="GO11" s="182">
        <f>GN11*100/$E$11</f>
        <v/>
      </c>
      <c r="GP11" s="133" t="n"/>
      <c r="GQ11" s="181">
        <f>GP11*100/$E$11</f>
        <v/>
      </c>
      <c r="GR11" s="133" t="n"/>
      <c r="GS11" s="182">
        <f>GR11*100/$E$11</f>
        <v/>
      </c>
      <c r="GT11" s="133" t="n"/>
      <c r="GU11" s="182">
        <f>GT11*100/$E$11</f>
        <v/>
      </c>
      <c r="GV11" s="133" t="n"/>
      <c r="GW11" s="182">
        <f>GV11*100/$E$11</f>
        <v/>
      </c>
      <c r="GX11" s="133" t="n"/>
      <c r="GY11" s="181">
        <f>GX11*100/$E$11</f>
        <v/>
      </c>
      <c r="GZ11" s="133" t="n"/>
      <c r="HA11" s="181">
        <f>GZ11*100/$E$11</f>
        <v/>
      </c>
      <c r="HB11" s="133" t="n"/>
      <c r="HC11" s="181">
        <f>HB11*100/$E$11</f>
        <v/>
      </c>
      <c r="HD11" s="133" t="n"/>
      <c r="HE11" s="181">
        <f>HD11*100/$E$11</f>
        <v/>
      </c>
      <c r="HF11" s="133" t="n"/>
      <c r="HG11" s="181">
        <f>HF11*100/$E$11</f>
        <v/>
      </c>
      <c r="HH11" s="133" t="n"/>
      <c r="HI11" s="181">
        <f>HH11*100/$E$11</f>
        <v/>
      </c>
      <c r="HJ11" s="133" t="n"/>
      <c r="HK11" s="181">
        <f>HJ11*100/$E$11</f>
        <v/>
      </c>
      <c r="HL11" s="133" t="n"/>
      <c r="HM11" s="181">
        <f>HL11*100/$E$11</f>
        <v/>
      </c>
      <c r="HN11" s="133" t="n"/>
      <c r="HO11" s="181">
        <f>HN11*100/$E$11</f>
        <v/>
      </c>
      <c r="HP11" s="133" t="n"/>
      <c r="HQ11" s="181">
        <f>HP11*100/$E$11</f>
        <v/>
      </c>
      <c r="HR11" s="133" t="n"/>
      <c r="HS11" s="181">
        <f>HR11*100/$E$11</f>
        <v/>
      </c>
      <c r="HT11" s="133" t="n"/>
      <c r="HU11" s="181">
        <f>HT11*100/$E$11</f>
        <v/>
      </c>
      <c r="HV11" s="133" t="n"/>
      <c r="HW11" s="181">
        <f>HV11*100/$E$11</f>
        <v/>
      </c>
      <c r="HX11" s="133" t="n"/>
      <c r="HY11" s="181">
        <f>HX11*100/$E$11</f>
        <v/>
      </c>
      <c r="HZ11" s="133" t="n"/>
      <c r="IA11" s="182">
        <f>HZ11*100/$E$11</f>
        <v/>
      </c>
      <c r="IB11" s="133" t="n"/>
      <c r="IC11" s="182">
        <f>IB11*100/$E$11</f>
        <v/>
      </c>
      <c r="ID11" s="133" t="n"/>
      <c r="IE11" s="182">
        <f>ID11*100/$E$11</f>
        <v/>
      </c>
      <c r="IF11" s="133" t="n"/>
      <c r="IG11" s="182">
        <f>IF11*100/$E$11</f>
        <v/>
      </c>
      <c r="IH11" s="133" t="n"/>
      <c r="II11" s="182">
        <f>IH11*100/$E$11</f>
        <v/>
      </c>
      <c r="IJ11" s="133" t="n"/>
      <c r="IK11" s="182">
        <f>IJ11*100/$E$11</f>
        <v/>
      </c>
      <c r="IL11" s="133" t="n"/>
      <c r="IM11" s="181">
        <f>IL11*100/$E$11</f>
        <v/>
      </c>
      <c r="IN11" s="133" t="n"/>
      <c r="IO11" s="181">
        <f>IN11*100/$E$11</f>
        <v/>
      </c>
      <c r="IP11" s="133" t="n"/>
      <c r="IQ11" s="182">
        <f>IP11*100/$E$11</f>
        <v/>
      </c>
      <c r="IR11" s="133" t="n"/>
      <c r="IS11" s="182">
        <f>IR11*100/$E$11</f>
        <v/>
      </c>
      <c r="IT11" s="133" t="n"/>
      <c r="IU11" s="182">
        <f>IT11*100/$E$11</f>
        <v/>
      </c>
      <c r="IV11" s="133" t="n"/>
      <c r="IW11" s="182">
        <f>IV11*100/$E$11</f>
        <v/>
      </c>
      <c r="IX11" s="133" t="n"/>
      <c r="IY11" s="182">
        <f>IX11*100/$E$11</f>
        <v/>
      </c>
      <c r="IZ11" s="133" t="n"/>
      <c r="JA11" s="182">
        <f>IZ11*100/$E$11</f>
        <v/>
      </c>
      <c r="JB11" s="133" t="n"/>
      <c r="JC11" s="182">
        <f>JB11*100/$E$11</f>
        <v/>
      </c>
      <c r="JD11" s="133" t="n"/>
      <c r="JE11" s="182">
        <f>JD11*100/$E$11</f>
        <v/>
      </c>
      <c r="JF11" s="133" t="n"/>
      <c r="JG11" s="182">
        <f>JF11*100/$E$11</f>
        <v/>
      </c>
      <c r="JH11" s="133" t="n"/>
      <c r="JI11" s="182">
        <f>JH11*100/$E$11</f>
        <v/>
      </c>
      <c r="JJ11" s="133" t="n"/>
      <c r="JK11" s="182">
        <f>JJ11*100/$E$11</f>
        <v/>
      </c>
      <c r="JL11" s="133">
        <f>4+4-3</f>
        <v/>
      </c>
      <c r="JM11" s="182">
        <f>JL11*100/$E$11</f>
        <v/>
      </c>
      <c r="JN11" s="133" t="n"/>
      <c r="JO11" s="182">
        <f>JN11*100/$E$11</f>
        <v/>
      </c>
      <c r="JP11" s="133" t="n"/>
      <c r="JQ11" s="182">
        <f>JP11*100/$E$11</f>
        <v/>
      </c>
      <c r="JR11" s="133" t="n"/>
      <c r="JS11" s="182">
        <f>JR11*100/$E$11</f>
        <v/>
      </c>
      <c r="JT11" s="133" t="n"/>
      <c r="JU11" s="139">
        <f>JT11*100/$E$11</f>
        <v/>
      </c>
      <c r="JV11" s="133" t="n"/>
      <c r="JW11" s="139">
        <f>JV11*100/$E$11</f>
        <v/>
      </c>
      <c r="JX11" s="133" t="n"/>
      <c r="JY11" s="139">
        <f>JX11*100/$E$11</f>
        <v/>
      </c>
      <c r="JZ11" s="183">
        <f>JN11+JP11+JR11+JT11+JV11+JX11</f>
        <v/>
      </c>
      <c r="KA11" s="184">
        <f>JO11+JQ11+JS11+JU11+JW11+JY11</f>
        <v/>
      </c>
      <c r="KB11" s="185">
        <f>H11+J11+L11+N11+P11+R11+T11+V11+X11+Z11+AB11+AD11+AF11+AH11+AJ11+AL11+AN11+AP11+AR11+AT11+AV11+AX11+AZ11+BB11+BD11+BF11+BH11+BJ11+BL11+BN11+BP11+BR11+BT11+BV11+BX11+BZ11+CB11+CD11+CF11+CH11+CZ11+DB11+DD11+DF11+DH11+DJ11+DL11+DN11+DP11+DR11+DT11+DV11+DX11+DZ11+EB11+ED11+EF11+EH11+EJ11+EL11+EN11+EP11+ER11+ET11+EV11+FN11+FP11+FR11+FT11+FV11+FX11+FZ11+GB11+GD11+GF11+GH11+GJ11+GL11+GN11+GP11+GR11+GT11+GV11+GX11+GZ11+HB11+HD11+HF11+HH11+HJ11+HL11+HN11+HP11+HR11+HT11+HV11+HX11+HZ11+IB11+ID11+IF11+IH11+IJ11+IL11+IN11+IP11+IR11+IT11+IV11+IX11+IZ11+JB11+JD11+JF11+JH11+JJ11+JL11+JZ11+CJ11+CL11+CN11+CP11+CR11+CT11+CV11+CX11+EX11+EZ11+FB11+FD11+FF11+FH11+FJ11+FL11</f>
        <v/>
      </c>
      <c r="KC11" s="186">
        <f>I11+K11+M11+O11+Q11+S11+U11+W11+Y11+AA11+AC11+AE11+AG11+AI11+AK11+AM11+AO11+AQ11+AS11+AU11+AW11+AY11+BA11+BC11+BE11+BG11+BI11+BK11+BM11+BO11+BQ11+BS11+BU11+BW11+BY11+CA11+CC11+CE11+CG11+CI11+DA11+DC11+DE11+DG11+DI11+DK11+DM11+DO11+DQ11+DS11+DU11+DW11+DY11+EA11+EC11+EE11+EG11+EI11+EK11+EM11+EO11+EQ11+ES11+EU11+EW11+FO11+FS11+FU11+FW11+FQ11+FY11+GA11+GC11+GE11+GG11+GI11+GK11+GM11+GO11+GQ11+GS11+GU11+GW11+GY11+HA11+HC11+HE11+HG11+HI11+HK11+HM11+HO11+HQ11+HS11+HU11+HW11+HY11+IA11+IC11+IE11+IG11+II11+IK11+IM11+IO11+IQ11+IS11+IU11+IW11+IY11+JA11+JC11+JE11+JG11+JI11+JK11+JM11+KA11+CK11+CM11+CO11+CQ11+CS11+CU11+CW11+CY11+EY11+FA11+FC11+FE11+FG11+FI11+FK11+FM11</f>
        <v/>
      </c>
      <c r="KD11" s="187">
        <f>JO11+JQ11+JS11+JU11+JW11+JY11</f>
        <v/>
      </c>
      <c r="KE11" s="188">
        <f>KB11=E11</f>
        <v/>
      </c>
      <c r="KF11" s="189">
        <f>E11-KB11</f>
        <v/>
      </c>
    </row>
    <row r="12" ht="21.75" customFormat="1" customHeight="1" s="209">
      <c r="A12" s="126">
        <f>A11+1</f>
        <v/>
      </c>
      <c r="B12" s="175" t="inlineStr">
        <is>
          <t>Войко А.Л.</t>
        </is>
      </c>
      <c r="C12" s="194" t="inlineStr">
        <is>
          <t>Фрезеровщик</t>
        </is>
      </c>
      <c r="D12" s="177">
        <f>$D$5</f>
        <v/>
      </c>
      <c r="E12" s="202" t="n">
        <v>168</v>
      </c>
      <c r="F12" s="191" t="n">
        <v>111265.05</v>
      </c>
      <c r="G12" s="179">
        <f>F12/D12</f>
        <v/>
      </c>
      <c r="H12" s="180" t="n"/>
      <c r="I12" s="140">
        <f>H12*100/$E$12</f>
        <v/>
      </c>
      <c r="J12" s="133" t="n"/>
      <c r="K12" s="140">
        <f>J12*100/$E$12</f>
        <v/>
      </c>
      <c r="L12" s="133" t="n"/>
      <c r="M12" s="140">
        <f>L12*100/$E$12</f>
        <v/>
      </c>
      <c r="N12" s="133" t="n"/>
      <c r="O12" s="140">
        <f>N12*100/$E$12</f>
        <v/>
      </c>
      <c r="P12" s="133" t="n"/>
      <c r="Q12" s="139">
        <f>P12*100/$E$12</f>
        <v/>
      </c>
      <c r="R12" s="133" t="n"/>
      <c r="S12" s="140">
        <f>R12*100/$E$12</f>
        <v/>
      </c>
      <c r="T12" s="133" t="n"/>
      <c r="U12" s="140">
        <f>T12*100/$E$12</f>
        <v/>
      </c>
      <c r="V12" s="133" t="n"/>
      <c r="W12" s="140">
        <f>V12*100/$E$12</f>
        <v/>
      </c>
      <c r="X12" s="133" t="n"/>
      <c r="Y12" s="140">
        <f>X12*100/$E$12</f>
        <v/>
      </c>
      <c r="Z12" s="133" t="n"/>
      <c r="AA12" s="140">
        <f>Z12*100/$E$12</f>
        <v/>
      </c>
      <c r="AB12" s="133" t="n"/>
      <c r="AC12" s="140">
        <f>AB12*100/$E$12</f>
        <v/>
      </c>
      <c r="AD12" s="133">
        <f>2+2+1</f>
        <v/>
      </c>
      <c r="AE12" s="140">
        <f>AD12*100/$E$12</f>
        <v/>
      </c>
      <c r="AF12" s="133" t="n"/>
      <c r="AG12" s="140">
        <f>AF12*100/$E$12</f>
        <v/>
      </c>
      <c r="AH12" s="133" t="n"/>
      <c r="AI12" s="140">
        <f>AH12*100/$E$12</f>
        <v/>
      </c>
      <c r="AJ12" s="133" t="n"/>
      <c r="AK12" s="140">
        <f>AJ12*100/$E$12</f>
        <v/>
      </c>
      <c r="AL12" s="133" t="n"/>
      <c r="AM12" s="140">
        <f>AL12*100/$E$12</f>
        <v/>
      </c>
      <c r="AN12" s="133" t="n"/>
      <c r="AO12" s="140">
        <f>AN12*100/$E$12</f>
        <v/>
      </c>
      <c r="AP12" s="133" t="n"/>
      <c r="AQ12" s="140">
        <f>AP12*100/$E$12</f>
        <v/>
      </c>
      <c r="AR12" s="133" t="n"/>
      <c r="AS12" s="140">
        <f>AR12*100/$E$12</f>
        <v/>
      </c>
      <c r="AT12" s="133" t="n"/>
      <c r="AU12" s="181">
        <f>AT12*100/$E$12</f>
        <v/>
      </c>
      <c r="AV12" s="133" t="n"/>
      <c r="AW12" s="140">
        <f>AV12*100/$E$12</f>
        <v/>
      </c>
      <c r="AX12" s="133" t="n"/>
      <c r="AY12" s="140">
        <f>AX12*100/$E$12</f>
        <v/>
      </c>
      <c r="AZ12" s="133" t="n"/>
      <c r="BA12" s="140">
        <f>AZ12*100/$E$12</f>
        <v/>
      </c>
      <c r="BB12" s="133" t="n"/>
      <c r="BC12" s="140">
        <f>BB12*100/$E$12</f>
        <v/>
      </c>
      <c r="BD12" s="133" t="n"/>
      <c r="BE12" s="140">
        <f>BD12*100/$E$12</f>
        <v/>
      </c>
      <c r="BF12" s="133" t="n"/>
      <c r="BG12" s="140">
        <f>BF12*100/$E$12</f>
        <v/>
      </c>
      <c r="BH12" s="133" t="n"/>
      <c r="BI12" s="140">
        <f>BH12*100/$E$12</f>
        <v/>
      </c>
      <c r="BJ12" s="133">
        <f>12+12+9</f>
        <v/>
      </c>
      <c r="BK12" s="140">
        <f>BJ12*100/$E$12</f>
        <v/>
      </c>
      <c r="BL12" s="133" t="n">
        <v>12</v>
      </c>
      <c r="BM12" s="140">
        <f>BL12*100/$E$12</f>
        <v/>
      </c>
      <c r="BN12" s="133" t="n">
        <v>4</v>
      </c>
      <c r="BO12" s="140">
        <f>BN12*100/$E$12</f>
        <v/>
      </c>
      <c r="BP12" s="133" t="n"/>
      <c r="BQ12" s="140">
        <f>BP12*100/$E$12</f>
        <v/>
      </c>
      <c r="BR12" s="133" t="n"/>
      <c r="BS12" s="140">
        <f>BR12*100/$E$12</f>
        <v/>
      </c>
      <c r="BT12" s="133">
        <f>12+12</f>
        <v/>
      </c>
      <c r="BU12" s="140">
        <f>BT12*100/$E$12</f>
        <v/>
      </c>
      <c r="BV12" s="133">
        <f>9+12</f>
        <v/>
      </c>
      <c r="BW12" s="140">
        <f>BV12*100/$E$12</f>
        <v/>
      </c>
      <c r="BX12" s="133" t="n"/>
      <c r="BY12" s="140">
        <f>BX12*100/$E$12</f>
        <v/>
      </c>
      <c r="BZ12" s="133" t="n"/>
      <c r="CA12" s="140">
        <f>BZ12*100/$E$12</f>
        <v/>
      </c>
      <c r="CB12" s="133" t="n"/>
      <c r="CC12" s="140">
        <f>CB12*100/$E$12</f>
        <v/>
      </c>
      <c r="CD12" s="133" t="n"/>
      <c r="CE12" s="140">
        <f>CD12*100/$E$12</f>
        <v/>
      </c>
      <c r="CF12" s="133" t="n"/>
      <c r="CG12" s="140">
        <f>CF12*100/$E$12</f>
        <v/>
      </c>
      <c r="CH12" s="133" t="n"/>
      <c r="CI12" s="140">
        <f>CH12*100/$E$12</f>
        <v/>
      </c>
      <c r="CJ12" s="133" t="n"/>
      <c r="CK12" s="140">
        <f>CJ12*100/$E$12</f>
        <v/>
      </c>
      <c r="CL12" s="133" t="n"/>
      <c r="CM12" s="140">
        <f>CL12*100/$E$12</f>
        <v/>
      </c>
      <c r="CN12" s="133" t="n"/>
      <c r="CO12" s="139">
        <f>CN12*100/$E$12</f>
        <v/>
      </c>
      <c r="CP12" s="133" t="n"/>
      <c r="CQ12" s="140">
        <f>CP12*100/$E$12</f>
        <v/>
      </c>
      <c r="CR12" s="133">
        <f>12+12+10+11+12</f>
        <v/>
      </c>
      <c r="CS12" s="139">
        <f>CR12*100/$E$12</f>
        <v/>
      </c>
      <c r="CT12" s="133" t="n">
        <v>12</v>
      </c>
      <c r="CU12" s="139">
        <f>CT12*100/$E$12</f>
        <v/>
      </c>
      <c r="CV12" s="133" t="n"/>
      <c r="CW12" s="139">
        <f>CV12*100/$E$12</f>
        <v/>
      </c>
      <c r="CX12" s="133" t="n"/>
      <c r="CY12" s="139">
        <f>CX12*100/$E$12</f>
        <v/>
      </c>
      <c r="CZ12" s="133" t="n"/>
      <c r="DA12" s="139">
        <f>CZ12*100/$E$12</f>
        <v/>
      </c>
      <c r="DB12" s="133" t="n"/>
      <c r="DC12" s="139">
        <f>DB12*100/$E$12</f>
        <v/>
      </c>
      <c r="DD12" s="133" t="n"/>
      <c r="DE12" s="139">
        <f>DD12*100/$E$12</f>
        <v/>
      </c>
      <c r="DF12" s="133" t="n"/>
      <c r="DG12" s="139">
        <f>DF12*100/$E$12</f>
        <v/>
      </c>
      <c r="DH12" s="133" t="n"/>
      <c r="DI12" s="139">
        <f>DH12*100/$E$12</f>
        <v/>
      </c>
      <c r="DJ12" s="133" t="n"/>
      <c r="DK12" s="139">
        <f>DJ12*100/$E$12</f>
        <v/>
      </c>
      <c r="DL12" s="133" t="n"/>
      <c r="DM12" s="139">
        <f>DL12*100/$E$12</f>
        <v/>
      </c>
      <c r="DN12" s="133" t="n"/>
      <c r="DO12" s="139">
        <f>DN12*100/$E$12</f>
        <v/>
      </c>
      <c r="DP12" s="133" t="n"/>
      <c r="DQ12" s="139">
        <f>DP12*100/$E$12</f>
        <v/>
      </c>
      <c r="DR12" s="133" t="n"/>
      <c r="DS12" s="140">
        <f>DR12*100/$E$12</f>
        <v/>
      </c>
      <c r="DT12" s="133" t="n"/>
      <c r="DU12" s="139">
        <f>DT12*100/$E$12</f>
        <v/>
      </c>
      <c r="DV12" s="133" t="n"/>
      <c r="DW12" s="139">
        <f>DV12*100/$E$12</f>
        <v/>
      </c>
      <c r="DX12" s="133" t="n"/>
      <c r="DY12" s="139">
        <f>DX12*100/$E$12</f>
        <v/>
      </c>
      <c r="DZ12" s="133" t="n"/>
      <c r="EA12" s="139">
        <f>DZ12*100/$E$12</f>
        <v/>
      </c>
      <c r="EB12" s="133" t="n"/>
      <c r="EC12" s="139">
        <f>EB12*100/$E$12</f>
        <v/>
      </c>
      <c r="ED12" s="133" t="n"/>
      <c r="EE12" s="139">
        <f>ED12*100/$E$12</f>
        <v/>
      </c>
      <c r="EF12" s="133" t="n"/>
      <c r="EG12" s="139">
        <f>EF12*100/$E$12</f>
        <v/>
      </c>
      <c r="EH12" s="133" t="n"/>
      <c r="EI12" s="140">
        <f>EH12*100/$E$12</f>
        <v/>
      </c>
      <c r="EJ12" s="133" t="n"/>
      <c r="EK12" s="140">
        <f>EJ12*100/$E$12</f>
        <v/>
      </c>
      <c r="EL12" s="133" t="n"/>
      <c r="EM12" s="140">
        <f>EL12*100/$E$12</f>
        <v/>
      </c>
      <c r="EN12" s="133" t="n"/>
      <c r="EO12" s="140">
        <f>EN12*100/$E$12</f>
        <v/>
      </c>
      <c r="EP12" s="133" t="n"/>
      <c r="EQ12" s="140">
        <f>EP12*100/$E$12</f>
        <v/>
      </c>
      <c r="ER12" s="133" t="n"/>
      <c r="ES12" s="140">
        <f>ER12*100/$E$12</f>
        <v/>
      </c>
      <c r="ET12" s="133" t="n"/>
      <c r="EU12" s="140">
        <f>ET12*100/$E$12</f>
        <v/>
      </c>
      <c r="EV12" s="133" t="n"/>
      <c r="EW12" s="139">
        <f>EV12*100/$E$12</f>
        <v/>
      </c>
      <c r="EX12" s="133" t="n"/>
      <c r="EY12" s="139">
        <f>EX12*100/$E$12</f>
        <v/>
      </c>
      <c r="EZ12" s="133" t="n"/>
      <c r="FA12" s="139">
        <f>EZ12*100/$E$12</f>
        <v/>
      </c>
      <c r="FB12" s="133" t="n"/>
      <c r="FC12" s="139">
        <f>FB12*100/$E$12</f>
        <v/>
      </c>
      <c r="FD12" s="133" t="n"/>
      <c r="FE12" s="139">
        <f>FD12*100/$E$12</f>
        <v/>
      </c>
      <c r="FF12" s="133" t="n"/>
      <c r="FG12" s="139">
        <f>FF12*100/$E$12</f>
        <v/>
      </c>
      <c r="FH12" s="133" t="n"/>
      <c r="FI12" s="139">
        <f>FH12*100/$E$12</f>
        <v/>
      </c>
      <c r="FJ12" s="133" t="n"/>
      <c r="FK12" s="139">
        <f>FJ12*100/$E$12</f>
        <v/>
      </c>
      <c r="FL12" s="133" t="n"/>
      <c r="FM12" s="139">
        <f>FL12*100/$E$12</f>
        <v/>
      </c>
      <c r="FN12" s="133" t="n"/>
      <c r="FO12" s="139">
        <f>FN12*100/$E$12</f>
        <v/>
      </c>
      <c r="FP12" s="133" t="n"/>
      <c r="FQ12" s="140">
        <f>FP12*100/$E$12</f>
        <v/>
      </c>
      <c r="FR12" s="133" t="n"/>
      <c r="FS12" s="140">
        <f>FR12*100/$E$12</f>
        <v/>
      </c>
      <c r="FT12" s="133" t="n"/>
      <c r="FU12" s="140">
        <f>FT12*100/$E$12</f>
        <v/>
      </c>
      <c r="FV12" s="133" t="n"/>
      <c r="FW12" s="140">
        <f>FV12*100/$E$12</f>
        <v/>
      </c>
      <c r="FX12" s="133" t="n"/>
      <c r="FY12" s="140">
        <f>FX12*100/$E$12</f>
        <v/>
      </c>
      <c r="FZ12" s="133" t="n"/>
      <c r="GA12" s="140">
        <f>FZ12*100/$E$12</f>
        <v/>
      </c>
      <c r="GB12" s="133" t="n"/>
      <c r="GC12" s="140">
        <f>GB12*100/$E$12</f>
        <v/>
      </c>
      <c r="GD12" s="133" t="n"/>
      <c r="GE12" s="140">
        <f>GD12*100/$E$12</f>
        <v/>
      </c>
      <c r="GF12" s="133" t="n"/>
      <c r="GG12" s="140">
        <f>GF12*100/$E$12</f>
        <v/>
      </c>
      <c r="GH12" s="133" t="n"/>
      <c r="GI12" s="140">
        <f>GH12*100/$E$12</f>
        <v/>
      </c>
      <c r="GJ12" s="133" t="n"/>
      <c r="GK12" s="139">
        <f>GJ12*100/$E$12</f>
        <v/>
      </c>
      <c r="GL12" s="133" t="n"/>
      <c r="GM12" s="140">
        <f>GL12*100/$E$12</f>
        <v/>
      </c>
      <c r="GN12" s="133" t="n"/>
      <c r="GO12" s="139">
        <f>GN12*100/$E$12</f>
        <v/>
      </c>
      <c r="GP12" s="133" t="n"/>
      <c r="GQ12" s="140">
        <f>GP12*100/$E$12</f>
        <v/>
      </c>
      <c r="GR12" s="133" t="n"/>
      <c r="GS12" s="139">
        <f>GR12*100/$E$12</f>
        <v/>
      </c>
      <c r="GT12" s="133" t="n"/>
      <c r="GU12" s="139">
        <f>GT12*100/$E$12</f>
        <v/>
      </c>
      <c r="GV12" s="133" t="n"/>
      <c r="GW12" s="140">
        <f>GV12*100/$E$12</f>
        <v/>
      </c>
      <c r="GX12" s="133" t="n"/>
      <c r="GY12" s="140">
        <f>GX12*100/$E$12</f>
        <v/>
      </c>
      <c r="GZ12" s="133" t="n"/>
      <c r="HA12" s="140">
        <f>GZ12*100/$E$12</f>
        <v/>
      </c>
      <c r="HB12" s="133" t="n"/>
      <c r="HC12" s="140">
        <f>HB12*100/$E$12</f>
        <v/>
      </c>
      <c r="HD12" s="133" t="n"/>
      <c r="HE12" s="140">
        <f>HD12*100/$E$12</f>
        <v/>
      </c>
      <c r="HF12" s="133" t="n"/>
      <c r="HG12" s="140">
        <f>HF12*100/$E$12</f>
        <v/>
      </c>
      <c r="HH12" s="133" t="n"/>
      <c r="HI12" s="140">
        <f>HH12*100/$E$12</f>
        <v/>
      </c>
      <c r="HJ12" s="133" t="n"/>
      <c r="HK12" s="140">
        <f>HJ12*100/$E$12</f>
        <v/>
      </c>
      <c r="HL12" s="133" t="n"/>
      <c r="HM12" s="140">
        <f>HL12*100/$E$12</f>
        <v/>
      </c>
      <c r="HN12" s="133" t="n"/>
      <c r="HO12" s="140">
        <f>HN12*100/$E$12</f>
        <v/>
      </c>
      <c r="HP12" s="133" t="n"/>
      <c r="HQ12" s="140">
        <f>HP12*100/$E$12</f>
        <v/>
      </c>
      <c r="HR12" s="133" t="n"/>
      <c r="HS12" s="140">
        <f>HR12*100/$E$12</f>
        <v/>
      </c>
      <c r="HT12" s="133" t="n"/>
      <c r="HU12" s="140">
        <f>HT12*100/$E$12</f>
        <v/>
      </c>
      <c r="HV12" s="133" t="n"/>
      <c r="HW12" s="140">
        <f>HV12*100/$E$12</f>
        <v/>
      </c>
      <c r="HX12" s="133" t="n"/>
      <c r="HY12" s="140">
        <f>HX12*100/$E$12</f>
        <v/>
      </c>
      <c r="HZ12" s="133" t="n"/>
      <c r="IA12" s="139">
        <f>HZ12*100/$E$12</f>
        <v/>
      </c>
      <c r="IB12" s="133" t="n"/>
      <c r="IC12" s="139">
        <f>IB12*100/$E$12</f>
        <v/>
      </c>
      <c r="ID12" s="133" t="n"/>
      <c r="IE12" s="139">
        <f>ID12*100/$E$12</f>
        <v/>
      </c>
      <c r="IF12" s="133" t="n"/>
      <c r="IG12" s="139">
        <f>IF12*100/$E$12</f>
        <v/>
      </c>
      <c r="IH12" s="133" t="n"/>
      <c r="II12" s="139">
        <f>IH12*100/$E$12</f>
        <v/>
      </c>
      <c r="IJ12" s="133" t="n"/>
      <c r="IK12" s="139">
        <f>IJ12*100/$E$12</f>
        <v/>
      </c>
      <c r="IL12" s="133" t="n"/>
      <c r="IM12" s="140">
        <f>IL12*100/$E$12</f>
        <v/>
      </c>
      <c r="IN12" s="133" t="n"/>
      <c r="IO12" s="140">
        <f>IN12*100/$E$12</f>
        <v/>
      </c>
      <c r="IP12" s="133" t="n"/>
      <c r="IQ12" s="139">
        <f>IP12*100/$E$12</f>
        <v/>
      </c>
      <c r="IR12" s="133" t="n"/>
      <c r="IS12" s="139">
        <f>IR12*100/$E$12</f>
        <v/>
      </c>
      <c r="IT12" s="133" t="n"/>
      <c r="IU12" s="139">
        <f>IT12*100/$E$12</f>
        <v/>
      </c>
      <c r="IV12" s="133" t="n"/>
      <c r="IW12" s="139">
        <f>IV12*100/$E$12</f>
        <v/>
      </c>
      <c r="IX12" s="133" t="n"/>
      <c r="IY12" s="139">
        <f>IX12*100/$E$12</f>
        <v/>
      </c>
      <c r="IZ12" s="133" t="n"/>
      <c r="JA12" s="139">
        <f>IZ12*100/$E$12</f>
        <v/>
      </c>
      <c r="JB12" s="133" t="n"/>
      <c r="JC12" s="139">
        <f>JB12*100/$E$12</f>
        <v/>
      </c>
      <c r="JD12" s="133" t="n"/>
      <c r="JE12" s="139">
        <f>JD12*100/$E$12</f>
        <v/>
      </c>
      <c r="JF12" s="133" t="n"/>
      <c r="JG12" s="140">
        <f>JF12*100/$E$12</f>
        <v/>
      </c>
      <c r="JH12" s="133" t="n"/>
      <c r="JI12" s="139">
        <f>JH12*100/$E$12</f>
        <v/>
      </c>
      <c r="JJ12" s="133" t="n"/>
      <c r="JK12" s="140">
        <f>JJ12*100/$E$12</f>
        <v/>
      </c>
      <c r="JL12" s="133" t="n"/>
      <c r="JM12" s="139">
        <f>JL12*100/$E$12</f>
        <v/>
      </c>
      <c r="JN12" s="133" t="n"/>
      <c r="JO12" s="139">
        <f>JN12*100/$E$12</f>
        <v/>
      </c>
      <c r="JP12" s="133" t="n"/>
      <c r="JQ12" s="139">
        <f>JP12*100/$E$12</f>
        <v/>
      </c>
      <c r="JR12" s="133" t="n"/>
      <c r="JS12" s="139">
        <f>JR12*100/$E$12</f>
        <v/>
      </c>
      <c r="JT12" s="133" t="n"/>
      <c r="JU12" s="139">
        <f>JT12*100/$E$12</f>
        <v/>
      </c>
      <c r="JV12" s="133" t="n"/>
      <c r="JW12" s="139">
        <f>JV12*100/$E$12</f>
        <v/>
      </c>
      <c r="JX12" s="133" t="n"/>
      <c r="JY12" s="139">
        <f>JX12*100/$E$12</f>
        <v/>
      </c>
      <c r="JZ12" s="183">
        <f>JN12+JP12+JR12+JT12+JV12+JX12</f>
        <v/>
      </c>
      <c r="KA12" s="184">
        <f>JO12+JQ12+JS12+JU12+JW12+JY12</f>
        <v/>
      </c>
      <c r="KB12" s="185">
        <f>H12+J12+L12+N12+P12+R12+T12+V12+X12+Z12+AB12+AD12+AF12+AH12+AJ12+AL12+AN12+AP12+AR12+AT12+AV12+AX12+AZ12+BB12+BD12+BF12+BH12+BJ12+BL12+BN12+BP12+BR12+BT12+BV12+BX12+BZ12+CB12+CD12+CF12+CH12+CZ12+DB12+DD12+DF12+DH12+DJ12+DL12+DN12+DP12+DR12+DT12+DV12+DX12+DZ12+EB12+ED12+EF12+EH12+EJ12+EL12+EN12+EP12+ER12+ET12+EV12+FN12+FP12+FR12+FT12+FV12+FX12+FZ12+GB12+GD12+GF12+GH12+GJ12+GL12+GN12+GP12+GR12+GT12+GV12+GX12+GZ12+HB12+HD12+HF12+HH12+HJ12+HL12+HN12+HP12+HR12+HT12+HV12+HX12+HZ12+IB12+ID12+IF12+IH12+IJ12+IL12+IN12+IP12+IR12+IT12+IV12+IX12+IZ12+JB12+JD12+JF12+JH12+JJ12+JL12+JZ12+CJ12+CL12+CN12+CP12+CR12+CT12+CV12+CX12+EX12+EZ12+FB12+FD12+FF12+FH12+FJ12+FL12</f>
        <v/>
      </c>
      <c r="KC12" s="186">
        <f>I12+K12+M12+O12+Q12+S12+U12+W12+Y12+AA12+AC12+AE12+AG12+AI12+AK12+AM12+AO12+AQ12+AS12+AU12+AW12+AY12+BA12+BC12+BE12+BG12+BI12+BK12+BM12+BO12+BQ12+BS12+BU12+BW12+BY12+CA12+CC12+CE12+CG12+CI12+DA12+DC12+DE12+DG12+DI12+DK12+DM12+DO12+DQ12+DS12+DU12+DW12+DY12+EA12+EC12+EE12+EG12+EI12+EK12+EM12+EO12+EQ12+ES12+EU12+EW12+FO12+FS12+FU12+FW12+FQ12+FY12+GA12+GC12+GE12+GG12+GI12+GK12+GM12+GO12+GQ12+GS12+GU12+GW12+GY12+HA12+HC12+HE12+HG12+HI12+HK12+HM12+HO12+HQ12+HS12+HU12+HW12+HY12+IA12+IC12+IE12+IG12+II12+IK12+IM12+IO12+IQ12+IS12+IU12+IW12+IY12+JA12+JC12+JE12+JG12+JI12+JK12+JM12+KA12+CK12+CM12+CO12+CQ12+CS12+CU12+CW12+CY12+EY12+FA12+FC12+FE12+FG12+FI12+FK12+FM12</f>
        <v/>
      </c>
      <c r="KD12" s="187">
        <f>JO12+JQ12+JS12+JU12+JW12+JY12</f>
        <v/>
      </c>
      <c r="KE12" s="188">
        <f>KB12=E12</f>
        <v/>
      </c>
      <c r="KF12" s="189">
        <f>E12-KB12</f>
        <v/>
      </c>
      <c r="KG12" s="229" t="n"/>
    </row>
    <row r="13" ht="21.75" customFormat="1" customHeight="1" s="229">
      <c r="A13" s="126">
        <f>A12+1</f>
        <v/>
      </c>
      <c r="B13" s="175" t="inlineStr">
        <is>
          <t>Дорофеев Н.В.</t>
        </is>
      </c>
      <c r="C13" s="176" t="inlineStr">
        <is>
          <t>Эл.сварщик</t>
        </is>
      </c>
      <c r="D13" s="177">
        <f>$D$5</f>
        <v/>
      </c>
      <c r="E13" s="202" t="n">
        <v>173</v>
      </c>
      <c r="F13" s="190" t="n">
        <v>61196.9</v>
      </c>
      <c r="G13" s="179">
        <f>F13/D13</f>
        <v/>
      </c>
      <c r="H13" s="180" t="n"/>
      <c r="I13" s="140">
        <f>H13*100/$E$13</f>
        <v/>
      </c>
      <c r="J13" s="133" t="n"/>
      <c r="K13" s="140">
        <f>J13*100/$E$13</f>
        <v/>
      </c>
      <c r="L13" s="133" t="n"/>
      <c r="M13" s="140">
        <f>L13*100/$E$13</f>
        <v/>
      </c>
      <c r="N13" s="133" t="n"/>
      <c r="O13" s="140">
        <f>N13*100/$E$13</f>
        <v/>
      </c>
      <c r="P13" s="133" t="n"/>
      <c r="Q13" s="139">
        <f>P13*100/$E$13</f>
        <v/>
      </c>
      <c r="R13" s="133" t="n"/>
      <c r="S13" s="140">
        <f>R13*100/$E$13</f>
        <v/>
      </c>
      <c r="T13" s="133" t="n"/>
      <c r="U13" s="140">
        <f>T13*100/$E$13</f>
        <v/>
      </c>
      <c r="V13" s="133" t="n"/>
      <c r="W13" s="140">
        <f>V13*100/$E$13</f>
        <v/>
      </c>
      <c r="X13" s="133" t="n"/>
      <c r="Y13" s="140">
        <f>X13*100/$E$13</f>
        <v/>
      </c>
      <c r="Z13" s="133" t="n"/>
      <c r="AA13" s="140">
        <f>Z13*100/$E$13</f>
        <v/>
      </c>
      <c r="AB13" s="133" t="n"/>
      <c r="AC13" s="140">
        <f>AB13*100/$E$13</f>
        <v/>
      </c>
      <c r="AD13" s="133" t="n"/>
      <c r="AE13" s="140">
        <f>AD13*100/$E$13</f>
        <v/>
      </c>
      <c r="AF13" s="133" t="n"/>
      <c r="AG13" s="140">
        <f>AF13*100/$E$13</f>
        <v/>
      </c>
      <c r="AH13" s="133" t="n"/>
      <c r="AI13" s="140">
        <f>AH13*100/$E$13</f>
        <v/>
      </c>
      <c r="AJ13" s="133" t="n"/>
      <c r="AK13" s="140">
        <f>AJ13*100/$E$13</f>
        <v/>
      </c>
      <c r="AL13" s="133" t="n"/>
      <c r="AM13" s="140">
        <f>AL13*100/$E$13</f>
        <v/>
      </c>
      <c r="AN13" s="133" t="n"/>
      <c r="AO13" s="140">
        <f>AN13*100/$E$13</f>
        <v/>
      </c>
      <c r="AP13" s="133" t="n"/>
      <c r="AQ13" s="140">
        <f>AP13*100/$E$13</f>
        <v/>
      </c>
      <c r="AR13" s="133" t="n"/>
      <c r="AS13" s="140">
        <f>AR13*100/$E$13</f>
        <v/>
      </c>
      <c r="AT13" s="133" t="n"/>
      <c r="AU13" s="181">
        <f>AT13*100/$E$13</f>
        <v/>
      </c>
      <c r="AV13" s="133" t="n"/>
      <c r="AW13" s="140">
        <f>AV13*100/$E$13</f>
        <v/>
      </c>
      <c r="AX13" s="133" t="n"/>
      <c r="AY13" s="140">
        <f>AX13*100/$E$13</f>
        <v/>
      </c>
      <c r="AZ13" s="133" t="n"/>
      <c r="BA13" s="140">
        <f>AZ13*100/$E$13</f>
        <v/>
      </c>
      <c r="BB13" s="133" t="n"/>
      <c r="BC13" s="140">
        <f>BB13*100/$E$13</f>
        <v/>
      </c>
      <c r="BD13" s="133" t="n"/>
      <c r="BE13" s="140">
        <f>BD13*100/$E$13</f>
        <v/>
      </c>
      <c r="BF13" s="133" t="n"/>
      <c r="BG13" s="140">
        <f>BF13*100/$E$13</f>
        <v/>
      </c>
      <c r="BH13" s="133" t="n"/>
      <c r="BI13" s="140">
        <f>BH13*100/$E$13</f>
        <v/>
      </c>
      <c r="BJ13" s="133" t="n"/>
      <c r="BK13" s="140">
        <f>BJ13*100/$E$13</f>
        <v/>
      </c>
      <c r="BL13" s="133" t="n"/>
      <c r="BM13" s="140">
        <f>BL13*100/$E$13</f>
        <v/>
      </c>
      <c r="BN13" s="133" t="n"/>
      <c r="BO13" s="140">
        <f>BN13*100/$E$13</f>
        <v/>
      </c>
      <c r="BP13" s="133" t="n"/>
      <c r="BQ13" s="140">
        <f>BP13*100/$E$13</f>
        <v/>
      </c>
      <c r="BR13" s="133" t="n"/>
      <c r="BS13" s="140">
        <f>BR13*100/$E$13</f>
        <v/>
      </c>
      <c r="BT13" s="133" t="n"/>
      <c r="BU13" s="140">
        <f>BT13*100/$E$13</f>
        <v/>
      </c>
      <c r="BV13" s="133" t="n"/>
      <c r="BW13" s="140">
        <f>BV13*100/$E$13</f>
        <v/>
      </c>
      <c r="BX13" s="133" t="n"/>
      <c r="BY13" s="140">
        <f>BX13*100/$E$13</f>
        <v/>
      </c>
      <c r="BZ13" s="133" t="n"/>
      <c r="CA13" s="140">
        <f>BZ13*100/$E$13</f>
        <v/>
      </c>
      <c r="CB13" s="133">
        <f>8+8+8+8+8+1+8</f>
        <v/>
      </c>
      <c r="CC13" s="140">
        <f>CB13*100/$E$13</f>
        <v/>
      </c>
      <c r="CD13" s="133" t="n"/>
      <c r="CE13" s="140">
        <f>CD13*100/$E$13</f>
        <v/>
      </c>
      <c r="CF13" s="133" t="n"/>
      <c r="CG13" s="140">
        <f>CF13*100/$E$13</f>
        <v/>
      </c>
      <c r="CH13" s="133" t="n"/>
      <c r="CI13" s="140">
        <f>CH13*100/$E$13</f>
        <v/>
      </c>
      <c r="CJ13" s="133" t="n"/>
      <c r="CK13" s="140">
        <f>CJ13*100/$E$13</f>
        <v/>
      </c>
      <c r="CL13" s="133" t="n"/>
      <c r="CM13" s="140">
        <f>CL13*100/$E$13</f>
        <v/>
      </c>
      <c r="CN13" s="133" t="n"/>
      <c r="CO13" s="139">
        <f>CN13*100/$E$13</f>
        <v/>
      </c>
      <c r="CP13" s="133" t="n"/>
      <c r="CQ13" s="140">
        <f>CP13*100/$E$13</f>
        <v/>
      </c>
      <c r="CR13" s="133" t="n"/>
      <c r="CS13" s="139">
        <f>CR13*100/$E$13</f>
        <v/>
      </c>
      <c r="CT13" s="133" t="n"/>
      <c r="CU13" s="139">
        <f>CT13*100/$E$13</f>
        <v/>
      </c>
      <c r="CV13" s="133" t="n"/>
      <c r="CW13" s="139">
        <f>CV13*100/$E$13</f>
        <v/>
      </c>
      <c r="CX13" s="133" t="n"/>
      <c r="CY13" s="139">
        <f>CX13*100/$E$13</f>
        <v/>
      </c>
      <c r="CZ13" s="133" t="n"/>
      <c r="DA13" s="139">
        <f>CZ13*100/$E$13</f>
        <v/>
      </c>
      <c r="DB13" s="133" t="n"/>
      <c r="DC13" s="139">
        <f>DB13*100/$E$13</f>
        <v/>
      </c>
      <c r="DD13" s="133" t="n"/>
      <c r="DE13" s="139">
        <f>DD13*100/$E$13</f>
        <v/>
      </c>
      <c r="DF13" s="133" t="n"/>
      <c r="DG13" s="139">
        <f>DF13*100/$E$13</f>
        <v/>
      </c>
      <c r="DH13" s="133" t="n"/>
      <c r="DI13" s="139">
        <f>DH13*100/$E$13</f>
        <v/>
      </c>
      <c r="DJ13" s="133" t="n"/>
      <c r="DK13" s="139">
        <f>DJ13*100/$E$13</f>
        <v/>
      </c>
      <c r="DL13" s="133" t="n"/>
      <c r="DM13" s="139">
        <f>DL13*100/$E$13</f>
        <v/>
      </c>
      <c r="DN13" s="133" t="n"/>
      <c r="DO13" s="139">
        <f>DN13*100/$E$13</f>
        <v/>
      </c>
      <c r="DP13" s="133" t="n"/>
      <c r="DQ13" s="139">
        <f>DP13*100/$E$13</f>
        <v/>
      </c>
      <c r="DR13" s="133" t="n"/>
      <c r="DS13" s="140">
        <f>DR13*100/$E$13</f>
        <v/>
      </c>
      <c r="DT13" s="133" t="n"/>
      <c r="DU13" s="139">
        <f>DT13*100/$E$13</f>
        <v/>
      </c>
      <c r="DV13" s="133" t="n"/>
      <c r="DW13" s="139">
        <f>DV13*100/$E$13</f>
        <v/>
      </c>
      <c r="DX13" s="133" t="n"/>
      <c r="DY13" s="139">
        <f>DX13*100/$E$13</f>
        <v/>
      </c>
      <c r="DZ13" s="133" t="n"/>
      <c r="EA13" s="139">
        <f>DZ13*100/$E$13</f>
        <v/>
      </c>
      <c r="EB13" s="133" t="n"/>
      <c r="EC13" s="139">
        <f>EB13*100/$E$13</f>
        <v/>
      </c>
      <c r="ED13" s="133" t="n"/>
      <c r="EE13" s="139">
        <f>ED13*100/$E$13</f>
        <v/>
      </c>
      <c r="EF13" s="133" t="n"/>
      <c r="EG13" s="139">
        <f>EF13*100/$E$13</f>
        <v/>
      </c>
      <c r="EH13" s="133" t="n"/>
      <c r="EI13" s="140">
        <f>EH13*100/$E$13</f>
        <v/>
      </c>
      <c r="EJ13" s="133" t="n"/>
      <c r="EK13" s="140">
        <f>EJ13*100/$E$13</f>
        <v/>
      </c>
      <c r="EL13" s="133" t="n"/>
      <c r="EM13" s="140">
        <f>EL13*100/$E$13</f>
        <v/>
      </c>
      <c r="EN13" s="133" t="n"/>
      <c r="EO13" s="140">
        <f>EN13*100/$E$13</f>
        <v/>
      </c>
      <c r="EP13" s="133" t="n"/>
      <c r="EQ13" s="140">
        <f>EP13*100/$E$13</f>
        <v/>
      </c>
      <c r="ER13" s="133" t="n"/>
      <c r="ES13" s="140">
        <f>ER13*100/$E$13</f>
        <v/>
      </c>
      <c r="ET13" s="133" t="n"/>
      <c r="EU13" s="140">
        <f>ET13*100/$E$13</f>
        <v/>
      </c>
      <c r="EV13" s="133" t="n"/>
      <c r="EW13" s="139">
        <f>EV13*100/$E$13</f>
        <v/>
      </c>
      <c r="EX13" s="133" t="n"/>
      <c r="EY13" s="139">
        <f>EX13*100/$E$13</f>
        <v/>
      </c>
      <c r="EZ13" s="133" t="n"/>
      <c r="FA13" s="139">
        <f>EZ13*100/$E$13</f>
        <v/>
      </c>
      <c r="FB13" s="133" t="n"/>
      <c r="FC13" s="139">
        <f>FB13*100/$E$13</f>
        <v/>
      </c>
      <c r="FD13" s="133" t="n"/>
      <c r="FE13" s="139">
        <f>FD13*100/$E$13</f>
        <v/>
      </c>
      <c r="FF13" s="133">
        <f>8+8+12</f>
        <v/>
      </c>
      <c r="FG13" s="139">
        <f>FF13*100/$E$13</f>
        <v/>
      </c>
      <c r="FH13" s="133" t="n"/>
      <c r="FI13" s="139">
        <f>FH13*100/$E$13</f>
        <v/>
      </c>
      <c r="FJ13" s="133" t="n"/>
      <c r="FK13" s="139">
        <f>FJ13*100/$E$13</f>
        <v/>
      </c>
      <c r="FL13" s="133" t="n"/>
      <c r="FM13" s="139">
        <f>FL13*100/$E$13</f>
        <v/>
      </c>
      <c r="FN13" s="133" t="n"/>
      <c r="FO13" s="139">
        <f>FN13*100/$E$13</f>
        <v/>
      </c>
      <c r="FP13" s="133" t="n"/>
      <c r="FQ13" s="140">
        <f>FP13*100/$E$13</f>
        <v/>
      </c>
      <c r="FR13" s="133" t="n"/>
      <c r="FS13" s="140">
        <f>FR13*100/$E$13</f>
        <v/>
      </c>
      <c r="FT13" s="133" t="n"/>
      <c r="FU13" s="140">
        <f>FT13*100/$E$13</f>
        <v/>
      </c>
      <c r="FV13" s="133" t="n"/>
      <c r="FW13" s="140">
        <f>FV13*100/$E$13</f>
        <v/>
      </c>
      <c r="FX13" s="133" t="n"/>
      <c r="FY13" s="140">
        <f>FX13*100/$E$13</f>
        <v/>
      </c>
      <c r="FZ13" s="133" t="n"/>
      <c r="GA13" s="140">
        <f>FZ13*100/$E$13</f>
        <v/>
      </c>
      <c r="GB13" s="133" t="n"/>
      <c r="GC13" s="140">
        <f>GB13*100/$E$13</f>
        <v/>
      </c>
      <c r="GD13" s="133" t="n"/>
      <c r="GE13" s="140">
        <f>GD13*100/$E$13</f>
        <v/>
      </c>
      <c r="GF13" s="133" t="n"/>
      <c r="GG13" s="140">
        <f>GF13*100/$E$13</f>
        <v/>
      </c>
      <c r="GH13" s="133" t="n"/>
      <c r="GI13" s="140">
        <f>GH13*100/$E$13</f>
        <v/>
      </c>
      <c r="GJ13" s="133" t="n"/>
      <c r="GK13" s="139">
        <f>GJ13*100/$E$13</f>
        <v/>
      </c>
      <c r="GL13" s="133" t="n"/>
      <c r="GM13" s="140">
        <f>GL13*100/$E$13</f>
        <v/>
      </c>
      <c r="GN13" s="133" t="n"/>
      <c r="GO13" s="139">
        <f>GN13*100/$E$13</f>
        <v/>
      </c>
      <c r="GP13" s="133" t="n"/>
      <c r="GQ13" s="140">
        <f>GP13*100/$E$13</f>
        <v/>
      </c>
      <c r="GR13" s="133" t="n"/>
      <c r="GS13" s="139">
        <f>GR13*100/$E$13</f>
        <v/>
      </c>
      <c r="GT13" s="133" t="n"/>
      <c r="GU13" s="139">
        <f>GT13*100/$E$13</f>
        <v/>
      </c>
      <c r="GV13" s="133" t="n"/>
      <c r="GW13" s="139">
        <f>GV13*100/$E$13</f>
        <v/>
      </c>
      <c r="GX13" s="133" t="n"/>
      <c r="GY13" s="140">
        <f>GX13*100/$E$13</f>
        <v/>
      </c>
      <c r="GZ13" s="133" t="n"/>
      <c r="HA13" s="140">
        <f>GZ13*100/$E$13</f>
        <v/>
      </c>
      <c r="HB13" s="133" t="n"/>
      <c r="HC13" s="140">
        <f>HB13*100/$E$13</f>
        <v/>
      </c>
      <c r="HD13" s="133" t="n"/>
      <c r="HE13" s="140">
        <f>HD13*100/$E$13</f>
        <v/>
      </c>
      <c r="HF13" s="133" t="n"/>
      <c r="HG13" s="140">
        <f>HF13*100/$E$13</f>
        <v/>
      </c>
      <c r="HH13" s="133" t="n"/>
      <c r="HI13" s="140">
        <f>HH13*100/$E$13</f>
        <v/>
      </c>
      <c r="HJ13" s="133" t="n"/>
      <c r="HK13" s="140">
        <f>HJ13*100/$E$13</f>
        <v/>
      </c>
      <c r="HL13" s="133" t="n"/>
      <c r="HM13" s="140">
        <f>HL13*100/$E$13</f>
        <v/>
      </c>
      <c r="HN13" s="133" t="n"/>
      <c r="HO13" s="140">
        <f>HN13*100/$E$13</f>
        <v/>
      </c>
      <c r="HP13" s="133" t="n"/>
      <c r="HQ13" s="140">
        <f>HP13*100/$E$13</f>
        <v/>
      </c>
      <c r="HR13" s="133" t="n"/>
      <c r="HS13" s="140">
        <f>HR13*100/$E$13</f>
        <v/>
      </c>
      <c r="HT13" s="133" t="n"/>
      <c r="HU13" s="140">
        <f>HT13*100/$E$13</f>
        <v/>
      </c>
      <c r="HV13" s="133" t="n"/>
      <c r="HW13" s="140">
        <f>HV13*100/$E$13</f>
        <v/>
      </c>
      <c r="HX13" s="133" t="n"/>
      <c r="HY13" s="140">
        <f>HX13*100/$E$13</f>
        <v/>
      </c>
      <c r="HZ13" s="133" t="n"/>
      <c r="IA13" s="139">
        <f>HZ13*100/$E$13</f>
        <v/>
      </c>
      <c r="IB13" s="133" t="n"/>
      <c r="IC13" s="139">
        <f>IB13*100/$E$13</f>
        <v/>
      </c>
      <c r="ID13" s="133" t="n"/>
      <c r="IE13" s="139">
        <f>ID13*100/$E$13</f>
        <v/>
      </c>
      <c r="IF13" s="133" t="n"/>
      <c r="IG13" s="139">
        <f>IF13*100/$E$13</f>
        <v/>
      </c>
      <c r="IH13" s="133" t="n"/>
      <c r="II13" s="139">
        <f>IH13*100/$E$13</f>
        <v/>
      </c>
      <c r="IJ13" s="133" t="n"/>
      <c r="IK13" s="139">
        <f>IJ13*100/$E$13</f>
        <v/>
      </c>
      <c r="IL13" s="133" t="n"/>
      <c r="IM13" s="140">
        <f>IL13*100/$E$13</f>
        <v/>
      </c>
      <c r="IN13" s="133" t="n"/>
      <c r="IO13" s="140">
        <f>IN13*100/$E$13</f>
        <v/>
      </c>
      <c r="IP13" s="133" t="n"/>
      <c r="IQ13" s="139">
        <f>IP13*100/$E$13</f>
        <v/>
      </c>
      <c r="IR13" s="133" t="n"/>
      <c r="IS13" s="139">
        <f>IR13*100/$E$13</f>
        <v/>
      </c>
      <c r="IT13" s="133" t="n"/>
      <c r="IU13" s="139">
        <f>IT13*100/$E$13</f>
        <v/>
      </c>
      <c r="IV13" s="133" t="n"/>
      <c r="IW13" s="139">
        <f>IV13*100/$E$13</f>
        <v/>
      </c>
      <c r="IX13" s="133" t="n"/>
      <c r="IY13" s="139">
        <f>IX13*100/$E$13</f>
        <v/>
      </c>
      <c r="IZ13" s="133" t="n"/>
      <c r="JA13" s="139">
        <f>IZ13*100/$E$13</f>
        <v/>
      </c>
      <c r="JB13" s="133" t="n"/>
      <c r="JC13" s="139">
        <f>JB13*100/$E$13</f>
        <v/>
      </c>
      <c r="JD13" s="133" t="n"/>
      <c r="JE13" s="139">
        <f>JD13*100/$E$13</f>
        <v/>
      </c>
      <c r="JF13" s="133" t="n"/>
      <c r="JG13" s="139">
        <f>JF13*100/$E$13</f>
        <v/>
      </c>
      <c r="JH13" s="133" t="n"/>
      <c r="JI13" s="139">
        <f>JH13*100/$E$13</f>
        <v/>
      </c>
      <c r="JJ13" s="133" t="n"/>
      <c r="JK13" s="139">
        <f>JJ13*100/$E$13</f>
        <v/>
      </c>
      <c r="JL13" s="133">
        <f>8+8+16+8+3+6+16</f>
        <v/>
      </c>
      <c r="JM13" s="139">
        <f>JL13*100/$E$13</f>
        <v/>
      </c>
      <c r="JN13" s="133" t="n"/>
      <c r="JO13" s="139">
        <f>JN13*100/$E$13</f>
        <v/>
      </c>
      <c r="JP13" s="133" t="n">
        <v>8</v>
      </c>
      <c r="JQ13" s="139">
        <f>JP13*100/$E$13</f>
        <v/>
      </c>
      <c r="JR13" s="133">
        <f>7+8+8</f>
        <v/>
      </c>
      <c r="JS13" s="139">
        <f>JR13*100/$E$13</f>
        <v/>
      </c>
      <c r="JT13" s="133" t="n"/>
      <c r="JU13" s="182">
        <f>JT13*100/$E$13</f>
        <v/>
      </c>
      <c r="JV13" s="133" t="n"/>
      <c r="JW13" s="182">
        <f>JV13*100/$E$13</f>
        <v/>
      </c>
      <c r="JX13" s="133" t="n"/>
      <c r="JY13" s="182">
        <f>JX13*100/$E$13</f>
        <v/>
      </c>
      <c r="JZ13" s="183">
        <f>JN13+JP13+JR13+JT13+JV13+JX13</f>
        <v/>
      </c>
      <c r="KA13" s="184">
        <f>JO13+JQ13+JS13+JU13+JW13+JY13</f>
        <v/>
      </c>
      <c r="KB13" s="185">
        <f>H13+J13+L13+N13+P13+R13+T13+V13+X13+Z13+AB13+AD13+AF13+AH13+AJ13+AL13+AN13+AP13+AR13+AT13+AV13+AX13+AZ13+BB13+BD13+BF13+BH13+BJ13+BL13+BN13+BP13+BR13+BT13+BV13+BX13+BZ13+CB13+CD13+CF13+CH13+CZ13+DB13+DD13+DF13+DH13+DJ13+DL13+DN13+DP13+DR13+DT13+DV13+DX13+DZ13+EB13+ED13+EF13+EH13+EJ13+EL13+EN13+EP13+ER13+ET13+EV13+FN13+FP13+FR13+FT13+FV13+FX13+FZ13+GB13+GD13+GF13+GH13+GJ13+GL13+GN13+GP13+GR13+GT13+GV13+GX13+GZ13+HB13+HD13+HF13+HH13+HJ13+HL13+HN13+HP13+HR13+HT13+HV13+HX13+HZ13+IB13+ID13+IF13+IH13+IJ13+IL13+IN13+IP13+IR13+IT13+IV13+IX13+IZ13+JB13+JD13+JF13+JH13+JJ13+JL13+JZ13+CJ13+CL13+CN13+CP13+CR13+CT13+CV13+CX13+EX13+EZ13+FB13+FD13+FF13+FH13+FJ13+FL13</f>
        <v/>
      </c>
      <c r="KC13" s="186">
        <f>I13+K13+M13+O13+Q13+S13+U13+W13+Y13+AA13+AC13+AE13+AG13+AI13+AK13+AM13+AO13+AQ13+AS13+AU13+AW13+AY13+BA13+BC13+BE13+BG13+BI13+BK13+BM13+BO13+BQ13+BS13+BU13+BW13+BY13+CA13+CC13+CE13+CG13+CI13+DA13+DC13+DE13+DG13+DI13+DK13+DM13+DO13+DQ13+DS13+DU13+DW13+DY13+EA13+EC13+EE13+EG13+EI13+EK13+EM13+EO13+EQ13+ES13+EU13+EW13+FO13+FS13+FU13+FW13+FQ13+FY13+GA13+GC13+GE13+GG13+GI13+GK13+GM13+GO13+GQ13+GS13+GU13+GW13+GY13+HA13+HC13+HE13+HG13+HI13+HK13+HM13+HO13+HQ13+HS13+HU13+HW13+HY13+IA13+IC13+IE13+IG13+II13+IK13+IM13+IO13+IQ13+IS13+IU13+IW13+IY13+JA13+JC13+JE13+JG13+JI13+JK13+JM13+KA13+CK13+CM13+CO13+CQ13+CS13+CU13+CW13+CY13+EY13+FA13+FC13+FE13+FG13+FI13+FK13+FM13</f>
        <v/>
      </c>
      <c r="KD13" s="187">
        <f>JO13+JQ13+JS13+JU13+JW13+JY13</f>
        <v/>
      </c>
      <c r="KE13" s="188">
        <f>KB13=E13</f>
        <v/>
      </c>
      <c r="KF13" s="189">
        <f>E13-KB13</f>
        <v/>
      </c>
      <c r="KG13" s="231" t="n"/>
    </row>
    <row r="14" ht="21.75" customFormat="1" customHeight="1" s="230">
      <c r="A14" s="126">
        <f>A13+1</f>
        <v/>
      </c>
      <c r="B14" s="175" t="inlineStr">
        <is>
          <t>Гринев В.Н.</t>
        </is>
      </c>
      <c r="C14" s="176" t="inlineStr">
        <is>
          <t>сварщик</t>
        </is>
      </c>
      <c r="D14" s="177">
        <f>$D$5</f>
        <v/>
      </c>
      <c r="E14" s="202" t="n">
        <v>127</v>
      </c>
      <c r="F14" s="190" t="n">
        <v>67377.96000000001</v>
      </c>
      <c r="G14" s="179">
        <f>F14/D14</f>
        <v/>
      </c>
      <c r="H14" s="180" t="n"/>
      <c r="I14" s="140">
        <f>H14*100/$E$14</f>
        <v/>
      </c>
      <c r="J14" s="133" t="n"/>
      <c r="K14" s="140">
        <f>J14*100/$E$14</f>
        <v/>
      </c>
      <c r="L14" s="133" t="n"/>
      <c r="M14" s="140">
        <f>L14*100/$E$14</f>
        <v/>
      </c>
      <c r="N14" s="133" t="n"/>
      <c r="O14" s="140">
        <f>N14*100/$E$14</f>
        <v/>
      </c>
      <c r="P14" s="133" t="n"/>
      <c r="Q14" s="139">
        <f>P14*100/$E$14</f>
        <v/>
      </c>
      <c r="R14" s="133" t="n"/>
      <c r="S14" s="139">
        <f>R14*100/$E$14</f>
        <v/>
      </c>
      <c r="T14" s="133" t="n"/>
      <c r="U14" s="140">
        <f>T14*100/$E$14</f>
        <v/>
      </c>
      <c r="V14" s="133" t="n"/>
      <c r="W14" s="140">
        <f>V14*100/$E$14</f>
        <v/>
      </c>
      <c r="X14" s="133" t="n"/>
      <c r="Y14" s="140">
        <f>X14*100/$E$14</f>
        <v/>
      </c>
      <c r="Z14" s="133" t="n"/>
      <c r="AA14" s="140">
        <f>Z14*100/$E$14</f>
        <v/>
      </c>
      <c r="AB14" s="133" t="n"/>
      <c r="AC14" s="140">
        <f>AB14*100/$E$14</f>
        <v/>
      </c>
      <c r="AD14" s="133" t="n"/>
      <c r="AE14" s="139">
        <f>AD14*100/$E$14</f>
        <v/>
      </c>
      <c r="AF14" s="133" t="n"/>
      <c r="AG14" s="139">
        <f>AF14*100/$E$14</f>
        <v/>
      </c>
      <c r="AH14" s="133" t="n"/>
      <c r="AI14" s="140">
        <f>AH14*100/$E$14</f>
        <v/>
      </c>
      <c r="AJ14" s="133" t="n"/>
      <c r="AK14" s="140">
        <f>AJ14*100/$E$14</f>
        <v/>
      </c>
      <c r="AL14" s="133" t="n"/>
      <c r="AM14" s="140">
        <f>AL14*100/$E$14</f>
        <v/>
      </c>
      <c r="AN14" s="133" t="n"/>
      <c r="AO14" s="140">
        <f>AN14*100/$E$14</f>
        <v/>
      </c>
      <c r="AP14" s="133" t="n"/>
      <c r="AQ14" s="140">
        <f>AP14*100/$E$14</f>
        <v/>
      </c>
      <c r="AR14" s="133" t="n"/>
      <c r="AS14" s="140">
        <f>AR14*100/$E$14</f>
        <v/>
      </c>
      <c r="AT14" s="133" t="n"/>
      <c r="AU14" s="181">
        <f>AT14*100/$E$14</f>
        <v/>
      </c>
      <c r="AV14" s="133" t="n"/>
      <c r="AW14" s="140">
        <f>AV14*100/$E$14</f>
        <v/>
      </c>
      <c r="AX14" s="133" t="n"/>
      <c r="AY14" s="140">
        <f>AX14*100/$E$14</f>
        <v/>
      </c>
      <c r="AZ14" s="133" t="n"/>
      <c r="BA14" s="140">
        <f>AZ14*100/$E$14</f>
        <v/>
      </c>
      <c r="BB14" s="133" t="n"/>
      <c r="BC14" s="140">
        <f>BB14*100/$E$14</f>
        <v/>
      </c>
      <c r="BD14" s="133" t="n"/>
      <c r="BE14" s="140">
        <f>BD14*100/$E$14</f>
        <v/>
      </c>
      <c r="BF14" s="133" t="n"/>
      <c r="BG14" s="140">
        <f>BF14*100/$E$14</f>
        <v/>
      </c>
      <c r="BH14" s="133" t="n"/>
      <c r="BI14" s="140">
        <f>BH14*100/$E$14</f>
        <v/>
      </c>
      <c r="BJ14" s="133" t="n"/>
      <c r="BK14" s="140">
        <f>BJ14*100/$E$14</f>
        <v/>
      </c>
      <c r="BL14" s="133" t="n"/>
      <c r="BM14" s="140">
        <f>BL14*100/$E$14</f>
        <v/>
      </c>
      <c r="BN14" s="133" t="n"/>
      <c r="BO14" s="140">
        <f>BN14*100/$E$14</f>
        <v/>
      </c>
      <c r="BP14" s="133" t="n"/>
      <c r="BQ14" s="140">
        <f>BP14*100/$E$14</f>
        <v/>
      </c>
      <c r="BR14" s="133" t="n"/>
      <c r="BS14" s="140">
        <f>BR14*100/$E$14</f>
        <v/>
      </c>
      <c r="BT14" s="133" t="n"/>
      <c r="BU14" s="140">
        <f>BT14*100/$E$14</f>
        <v/>
      </c>
      <c r="BV14" s="133" t="n"/>
      <c r="BW14" s="140">
        <f>BV14*100/$E$14</f>
        <v/>
      </c>
      <c r="BX14" s="133" t="n"/>
      <c r="BY14" s="140">
        <f>BX14*100/$E$14</f>
        <v/>
      </c>
      <c r="BZ14" s="133" t="n"/>
      <c r="CA14" s="140">
        <f>BZ14*100/$E$14</f>
        <v/>
      </c>
      <c r="CB14" s="133" t="n"/>
      <c r="CC14" s="140">
        <f>CB14*100/$E$14</f>
        <v/>
      </c>
      <c r="CD14" s="133" t="n"/>
      <c r="CE14" s="140">
        <f>CD14*100/$E$14</f>
        <v/>
      </c>
      <c r="CF14" s="133" t="n"/>
      <c r="CG14" s="140">
        <f>CF14*100/$E$14</f>
        <v/>
      </c>
      <c r="CH14" s="133" t="n"/>
      <c r="CI14" s="140">
        <f>CH14*100/$E$14</f>
        <v/>
      </c>
      <c r="CJ14" s="133" t="n"/>
      <c r="CK14" s="140">
        <f>CJ14*100/$E$14</f>
        <v/>
      </c>
      <c r="CL14" s="133" t="n"/>
      <c r="CM14" s="140">
        <f>CL14*100/$E$14</f>
        <v/>
      </c>
      <c r="CN14" s="133" t="n"/>
      <c r="CO14" s="139">
        <f>CN14*100/$E$14</f>
        <v/>
      </c>
      <c r="CP14" s="133" t="n"/>
      <c r="CQ14" s="140">
        <f>CP14*100/$E$14</f>
        <v/>
      </c>
      <c r="CR14" s="133" t="n">
        <v>8</v>
      </c>
      <c r="CS14" s="139">
        <f>CR14*100/$E$14</f>
        <v/>
      </c>
      <c r="CT14" s="133" t="n"/>
      <c r="CU14" s="139">
        <f>CT14*100/$E$14</f>
        <v/>
      </c>
      <c r="CV14" s="133" t="n"/>
      <c r="CW14" s="139">
        <f>CV14*100/$E$14</f>
        <v/>
      </c>
      <c r="CX14" s="133" t="n"/>
      <c r="CY14" s="139">
        <f>CX14*100/$E$14</f>
        <v/>
      </c>
      <c r="CZ14" s="133" t="n"/>
      <c r="DA14" s="139">
        <f>CZ14*100/$E$14</f>
        <v/>
      </c>
      <c r="DB14" s="133" t="n"/>
      <c r="DC14" s="139">
        <f>DB14*100/$E$14</f>
        <v/>
      </c>
      <c r="DD14" s="133" t="n"/>
      <c r="DE14" s="139">
        <f>DD14*100/$E$14</f>
        <v/>
      </c>
      <c r="DF14" s="133" t="n"/>
      <c r="DG14" s="139">
        <f>DF14*100/$E$14</f>
        <v/>
      </c>
      <c r="DH14" s="133" t="n"/>
      <c r="DI14" s="139">
        <f>DH14*100/$E$14</f>
        <v/>
      </c>
      <c r="DJ14" s="133" t="n"/>
      <c r="DK14" s="139">
        <f>DJ14*100/$E$14</f>
        <v/>
      </c>
      <c r="DL14" s="133" t="n"/>
      <c r="DM14" s="139">
        <f>DL14*100/$E$14</f>
        <v/>
      </c>
      <c r="DN14" s="133" t="n"/>
      <c r="DO14" s="139">
        <f>DN14*100/$E$14</f>
        <v/>
      </c>
      <c r="DP14" s="133" t="n"/>
      <c r="DQ14" s="139">
        <f>DP14*100/$E$14</f>
        <v/>
      </c>
      <c r="DR14" s="133" t="n"/>
      <c r="DS14" s="139">
        <f>DR14*100/$E$14</f>
        <v/>
      </c>
      <c r="DT14" s="133" t="n"/>
      <c r="DU14" s="139">
        <f>DT14*100/$E$14</f>
        <v/>
      </c>
      <c r="DV14" s="133" t="n"/>
      <c r="DW14" s="139">
        <f>DV14*100/$E$14</f>
        <v/>
      </c>
      <c r="DX14" s="133" t="n"/>
      <c r="DY14" s="139">
        <f>DX14*100/$E$14</f>
        <v/>
      </c>
      <c r="DZ14" s="133" t="n"/>
      <c r="EA14" s="139">
        <f>DZ14*100/$E$14</f>
        <v/>
      </c>
      <c r="EB14" s="133">
        <f>8+4</f>
        <v/>
      </c>
      <c r="EC14" s="139">
        <f>EB14*100/$E$14</f>
        <v/>
      </c>
      <c r="ED14" s="133" t="n"/>
      <c r="EE14" s="139">
        <f>ED14*100/$E$14</f>
        <v/>
      </c>
      <c r="EF14" s="133" t="n"/>
      <c r="EG14" s="139">
        <f>EF14*100/$E$14</f>
        <v/>
      </c>
      <c r="EH14" s="133" t="n"/>
      <c r="EI14" s="139">
        <f>EH14*100/$E$14</f>
        <v/>
      </c>
      <c r="EJ14" s="133" t="n"/>
      <c r="EK14" s="139">
        <f>EJ14*100/$E$14</f>
        <v/>
      </c>
      <c r="EL14" s="133" t="n"/>
      <c r="EM14" s="139">
        <f>EL14*100/$E$14</f>
        <v/>
      </c>
      <c r="EN14" s="133" t="n"/>
      <c r="EO14" s="139">
        <f>EN14*100/$E$14</f>
        <v/>
      </c>
      <c r="EP14" s="133" t="n"/>
      <c r="EQ14" s="139">
        <f>EP14*100/$E$14</f>
        <v/>
      </c>
      <c r="ER14" s="133" t="n"/>
      <c r="ES14" s="139">
        <f>ER14*100/$E$14</f>
        <v/>
      </c>
      <c r="ET14" s="133" t="n"/>
      <c r="EU14" s="139">
        <f>ET14*100/$E$14</f>
        <v/>
      </c>
      <c r="EV14" s="133" t="n"/>
      <c r="EW14" s="139">
        <f>EV14*100/$E$14</f>
        <v/>
      </c>
      <c r="EX14" s="133" t="n"/>
      <c r="EY14" s="139">
        <f>EX14*100/$E$14</f>
        <v/>
      </c>
      <c r="EZ14" s="133" t="n"/>
      <c r="FA14" s="139">
        <f>EZ14*100/$E$14</f>
        <v/>
      </c>
      <c r="FB14" s="133" t="n"/>
      <c r="FC14" s="139">
        <f>FB14*100/$E$14</f>
        <v/>
      </c>
      <c r="FD14" s="133" t="n"/>
      <c r="FE14" s="139">
        <f>FD14*100/$E$14</f>
        <v/>
      </c>
      <c r="FF14" s="133" t="n">
        <v>6</v>
      </c>
      <c r="FG14" s="139">
        <f>FF14*100/$E$14</f>
        <v/>
      </c>
      <c r="FH14" s="133" t="n"/>
      <c r="FI14" s="139">
        <f>FH14*100/$E$14</f>
        <v/>
      </c>
      <c r="FJ14" s="133" t="n"/>
      <c r="FK14" s="139">
        <f>FJ14*100/$E$14</f>
        <v/>
      </c>
      <c r="FL14" s="133" t="n"/>
      <c r="FM14" s="139">
        <f>FL14*100/$E$14</f>
        <v/>
      </c>
      <c r="FN14" s="133" t="n"/>
      <c r="FO14" s="139">
        <f>FN14*100/$E$14</f>
        <v/>
      </c>
      <c r="FP14" s="133" t="n"/>
      <c r="FQ14" s="139">
        <f>FP14*100/$E$14</f>
        <v/>
      </c>
      <c r="FR14" s="133" t="n"/>
      <c r="FS14" s="139">
        <f>FR14*100/$E$14</f>
        <v/>
      </c>
      <c r="FT14" s="133" t="n"/>
      <c r="FU14" s="139">
        <f>FT14*100/$E$14</f>
        <v/>
      </c>
      <c r="FV14" s="133" t="n"/>
      <c r="FW14" s="139">
        <f>FV14*100/$E$14</f>
        <v/>
      </c>
      <c r="FX14" s="133" t="n"/>
      <c r="FY14" s="140">
        <f>FX14*100/$E$14</f>
        <v/>
      </c>
      <c r="FZ14" s="133" t="n"/>
      <c r="GA14" s="140">
        <f>FZ14*100/$E$14</f>
        <v/>
      </c>
      <c r="GB14" s="133" t="n"/>
      <c r="GC14" s="140">
        <f>GB14*100/$E$14</f>
        <v/>
      </c>
      <c r="GD14" s="133" t="n"/>
      <c r="GE14" s="140">
        <f>GD14*100/$E$14</f>
        <v/>
      </c>
      <c r="GF14" s="133" t="n"/>
      <c r="GG14" s="140">
        <f>GF14*100/$E$14</f>
        <v/>
      </c>
      <c r="GH14" s="133" t="n"/>
      <c r="GI14" s="140">
        <f>GH14*100/$E$14</f>
        <v/>
      </c>
      <c r="GJ14" s="133" t="n"/>
      <c r="GK14" s="139">
        <f>GJ14*100/$E$14</f>
        <v/>
      </c>
      <c r="GL14" s="133" t="n"/>
      <c r="GM14" s="140">
        <f>GL14*100/$E$14</f>
        <v/>
      </c>
      <c r="GN14" s="133" t="n"/>
      <c r="GO14" s="139">
        <f>GN14*100/$E$14</f>
        <v/>
      </c>
      <c r="GP14" s="133" t="n"/>
      <c r="GQ14" s="140">
        <f>GP14*100/$E$14</f>
        <v/>
      </c>
      <c r="GR14" s="133" t="n"/>
      <c r="GS14" s="139">
        <f>GR14*100/$E$14</f>
        <v/>
      </c>
      <c r="GT14" s="133" t="n"/>
      <c r="GU14" s="139">
        <f>GT14*100/$E$14</f>
        <v/>
      </c>
      <c r="GV14" s="133" t="n"/>
      <c r="GW14" s="139">
        <f>GV14*100/$E$14</f>
        <v/>
      </c>
      <c r="GX14" s="133" t="n"/>
      <c r="GY14" s="140">
        <f>GX14*100/$E$14</f>
        <v/>
      </c>
      <c r="GZ14" s="133" t="n"/>
      <c r="HA14" s="140">
        <f>GZ14*100/$E$14</f>
        <v/>
      </c>
      <c r="HB14" s="133" t="n"/>
      <c r="HC14" s="140">
        <f>HB14*100/$E$14</f>
        <v/>
      </c>
      <c r="HD14" s="133" t="n"/>
      <c r="HE14" s="140">
        <f>HD14*100/$E$14</f>
        <v/>
      </c>
      <c r="HF14" s="133" t="n"/>
      <c r="HG14" s="140">
        <f>HF14*100/$E$14</f>
        <v/>
      </c>
      <c r="HH14" s="133" t="n"/>
      <c r="HI14" s="140">
        <f>HH14*100/$E$14</f>
        <v/>
      </c>
      <c r="HJ14" s="133" t="n"/>
      <c r="HK14" s="140">
        <f>HJ14*100/$E$14</f>
        <v/>
      </c>
      <c r="HL14" s="133" t="n"/>
      <c r="HM14" s="140">
        <f>HL14*100/$E$14</f>
        <v/>
      </c>
      <c r="HN14" s="133" t="n"/>
      <c r="HO14" s="140">
        <f>HN14*100/$E$14</f>
        <v/>
      </c>
      <c r="HP14" s="133" t="n"/>
      <c r="HQ14" s="140">
        <f>HP14*100/$E$14</f>
        <v/>
      </c>
      <c r="HR14" s="133" t="n"/>
      <c r="HS14" s="140">
        <f>HR14*100/$E$14</f>
        <v/>
      </c>
      <c r="HT14" s="133" t="n"/>
      <c r="HU14" s="140">
        <f>HT14*100/$E$14</f>
        <v/>
      </c>
      <c r="HV14" s="133" t="n"/>
      <c r="HW14" s="140">
        <f>HV14*100/$E$14</f>
        <v/>
      </c>
      <c r="HX14" s="133" t="n"/>
      <c r="HY14" s="140">
        <f>HX14*100/$E$14</f>
        <v/>
      </c>
      <c r="HZ14" s="133" t="n"/>
      <c r="IA14" s="139">
        <f>HZ14*100/$E$14</f>
        <v/>
      </c>
      <c r="IB14" s="133" t="n"/>
      <c r="IC14" s="139">
        <f>IB14*100/$E$14</f>
        <v/>
      </c>
      <c r="ID14" s="133" t="n"/>
      <c r="IE14" s="139">
        <f>ID14*100/$E$14</f>
        <v/>
      </c>
      <c r="IF14" s="133" t="n"/>
      <c r="IG14" s="139">
        <f>IF14*100/$E$14</f>
        <v/>
      </c>
      <c r="IH14" s="133" t="n"/>
      <c r="II14" s="139">
        <f>IH14*100/$E$14</f>
        <v/>
      </c>
      <c r="IJ14" s="133" t="n"/>
      <c r="IK14" s="139">
        <f>IJ14*100/$E$14</f>
        <v/>
      </c>
      <c r="IL14" s="133" t="n"/>
      <c r="IM14" s="140">
        <f>IL14*100/E14</f>
        <v/>
      </c>
      <c r="IN14" s="133" t="n"/>
      <c r="IO14" s="140">
        <f>IN14*100/$E$14</f>
        <v/>
      </c>
      <c r="IP14" s="133" t="n"/>
      <c r="IQ14" s="139">
        <f>IP14*100/$E$14</f>
        <v/>
      </c>
      <c r="IR14" s="133" t="n"/>
      <c r="IS14" s="139">
        <f>IR14*100/$E$14</f>
        <v/>
      </c>
      <c r="IT14" s="133" t="n"/>
      <c r="IU14" s="139">
        <f>IT14*100/$E$14</f>
        <v/>
      </c>
      <c r="IV14" s="133" t="n"/>
      <c r="IW14" s="139">
        <f>IV14*100/$E$14</f>
        <v/>
      </c>
      <c r="IX14" s="133" t="n"/>
      <c r="IY14" s="139">
        <f>IX14*100/$E$14</f>
        <v/>
      </c>
      <c r="IZ14" s="133" t="n"/>
      <c r="JA14" s="139">
        <f>IZ14*100/$E$14</f>
        <v/>
      </c>
      <c r="JB14" s="133" t="n"/>
      <c r="JC14" s="139">
        <f>JB14*100/$E$14</f>
        <v/>
      </c>
      <c r="JD14" s="133" t="n"/>
      <c r="JE14" s="139">
        <f>JD14*100/$E$14</f>
        <v/>
      </c>
      <c r="JF14" s="133" t="n"/>
      <c r="JG14" s="139">
        <f>JF14*100/$E$14</f>
        <v/>
      </c>
      <c r="JH14" s="133" t="n"/>
      <c r="JI14" s="139">
        <f>JH14*100/$E$14</f>
        <v/>
      </c>
      <c r="JJ14" s="133" t="n"/>
      <c r="JK14" s="139">
        <f>JJ14*100/$E$14</f>
        <v/>
      </c>
      <c r="JL14" s="133">
        <f>16+8+7+8+8</f>
        <v/>
      </c>
      <c r="JM14" s="139">
        <f>JL14*100/$E$14</f>
        <v/>
      </c>
      <c r="JN14" s="133" t="n"/>
      <c r="JO14" s="139">
        <f>JN14*100/$E$14</f>
        <v/>
      </c>
      <c r="JP14" s="133" t="n"/>
      <c r="JQ14" s="139">
        <f>JP14*100/$E$14</f>
        <v/>
      </c>
      <c r="JR14" s="133">
        <f>8+16+2+4+8+8+8</f>
        <v/>
      </c>
      <c r="JS14" s="139">
        <f>JR14*100/$E$14</f>
        <v/>
      </c>
      <c r="JT14" s="133" t="n"/>
      <c r="JU14" s="182">
        <f>JT14*100/$E$14</f>
        <v/>
      </c>
      <c r="JV14" s="133" t="n"/>
      <c r="JW14" s="182">
        <f>JV14*100/$E$14</f>
        <v/>
      </c>
      <c r="JX14" s="133" t="n"/>
      <c r="JY14" s="182">
        <f>JX14*100/$E$14</f>
        <v/>
      </c>
      <c r="JZ14" s="183">
        <f>JN14+JP14+JR14+JT14+JV14+JX14</f>
        <v/>
      </c>
      <c r="KA14" s="184">
        <f>JO14+JQ14+JS14+JU14+JW14+JY14</f>
        <v/>
      </c>
      <c r="KB14" s="185">
        <f>H14+J14+L14+N14+P14+R14+T14+V14+X14+Z14+AB14+AD14+AF14+AH14+AJ14+AL14+AN14+AP14+AR14+AT14+AV14+AX14+AZ14+BB14+BD14+BF14+BH14+BJ14+BL14+BN14+BP14+BR14+BT14+BV14+BX14+BZ14+CB14+CD14+CF14+CH14+CZ14+DB14+DD14+DF14+DH14+DJ14+DL14+DN14+DP14+DR14+DT14+DV14+DX14+DZ14+EB14+ED14+EF14+EH14+EJ14+EL14+EN14+EP14+ER14+ET14+EV14+FN14+FP14+FR14+FT14+FV14+FX14+FZ14+GB14+GD14+GF14+GH14+GJ14+GL14+GN14+GP14+GR14+GT14+GV14+GX14+GZ14+HB14+HD14+HF14+HH14+HJ14+HL14+HN14+HP14+HR14+HT14+HV14+HX14+HZ14+IB14+ID14+IF14+IH14+IJ14+IL14+IN14+IP14+IR14+IT14+IV14+IX14+IZ14+JB14+JD14+JF14+JH14+JJ14+JL14+JZ14+CJ14+CL14+CN14+CP14+CR14+CT14+CV14+CX14+EX14+EZ14+FB14+FD14+FF14+FH14+FJ14+FL14</f>
        <v/>
      </c>
      <c r="KC14" s="186">
        <f>I14+K14+M14+O14+Q14+S14+U14+W14+Y14+AA14+AC14+AE14+AG14+AI14+AK14+AM14+AO14+AQ14+AS14+AU14+AW14+AY14+BA14+BC14+BE14+BG14+BI14+BK14+BM14+BO14+BQ14+BS14+BU14+BW14+BY14+CA14+CC14+CE14+CG14+CI14+DA14+DC14+DE14+DG14+DI14+DK14+DM14+DO14+DQ14+DS14+DU14+DW14+DY14+EA14+EC14+EE14+EG14+EI14+EK14+EM14+EO14+EQ14+ES14+EU14+EW14+FO14+FS14+FU14+FW14+FQ14+FY14+GA14+GC14+GE14+GG14+GI14+GK14+GM14+GO14+GQ14+GS14+GU14+GW14+GY14+HA14+HC14+HE14+HG14+HI14+HK14+HM14+HO14+HQ14+HS14+HU14+HW14+HY14+IA14+IC14+IE14+IG14+II14+IK14+IM14+IO14+IQ14+IS14+IU14+IW14+IY14+JA14+JC14+JE14+JG14+JI14+JK14+JM14+KA14+CK14+CM14+CO14+CQ14+CS14+CU14+CW14+CY14+EY14+FA14+FC14+FE14+FG14+FI14+FK14+FM14</f>
        <v/>
      </c>
      <c r="KD14" s="187">
        <f>JO14+JQ14+JS14+JU14+JW14+JY14</f>
        <v/>
      </c>
      <c r="KE14" s="188">
        <f>KB14=E14</f>
        <v/>
      </c>
      <c r="KF14" s="189">
        <f>E14-KB14</f>
        <v/>
      </c>
      <c r="KG14" s="214" t="n"/>
    </row>
    <row r="15" ht="21.75" customFormat="1" customHeight="1" s="214">
      <c r="A15" s="126">
        <f>A14+1</f>
        <v/>
      </c>
      <c r="B15" s="175" t="inlineStr">
        <is>
          <t>Гулиев Б.Н</t>
        </is>
      </c>
      <c r="C15" s="176" t="inlineStr">
        <is>
          <t>сварщик</t>
        </is>
      </c>
      <c r="D15" s="177">
        <f>$D$5</f>
        <v/>
      </c>
      <c r="E15" s="202" t="n">
        <v>180</v>
      </c>
      <c r="F15" s="190" t="n">
        <v>80377.96000000001</v>
      </c>
      <c r="G15" s="179">
        <f>F15/D15</f>
        <v/>
      </c>
      <c r="H15" s="180">
        <f>8+6</f>
        <v/>
      </c>
      <c r="I15" s="140">
        <f>H15*100/$E$15</f>
        <v/>
      </c>
      <c r="J15" s="133" t="n">
        <v>6</v>
      </c>
      <c r="K15" s="140">
        <f>J15*100/$E$15</f>
        <v/>
      </c>
      <c r="L15" s="133" t="n"/>
      <c r="M15" s="140">
        <f>L15*100/$E$15</f>
        <v/>
      </c>
      <c r="N15" s="133" t="n"/>
      <c r="O15" s="140">
        <f>N15*100/$E$15</f>
        <v/>
      </c>
      <c r="P15" s="133" t="n"/>
      <c r="Q15" s="139">
        <f>P15*100/$E$15</f>
        <v/>
      </c>
      <c r="R15" s="133" t="n"/>
      <c r="S15" s="139">
        <f>R15*100/$E$15</f>
        <v/>
      </c>
      <c r="T15" s="133" t="n"/>
      <c r="U15" s="140">
        <f>T15*100/$E$15</f>
        <v/>
      </c>
      <c r="V15" s="133" t="n"/>
      <c r="W15" s="140">
        <f>V15*100/$E$15</f>
        <v/>
      </c>
      <c r="X15" s="133" t="n"/>
      <c r="Y15" s="140">
        <f>X15*100/$E$15</f>
        <v/>
      </c>
      <c r="Z15" s="133" t="n"/>
      <c r="AA15" s="140">
        <f>Z15*100/$E$15</f>
        <v/>
      </c>
      <c r="AB15" s="133" t="n"/>
      <c r="AC15" s="140">
        <f>AB15*100/$E$15</f>
        <v/>
      </c>
      <c r="AD15" s="133">
        <f>2+4</f>
        <v/>
      </c>
      <c r="AE15" s="139">
        <f>AD15*100/$E$15</f>
        <v/>
      </c>
      <c r="AF15" s="133" t="n"/>
      <c r="AG15" s="139">
        <f>AF15*100/$E$15</f>
        <v/>
      </c>
      <c r="AH15" s="133" t="n">
        <v>2</v>
      </c>
      <c r="AI15" s="140">
        <f>AH15*100/$E$15</f>
        <v/>
      </c>
      <c r="AJ15" s="133" t="n"/>
      <c r="AK15" s="140">
        <f>AJ15*100/$E$15</f>
        <v/>
      </c>
      <c r="AL15" s="133">
        <f>2+4+3+4</f>
        <v/>
      </c>
      <c r="AM15" s="140">
        <f>AL15*100/$E$15</f>
        <v/>
      </c>
      <c r="AN15" s="133" t="n"/>
      <c r="AO15" s="140">
        <f>AN15*100/$E$15</f>
        <v/>
      </c>
      <c r="AP15" s="133" t="n"/>
      <c r="AQ15" s="140">
        <f>AP15*100/$E$15</f>
        <v/>
      </c>
      <c r="AR15" s="133" t="n"/>
      <c r="AS15" s="140">
        <f>AR15*100/$E$15</f>
        <v/>
      </c>
      <c r="AT15" s="133" t="n"/>
      <c r="AU15" s="181">
        <f>AT15*100/$E$15</f>
        <v/>
      </c>
      <c r="AV15" s="133" t="n"/>
      <c r="AW15" s="140">
        <f>AV15*100/$E$15</f>
        <v/>
      </c>
      <c r="AX15" s="133" t="n"/>
      <c r="AY15" s="140">
        <f>AX15*100/$E$15</f>
        <v/>
      </c>
      <c r="AZ15" s="133">
        <f>3+4</f>
        <v/>
      </c>
      <c r="BA15" s="140">
        <f>AZ15*100/$E$15</f>
        <v/>
      </c>
      <c r="BB15" s="133" t="n"/>
      <c r="BC15" s="140">
        <f>BB15*100/$E$15</f>
        <v/>
      </c>
      <c r="BD15" s="133" t="n"/>
      <c r="BE15" s="140">
        <f>BD15*100/$E$15</f>
        <v/>
      </c>
      <c r="BF15" s="133" t="n"/>
      <c r="BG15" s="140">
        <f>BF15*100/$E$15</f>
        <v/>
      </c>
      <c r="BH15" s="133" t="n"/>
      <c r="BI15" s="140">
        <f>BH15*100/$E$15</f>
        <v/>
      </c>
      <c r="BJ15" s="133" t="n"/>
      <c r="BK15" s="140">
        <f>BJ15*100/$E$15</f>
        <v/>
      </c>
      <c r="BL15" s="133" t="n"/>
      <c r="BM15" s="140">
        <f>BL15*100/$E$15</f>
        <v/>
      </c>
      <c r="BN15" s="133" t="n"/>
      <c r="BO15" s="140">
        <f>BN15*100/$E$15</f>
        <v/>
      </c>
      <c r="BP15" s="133" t="n"/>
      <c r="BQ15" s="140">
        <f>BP15*100/$E$15</f>
        <v/>
      </c>
      <c r="BR15" s="133" t="n"/>
      <c r="BS15" s="140">
        <f>BR15*100/$E$15</f>
        <v/>
      </c>
      <c r="BT15" s="133" t="n"/>
      <c r="BU15" s="140">
        <f>BT15*100/$E$15</f>
        <v/>
      </c>
      <c r="BV15" s="133" t="n"/>
      <c r="BW15" s="140">
        <f>BV15*100/$E$15</f>
        <v/>
      </c>
      <c r="BX15" s="133" t="n"/>
      <c r="BY15" s="140">
        <f>BX15*100/$E$15</f>
        <v/>
      </c>
      <c r="BZ15" s="133" t="n">
        <v>4</v>
      </c>
      <c r="CA15" s="140">
        <f>BZ15*100/$E$15</f>
        <v/>
      </c>
      <c r="CB15" s="133" t="n"/>
      <c r="CC15" s="140">
        <f>CB15*100/$E$15</f>
        <v/>
      </c>
      <c r="CD15" s="133" t="n"/>
      <c r="CE15" s="140">
        <f>CD15*100/$E$15</f>
        <v/>
      </c>
      <c r="CF15" s="133" t="n"/>
      <c r="CG15" s="140">
        <f>CF15*100/$E$15</f>
        <v/>
      </c>
      <c r="CH15" s="133" t="n"/>
      <c r="CI15" s="140">
        <f>CH15*100/$E$15</f>
        <v/>
      </c>
      <c r="CJ15" s="133" t="n">
        <v>6</v>
      </c>
      <c r="CK15" s="140">
        <f>CJ15*100/$E$15</f>
        <v/>
      </c>
      <c r="CL15" s="133" t="n"/>
      <c r="CM15" s="140">
        <f>CL15*100/$E$15</f>
        <v/>
      </c>
      <c r="CN15" s="133" t="n">
        <v>12</v>
      </c>
      <c r="CO15" s="139">
        <f>CN15*100/$E$15</f>
        <v/>
      </c>
      <c r="CP15" s="133" t="n">
        <v>4</v>
      </c>
      <c r="CQ15" s="140">
        <f>CP15*100/$E$15</f>
        <v/>
      </c>
      <c r="CR15" s="133">
        <f>2+6</f>
        <v/>
      </c>
      <c r="CS15" s="139">
        <f>CR15*100/$E$15</f>
        <v/>
      </c>
      <c r="CT15" s="133" t="n">
        <v>10</v>
      </c>
      <c r="CU15" s="139">
        <f>CT15*100/$E$15</f>
        <v/>
      </c>
      <c r="CV15" s="133">
        <f>8+6</f>
        <v/>
      </c>
      <c r="CW15" s="139">
        <f>CV15*100/$E$15</f>
        <v/>
      </c>
      <c r="CX15" s="133" t="n">
        <v>4</v>
      </c>
      <c r="CY15" s="139">
        <f>CX15*100/$E$15</f>
        <v/>
      </c>
      <c r="CZ15" s="133" t="n">
        <v>8</v>
      </c>
      <c r="DA15" s="139">
        <f>CZ15*100/$E$15</f>
        <v/>
      </c>
      <c r="DB15" s="133" t="n"/>
      <c r="DC15" s="139">
        <f>DB15*100/$E$15</f>
        <v/>
      </c>
      <c r="DD15" s="133" t="n"/>
      <c r="DE15" s="139">
        <f>DD15*100/$E$15</f>
        <v/>
      </c>
      <c r="DF15" s="133" t="n"/>
      <c r="DG15" s="139">
        <f>DF15*100/$E$15</f>
        <v/>
      </c>
      <c r="DH15" s="133" t="n"/>
      <c r="DI15" s="139">
        <f>DH15*100/$E$15</f>
        <v/>
      </c>
      <c r="DJ15" s="133" t="n"/>
      <c r="DK15" s="139">
        <f>DJ15*100/$E$15</f>
        <v/>
      </c>
      <c r="DL15" s="133" t="n"/>
      <c r="DM15" s="139">
        <f>DL15*100/$E$15</f>
        <v/>
      </c>
      <c r="DN15" s="133" t="n"/>
      <c r="DO15" s="139">
        <f>DN15*100/$E$15</f>
        <v/>
      </c>
      <c r="DP15" s="133" t="n"/>
      <c r="DQ15" s="139">
        <f>DP15*100/$E$15</f>
        <v/>
      </c>
      <c r="DR15" s="133" t="n"/>
      <c r="DS15" s="139">
        <f>DR15*100/$E$15</f>
        <v/>
      </c>
      <c r="DT15" s="133" t="n"/>
      <c r="DU15" s="139">
        <f>DT15*100/$E$15</f>
        <v/>
      </c>
      <c r="DV15" s="133" t="n"/>
      <c r="DW15" s="139">
        <f>DV15*100/$E$15</f>
        <v/>
      </c>
      <c r="DX15" s="133" t="n"/>
      <c r="DY15" s="139">
        <f>DX15*100/$E$15</f>
        <v/>
      </c>
      <c r="DZ15" s="133" t="n"/>
      <c r="EA15" s="139">
        <f>DZ15*100/$E$15</f>
        <v/>
      </c>
      <c r="EB15" s="133" t="n"/>
      <c r="EC15" s="139">
        <f>EB15*100/$E$15</f>
        <v/>
      </c>
      <c r="ED15" s="133" t="n"/>
      <c r="EE15" s="139">
        <f>ED15*100/$E$15</f>
        <v/>
      </c>
      <c r="EF15" s="133" t="n"/>
      <c r="EG15" s="139">
        <f>EF15*100/$E$15</f>
        <v/>
      </c>
      <c r="EH15" s="133" t="n"/>
      <c r="EI15" s="139">
        <f>EH15*100/$E$15</f>
        <v/>
      </c>
      <c r="EJ15" s="133" t="n"/>
      <c r="EK15" s="139">
        <f>EJ15*100/$E$15</f>
        <v/>
      </c>
      <c r="EL15" s="133" t="n"/>
      <c r="EM15" s="139">
        <f>EL15*100/$E$15</f>
        <v/>
      </c>
      <c r="EN15" s="133" t="n"/>
      <c r="EO15" s="139">
        <f>EN15*100/$E$15</f>
        <v/>
      </c>
      <c r="EP15" s="133" t="n"/>
      <c r="EQ15" s="139">
        <f>EP15*100/$E$15</f>
        <v/>
      </c>
      <c r="ER15" s="133" t="n"/>
      <c r="ES15" s="139">
        <f>ER15*100/$E$15</f>
        <v/>
      </c>
      <c r="ET15" s="133" t="n"/>
      <c r="EU15" s="139">
        <f>ET15*100/$E$15</f>
        <v/>
      </c>
      <c r="EV15" s="133" t="n"/>
      <c r="EW15" s="139">
        <f>EV15*100/$E$15</f>
        <v/>
      </c>
      <c r="EX15" s="133" t="n"/>
      <c r="EY15" s="139">
        <f>EX15*100/$E$15</f>
        <v/>
      </c>
      <c r="EZ15" s="133" t="n"/>
      <c r="FA15" s="139">
        <f>EZ15*100/$E$15</f>
        <v/>
      </c>
      <c r="FB15" s="133" t="n"/>
      <c r="FC15" s="139">
        <f>FB15*100/$E$15</f>
        <v/>
      </c>
      <c r="FD15" s="133" t="n"/>
      <c r="FE15" s="139">
        <f>FD15*100/$E$15</f>
        <v/>
      </c>
      <c r="FF15" s="133" t="n"/>
      <c r="FG15" s="139">
        <f>FF15*100/$E$15</f>
        <v/>
      </c>
      <c r="FH15" s="133" t="n"/>
      <c r="FI15" s="139">
        <f>FH15*100/$E$15</f>
        <v/>
      </c>
      <c r="FJ15" s="133" t="n"/>
      <c r="FK15" s="139">
        <f>FJ15*100/$E$15</f>
        <v/>
      </c>
      <c r="FL15" s="133" t="n"/>
      <c r="FM15" s="139">
        <f>FL15*100/$E$15</f>
        <v/>
      </c>
      <c r="FN15" s="133" t="n"/>
      <c r="FO15" s="139">
        <f>FN15*100/$E$15</f>
        <v/>
      </c>
      <c r="FP15" s="133" t="n"/>
      <c r="FQ15" s="139">
        <f>FP15*100/$E$15</f>
        <v/>
      </c>
      <c r="FR15" s="133" t="n"/>
      <c r="FS15" s="139">
        <f>FR15*100/$E$15</f>
        <v/>
      </c>
      <c r="FT15" s="133" t="n"/>
      <c r="FU15" s="139">
        <f>FT15*100/$E$15</f>
        <v/>
      </c>
      <c r="FV15" s="133" t="n"/>
      <c r="FW15" s="139">
        <f>FV15*100/$E$15</f>
        <v/>
      </c>
      <c r="FX15" s="133" t="n"/>
      <c r="FY15" s="140">
        <f>FX15*100/$E$15</f>
        <v/>
      </c>
      <c r="FZ15" s="133" t="n"/>
      <c r="GA15" s="140">
        <f>FZ15*100/$E$15</f>
        <v/>
      </c>
      <c r="GB15" s="133" t="n"/>
      <c r="GC15" s="140">
        <f>GB15*100/$E$15</f>
        <v/>
      </c>
      <c r="GD15" s="133" t="n"/>
      <c r="GE15" s="140">
        <f>GD15*100/$E$15</f>
        <v/>
      </c>
      <c r="GF15" s="133" t="n"/>
      <c r="GG15" s="140">
        <f>GF15*100/$E$15</f>
        <v/>
      </c>
      <c r="GH15" s="133" t="n"/>
      <c r="GI15" s="140">
        <f>GH15*100/$E$15</f>
        <v/>
      </c>
      <c r="GJ15" s="133" t="n"/>
      <c r="GK15" s="139">
        <f>GJ15*100/$E$15</f>
        <v/>
      </c>
      <c r="GL15" s="133" t="n"/>
      <c r="GM15" s="140">
        <f>GL15*100/$E$15</f>
        <v/>
      </c>
      <c r="GN15" s="133" t="n"/>
      <c r="GO15" s="139">
        <f>GN15*100/$E$15</f>
        <v/>
      </c>
      <c r="GP15" s="133" t="n"/>
      <c r="GQ15" s="140">
        <f>GP15*100/$E$15</f>
        <v/>
      </c>
      <c r="GR15" s="133" t="n"/>
      <c r="GS15" s="139">
        <f>GR15*100/$E$15</f>
        <v/>
      </c>
      <c r="GT15" s="133" t="n"/>
      <c r="GU15" s="139">
        <f>GT15*100/$E$15</f>
        <v/>
      </c>
      <c r="GV15" s="133" t="n"/>
      <c r="GW15" s="139">
        <f>GV15*100/$E$15</f>
        <v/>
      </c>
      <c r="GX15" s="133" t="n"/>
      <c r="GY15" s="140">
        <f>GX15*100/$E$15</f>
        <v/>
      </c>
      <c r="GZ15" s="133" t="n"/>
      <c r="HA15" s="140">
        <f>GZ15*100/$E$15</f>
        <v/>
      </c>
      <c r="HB15" s="133" t="n"/>
      <c r="HC15" s="140">
        <f>HB15*100/$E$15</f>
        <v/>
      </c>
      <c r="HD15" s="133" t="n"/>
      <c r="HE15" s="140">
        <f>HD15*100/$E$15</f>
        <v/>
      </c>
      <c r="HF15" s="133" t="n"/>
      <c r="HG15" s="140">
        <f>HF15*100/$E$15</f>
        <v/>
      </c>
      <c r="HH15" s="133" t="n"/>
      <c r="HI15" s="140">
        <f>HH15*100/$E$15</f>
        <v/>
      </c>
      <c r="HJ15" s="133" t="n"/>
      <c r="HK15" s="140">
        <f>HJ15*100/$E$15</f>
        <v/>
      </c>
      <c r="HL15" s="133" t="n"/>
      <c r="HM15" s="140">
        <f>HL15*100/$E$15</f>
        <v/>
      </c>
      <c r="HN15" s="133" t="n"/>
      <c r="HO15" s="140">
        <f>HN15*100/$E$15</f>
        <v/>
      </c>
      <c r="HP15" s="133" t="n"/>
      <c r="HQ15" s="140">
        <f>HP15*100/$E$15</f>
        <v/>
      </c>
      <c r="HR15" s="133" t="n"/>
      <c r="HS15" s="140">
        <f>HR15*100/$E$15</f>
        <v/>
      </c>
      <c r="HT15" s="133" t="n"/>
      <c r="HU15" s="140">
        <f>HT15*100/$E$15</f>
        <v/>
      </c>
      <c r="HV15" s="133" t="n"/>
      <c r="HW15" s="140">
        <f>HV15*100/$E$15</f>
        <v/>
      </c>
      <c r="HX15" s="133" t="n"/>
      <c r="HY15" s="140">
        <f>HX15*100/$E$15</f>
        <v/>
      </c>
      <c r="HZ15" s="133" t="n"/>
      <c r="IA15" s="139">
        <f>HZ15*100/$E$15</f>
        <v/>
      </c>
      <c r="IB15" s="133" t="n"/>
      <c r="IC15" s="139">
        <f>IB15*100/$E$15</f>
        <v/>
      </c>
      <c r="ID15" s="133" t="n"/>
      <c r="IE15" s="139">
        <f>ID15*100/$E$15</f>
        <v/>
      </c>
      <c r="IF15" s="133" t="n"/>
      <c r="IG15" s="139">
        <f>IF15*100/$E$15</f>
        <v/>
      </c>
      <c r="IH15" s="133" t="n"/>
      <c r="II15" s="139">
        <f>IH15*100/$E$15</f>
        <v/>
      </c>
      <c r="IJ15" s="133" t="n"/>
      <c r="IK15" s="139">
        <f>IJ15*100/$E$15</f>
        <v/>
      </c>
      <c r="IL15" s="133" t="n"/>
      <c r="IM15" s="140">
        <f>IL15*100/E15</f>
        <v/>
      </c>
      <c r="IN15" s="133" t="n"/>
      <c r="IO15" s="140">
        <f>IN15*100/$E$15</f>
        <v/>
      </c>
      <c r="IP15" s="133" t="n"/>
      <c r="IQ15" s="139">
        <f>IP15*100/$E$15</f>
        <v/>
      </c>
      <c r="IR15" s="133" t="n"/>
      <c r="IS15" s="139">
        <f>IR15*100/$E$15</f>
        <v/>
      </c>
      <c r="IT15" s="133" t="n"/>
      <c r="IU15" s="139">
        <f>IT15*100/$E$15</f>
        <v/>
      </c>
      <c r="IV15" s="133" t="n"/>
      <c r="IW15" s="139">
        <f>IV15*100/$E$15</f>
        <v/>
      </c>
      <c r="IX15" s="133" t="n"/>
      <c r="IY15" s="139">
        <f>IX15*100/$E$15</f>
        <v/>
      </c>
      <c r="IZ15" s="133" t="n"/>
      <c r="JA15" s="139">
        <f>IZ15*100/$E$15</f>
        <v/>
      </c>
      <c r="JB15" s="133" t="n"/>
      <c r="JC15" s="139">
        <f>JB15*100/$E$15</f>
        <v/>
      </c>
      <c r="JD15" s="133" t="n"/>
      <c r="JE15" s="139">
        <f>JD15*100/$E$15</f>
        <v/>
      </c>
      <c r="JF15" s="133" t="n"/>
      <c r="JG15" s="139">
        <f>JF15*100/$E$15</f>
        <v/>
      </c>
      <c r="JH15" s="133" t="n"/>
      <c r="JI15" s="139">
        <f>JH15*100/$E$15</f>
        <v/>
      </c>
      <c r="JJ15" s="133" t="n"/>
      <c r="JK15" s="139">
        <f>JJ15*100/$E$15</f>
        <v/>
      </c>
      <c r="JL15" s="133">
        <f>12+4+12+6+6+6+2+6+4+4</f>
        <v/>
      </c>
      <c r="JM15" s="139">
        <f>JL15*100/$E$15</f>
        <v/>
      </c>
      <c r="JN15" s="133" t="n"/>
      <c r="JO15" s="139">
        <f>JN15*100/$E$15</f>
        <v/>
      </c>
      <c r="JP15" s="133" t="n"/>
      <c r="JQ15" s="139">
        <f>JP15*100/$E$15</f>
        <v/>
      </c>
      <c r="JR15" s="133" t="n"/>
      <c r="JS15" s="139">
        <f>JR15*100/$E$15</f>
        <v/>
      </c>
      <c r="JT15" s="133" t="n"/>
      <c r="JU15" s="139">
        <f>JT15*100/$E$15</f>
        <v/>
      </c>
      <c r="JV15" s="133" t="n"/>
      <c r="JW15" s="139">
        <f>JV15*100/$E$15</f>
        <v/>
      </c>
      <c r="JX15" s="133" t="n"/>
      <c r="JY15" s="139">
        <f>JX15*100/$E$15</f>
        <v/>
      </c>
      <c r="JZ15" s="183">
        <f>JN15+JP15+JR15+JT15+JV15+JX15</f>
        <v/>
      </c>
      <c r="KA15" s="184">
        <f>JO15+JQ15+JS15+JU15+JW15+JY15</f>
        <v/>
      </c>
      <c r="KB15" s="185">
        <f>H15+J15+L15+N15+P15+R15+T15+V15+X15+Z15+AB15+AD15+AF15+AH15+AJ15+AL15+AN15+AP15+AR15+AT15+AV15+AX15+AZ15+BB15+BD15+BF15+BH15+BJ15+BL15+BN15+BP15+BR15+BT15+BV15+BX15+BZ15+CB15+CD15+CF15+CH15+CZ15+DB15+DD15+DF15+DH15+DJ15+DL15+DN15+DP15+DR15+DT15+DV15+DX15+DZ15+EB15+ED15+EF15+EH15+EJ15+EL15+EN15+EP15+ER15+ET15+EV15+FN15+FP15+FR15+FT15+FV15+FX15+FZ15+GB15+GD15+GF15+GH15+GJ15+GL15+GN15+GP15+GR15+GT15+GV15+GX15+GZ15+HB15+HD15+HF15+HH15+HJ15+HL15+HN15+HP15+HR15+HT15+HV15+HX15+HZ15+IB15+ID15+IF15+IH15+IJ15+IL15+IN15+IP15+IR15+IT15+IV15+IX15+IZ15+JB15+JD15+JF15+JH15+JJ15+JL15+JZ15+CJ15+CL15+CN15+CP15+CR15+CT15+CV15+CX15+EX15+EZ15+FB15+FD15+FF15+FH15+FJ15+FL15</f>
        <v/>
      </c>
      <c r="KC15" s="186">
        <f>I15+K15+M15+O15+Q15+S15+U15+W15+Y15+AA15+AC15+AE15+AG15+AI15+AK15+AM15+AO15+AQ15+AS15+AU15+AW15+AY15+BA15+BC15+BE15+BG15+BI15+BK15+BM15+BO15+BQ15+BS15+BU15+BW15+BY15+CA15+CC15+CE15+CG15+CI15+DA15+DC15+DE15+DG15+DI15+DK15+DM15+DO15+DQ15+DS15+DU15+DW15+DY15+EA15+EC15+EE15+EG15+EI15+EK15+EM15+EO15+EQ15+ES15+EU15+EW15+FO15+FS15+FU15+FW15+FQ15+FY15+GA15+GC15+GE15+GG15+GI15+GK15+GM15+GO15+GQ15+GS15+GU15+GW15+GY15+HA15+HC15+HE15+HG15+HI15+HK15+HM15+HO15+HQ15+HS15+HU15+HW15+HY15+IA15+IC15+IE15+IG15+II15+IK15+IM15+IO15+IQ15+IS15+IU15+IW15+IY15+JA15+JC15+JE15+JG15+JI15+JK15+JM15+KA15+CK15+CM15+CO15+CQ15+CS15+CU15+CW15+CY15+EY15+FA15+FC15+FE15+FG15+FI15+FK15+FM15</f>
        <v/>
      </c>
      <c r="KD15" s="187">
        <f>JO15+JQ15+JS15+JU15+JW15+JY15</f>
        <v/>
      </c>
      <c r="KE15" s="188">
        <f>KB15=E15</f>
        <v/>
      </c>
      <c r="KF15" s="189">
        <f>E15-KB15</f>
        <v/>
      </c>
      <c r="KG15" s="230" t="n"/>
    </row>
    <row r="16" ht="21.75" customFormat="1" customHeight="1" s="233">
      <c r="A16" s="126">
        <f>A15+1</f>
        <v/>
      </c>
      <c r="B16" s="175" t="inlineStr">
        <is>
          <t>Демин С.С.</t>
        </is>
      </c>
      <c r="C16" s="176" t="inlineStr">
        <is>
          <t>слесарь МСР</t>
        </is>
      </c>
      <c r="D16" s="177">
        <f>$D$5</f>
        <v/>
      </c>
      <c r="E16" s="202" t="n">
        <v>159</v>
      </c>
      <c r="F16" s="190" t="n">
        <v>75793.14999999999</v>
      </c>
      <c r="G16" s="179">
        <f>F16/D16</f>
        <v/>
      </c>
      <c r="H16" s="180" t="n"/>
      <c r="I16" s="140">
        <f>H16*100/$E$16</f>
        <v/>
      </c>
      <c r="J16" s="133" t="n"/>
      <c r="K16" s="140">
        <f>J16*100/$E$16</f>
        <v/>
      </c>
      <c r="L16" s="133" t="n"/>
      <c r="M16" s="140">
        <f>L16*100/$E$16</f>
        <v/>
      </c>
      <c r="N16" s="133" t="n"/>
      <c r="O16" s="140">
        <f>N16*100/$E$16</f>
        <v/>
      </c>
      <c r="P16" s="133" t="n"/>
      <c r="Q16" s="139">
        <f>P16*100/$E$16</f>
        <v/>
      </c>
      <c r="R16" s="133" t="n"/>
      <c r="S16" s="139">
        <f>R16*100/$E$16</f>
        <v/>
      </c>
      <c r="T16" s="133" t="n"/>
      <c r="U16" s="140">
        <f>T16*100/$E$16</f>
        <v/>
      </c>
      <c r="V16" s="133" t="n"/>
      <c r="W16" s="140">
        <f>V16*100/$E$16</f>
        <v/>
      </c>
      <c r="X16" s="133" t="n"/>
      <c r="Y16" s="140">
        <f>X16*100/$E$16</f>
        <v/>
      </c>
      <c r="Z16" s="133" t="n"/>
      <c r="AA16" s="140">
        <f>Z16*100/$E$16</f>
        <v/>
      </c>
      <c r="AB16" s="133" t="n"/>
      <c r="AC16" s="140">
        <f>AB16*100/$E$16</f>
        <v/>
      </c>
      <c r="AD16" s="133" t="n"/>
      <c r="AE16" s="139">
        <f>AD16*100/$E$16</f>
        <v/>
      </c>
      <c r="AF16" s="133" t="n"/>
      <c r="AG16" s="139">
        <f>AF16*100/$E$16</f>
        <v/>
      </c>
      <c r="AH16" s="133" t="n"/>
      <c r="AI16" s="140">
        <f>AH16*100/$E$16</f>
        <v/>
      </c>
      <c r="AJ16" s="133" t="n"/>
      <c r="AK16" s="140">
        <f>AJ16*100/$E$16</f>
        <v/>
      </c>
      <c r="AL16" s="133" t="n"/>
      <c r="AM16" s="139">
        <f>AL16*100/$E$16</f>
        <v/>
      </c>
      <c r="AN16" s="133" t="n"/>
      <c r="AO16" s="140">
        <f>AN16*100/$E$16</f>
        <v/>
      </c>
      <c r="AP16" s="133" t="n"/>
      <c r="AQ16" s="140">
        <f>AP16*100/$E$16</f>
        <v/>
      </c>
      <c r="AR16" s="133" t="n"/>
      <c r="AS16" s="140">
        <f>AR16*100/$E$16</f>
        <v/>
      </c>
      <c r="AT16" s="133" t="n"/>
      <c r="AU16" s="181">
        <f>AT16*100/$E$16</f>
        <v/>
      </c>
      <c r="AV16" s="133" t="n">
        <v>8</v>
      </c>
      <c r="AW16" s="140">
        <f>AV16*100/$E$16</f>
        <v/>
      </c>
      <c r="AX16" s="133" t="n"/>
      <c r="AY16" s="140">
        <f>AX16*100/$E$16</f>
        <v/>
      </c>
      <c r="AZ16" s="133" t="n"/>
      <c r="BA16" s="140">
        <f>AZ16*100/$E$16</f>
        <v/>
      </c>
      <c r="BB16" s="133" t="n"/>
      <c r="BC16" s="140">
        <f>BB16*100/$E$16</f>
        <v/>
      </c>
      <c r="BD16" s="133" t="n"/>
      <c r="BE16" s="140">
        <f>BD16*100/$E$16</f>
        <v/>
      </c>
      <c r="BF16" s="133" t="n"/>
      <c r="BG16" s="140">
        <f>BF16*100/$E$16</f>
        <v/>
      </c>
      <c r="BH16" s="133" t="n"/>
      <c r="BI16" s="140">
        <f>BH16*100/$E$16</f>
        <v/>
      </c>
      <c r="BJ16" s="133" t="n"/>
      <c r="BK16" s="140">
        <f>BJ16*100/$E$16</f>
        <v/>
      </c>
      <c r="BL16" s="133" t="n"/>
      <c r="BM16" s="140">
        <f>BL16*100/$E$16</f>
        <v/>
      </c>
      <c r="BN16" s="133" t="n"/>
      <c r="BO16" s="140">
        <f>BN16*100/$E$16</f>
        <v/>
      </c>
      <c r="BP16" s="133" t="n"/>
      <c r="BQ16" s="140">
        <f>BP16*100/$E$16</f>
        <v/>
      </c>
      <c r="BR16" s="133" t="n"/>
      <c r="BS16" s="140">
        <f>BR16*100/$E$16</f>
        <v/>
      </c>
      <c r="BT16" s="133" t="n"/>
      <c r="BU16" s="140">
        <f>BT16*100/$E$16</f>
        <v/>
      </c>
      <c r="BV16" s="133" t="n"/>
      <c r="BW16" s="140">
        <f>BV16*100/$E$16</f>
        <v/>
      </c>
      <c r="BX16" s="133" t="n"/>
      <c r="BY16" s="140">
        <f>BX16*100/$E$16</f>
        <v/>
      </c>
      <c r="BZ16" s="133" t="n"/>
      <c r="CA16" s="140">
        <f>BZ16*100/$E$16</f>
        <v/>
      </c>
      <c r="CB16" s="133" t="n"/>
      <c r="CC16" s="140">
        <f>CB16*100/$E$16</f>
        <v/>
      </c>
      <c r="CD16" s="133" t="n"/>
      <c r="CE16" s="140">
        <f>CD16*100/$E$16</f>
        <v/>
      </c>
      <c r="CF16" s="133" t="n"/>
      <c r="CG16" s="140">
        <f>CF16*100/$E$16</f>
        <v/>
      </c>
      <c r="CH16" s="133" t="n"/>
      <c r="CI16" s="140">
        <f>CH16*100/$E$16</f>
        <v/>
      </c>
      <c r="CJ16" s="133" t="n">
        <v>6</v>
      </c>
      <c r="CK16" s="140">
        <f>CJ16*100/$E$16</f>
        <v/>
      </c>
      <c r="CL16" s="133" t="n"/>
      <c r="CM16" s="140">
        <f>CL16*100/$E$16</f>
        <v/>
      </c>
      <c r="CN16" s="133" t="n"/>
      <c r="CO16" s="139">
        <f>CN16*100/$E$16</f>
        <v/>
      </c>
      <c r="CP16" s="133" t="n"/>
      <c r="CQ16" s="140">
        <f>CP16*100/$E$16</f>
        <v/>
      </c>
      <c r="CR16" s="133" t="n"/>
      <c r="CS16" s="139">
        <f>CR16*100/$E$16</f>
        <v/>
      </c>
      <c r="CT16" s="133" t="n"/>
      <c r="CU16" s="139">
        <f>CT16*100/$E$16</f>
        <v/>
      </c>
      <c r="CV16" s="133" t="n"/>
      <c r="CW16" s="139">
        <f>CV16*100/$E$16</f>
        <v/>
      </c>
      <c r="CX16" s="133" t="n"/>
      <c r="CY16" s="139">
        <f>CX16*100/$E$16</f>
        <v/>
      </c>
      <c r="CZ16" s="133" t="n"/>
      <c r="DA16" s="139">
        <f>CZ16*100/$E$16</f>
        <v/>
      </c>
      <c r="DB16" s="133" t="n"/>
      <c r="DC16" s="139">
        <f>DB16*100/$E$16</f>
        <v/>
      </c>
      <c r="DD16" s="133" t="n"/>
      <c r="DE16" s="139">
        <f>DD16*100/$E$16</f>
        <v/>
      </c>
      <c r="DF16" s="133" t="n"/>
      <c r="DG16" s="139">
        <f>DF16*100/$E$16</f>
        <v/>
      </c>
      <c r="DH16" s="133" t="n"/>
      <c r="DI16" s="139">
        <f>DH16*100/$E$16</f>
        <v/>
      </c>
      <c r="DJ16" s="133" t="n"/>
      <c r="DK16" s="139">
        <f>DJ16*100/$E$16</f>
        <v/>
      </c>
      <c r="DL16" s="133" t="n">
        <v>8</v>
      </c>
      <c r="DM16" s="139">
        <f>DL16*100/$E$16</f>
        <v/>
      </c>
      <c r="DN16" s="133" t="n"/>
      <c r="DO16" s="139">
        <f>DN16*100/$E$16</f>
        <v/>
      </c>
      <c r="DP16" s="133" t="n"/>
      <c r="DQ16" s="139">
        <f>DP16*100/$E$16</f>
        <v/>
      </c>
      <c r="DR16" s="133" t="n"/>
      <c r="DS16" s="139">
        <f>DR16*100/$E$16</f>
        <v/>
      </c>
      <c r="DT16" s="133" t="n"/>
      <c r="DU16" s="139">
        <f>DT16*100/$E$16</f>
        <v/>
      </c>
      <c r="DV16" s="133" t="n"/>
      <c r="DW16" s="139">
        <f>DV16*100/$E$16</f>
        <v/>
      </c>
      <c r="DX16" s="133" t="n"/>
      <c r="DY16" s="139">
        <f>DX16*100/$E$16</f>
        <v/>
      </c>
      <c r="DZ16" s="133" t="n"/>
      <c r="EA16" s="139">
        <f>DZ16*100/$E$16</f>
        <v/>
      </c>
      <c r="EB16" s="133" t="n"/>
      <c r="EC16" s="139">
        <f>EB16*100/$E$16</f>
        <v/>
      </c>
      <c r="ED16" s="133" t="n"/>
      <c r="EE16" s="139">
        <f>ED16*100/$E$16</f>
        <v/>
      </c>
      <c r="EF16" s="133" t="n"/>
      <c r="EG16" s="139">
        <f>EF16*100/$E$16</f>
        <v/>
      </c>
      <c r="EH16" s="133" t="n"/>
      <c r="EI16" s="139">
        <f>EH16*100/$E$16</f>
        <v/>
      </c>
      <c r="EJ16" s="133" t="n"/>
      <c r="EK16" s="139">
        <f>EJ16*100/$E$16</f>
        <v/>
      </c>
      <c r="EL16" s="133" t="n"/>
      <c r="EM16" s="139">
        <f>EL16*100/$E$16</f>
        <v/>
      </c>
      <c r="EN16" s="133" t="n"/>
      <c r="EO16" s="139">
        <f>EN16*100/$E$16</f>
        <v/>
      </c>
      <c r="EP16" s="133" t="n"/>
      <c r="EQ16" s="139">
        <f>EP16*100/$E$16</f>
        <v/>
      </c>
      <c r="ER16" s="133" t="n"/>
      <c r="ES16" s="139">
        <f>ER16*100/$E$16</f>
        <v/>
      </c>
      <c r="ET16" s="133" t="n"/>
      <c r="EU16" s="139">
        <f>ET16*100/$E$16</f>
        <v/>
      </c>
      <c r="EV16" s="133" t="n"/>
      <c r="EW16" s="139">
        <f>EV16*100/$E$16</f>
        <v/>
      </c>
      <c r="EX16" s="133" t="n"/>
      <c r="EY16" s="139">
        <f>EX16*100/$E$16</f>
        <v/>
      </c>
      <c r="EZ16" s="133" t="n"/>
      <c r="FA16" s="139">
        <f>EZ16*100/$E$16</f>
        <v/>
      </c>
      <c r="FB16" s="133" t="n"/>
      <c r="FC16" s="139">
        <f>FB16*100/$E$16</f>
        <v/>
      </c>
      <c r="FD16" s="133" t="n"/>
      <c r="FE16" s="139">
        <f>FD16*100/$E$16</f>
        <v/>
      </c>
      <c r="FF16" s="133">
        <f>4+7</f>
        <v/>
      </c>
      <c r="FG16" s="139">
        <f>FF16*100/$E$16</f>
        <v/>
      </c>
      <c r="FH16" s="133">
        <f>8+8+4</f>
        <v/>
      </c>
      <c r="FI16" s="139">
        <f>FH16*100/$E$16</f>
        <v/>
      </c>
      <c r="FJ16" s="133">
        <f>8+8+8</f>
        <v/>
      </c>
      <c r="FK16" s="139">
        <f>FJ16*100/$E$16</f>
        <v/>
      </c>
      <c r="FL16" s="133" t="n"/>
      <c r="FM16" s="139">
        <f>FL16*100/$E$16</f>
        <v/>
      </c>
      <c r="FN16" s="133" t="n"/>
      <c r="FO16" s="139">
        <f>FN16*100/$E$16</f>
        <v/>
      </c>
      <c r="FP16" s="133" t="n"/>
      <c r="FQ16" s="139">
        <f>FP16*100/$E$16</f>
        <v/>
      </c>
      <c r="FR16" s="133" t="n"/>
      <c r="FS16" s="139">
        <f>FR16*100/$E$16</f>
        <v/>
      </c>
      <c r="FT16" s="133" t="n"/>
      <c r="FU16" s="139">
        <f>FT16*100/$E$16</f>
        <v/>
      </c>
      <c r="FV16" s="133" t="n"/>
      <c r="FW16" s="139">
        <f>FV16*100/$E$16</f>
        <v/>
      </c>
      <c r="FX16" s="133" t="n"/>
      <c r="FY16" s="140">
        <f>FX16*100/$E$16</f>
        <v/>
      </c>
      <c r="FZ16" s="133" t="n"/>
      <c r="GA16" s="140">
        <f>FZ16*100/$E$16</f>
        <v/>
      </c>
      <c r="GB16" s="133" t="n"/>
      <c r="GC16" s="140">
        <f>GB16*100/$E$16</f>
        <v/>
      </c>
      <c r="GD16" s="133" t="n"/>
      <c r="GE16" s="140">
        <f>GD16*100/$E$16</f>
        <v/>
      </c>
      <c r="GF16" s="133" t="n"/>
      <c r="GG16" s="140">
        <f>GF16*100/$E$16</f>
        <v/>
      </c>
      <c r="GH16" s="133" t="n"/>
      <c r="GI16" s="140">
        <f>GH16*100/$E$16</f>
        <v/>
      </c>
      <c r="GJ16" s="133" t="n"/>
      <c r="GK16" s="139">
        <f>GJ16*100/$E$16</f>
        <v/>
      </c>
      <c r="GL16" s="133" t="n"/>
      <c r="GM16" s="140">
        <f>GL16*100/$E$16</f>
        <v/>
      </c>
      <c r="GN16" s="133" t="n"/>
      <c r="GO16" s="139">
        <f>GN16*100/$E$16</f>
        <v/>
      </c>
      <c r="GP16" s="133" t="n"/>
      <c r="GQ16" s="140">
        <f>GP16*100/$E$16</f>
        <v/>
      </c>
      <c r="GR16" s="133" t="n"/>
      <c r="GS16" s="139">
        <f>GR16*100/$E$16</f>
        <v/>
      </c>
      <c r="GT16" s="133" t="n"/>
      <c r="GU16" s="139">
        <f>GT16*100/$E$16</f>
        <v/>
      </c>
      <c r="GV16" s="133" t="n"/>
      <c r="GW16" s="139">
        <f>GV16*100/$E$16</f>
        <v/>
      </c>
      <c r="GX16" s="133" t="n"/>
      <c r="GY16" s="140">
        <f>GX16*100/$E$16</f>
        <v/>
      </c>
      <c r="GZ16" s="133" t="n"/>
      <c r="HA16" s="140">
        <f>GZ16*100/$E$16</f>
        <v/>
      </c>
      <c r="HB16" s="133" t="n"/>
      <c r="HC16" s="140">
        <f>HB16*100/$E$16</f>
        <v/>
      </c>
      <c r="HD16" s="133" t="n"/>
      <c r="HE16" s="140">
        <f>HD16*100/$E$16</f>
        <v/>
      </c>
      <c r="HF16" s="133" t="n"/>
      <c r="HG16" s="140">
        <f>HF16*100/$E$16</f>
        <v/>
      </c>
      <c r="HH16" s="133" t="n"/>
      <c r="HI16" s="140">
        <f>HH16*100/$E$16</f>
        <v/>
      </c>
      <c r="HJ16" s="133" t="n"/>
      <c r="HK16" s="140">
        <f>HJ16*100/$E$16</f>
        <v/>
      </c>
      <c r="HL16" s="133" t="n"/>
      <c r="HM16" s="140">
        <f>HL16*100/$E$16</f>
        <v/>
      </c>
      <c r="HN16" s="133" t="n"/>
      <c r="HO16" s="140">
        <f>HN16*100/$E$16</f>
        <v/>
      </c>
      <c r="HP16" s="133" t="n"/>
      <c r="HQ16" s="140">
        <f>HP16*100/$E$16</f>
        <v/>
      </c>
      <c r="HR16" s="133" t="n"/>
      <c r="HS16" s="140">
        <f>HR16*100/$E$16</f>
        <v/>
      </c>
      <c r="HT16" s="133" t="n"/>
      <c r="HU16" s="140">
        <f>HT16*100/$E$16</f>
        <v/>
      </c>
      <c r="HV16" s="133" t="n"/>
      <c r="HW16" s="140">
        <f>HV16*100/$E$16</f>
        <v/>
      </c>
      <c r="HX16" s="133" t="n"/>
      <c r="HY16" s="140">
        <f>HX16*100/$E$16</f>
        <v/>
      </c>
      <c r="HZ16" s="133" t="n"/>
      <c r="IA16" s="139">
        <f>HZ16*100/$E$16</f>
        <v/>
      </c>
      <c r="IB16" s="133" t="n"/>
      <c r="IC16" s="139">
        <f>IB16*100/$E$16</f>
        <v/>
      </c>
      <c r="ID16" s="133" t="n"/>
      <c r="IE16" s="139">
        <f>ID16*100/$E$16</f>
        <v/>
      </c>
      <c r="IF16" s="133" t="n"/>
      <c r="IG16" s="139">
        <f>IF16*100/$E$16</f>
        <v/>
      </c>
      <c r="IH16" s="133" t="n"/>
      <c r="II16" s="139">
        <f>IH16*100/$E$16</f>
        <v/>
      </c>
      <c r="IJ16" s="133" t="n"/>
      <c r="IK16" s="139">
        <f>IJ16*100/$E$16</f>
        <v/>
      </c>
      <c r="IL16" s="133" t="n"/>
      <c r="IM16" s="140">
        <f>IL16*100/$E$16</f>
        <v/>
      </c>
      <c r="IN16" s="133" t="n"/>
      <c r="IO16" s="140">
        <f>IN16*100/$E$16</f>
        <v/>
      </c>
      <c r="IP16" s="133" t="n"/>
      <c r="IQ16" s="139">
        <f>IP16*100/$E$16</f>
        <v/>
      </c>
      <c r="IR16" s="133" t="n"/>
      <c r="IS16" s="139">
        <f>IR16*100/$E$16</f>
        <v/>
      </c>
      <c r="IT16" s="133" t="n"/>
      <c r="IU16" s="139">
        <f>IT16*100/$E$16</f>
        <v/>
      </c>
      <c r="IV16" s="133" t="n"/>
      <c r="IW16" s="139">
        <f>IV16*100/$E$16</f>
        <v/>
      </c>
      <c r="IX16" s="133" t="n"/>
      <c r="IY16" s="139">
        <f>IX16*100/$E$16</f>
        <v/>
      </c>
      <c r="IZ16" s="133" t="n"/>
      <c r="JA16" s="139">
        <f>IZ16*100/$E$16</f>
        <v/>
      </c>
      <c r="JB16" s="133" t="n"/>
      <c r="JC16" s="139">
        <f>JB16*100/$E$16</f>
        <v/>
      </c>
      <c r="JD16" s="133" t="n"/>
      <c r="JE16" s="139">
        <f>JD16*100/$E$16</f>
        <v/>
      </c>
      <c r="JF16" s="133" t="n"/>
      <c r="JG16" s="139">
        <f>JF16*100/$E$16</f>
        <v/>
      </c>
      <c r="JH16" s="133" t="n"/>
      <c r="JI16" s="139">
        <f>JH16*100/$E$16</f>
        <v/>
      </c>
      <c r="JJ16" s="133" t="n"/>
      <c r="JK16" s="139">
        <f>JJ16*100/$E$16</f>
        <v/>
      </c>
      <c r="JL16" s="133" t="n">
        <v>4</v>
      </c>
      <c r="JM16" s="139">
        <f>JL16*100/$E$16</f>
        <v/>
      </c>
      <c r="JN16" s="133" t="n">
        <v>60</v>
      </c>
      <c r="JO16" s="139">
        <f>JN16*100/$E$16</f>
        <v/>
      </c>
      <c r="JP16" s="133" t="n"/>
      <c r="JQ16" s="139">
        <f>JP16*100/$E$16</f>
        <v/>
      </c>
      <c r="JR16" s="133">
        <f>8+8+2</f>
        <v/>
      </c>
      <c r="JS16" s="139">
        <f>JR16*100/$E$16</f>
        <v/>
      </c>
      <c r="JT16" s="133" t="n"/>
      <c r="JU16" s="139">
        <f>JT16*100/$E$16</f>
        <v/>
      </c>
      <c r="JV16" s="133" t="n"/>
      <c r="JW16" s="139">
        <f>JV16*100/$E$16</f>
        <v/>
      </c>
      <c r="JX16" s="133" t="n"/>
      <c r="JY16" s="139">
        <f>JX16*100/$E$16</f>
        <v/>
      </c>
      <c r="JZ16" s="183">
        <f>JN16+JP16+JR16+JT16+JV16+JX16</f>
        <v/>
      </c>
      <c r="KA16" s="184">
        <f>JO16+JQ16+JS16+JU16+JW16+JY16</f>
        <v/>
      </c>
      <c r="KB16" s="185">
        <f>H16+J16+L16+N16+P16+R16+T16+V16+X16+Z16+AB16+AD16+AF16+AH16+AJ16+AL16+AN16+AP16+AR16+AT16+AV16+AX16+AZ16+BB16+BD16+BF16+BH16+BJ16+BL16+BN16+BP16+BR16+BT16+BV16+BX16+BZ16+CB16+CD16+CF16+CH16+CZ16+DB16+DD16+DF16+DH16+DJ16+DL16+DN16+DP16+DR16+DT16+DV16+DX16+DZ16+EB16+ED16+EF16+EH16+EJ16+EL16+EN16+EP16+ER16+ET16+EV16+FN16+FP16+FR16+FT16+FV16+FX16+FZ16+GB16+GD16+GF16+GH16+GJ16+GL16+GN16+GP16+GR16+GT16+GV16+GX16+GZ16+HB16+HD16+HF16+HH16+HJ16+HL16+HN16+HP16+HR16+HT16+HV16+HX16+HZ16+IB16+ID16+IF16+IH16+IJ16+IL16+IN16+IP16+IR16+IT16+IV16+IX16+IZ16+JB16+JD16+JF16+JH16+JJ16+JL16+JZ16+CJ16+CL16+CN16+CP16+CR16+CT16+CV16+CX16+EX16+EZ16+FB16+FD16+FF16+FH16+FJ16+FL16</f>
        <v/>
      </c>
      <c r="KC16" s="186">
        <f>I16+K16+M16+O16+Q16+S16+U16+W16+Y16+AA16+AC16+AE16+AG16+AI16+AK16+AM16+AO16+AQ16+AS16+AU16+AW16+AY16+BA16+BC16+BE16+BG16+BI16+BK16+BM16+BO16+BQ16+BS16+BU16+BW16+BY16+CA16+CC16+CE16+CG16+CI16+DA16+DC16+DE16+DG16+DI16+DK16+DM16+DO16+DQ16+DS16+DU16+DW16+DY16+EA16+EC16+EE16+EG16+EI16+EK16+EM16+EO16+EQ16+ES16+EU16+EW16+FO16+FS16+FU16+FW16+FQ16+FY16+GA16+GC16+GE16+GG16+GI16+GK16+GM16+GO16+GQ16+GS16+GU16+GW16+GY16+HA16+HC16+HE16+HG16+HI16+HK16+HM16+HO16+HQ16+HS16+HU16+HW16+HY16+IA16+IC16+IE16+IG16+II16+IK16+IM16+IO16+IQ16+IS16+IU16+IW16+IY16+JA16+JC16+JE16+JG16+JI16+JK16+JM16+KA16+CK16+CM16+CO16+CQ16+CS16+CU16+CW16+CY16+EY16+FA16+FC16+FE16+FG16+FI16+FK16+FM16</f>
        <v/>
      </c>
      <c r="KD16" s="187">
        <f>JO16+JQ16+JS16+JU16+JW16+JY16</f>
        <v/>
      </c>
      <c r="KE16" s="188">
        <f>KB16=E16</f>
        <v/>
      </c>
      <c r="KF16" s="189">
        <f>E16-KB16</f>
        <v/>
      </c>
      <c r="KG16" s="230" t="n"/>
    </row>
    <row r="17" ht="21.75" customFormat="1" customHeight="1" s="230">
      <c r="A17" s="126">
        <f>A16+1</f>
        <v/>
      </c>
      <c r="B17" s="175" t="inlineStr">
        <is>
          <t>Евстратов Е.В.</t>
        </is>
      </c>
      <c r="C17" s="176" t="inlineStr">
        <is>
          <t>слесарь</t>
        </is>
      </c>
      <c r="D17" s="177">
        <f>$D$5</f>
        <v/>
      </c>
      <c r="E17" s="202" t="n">
        <v>180</v>
      </c>
      <c r="F17" s="190" t="n">
        <v>75793.14999999999</v>
      </c>
      <c r="G17" s="179">
        <f>F17/D17</f>
        <v/>
      </c>
      <c r="H17" s="180" t="n">
        <v>12</v>
      </c>
      <c r="I17" s="140">
        <f>H17*100/$E$17</f>
        <v/>
      </c>
      <c r="J17" s="133" t="n"/>
      <c r="K17" s="140">
        <f>J17*100/$E$17</f>
        <v/>
      </c>
      <c r="L17" s="133" t="n"/>
      <c r="M17" s="140">
        <f>L17*100/$E$17</f>
        <v/>
      </c>
      <c r="N17" s="133" t="n"/>
      <c r="O17" s="140">
        <f>N17*100/$E$17</f>
        <v/>
      </c>
      <c r="P17" s="133" t="n"/>
      <c r="Q17" s="139">
        <f>P17*100/$E$17</f>
        <v/>
      </c>
      <c r="R17" s="133" t="n"/>
      <c r="S17" s="139">
        <f>R17*100/$E$17</f>
        <v/>
      </c>
      <c r="T17" s="133" t="n"/>
      <c r="U17" s="140">
        <f>T17*100/$E$17</f>
        <v/>
      </c>
      <c r="V17" s="133" t="n"/>
      <c r="W17" s="140">
        <f>V17*100/$E$17</f>
        <v/>
      </c>
      <c r="X17" s="133" t="n"/>
      <c r="Y17" s="140">
        <f>X17*100/$E$17</f>
        <v/>
      </c>
      <c r="Z17" s="133" t="n"/>
      <c r="AA17" s="140">
        <f>Z17*100/$E$17</f>
        <v/>
      </c>
      <c r="AB17" s="133" t="n"/>
      <c r="AC17" s="140">
        <f>AB17*100/$E$17</f>
        <v/>
      </c>
      <c r="AD17" s="133" t="n">
        <v>3</v>
      </c>
      <c r="AE17" s="139">
        <f>AD17*100/$E$17</f>
        <v/>
      </c>
      <c r="AF17" s="133" t="n"/>
      <c r="AG17" s="139">
        <f>AF17*100/$E$17</f>
        <v/>
      </c>
      <c r="AH17" s="133" t="n">
        <v>1</v>
      </c>
      <c r="AI17" s="140">
        <f>AH17*100/$E$17</f>
        <v/>
      </c>
      <c r="AJ17" s="133" t="n"/>
      <c r="AK17" s="140">
        <f>AJ17*100/$E$17</f>
        <v/>
      </c>
      <c r="AL17" s="133" t="n"/>
      <c r="AM17" s="140">
        <f>AL17*100/$E$17</f>
        <v/>
      </c>
      <c r="AN17" s="133" t="n"/>
      <c r="AO17" s="140">
        <f>AN17*100/$E$17</f>
        <v/>
      </c>
      <c r="AP17" s="133" t="n"/>
      <c r="AQ17" s="140">
        <f>AP17*100/$E$17</f>
        <v/>
      </c>
      <c r="AR17" s="133" t="n"/>
      <c r="AS17" s="140">
        <f>AR17*100/$E$17</f>
        <v/>
      </c>
      <c r="AT17" s="133" t="n">
        <v>6</v>
      </c>
      <c r="AU17" s="181">
        <f>AT17*100/$E$17</f>
        <v/>
      </c>
      <c r="AV17" s="133" t="n"/>
      <c r="AW17" s="140">
        <f>AV17*100/$E$17</f>
        <v/>
      </c>
      <c r="AX17" s="133" t="n">
        <v>9</v>
      </c>
      <c r="AY17" s="140">
        <f>AX17*100/$E$17</f>
        <v/>
      </c>
      <c r="AZ17" s="133" t="n"/>
      <c r="BA17" s="140">
        <f>AZ17*100/$E$17</f>
        <v/>
      </c>
      <c r="BB17" s="133" t="n"/>
      <c r="BC17" s="140">
        <f>BB17*100/$E$17</f>
        <v/>
      </c>
      <c r="BD17" s="133" t="n"/>
      <c r="BE17" s="140">
        <f>BD17*100/$E$17</f>
        <v/>
      </c>
      <c r="BF17" s="133" t="n"/>
      <c r="BG17" s="140">
        <f>BF17*100/$E$17</f>
        <v/>
      </c>
      <c r="BH17" s="133" t="n"/>
      <c r="BI17" s="140">
        <f>BH17*100/$E$17</f>
        <v/>
      </c>
      <c r="BJ17" s="133" t="n"/>
      <c r="BK17" s="140">
        <f>BJ17*100/$E$17</f>
        <v/>
      </c>
      <c r="BL17" s="133" t="n"/>
      <c r="BM17" s="140">
        <f>BL17*100/$E$17</f>
        <v/>
      </c>
      <c r="BN17" s="133" t="n"/>
      <c r="BO17" s="140">
        <f>BN17*100/$E$17</f>
        <v/>
      </c>
      <c r="BP17" s="133" t="n"/>
      <c r="BQ17" s="140">
        <f>BP17*100/$E$17</f>
        <v/>
      </c>
      <c r="BR17" s="133" t="n"/>
      <c r="BS17" s="140">
        <f>BR17*100/$E$17</f>
        <v/>
      </c>
      <c r="BT17" s="133" t="n"/>
      <c r="BU17" s="140">
        <f>BT17*100/$E$17</f>
        <v/>
      </c>
      <c r="BV17" s="133">
        <f>12+5+7+12+12+12+11</f>
        <v/>
      </c>
      <c r="BW17" s="140">
        <f>BV17*100/$E$17</f>
        <v/>
      </c>
      <c r="BX17" s="133">
        <f>1+1</f>
        <v/>
      </c>
      <c r="BY17" s="140">
        <f>BX17*100/$E$17</f>
        <v/>
      </c>
      <c r="BZ17" s="133" t="n"/>
      <c r="CA17" s="140">
        <f>BZ17*100/$E$17</f>
        <v/>
      </c>
      <c r="CB17" s="133" t="n"/>
      <c r="CC17" s="140">
        <f>CB17*100/$E$17</f>
        <v/>
      </c>
      <c r="CD17" s="133" t="n"/>
      <c r="CE17" s="140">
        <f>CD17*100/$E$17</f>
        <v/>
      </c>
      <c r="CF17" s="133" t="n"/>
      <c r="CG17" s="140">
        <f>CF17*100/$E$17</f>
        <v/>
      </c>
      <c r="CH17" s="133" t="n"/>
      <c r="CI17" s="140">
        <f>CH17*100/$E$17</f>
        <v/>
      </c>
      <c r="CJ17" s="133" t="n"/>
      <c r="CK17" s="140">
        <f>CJ17*100/$E$17</f>
        <v/>
      </c>
      <c r="CL17" s="133" t="n"/>
      <c r="CM17" s="140">
        <f>CL17*100/$E$17</f>
        <v/>
      </c>
      <c r="CN17" s="133">
        <f>4+9</f>
        <v/>
      </c>
      <c r="CO17" s="139">
        <f>CN17*100/$E$17</f>
        <v/>
      </c>
      <c r="CP17" s="133" t="n">
        <v>8</v>
      </c>
      <c r="CQ17" s="140">
        <f>CP17*100/$E$17</f>
        <v/>
      </c>
      <c r="CR17" s="133" t="n"/>
      <c r="CS17" s="139">
        <f>CR17*100/$E$17</f>
        <v/>
      </c>
      <c r="CT17" s="133" t="n">
        <v>6</v>
      </c>
      <c r="CU17" s="139">
        <f>CT17*100/$E$17</f>
        <v/>
      </c>
      <c r="CV17" s="133">
        <f>12+3</f>
        <v/>
      </c>
      <c r="CW17" s="139">
        <f>CV17*100/$E$17</f>
        <v/>
      </c>
      <c r="CX17" s="133" t="n"/>
      <c r="CY17" s="139">
        <f>CX17*100/$E$17</f>
        <v/>
      </c>
      <c r="CZ17" s="133" t="n"/>
      <c r="DA17" s="139">
        <f>CZ17*100/$E$17</f>
        <v/>
      </c>
      <c r="DB17" s="133" t="n"/>
      <c r="DC17" s="139">
        <f>DB17*100/$E$17</f>
        <v/>
      </c>
      <c r="DD17" s="133">
        <f>5+5</f>
        <v/>
      </c>
      <c r="DE17" s="139">
        <f>DD17*100/$E$17</f>
        <v/>
      </c>
      <c r="DF17" s="133" t="n">
        <v>2</v>
      </c>
      <c r="DG17" s="139">
        <f>DF17*100/$E$17</f>
        <v/>
      </c>
      <c r="DH17" s="133" t="n">
        <v>2</v>
      </c>
      <c r="DI17" s="139">
        <f>DH17*100/$E$17</f>
        <v/>
      </c>
      <c r="DJ17" s="133" t="n"/>
      <c r="DK17" s="139">
        <f>DJ17*100/$E$17</f>
        <v/>
      </c>
      <c r="DL17" s="133" t="n"/>
      <c r="DM17" s="139">
        <f>DL17*100/$E$17</f>
        <v/>
      </c>
      <c r="DN17" s="133" t="n"/>
      <c r="DO17" s="139">
        <f>DN17*100/$E$17</f>
        <v/>
      </c>
      <c r="DP17" s="133" t="n"/>
      <c r="DQ17" s="139">
        <f>DP17*100/$E$17</f>
        <v/>
      </c>
      <c r="DR17" s="133" t="n"/>
      <c r="DS17" s="139">
        <f>DR17*100/$E$17</f>
        <v/>
      </c>
      <c r="DT17" s="133" t="n"/>
      <c r="DU17" s="139">
        <f>DT17*100/$E$17</f>
        <v/>
      </c>
      <c r="DV17" s="133" t="n"/>
      <c r="DW17" s="139">
        <f>DV17*100/$E$17</f>
        <v/>
      </c>
      <c r="DX17" s="133" t="n"/>
      <c r="DY17" s="139">
        <f>DX17*100/$E$17</f>
        <v/>
      </c>
      <c r="DZ17" s="133" t="n"/>
      <c r="EA17" s="139">
        <f>DZ17*100/$E$17</f>
        <v/>
      </c>
      <c r="EB17" s="133" t="n"/>
      <c r="EC17" s="139">
        <f>EB17*100/$E$17</f>
        <v/>
      </c>
      <c r="ED17" s="133" t="n"/>
      <c r="EE17" s="139">
        <f>ED17*100/$E$17</f>
        <v/>
      </c>
      <c r="EF17" s="133" t="n"/>
      <c r="EG17" s="139">
        <f>EF17*100/$E$17</f>
        <v/>
      </c>
      <c r="EH17" s="133" t="n"/>
      <c r="EI17" s="139">
        <f>EH17*100/$E$17</f>
        <v/>
      </c>
      <c r="EJ17" s="133" t="n"/>
      <c r="EK17" s="139">
        <f>EJ17*100/$E$17</f>
        <v/>
      </c>
      <c r="EL17" s="133" t="n"/>
      <c r="EM17" s="139">
        <f>EL17*100/$E$17</f>
        <v/>
      </c>
      <c r="EN17" s="133" t="n"/>
      <c r="EO17" s="139">
        <f>EN17*100/$E$17</f>
        <v/>
      </c>
      <c r="EP17" s="133" t="n"/>
      <c r="EQ17" s="139">
        <f>EP17*100/$E$17</f>
        <v/>
      </c>
      <c r="ER17" s="133" t="n"/>
      <c r="ES17" s="139">
        <f>ER17*100/$E$17</f>
        <v/>
      </c>
      <c r="ET17" s="133" t="n"/>
      <c r="EU17" s="139">
        <f>ET17*100/$E$17</f>
        <v/>
      </c>
      <c r="EV17" s="133" t="n"/>
      <c r="EW17" s="139">
        <f>EV17*100/$E$17</f>
        <v/>
      </c>
      <c r="EX17" s="133" t="n"/>
      <c r="EY17" s="139">
        <f>EX17*100/$E$17</f>
        <v/>
      </c>
      <c r="EZ17" s="133" t="n"/>
      <c r="FA17" s="139">
        <f>EZ17*100/$E$17</f>
        <v/>
      </c>
      <c r="FB17" s="133" t="n"/>
      <c r="FC17" s="139">
        <f>FB17*100/$E$17</f>
        <v/>
      </c>
      <c r="FD17" s="133" t="n"/>
      <c r="FE17" s="139">
        <f>FD17*100/$E$17</f>
        <v/>
      </c>
      <c r="FF17" s="133" t="n"/>
      <c r="FG17" s="139">
        <f>FF17*100/$E$17</f>
        <v/>
      </c>
      <c r="FH17" s="133" t="n"/>
      <c r="FI17" s="139">
        <f>FH17*100/$E$17</f>
        <v/>
      </c>
      <c r="FJ17" s="133" t="n"/>
      <c r="FK17" s="139">
        <f>FJ17*100/$E$17</f>
        <v/>
      </c>
      <c r="FL17" s="133" t="n"/>
      <c r="FM17" s="139">
        <f>FL17*100/$E$17</f>
        <v/>
      </c>
      <c r="FN17" s="133" t="n"/>
      <c r="FO17" s="139">
        <f>FN17*100/$E$17</f>
        <v/>
      </c>
      <c r="FP17" s="133" t="n"/>
      <c r="FQ17" s="139">
        <f>FP17*100/$E$17</f>
        <v/>
      </c>
      <c r="FR17" s="133" t="n"/>
      <c r="FS17" s="139">
        <f>FR17*100/$E$17</f>
        <v/>
      </c>
      <c r="FT17" s="133" t="n"/>
      <c r="FU17" s="139">
        <f>FT17*100/$E$17</f>
        <v/>
      </c>
      <c r="FV17" s="133" t="n"/>
      <c r="FW17" s="139">
        <f>FV17*100/$E$17</f>
        <v/>
      </c>
      <c r="FX17" s="133" t="n"/>
      <c r="FY17" s="140">
        <f>FX17*100/$E$17</f>
        <v/>
      </c>
      <c r="FZ17" s="133" t="n"/>
      <c r="GA17" s="140">
        <f>FZ17*100/$E$17</f>
        <v/>
      </c>
      <c r="GB17" s="133" t="n"/>
      <c r="GC17" s="140">
        <f>GB17*100/$E$17</f>
        <v/>
      </c>
      <c r="GD17" s="133" t="n"/>
      <c r="GE17" s="140">
        <f>GD17*100/$E$17</f>
        <v/>
      </c>
      <c r="GF17" s="133" t="n"/>
      <c r="GG17" s="140">
        <f>GF17*100/$E$17</f>
        <v/>
      </c>
      <c r="GH17" s="133" t="n"/>
      <c r="GI17" s="140">
        <f>GH17*100/$E$17</f>
        <v/>
      </c>
      <c r="GJ17" s="133" t="n"/>
      <c r="GK17" s="139">
        <f>GJ17*100/$E$17</f>
        <v/>
      </c>
      <c r="GL17" s="133" t="n"/>
      <c r="GM17" s="140">
        <f>GL17*100/$E$17</f>
        <v/>
      </c>
      <c r="GN17" s="133" t="n"/>
      <c r="GO17" s="139">
        <f>GN17*100/$E$17</f>
        <v/>
      </c>
      <c r="GP17" s="133" t="n"/>
      <c r="GQ17" s="140">
        <f>GP17*100/$E$17</f>
        <v/>
      </c>
      <c r="GR17" s="133" t="n"/>
      <c r="GS17" s="139">
        <f>GR17*100/$E$17</f>
        <v/>
      </c>
      <c r="GT17" s="133" t="n"/>
      <c r="GU17" s="139">
        <f>GT17*100/$E$17</f>
        <v/>
      </c>
      <c r="GV17" s="133" t="n"/>
      <c r="GW17" s="139">
        <f>GV17*100/$E$17</f>
        <v/>
      </c>
      <c r="GX17" s="133" t="n"/>
      <c r="GY17" s="140">
        <f>GX17*100/$E$17</f>
        <v/>
      </c>
      <c r="GZ17" s="133" t="n"/>
      <c r="HA17" s="140">
        <f>GZ17*100/$E$17</f>
        <v/>
      </c>
      <c r="HB17" s="133" t="n"/>
      <c r="HC17" s="140">
        <f>HB17*100/$E$17</f>
        <v/>
      </c>
      <c r="HD17" s="133" t="n"/>
      <c r="HE17" s="140">
        <f>HD17*100/$E$17</f>
        <v/>
      </c>
      <c r="HF17" s="133" t="n"/>
      <c r="HG17" s="140">
        <f>HF17*100/$E$17</f>
        <v/>
      </c>
      <c r="HH17" s="133" t="n"/>
      <c r="HI17" s="140">
        <f>HH17*100/$E$17</f>
        <v/>
      </c>
      <c r="HJ17" s="133" t="n"/>
      <c r="HK17" s="140">
        <f>HJ17*100/$E$17</f>
        <v/>
      </c>
      <c r="HL17" s="133" t="n"/>
      <c r="HM17" s="140">
        <f>HL17*100/$E$17</f>
        <v/>
      </c>
      <c r="HN17" s="133" t="n"/>
      <c r="HO17" s="140">
        <f>HN17*100/$E$17</f>
        <v/>
      </c>
      <c r="HP17" s="133" t="n"/>
      <c r="HQ17" s="140">
        <f>HP17*100/$E$17</f>
        <v/>
      </c>
      <c r="HR17" s="133" t="n"/>
      <c r="HS17" s="140">
        <f>HR17*100/$E$17</f>
        <v/>
      </c>
      <c r="HT17" s="133" t="n"/>
      <c r="HU17" s="140">
        <f>HT17*100/$E$17</f>
        <v/>
      </c>
      <c r="HV17" s="133" t="n"/>
      <c r="HW17" s="140">
        <f>HV17*100/$E$17</f>
        <v/>
      </c>
      <c r="HX17" s="133" t="n"/>
      <c r="HY17" s="140">
        <f>HX17*100/$E$17</f>
        <v/>
      </c>
      <c r="HZ17" s="133" t="n"/>
      <c r="IA17" s="139">
        <f>HZ17*100/$E$17</f>
        <v/>
      </c>
      <c r="IB17" s="133" t="n"/>
      <c r="IC17" s="139">
        <f>IB17*100/$E$17</f>
        <v/>
      </c>
      <c r="ID17" s="133" t="n"/>
      <c r="IE17" s="139">
        <f>ID17*100/$E$17</f>
        <v/>
      </c>
      <c r="IF17" s="133" t="n"/>
      <c r="IG17" s="139">
        <f>IF17*100/$E$17</f>
        <v/>
      </c>
      <c r="IH17" s="133" t="n"/>
      <c r="II17" s="139">
        <f>IH17*100/$E$17</f>
        <v/>
      </c>
      <c r="IJ17" s="133" t="n"/>
      <c r="IK17" s="139">
        <f>IJ17*100/$E$17</f>
        <v/>
      </c>
      <c r="IL17" s="133" t="n"/>
      <c r="IM17" s="140">
        <f>IL17*100/$E$17</f>
        <v/>
      </c>
      <c r="IN17" s="133" t="n"/>
      <c r="IO17" s="140">
        <f>IN17*100/$E$17</f>
        <v/>
      </c>
      <c r="IP17" s="133" t="n"/>
      <c r="IQ17" s="139">
        <f>IP17*100/$E$17</f>
        <v/>
      </c>
      <c r="IR17" s="133" t="n"/>
      <c r="IS17" s="139">
        <f>IR17*100/$E$17</f>
        <v/>
      </c>
      <c r="IT17" s="133" t="n"/>
      <c r="IU17" s="139">
        <f>IT17*100/$E$17</f>
        <v/>
      </c>
      <c r="IV17" s="133" t="n"/>
      <c r="IW17" s="139">
        <f>IV17*100/$E$17</f>
        <v/>
      </c>
      <c r="IX17" s="133" t="n"/>
      <c r="IY17" s="139">
        <f>IX17*100/$E$17</f>
        <v/>
      </c>
      <c r="IZ17" s="133" t="n"/>
      <c r="JA17" s="139">
        <f>IZ17*100/$E$17</f>
        <v/>
      </c>
      <c r="JB17" s="133" t="n"/>
      <c r="JC17" s="139">
        <f>JB17*100/$E$17</f>
        <v/>
      </c>
      <c r="JD17" s="133" t="n"/>
      <c r="JE17" s="139">
        <f>JD17*100/$E$17</f>
        <v/>
      </c>
      <c r="JF17" s="133" t="n"/>
      <c r="JG17" s="139">
        <f>JF17*100/$E$17</f>
        <v/>
      </c>
      <c r="JH17" s="133" t="n">
        <v>8</v>
      </c>
      <c r="JI17" s="139">
        <f>JH17*100/$E$17</f>
        <v/>
      </c>
      <c r="JJ17" s="133" t="n"/>
      <c r="JK17" s="139">
        <f>JJ17*100/$E$17</f>
        <v/>
      </c>
      <c r="JL17" s="133" t="n">
        <v>12</v>
      </c>
      <c r="JM17" s="139">
        <f>JL17*100/$E$17</f>
        <v/>
      </c>
      <c r="JN17" s="133" t="n"/>
      <c r="JO17" s="139">
        <f>JN17*100/$E$17</f>
        <v/>
      </c>
      <c r="JP17" s="133" t="n"/>
      <c r="JQ17" s="139">
        <f>JP17*100/$E$17</f>
        <v/>
      </c>
      <c r="JR17" s="133" t="n"/>
      <c r="JS17" s="139">
        <f>JR17*100/$E$17</f>
        <v/>
      </c>
      <c r="JT17" s="133" t="n"/>
      <c r="JU17" s="139">
        <f>JT17*100/$E$17</f>
        <v/>
      </c>
      <c r="JV17" s="133" t="n"/>
      <c r="JW17" s="139">
        <f>JV17*100/$E$17</f>
        <v/>
      </c>
      <c r="JX17" s="133" t="n"/>
      <c r="JY17" s="139">
        <f>JX17*100/$E$17</f>
        <v/>
      </c>
      <c r="JZ17" s="183">
        <f>JN17+JP17+JR17+JT17+JV17+JX17</f>
        <v/>
      </c>
      <c r="KA17" s="184">
        <f>JO17+JQ17+JS17+JU17+JW17+JY17</f>
        <v/>
      </c>
      <c r="KB17" s="185">
        <f>H17+J17+L17+N17+P17+R17+T17+V17+X17+Z17+AB17+AD17+AF17+AH17+AJ17+AL17+AN17+AP17+AR17+AT17+AV17+AX17+AZ17+BB17+BD17+BF17+BH17+BJ17+BL17+BN17+BP17+BR17+BT17+BV17+BX17+BZ17+CB17+CD17+CF17+CH17+CZ17+DB17+DD17+DF17+DH17+DJ17+DL17+DN17+DP17+DR17+DT17+DV17+DX17+DZ17+EB17+ED17+EF17+EH17+EJ17+EL17+EN17+EP17+ER17+ET17+EV17+FN17+FP17+FR17+FT17+FV17+FX17+FZ17+GB17+GD17+GF17+GH17+GJ17+GL17+GN17+GP17+GR17+GT17+GV17+GX17+GZ17+HB17+HD17+HF17+HH17+HJ17+HL17+HN17+HP17+HR17+HT17+HV17+HX17+HZ17+IB17+ID17+IF17+IH17+IJ17+IL17+IN17+IP17+IR17+IT17+IV17+IX17+IZ17+JB17+JD17+JF17+JH17+JJ17+JL17+JZ17+CJ17+CL17+CN17+CP17+CR17+CT17+CV17+CX17+EX17+EZ17+FB17+FD17+FF17+FH17+FJ17+FL17</f>
        <v/>
      </c>
      <c r="KC17" s="186">
        <f>I17+K17+M17+O17+Q17+S17+U17+W17+Y17+AA17+AC17+AE17+AG17+AI17+AK17+AM17+AO17+AQ17+AS17+AU17+AW17+AY17+BA17+BC17+BE17+BG17+BI17+BK17+BM17+BO17+BQ17+BS17+BU17+BW17+BY17+CA17+CC17+CE17+CG17+CI17+DA17+DC17+DE17+DG17+DI17+DK17+DM17+DO17+DQ17+DS17+DU17+DW17+DY17+EA17+EC17+EE17+EG17+EI17+EK17+EM17+EO17+EQ17+ES17+EU17+EW17+FO17+FS17+FU17+FW17+FQ17+FY17+GA17+GC17+GE17+GG17+GI17+GK17+GM17+GO17+GQ17+GS17+GU17+GW17+GY17+HA17+HC17+HE17+HG17+HI17+HK17+HM17+HO17+HQ17+HS17+HU17+HW17+HY17+IA17+IC17+IE17+IG17+II17+IK17+IM17+IO17+IQ17+IS17+IU17+IW17+IY17+JA17+JC17+JE17+JG17+JI17+JK17+JM17+KA17+CK17+CM17+CO17+CQ17+CS17+CU17+CW17+CY17+EY17+FA17+FC17+FE17+FG17+FI17+FK17+FM17</f>
        <v/>
      </c>
      <c r="KD17" s="187">
        <f>JO17+JQ17+JS17+JU17+JW17+JY17</f>
        <v/>
      </c>
      <c r="KE17" s="188">
        <f>KB17=E17</f>
        <v/>
      </c>
      <c r="KF17" s="189">
        <f>E17-KB17</f>
        <v/>
      </c>
      <c r="KG17" s="215" t="n"/>
    </row>
    <row r="18" ht="21.75" customFormat="1" customHeight="1" s="231">
      <c r="A18" s="126">
        <f>A17+1</f>
        <v/>
      </c>
      <c r="B18" s="175" t="inlineStr">
        <is>
          <t>Еналов А.Д.</t>
        </is>
      </c>
      <c r="C18" s="176" t="inlineStr">
        <is>
          <t>слесарь</t>
        </is>
      </c>
      <c r="D18" s="177">
        <f>$D$5</f>
        <v/>
      </c>
      <c r="E18" s="202" t="n">
        <v>159</v>
      </c>
      <c r="F18" s="191" t="n">
        <v>75793.14999999999</v>
      </c>
      <c r="G18" s="179">
        <f>F18/D18</f>
        <v/>
      </c>
      <c r="H18" s="180" t="n"/>
      <c r="I18" s="140">
        <f>H18*100/$E$18</f>
        <v/>
      </c>
      <c r="J18" s="133" t="n"/>
      <c r="K18" s="140">
        <f>J18*100/$E$18</f>
        <v/>
      </c>
      <c r="L18" s="133" t="n"/>
      <c r="M18" s="140">
        <f>L18*100/$E$18</f>
        <v/>
      </c>
      <c r="N18" s="133" t="n"/>
      <c r="O18" s="140">
        <f>N18*100/$E$18</f>
        <v/>
      </c>
      <c r="P18" s="133" t="n"/>
      <c r="Q18" s="139">
        <f>P18*100/$E$18</f>
        <v/>
      </c>
      <c r="R18" s="133" t="n"/>
      <c r="S18" s="139">
        <f>R18*100/$E$18</f>
        <v/>
      </c>
      <c r="T18" s="133" t="n"/>
      <c r="U18" s="139">
        <f>T18*100/$E$18</f>
        <v/>
      </c>
      <c r="V18" s="133" t="n"/>
      <c r="W18" s="139">
        <f>V18*100/$E$18</f>
        <v/>
      </c>
      <c r="X18" s="133" t="n"/>
      <c r="Y18" s="139">
        <f>X18*100/$E$18</f>
        <v/>
      </c>
      <c r="Z18" s="133" t="n"/>
      <c r="AA18" s="139">
        <f>Z18*100/$E$18</f>
        <v/>
      </c>
      <c r="AB18" s="133" t="n"/>
      <c r="AC18" s="139">
        <f>AB18*100/$E$18</f>
        <v/>
      </c>
      <c r="AD18" s="133" t="n"/>
      <c r="AE18" s="139">
        <f>AD18*100/$E$18</f>
        <v/>
      </c>
      <c r="AF18" s="133" t="n"/>
      <c r="AG18" s="139">
        <f>AF18*100/$E$18</f>
        <v/>
      </c>
      <c r="AH18" s="133" t="n"/>
      <c r="AI18" s="139">
        <f>AH18*100/$E$18</f>
        <v/>
      </c>
      <c r="AJ18" s="133" t="n"/>
      <c r="AK18" s="139">
        <f>AJ18*100/$E$18</f>
        <v/>
      </c>
      <c r="AL18" s="133" t="n"/>
      <c r="AM18" s="139">
        <f>AL18*100/$E$18</f>
        <v/>
      </c>
      <c r="AN18" s="133" t="n"/>
      <c r="AO18" s="139">
        <f>AN18*100/$E$18</f>
        <v/>
      </c>
      <c r="AP18" s="133" t="n"/>
      <c r="AQ18" s="139">
        <f>AP18*100/$E$18</f>
        <v/>
      </c>
      <c r="AR18" s="133" t="n"/>
      <c r="AS18" s="139">
        <f>AR18*100/$E$18</f>
        <v/>
      </c>
      <c r="AT18" s="133" t="n"/>
      <c r="AU18" s="181">
        <f>AT18*100/$E$18</f>
        <v/>
      </c>
      <c r="AV18" s="133">
        <f>8+8+8+8+8+8+8+8+8+5+8+8+8+7</f>
        <v/>
      </c>
      <c r="AW18" s="139">
        <f>AV18*100/$E$18</f>
        <v/>
      </c>
      <c r="AX18" s="133" t="n"/>
      <c r="AY18" s="139">
        <f>AX18*100/$E$18</f>
        <v/>
      </c>
      <c r="AZ18" s="133" t="n"/>
      <c r="BA18" s="139">
        <f>AZ18*100/$E$18</f>
        <v/>
      </c>
      <c r="BB18" s="133" t="n"/>
      <c r="BC18" s="139">
        <f>BB18*100/$E$18</f>
        <v/>
      </c>
      <c r="BD18" s="133" t="n"/>
      <c r="BE18" s="139">
        <f>BD18*100/$E$18</f>
        <v/>
      </c>
      <c r="BF18" s="133" t="n"/>
      <c r="BG18" s="139">
        <f>BF18*100/$E$18</f>
        <v/>
      </c>
      <c r="BH18" s="133" t="n"/>
      <c r="BI18" s="139">
        <f>BH18*100/$E$18</f>
        <v/>
      </c>
      <c r="BJ18" s="133" t="n"/>
      <c r="BK18" s="139">
        <f>BJ18*100/$E$18</f>
        <v/>
      </c>
      <c r="BL18" s="133" t="n"/>
      <c r="BM18" s="139">
        <f>BL18*100/$E$18</f>
        <v/>
      </c>
      <c r="BN18" s="133" t="n"/>
      <c r="BO18" s="139">
        <f>BN18*100/$E$18</f>
        <v/>
      </c>
      <c r="BP18" s="133" t="n"/>
      <c r="BQ18" s="139">
        <f>BP18*100/$E$18</f>
        <v/>
      </c>
      <c r="BR18" s="133" t="n"/>
      <c r="BS18" s="139">
        <f>BR18*100/$E$18</f>
        <v/>
      </c>
      <c r="BT18" s="133" t="n"/>
      <c r="BU18" s="139">
        <f>BT18*100/$E$18</f>
        <v/>
      </c>
      <c r="BV18" s="133" t="n"/>
      <c r="BW18" s="139">
        <f>BV18*100/$E$18</f>
        <v/>
      </c>
      <c r="BX18" s="133" t="n"/>
      <c r="BY18" s="139">
        <f>BX18*100/$E$18</f>
        <v/>
      </c>
      <c r="BZ18" s="133" t="n"/>
      <c r="CA18" s="139">
        <f>BZ18*100/$E$18</f>
        <v/>
      </c>
      <c r="CB18" s="133" t="n"/>
      <c r="CC18" s="139">
        <f>CB18*100/$E$18</f>
        <v/>
      </c>
      <c r="CD18" s="133" t="n"/>
      <c r="CE18" s="139">
        <f>CD18*100/$E$18</f>
        <v/>
      </c>
      <c r="CF18" s="133" t="n"/>
      <c r="CG18" s="139">
        <f>CF18*100/$E$18</f>
        <v/>
      </c>
      <c r="CH18" s="133" t="n"/>
      <c r="CI18" s="139">
        <f>CH18*100/$E$18</f>
        <v/>
      </c>
      <c r="CJ18" s="133">
        <f>4+8</f>
        <v/>
      </c>
      <c r="CK18" s="139">
        <f>CJ18*100/$E$18</f>
        <v/>
      </c>
      <c r="CL18" s="133" t="n"/>
      <c r="CM18" s="139">
        <f>CL18*100/$E$18</f>
        <v/>
      </c>
      <c r="CN18" s="133" t="n"/>
      <c r="CO18" s="139">
        <f>CN18*100/$E$18</f>
        <v/>
      </c>
      <c r="CP18" s="133" t="n"/>
      <c r="CQ18" s="139">
        <f>CP18*100/$E$18</f>
        <v/>
      </c>
      <c r="CR18" s="133" t="n"/>
      <c r="CS18" s="139">
        <f>CR18*100/$E$18</f>
        <v/>
      </c>
      <c r="CT18" s="133" t="n"/>
      <c r="CU18" s="139">
        <f>CT18*100/$E$18</f>
        <v/>
      </c>
      <c r="CV18" s="133" t="n"/>
      <c r="CW18" s="139">
        <f>CV18*100/$E$18</f>
        <v/>
      </c>
      <c r="CX18" s="133" t="n"/>
      <c r="CY18" s="139">
        <f>CX18*100/$E$18</f>
        <v/>
      </c>
      <c r="CZ18" s="133" t="n"/>
      <c r="DA18" s="139">
        <f>CZ18*100/$E$18</f>
        <v/>
      </c>
      <c r="DB18" s="133" t="n"/>
      <c r="DC18" s="139">
        <f>DB18*100/$E$18</f>
        <v/>
      </c>
      <c r="DD18" s="133" t="n"/>
      <c r="DE18" s="139">
        <f>DD18*100/$E$18</f>
        <v/>
      </c>
      <c r="DF18" s="133" t="n"/>
      <c r="DG18" s="139">
        <f>DF18*100/$E$18</f>
        <v/>
      </c>
      <c r="DH18" s="133" t="n"/>
      <c r="DI18" s="139">
        <f>DH18*100/$E$18</f>
        <v/>
      </c>
      <c r="DJ18" s="133" t="n"/>
      <c r="DK18" s="139">
        <f>DJ18*100/$E$18</f>
        <v/>
      </c>
      <c r="DL18" s="133" t="n">
        <v>3</v>
      </c>
      <c r="DM18" s="139">
        <f>DL18*100/$E$18</f>
        <v/>
      </c>
      <c r="DN18" s="133" t="n"/>
      <c r="DO18" s="139">
        <f>DN18*100/$E$18</f>
        <v/>
      </c>
      <c r="DP18" s="133" t="n"/>
      <c r="DQ18" s="139">
        <f>DP18*100/$E$18</f>
        <v/>
      </c>
      <c r="DR18" s="133" t="n"/>
      <c r="DS18" s="139">
        <f>DR18*100/$E$18</f>
        <v/>
      </c>
      <c r="DT18" s="133" t="n"/>
      <c r="DU18" s="139">
        <f>DT18*100/$E$18</f>
        <v/>
      </c>
      <c r="DV18" s="133" t="n"/>
      <c r="DW18" s="139">
        <f>DV18*100/$E$18</f>
        <v/>
      </c>
      <c r="DX18" s="133" t="n"/>
      <c r="DY18" s="139">
        <f>DX18*100/$E$18</f>
        <v/>
      </c>
      <c r="DZ18" s="133" t="n"/>
      <c r="EA18" s="139">
        <f>DZ18*100/$E$18</f>
        <v/>
      </c>
      <c r="EB18" s="133" t="n"/>
      <c r="EC18" s="139">
        <f>EB18*100/$E$18</f>
        <v/>
      </c>
      <c r="ED18" s="133" t="n"/>
      <c r="EE18" s="139">
        <f>ED18*100/$E$18</f>
        <v/>
      </c>
      <c r="EF18" s="133" t="n"/>
      <c r="EG18" s="139">
        <f>EF18*100/$E$18</f>
        <v/>
      </c>
      <c r="EH18" s="133" t="n"/>
      <c r="EI18" s="139">
        <f>EH18*100/$E$18</f>
        <v/>
      </c>
      <c r="EJ18" s="133" t="n"/>
      <c r="EK18" s="139">
        <f>EJ18*100/$E$18</f>
        <v/>
      </c>
      <c r="EL18" s="133" t="n"/>
      <c r="EM18" s="139">
        <f>EL18*100/$E$18</f>
        <v/>
      </c>
      <c r="EN18" s="133" t="n"/>
      <c r="EO18" s="139">
        <f>EN18*100/$E$18</f>
        <v/>
      </c>
      <c r="EP18" s="133" t="n"/>
      <c r="EQ18" s="139">
        <f>EP18*100/$E$18</f>
        <v/>
      </c>
      <c r="ER18" s="133" t="n"/>
      <c r="ES18" s="139">
        <f>ER18*100/$E$18</f>
        <v/>
      </c>
      <c r="ET18" s="133" t="n"/>
      <c r="EU18" s="139">
        <f>ET18*100/$E$18</f>
        <v/>
      </c>
      <c r="EV18" s="133" t="n"/>
      <c r="EW18" s="139">
        <f>EV18*100/$E$18</f>
        <v/>
      </c>
      <c r="EX18" s="133" t="n"/>
      <c r="EY18" s="139">
        <f>EX18*100/$E$18</f>
        <v/>
      </c>
      <c r="EZ18" s="133" t="n"/>
      <c r="FA18" s="139">
        <f>EZ18*100/$E$18</f>
        <v/>
      </c>
      <c r="FB18" s="133" t="n"/>
      <c r="FC18" s="139">
        <f>FB18*100/$E$18</f>
        <v/>
      </c>
      <c r="FD18" s="133" t="n"/>
      <c r="FE18" s="139">
        <f>FD18*100/$E$18</f>
        <v/>
      </c>
      <c r="FF18" s="133" t="n"/>
      <c r="FG18" s="139">
        <f>FF18*100/$E$18</f>
        <v/>
      </c>
      <c r="FH18" s="133" t="n"/>
      <c r="FI18" s="139">
        <f>FH18*100/$E$18</f>
        <v/>
      </c>
      <c r="FJ18" s="133">
        <f>8+8</f>
        <v/>
      </c>
      <c r="FK18" s="139">
        <f>FJ18*100/$E$18</f>
        <v/>
      </c>
      <c r="FL18" s="133">
        <f>8+8+4</f>
        <v/>
      </c>
      <c r="FM18" s="139">
        <f>FL18*100/$E$18</f>
        <v/>
      </c>
      <c r="FN18" s="133" t="n"/>
      <c r="FO18" s="139">
        <f>FN18*100/$E$18</f>
        <v/>
      </c>
      <c r="FP18" s="133" t="n"/>
      <c r="FQ18" s="139">
        <f>FP18*100/$E$18</f>
        <v/>
      </c>
      <c r="FR18" s="133" t="n"/>
      <c r="FS18" s="139">
        <f>FR18*100/$E$18</f>
        <v/>
      </c>
      <c r="FT18" s="133" t="n"/>
      <c r="FU18" s="139">
        <f>FT18*100/$E$18</f>
        <v/>
      </c>
      <c r="FV18" s="133" t="n"/>
      <c r="FW18" s="139">
        <f>FV18*100/$E$18</f>
        <v/>
      </c>
      <c r="FX18" s="133" t="n"/>
      <c r="FY18" s="139">
        <f>FX18*100/$E$18</f>
        <v/>
      </c>
      <c r="FZ18" s="133" t="n"/>
      <c r="GA18" s="139">
        <f>FZ18*100/$E$18</f>
        <v/>
      </c>
      <c r="GB18" s="133" t="n"/>
      <c r="GC18" s="139">
        <f>GB18*100/$E$18</f>
        <v/>
      </c>
      <c r="GD18" s="133" t="n"/>
      <c r="GE18" s="139">
        <f>GD18*100/$E$18</f>
        <v/>
      </c>
      <c r="GF18" s="133" t="n"/>
      <c r="GG18" s="139">
        <f>GF18*100/$E$18</f>
        <v/>
      </c>
      <c r="GH18" s="133" t="n"/>
      <c r="GI18" s="139">
        <f>GH18*100/$E$18</f>
        <v/>
      </c>
      <c r="GJ18" s="133" t="n"/>
      <c r="GK18" s="139">
        <f>GJ18*100/$E$18</f>
        <v/>
      </c>
      <c r="GL18" s="133" t="n"/>
      <c r="GM18" s="139">
        <f>GL18*100/$E$18</f>
        <v/>
      </c>
      <c r="GN18" s="133" t="n"/>
      <c r="GO18" s="139">
        <f>GN18*100/$E$18</f>
        <v/>
      </c>
      <c r="GP18" s="133" t="n"/>
      <c r="GQ18" s="139">
        <f>GP18*100/$E$18</f>
        <v/>
      </c>
      <c r="GR18" s="133" t="n"/>
      <c r="GS18" s="139">
        <f>GR18*100/$E$18</f>
        <v/>
      </c>
      <c r="GT18" s="133" t="n"/>
      <c r="GU18" s="139">
        <f>GT18*100/$E$18</f>
        <v/>
      </c>
      <c r="GV18" s="133" t="n"/>
      <c r="GW18" s="139">
        <f>GV18*100/$E$18</f>
        <v/>
      </c>
      <c r="GX18" s="133" t="n"/>
      <c r="GY18" s="139">
        <f>GX18*100/$E$18</f>
        <v/>
      </c>
      <c r="GZ18" s="133" t="n"/>
      <c r="HA18" s="139">
        <f>GZ18*100/$E$18</f>
        <v/>
      </c>
      <c r="HB18" s="133" t="n"/>
      <c r="HC18" s="139">
        <f>HB18*100/$E$18</f>
        <v/>
      </c>
      <c r="HD18" s="133" t="n"/>
      <c r="HE18" s="139">
        <f>HD18*100/$E$18</f>
        <v/>
      </c>
      <c r="HF18" s="133" t="n"/>
      <c r="HG18" s="139">
        <f>HF18*100/$E$18</f>
        <v/>
      </c>
      <c r="HH18" s="133" t="n"/>
      <c r="HI18" s="139">
        <f>HH18*100/$E$18</f>
        <v/>
      </c>
      <c r="HJ18" s="133" t="n"/>
      <c r="HK18" s="139">
        <f>HJ18*100/$E$18</f>
        <v/>
      </c>
      <c r="HL18" s="133" t="n"/>
      <c r="HM18" s="139">
        <f>HL18*100/$E$18</f>
        <v/>
      </c>
      <c r="HN18" s="133" t="n"/>
      <c r="HO18" s="139">
        <f>HN18*100/$E$18</f>
        <v/>
      </c>
      <c r="HP18" s="133" t="n"/>
      <c r="HQ18" s="139">
        <f>HP18*100/$E$18</f>
        <v/>
      </c>
      <c r="HR18" s="133" t="n"/>
      <c r="HS18" s="139">
        <f>HR18*100/$E$18</f>
        <v/>
      </c>
      <c r="HT18" s="133" t="n"/>
      <c r="HU18" s="139">
        <f>HT18*100/$E$18</f>
        <v/>
      </c>
      <c r="HV18" s="133" t="n"/>
      <c r="HW18" s="139">
        <f>HV18*100/$E$18</f>
        <v/>
      </c>
      <c r="HX18" s="133" t="n"/>
      <c r="HY18" s="139">
        <f>HX18*100/$E$18</f>
        <v/>
      </c>
      <c r="HZ18" s="133" t="n"/>
      <c r="IA18" s="139">
        <f>HZ18*100/$E$18</f>
        <v/>
      </c>
      <c r="IB18" s="133" t="n"/>
      <c r="IC18" s="139">
        <f>IB18*100/$E$18</f>
        <v/>
      </c>
      <c r="ID18" s="133" t="n"/>
      <c r="IE18" s="139">
        <f>ID18*100/$E$18</f>
        <v/>
      </c>
      <c r="IF18" s="133" t="n"/>
      <c r="IG18" s="139">
        <f>IF18*100/$E$18</f>
        <v/>
      </c>
      <c r="IH18" s="133" t="n"/>
      <c r="II18" s="139">
        <f>IH18*100/$E$18</f>
        <v/>
      </c>
      <c r="IJ18" s="133" t="n"/>
      <c r="IK18" s="139">
        <f>IJ18*100/$E$18</f>
        <v/>
      </c>
      <c r="IL18" s="133" t="n"/>
      <c r="IM18" s="139">
        <f>IL18*100/$E$18</f>
        <v/>
      </c>
      <c r="IN18" s="133" t="n"/>
      <c r="IO18" s="139">
        <f>IN18*100/$E$18</f>
        <v/>
      </c>
      <c r="IP18" s="133" t="n"/>
      <c r="IQ18" s="139">
        <f>IP18*100/$E$18</f>
        <v/>
      </c>
      <c r="IR18" s="133" t="n"/>
      <c r="IS18" s="139">
        <f>IR18*100/$E$18</f>
        <v/>
      </c>
      <c r="IT18" s="133" t="n"/>
      <c r="IU18" s="139">
        <f>IT18*100/$E$18</f>
        <v/>
      </c>
      <c r="IV18" s="133" t="n"/>
      <c r="IW18" s="139">
        <f>IV18*100/$E$18</f>
        <v/>
      </c>
      <c r="IX18" s="133" t="n"/>
      <c r="IY18" s="139">
        <f>IX18*100/$E$18</f>
        <v/>
      </c>
      <c r="IZ18" s="133" t="n"/>
      <c r="JA18" s="139">
        <f>IZ18*100/$E$18</f>
        <v/>
      </c>
      <c r="JB18" s="133" t="n"/>
      <c r="JC18" s="139">
        <f>JB18*100/$E$18</f>
        <v/>
      </c>
      <c r="JD18" s="133" t="n"/>
      <c r="JE18" s="139">
        <f>JD18*100/$E$18</f>
        <v/>
      </c>
      <c r="JF18" s="133" t="n"/>
      <c r="JG18" s="139">
        <f>JF18*100/$E$18</f>
        <v/>
      </c>
      <c r="JH18" s="133" t="n"/>
      <c r="JI18" s="139">
        <f>JH18*100/$E$18</f>
        <v/>
      </c>
      <c r="JJ18" s="133" t="n"/>
      <c r="JK18" s="139">
        <f>JJ18*100/$E$18</f>
        <v/>
      </c>
      <c r="JL18" s="133" t="n"/>
      <c r="JM18" s="139">
        <f>JL18*100/$E$18</f>
        <v/>
      </c>
      <c r="JN18" s="133" t="n"/>
      <c r="JO18" s="139">
        <f>JN18*100/$E$18</f>
        <v/>
      </c>
      <c r="JP18" s="133" t="n"/>
      <c r="JQ18" s="139">
        <f>JP18*100/$E$18</f>
        <v/>
      </c>
      <c r="JR18" s="133" t="n"/>
      <c r="JS18" s="139">
        <f>JR18*100/$E$18</f>
        <v/>
      </c>
      <c r="JT18" s="133" t="n"/>
      <c r="JU18" s="139">
        <f>JT18*100/$E$18</f>
        <v/>
      </c>
      <c r="JV18" s="133" t="n"/>
      <c r="JW18" s="139">
        <f>JV18*100/$E$18</f>
        <v/>
      </c>
      <c r="JX18" s="133" t="n"/>
      <c r="JY18" s="139">
        <f>JX18*100/$E$18</f>
        <v/>
      </c>
      <c r="JZ18" s="183">
        <f>JN18+JP18+JR18+JT18+JV18+JX18</f>
        <v/>
      </c>
      <c r="KA18" s="184">
        <f>JO18+JQ18+JS18+JU18+JW18+JY18</f>
        <v/>
      </c>
      <c r="KB18" s="185">
        <f>H18+J18+L18+N18+P18+R18+T18+V18+X18+Z18+AB18+AD18+AF18+AH18+AJ18+AL18+AN18+AP18+AR18+AT18+AV18+AX18+AZ18+BB18+BD18+BF18+BH18+BJ18+BL18+BN18+BP18+BR18+BT18+BV18+BX18+BZ18+CB18+CD18+CF18+CH18+CZ18+DB18+DD18+DF18+DH18+DJ18+DL18+DN18+DP18+DR18+DT18+DV18+DX18+DZ18+EB18+ED18+EF18+EH18+EJ18+EL18+EN18+EP18+ER18+ET18+EV18+FN18+FP18+FR18+FT18+FV18+FX18+FZ18+GB18+GD18+GF18+GH18+GJ18+GL18+GN18+GP18+GR18+GT18+GV18+GX18+GZ18+HB18+HD18+HF18+HH18+HJ18+HL18+HN18+HP18+HR18+HT18+HV18+HX18+HZ18+IB18+ID18+IF18+IH18+IJ18+IL18+IN18+IP18+IR18+IT18+IV18+IX18+IZ18+JB18+JD18+JF18+JH18+JJ18+JL18+JZ18+CJ18+CL18+CN18+CP18+CR18+CT18+CV18+CX18+EX18+EZ18+FB18+FD18+FF18+FH18+FJ18+FL18</f>
        <v/>
      </c>
      <c r="KC18" s="186">
        <f>I18+K18+M18+O18+Q18+S18+U18+W18+Y18+AA18+AC18+AE18+AG18+AI18+AK18+AM18+AO18+AQ18+AS18+AU18+AW18+AY18+BA18+BC18+BE18+BG18+BI18+BK18+BM18+BO18+BQ18+BS18+BU18+BW18+BY18+CA18+CC18+CE18+CG18+CI18+DA18+DC18+DE18+DG18+DI18+DK18+DM18+DO18+DQ18+DS18+DU18+DW18+DY18+EA18+EC18+EE18+EG18+EI18+EK18+EM18+EO18+EQ18+ES18+EU18+EW18+FO18+FS18+FU18+FW18+FQ18+FY18+GA18+GC18+GE18+GG18+GI18+GK18+GM18+GO18+GQ18+GS18+GU18+GW18+GY18+HA18+HC18+HE18+HG18+HI18+HK18+HM18+HO18+HQ18+HS18+HU18+HW18+HY18+IA18+IC18+IE18+IG18+II18+IK18+IM18+IO18+IQ18+IS18+IU18+IW18+IY18+JA18+JC18+JE18+JG18+JI18+JK18+JM18+KA18+CK18+CM18+CO18+CQ18+CS18+CU18+CW18+CY18+EY18+FA18+FC18+FE18+FG18+FI18+FK18+FM18</f>
        <v/>
      </c>
      <c r="KD18" s="187">
        <f>JO18+JQ18+JS18+JU18+JW18+JY18</f>
        <v/>
      </c>
      <c r="KE18" s="188">
        <f>KB18=E18</f>
        <v/>
      </c>
      <c r="KF18" s="189">
        <f>E18-KB18</f>
        <v/>
      </c>
      <c r="KG18" s="215" t="n"/>
    </row>
    <row r="19" ht="21.75" customFormat="1" customHeight="1" s="231">
      <c r="A19" s="126">
        <f>A18+1</f>
        <v/>
      </c>
      <c r="B19" s="175" t="inlineStr">
        <is>
          <t>Еналов Д.А.</t>
        </is>
      </c>
      <c r="C19" s="176" t="inlineStr">
        <is>
          <t>слесарь</t>
        </is>
      </c>
      <c r="D19" s="177">
        <f>$D$5</f>
        <v/>
      </c>
      <c r="E19" s="202" t="n">
        <v>170</v>
      </c>
      <c r="F19" s="191" t="n">
        <v>104472.51</v>
      </c>
      <c r="G19" s="179">
        <f>F19/D19</f>
        <v/>
      </c>
      <c r="H19" s="180" t="n"/>
      <c r="I19" s="140">
        <f>H19*100/$E$19</f>
        <v/>
      </c>
      <c r="J19" s="133" t="n"/>
      <c r="K19" s="140">
        <f>J19*100/$E$19</f>
        <v/>
      </c>
      <c r="L19" s="133" t="n"/>
      <c r="M19" s="140">
        <f>L19*100/$E$19</f>
        <v/>
      </c>
      <c r="N19" s="133" t="n"/>
      <c r="O19" s="140">
        <f>N19*100/$E$19</f>
        <v/>
      </c>
      <c r="P19" s="133" t="n"/>
      <c r="Q19" s="139">
        <f>P19*100/$E$19</f>
        <v/>
      </c>
      <c r="R19" s="133" t="n"/>
      <c r="S19" s="140">
        <f>R19*100/$E$19</f>
        <v/>
      </c>
      <c r="T19" s="133" t="n"/>
      <c r="U19" s="140">
        <f>T19*100/$E$19</f>
        <v/>
      </c>
      <c r="V19" s="133" t="n"/>
      <c r="W19" s="140">
        <f>V19*100/$E$19</f>
        <v/>
      </c>
      <c r="X19" s="133" t="n"/>
      <c r="Y19" s="140">
        <f>X19*100/$E$19</f>
        <v/>
      </c>
      <c r="Z19" s="133" t="n"/>
      <c r="AA19" s="140">
        <f>Z19*100/$E$19</f>
        <v/>
      </c>
      <c r="AB19" s="133" t="n"/>
      <c r="AC19" s="140">
        <f>AB19*100/$E$19</f>
        <v/>
      </c>
      <c r="AD19" s="133" t="n"/>
      <c r="AE19" s="140">
        <f>AD19*100/$E$19</f>
        <v/>
      </c>
      <c r="AF19" s="133" t="n"/>
      <c r="AG19" s="140">
        <f>AF19*100/$E$19</f>
        <v/>
      </c>
      <c r="AH19" s="133" t="n"/>
      <c r="AI19" s="140">
        <f>AH19*100/$E$19</f>
        <v/>
      </c>
      <c r="AJ19" s="133" t="n"/>
      <c r="AK19" s="140">
        <f>AJ19*100/$E$19</f>
        <v/>
      </c>
      <c r="AL19" s="133" t="n"/>
      <c r="AM19" s="140">
        <f>AL19*100/$E$19</f>
        <v/>
      </c>
      <c r="AN19" s="133" t="n"/>
      <c r="AO19" s="140">
        <f>AN19*100/$E$19</f>
        <v/>
      </c>
      <c r="AP19" s="133" t="n"/>
      <c r="AQ19" s="140">
        <f>AP19*100/$E$19</f>
        <v/>
      </c>
      <c r="AR19" s="133" t="n"/>
      <c r="AS19" s="140">
        <f>AR19*100/$E$19</f>
        <v/>
      </c>
      <c r="AT19" s="133" t="n"/>
      <c r="AU19" s="181">
        <f>AT19*100/$E$19</f>
        <v/>
      </c>
      <c r="AV19" s="133">
        <f>4+3+8+4+4</f>
        <v/>
      </c>
      <c r="AW19" s="140">
        <f>AV19*100/$E$19</f>
        <v/>
      </c>
      <c r="AX19" s="133" t="n"/>
      <c r="AY19" s="140">
        <f>AX19*100/$E$19</f>
        <v/>
      </c>
      <c r="AZ19" s="133">
        <f>2+8+5+3</f>
        <v/>
      </c>
      <c r="BA19" s="140">
        <f>AZ19*100/$E$19</f>
        <v/>
      </c>
      <c r="BB19" s="133" t="n"/>
      <c r="BC19" s="140">
        <f>BB19*100/$E$19</f>
        <v/>
      </c>
      <c r="BD19" s="133">
        <f>2+2+5+8+2+3+4+3</f>
        <v/>
      </c>
      <c r="BE19" s="140">
        <f>BD19*100/$E$19</f>
        <v/>
      </c>
      <c r="BF19" s="133" t="n"/>
      <c r="BG19" s="140">
        <f>BF19*100/$E$19</f>
        <v/>
      </c>
      <c r="BH19" s="133" t="n"/>
      <c r="BI19" s="140">
        <f>BH19*100/$E$19</f>
        <v/>
      </c>
      <c r="BJ19" s="133" t="n"/>
      <c r="BK19" s="140">
        <f>BJ19*100/$E$19</f>
        <v/>
      </c>
      <c r="BL19" s="133" t="n"/>
      <c r="BM19" s="140">
        <f>BL19*100/$E$19</f>
        <v/>
      </c>
      <c r="BN19" s="133" t="n"/>
      <c r="BO19" s="140">
        <f>BN19*100/$E$19</f>
        <v/>
      </c>
      <c r="BP19" s="133" t="n"/>
      <c r="BQ19" s="140">
        <f>BP19*100/$E$19</f>
        <v/>
      </c>
      <c r="BR19" s="133" t="n"/>
      <c r="BS19" s="140">
        <f>BR19*100/$E$19</f>
        <v/>
      </c>
      <c r="BT19" s="133" t="n"/>
      <c r="BU19" s="140">
        <f>BT19*100/$E$19</f>
        <v/>
      </c>
      <c r="BV19" s="133" t="n"/>
      <c r="BW19" s="140">
        <f>BV19*100/$E$19</f>
        <v/>
      </c>
      <c r="BX19" s="133" t="n"/>
      <c r="BY19" s="140">
        <f>BX19*100/$E$19</f>
        <v/>
      </c>
      <c r="BZ19" s="133" t="n"/>
      <c r="CA19" s="140">
        <f>BZ19*100/$E$19</f>
        <v/>
      </c>
      <c r="CB19" s="133">
        <f>4+4</f>
        <v/>
      </c>
      <c r="CC19" s="140">
        <f>CB19*100/$E$19</f>
        <v/>
      </c>
      <c r="CD19" s="240" t="n">
        <v>3</v>
      </c>
      <c r="CE19" s="140">
        <f>CD19*100/$E$19</f>
        <v/>
      </c>
      <c r="CF19" s="133" t="n"/>
      <c r="CG19" s="140">
        <f>CF19*100/$E$19</f>
        <v/>
      </c>
      <c r="CH19" s="133" t="n"/>
      <c r="CI19" s="140">
        <f>CH19*100/$E$19</f>
        <v/>
      </c>
      <c r="CJ19" s="133" t="n"/>
      <c r="CK19" s="140">
        <f>CJ19*100/$E$19</f>
        <v/>
      </c>
      <c r="CL19" s="133" t="n"/>
      <c r="CM19" s="140">
        <f>CL19*100/$E$19</f>
        <v/>
      </c>
      <c r="CN19" s="133">
        <f>3+4+6+4+5</f>
        <v/>
      </c>
      <c r="CO19" s="139">
        <f>CN19*100/$E$19</f>
        <v/>
      </c>
      <c r="CP19" s="133" t="n">
        <v>6</v>
      </c>
      <c r="CQ19" s="140">
        <f>CP19*100/$E$19</f>
        <v/>
      </c>
      <c r="CR19" s="133">
        <f>2+3+3</f>
        <v/>
      </c>
      <c r="CS19" s="139">
        <f>CR19*100/$E$19</f>
        <v/>
      </c>
      <c r="CT19" s="133" t="n"/>
      <c r="CU19" s="139">
        <f>CT19*100/$E$19</f>
        <v/>
      </c>
      <c r="CV19" s="133" t="n"/>
      <c r="CW19" s="139">
        <f>CV19*100/$E$19</f>
        <v/>
      </c>
      <c r="CX19" s="133" t="n"/>
      <c r="CY19" s="139">
        <f>CX19*100/$E$19</f>
        <v/>
      </c>
      <c r="CZ19" s="133" t="n"/>
      <c r="DA19" s="139">
        <f>CZ19*100/$E$19</f>
        <v/>
      </c>
      <c r="DB19" s="133" t="n"/>
      <c r="DC19" s="139">
        <f>DB19*100/$E$19</f>
        <v/>
      </c>
      <c r="DD19" s="133">
        <f>8+8</f>
        <v/>
      </c>
      <c r="DE19" s="139">
        <f>DD19*100/$E$19</f>
        <v/>
      </c>
      <c r="DF19" s="133" t="n"/>
      <c r="DG19" s="139">
        <f>DF19*100/$E$19</f>
        <v/>
      </c>
      <c r="DH19" s="133" t="n"/>
      <c r="DI19" s="139">
        <f>DH19*100/$E$19</f>
        <v/>
      </c>
      <c r="DJ19" s="133" t="n">
        <v>3</v>
      </c>
      <c r="DK19" s="139">
        <f>DJ19*100/$E$19</f>
        <v/>
      </c>
      <c r="DL19" s="133">
        <f>8+4+4+3</f>
        <v/>
      </c>
      <c r="DM19" s="139">
        <f>DL19*100/$E$19</f>
        <v/>
      </c>
      <c r="DN19" s="133" t="n"/>
      <c r="DO19" s="139">
        <f>DN19*100/$E$19</f>
        <v/>
      </c>
      <c r="DP19" s="133" t="n"/>
      <c r="DQ19" s="139">
        <f>DP19*100/$E$19</f>
        <v/>
      </c>
      <c r="DR19" s="133" t="n"/>
      <c r="DS19" s="140">
        <f>DR19*100/$E$19</f>
        <v/>
      </c>
      <c r="DT19" s="133" t="n"/>
      <c r="DU19" s="139">
        <f>DT19*100/$E$19</f>
        <v/>
      </c>
      <c r="DV19" s="133" t="n"/>
      <c r="DW19" s="139">
        <f>DV19*100/$E$19</f>
        <v/>
      </c>
      <c r="DX19" s="133" t="n"/>
      <c r="DY19" s="139">
        <f>DX19*100/$E$19</f>
        <v/>
      </c>
      <c r="DZ19" s="133" t="n"/>
      <c r="EA19" s="139">
        <f>DZ19*100/$E$19</f>
        <v/>
      </c>
      <c r="EB19" s="133" t="n"/>
      <c r="EC19" s="139">
        <f>EB19*100/$E$19</f>
        <v/>
      </c>
      <c r="ED19" s="133" t="n"/>
      <c r="EE19" s="139">
        <f>ED19*100/$E$19</f>
        <v/>
      </c>
      <c r="EF19" s="133" t="n"/>
      <c r="EG19" s="139">
        <f>EF19*100/$E$19</f>
        <v/>
      </c>
      <c r="EH19" s="133" t="n"/>
      <c r="EI19" s="140">
        <f>EH19*100/$E$19</f>
        <v/>
      </c>
      <c r="EJ19" s="133" t="n"/>
      <c r="EK19" s="140">
        <f>EJ19*100/$E$19</f>
        <v/>
      </c>
      <c r="EL19" s="133" t="n"/>
      <c r="EM19" s="140">
        <f>EL19*100/$E$19</f>
        <v/>
      </c>
      <c r="EN19" s="133" t="n"/>
      <c r="EO19" s="140">
        <f>EN19*100/$E$19</f>
        <v/>
      </c>
      <c r="EP19" s="133" t="n"/>
      <c r="EQ19" s="140">
        <f>EP19*100/$E$19</f>
        <v/>
      </c>
      <c r="ER19" s="133" t="n"/>
      <c r="ES19" s="140">
        <f>ER19*100/$E$19</f>
        <v/>
      </c>
      <c r="ET19" s="133" t="n"/>
      <c r="EU19" s="140">
        <f>ET19*100/$E$19</f>
        <v/>
      </c>
      <c r="EV19" s="133" t="n"/>
      <c r="EW19" s="139">
        <f>EV19*100/$E$19</f>
        <v/>
      </c>
      <c r="EX19" s="133" t="n"/>
      <c r="EY19" s="139">
        <f>EX19*100/$E$19</f>
        <v/>
      </c>
      <c r="EZ19" s="133" t="n"/>
      <c r="FA19" s="139">
        <f>EZ19*100/$E$19</f>
        <v/>
      </c>
      <c r="FB19" s="133" t="n"/>
      <c r="FC19" s="139">
        <f>FB19*100/$E$19</f>
        <v/>
      </c>
      <c r="FD19" s="133" t="n"/>
      <c r="FE19" s="139">
        <f>FD19*100/$E$19</f>
        <v/>
      </c>
      <c r="FF19" s="133" t="n"/>
      <c r="FG19" s="139">
        <f>FF19*100/$E$19</f>
        <v/>
      </c>
      <c r="FH19" s="133" t="n"/>
      <c r="FI19" s="139">
        <f>FH19*100/$E$19</f>
        <v/>
      </c>
      <c r="FJ19" s="133" t="n"/>
      <c r="FK19" s="139">
        <f>FJ19*100/$E$19</f>
        <v/>
      </c>
      <c r="FL19" s="133" t="n"/>
      <c r="FM19" s="139">
        <f>FL19*100/$E$19</f>
        <v/>
      </c>
      <c r="FN19" s="133" t="n"/>
      <c r="FO19" s="139">
        <f>FN19*100/$E$19</f>
        <v/>
      </c>
      <c r="FP19" s="133" t="n"/>
      <c r="FQ19" s="140">
        <f>FP19*100/$E$19</f>
        <v/>
      </c>
      <c r="FR19" s="133" t="n"/>
      <c r="FS19" s="140">
        <f>FR19*100/$E$19</f>
        <v/>
      </c>
      <c r="FT19" s="133" t="n"/>
      <c r="FU19" s="140">
        <f>FT19*100/$E$19</f>
        <v/>
      </c>
      <c r="FV19" s="133" t="n"/>
      <c r="FW19" s="140">
        <f>FV19*100/$E$19</f>
        <v/>
      </c>
      <c r="FX19" s="133" t="n"/>
      <c r="FY19" s="140">
        <f>FX19*100/$E$19</f>
        <v/>
      </c>
      <c r="FZ19" s="133" t="n"/>
      <c r="GA19" s="140">
        <f>FZ19*100/$E$19</f>
        <v/>
      </c>
      <c r="GB19" s="133" t="n"/>
      <c r="GC19" s="140">
        <f>GB19*100/$E$19</f>
        <v/>
      </c>
      <c r="GD19" s="133" t="n"/>
      <c r="GE19" s="140">
        <f>GD19*100/$E$19</f>
        <v/>
      </c>
      <c r="GF19" s="133" t="n"/>
      <c r="GG19" s="140">
        <f>GF19*100/$E$19</f>
        <v/>
      </c>
      <c r="GH19" s="133" t="n"/>
      <c r="GI19" s="140">
        <f>GH19*100/$E$19</f>
        <v/>
      </c>
      <c r="GJ19" s="133" t="n"/>
      <c r="GK19" s="139">
        <f>GJ19*100/$E$19</f>
        <v/>
      </c>
      <c r="GL19" s="133" t="n"/>
      <c r="GM19" s="140">
        <f>GL19*100/$E$19</f>
        <v/>
      </c>
      <c r="GN19" s="133" t="n"/>
      <c r="GO19" s="139">
        <f>GN19*100/$E$19</f>
        <v/>
      </c>
      <c r="GP19" s="133" t="n"/>
      <c r="GQ19" s="140">
        <f>GP19*100/$E$19</f>
        <v/>
      </c>
      <c r="GR19" s="133" t="n"/>
      <c r="GS19" s="139">
        <f>GR19*100/$E$19</f>
        <v/>
      </c>
      <c r="GT19" s="133" t="n"/>
      <c r="GU19" s="139">
        <f>GT19*100/$E$19</f>
        <v/>
      </c>
      <c r="GV19" s="133" t="n"/>
      <c r="GW19" s="140">
        <f>GV19*100/$E$19</f>
        <v/>
      </c>
      <c r="GX19" s="133" t="n"/>
      <c r="GY19" s="140">
        <f>GX19*100/$E$19</f>
        <v/>
      </c>
      <c r="GZ19" s="133" t="n"/>
      <c r="HA19" s="140">
        <f>GZ19*100/$E$19</f>
        <v/>
      </c>
      <c r="HB19" s="133" t="n"/>
      <c r="HC19" s="140">
        <f>HB19*100/$E$19</f>
        <v/>
      </c>
      <c r="HD19" s="133" t="n"/>
      <c r="HE19" s="140">
        <f>HD19*100/$E$19</f>
        <v/>
      </c>
      <c r="HF19" s="133" t="n"/>
      <c r="HG19" s="140">
        <f>HF19*100/$E$19</f>
        <v/>
      </c>
      <c r="HH19" s="133" t="n"/>
      <c r="HI19" s="140">
        <f>HH19*100/$E$19</f>
        <v/>
      </c>
      <c r="HJ19" s="133" t="n"/>
      <c r="HK19" s="140">
        <f>HJ19*100/$E$19</f>
        <v/>
      </c>
      <c r="HL19" s="133" t="n"/>
      <c r="HM19" s="140">
        <f>HL19*100/$E$19</f>
        <v/>
      </c>
      <c r="HN19" s="133" t="n"/>
      <c r="HO19" s="140">
        <f>HN19*100/$E$19</f>
        <v/>
      </c>
      <c r="HP19" s="133" t="n"/>
      <c r="HQ19" s="140">
        <f>HP19*100/$E$19</f>
        <v/>
      </c>
      <c r="HR19" s="133" t="n"/>
      <c r="HS19" s="140">
        <f>HR19*100/$E$19</f>
        <v/>
      </c>
      <c r="HT19" s="133" t="n"/>
      <c r="HU19" s="140">
        <f>HT19*100/$E$19</f>
        <v/>
      </c>
      <c r="HV19" s="133" t="n"/>
      <c r="HW19" s="140">
        <f>HV19*100/$E$19</f>
        <v/>
      </c>
      <c r="HX19" s="133" t="n"/>
      <c r="HY19" s="140">
        <f>HX19*100/$E$19</f>
        <v/>
      </c>
      <c r="HZ19" s="133" t="n"/>
      <c r="IA19" s="139">
        <f>HZ19*100/$E$19</f>
        <v/>
      </c>
      <c r="IB19" s="133" t="n"/>
      <c r="IC19" s="139">
        <f>IB19*100/$E$19</f>
        <v/>
      </c>
      <c r="ID19" s="133" t="n"/>
      <c r="IE19" s="139">
        <f>ID19*100/$E$19</f>
        <v/>
      </c>
      <c r="IF19" s="133" t="n"/>
      <c r="IG19" s="139">
        <f>IF19*100/$E$19</f>
        <v/>
      </c>
      <c r="IH19" s="133" t="n"/>
      <c r="II19" s="139">
        <f>IH19*100/$E$19</f>
        <v/>
      </c>
      <c r="IJ19" s="133" t="n"/>
      <c r="IK19" s="139">
        <f>IJ19*100/$E$19</f>
        <v/>
      </c>
      <c r="IL19" s="133" t="n"/>
      <c r="IM19" s="140">
        <f>IL19*100/$E$19</f>
        <v/>
      </c>
      <c r="IN19" s="133" t="n"/>
      <c r="IO19" s="140">
        <f>IN19*100/$E$19</f>
        <v/>
      </c>
      <c r="IP19" s="133" t="n"/>
      <c r="IQ19" s="139">
        <f>IP19*100/$E$19</f>
        <v/>
      </c>
      <c r="IR19" s="133" t="n"/>
      <c r="IS19" s="139">
        <f>IR19*100/$E$19</f>
        <v/>
      </c>
      <c r="IT19" s="133" t="n"/>
      <c r="IU19" s="139">
        <f>IT19*100/$E$19</f>
        <v/>
      </c>
      <c r="IV19" s="133" t="n"/>
      <c r="IW19" s="139">
        <f>IV19*100/$E$19</f>
        <v/>
      </c>
      <c r="IX19" s="133" t="n"/>
      <c r="IY19" s="139">
        <f>IX19*100/$E$19</f>
        <v/>
      </c>
      <c r="IZ19" s="133" t="n"/>
      <c r="JA19" s="139">
        <f>IZ19*100/$E$19</f>
        <v/>
      </c>
      <c r="JB19" s="133" t="n"/>
      <c r="JC19" s="139">
        <f>JB19*100/$E$19</f>
        <v/>
      </c>
      <c r="JD19" s="133" t="n"/>
      <c r="JE19" s="139">
        <f>JD19*100/$E$19</f>
        <v/>
      </c>
      <c r="JF19" s="133" t="n"/>
      <c r="JG19" s="140">
        <f>JF19*100/$E$19</f>
        <v/>
      </c>
      <c r="JH19" s="133" t="n"/>
      <c r="JI19" s="139">
        <f>JH19*100/$E$19</f>
        <v/>
      </c>
      <c r="JJ19" s="133" t="n"/>
      <c r="JK19" s="140">
        <f>JJ19*100/$E$19</f>
        <v/>
      </c>
      <c r="JL19" s="133">
        <f>4+4+3+7-3</f>
        <v/>
      </c>
      <c r="JM19" s="139">
        <f>JL19*100/$E$19</f>
        <v/>
      </c>
      <c r="JN19" s="133" t="n"/>
      <c r="JO19" s="139">
        <f>JN19*100/$E$19</f>
        <v/>
      </c>
      <c r="JP19" s="133" t="n"/>
      <c r="JQ19" s="139">
        <f>JP19*100/$E$19</f>
        <v/>
      </c>
      <c r="JR19" s="133" t="n"/>
      <c r="JS19" s="139">
        <f>JR19*100/$E$19</f>
        <v/>
      </c>
      <c r="JT19" s="133" t="n"/>
      <c r="JU19" s="140">
        <f>JT19*100/$E$19</f>
        <v/>
      </c>
      <c r="JV19" s="133" t="n"/>
      <c r="JW19" s="140">
        <f>JV19*100/$E$19</f>
        <v/>
      </c>
      <c r="JX19" s="133" t="n"/>
      <c r="JY19" s="140">
        <f>JX19*100/$E$19</f>
        <v/>
      </c>
      <c r="JZ19" s="183">
        <f>JN19+JP19+JR19+JT19+JV19+JX19</f>
        <v/>
      </c>
      <c r="KA19" s="184">
        <f>JO19+JQ19+JS19+JU19+JW19+JY19</f>
        <v/>
      </c>
      <c r="KB19" s="185">
        <f>H19+J19+L19+N19+P19+R19+T19+V19+X19+Z19+AB19+AD19+AF19+AH19+AJ19+AL19+AN19+AP19+AR19+AT19+AV19+AX19+AZ19+BB19+BD19+BF19+BH19+BJ19+BL19+BN19+BP19+BR19+BT19+BV19+BX19+BZ19+CB19+CD19+CF19+CH19+CZ19+DB19+DD19+DF19+DH19+DJ19+DL19+DN19+DP19+DR19+DT19+DV19+DX19+DZ19+EB19+ED19+EF19+EH19+EJ19+EL19+EN19+EP19+ER19+ET19+EV19+FN19+FP19+FR19+FT19+FV19+FX19+FZ19+GB19+GD19+GF19+GH19+GJ19+GL19+GN19+GP19+GR19+GT19+GV19+GX19+GZ19+HB19+HD19+HF19+HH19+HJ19+HL19+HN19+HP19+HR19+HT19+HV19+HX19+HZ19+IB19+ID19+IF19+IH19+IJ19+IL19+IN19+IP19+IR19+IT19+IV19+IX19+IZ19+JB19+JD19+JF19+JH19+JJ19+JL19+JZ19+CJ19+CL19+CN19+CP19+CR19+CT19+CV19+CX19+EX19+EZ19+FB19+FD19+FF19+FH19+FJ19+FL19</f>
        <v/>
      </c>
      <c r="KC19" s="186">
        <f>I19+K19+M19+O19+Q19+S19+U19+W19+Y19+AA19+AC19+AE19+AG19+AI19+AK19+AM19+AO19+AQ19+AS19+AU19+AW19+AY19+BA19+BC19+BE19+BG19+BI19+BK19+BM19+BO19+BQ19+BS19+BU19+BW19+BY19+CA19+CC19+CE19+CG19+CI19+DA19+DC19+DE19+DG19+DI19+DK19+DM19+DO19+DQ19+DS19+DU19+DW19+DY19+EA19+EC19+EE19+EG19+EI19+EK19+EM19+EO19+EQ19+ES19+EU19+EW19+FO19+FS19+FU19+FW19+FQ19+FY19+GA19+GC19+GE19+GG19+GI19+GK19+GM19+GO19+GQ19+GS19+GU19+GW19+GY19+HA19+HC19+HE19+HG19+HI19+HK19+HM19+HO19+HQ19+HS19+HU19+HW19+HY19+IA19+IC19+IE19+IG19+II19+IK19+IM19+IO19+IQ19+IS19+IU19+IW19+IY19+JA19+JC19+JE19+JG19+JI19+JK19+JM19+KA19+CK19+CM19+CO19+CQ19+CS19+CU19+CW19+CY19+EY19+FA19+FC19+FE19+FG19+FI19+FK19+FM19</f>
        <v/>
      </c>
      <c r="KD19" s="187">
        <f>JO19+JQ19+JS19+JU19+JW19+JY19</f>
        <v/>
      </c>
      <c r="KE19" s="188">
        <f>KB19=E19</f>
        <v/>
      </c>
      <c r="KF19" s="189">
        <f>E19-KB19</f>
        <v/>
      </c>
      <c r="KG19" s="215" t="n"/>
    </row>
    <row r="20" ht="21.75" customFormat="1" customHeight="1" s="215">
      <c r="A20" s="126">
        <f>A19+1</f>
        <v/>
      </c>
      <c r="B20" s="199" t="inlineStr">
        <is>
          <t>Енин К.С.</t>
        </is>
      </c>
      <c r="C20" s="200" t="inlineStr">
        <is>
          <t>токарь</t>
        </is>
      </c>
      <c r="D20" s="177">
        <f>$D$5</f>
        <v/>
      </c>
      <c r="E20" s="203" t="n">
        <v>168</v>
      </c>
      <c r="F20" s="178" t="n">
        <v>111265.49</v>
      </c>
      <c r="G20" s="179">
        <f>F20/D20</f>
        <v/>
      </c>
      <c r="H20" s="180" t="n"/>
      <c r="I20" s="140">
        <f>H20*100/$E$20</f>
        <v/>
      </c>
      <c r="J20" s="133" t="n"/>
      <c r="K20" s="140">
        <f>J20*100/$E$20</f>
        <v/>
      </c>
      <c r="L20" s="133" t="n"/>
      <c r="M20" s="140">
        <f>L20*100/$E$20</f>
        <v/>
      </c>
      <c r="N20" s="133" t="n"/>
      <c r="O20" s="140">
        <f>N20*100/$E$20</f>
        <v/>
      </c>
      <c r="P20" s="133" t="n"/>
      <c r="Q20" s="139">
        <f>P20*100/$E$20</f>
        <v/>
      </c>
      <c r="R20" s="133" t="n"/>
      <c r="S20" s="139">
        <f>R20*100/$E$20</f>
        <v/>
      </c>
      <c r="T20" s="133" t="n"/>
      <c r="U20" s="140">
        <f>T20*100/$E$20</f>
        <v/>
      </c>
      <c r="V20" s="133" t="n"/>
      <c r="W20" s="140">
        <f>V20*100/$E$20</f>
        <v/>
      </c>
      <c r="X20" s="133" t="n"/>
      <c r="Y20" s="140">
        <f>X20*100/$E$20</f>
        <v/>
      </c>
      <c r="Z20" s="133" t="n"/>
      <c r="AA20" s="140">
        <f>Z20*100/$E$20</f>
        <v/>
      </c>
      <c r="AB20" s="133" t="n"/>
      <c r="AC20" s="140">
        <f>AB20*100/$E$20</f>
        <v/>
      </c>
      <c r="AD20" s="133" t="n"/>
      <c r="AE20" s="139">
        <f>AD20*100/$E$20</f>
        <v/>
      </c>
      <c r="AF20" s="133" t="n"/>
      <c r="AG20" s="139">
        <f>AF20*100/$E$20</f>
        <v/>
      </c>
      <c r="AH20" s="133" t="n"/>
      <c r="AI20" s="140">
        <f>AH20*100/$E$20</f>
        <v/>
      </c>
      <c r="AJ20" s="133" t="n"/>
      <c r="AK20" s="140">
        <f>AJ20*100/$E$20</f>
        <v/>
      </c>
      <c r="AL20" s="133" t="n"/>
      <c r="AM20" s="140">
        <f>AL20*100/$E$20</f>
        <v/>
      </c>
      <c r="AN20" s="133">
        <f>12+12+12+12</f>
        <v/>
      </c>
      <c r="AO20" s="140">
        <f>AN20*100/$E$20</f>
        <v/>
      </c>
      <c r="AP20" s="133" t="n"/>
      <c r="AQ20" s="140">
        <f>AP20*100/$E$20</f>
        <v/>
      </c>
      <c r="AR20" s="133" t="n"/>
      <c r="AS20" s="140">
        <f>AR20*100/$E$20</f>
        <v/>
      </c>
      <c r="AT20" s="133" t="n"/>
      <c r="AU20" s="181">
        <f>AT20*100/$E$20</f>
        <v/>
      </c>
      <c r="AV20" s="133" t="n"/>
      <c r="AW20" s="140">
        <f>AV20*100/$E$20</f>
        <v/>
      </c>
      <c r="AX20" s="133">
        <f>12+4+12+6</f>
        <v/>
      </c>
      <c r="AY20" s="140">
        <f>AX20*100/$E$20</f>
        <v/>
      </c>
      <c r="AZ20" s="133">
        <f>2+3</f>
        <v/>
      </c>
      <c r="BA20" s="140">
        <f>AZ20*100/$E$20</f>
        <v/>
      </c>
      <c r="BB20" s="133" t="n"/>
      <c r="BC20" s="140">
        <f>BB20*100/$E$20</f>
        <v/>
      </c>
      <c r="BD20" s="133" t="n"/>
      <c r="BE20" s="140">
        <f>BD20*100/$E$20</f>
        <v/>
      </c>
      <c r="BF20" s="133" t="n"/>
      <c r="BG20" s="140">
        <f>BF20*100/$E$20</f>
        <v/>
      </c>
      <c r="BH20" s="133" t="n"/>
      <c r="BI20" s="140">
        <f>BH20*100/$E$20</f>
        <v/>
      </c>
      <c r="BJ20" s="133" t="n"/>
      <c r="BK20" s="140">
        <f>BJ20*100/$E$20</f>
        <v/>
      </c>
      <c r="BL20" s="133" t="n"/>
      <c r="BM20" s="140">
        <f>BL20*100/$E$20</f>
        <v/>
      </c>
      <c r="BN20" s="133" t="n"/>
      <c r="BO20" s="140">
        <f>BN20*100/$E$20</f>
        <v/>
      </c>
      <c r="BP20" s="133" t="n"/>
      <c r="BQ20" s="140">
        <f>BP20*100/$E$20</f>
        <v/>
      </c>
      <c r="BR20" s="133" t="n"/>
      <c r="BS20" s="140">
        <f>BR20*100/$E$20</f>
        <v/>
      </c>
      <c r="BT20" s="133" t="n"/>
      <c r="BU20" s="140">
        <f>BT20*100/$E$20</f>
        <v/>
      </c>
      <c r="BV20" s="133" t="n"/>
      <c r="BW20" s="140">
        <f>BV20*100/$E$20</f>
        <v/>
      </c>
      <c r="BX20" s="133">
        <f>4+12</f>
        <v/>
      </c>
      <c r="BY20" s="140">
        <f>BX20*100/$E$20</f>
        <v/>
      </c>
      <c r="BZ20" s="133" t="n"/>
      <c r="CA20" s="140">
        <f>BZ20*100/$E$20</f>
        <v/>
      </c>
      <c r="CB20" s="133" t="n"/>
      <c r="CC20" s="140">
        <f>CB20*100/$E$20</f>
        <v/>
      </c>
      <c r="CD20" s="133" t="n"/>
      <c r="CE20" s="140">
        <f>CD20*100/$E$20</f>
        <v/>
      </c>
      <c r="CF20" s="133" t="n"/>
      <c r="CG20" s="140">
        <f>CF20*100/$E$20</f>
        <v/>
      </c>
      <c r="CH20" s="133" t="n"/>
      <c r="CI20" s="140">
        <f>CH20*100/$E$20</f>
        <v/>
      </c>
      <c r="CJ20" s="133" t="n"/>
      <c r="CK20" s="140">
        <f>CJ20*100/$E$20</f>
        <v/>
      </c>
      <c r="CL20" s="133" t="n"/>
      <c r="CM20" s="140">
        <f>CL20*100/$E$20</f>
        <v/>
      </c>
      <c r="CN20" s="133" t="n">
        <v>12</v>
      </c>
      <c r="CO20" s="139">
        <f>CN20*100/$E$20</f>
        <v/>
      </c>
      <c r="CP20" s="133" t="n"/>
      <c r="CQ20" s="140">
        <f>CP20*100/$E$20</f>
        <v/>
      </c>
      <c r="CR20" s="133" t="n"/>
      <c r="CS20" s="139">
        <f>CR20*100/$E$20</f>
        <v/>
      </c>
      <c r="CT20" s="133" t="n"/>
      <c r="CU20" s="139">
        <f>CT20*100/$E$20</f>
        <v/>
      </c>
      <c r="CV20" s="133" t="n"/>
      <c r="CW20" s="139">
        <f>CV20*100/$E$20</f>
        <v/>
      </c>
      <c r="CX20" s="133" t="n">
        <v>6</v>
      </c>
      <c r="CY20" s="139">
        <f>CX20*100/$E$20</f>
        <v/>
      </c>
      <c r="CZ20" s="133" t="n"/>
      <c r="DA20" s="139">
        <f>CZ20*100/$E$20</f>
        <v/>
      </c>
      <c r="DB20" s="133" t="n"/>
      <c r="DC20" s="139">
        <f>DB20*100/$E$20</f>
        <v/>
      </c>
      <c r="DD20" s="133" t="n"/>
      <c r="DE20" s="139">
        <f>DD20*100/$E$20</f>
        <v/>
      </c>
      <c r="DF20" s="133" t="n"/>
      <c r="DG20" s="139">
        <f>DF20*100/$E$20</f>
        <v/>
      </c>
      <c r="DH20" s="133" t="n"/>
      <c r="DI20" s="139">
        <f>DH20*100/$E$20</f>
        <v/>
      </c>
      <c r="DJ20" s="133">
        <f>4+3</f>
        <v/>
      </c>
      <c r="DK20" s="139">
        <f>DJ20*100/$E$20</f>
        <v/>
      </c>
      <c r="DL20" s="133" t="n"/>
      <c r="DM20" s="139">
        <f>DL20*100/$E$20</f>
        <v/>
      </c>
      <c r="DN20" s="133">
        <f>8+12+12</f>
        <v/>
      </c>
      <c r="DO20" s="139">
        <f>DN20*100/$E$20</f>
        <v/>
      </c>
      <c r="DP20" s="133" t="n">
        <v>8</v>
      </c>
      <c r="DQ20" s="139">
        <f>DP20*100/$E$20</f>
        <v/>
      </c>
      <c r="DR20" s="133" t="n"/>
      <c r="DS20" s="139">
        <f>DR20*100/$E$20</f>
        <v/>
      </c>
      <c r="DT20" s="133" t="n"/>
      <c r="DU20" s="139">
        <f>DT20*100/$E$20</f>
        <v/>
      </c>
      <c r="DV20" s="133" t="n"/>
      <c r="DW20" s="139">
        <f>DV20*100/$E$20</f>
        <v/>
      </c>
      <c r="DX20" s="133" t="n"/>
      <c r="DY20" s="139">
        <f>DX20*100/$E$20</f>
        <v/>
      </c>
      <c r="DZ20" s="133" t="n"/>
      <c r="EA20" s="139">
        <f>DZ20*100/$E$20</f>
        <v/>
      </c>
      <c r="EB20" s="133" t="n"/>
      <c r="EC20" s="139">
        <f>EB20*100/$E$20</f>
        <v/>
      </c>
      <c r="ED20" s="133" t="n"/>
      <c r="EE20" s="139">
        <f>ED20*100/$E$20</f>
        <v/>
      </c>
      <c r="EF20" s="133" t="n"/>
      <c r="EG20" s="139">
        <f>EF20*100/$E$20</f>
        <v/>
      </c>
      <c r="EH20" s="133" t="n"/>
      <c r="EI20" s="139">
        <f>EH20*100/$E$20</f>
        <v/>
      </c>
      <c r="EJ20" s="133" t="n"/>
      <c r="EK20" s="139">
        <f>EJ20*100/$E$20</f>
        <v/>
      </c>
      <c r="EL20" s="133" t="n"/>
      <c r="EM20" s="139">
        <f>EL20*100/$E$20</f>
        <v/>
      </c>
      <c r="EN20" s="133" t="n"/>
      <c r="EO20" s="139">
        <f>EN20*100/$E$20</f>
        <v/>
      </c>
      <c r="EP20" s="133" t="n"/>
      <c r="EQ20" s="139">
        <f>EP20*100/$E$20</f>
        <v/>
      </c>
      <c r="ER20" s="133" t="n"/>
      <c r="ES20" s="139">
        <f>ER20*100/$E$20</f>
        <v/>
      </c>
      <c r="ET20" s="133" t="n"/>
      <c r="EU20" s="139">
        <f>ET20*100/$E$20</f>
        <v/>
      </c>
      <c r="EV20" s="133" t="n"/>
      <c r="EW20" s="139">
        <f>EV20*100/$E$20</f>
        <v/>
      </c>
      <c r="EX20" s="133" t="n"/>
      <c r="EY20" s="139">
        <f>EX20*100/$E$20</f>
        <v/>
      </c>
      <c r="EZ20" s="133" t="n"/>
      <c r="FA20" s="139">
        <f>EZ20*100/$E$20</f>
        <v/>
      </c>
      <c r="FB20" s="133" t="n"/>
      <c r="FC20" s="139">
        <f>FB20*100/$E$20</f>
        <v/>
      </c>
      <c r="FD20" s="133" t="n"/>
      <c r="FE20" s="139">
        <f>FD20*100/$E$20</f>
        <v/>
      </c>
      <c r="FF20" s="133" t="n"/>
      <c r="FG20" s="139">
        <f>FF20*100/$E$20</f>
        <v/>
      </c>
      <c r="FH20" s="133" t="n"/>
      <c r="FI20" s="139">
        <f>FH20*100/$E$20</f>
        <v/>
      </c>
      <c r="FJ20" s="133" t="n"/>
      <c r="FK20" s="139">
        <f>FJ20*100/$E$20</f>
        <v/>
      </c>
      <c r="FL20" s="133" t="n"/>
      <c r="FM20" s="139">
        <f>FL20*100/$E$20</f>
        <v/>
      </c>
      <c r="FN20" s="133" t="n"/>
      <c r="FO20" s="139">
        <f>FN20*100/$E$20</f>
        <v/>
      </c>
      <c r="FP20" s="133" t="n"/>
      <c r="FQ20" s="139">
        <f>FP20*100/$E$20</f>
        <v/>
      </c>
      <c r="FR20" s="133" t="n"/>
      <c r="FS20" s="139">
        <f>FR20*100/$E$20</f>
        <v/>
      </c>
      <c r="FT20" s="133" t="n"/>
      <c r="FU20" s="139">
        <f>FT20*100/$E$20</f>
        <v/>
      </c>
      <c r="FV20" s="133" t="n"/>
      <c r="FW20" s="139">
        <f>FV20*100/$E$20</f>
        <v/>
      </c>
      <c r="FX20" s="133" t="n"/>
      <c r="FY20" s="140">
        <f>FX20*100/$E$20</f>
        <v/>
      </c>
      <c r="FZ20" s="133" t="n"/>
      <c r="GA20" s="140">
        <f>FZ20*100/$E$20</f>
        <v/>
      </c>
      <c r="GB20" s="133" t="n"/>
      <c r="GC20" s="140">
        <f>GB20*100/$E$20</f>
        <v/>
      </c>
      <c r="GD20" s="133" t="n"/>
      <c r="GE20" s="140">
        <f>GD20*100/$E$20</f>
        <v/>
      </c>
      <c r="GF20" s="133" t="n"/>
      <c r="GG20" s="140">
        <f>GF20*100/$E$20</f>
        <v/>
      </c>
      <c r="GH20" s="133" t="n"/>
      <c r="GI20" s="140">
        <f>GH20*100/$E$20</f>
        <v/>
      </c>
      <c r="GJ20" s="133" t="n"/>
      <c r="GK20" s="139">
        <f>GJ20*100/$E$20</f>
        <v/>
      </c>
      <c r="GL20" s="133" t="n"/>
      <c r="GM20" s="140">
        <f>GL20*100/$E$20</f>
        <v/>
      </c>
      <c r="GN20" s="133" t="n"/>
      <c r="GO20" s="139">
        <f>GN20*100/$E$20</f>
        <v/>
      </c>
      <c r="GP20" s="133" t="n"/>
      <c r="GQ20" s="140">
        <f>GP20*100/$E$20</f>
        <v/>
      </c>
      <c r="GR20" s="133" t="n"/>
      <c r="GS20" s="139">
        <f>GR20*100/$E$20</f>
        <v/>
      </c>
      <c r="GT20" s="133" t="n"/>
      <c r="GU20" s="139">
        <f>GT20*100/$E$20</f>
        <v/>
      </c>
      <c r="GV20" s="133" t="n"/>
      <c r="GW20" s="139">
        <f>GV20*100/$E$20</f>
        <v/>
      </c>
      <c r="GX20" s="133" t="n"/>
      <c r="GY20" s="140">
        <f>GX20*100/$E$20</f>
        <v/>
      </c>
      <c r="GZ20" s="133" t="n"/>
      <c r="HA20" s="140">
        <f>GZ20*100/$E$20</f>
        <v/>
      </c>
      <c r="HB20" s="133" t="n"/>
      <c r="HC20" s="140">
        <f>HB20*100/$E$20</f>
        <v/>
      </c>
      <c r="HD20" s="133" t="n"/>
      <c r="HE20" s="140">
        <f>HD20*100/$E$20</f>
        <v/>
      </c>
      <c r="HF20" s="133" t="n"/>
      <c r="HG20" s="140">
        <f>HF20*100/$E$20</f>
        <v/>
      </c>
      <c r="HH20" s="133" t="n"/>
      <c r="HI20" s="140">
        <f>HH20*100/$E$20</f>
        <v/>
      </c>
      <c r="HJ20" s="133" t="n"/>
      <c r="HK20" s="140">
        <f>HJ20*100/$E$20</f>
        <v/>
      </c>
      <c r="HL20" s="133" t="n"/>
      <c r="HM20" s="140">
        <f>HL20*100/$E$20</f>
        <v/>
      </c>
      <c r="HN20" s="133" t="n"/>
      <c r="HO20" s="140">
        <f>HN20*100/$E$20</f>
        <v/>
      </c>
      <c r="HP20" s="133" t="n"/>
      <c r="HQ20" s="140">
        <f>HP20*100/$E$20</f>
        <v/>
      </c>
      <c r="HR20" s="133" t="n"/>
      <c r="HS20" s="140">
        <f>HR20*100/$E$20</f>
        <v/>
      </c>
      <c r="HT20" s="133" t="n"/>
      <c r="HU20" s="140">
        <f>HT20*100/$E$20</f>
        <v/>
      </c>
      <c r="HV20" s="133" t="n"/>
      <c r="HW20" s="140">
        <f>HV20*100/$E$20</f>
        <v/>
      </c>
      <c r="HX20" s="133" t="n"/>
      <c r="HY20" s="140">
        <f>HX20*100/$E$20</f>
        <v/>
      </c>
      <c r="HZ20" s="133" t="n"/>
      <c r="IA20" s="139">
        <f>HZ20*100/$E$20</f>
        <v/>
      </c>
      <c r="IB20" s="133" t="n"/>
      <c r="IC20" s="139">
        <f>IB20*100/$E$20</f>
        <v/>
      </c>
      <c r="ID20" s="133" t="n"/>
      <c r="IE20" s="139">
        <f>ID20*100/$E$20</f>
        <v/>
      </c>
      <c r="IF20" s="133" t="n"/>
      <c r="IG20" s="139">
        <f>IF20*100/$E$20</f>
        <v/>
      </c>
      <c r="IH20" s="133" t="n"/>
      <c r="II20" s="139">
        <f>IH20*100/$E$20</f>
        <v/>
      </c>
      <c r="IJ20" s="133" t="n"/>
      <c r="IK20" s="139">
        <f>IJ20*100/$E$20</f>
        <v/>
      </c>
      <c r="IL20" s="133" t="n"/>
      <c r="IM20" s="140">
        <f>IL20*100/$E$20</f>
        <v/>
      </c>
      <c r="IN20" s="133" t="n"/>
      <c r="IO20" s="140">
        <f>IN20*100/$E$20</f>
        <v/>
      </c>
      <c r="IP20" s="133" t="n"/>
      <c r="IQ20" s="139">
        <f>IP20*100/$E$20</f>
        <v/>
      </c>
      <c r="IR20" s="133" t="n"/>
      <c r="IS20" s="139">
        <f>IR20*100/$E$20</f>
        <v/>
      </c>
      <c r="IT20" s="133" t="n"/>
      <c r="IU20" s="139">
        <f>IT20*100/$E$20</f>
        <v/>
      </c>
      <c r="IV20" s="133" t="n"/>
      <c r="IW20" s="139">
        <f>IV20*100/$E$20</f>
        <v/>
      </c>
      <c r="IX20" s="133" t="n"/>
      <c r="IY20" s="139">
        <f>IX20*100/$E$20</f>
        <v/>
      </c>
      <c r="IZ20" s="133" t="n"/>
      <c r="JA20" s="139">
        <f>IZ20*100/$E$20</f>
        <v/>
      </c>
      <c r="JB20" s="133" t="n"/>
      <c r="JC20" s="139">
        <f>JB20*100/$E$20</f>
        <v/>
      </c>
      <c r="JD20" s="133" t="n"/>
      <c r="JE20" s="139">
        <f>JD20*100/$E$20</f>
        <v/>
      </c>
      <c r="JF20" s="133" t="n"/>
      <c r="JG20" s="139">
        <f>JF20*100/$E$20</f>
        <v/>
      </c>
      <c r="JH20" s="133" t="n"/>
      <c r="JI20" s="139">
        <f>JH20*100/$E$20</f>
        <v/>
      </c>
      <c r="JJ20" s="133" t="n"/>
      <c r="JK20" s="139">
        <f>JJ20*100/$E$20</f>
        <v/>
      </c>
      <c r="JL20" s="133" t="n"/>
      <c r="JM20" s="139">
        <f>JL20*100/$E$20</f>
        <v/>
      </c>
      <c r="JN20" s="133" t="n"/>
      <c r="JO20" s="139">
        <f>JN20*100/$E$20</f>
        <v/>
      </c>
      <c r="JP20" s="133" t="n"/>
      <c r="JQ20" s="139">
        <f>JP20*100/$E$20</f>
        <v/>
      </c>
      <c r="JR20" s="133" t="n"/>
      <c r="JS20" s="139">
        <f>JR20*100/$E$20</f>
        <v/>
      </c>
      <c r="JT20" s="133" t="n"/>
      <c r="JU20" s="139">
        <f>JT20*100/$E$20</f>
        <v/>
      </c>
      <c r="JV20" s="133" t="n"/>
      <c r="JW20" s="139">
        <f>JV20*100/$E$20</f>
        <v/>
      </c>
      <c r="JX20" s="133" t="n"/>
      <c r="JY20" s="139">
        <f>JX20*100/$E$20</f>
        <v/>
      </c>
      <c r="JZ20" s="183">
        <f>JN20+JP20+JR20+JT20+JV20+JX20</f>
        <v/>
      </c>
      <c r="KA20" s="184">
        <f>JO20+JQ20+JS20+JU20+JW20+JY20</f>
        <v/>
      </c>
      <c r="KB20" s="185">
        <f>H20+J20+L20+N20+P20+R20+T20+V20+X20+Z20+AB20+AD20+AF20+AH20+AJ20+AL20+AN20+AP20+AR20+AT20+AV20+AX20+AZ20+BB20+BD20+BF20+BH20+BJ20+BL20+BN20+BP20+BR20+BT20+BV20+BX20+BZ20+CB20+CD20+CF20+CH20+CZ20+DB20+DD20+DF20+DH20+DJ20+DL20+DN20+DP20+DR20+DT20+DV20+DX20+DZ20+EB20+ED20+EF20+EH20+EJ20+EL20+EN20+EP20+ER20+ET20+EV20+FN20+FP20+FR20+FT20+FV20+FX20+FZ20+GB20+GD20+GF20+GH20+GJ20+GL20+GN20+GP20+GR20+GT20+GV20+GX20+GZ20+HB20+HD20+HF20+HH20+HJ20+HL20+HN20+HP20+HR20+HT20+HV20+HX20+HZ20+IB20+ID20+IF20+IH20+IJ20+IL20+IN20+IP20+IR20+IT20+IV20+IX20+IZ20+JB20+JD20+JF20+JH20+JJ20+JL20+JZ20+CJ20+CL20+CN20+CP20+CR20+CT20+CV20+CX20+EX20+EZ20+FB20+FD20+FF20+FH20+FJ20+FL20</f>
        <v/>
      </c>
      <c r="KC20" s="186">
        <f>I20+K20+M20+O20+Q20+S20+U20+W20+Y20+AA20+AC20+AE20+AG20+AI20+AK20+AM20+AO20+AQ20+AS20+AU20+AW20+AY20+BA20+BC20+BE20+BG20+BI20+BK20+BM20+BO20+BQ20+BS20+BU20+BW20+BY20+CA20+CC20+CE20+CG20+CI20+DA20+DC20+DE20+DG20+DI20+DK20+DM20+DO20+DQ20+DS20+DU20+DW20+DY20+EA20+EC20+EE20+EG20+EI20+EK20+EM20+EO20+EQ20+ES20+EU20+EW20+FO20+FS20+FU20+FW20+FQ20+FY20+GA20+GC20+GE20+GG20+GI20+GK20+GM20+GO20+GQ20+GS20+GU20+GW20+GY20+HA20+HC20+HE20+HG20+HI20+HK20+HM20+HO20+HQ20+HS20+HU20+HW20+HY20+IA20+IC20+IE20+IG20+II20+IK20+IM20+IO20+IQ20+IS20+IU20+IW20+IY20+JA20+JC20+JE20+JG20+JI20+JK20+JM20+KA20+CK20+CM20+CO20+CQ20+CS20+CU20+CW20+CY20+EY20+FA20+FC20+FE20+FG20+FI20+FK20+FM20</f>
        <v/>
      </c>
      <c r="KD20" s="187">
        <f>JO20+JQ20+JS20+JU20+JW20+JY20</f>
        <v/>
      </c>
      <c r="KE20" s="188">
        <f>KB20=E20</f>
        <v/>
      </c>
      <c r="KF20" s="189">
        <f>E20-KB20</f>
        <v/>
      </c>
      <c r="KG20" s="230" t="n"/>
    </row>
    <row r="21" ht="21.75" customFormat="1" customHeight="1" s="215">
      <c r="A21" s="126">
        <f>A20+1</f>
        <v/>
      </c>
      <c r="B21" s="199" t="inlineStr">
        <is>
          <t>Иванов А.И.</t>
        </is>
      </c>
      <c r="C21" s="200" t="inlineStr">
        <is>
          <t>токарь</t>
        </is>
      </c>
      <c r="D21" s="177">
        <f>$D$5</f>
        <v/>
      </c>
      <c r="E21" s="203" t="n">
        <v>148</v>
      </c>
      <c r="F21" s="178" t="n">
        <v>111265.49</v>
      </c>
      <c r="G21" s="179">
        <f>F21/D21</f>
        <v/>
      </c>
      <c r="H21" s="180" t="n"/>
      <c r="I21" s="139">
        <f>H21*100/$E$21</f>
        <v/>
      </c>
      <c r="J21" s="133" t="n"/>
      <c r="K21" s="139">
        <f>J21*100/$E$21</f>
        <v/>
      </c>
      <c r="L21" s="133" t="n"/>
      <c r="M21" s="139">
        <f>L21*100/$E$21</f>
        <v/>
      </c>
      <c r="N21" s="133" t="n"/>
      <c r="O21" s="139">
        <f>N21*100/$E$21</f>
        <v/>
      </c>
      <c r="P21" s="133" t="n"/>
      <c r="Q21" s="139">
        <f>P21*100/$E$21</f>
        <v/>
      </c>
      <c r="R21" s="133" t="n"/>
      <c r="S21" s="139">
        <f>R21*100/$E$21</f>
        <v/>
      </c>
      <c r="T21" s="133" t="n"/>
      <c r="U21" s="139">
        <f>T21*100/$E$21</f>
        <v/>
      </c>
      <c r="V21" s="133" t="n"/>
      <c r="W21" s="139">
        <f>V21*100/$E$21</f>
        <v/>
      </c>
      <c r="X21" s="133" t="n"/>
      <c r="Y21" s="139">
        <f>X21*100/$E$21</f>
        <v/>
      </c>
      <c r="Z21" s="133" t="n"/>
      <c r="AA21" s="139">
        <f>Z21*100/$E$21</f>
        <v/>
      </c>
      <c r="AB21" s="133">
        <f>4+4+3+7+4+3</f>
        <v/>
      </c>
      <c r="AC21" s="139">
        <f>AB21*100/$E$21</f>
        <v/>
      </c>
      <c r="AD21" s="133">
        <f>4+8+3+2</f>
        <v/>
      </c>
      <c r="AE21" s="139">
        <f>AD21*100/$E$21</f>
        <v/>
      </c>
      <c r="AF21" s="133" t="n"/>
      <c r="AG21" s="139">
        <f>AF21*100/$E$21</f>
        <v/>
      </c>
      <c r="AH21" s="133" t="n"/>
      <c r="AI21" s="139">
        <f>AH21*100/$E$21</f>
        <v/>
      </c>
      <c r="AJ21" s="133" t="n">
        <v>2</v>
      </c>
      <c r="AK21" s="139">
        <f>AJ21*100/$E$21</f>
        <v/>
      </c>
      <c r="AL21" s="133" t="n"/>
      <c r="AM21" s="139">
        <f>AL21*100/$E$21</f>
        <v/>
      </c>
      <c r="AN21" s="133" t="n"/>
      <c r="AO21" s="139">
        <f>AN21*100/$E$21</f>
        <v/>
      </c>
      <c r="AP21" s="133" t="n"/>
      <c r="AQ21" s="139">
        <f>AP21*100/$E$21</f>
        <v/>
      </c>
      <c r="AR21" s="133" t="n"/>
      <c r="AS21" s="139">
        <f>AR21*100/$E$21</f>
        <v/>
      </c>
      <c r="AT21" s="133" t="n">
        <v>6</v>
      </c>
      <c r="AU21" s="181">
        <f>AT21*100/$E$21</f>
        <v/>
      </c>
      <c r="AV21" s="133" t="n"/>
      <c r="AW21" s="139">
        <f>AV21*100/$E$21</f>
        <v/>
      </c>
      <c r="AX21" s="133" t="n"/>
      <c r="AY21" s="139">
        <f>AX21*100/$E$21</f>
        <v/>
      </c>
      <c r="AZ21" s="133" t="n">
        <v>6</v>
      </c>
      <c r="BA21" s="139">
        <f>AZ21*100/$E$21</f>
        <v/>
      </c>
      <c r="BB21" s="133" t="n"/>
      <c r="BC21" s="139">
        <f>BB21*100/$E$21</f>
        <v/>
      </c>
      <c r="BD21" s="133" t="n"/>
      <c r="BE21" s="139">
        <f>BD21*100/$E$21</f>
        <v/>
      </c>
      <c r="BF21" s="133" t="n"/>
      <c r="BG21" s="139">
        <f>BF21*100/$E$21</f>
        <v/>
      </c>
      <c r="BH21" s="133" t="n">
        <v>5</v>
      </c>
      <c r="BI21" s="139">
        <f>BH21*100/$E$21</f>
        <v/>
      </c>
      <c r="BJ21" s="133" t="n"/>
      <c r="BK21" s="139">
        <f>BJ21*100/$E$21</f>
        <v/>
      </c>
      <c r="BL21" s="133" t="n"/>
      <c r="BM21" s="139">
        <f>BL21*100/$E$21</f>
        <v/>
      </c>
      <c r="BN21" s="133" t="n"/>
      <c r="BO21" s="139">
        <f>BN21*100/$E$21</f>
        <v/>
      </c>
      <c r="BP21" s="133" t="n">
        <v>8</v>
      </c>
      <c r="BQ21" s="139">
        <f>BP21*100/$E$21</f>
        <v/>
      </c>
      <c r="BR21" s="133" t="n"/>
      <c r="BS21" s="139">
        <f>BR21*100/$E$21</f>
        <v/>
      </c>
      <c r="BT21" s="133" t="n"/>
      <c r="BU21" s="139">
        <f>BT21*100/$E$21</f>
        <v/>
      </c>
      <c r="BV21" s="133" t="n"/>
      <c r="BW21" s="139">
        <f>BV21*100/$E$21</f>
        <v/>
      </c>
      <c r="BX21" s="133">
        <f>8+4</f>
        <v/>
      </c>
      <c r="BY21" s="139">
        <f>BX21*100/$E$21</f>
        <v/>
      </c>
      <c r="BZ21" s="133" t="n"/>
      <c r="CA21" s="139">
        <f>BZ21*100/$E$21</f>
        <v/>
      </c>
      <c r="CB21" s="133" t="n"/>
      <c r="CC21" s="139">
        <f>CB21*100/$E$21</f>
        <v/>
      </c>
      <c r="CD21" s="133" t="n"/>
      <c r="CE21" s="139">
        <f>CD21*100/$E$21</f>
        <v/>
      </c>
      <c r="CF21" s="133" t="n"/>
      <c r="CG21" s="139">
        <f>CF21*100/$E$21</f>
        <v/>
      </c>
      <c r="CH21" s="133" t="n"/>
      <c r="CI21" s="139">
        <f>CH21*100/$E$21</f>
        <v/>
      </c>
      <c r="CJ21" s="133" t="n"/>
      <c r="CK21" s="139">
        <f>CJ21*100/$E$21</f>
        <v/>
      </c>
      <c r="CL21" s="133" t="n"/>
      <c r="CM21" s="139">
        <f>CL21*100/$E$21</f>
        <v/>
      </c>
      <c r="CN21" s="133">
        <f>2+2+4+5</f>
        <v/>
      </c>
      <c r="CO21" s="139">
        <f>CN21*100/$E$21</f>
        <v/>
      </c>
      <c r="CP21" s="133" t="n"/>
      <c r="CQ21" s="139">
        <f>CP21*100/$E$21</f>
        <v/>
      </c>
      <c r="CR21" s="133" t="n"/>
      <c r="CS21" s="139">
        <f>CR21*100/$E$21</f>
        <v/>
      </c>
      <c r="CT21" s="133" t="n"/>
      <c r="CU21" s="139">
        <f>CT21*100/$E$21</f>
        <v/>
      </c>
      <c r="CV21" s="133" t="n"/>
      <c r="CW21" s="139">
        <f>CV21*100/$E$21</f>
        <v/>
      </c>
      <c r="CX21" s="133" t="n"/>
      <c r="CY21" s="139">
        <f>CX21*100/$E$21</f>
        <v/>
      </c>
      <c r="CZ21" s="133" t="n"/>
      <c r="DA21" s="139">
        <f>CZ21*100/$E$21</f>
        <v/>
      </c>
      <c r="DB21" s="133" t="n"/>
      <c r="DC21" s="139">
        <f>DB21*100/$E$21</f>
        <v/>
      </c>
      <c r="DD21" s="133" t="n">
        <v>2</v>
      </c>
      <c r="DE21" s="139">
        <f>DD21*100/$E$21</f>
        <v/>
      </c>
      <c r="DF21" s="133" t="n"/>
      <c r="DG21" s="139">
        <f>DF21*100/$E$21</f>
        <v/>
      </c>
      <c r="DH21" s="133" t="n"/>
      <c r="DI21" s="139">
        <f>DH21*100/$E$21</f>
        <v/>
      </c>
      <c r="DJ21" s="133" t="n"/>
      <c r="DK21" s="139">
        <f>DJ21*100/$E$21</f>
        <v/>
      </c>
      <c r="DL21" s="133" t="n"/>
      <c r="DM21" s="139">
        <f>DL21*100/$E$21</f>
        <v/>
      </c>
      <c r="DN21" s="133" t="n"/>
      <c r="DO21" s="139">
        <f>DN21*100/$E$21</f>
        <v/>
      </c>
      <c r="DP21" s="133" t="n"/>
      <c r="DQ21" s="139">
        <f>DP21*100/$E$21</f>
        <v/>
      </c>
      <c r="DR21" s="133" t="n">
        <v>3</v>
      </c>
      <c r="DS21" s="139">
        <f>DR21*100/$E$21</f>
        <v/>
      </c>
      <c r="DT21" s="133">
        <f>8+8</f>
        <v/>
      </c>
      <c r="DU21" s="139">
        <f>DT21*100/$E$21</f>
        <v/>
      </c>
      <c r="DV21" s="133" t="n">
        <v>13</v>
      </c>
      <c r="DW21" s="139">
        <f>DV21*100/$E$21</f>
        <v/>
      </c>
      <c r="DX21" s="133" t="n"/>
      <c r="DY21" s="139">
        <f>DX21*100/$E$21</f>
        <v/>
      </c>
      <c r="DZ21" s="133" t="n"/>
      <c r="EA21" s="139">
        <f>DZ21*100/$E$21</f>
        <v/>
      </c>
      <c r="EB21" s="133" t="n"/>
      <c r="EC21" s="139">
        <f>EB21*100/$E$21</f>
        <v/>
      </c>
      <c r="ED21" s="133" t="n"/>
      <c r="EE21" s="139">
        <f>ED21*100/$E$21</f>
        <v/>
      </c>
      <c r="EF21" s="133" t="n"/>
      <c r="EG21" s="139">
        <f>EF21*100/$E$21</f>
        <v/>
      </c>
      <c r="EH21" s="133" t="n"/>
      <c r="EI21" s="139">
        <f>EH21*100/$E$21</f>
        <v/>
      </c>
      <c r="EJ21" s="133" t="n"/>
      <c r="EK21" s="139">
        <f>EJ21*100/$E$21</f>
        <v/>
      </c>
      <c r="EL21" s="133" t="n"/>
      <c r="EM21" s="139">
        <f>EL21*100/$E$21</f>
        <v/>
      </c>
      <c r="EN21" s="133" t="n"/>
      <c r="EO21" s="139">
        <f>EN21*100/$E$21</f>
        <v/>
      </c>
      <c r="EP21" s="133" t="n"/>
      <c r="EQ21" s="139">
        <f>EP21*100/$E$21</f>
        <v/>
      </c>
      <c r="ER21" s="133" t="n"/>
      <c r="ES21" s="139">
        <f>ER21*100/$E$21</f>
        <v/>
      </c>
      <c r="ET21" s="133" t="n"/>
      <c r="EU21" s="139">
        <f>ET21*100/$E$21</f>
        <v/>
      </c>
      <c r="EV21" s="133" t="n"/>
      <c r="EW21" s="139">
        <f>EV21*100/$E$21</f>
        <v/>
      </c>
      <c r="EX21" s="133" t="n"/>
      <c r="EY21" s="139">
        <f>EX21*100/$E$21</f>
        <v/>
      </c>
      <c r="EZ21" s="133" t="n"/>
      <c r="FA21" s="139">
        <f>EZ21*100/$E$21</f>
        <v/>
      </c>
      <c r="FB21" s="133" t="n"/>
      <c r="FC21" s="139">
        <f>FB21*100/$E$21</f>
        <v/>
      </c>
      <c r="FD21" s="133" t="n"/>
      <c r="FE21" s="139">
        <f>FD21*100/$E$21</f>
        <v/>
      </c>
      <c r="FF21" s="133" t="n"/>
      <c r="FG21" s="139">
        <f>FF21*100/$E$21</f>
        <v/>
      </c>
      <c r="FH21" s="133" t="n"/>
      <c r="FI21" s="139">
        <f>FH21*100/$E$21</f>
        <v/>
      </c>
      <c r="FJ21" s="133" t="n"/>
      <c r="FK21" s="139">
        <f>FJ21*100/$E$21</f>
        <v/>
      </c>
      <c r="FL21" s="133" t="n"/>
      <c r="FM21" s="139">
        <f>FL21*100/$E$21</f>
        <v/>
      </c>
      <c r="FN21" s="133" t="n"/>
      <c r="FO21" s="139">
        <f>FN21*100/$E$21</f>
        <v/>
      </c>
      <c r="FP21" s="133" t="n"/>
      <c r="FQ21" s="139">
        <f>FP21*100/$E$21</f>
        <v/>
      </c>
      <c r="FR21" s="133" t="n"/>
      <c r="FS21" s="139">
        <f>FR21*100/$E$21</f>
        <v/>
      </c>
      <c r="FT21" s="133" t="n"/>
      <c r="FU21" s="139">
        <f>FT21*100/$E$21</f>
        <v/>
      </c>
      <c r="FV21" s="133" t="n"/>
      <c r="FW21" s="139">
        <f>FV21*100/$E$21</f>
        <v/>
      </c>
      <c r="FX21" s="133" t="n"/>
      <c r="FY21" s="139">
        <f>FX21*100/$E$21</f>
        <v/>
      </c>
      <c r="FZ21" s="133" t="n"/>
      <c r="GA21" s="139">
        <f>FZ21*100/$E$21</f>
        <v/>
      </c>
      <c r="GB21" s="133" t="n"/>
      <c r="GC21" s="139">
        <f>GB21*100/$E$21</f>
        <v/>
      </c>
      <c r="GD21" s="133" t="n"/>
      <c r="GE21" s="139">
        <f>GD21*100/$E$21</f>
        <v/>
      </c>
      <c r="GF21" s="133" t="n"/>
      <c r="GG21" s="139">
        <f>GF21*100/$E$21</f>
        <v/>
      </c>
      <c r="GH21" s="133" t="n"/>
      <c r="GI21" s="139">
        <f>GH21*100/$E$21</f>
        <v/>
      </c>
      <c r="GJ21" s="133" t="n"/>
      <c r="GK21" s="139">
        <f>GJ21*100/$E$21</f>
        <v/>
      </c>
      <c r="GL21" s="133" t="n"/>
      <c r="GM21" s="139">
        <f>GL21*100/$E$21</f>
        <v/>
      </c>
      <c r="GN21" s="133" t="n"/>
      <c r="GO21" s="139">
        <f>GN21*100/$E$21</f>
        <v/>
      </c>
      <c r="GP21" s="133" t="n"/>
      <c r="GQ21" s="139">
        <f>GP21*100/$E$21</f>
        <v/>
      </c>
      <c r="GR21" s="133" t="n"/>
      <c r="GS21" s="139">
        <f>GR21*100/$E$21</f>
        <v/>
      </c>
      <c r="GT21" s="133" t="n"/>
      <c r="GU21" s="139">
        <f>GT21*100/$E$21</f>
        <v/>
      </c>
      <c r="GV21" s="133" t="n"/>
      <c r="GW21" s="139">
        <f>GV21*100/$E$21</f>
        <v/>
      </c>
      <c r="GX21" s="133" t="n"/>
      <c r="GY21" s="139">
        <f>GX21*100/$E$21</f>
        <v/>
      </c>
      <c r="GZ21" s="133" t="n"/>
      <c r="HA21" s="139">
        <f>GZ21*100/$E$21</f>
        <v/>
      </c>
      <c r="HB21" s="133" t="n"/>
      <c r="HC21" s="139">
        <f>HB21*100/$E$21</f>
        <v/>
      </c>
      <c r="HD21" s="133" t="n"/>
      <c r="HE21" s="139">
        <f>HD21*100/$E$21</f>
        <v/>
      </c>
      <c r="HF21" s="133" t="n"/>
      <c r="HG21" s="139">
        <f>HF21*100/$E$21</f>
        <v/>
      </c>
      <c r="HH21" s="133" t="n"/>
      <c r="HI21" s="139">
        <f>HH21*100/$E$21</f>
        <v/>
      </c>
      <c r="HJ21" s="133" t="n"/>
      <c r="HK21" s="139">
        <f>HJ21*100/$E$21</f>
        <v/>
      </c>
      <c r="HL21" s="133" t="n"/>
      <c r="HM21" s="139">
        <f>HL21*100/$E$21</f>
        <v/>
      </c>
      <c r="HN21" s="133" t="n"/>
      <c r="HO21" s="139">
        <f>HN21*100/$E$21</f>
        <v/>
      </c>
      <c r="HP21" s="133" t="n"/>
      <c r="HQ21" s="139">
        <f>HP21*100/$E$21</f>
        <v/>
      </c>
      <c r="HR21" s="133" t="n"/>
      <c r="HS21" s="139">
        <f>HR21*100/$E$21</f>
        <v/>
      </c>
      <c r="HT21" s="133" t="n"/>
      <c r="HU21" s="139">
        <f>HT21*100/$E$21</f>
        <v/>
      </c>
      <c r="HV21" s="133" t="n"/>
      <c r="HW21" s="139">
        <f>HV21*100/$E$21</f>
        <v/>
      </c>
      <c r="HX21" s="133" t="n"/>
      <c r="HY21" s="139">
        <f>HX21*100/$E$21</f>
        <v/>
      </c>
      <c r="HZ21" s="133" t="n"/>
      <c r="IA21" s="139">
        <f>HZ21*100/$E$21</f>
        <v/>
      </c>
      <c r="IB21" s="133" t="n"/>
      <c r="IC21" s="139">
        <f>IB21*100/$E$21</f>
        <v/>
      </c>
      <c r="ID21" s="133" t="n"/>
      <c r="IE21" s="139">
        <f>ID21*100/$E$21</f>
        <v/>
      </c>
      <c r="IF21" s="133" t="n"/>
      <c r="IG21" s="139">
        <f>IF21*100/$E$21</f>
        <v/>
      </c>
      <c r="IH21" s="133" t="n"/>
      <c r="II21" s="139">
        <f>IH21*100/$E$21</f>
        <v/>
      </c>
      <c r="IJ21" s="133" t="n"/>
      <c r="IK21" s="139">
        <f>IJ21*100/$E$21</f>
        <v/>
      </c>
      <c r="IL21" s="133" t="n"/>
      <c r="IM21" s="139">
        <f>IL21*100/$E$21</f>
        <v/>
      </c>
      <c r="IN21" s="133" t="n"/>
      <c r="IO21" s="139">
        <f>IN21*100/$E$21</f>
        <v/>
      </c>
      <c r="IP21" s="133" t="n"/>
      <c r="IQ21" s="139">
        <f>IP21*100/$E$21</f>
        <v/>
      </c>
      <c r="IR21" s="133" t="n"/>
      <c r="IS21" s="139">
        <f>IR21*100/$E$21</f>
        <v/>
      </c>
      <c r="IT21" s="133" t="n"/>
      <c r="IU21" s="139">
        <f>IT21*100/$E$21</f>
        <v/>
      </c>
      <c r="IV21" s="133" t="n"/>
      <c r="IW21" s="139">
        <f>IV21*100/$E$21</f>
        <v/>
      </c>
      <c r="IX21" s="133" t="n"/>
      <c r="IY21" s="139">
        <f>IX21*100/$E$21</f>
        <v/>
      </c>
      <c r="IZ21" s="133" t="n"/>
      <c r="JA21" s="139">
        <f>IZ21*100/$E$21</f>
        <v/>
      </c>
      <c r="JB21" s="133" t="n"/>
      <c r="JC21" s="139">
        <f>JB21*100/$E$21</f>
        <v/>
      </c>
      <c r="JD21" s="133" t="n"/>
      <c r="JE21" s="139">
        <f>JD21*100/$E$21</f>
        <v/>
      </c>
      <c r="JF21" s="133" t="n"/>
      <c r="JG21" s="139">
        <f>JF21*100/$E$21</f>
        <v/>
      </c>
      <c r="JH21" s="133" t="n"/>
      <c r="JI21" s="139">
        <f>JH21*100/$E$21</f>
        <v/>
      </c>
      <c r="JJ21" s="133" t="n"/>
      <c r="JK21" s="139">
        <f>JJ21*100/$E$21</f>
        <v/>
      </c>
      <c r="JL21" s="133">
        <f>8+6+6</f>
        <v/>
      </c>
      <c r="JM21" s="139">
        <f>JL21*100/$E$21</f>
        <v/>
      </c>
      <c r="JN21" s="133" t="n"/>
      <c r="JO21" s="139">
        <f>JN21*100/$E$21</f>
        <v/>
      </c>
      <c r="JP21" s="133" t="n"/>
      <c r="JQ21" s="139">
        <f>JP21*100/$E$21</f>
        <v/>
      </c>
      <c r="JR21" s="133" t="n"/>
      <c r="JS21" s="139">
        <f>JR21*100/$E$21</f>
        <v/>
      </c>
      <c r="JT21" s="133" t="n"/>
      <c r="JU21" s="139">
        <f>JT21*100/$E$21</f>
        <v/>
      </c>
      <c r="JV21" s="133" t="n"/>
      <c r="JW21" s="139">
        <f>JV21*100/$E$21</f>
        <v/>
      </c>
      <c r="JX21" s="133" t="n"/>
      <c r="JY21" s="139">
        <f>JX21*100/$E$21</f>
        <v/>
      </c>
      <c r="JZ21" s="183">
        <f>JN21+JP21+JR21+JT21+JV21+JX21</f>
        <v/>
      </c>
      <c r="KA21" s="184">
        <f>JO21+JQ21+JS21+JU21+JW21+JY21</f>
        <v/>
      </c>
      <c r="KB21" s="185">
        <f>H21+J21+L21+N21+P21+R21+T21+V21+X21+Z21+AB21+AD21+AF21+AH21+AJ21+AL21+AN21+AP21+AR21+AT21+AV21+AX21+AZ21+BB21+BD21+BF21+BH21+BJ21+BL21+BN21+BP21+BR21+BT21+BV21+BX21+BZ21+CB21+CD21+CF21+CH21+CZ21+DB21+DD21+DF21+DH21+DJ21+DL21+DN21+DP21+DR21+DT21+DV21+DX21+DZ21+EB21+ED21+EF21+EH21+EJ21+EL21+EN21+EP21+ER21+ET21+EV21+FN21+FP21+FR21+FT21+FV21+FX21+FZ21+GB21+GD21+GF21+GH21+GJ21+GL21+GN21+GP21+GR21+GT21+GV21+GX21+GZ21+HB21+HD21+HF21+HH21+HJ21+HL21+HN21+HP21+HR21+HT21+HV21+HX21+HZ21+IB21+ID21+IF21+IH21+IJ21+IL21+IN21+IP21+IR21+IT21+IV21+IX21+IZ21+JB21+JD21+JF21+JH21+JJ21+JL21+JZ21+CJ21+CL21+CN21+CP21+CR21+CT21+CV21+CX21+EX21+EZ21+FB21+FD21+FF21+FH21+FJ21+FL21</f>
        <v/>
      </c>
      <c r="KC21" s="186">
        <f>I21+K21+M21+O21+Q21+S21+U21+W21+Y21+AA21+AC21+AE21+AG21+AI21+AK21+AM21+AO21+AQ21+AS21+AU21+AW21+AY21+BA21+BC21+BE21+BG21+BI21+BK21+BM21+BO21+BQ21+BS21+BU21+BW21+BY21+CA21+CC21+CE21+CG21+CI21+DA21+DC21+DE21+DG21+DI21+DK21+DM21+DO21+DQ21+DS21+DU21+DW21+DY21+EA21+EC21+EE21+EG21+EI21+EK21+EM21+EO21+EQ21+ES21+EU21+EW21+FO21+FS21+FU21+FW21+FQ21+FY21+GA21+GC21+GE21+GG21+GI21+GK21+GM21+GO21+GQ21+GS21+GU21+GW21+GY21+HA21+HC21+HE21+HG21+HI21+HK21+HM21+HO21+HQ21+HS21+HU21+HW21+HY21+IA21+IC21+IE21+IG21+II21+IK21+IM21+IO21+IQ21+IS21+IU21+IW21+IY21+JA21+JC21+JE21+JG21+JI21+JK21+JM21+KA21+CK21+CM21+CO21+CQ21+CS21+CU21+CW21+CY21+EY21+FA21+FC21+FE21+FG21+FI21+FK21+FM21</f>
        <v/>
      </c>
      <c r="KD21" s="187">
        <f>JO21+JQ21+JS21+JU21+JW21+JY21</f>
        <v/>
      </c>
      <c r="KE21" s="188">
        <f>KB21=E21</f>
        <v/>
      </c>
      <c r="KF21" s="189">
        <f>E21-KB21</f>
        <v/>
      </c>
      <c r="KG21" s="231" t="n"/>
    </row>
    <row r="22" ht="21.75" customFormat="1" customHeight="1" s="236">
      <c r="A22" s="126">
        <f>A21+1</f>
        <v/>
      </c>
      <c r="B22" s="199" t="inlineStr">
        <is>
          <t>Ившин К.С.</t>
        </is>
      </c>
      <c r="C22" s="176" t="inlineStr">
        <is>
          <t>сварщик</t>
        </is>
      </c>
      <c r="D22" s="177">
        <f>$D$5</f>
        <v/>
      </c>
      <c r="E22" s="202" t="n">
        <v>72</v>
      </c>
      <c r="F22" s="178" t="n">
        <v>67377.96000000001</v>
      </c>
      <c r="G22" s="179">
        <f>F22/D22</f>
        <v/>
      </c>
      <c r="H22" s="180" t="n"/>
      <c r="I22" s="140">
        <f>H22*100/$E$22</f>
        <v/>
      </c>
      <c r="J22" s="133" t="n"/>
      <c r="K22" s="140">
        <f>J22*100/$E$22</f>
        <v/>
      </c>
      <c r="L22" s="133" t="n"/>
      <c r="M22" s="140">
        <f>L22*100/$E$22</f>
        <v/>
      </c>
      <c r="N22" s="133" t="n"/>
      <c r="O22" s="140">
        <f>N22*100/$E$22</f>
        <v/>
      </c>
      <c r="P22" s="133" t="n"/>
      <c r="Q22" s="139">
        <f>P22*100/$E$22</f>
        <v/>
      </c>
      <c r="R22" s="133" t="n"/>
      <c r="S22" s="139">
        <f>R22*100/$E$22</f>
        <v/>
      </c>
      <c r="T22" s="133" t="n"/>
      <c r="U22" s="140">
        <f>T22*100/$E$22</f>
        <v/>
      </c>
      <c r="V22" s="133" t="n"/>
      <c r="W22" s="140">
        <f>V22*100/$E$22</f>
        <v/>
      </c>
      <c r="X22" s="133" t="n"/>
      <c r="Y22" s="140">
        <f>X22*100/$E$22</f>
        <v/>
      </c>
      <c r="Z22" s="133" t="n"/>
      <c r="AA22" s="140">
        <f>Z22*100/$E$22</f>
        <v/>
      </c>
      <c r="AB22" s="133" t="n"/>
      <c r="AC22" s="140">
        <f>AB22*100/$E$22</f>
        <v/>
      </c>
      <c r="AD22" s="133" t="n"/>
      <c r="AE22" s="139">
        <f>AD22*100/$E$22</f>
        <v/>
      </c>
      <c r="AF22" s="133" t="n"/>
      <c r="AG22" s="139">
        <f>AF22*100/$E$22</f>
        <v/>
      </c>
      <c r="AH22" s="133" t="n"/>
      <c r="AI22" s="140">
        <f>AH22*100/$E$22</f>
        <v/>
      </c>
      <c r="AJ22" s="133" t="n"/>
      <c r="AK22" s="140">
        <f>AJ22*100/$E$22</f>
        <v/>
      </c>
      <c r="AL22" s="133" t="n"/>
      <c r="AM22" s="140">
        <f>AL22*100/$E$22</f>
        <v/>
      </c>
      <c r="AN22" s="133" t="n"/>
      <c r="AO22" s="140">
        <f>AN22*100/$E$22</f>
        <v/>
      </c>
      <c r="AP22" s="133" t="n"/>
      <c r="AQ22" s="140">
        <f>AP22*100/$E$22</f>
        <v/>
      </c>
      <c r="AR22" s="133" t="n"/>
      <c r="AS22" s="140">
        <f>AR22*100/$E$22</f>
        <v/>
      </c>
      <c r="AT22" s="133" t="n"/>
      <c r="AU22" s="181">
        <f>AT22*100/$E$22</f>
        <v/>
      </c>
      <c r="AV22" s="133" t="n"/>
      <c r="AW22" s="140">
        <f>AV22*100/$E$22</f>
        <v/>
      </c>
      <c r="AX22" s="133" t="n"/>
      <c r="AY22" s="140">
        <f>AX22*100/$E$22</f>
        <v/>
      </c>
      <c r="AZ22" s="133" t="n"/>
      <c r="BA22" s="140">
        <f>AZ22*100/$E$22</f>
        <v/>
      </c>
      <c r="BB22" s="133" t="n"/>
      <c r="BC22" s="140">
        <f>BB22*100/$E$22</f>
        <v/>
      </c>
      <c r="BD22" s="133" t="n"/>
      <c r="BE22" s="140">
        <f>BD22*100/$E$22</f>
        <v/>
      </c>
      <c r="BF22" s="133" t="n"/>
      <c r="BG22" s="140">
        <f>BF22*100/$E$22</f>
        <v/>
      </c>
      <c r="BH22" s="133" t="n"/>
      <c r="BI22" s="140">
        <f>BH22*100/$E$22</f>
        <v/>
      </c>
      <c r="BJ22" s="133" t="n"/>
      <c r="BK22" s="140">
        <f>BJ22*100/$E$22</f>
        <v/>
      </c>
      <c r="BL22" s="133" t="n"/>
      <c r="BM22" s="140">
        <f>BL22*100/$E$22</f>
        <v/>
      </c>
      <c r="BN22" s="133" t="n"/>
      <c r="BO22" s="140">
        <f>BN22*100/$E$22</f>
        <v/>
      </c>
      <c r="BP22" s="133" t="n"/>
      <c r="BQ22" s="140">
        <f>BP22*100/$E$22</f>
        <v/>
      </c>
      <c r="BR22" s="133" t="n"/>
      <c r="BS22" s="140">
        <f>BR22*100/$E$22</f>
        <v/>
      </c>
      <c r="BT22" s="133" t="n"/>
      <c r="BU22" s="140">
        <f>BT22*100/$E$22</f>
        <v/>
      </c>
      <c r="BV22" s="133" t="n"/>
      <c r="BW22" s="140">
        <f>BV22*100/$E$22</f>
        <v/>
      </c>
      <c r="BX22" s="133" t="n"/>
      <c r="BY22" s="140">
        <f>BX22*100/$E$22</f>
        <v/>
      </c>
      <c r="BZ22" s="133" t="n"/>
      <c r="CA22" s="140">
        <f>BZ22*100/$E$22</f>
        <v/>
      </c>
      <c r="CB22" s="133" t="n"/>
      <c r="CC22" s="140">
        <f>CB22*100/$E$22</f>
        <v/>
      </c>
      <c r="CD22" s="133" t="n"/>
      <c r="CE22" s="140">
        <f>CD22*100/$E$22</f>
        <v/>
      </c>
      <c r="CF22" s="133" t="n"/>
      <c r="CG22" s="140">
        <f>CF22*100/$E$22</f>
        <v/>
      </c>
      <c r="CH22" s="133" t="n"/>
      <c r="CI22" s="140">
        <f>CH22*100/$E$22</f>
        <v/>
      </c>
      <c r="CJ22" s="133" t="n"/>
      <c r="CK22" s="140">
        <f>CJ22*100/$E$22</f>
        <v/>
      </c>
      <c r="CL22" s="133" t="n"/>
      <c r="CM22" s="140">
        <f>CL22*100/$E$22</f>
        <v/>
      </c>
      <c r="CN22" s="133" t="n"/>
      <c r="CO22" s="139">
        <f>CN22*100/$E$22</f>
        <v/>
      </c>
      <c r="CP22" s="133" t="n"/>
      <c r="CQ22" s="140">
        <f>CP22*100/$E$22</f>
        <v/>
      </c>
      <c r="CR22" s="133" t="n"/>
      <c r="CS22" s="139">
        <f>CR22*100/$E$22</f>
        <v/>
      </c>
      <c r="CT22" s="133" t="n"/>
      <c r="CU22" s="139">
        <f>CT22*100/$E$22</f>
        <v/>
      </c>
      <c r="CV22" s="133" t="n"/>
      <c r="CW22" s="139">
        <f>CV22*100/$E$22</f>
        <v/>
      </c>
      <c r="CX22" s="133" t="n"/>
      <c r="CY22" s="139">
        <f>CX22*100/$E$22</f>
        <v/>
      </c>
      <c r="CZ22" s="133" t="n"/>
      <c r="DA22" s="139">
        <f>CZ22*100/$E$22</f>
        <v/>
      </c>
      <c r="DB22" s="133" t="n"/>
      <c r="DC22" s="139">
        <f>DB22*100/$E$22</f>
        <v/>
      </c>
      <c r="DD22" s="133" t="n"/>
      <c r="DE22" s="139">
        <f>DD22*100/$E$22</f>
        <v/>
      </c>
      <c r="DF22" s="133" t="n"/>
      <c r="DG22" s="139">
        <f>DF22*100/$E$22</f>
        <v/>
      </c>
      <c r="DH22" s="133" t="n"/>
      <c r="DI22" s="139">
        <f>DH22*100/$E$22</f>
        <v/>
      </c>
      <c r="DJ22" s="133" t="n"/>
      <c r="DK22" s="139">
        <f>DJ22*100/$E$22</f>
        <v/>
      </c>
      <c r="DL22" s="133" t="n"/>
      <c r="DM22" s="139">
        <f>DL22*100/$E$22</f>
        <v/>
      </c>
      <c r="DN22" s="133" t="n"/>
      <c r="DO22" s="139">
        <f>DN22*100/$E$22</f>
        <v/>
      </c>
      <c r="DP22" s="133" t="n"/>
      <c r="DQ22" s="139">
        <f>DP22*100/$E$22</f>
        <v/>
      </c>
      <c r="DR22" s="133" t="n"/>
      <c r="DS22" s="139">
        <f>DR22*100/$E$22</f>
        <v/>
      </c>
      <c r="DT22" s="133" t="n"/>
      <c r="DU22" s="139">
        <f>DT22*100/$E$22</f>
        <v/>
      </c>
      <c r="DV22" s="133" t="n"/>
      <c r="DW22" s="139">
        <f>DV22*100/$E$22</f>
        <v/>
      </c>
      <c r="DX22" s="133" t="n"/>
      <c r="DY22" s="139">
        <f>DX22*100/$E$22</f>
        <v/>
      </c>
      <c r="DZ22" s="133" t="n"/>
      <c r="EA22" s="139">
        <f>DZ22*100/$E$22</f>
        <v/>
      </c>
      <c r="EB22" s="133" t="n"/>
      <c r="EC22" s="139">
        <f>EB22*100/$E$22</f>
        <v/>
      </c>
      <c r="ED22" s="133" t="n"/>
      <c r="EE22" s="139">
        <f>ED22*100/$E$22</f>
        <v/>
      </c>
      <c r="EF22" s="133" t="n"/>
      <c r="EG22" s="139">
        <f>EF22*100/$E$22</f>
        <v/>
      </c>
      <c r="EH22" s="133" t="n"/>
      <c r="EI22" s="139">
        <f>EH22*100/$E$22</f>
        <v/>
      </c>
      <c r="EJ22" s="133" t="n"/>
      <c r="EK22" s="139">
        <f>EJ22*100/$E$22</f>
        <v/>
      </c>
      <c r="EL22" s="133" t="n"/>
      <c r="EM22" s="139">
        <f>EL22*100/$E$22</f>
        <v/>
      </c>
      <c r="EN22" s="133" t="n"/>
      <c r="EO22" s="139">
        <f>EN22*100/$E$22</f>
        <v/>
      </c>
      <c r="EP22" s="133" t="n"/>
      <c r="EQ22" s="139">
        <f>EP22*100/$E$22</f>
        <v/>
      </c>
      <c r="ER22" s="133" t="n"/>
      <c r="ES22" s="139">
        <f>ER22*100/$E$22</f>
        <v/>
      </c>
      <c r="ET22" s="133" t="n"/>
      <c r="EU22" s="139">
        <f>ET22*100/$E$22</f>
        <v/>
      </c>
      <c r="EV22" s="133" t="n"/>
      <c r="EW22" s="139">
        <f>EV22*100/$E$22</f>
        <v/>
      </c>
      <c r="EX22" s="133" t="n"/>
      <c r="EY22" s="139">
        <f>EX22*100/$E$22</f>
        <v/>
      </c>
      <c r="EZ22" s="133" t="n"/>
      <c r="FA22" s="139">
        <f>EZ22*100/$E$22</f>
        <v/>
      </c>
      <c r="FB22" s="133" t="n"/>
      <c r="FC22" s="139">
        <f>FB22*100/$E$22</f>
        <v/>
      </c>
      <c r="FD22" s="133" t="n"/>
      <c r="FE22" s="139">
        <f>FD22*100/$E$22</f>
        <v/>
      </c>
      <c r="FF22" s="133" t="n"/>
      <c r="FG22" s="139">
        <f>FF22*100/$E$22</f>
        <v/>
      </c>
      <c r="FH22" s="133" t="n"/>
      <c r="FI22" s="139">
        <f>FH22*100/$E$22</f>
        <v/>
      </c>
      <c r="FJ22" s="133" t="n"/>
      <c r="FK22" s="139">
        <f>FJ22*100/$E$22</f>
        <v/>
      </c>
      <c r="FL22" s="133" t="n"/>
      <c r="FM22" s="139">
        <f>FL22*100/$E$22</f>
        <v/>
      </c>
      <c r="FN22" s="133" t="n"/>
      <c r="FO22" s="139">
        <f>FN22*100/$E$22</f>
        <v/>
      </c>
      <c r="FP22" s="133" t="n"/>
      <c r="FQ22" s="139">
        <f>FP22*100/$E$22</f>
        <v/>
      </c>
      <c r="FR22" s="133" t="n"/>
      <c r="FS22" s="139">
        <f>FR22*100/$E$22</f>
        <v/>
      </c>
      <c r="FT22" s="133" t="n"/>
      <c r="FU22" s="139">
        <f>FT22*100/$E$22</f>
        <v/>
      </c>
      <c r="FV22" s="133" t="n"/>
      <c r="FW22" s="139">
        <f>FV22*100/$E$22</f>
        <v/>
      </c>
      <c r="FX22" s="133" t="n"/>
      <c r="FY22" s="140">
        <f>FX22*100/$E$22</f>
        <v/>
      </c>
      <c r="FZ22" s="133" t="n"/>
      <c r="GA22" s="140">
        <f>FZ22*100/$E$22</f>
        <v/>
      </c>
      <c r="GB22" s="133" t="n"/>
      <c r="GC22" s="140">
        <f>GB22*100/$E$22</f>
        <v/>
      </c>
      <c r="GD22" s="133" t="n"/>
      <c r="GE22" s="140">
        <f>GD22*100/$E$22</f>
        <v/>
      </c>
      <c r="GF22" s="133" t="n"/>
      <c r="GG22" s="140">
        <f>GF22*100/$E$22</f>
        <v/>
      </c>
      <c r="GH22" s="133" t="n"/>
      <c r="GI22" s="140">
        <f>GH22*100/$E$22</f>
        <v/>
      </c>
      <c r="GJ22" s="133" t="n"/>
      <c r="GK22" s="139">
        <f>GJ22*100/$E$22</f>
        <v/>
      </c>
      <c r="GL22" s="133" t="n"/>
      <c r="GM22" s="140">
        <f>GL22*100/$E$22</f>
        <v/>
      </c>
      <c r="GN22" s="133" t="n"/>
      <c r="GO22" s="139">
        <f>GN22*100/$E$22</f>
        <v/>
      </c>
      <c r="GP22" s="133" t="n"/>
      <c r="GQ22" s="140">
        <f>GP22*100/$E$22</f>
        <v/>
      </c>
      <c r="GR22" s="133" t="n"/>
      <c r="GS22" s="139">
        <f>GR22*100/$E$22</f>
        <v/>
      </c>
      <c r="GT22" s="133" t="n"/>
      <c r="GU22" s="139">
        <f>GT22*100/$E$22</f>
        <v/>
      </c>
      <c r="GV22" s="133" t="n"/>
      <c r="GW22" s="139">
        <f>GV22*100/$E$22</f>
        <v/>
      </c>
      <c r="GX22" s="133" t="n"/>
      <c r="GY22" s="140">
        <f>GX22*100/$E$22</f>
        <v/>
      </c>
      <c r="GZ22" s="133" t="n"/>
      <c r="HA22" s="140">
        <f>GZ22*100/$E$22</f>
        <v/>
      </c>
      <c r="HB22" s="133" t="n"/>
      <c r="HC22" s="140">
        <f>HB22*100/$E$22</f>
        <v/>
      </c>
      <c r="HD22" s="133" t="n"/>
      <c r="HE22" s="140">
        <f>HD22*100/$E$22</f>
        <v/>
      </c>
      <c r="HF22" s="133" t="n"/>
      <c r="HG22" s="140">
        <f>HF22*100/$E$22</f>
        <v/>
      </c>
      <c r="HH22" s="133" t="n"/>
      <c r="HI22" s="140">
        <f>HH22*100/$E$22</f>
        <v/>
      </c>
      <c r="HJ22" s="133" t="n"/>
      <c r="HK22" s="140">
        <f>HJ22*100/$E$22</f>
        <v/>
      </c>
      <c r="HL22" s="133" t="n"/>
      <c r="HM22" s="140">
        <f>HL22*100/$E$22</f>
        <v/>
      </c>
      <c r="HN22" s="133" t="n"/>
      <c r="HO22" s="140">
        <f>HN22*100/$E$22</f>
        <v/>
      </c>
      <c r="HP22" s="133" t="n"/>
      <c r="HQ22" s="140">
        <f>HP22*100/$E$22</f>
        <v/>
      </c>
      <c r="HR22" s="133" t="n"/>
      <c r="HS22" s="140">
        <f>HR22*100/$E$22</f>
        <v/>
      </c>
      <c r="HT22" s="133" t="n"/>
      <c r="HU22" s="140">
        <f>HT22*100/$E$22</f>
        <v/>
      </c>
      <c r="HV22" s="133" t="n"/>
      <c r="HW22" s="140">
        <f>HV22*100/$E$22</f>
        <v/>
      </c>
      <c r="HX22" s="133" t="n"/>
      <c r="HY22" s="140">
        <f>HX22*100/$E$22</f>
        <v/>
      </c>
      <c r="HZ22" s="133" t="n"/>
      <c r="IA22" s="139">
        <f>HZ22*100/$E$22</f>
        <v/>
      </c>
      <c r="IB22" s="133" t="n"/>
      <c r="IC22" s="139">
        <f>IB22*100/$E$22</f>
        <v/>
      </c>
      <c r="ID22" s="133" t="n"/>
      <c r="IE22" s="139">
        <f>ID22*100/$E$22</f>
        <v/>
      </c>
      <c r="IF22" s="133" t="n"/>
      <c r="IG22" s="139">
        <f>IF22*100/$E$22</f>
        <v/>
      </c>
      <c r="IH22" s="133" t="n"/>
      <c r="II22" s="139">
        <f>IH22*100/$E$22</f>
        <v/>
      </c>
      <c r="IJ22" s="133" t="n"/>
      <c r="IK22" s="139">
        <f>IJ22*100/$E$22</f>
        <v/>
      </c>
      <c r="IL22" s="133" t="n"/>
      <c r="IM22" s="140">
        <f>IL22*100/$E$22</f>
        <v/>
      </c>
      <c r="IN22" s="133" t="n"/>
      <c r="IO22" s="140">
        <f>IN22*100/$E$22</f>
        <v/>
      </c>
      <c r="IP22" s="133" t="n"/>
      <c r="IQ22" s="139">
        <f>IP22*100/$E$22</f>
        <v/>
      </c>
      <c r="IR22" s="133" t="n"/>
      <c r="IS22" s="139">
        <f>IR22*100/$E$22</f>
        <v/>
      </c>
      <c r="IT22" s="133" t="n"/>
      <c r="IU22" s="139">
        <f>IT22*100/$E$22</f>
        <v/>
      </c>
      <c r="IV22" s="133" t="n"/>
      <c r="IW22" s="139">
        <f>IV22*100/$E$22</f>
        <v/>
      </c>
      <c r="IX22" s="133" t="n"/>
      <c r="IY22" s="139">
        <f>IX22*100/$E$22</f>
        <v/>
      </c>
      <c r="IZ22" s="133" t="n"/>
      <c r="JA22" s="139">
        <f>IZ22*100/$E$22</f>
        <v/>
      </c>
      <c r="JB22" s="133" t="n"/>
      <c r="JC22" s="139">
        <f>JB22*100/$E$22</f>
        <v/>
      </c>
      <c r="JD22" s="133" t="n"/>
      <c r="JE22" s="139">
        <f>JD22*100/$E$22</f>
        <v/>
      </c>
      <c r="JF22" s="133" t="n"/>
      <c r="JG22" s="139">
        <f>JF22*100/$E$22</f>
        <v/>
      </c>
      <c r="JH22" s="133" t="n"/>
      <c r="JI22" s="139">
        <f>JH22*100/$E$22</f>
        <v/>
      </c>
      <c r="JJ22" s="133" t="n"/>
      <c r="JK22" s="139">
        <f>JJ22*100/$E$22</f>
        <v/>
      </c>
      <c r="JL22" s="133" t="n">
        <v>4</v>
      </c>
      <c r="JM22" s="139">
        <f>JL22*100/$E$22</f>
        <v/>
      </c>
      <c r="JN22" s="133">
        <f>8+8+8+8+8+4+8</f>
        <v/>
      </c>
      <c r="JO22" s="139">
        <f>JN22*100/$E$22</f>
        <v/>
      </c>
      <c r="JP22" s="133" t="n"/>
      <c r="JQ22" s="139">
        <f>JP22*100/$E$22</f>
        <v/>
      </c>
      <c r="JR22" s="133">
        <f>8+8</f>
        <v/>
      </c>
      <c r="JS22" s="139">
        <f>JR22*100/$E$22</f>
        <v/>
      </c>
      <c r="JT22" s="133" t="n"/>
      <c r="JU22" s="139">
        <f>JT22*100/$E$22</f>
        <v/>
      </c>
      <c r="JV22" s="133" t="n"/>
      <c r="JW22" s="139">
        <f>JV22*100/$E$22</f>
        <v/>
      </c>
      <c r="JX22" s="133" t="n"/>
      <c r="JY22" s="139">
        <f>JX22*100/$E$22</f>
        <v/>
      </c>
      <c r="JZ22" s="183">
        <f>JN22+JP22+JR22+JT22+JV22+JX22</f>
        <v/>
      </c>
      <c r="KA22" s="184">
        <f>JO22+JQ22+JS22+JU22+JW22+JY22</f>
        <v/>
      </c>
      <c r="KB22" s="185">
        <f>H22+J22+L22+N22+P22+R22+T22+V22+X22+Z22+AB22+AD22+AF22+AH22+AJ22+AL22+AN22+AP22+AR22+AT22+AV22+AX22+AZ22+BB22+BD22+BF22+BH22+BJ22+BL22+BN22+BP22+BR22+BT22+BV22+BX22+BZ22+CB22+CD22+CF22+CH22+CZ22+DB22+DD22+DF22+DH22+DJ22+DL22+DN22+DP22+DR22+DT22+DV22+DX22+DZ22+EB22+ED22+EF22+EH22+EJ22+EL22+EN22+EP22+ER22+ET22+EV22+FN22+FP22+FR22+FT22+FV22+FX22+FZ22+GB22+GD22+GF22+GH22+GJ22+GL22+GN22+GP22+GR22+GT22+GV22+GX22+GZ22+HB22+HD22+HF22+HH22+HJ22+HL22+HN22+HP22+HR22+HT22+HV22+HX22+HZ22+IB22+ID22+IF22+IH22+IJ22+IL22+IN22+IP22+IR22+IT22+IV22+IX22+IZ22+JB22+JD22+JF22+JH22+JJ22+JL22+JZ22+CJ22+CL22+CN22+CP22+CR22+CT22+CV22+CX22+EX22+EZ22+FB22+FD22+FF22+FH22+FJ22+FL22</f>
        <v/>
      </c>
      <c r="KC22" s="186">
        <f>I22+K22+M22+O22+Q22+S22+U22+W22+Y22+AA22+AC22+AE22+AG22+AI22+AK22+AM22+AO22+AQ22+AS22+AU22+AW22+AY22+BA22+BC22+BE22+BG22+BI22+BK22+BM22+BO22+BQ22+BS22+BU22+BW22+BY22+CA22+CC22+CE22+CG22+CI22+DA22+DC22+DE22+DG22+DI22+DK22+DM22+DO22+DQ22+DS22+DU22+DW22+DY22+EA22+EC22+EE22+EG22+EI22+EK22+EM22+EO22+EQ22+ES22+EU22+EW22+FO22+FS22+FU22+FW22+FQ22+FY22+GA22+GC22+GE22+GG22+GI22+GK22+GM22+GO22+GQ22+GS22+GU22+GW22+GY22+HA22+HC22+HE22+HG22+HI22+HK22+HM22+HO22+HQ22+HS22+HU22+HW22+HY22+IA22+IC22+IE22+IG22+II22+IK22+IM22+IO22+IQ22+IS22+IU22+IW22+IY22+JA22+JC22+JE22+JG22+JI22+JK22+JM22+KA22+CK22+CM22+CO22+CQ22+CS22+CU22+CW22+CY22+EY22+FA22+FC22+FE22+FG22+FI22+FK22+FM22</f>
        <v/>
      </c>
      <c r="KD22" s="187">
        <f>JO22+JQ22+JS22+JU22+JW22+JY22</f>
        <v/>
      </c>
      <c r="KE22" s="234">
        <f>KB22=E22</f>
        <v/>
      </c>
      <c r="KF22" s="189">
        <f>E22-KB22</f>
        <v/>
      </c>
      <c r="KG22" s="235" t="n"/>
      <c r="KH22" s="210" t="n"/>
      <c r="KI22" s="210" t="n"/>
      <c r="KJ22" s="210" t="n"/>
      <c r="KK22" s="210" t="n"/>
      <c r="KL22" s="210" t="n"/>
      <c r="KM22" s="210" t="n"/>
      <c r="KN22" s="210" t="n"/>
      <c r="KO22" s="210" t="n"/>
    </row>
    <row r="23" ht="21.75" customFormat="1" customHeight="1" s="235">
      <c r="A23" s="126">
        <f>A22+1</f>
        <v/>
      </c>
      <c r="B23" s="192" t="inlineStr">
        <is>
          <t>Капичников А.С.</t>
        </is>
      </c>
      <c r="C23" s="176" t="inlineStr">
        <is>
          <t>слесарь</t>
        </is>
      </c>
      <c r="D23" s="177">
        <f>$D$5</f>
        <v/>
      </c>
      <c r="E23" s="202" t="n">
        <v>159</v>
      </c>
      <c r="F23" s="178" t="n">
        <v>92564.64</v>
      </c>
      <c r="G23" s="179">
        <f>F23/D23</f>
        <v/>
      </c>
      <c r="H23" s="180" t="n"/>
      <c r="I23" s="140">
        <f>H23*100/$E$23</f>
        <v/>
      </c>
      <c r="J23" s="133" t="n"/>
      <c r="K23" s="140">
        <f>J23*100/$E$23</f>
        <v/>
      </c>
      <c r="L23" s="133" t="n"/>
      <c r="M23" s="140">
        <f>L23*100/$E$23</f>
        <v/>
      </c>
      <c r="N23" s="133" t="n"/>
      <c r="O23" s="140">
        <f>N23*100/$E$23</f>
        <v/>
      </c>
      <c r="P23" s="133" t="n"/>
      <c r="Q23" s="139">
        <f>P23*100/$E$23</f>
        <v/>
      </c>
      <c r="R23" s="133" t="n"/>
      <c r="S23" s="139">
        <f>R23*100/$E$23</f>
        <v/>
      </c>
      <c r="T23" s="133" t="n"/>
      <c r="U23" s="140">
        <f>T23*100/$E$23</f>
        <v/>
      </c>
      <c r="V23" s="133" t="n"/>
      <c r="W23" s="140">
        <f>V23*100/$E$23</f>
        <v/>
      </c>
      <c r="X23" s="133" t="n"/>
      <c r="Y23" s="140">
        <f>X23*100/$E$23</f>
        <v/>
      </c>
      <c r="Z23" s="133" t="n"/>
      <c r="AA23" s="140">
        <f>Z23*100/$E$23</f>
        <v/>
      </c>
      <c r="AB23" s="133" t="n"/>
      <c r="AC23" s="140">
        <f>AB23*100/$E$23</f>
        <v/>
      </c>
      <c r="AD23" s="133" t="n"/>
      <c r="AE23" s="139">
        <f>AD23*100/$E$23</f>
        <v/>
      </c>
      <c r="AF23" s="133" t="n"/>
      <c r="AG23" s="139">
        <f>AF23*100/$E$23</f>
        <v/>
      </c>
      <c r="AH23" s="133" t="n"/>
      <c r="AI23" s="140">
        <f>AH23*100/$E$23</f>
        <v/>
      </c>
      <c r="AJ23" s="133" t="n"/>
      <c r="AK23" s="140">
        <f>AJ23*100/$E$23</f>
        <v/>
      </c>
      <c r="AL23" s="133" t="n"/>
      <c r="AM23" s="140">
        <f>AL23*100/$E$23</f>
        <v/>
      </c>
      <c r="AN23" s="133" t="n"/>
      <c r="AO23" s="140">
        <f>AN23*100/$E$23</f>
        <v/>
      </c>
      <c r="AP23" s="133" t="n"/>
      <c r="AQ23" s="140">
        <f>AP23*100/$E$23</f>
        <v/>
      </c>
      <c r="AR23" s="133" t="n"/>
      <c r="AS23" s="140">
        <f>AR23*100/$E$23</f>
        <v/>
      </c>
      <c r="AT23" s="133" t="n"/>
      <c r="AU23" s="181">
        <f>AT23*100/$E$23</f>
        <v/>
      </c>
      <c r="AV23" s="133">
        <f>8+8+8+8+8+8+8+8+8+8+5+8+8+8+7</f>
        <v/>
      </c>
      <c r="AW23" s="140">
        <f>AV23*100/$E$23</f>
        <v/>
      </c>
      <c r="AX23" s="133" t="n"/>
      <c r="AY23" s="140">
        <f>AX23*100/$E$23</f>
        <v/>
      </c>
      <c r="AZ23" s="133" t="n"/>
      <c r="BA23" s="140">
        <f>AZ23*100/$E$23</f>
        <v/>
      </c>
      <c r="BB23" s="133" t="n"/>
      <c r="BC23" s="140">
        <f>BB23*100/$E$23</f>
        <v/>
      </c>
      <c r="BD23" s="133" t="n"/>
      <c r="BE23" s="140">
        <f>BD23*100/$E$23</f>
        <v/>
      </c>
      <c r="BF23" s="133" t="n"/>
      <c r="BG23" s="140">
        <f>BF23*100/$E$23</f>
        <v/>
      </c>
      <c r="BH23" s="133" t="n"/>
      <c r="BI23" s="140">
        <f>BH23*100/$E$23</f>
        <v/>
      </c>
      <c r="BJ23" s="133" t="n"/>
      <c r="BK23" s="140">
        <f>BJ23*100/$E$23</f>
        <v/>
      </c>
      <c r="BL23" s="133" t="n"/>
      <c r="BM23" s="140">
        <f>BL23*100/$E$23</f>
        <v/>
      </c>
      <c r="BN23" s="133" t="n"/>
      <c r="BO23" s="140">
        <f>BN23*100/$E$23</f>
        <v/>
      </c>
      <c r="BP23" s="133" t="n"/>
      <c r="BQ23" s="140">
        <f>BP23*100/$E$23</f>
        <v/>
      </c>
      <c r="BR23" s="133" t="n"/>
      <c r="BS23" s="140">
        <f>BR23*100/$E$23</f>
        <v/>
      </c>
      <c r="BT23" s="133" t="n"/>
      <c r="BU23" s="140">
        <f>BT23*100/$E$23</f>
        <v/>
      </c>
      <c r="BV23" s="133" t="n"/>
      <c r="BW23" s="140">
        <f>BV23*100/$E$23</f>
        <v/>
      </c>
      <c r="BX23" s="133" t="n"/>
      <c r="BY23" s="140">
        <f>BX23*100/$E$23</f>
        <v/>
      </c>
      <c r="BZ23" s="133" t="n"/>
      <c r="CA23" s="140">
        <f>BZ23*100/$E$23</f>
        <v/>
      </c>
      <c r="CB23" s="133" t="n"/>
      <c r="CC23" s="140">
        <f>CB23*100/$E$23</f>
        <v/>
      </c>
      <c r="CD23" s="133" t="n"/>
      <c r="CE23" s="140">
        <f>CD23*100/$E$23</f>
        <v/>
      </c>
      <c r="CF23" s="133" t="n"/>
      <c r="CG23" s="140">
        <f>CF23*100/$E$23</f>
        <v/>
      </c>
      <c r="CH23" s="133" t="n"/>
      <c r="CI23" s="140">
        <f>CH23*100/$E$23</f>
        <v/>
      </c>
      <c r="CJ23" s="133">
        <f>4+8</f>
        <v/>
      </c>
      <c r="CK23" s="140">
        <f>CJ23*100/$E$23</f>
        <v/>
      </c>
      <c r="CL23" s="133" t="n"/>
      <c r="CM23" s="140">
        <f>CL23*100/$E$23</f>
        <v/>
      </c>
      <c r="CN23" s="133" t="n"/>
      <c r="CO23" s="139">
        <f>CN23*100/$E$23</f>
        <v/>
      </c>
      <c r="CP23" s="133" t="n"/>
      <c r="CQ23" s="140">
        <f>CP23*100/$E$23</f>
        <v/>
      </c>
      <c r="CR23" s="133" t="n"/>
      <c r="CS23" s="139">
        <f>CR23*100/$E$23</f>
        <v/>
      </c>
      <c r="CT23" s="133" t="n"/>
      <c r="CU23" s="139">
        <f>CT23*100/$E$23</f>
        <v/>
      </c>
      <c r="CV23" s="133" t="n"/>
      <c r="CW23" s="139">
        <f>CV23*100/$E$23</f>
        <v/>
      </c>
      <c r="CX23" s="133" t="n"/>
      <c r="CY23" s="139">
        <f>CX23*100/$E$23</f>
        <v/>
      </c>
      <c r="CZ23" s="133" t="n"/>
      <c r="DA23" s="139">
        <f>CZ23*100/$E$23</f>
        <v/>
      </c>
      <c r="DB23" s="133" t="n"/>
      <c r="DC23" s="139">
        <f>DB23*100/$E$23</f>
        <v/>
      </c>
      <c r="DD23" s="133" t="n"/>
      <c r="DE23" s="139">
        <f>DD23*100/$E$23</f>
        <v/>
      </c>
      <c r="DF23" s="133" t="n"/>
      <c r="DG23" s="139">
        <f>DF23*100/$E$23</f>
        <v/>
      </c>
      <c r="DH23" s="133" t="n"/>
      <c r="DI23" s="139">
        <f>DH23*100/$E$23</f>
        <v/>
      </c>
      <c r="DJ23" s="133" t="n"/>
      <c r="DK23" s="139">
        <f>DJ23*100/$E$23</f>
        <v/>
      </c>
      <c r="DL23" s="133" t="n">
        <v>3</v>
      </c>
      <c r="DM23" s="139">
        <f>DL23*100/$E$23</f>
        <v/>
      </c>
      <c r="DN23" s="133" t="n"/>
      <c r="DO23" s="139">
        <f>DN23*100/$E$23</f>
        <v/>
      </c>
      <c r="DP23" s="133" t="n"/>
      <c r="DQ23" s="139">
        <f>DP23*100/$E$23</f>
        <v/>
      </c>
      <c r="DR23" s="133" t="n"/>
      <c r="DS23" s="139">
        <f>DR23*100/$E$23</f>
        <v/>
      </c>
      <c r="DT23" s="133" t="n"/>
      <c r="DU23" s="139">
        <f>DT23*100/$E$23</f>
        <v/>
      </c>
      <c r="DV23" s="133" t="n"/>
      <c r="DW23" s="139">
        <f>DV23*100/$E$23</f>
        <v/>
      </c>
      <c r="DX23" s="133" t="n"/>
      <c r="DY23" s="139">
        <f>DX23*100/$E$23</f>
        <v/>
      </c>
      <c r="DZ23" s="133" t="n"/>
      <c r="EA23" s="139">
        <f>DZ23*100/$E$23</f>
        <v/>
      </c>
      <c r="EB23" s="133" t="n"/>
      <c r="EC23" s="139">
        <f>EB23*100/$E$23</f>
        <v/>
      </c>
      <c r="ED23" s="133" t="n"/>
      <c r="EE23" s="139">
        <f>ED23*100/$E$23</f>
        <v/>
      </c>
      <c r="EF23" s="133" t="n"/>
      <c r="EG23" s="139">
        <f>EF23*100/$E$23</f>
        <v/>
      </c>
      <c r="EH23" s="133" t="n"/>
      <c r="EI23" s="139">
        <f>EH23*100/$E$23</f>
        <v/>
      </c>
      <c r="EJ23" s="133" t="n"/>
      <c r="EK23" s="139">
        <f>EJ23*100/$E$23</f>
        <v/>
      </c>
      <c r="EL23" s="133" t="n"/>
      <c r="EM23" s="139">
        <f>EL23*100/$E$23</f>
        <v/>
      </c>
      <c r="EN23" s="133" t="n"/>
      <c r="EO23" s="139">
        <f>EN23*100/$E$23</f>
        <v/>
      </c>
      <c r="EP23" s="133" t="n"/>
      <c r="EQ23" s="139">
        <f>EP23*100/$E$23</f>
        <v/>
      </c>
      <c r="ER23" s="133" t="n"/>
      <c r="ES23" s="139">
        <f>ER23*100/$E$23</f>
        <v/>
      </c>
      <c r="ET23" s="133" t="n"/>
      <c r="EU23" s="139">
        <f>ET23*100/$E$23</f>
        <v/>
      </c>
      <c r="EV23" s="133" t="n"/>
      <c r="EW23" s="139">
        <f>EV23*100/$E$23</f>
        <v/>
      </c>
      <c r="EX23" s="133" t="n"/>
      <c r="EY23" s="139">
        <f>EX23*100/$E$23</f>
        <v/>
      </c>
      <c r="EZ23" s="133" t="n"/>
      <c r="FA23" s="139">
        <f>EZ23*100/$E$23</f>
        <v/>
      </c>
      <c r="FB23" s="133" t="n"/>
      <c r="FC23" s="139">
        <f>FB23*100/$E$23</f>
        <v/>
      </c>
      <c r="FD23" s="133" t="n"/>
      <c r="FE23" s="139">
        <f>FD23*100/$E$23</f>
        <v/>
      </c>
      <c r="FF23" s="133" t="n"/>
      <c r="FG23" s="139">
        <f>FF23*100/$E$23</f>
        <v/>
      </c>
      <c r="FH23" s="133" t="n"/>
      <c r="FI23" s="139">
        <f>FH23*100/$E$23</f>
        <v/>
      </c>
      <c r="FJ23" s="133" t="n">
        <v>8</v>
      </c>
      <c r="FK23" s="139">
        <f>FJ23*100/$E$23</f>
        <v/>
      </c>
      <c r="FL23" s="133">
        <f>8+8+4</f>
        <v/>
      </c>
      <c r="FM23" s="139">
        <f>FL23*100/$E$23</f>
        <v/>
      </c>
      <c r="FN23" s="133" t="n"/>
      <c r="FO23" s="139">
        <f>FN23*100/$E$23</f>
        <v/>
      </c>
      <c r="FP23" s="133" t="n"/>
      <c r="FQ23" s="139">
        <f>FP23*100/$E$23</f>
        <v/>
      </c>
      <c r="FR23" s="133" t="n"/>
      <c r="FS23" s="139">
        <f>FR23*100/$E$23</f>
        <v/>
      </c>
      <c r="FT23" s="133" t="n"/>
      <c r="FU23" s="139">
        <f>FT23*100/$E$23</f>
        <v/>
      </c>
      <c r="FV23" s="133" t="n"/>
      <c r="FW23" s="139">
        <f>FV23*100/$E$23</f>
        <v/>
      </c>
      <c r="FX23" s="133" t="n"/>
      <c r="FY23" s="140">
        <f>FX23*100/$E$23</f>
        <v/>
      </c>
      <c r="FZ23" s="133" t="n"/>
      <c r="GA23" s="140">
        <f>FZ23*100/$E$23</f>
        <v/>
      </c>
      <c r="GB23" s="133" t="n"/>
      <c r="GC23" s="140">
        <f>GB23*100/$E$23</f>
        <v/>
      </c>
      <c r="GD23" s="133" t="n"/>
      <c r="GE23" s="140">
        <f>GD23*100/$E$23</f>
        <v/>
      </c>
      <c r="GF23" s="133" t="n"/>
      <c r="GG23" s="140">
        <f>GF23*100/$E$23</f>
        <v/>
      </c>
      <c r="GH23" s="133" t="n"/>
      <c r="GI23" s="140">
        <f>GH23*100/$E$23</f>
        <v/>
      </c>
      <c r="GJ23" s="133" t="n"/>
      <c r="GK23" s="139">
        <f>GJ23*100/$E$23</f>
        <v/>
      </c>
      <c r="GL23" s="133" t="n"/>
      <c r="GM23" s="140">
        <f>GL23*100/$E$23</f>
        <v/>
      </c>
      <c r="GN23" s="133" t="n"/>
      <c r="GO23" s="139">
        <f>GN23*100/$E$23</f>
        <v/>
      </c>
      <c r="GP23" s="133" t="n"/>
      <c r="GQ23" s="140">
        <f>GP23*100/$E$23</f>
        <v/>
      </c>
      <c r="GR23" s="133" t="n"/>
      <c r="GS23" s="139">
        <f>GR23*100/$E$23</f>
        <v/>
      </c>
      <c r="GT23" s="133" t="n"/>
      <c r="GU23" s="139">
        <f>GT23*100/$E$23</f>
        <v/>
      </c>
      <c r="GV23" s="133" t="n"/>
      <c r="GW23" s="139">
        <f>GV23*100/$E$23</f>
        <v/>
      </c>
      <c r="GX23" s="133" t="n"/>
      <c r="GY23" s="140">
        <f>GX23*100/$E$23</f>
        <v/>
      </c>
      <c r="GZ23" s="133" t="n"/>
      <c r="HA23" s="140">
        <f>GZ23*100/$E$23</f>
        <v/>
      </c>
      <c r="HB23" s="133" t="n"/>
      <c r="HC23" s="140">
        <f>HB23*100/$E$23</f>
        <v/>
      </c>
      <c r="HD23" s="133" t="n"/>
      <c r="HE23" s="140">
        <f>HD23*100/$E$23</f>
        <v/>
      </c>
      <c r="HF23" s="133" t="n"/>
      <c r="HG23" s="140">
        <f>HF23*100/$E$23</f>
        <v/>
      </c>
      <c r="HH23" s="133" t="n"/>
      <c r="HI23" s="140">
        <f>HH23*100/$E$23</f>
        <v/>
      </c>
      <c r="HJ23" s="133" t="n"/>
      <c r="HK23" s="140">
        <f>HJ23*100/$E$23</f>
        <v/>
      </c>
      <c r="HL23" s="133" t="n"/>
      <c r="HM23" s="140">
        <f>HL23*100/$E$23</f>
        <v/>
      </c>
      <c r="HN23" s="133" t="n"/>
      <c r="HO23" s="140">
        <f>HN23*100/$E$23</f>
        <v/>
      </c>
      <c r="HP23" s="133" t="n"/>
      <c r="HQ23" s="140">
        <f>HP23*100/$E$23</f>
        <v/>
      </c>
      <c r="HR23" s="133" t="n"/>
      <c r="HS23" s="140">
        <f>HR23*100/$E$23</f>
        <v/>
      </c>
      <c r="HT23" s="133" t="n"/>
      <c r="HU23" s="140">
        <f>HT23*100/$E$23</f>
        <v/>
      </c>
      <c r="HV23" s="133" t="n"/>
      <c r="HW23" s="140">
        <f>HV23*100/$E$23</f>
        <v/>
      </c>
      <c r="HX23" s="133" t="n"/>
      <c r="HY23" s="140">
        <f>HX23*100/$E$23</f>
        <v/>
      </c>
      <c r="HZ23" s="133" t="n"/>
      <c r="IA23" s="139">
        <f>HZ23*100/$E$23</f>
        <v/>
      </c>
      <c r="IB23" s="133" t="n"/>
      <c r="IC23" s="139">
        <f>IB23*100/$E$23</f>
        <v/>
      </c>
      <c r="ID23" s="133" t="n"/>
      <c r="IE23" s="139">
        <f>ID23*100/$E$23</f>
        <v/>
      </c>
      <c r="IF23" s="133" t="n"/>
      <c r="IG23" s="139">
        <f>IF23*100/$E$23</f>
        <v/>
      </c>
      <c r="IH23" s="133" t="n"/>
      <c r="II23" s="139">
        <f>IH23*100/$E$23</f>
        <v/>
      </c>
      <c r="IJ23" s="133" t="n"/>
      <c r="IK23" s="139">
        <f>IJ23*100/$E$23</f>
        <v/>
      </c>
      <c r="IL23" s="133" t="n"/>
      <c r="IM23" s="140">
        <f>IL23*100/$E$23</f>
        <v/>
      </c>
      <c r="IN23" s="133" t="n"/>
      <c r="IO23" s="140">
        <f>IN23*100/$E$23</f>
        <v/>
      </c>
      <c r="IP23" s="133" t="n"/>
      <c r="IQ23" s="139">
        <f>IP23*100/$E$23</f>
        <v/>
      </c>
      <c r="IR23" s="133" t="n"/>
      <c r="IS23" s="139">
        <f>IR23*100/$E$23</f>
        <v/>
      </c>
      <c r="IT23" s="133" t="n"/>
      <c r="IU23" s="139">
        <f>IT23*100/$E$23</f>
        <v/>
      </c>
      <c r="IV23" s="133" t="n"/>
      <c r="IW23" s="139">
        <f>IV23*100/$E$23</f>
        <v/>
      </c>
      <c r="IX23" s="133" t="n"/>
      <c r="IY23" s="139">
        <f>IX23*100/$E$23</f>
        <v/>
      </c>
      <c r="IZ23" s="133" t="n"/>
      <c r="JA23" s="139">
        <f>IZ23*100/$E$23</f>
        <v/>
      </c>
      <c r="JB23" s="133" t="n"/>
      <c r="JC23" s="139">
        <f>JB23*100/$E$23</f>
        <v/>
      </c>
      <c r="JD23" s="133" t="n"/>
      <c r="JE23" s="139">
        <f>JD23*100/$E$23</f>
        <v/>
      </c>
      <c r="JF23" s="133" t="n"/>
      <c r="JG23" s="139">
        <f>JF23*100/$E$23</f>
        <v/>
      </c>
      <c r="JH23" s="133" t="n"/>
      <c r="JI23" s="139">
        <f>JH23*100/$E$23</f>
        <v/>
      </c>
      <c r="JJ23" s="133" t="n"/>
      <c r="JK23" s="139">
        <f>JJ23*100/$E$23</f>
        <v/>
      </c>
      <c r="JL23" s="133" t="n"/>
      <c r="JM23" s="139">
        <f>JL23*100/$E$23</f>
        <v/>
      </c>
      <c r="JN23" s="133" t="n"/>
      <c r="JO23" s="139">
        <f>JN23*100/$E$23</f>
        <v/>
      </c>
      <c r="JP23" s="133" t="n"/>
      <c r="JQ23" s="139">
        <f>JP23*100/$E$23</f>
        <v/>
      </c>
      <c r="JR23" s="133" t="n"/>
      <c r="JS23" s="139">
        <f>JR23*100/$E$23</f>
        <v/>
      </c>
      <c r="JT23" s="133" t="n"/>
      <c r="JU23" s="139">
        <f>JT23*100/$E$23</f>
        <v/>
      </c>
      <c r="JV23" s="223" t="n"/>
      <c r="JW23" s="139">
        <f>JV23*100/$E$23</f>
        <v/>
      </c>
      <c r="JX23" s="223" t="n"/>
      <c r="JY23" s="139">
        <f>JX23*100/$E$23</f>
        <v/>
      </c>
      <c r="JZ23" s="183">
        <f>JN23+JP23+JR23+JT23+JV23+JX23</f>
        <v/>
      </c>
      <c r="KA23" s="184">
        <f>JO23+JQ23+JS23+JU23+JW23+JY23</f>
        <v/>
      </c>
      <c r="KB23" s="185">
        <f>H23+J23+L23+N23+P23+R23+T23+V23+X23+Z23+AB23+AD23+AF23+AH23+AJ23+AL23+AN23+AP23+AR23+AT23+AV23+AX23+AZ23+BB23+BD23+BF23+BH23+BJ23+BL23+BN23+BP23+BR23+BT23+BV23+BX23+BZ23+CB23+CD23+CF23+CH23+CZ23+DB23+DD23+DF23+DH23+DJ23+DL23+DN23+DP23+DR23+DT23+DV23+DX23+DZ23+EB23+ED23+EF23+EH23+EJ23+EL23+EN23+EP23+ER23+ET23+EV23+FN23+FP23+FR23+FT23+FV23+FX23+FZ23+GB23+GD23+GF23+GH23+GJ23+GL23+GN23+GP23+GR23+GT23+GV23+GX23+GZ23+HB23+HD23+HF23+HH23+HJ23+HL23+HN23+HP23+HR23+HT23+HV23+HX23+HZ23+IB23+ID23+IF23+IH23+IJ23+IL23+IN23+IP23+IR23+IT23+IV23+IX23+IZ23+JB23+JD23+JF23+JH23+JJ23+JL23+JZ23+CJ23+CL23+CN23+CP23+CR23+CT23+CV23+CX23+EX23+EZ23+FB23+FD23+FF23+FH23+FJ23+FL23</f>
        <v/>
      </c>
      <c r="KC23" s="186">
        <f>I23+K23+M23+O23+Q23+S23+U23+W23+Y23+AA23+AC23+AE23+AG23+AI23+AK23+AM23+AO23+AQ23+AS23+AU23+AW23+AY23+BA23+BC23+BE23+BG23+BI23+BK23+BM23+BO23+BQ23+BS23+BU23+BW23+BY23+CA23+CC23+CE23+CG23+CI23+DA23+DC23+DE23+DG23+DI23+DK23+DM23+DO23+DQ23+DS23+DU23+DW23+DY23+EA23+EC23+EE23+EG23+EI23+EK23+EM23+EO23+EQ23+ES23+EU23+EW23+FO23+FS23+FU23+FW23+FQ23+FY23+GA23+GC23+GE23+GG23+GI23+GK23+GM23+GO23+GQ23+GS23+GU23+GW23+GY23+HA23+HC23+HE23+HG23+HI23+HK23+HM23+HO23+HQ23+HS23+HU23+HW23+HY23+IA23+IC23+IE23+IG23+II23+IK23+IM23+IO23+IQ23+IS23+IU23+IW23+IY23+JA23+JC23+JE23+JG23+JI23+JK23+JM23+KA23+CK23+CM23+CO23+CQ23+CS23+CU23+CW23+CY23+EY23+FA23+FC23+FE23+FG23+FI23+FK23+FM23</f>
        <v/>
      </c>
      <c r="KD23" s="187">
        <f>JO23+JQ23+JS23+JU23+JW23+JY23</f>
        <v/>
      </c>
      <c r="KE23" s="234">
        <f>KB23=E23</f>
        <v/>
      </c>
      <c r="KF23" s="189">
        <f>E23-KB23</f>
        <v/>
      </c>
      <c r="KG23" s="237" t="n"/>
    </row>
    <row r="24" ht="21.75" customFormat="1" customHeight="1" s="235">
      <c r="A24" s="126">
        <f>A23+1</f>
        <v/>
      </c>
      <c r="B24" s="192" t="inlineStr">
        <is>
          <t>Кожемякин Е.А.</t>
        </is>
      </c>
      <c r="C24" s="176" t="inlineStr">
        <is>
          <t>сварщик</t>
        </is>
      </c>
      <c r="D24" s="177">
        <f>$D$5</f>
        <v/>
      </c>
      <c r="E24" s="202" t="n">
        <v>159</v>
      </c>
      <c r="F24" s="193" t="n">
        <v>67377.96000000001</v>
      </c>
      <c r="G24" s="179">
        <f>F24/D24</f>
        <v/>
      </c>
      <c r="H24" s="180" t="n"/>
      <c r="I24" s="140">
        <f>H24*100/$E$24</f>
        <v/>
      </c>
      <c r="J24" s="133" t="n"/>
      <c r="K24" s="139">
        <f>J24*100/$E$24</f>
        <v/>
      </c>
      <c r="L24" s="133" t="n"/>
      <c r="M24" s="139">
        <f>L24*100/$E$24</f>
        <v/>
      </c>
      <c r="N24" s="133" t="n"/>
      <c r="O24" s="139">
        <f>N24*100/$E$24</f>
        <v/>
      </c>
      <c r="P24" s="133" t="n"/>
      <c r="Q24" s="139">
        <f>P24*100/$E$24</f>
        <v/>
      </c>
      <c r="R24" s="133" t="n"/>
      <c r="S24" s="139">
        <f>R24*100/$E$24</f>
        <v/>
      </c>
      <c r="T24" s="133" t="n"/>
      <c r="U24" s="139">
        <f>T24*100/$E$24</f>
        <v/>
      </c>
      <c r="V24" s="133" t="n"/>
      <c r="W24" s="140">
        <f>V24*100/$E$24</f>
        <v/>
      </c>
      <c r="X24" s="133" t="n"/>
      <c r="Y24" s="140">
        <f>X24*100/$E$24</f>
        <v/>
      </c>
      <c r="Z24" s="133" t="n"/>
      <c r="AA24" s="139">
        <f>Z24*100/$E$24</f>
        <v/>
      </c>
      <c r="AB24" s="133" t="n"/>
      <c r="AC24" s="140">
        <f>AB24*100/$E$24</f>
        <v/>
      </c>
      <c r="AD24" s="133" t="n"/>
      <c r="AE24" s="139">
        <f>AD24*100/$E$24</f>
        <v/>
      </c>
      <c r="AF24" s="133" t="n"/>
      <c r="AG24" s="140">
        <f>AF24*100/$E$24</f>
        <v/>
      </c>
      <c r="AH24" s="133" t="n"/>
      <c r="AI24" s="140">
        <f>AH24*100/$E$24</f>
        <v/>
      </c>
      <c r="AJ24" s="133" t="n"/>
      <c r="AK24" s="140">
        <f>AJ24*100/$E$24</f>
        <v/>
      </c>
      <c r="AL24" s="133" t="n"/>
      <c r="AM24" s="140">
        <f>AL24*100/$E$24</f>
        <v/>
      </c>
      <c r="AN24" s="133" t="n"/>
      <c r="AO24" s="140">
        <f>AN24*100/$E$24</f>
        <v/>
      </c>
      <c r="AP24" s="133" t="n"/>
      <c r="AQ24" s="140">
        <f>AP24*100/$E$24</f>
        <v/>
      </c>
      <c r="AR24" s="133" t="n"/>
      <c r="AS24" s="140">
        <f>AR24*100/$E$24</f>
        <v/>
      </c>
      <c r="AT24" s="133" t="n"/>
      <c r="AU24" s="181">
        <f>AT24*100/$E$24</f>
        <v/>
      </c>
      <c r="AV24" s="133" t="n"/>
      <c r="AW24" s="140">
        <f>AV24*100/$E$24</f>
        <v/>
      </c>
      <c r="AX24" s="133" t="n"/>
      <c r="AY24" s="140">
        <f>AX24*100/$E$24</f>
        <v/>
      </c>
      <c r="AZ24" s="133" t="n"/>
      <c r="BA24" s="140">
        <f>AZ24*100/$E$24</f>
        <v/>
      </c>
      <c r="BB24" s="133" t="n"/>
      <c r="BC24" s="140">
        <f>BB24*100/$E$24</f>
        <v/>
      </c>
      <c r="BD24" s="133" t="n"/>
      <c r="BE24" s="140">
        <f>BD24*100/$E$24</f>
        <v/>
      </c>
      <c r="BF24" s="133" t="n"/>
      <c r="BG24" s="139">
        <f>BF24*100/$E$24</f>
        <v/>
      </c>
      <c r="BH24" s="133" t="n"/>
      <c r="BI24" s="140">
        <f>BH24*100/$E$24</f>
        <v/>
      </c>
      <c r="BJ24" s="133" t="n"/>
      <c r="BK24" s="140">
        <f>BJ24*100/$E$24</f>
        <v/>
      </c>
      <c r="BL24" s="133" t="n"/>
      <c r="BM24" s="140">
        <f>BL24*100/$E$24</f>
        <v/>
      </c>
      <c r="BN24" s="133" t="n"/>
      <c r="BO24" s="140">
        <f>BN24*100/$E$24</f>
        <v/>
      </c>
      <c r="BP24" s="133" t="n"/>
      <c r="BQ24" s="140">
        <f>BP24*100/$E$24</f>
        <v/>
      </c>
      <c r="BR24" s="133" t="n"/>
      <c r="BS24" s="140">
        <f>BR24*100/$E$24</f>
        <v/>
      </c>
      <c r="BT24" s="133" t="n"/>
      <c r="BU24" s="140">
        <f>BT24*100/$E$24</f>
        <v/>
      </c>
      <c r="BV24" s="133" t="n"/>
      <c r="BW24" s="140">
        <f>BV24*100/$E$24</f>
        <v/>
      </c>
      <c r="BX24" s="133" t="n"/>
      <c r="BY24" s="140">
        <f>BX24*100/$E$24</f>
        <v/>
      </c>
      <c r="BZ24" s="133" t="n"/>
      <c r="CA24" s="140">
        <f>BZ24*100/$E$24</f>
        <v/>
      </c>
      <c r="CB24" s="133" t="n"/>
      <c r="CC24" s="140">
        <f>CB24*100/$E$24</f>
        <v/>
      </c>
      <c r="CD24" s="133" t="n"/>
      <c r="CE24" s="139">
        <f>CD24*100/$E$24</f>
        <v/>
      </c>
      <c r="CF24" s="133" t="n"/>
      <c r="CG24" s="140">
        <f>CF24*100/$E$24</f>
        <v/>
      </c>
      <c r="CH24" s="133" t="n"/>
      <c r="CI24" s="140">
        <f>CH24*100/$E$24</f>
        <v/>
      </c>
      <c r="CJ24" s="133" t="n"/>
      <c r="CK24" s="140">
        <f>CJ24*100/$E$24</f>
        <v/>
      </c>
      <c r="CL24" s="133" t="n"/>
      <c r="CM24" s="140">
        <f>CL24*100/$E$24</f>
        <v/>
      </c>
      <c r="CN24" s="133" t="n"/>
      <c r="CO24" s="139">
        <f>CN24*100/$E$24</f>
        <v/>
      </c>
      <c r="CP24" s="133" t="n"/>
      <c r="CQ24" s="140">
        <f>CP24*100/$E$24</f>
        <v/>
      </c>
      <c r="CR24" s="133" t="n"/>
      <c r="CS24" s="139">
        <f>CR24*100/$E$24</f>
        <v/>
      </c>
      <c r="CT24" s="133" t="n"/>
      <c r="CU24" s="139">
        <f>CT24*100/$E$24</f>
        <v/>
      </c>
      <c r="CV24" s="133" t="n"/>
      <c r="CW24" s="139">
        <f>CV24*100/$E$24</f>
        <v/>
      </c>
      <c r="CX24" s="133" t="n"/>
      <c r="CY24" s="139">
        <f>CX24*100/$E$24</f>
        <v/>
      </c>
      <c r="CZ24" s="133" t="n"/>
      <c r="DA24" s="139">
        <f>CZ24*100/$E$24</f>
        <v/>
      </c>
      <c r="DB24" s="133" t="n"/>
      <c r="DC24" s="139">
        <f>DB24*100/$E$24</f>
        <v/>
      </c>
      <c r="DD24" s="133" t="n"/>
      <c r="DE24" s="139">
        <f>DD24*100/$E$24</f>
        <v/>
      </c>
      <c r="DF24" s="133" t="n"/>
      <c r="DG24" s="139">
        <f>DF24*100/$E$24</f>
        <v/>
      </c>
      <c r="DH24" s="133" t="n"/>
      <c r="DI24" s="139">
        <f>DH24*100/$E$24</f>
        <v/>
      </c>
      <c r="DJ24" s="133" t="n"/>
      <c r="DK24" s="139">
        <f>DJ24*100/$E$24</f>
        <v/>
      </c>
      <c r="DL24" s="133" t="n"/>
      <c r="DM24" s="139">
        <f>DL24*100/$E$24</f>
        <v/>
      </c>
      <c r="DN24" s="133" t="n"/>
      <c r="DO24" s="139">
        <f>DN24*100/$E$24</f>
        <v/>
      </c>
      <c r="DP24" s="133" t="n"/>
      <c r="DQ24" s="139">
        <f>DP24*100/$E$24</f>
        <v/>
      </c>
      <c r="DR24" s="133" t="n"/>
      <c r="DS24" s="139">
        <f>DR24*100/$E$24</f>
        <v/>
      </c>
      <c r="DT24" s="133" t="n"/>
      <c r="DU24" s="139">
        <f>DT24*100/$E$24</f>
        <v/>
      </c>
      <c r="DV24" s="133" t="n"/>
      <c r="DW24" s="139">
        <f>DV24*100/$E$24</f>
        <v/>
      </c>
      <c r="DX24" s="133" t="n"/>
      <c r="DY24" s="139">
        <f>DX24*100/$E$24</f>
        <v/>
      </c>
      <c r="DZ24" s="133" t="n"/>
      <c r="EA24" s="139">
        <f>DZ24*100/$E$24</f>
        <v/>
      </c>
      <c r="EB24" s="133" t="n"/>
      <c r="EC24" s="139">
        <f>EB24*100/$E$24</f>
        <v/>
      </c>
      <c r="ED24" s="133" t="n"/>
      <c r="EE24" s="139">
        <f>ED24*100/$E$24</f>
        <v/>
      </c>
      <c r="EF24" s="133" t="n"/>
      <c r="EG24" s="139">
        <f>EF24*100/$E$24</f>
        <v/>
      </c>
      <c r="EH24" s="133" t="n"/>
      <c r="EI24" s="139">
        <f>EH24*100/$E$24</f>
        <v/>
      </c>
      <c r="EJ24" s="133" t="n"/>
      <c r="EK24" s="139">
        <f>EJ24*100/$E$24</f>
        <v/>
      </c>
      <c r="EL24" s="133" t="n"/>
      <c r="EM24" s="139">
        <f>EL24*100/$E$24</f>
        <v/>
      </c>
      <c r="EN24" s="133" t="n"/>
      <c r="EO24" s="139">
        <f>EN24*100/$E$24</f>
        <v/>
      </c>
      <c r="EP24" s="133" t="n"/>
      <c r="EQ24" s="139">
        <f>EP24*100/$E$24</f>
        <v/>
      </c>
      <c r="ER24" s="133" t="n"/>
      <c r="ES24" s="139">
        <f>ER24*100/$E$24</f>
        <v/>
      </c>
      <c r="ET24" s="133" t="n"/>
      <c r="EU24" s="140">
        <f>ET24*100/$E$24</f>
        <v/>
      </c>
      <c r="EV24" s="133" t="n"/>
      <c r="EW24" s="139">
        <f>EV24*100/$E$24</f>
        <v/>
      </c>
      <c r="EX24" s="133" t="n"/>
      <c r="EY24" s="139">
        <f>EX24*100/$E$24</f>
        <v/>
      </c>
      <c r="EZ24" s="133" t="n"/>
      <c r="FA24" s="139">
        <f>EZ24*100/$E$24</f>
        <v/>
      </c>
      <c r="FB24" s="133" t="n"/>
      <c r="FC24" s="139">
        <f>FB24*100/$E$24</f>
        <v/>
      </c>
      <c r="FD24" s="133" t="n"/>
      <c r="FE24" s="139">
        <f>FD24*100/$E$24</f>
        <v/>
      </c>
      <c r="FF24" s="133">
        <f>8+8+8+8+8+8</f>
        <v/>
      </c>
      <c r="FG24" s="139">
        <f>FF24*100/$E$24</f>
        <v/>
      </c>
      <c r="FH24" s="133" t="n"/>
      <c r="FI24" s="139">
        <f>FH24*100/$E$24</f>
        <v/>
      </c>
      <c r="FJ24" s="133" t="n"/>
      <c r="FK24" s="139">
        <f>FJ24*100/$E$24</f>
        <v/>
      </c>
      <c r="FL24" s="133" t="n"/>
      <c r="FM24" s="139">
        <f>FL24*100/$E$24</f>
        <v/>
      </c>
      <c r="FN24" s="133" t="n"/>
      <c r="FO24" s="139">
        <f>FN24*100/$E$24</f>
        <v/>
      </c>
      <c r="FP24" s="133" t="n"/>
      <c r="FQ24" s="139">
        <f>FP24*100/$E$24</f>
        <v/>
      </c>
      <c r="FR24" s="133" t="n"/>
      <c r="FS24" s="139">
        <f>FR24*100/$E$24</f>
        <v/>
      </c>
      <c r="FT24" s="133" t="n"/>
      <c r="FU24" s="139">
        <f>FT24*100/$E$24</f>
        <v/>
      </c>
      <c r="FV24" s="133" t="n"/>
      <c r="FW24" s="139">
        <f>FV24*100/$E$24</f>
        <v/>
      </c>
      <c r="FX24" s="133" t="n"/>
      <c r="FY24" s="139">
        <f>FX24*100/$E$24</f>
        <v/>
      </c>
      <c r="FZ24" s="133" t="n"/>
      <c r="GA24" s="140">
        <f>FZ24*100/$E$24</f>
        <v/>
      </c>
      <c r="GB24" s="133" t="n"/>
      <c r="GC24" s="140">
        <f>GB24*100/$E$24</f>
        <v/>
      </c>
      <c r="GD24" s="133" t="n"/>
      <c r="GE24" s="139">
        <f>GD24*100/$E$24</f>
        <v/>
      </c>
      <c r="GF24" s="133" t="n"/>
      <c r="GG24" s="140">
        <f>GF24*100/$E$24</f>
        <v/>
      </c>
      <c r="GH24" s="133" t="n"/>
      <c r="GI24" s="139">
        <f>GH24*100/$E$24</f>
        <v/>
      </c>
      <c r="GJ24" s="133" t="n"/>
      <c r="GK24" s="139">
        <f>GJ24*100/$E$24</f>
        <v/>
      </c>
      <c r="GL24" s="133" t="n"/>
      <c r="GM24" s="139">
        <f>GL24*100/$E$24</f>
        <v/>
      </c>
      <c r="GN24" s="133" t="n"/>
      <c r="GO24" s="139">
        <f>GN24*100/$E$24</f>
        <v/>
      </c>
      <c r="GP24" s="133" t="n"/>
      <c r="GQ24" s="139">
        <f>GP24*100/$E$24</f>
        <v/>
      </c>
      <c r="GR24" s="133" t="n"/>
      <c r="GS24" s="139">
        <f>GR24*100/$E$24</f>
        <v/>
      </c>
      <c r="GT24" s="133" t="n"/>
      <c r="GU24" s="139">
        <f>GT24*100/$E$24</f>
        <v/>
      </c>
      <c r="GV24" s="133" t="n"/>
      <c r="GW24" s="139">
        <f>GV24*100/$E$24</f>
        <v/>
      </c>
      <c r="GX24" s="133" t="n"/>
      <c r="GY24" s="139">
        <f>GX24*100/$E$24</f>
        <v/>
      </c>
      <c r="GZ24" s="133" t="n"/>
      <c r="HA24" s="139">
        <f>GZ24*100/$E$24</f>
        <v/>
      </c>
      <c r="HB24" s="133" t="n"/>
      <c r="HC24" s="139">
        <f>HB24*100/$E$24</f>
        <v/>
      </c>
      <c r="HD24" s="133" t="n"/>
      <c r="HE24" s="139">
        <f>HD24*100/$E$24</f>
        <v/>
      </c>
      <c r="HF24" s="133" t="n"/>
      <c r="HG24" s="140">
        <f>HF24*100/$E$24</f>
        <v/>
      </c>
      <c r="HH24" s="133" t="n"/>
      <c r="HI24" s="140">
        <f>HH24*100/$E$24</f>
        <v/>
      </c>
      <c r="HJ24" s="133" t="n"/>
      <c r="HK24" s="139">
        <f>HJ24*100/$E$24</f>
        <v/>
      </c>
      <c r="HL24" s="133" t="n"/>
      <c r="HM24" s="140">
        <f>HL24*100/$E$24</f>
        <v/>
      </c>
      <c r="HN24" s="133" t="n"/>
      <c r="HO24" s="139">
        <f>HN24*100/$E$24</f>
        <v/>
      </c>
      <c r="HP24" s="133" t="n"/>
      <c r="HQ24" s="140">
        <f>HP24*100/$E$24</f>
        <v/>
      </c>
      <c r="HR24" s="133" t="n"/>
      <c r="HS24" s="139">
        <f>HR24*100/$E$24</f>
        <v/>
      </c>
      <c r="HT24" s="133" t="n"/>
      <c r="HU24" s="140">
        <f>HT24*100/$E$24</f>
        <v/>
      </c>
      <c r="HV24" s="133" t="n"/>
      <c r="HW24" s="139">
        <f>HV24*100/$E$24</f>
        <v/>
      </c>
      <c r="HX24" s="133" t="n"/>
      <c r="HY24" s="140">
        <f>HX24*100/$E$24</f>
        <v/>
      </c>
      <c r="HZ24" s="133" t="n"/>
      <c r="IA24" s="139">
        <f>HZ24*100/$E$24</f>
        <v/>
      </c>
      <c r="IB24" s="133" t="n"/>
      <c r="IC24" s="139">
        <f>IB24*100/$E$24</f>
        <v/>
      </c>
      <c r="ID24" s="133" t="n"/>
      <c r="IE24" s="139">
        <f>ID24*100/$E$24</f>
        <v/>
      </c>
      <c r="IF24" s="133" t="n"/>
      <c r="IG24" s="139">
        <f>IF24*100/$E$24</f>
        <v/>
      </c>
      <c r="IH24" s="133" t="n"/>
      <c r="II24" s="139">
        <f>IH24*100/$E$24</f>
        <v/>
      </c>
      <c r="IJ24" s="133" t="n"/>
      <c r="IK24" s="139">
        <f>IJ24*100/$E$24</f>
        <v/>
      </c>
      <c r="IL24" s="133" t="n"/>
      <c r="IM24" s="140">
        <f>IL24*100/$E$24</f>
        <v/>
      </c>
      <c r="IN24" s="133" t="n"/>
      <c r="IO24" s="140">
        <f>IN24*100/$E$24</f>
        <v/>
      </c>
      <c r="IP24" s="133" t="n"/>
      <c r="IQ24" s="139">
        <f>IP24*100/$E$24</f>
        <v/>
      </c>
      <c r="IR24" s="133" t="n"/>
      <c r="IS24" s="139">
        <f>IR24*100/$E$24</f>
        <v/>
      </c>
      <c r="IT24" s="133" t="n"/>
      <c r="IU24" s="139">
        <f>IT24*100/$E$24</f>
        <v/>
      </c>
      <c r="IV24" s="133" t="n"/>
      <c r="IW24" s="139">
        <f>IV24*100/$E$24</f>
        <v/>
      </c>
      <c r="IX24" s="133" t="n"/>
      <c r="IY24" s="139">
        <f>IX24*100/$E$24</f>
        <v/>
      </c>
      <c r="IZ24" s="133" t="n"/>
      <c r="JA24" s="139">
        <f>IZ24*100/$E$24</f>
        <v/>
      </c>
      <c r="JB24" s="133" t="n"/>
      <c r="JC24" s="139">
        <f>JB24*100/$E$24</f>
        <v/>
      </c>
      <c r="JD24" s="133" t="n"/>
      <c r="JE24" s="139">
        <f>JD24*100/$E$24</f>
        <v/>
      </c>
      <c r="JF24" s="133" t="n"/>
      <c r="JG24" s="139">
        <f>JF24*100/$E$24</f>
        <v/>
      </c>
      <c r="JH24" s="133" t="n"/>
      <c r="JI24" s="139">
        <f>JH24*100/$E$24</f>
        <v/>
      </c>
      <c r="JJ24" s="133" t="n"/>
      <c r="JK24" s="139">
        <f>JJ24*100/$E$24</f>
        <v/>
      </c>
      <c r="JL24" s="133">
        <f>8+8+8</f>
        <v/>
      </c>
      <c r="JM24" s="139">
        <f>JL24*100/$E$24</f>
        <v/>
      </c>
      <c r="JN24" s="133">
        <f>8+8+8+8+8+8+8+8</f>
        <v/>
      </c>
      <c r="JO24" s="139">
        <f>JN24*100/$E$24</f>
        <v/>
      </c>
      <c r="JP24" s="133" t="n"/>
      <c r="JQ24" s="139">
        <f>JP24*100/$E$24</f>
        <v/>
      </c>
      <c r="JR24" s="133">
        <f>8+15</f>
        <v/>
      </c>
      <c r="JS24" s="139">
        <f>JR24*100/$E$24</f>
        <v/>
      </c>
      <c r="JT24" s="133" t="n"/>
      <c r="JU24" s="139">
        <f>JT24*100/$E$24</f>
        <v/>
      </c>
      <c r="JV24" s="133" t="n"/>
      <c r="JW24" s="139">
        <f>JV24*100/$E$24</f>
        <v/>
      </c>
      <c r="JX24" s="133" t="n"/>
      <c r="JY24" s="139">
        <f>JX24*100/$E$24</f>
        <v/>
      </c>
      <c r="JZ24" s="183">
        <f>JN24+JP24+JR24+JT24+JV24+JX24</f>
        <v/>
      </c>
      <c r="KA24" s="184">
        <f>JO24+JQ24+JS24+JU24+JW24+JY24</f>
        <v/>
      </c>
      <c r="KB24" s="185">
        <f>H24+J24+L24+N24+P24+R24+T24+V24+X24+Z24+AB24+AD24+AF24+AH24+AJ24+AL24+AN24+AP24+AR24+AT24+AV24+AX24+AZ24+BB24+BD24+BF24+BH24+BJ24+BL24+BN24+BP24+BR24+BT24+BV24+BX24+BZ24+CB24+CD24+CF24+CH24+CZ24+DB24+DD24+DF24+DH24+DJ24+DL24+DN24+DP24+DR24+DT24+DV24+DX24+DZ24+EB24+ED24+EF24+EH24+EJ24+EL24+EN24+EP24+ER24+ET24+EV24+FN24+FP24+FR24+FT24+FV24+FX24+FZ24+GB24+GD24+GF24+GH24+GJ24+GL24+GN24+GP24+GR24+GT24+GV24+GX24+GZ24+HB24+HD24+HF24+HH24+HJ24+HL24+HN24+HP24+HR24+HT24+HV24+HX24+HZ24+IB24+ID24+IF24+IH24+IJ24+IL24+IN24+IP24+IR24+IT24+IV24+IX24+IZ24+JB24+JD24+JF24+JH24+JJ24+JL24+JZ24+CJ24+CL24+CN24+CP24+CR24+CT24+CV24+CX24+EX24+EZ24+FB24+FD24+FF24+FH24+FJ24+FL24</f>
        <v/>
      </c>
      <c r="KC24" s="186">
        <f>I24+K24+M24+O24+Q24+S24+U24+W24+Y24+AA24+AC24+AE24+AG24+AI24+AK24+AM24+AO24+AQ24+AS24+AU24+AW24+AY24+BA24+BC24+BE24+BG24+BI24+BK24+BM24+BO24+BQ24+BS24+BU24+BW24+BY24+CA24+CC24+CE24+CG24+CI24+DA24+DC24+DE24+DG24+DI24+DK24+DM24+DO24+DQ24+DS24+DU24+DW24+DY24+EA24+EC24+EE24+EG24+EI24+EK24+EM24+EO24+EQ24+ES24+EU24+EW24+FO24+FS24+FU24+FW24+FQ24+FY24+GA24+GC24+GE24+GG24+GI24+GK24+GM24+GO24+GQ24+GS24+GU24+GW24+GY24+HA24+HC24+HE24+HG24+HI24+HK24+HM24+HO24+HQ24+HS24+HU24+HW24+HY24+IA24+IC24+IE24+IG24+II24+IK24+IM24+IO24+IQ24+IS24+IU24+IW24+IY24+JA24+JC24+JE24+JG24+JI24+JK24+JM24+KA24+CK24+CM24+CO24+CQ24+CS24+CU24+CW24+CY24+EY24+FA24+FC24+FE24+FG24+FI24+FK24+FM24</f>
        <v/>
      </c>
      <c r="KD24" s="187">
        <f>JO24+JQ24+JS24+JU24+JW24+JY24</f>
        <v/>
      </c>
      <c r="KE24" s="234">
        <f>KB24=E24</f>
        <v/>
      </c>
      <c r="KF24" s="189">
        <f>E24-KB24</f>
        <v/>
      </c>
      <c r="KG24" s="238" t="n"/>
    </row>
    <row r="25" ht="21.75" customFormat="1" customHeight="1" s="214">
      <c r="A25" s="126">
        <f>A24+1</f>
        <v/>
      </c>
      <c r="B25" s="175" t="inlineStr">
        <is>
          <t>Корюков А.А.</t>
        </is>
      </c>
      <c r="C25" s="176" t="inlineStr">
        <is>
          <t>токарь</t>
        </is>
      </c>
      <c r="D25" s="177">
        <f>$D$5</f>
        <v/>
      </c>
      <c r="E25" s="202" t="n">
        <v>180</v>
      </c>
      <c r="F25" s="193" t="n">
        <v>172414.02</v>
      </c>
      <c r="G25" s="179">
        <f>F25/D25</f>
        <v/>
      </c>
      <c r="H25" s="180" t="n"/>
      <c r="I25" s="140">
        <f>H25*100/$E$25</f>
        <v/>
      </c>
      <c r="J25" s="133" t="n"/>
      <c r="K25" s="140">
        <f>J25*100/$E$25</f>
        <v/>
      </c>
      <c r="L25" s="133" t="n"/>
      <c r="M25" s="140">
        <f>L25*100/$E$25</f>
        <v/>
      </c>
      <c r="N25" s="133" t="n"/>
      <c r="O25" s="140">
        <f>N25*100/$E$25</f>
        <v/>
      </c>
      <c r="P25" s="133" t="n"/>
      <c r="Q25" s="139">
        <f>P25*100/$E$25</f>
        <v/>
      </c>
      <c r="R25" s="133" t="n"/>
      <c r="S25" s="139">
        <f>R25*100/$E$25</f>
        <v/>
      </c>
      <c r="T25" s="133" t="n"/>
      <c r="U25" s="140">
        <f>T25*100/$E$25</f>
        <v/>
      </c>
      <c r="V25" s="133" t="n"/>
      <c r="W25" s="140">
        <f>V25*100/$E$25</f>
        <v/>
      </c>
      <c r="X25" s="133" t="n"/>
      <c r="Y25" s="140">
        <f>X25*100/$E$25</f>
        <v/>
      </c>
      <c r="Z25" s="133" t="n"/>
      <c r="AA25" s="140">
        <f>Z25*100/$E$25</f>
        <v/>
      </c>
      <c r="AB25" s="133" t="n"/>
      <c r="AC25" s="140">
        <f>AB25*100/$E$25</f>
        <v/>
      </c>
      <c r="AD25" s="133" t="n"/>
      <c r="AE25" s="139">
        <f>AD25*100/$E$25</f>
        <v/>
      </c>
      <c r="AF25" s="133" t="n">
        <v>6</v>
      </c>
      <c r="AG25" s="139">
        <f>AF25*100/$E$25</f>
        <v/>
      </c>
      <c r="AH25" s="133" t="n"/>
      <c r="AI25" s="140">
        <f>AH25*100/$E$25</f>
        <v/>
      </c>
      <c r="AJ25" s="133" t="n"/>
      <c r="AK25" s="140">
        <f>AJ25*100/$E$25</f>
        <v/>
      </c>
      <c r="AL25" s="133" t="n"/>
      <c r="AM25" s="140">
        <f>AL25*100/$E$25</f>
        <v/>
      </c>
      <c r="AN25" s="133">
        <f>6+12+12</f>
        <v/>
      </c>
      <c r="AO25" s="140">
        <f>AN25*100/$E$25</f>
        <v/>
      </c>
      <c r="AP25" s="133" t="n"/>
      <c r="AQ25" s="140">
        <f>AP25*100/$E$25</f>
        <v/>
      </c>
      <c r="AR25" s="133" t="n"/>
      <c r="AS25" s="140">
        <f>AR25*100/$E$25</f>
        <v/>
      </c>
      <c r="AT25" s="133" t="n"/>
      <c r="AU25" s="181">
        <f>AT25*100/$E$25</f>
        <v/>
      </c>
      <c r="AV25" s="133">
        <f>4+5+6+12</f>
        <v/>
      </c>
      <c r="AW25" s="140">
        <f>AV25*100/$E$25</f>
        <v/>
      </c>
      <c r="AX25" s="133">
        <f>2+12+12</f>
        <v/>
      </c>
      <c r="AY25" s="140">
        <f>AX25*100/$E$25</f>
        <v/>
      </c>
      <c r="AZ25" s="133" t="n"/>
      <c r="BA25" s="140">
        <f>AZ25*100/$E$25</f>
        <v/>
      </c>
      <c r="BB25" s="133" t="n"/>
      <c r="BC25" s="140">
        <f>BB25*100/$E$25</f>
        <v/>
      </c>
      <c r="BD25" s="133">
        <f>2+2</f>
        <v/>
      </c>
      <c r="BE25" s="140">
        <f>BD25*100/$E$25</f>
        <v/>
      </c>
      <c r="BF25" s="133" t="n"/>
      <c r="BG25" s="140">
        <f>BF25*100/$E$25</f>
        <v/>
      </c>
      <c r="BH25" s="133" t="n"/>
      <c r="BI25" s="140">
        <f>BH25*100/$E$25</f>
        <v/>
      </c>
      <c r="BJ25" s="133" t="n"/>
      <c r="BK25" s="140">
        <f>BJ25*100/$E$25</f>
        <v/>
      </c>
      <c r="BL25" s="133" t="n"/>
      <c r="BM25" s="140">
        <f>BL25*100/$E$25</f>
        <v/>
      </c>
      <c r="BN25" s="133" t="n"/>
      <c r="BO25" s="140">
        <f>BN25*100/$E$25</f>
        <v/>
      </c>
      <c r="BP25" s="133" t="n"/>
      <c r="BQ25" s="140">
        <f>BP25*100/$E$25</f>
        <v/>
      </c>
      <c r="BR25" s="133" t="n"/>
      <c r="BS25" s="140">
        <f>BR25*100/$E$25</f>
        <v/>
      </c>
      <c r="BT25" s="133" t="n"/>
      <c r="BU25" s="140">
        <f>BT25*100/$E$25</f>
        <v/>
      </c>
      <c r="BV25" s="133" t="n"/>
      <c r="BW25" s="140">
        <f>BV25*100/$E$25</f>
        <v/>
      </c>
      <c r="BX25" s="133">
        <f>8+4+4</f>
        <v/>
      </c>
      <c r="BY25" s="140">
        <f>BX25*100/$E$25</f>
        <v/>
      </c>
      <c r="BZ25" s="133" t="n"/>
      <c r="CA25" s="140">
        <f>BZ25*100/$E$25</f>
        <v/>
      </c>
      <c r="CB25" s="133" t="n"/>
      <c r="CC25" s="140">
        <f>CB25*100/$E$25</f>
        <v/>
      </c>
      <c r="CD25" s="133" t="n"/>
      <c r="CE25" s="140">
        <f>CD25*100/$E$25</f>
        <v/>
      </c>
      <c r="CF25" s="133" t="n"/>
      <c r="CG25" s="140">
        <f>CF25*100/$E$25</f>
        <v/>
      </c>
      <c r="CH25" s="133" t="n"/>
      <c r="CI25" s="140">
        <f>CH25*100/$E$25</f>
        <v/>
      </c>
      <c r="CJ25" s="133" t="n"/>
      <c r="CK25" s="140">
        <f>CJ25*100/$E$25</f>
        <v/>
      </c>
      <c r="CL25" s="133" t="n"/>
      <c r="CM25" s="140">
        <f>CL25*100/$E$25</f>
        <v/>
      </c>
      <c r="CN25" s="133">
        <f>4+12</f>
        <v/>
      </c>
      <c r="CO25" s="139">
        <f>CN25*100/$E$25</f>
        <v/>
      </c>
      <c r="CP25" s="133" t="n"/>
      <c r="CQ25" s="140">
        <f>CP25*100/$E$25</f>
        <v/>
      </c>
      <c r="CR25" s="133" t="n"/>
      <c r="CS25" s="139">
        <f>CR25*100/$E$25</f>
        <v/>
      </c>
      <c r="CT25" s="133" t="n"/>
      <c r="CU25" s="139">
        <f>CT25*100/$E$25</f>
        <v/>
      </c>
      <c r="CV25" s="133" t="n">
        <v>3</v>
      </c>
      <c r="CW25" s="139">
        <f>CV25*100/$E$25</f>
        <v/>
      </c>
      <c r="CX25" s="133" t="n"/>
      <c r="CY25" s="139">
        <f>CX25*100/$E$25</f>
        <v/>
      </c>
      <c r="CZ25" s="133" t="n"/>
      <c r="DA25" s="139">
        <f>CZ25*100/$E$25</f>
        <v/>
      </c>
      <c r="DB25" s="133" t="n"/>
      <c r="DC25" s="139">
        <f>DB25*100/$E$25</f>
        <v/>
      </c>
      <c r="DD25" s="133" t="n"/>
      <c r="DE25" s="139">
        <f>DD25*100/$E$25</f>
        <v/>
      </c>
      <c r="DF25" s="133" t="n"/>
      <c r="DG25" s="139">
        <f>DF25*100/$E$25</f>
        <v/>
      </c>
      <c r="DH25" s="133" t="n"/>
      <c r="DI25" s="139">
        <f>DH25*100/$E$25</f>
        <v/>
      </c>
      <c r="DJ25" s="133" t="n"/>
      <c r="DK25" s="139">
        <f>DJ25*100/$E$25</f>
        <v/>
      </c>
      <c r="DL25" s="133" t="n"/>
      <c r="DM25" s="139">
        <f>DL25*100/$E$25</f>
        <v/>
      </c>
      <c r="DN25" s="133">
        <f>4+10+7+6+8+6</f>
        <v/>
      </c>
      <c r="DO25" s="139">
        <f>DN25*100/$E$25</f>
        <v/>
      </c>
      <c r="DP25" s="133" t="n">
        <v>11</v>
      </c>
      <c r="DQ25" s="139">
        <f>DP25*100/$E$25</f>
        <v/>
      </c>
      <c r="DR25" s="133" t="n"/>
      <c r="DS25" s="139">
        <f>DR25*100/$E$25</f>
        <v/>
      </c>
      <c r="DT25" s="133" t="n"/>
      <c r="DU25" s="139">
        <f>DT25*100/$E$25</f>
        <v/>
      </c>
      <c r="DV25" s="133" t="n"/>
      <c r="DW25" s="139">
        <f>DV25*100/$E$25</f>
        <v/>
      </c>
      <c r="DX25" s="133" t="n"/>
      <c r="DY25" s="139">
        <f>DX25*100/$E$25</f>
        <v/>
      </c>
      <c r="DZ25" s="133" t="n"/>
      <c r="EA25" s="139">
        <f>DZ25*100/$E$25</f>
        <v/>
      </c>
      <c r="EB25" s="133" t="n"/>
      <c r="EC25" s="139">
        <f>EB25*100/$E$25</f>
        <v/>
      </c>
      <c r="ED25" s="133" t="n"/>
      <c r="EE25" s="139">
        <f>ED25*100/$E$25</f>
        <v/>
      </c>
      <c r="EF25" s="133" t="n"/>
      <c r="EG25" s="139">
        <f>EF25*100/$E$25</f>
        <v/>
      </c>
      <c r="EH25" s="133" t="n"/>
      <c r="EI25" s="139">
        <f>EH25*100/$E$25</f>
        <v/>
      </c>
      <c r="EJ25" s="133" t="n"/>
      <c r="EK25" s="139">
        <f>EJ25*100/$E$25</f>
        <v/>
      </c>
      <c r="EL25" s="133" t="n"/>
      <c r="EM25" s="139">
        <f>EL25*100/$E$25</f>
        <v/>
      </c>
      <c r="EN25" s="133" t="n"/>
      <c r="EO25" s="139">
        <f>EN25*100/$E$25</f>
        <v/>
      </c>
      <c r="EP25" s="133" t="n"/>
      <c r="EQ25" s="139">
        <f>EP25*100/$E$25</f>
        <v/>
      </c>
      <c r="ER25" s="133" t="n"/>
      <c r="ES25" s="139">
        <f>ER25*100/$E$25</f>
        <v/>
      </c>
      <c r="ET25" s="133" t="n"/>
      <c r="EU25" s="139">
        <f>ET25*100/$E$25</f>
        <v/>
      </c>
      <c r="EV25" s="133" t="n"/>
      <c r="EW25" s="139">
        <f>EV25*100/$E$25</f>
        <v/>
      </c>
      <c r="EX25" s="133" t="n"/>
      <c r="EY25" s="139">
        <f>EX25*100/$E$25</f>
        <v/>
      </c>
      <c r="EZ25" s="133" t="n"/>
      <c r="FA25" s="139">
        <f>EZ25*100/$E$25</f>
        <v/>
      </c>
      <c r="FB25" s="133" t="n"/>
      <c r="FC25" s="139">
        <f>FB25*100/$E$25</f>
        <v/>
      </c>
      <c r="FD25" s="133" t="n"/>
      <c r="FE25" s="139">
        <f>FD25*100/$E$25</f>
        <v/>
      </c>
      <c r="FF25" s="133" t="n"/>
      <c r="FG25" s="139">
        <f>FF25*100/$E$25</f>
        <v/>
      </c>
      <c r="FH25" s="133" t="n"/>
      <c r="FI25" s="139">
        <f>FH25*100/$E$25</f>
        <v/>
      </c>
      <c r="FJ25" s="133" t="n"/>
      <c r="FK25" s="139">
        <f>FJ25*100/$E$25</f>
        <v/>
      </c>
      <c r="FL25" s="133" t="n"/>
      <c r="FM25" s="139">
        <f>FL25*100/$E$25</f>
        <v/>
      </c>
      <c r="FN25" s="133" t="n"/>
      <c r="FO25" s="139">
        <f>FN25*100/$E$25</f>
        <v/>
      </c>
      <c r="FP25" s="133" t="n"/>
      <c r="FQ25" s="139">
        <f>FP25*100/$E$25</f>
        <v/>
      </c>
      <c r="FR25" s="133" t="n"/>
      <c r="FS25" s="139">
        <f>FR25*100/$E$25</f>
        <v/>
      </c>
      <c r="FT25" s="133" t="n"/>
      <c r="FU25" s="139">
        <f>FT25*100/$E$25</f>
        <v/>
      </c>
      <c r="FV25" s="133" t="n"/>
      <c r="FW25" s="139">
        <f>FV25*100/$E$25</f>
        <v/>
      </c>
      <c r="FX25" s="133" t="n"/>
      <c r="FY25" s="140">
        <f>FX25*100/$E$25</f>
        <v/>
      </c>
      <c r="FZ25" s="133" t="n"/>
      <c r="GA25" s="140">
        <f>FZ25*100/$E$25</f>
        <v/>
      </c>
      <c r="GB25" s="133" t="n"/>
      <c r="GC25" s="140">
        <f>GB25*100/$E$25</f>
        <v/>
      </c>
      <c r="GD25" s="133" t="n"/>
      <c r="GE25" s="140">
        <f>GD25*100/$E$25</f>
        <v/>
      </c>
      <c r="GF25" s="133" t="n"/>
      <c r="GG25" s="140">
        <f>GF25*100/$E$25</f>
        <v/>
      </c>
      <c r="GH25" s="133" t="n"/>
      <c r="GI25" s="140">
        <f>GH25*100/$E$25</f>
        <v/>
      </c>
      <c r="GJ25" s="133" t="n"/>
      <c r="GK25" s="139">
        <f>GJ25*100/$E$25</f>
        <v/>
      </c>
      <c r="GL25" s="133" t="n"/>
      <c r="GM25" s="140">
        <f>GL25*100/$E$25</f>
        <v/>
      </c>
      <c r="GN25" s="133" t="n"/>
      <c r="GO25" s="139">
        <f>GN25*100/$E$25</f>
        <v/>
      </c>
      <c r="GP25" s="133" t="n"/>
      <c r="GQ25" s="140">
        <f>GP25*100/$E$25</f>
        <v/>
      </c>
      <c r="GR25" s="133" t="n"/>
      <c r="GS25" s="139">
        <f>GR25*100/$E$25</f>
        <v/>
      </c>
      <c r="GT25" s="133" t="n"/>
      <c r="GU25" s="139">
        <f>GT25*100/$E$25</f>
        <v/>
      </c>
      <c r="GV25" s="133" t="n"/>
      <c r="GW25" s="139">
        <f>GV25*100/$E$25</f>
        <v/>
      </c>
      <c r="GX25" s="133" t="n"/>
      <c r="GY25" s="140">
        <f>GX25*100/$E$25</f>
        <v/>
      </c>
      <c r="GZ25" s="133" t="n"/>
      <c r="HA25" s="140">
        <f>GZ25*100/$E$25</f>
        <v/>
      </c>
      <c r="HB25" s="133" t="n"/>
      <c r="HC25" s="140">
        <f>HB25*100/$E$25</f>
        <v/>
      </c>
      <c r="HD25" s="133" t="n"/>
      <c r="HE25" s="140">
        <f>HD25*100/$E$25</f>
        <v/>
      </c>
      <c r="HF25" s="133" t="n"/>
      <c r="HG25" s="140">
        <f>HF25*100/$E$25</f>
        <v/>
      </c>
      <c r="HH25" s="133" t="n"/>
      <c r="HI25" s="140">
        <f>HH25*100/$E$25</f>
        <v/>
      </c>
      <c r="HJ25" s="133" t="n"/>
      <c r="HK25" s="140">
        <f>HJ25*100/$E$25</f>
        <v/>
      </c>
      <c r="HL25" s="133" t="n"/>
      <c r="HM25" s="140">
        <f>HL25*100/$E$25</f>
        <v/>
      </c>
      <c r="HN25" s="133" t="n"/>
      <c r="HO25" s="140">
        <f>HN25*100/$E$25</f>
        <v/>
      </c>
      <c r="HP25" s="133" t="n"/>
      <c r="HQ25" s="140">
        <f>HP25*100/$E$25</f>
        <v/>
      </c>
      <c r="HR25" s="133" t="n"/>
      <c r="HS25" s="140">
        <f>HR25*100/$E$25</f>
        <v/>
      </c>
      <c r="HT25" s="133" t="n"/>
      <c r="HU25" s="140">
        <f>HT25*100/$E$25</f>
        <v/>
      </c>
      <c r="HV25" s="133" t="n"/>
      <c r="HW25" s="140">
        <f>HV25*100/$E$25</f>
        <v/>
      </c>
      <c r="HX25" s="133" t="n"/>
      <c r="HY25" s="140">
        <f>HX25*100/$E$25</f>
        <v/>
      </c>
      <c r="HZ25" s="133" t="n"/>
      <c r="IA25" s="139">
        <f>HZ25*100/$E$25</f>
        <v/>
      </c>
      <c r="IB25" s="133" t="n"/>
      <c r="IC25" s="139">
        <f>IB25*100/$E$25</f>
        <v/>
      </c>
      <c r="ID25" s="133" t="n"/>
      <c r="IE25" s="139">
        <f>ID25*100/$E$25</f>
        <v/>
      </c>
      <c r="IF25" s="133" t="n"/>
      <c r="IG25" s="139">
        <f>IF25*100/$E$25</f>
        <v/>
      </c>
      <c r="IH25" s="133" t="n"/>
      <c r="II25" s="139">
        <f>IH25*100/$E$25</f>
        <v/>
      </c>
      <c r="IJ25" s="133" t="n"/>
      <c r="IK25" s="139">
        <f>IJ25*100/$E$25</f>
        <v/>
      </c>
      <c r="IL25" s="133" t="n"/>
      <c r="IM25" s="140">
        <f>IL25*100/$E$25</f>
        <v/>
      </c>
      <c r="IN25" s="133" t="n"/>
      <c r="IO25" s="140">
        <f>IN25*100/$E$25</f>
        <v/>
      </c>
      <c r="IP25" s="133" t="n"/>
      <c r="IQ25" s="139">
        <f>IP25*100/$E$25</f>
        <v/>
      </c>
      <c r="IR25" s="133" t="n"/>
      <c r="IS25" s="139">
        <f>IR25*100/$E$25</f>
        <v/>
      </c>
      <c r="IT25" s="133" t="n"/>
      <c r="IU25" s="139">
        <f>IT25*100/$E$25</f>
        <v/>
      </c>
      <c r="IV25" s="133" t="n"/>
      <c r="IW25" s="139">
        <f>IV25*100/$E$25</f>
        <v/>
      </c>
      <c r="IX25" s="133" t="n"/>
      <c r="IY25" s="139">
        <f>IX25*100/$E$25</f>
        <v/>
      </c>
      <c r="IZ25" s="133" t="n"/>
      <c r="JA25" s="139">
        <f>IZ25*100/$E$25</f>
        <v/>
      </c>
      <c r="JB25" s="133" t="n"/>
      <c r="JC25" s="139">
        <f>JB25*100/$E$25</f>
        <v/>
      </c>
      <c r="JD25" s="133" t="n"/>
      <c r="JE25" s="139">
        <f>JD25*100/$E$25</f>
        <v/>
      </c>
      <c r="JF25" s="133" t="n"/>
      <c r="JG25" s="139">
        <f>JF25*100/$E$25</f>
        <v/>
      </c>
      <c r="JH25" s="133" t="n"/>
      <c r="JI25" s="139">
        <f>JH25*100/$E$25</f>
        <v/>
      </c>
      <c r="JJ25" s="133" t="n"/>
      <c r="JK25" s="139">
        <f>JJ25*100/$E$25</f>
        <v/>
      </c>
      <c r="JL25" s="133" t="n"/>
      <c r="JM25" s="139">
        <f>JL25*100/$E$25</f>
        <v/>
      </c>
      <c r="JN25" s="133" t="n"/>
      <c r="JO25" s="139">
        <f>JN25*100/$E$25</f>
        <v/>
      </c>
      <c r="JP25" s="133" t="n"/>
      <c r="JQ25" s="139">
        <f>JP25*100/$E$25</f>
        <v/>
      </c>
      <c r="JR25" s="133" t="n"/>
      <c r="JS25" s="139">
        <f>JR25*100/$E$25</f>
        <v/>
      </c>
      <c r="JT25" s="133" t="n"/>
      <c r="JU25" s="182">
        <f>JT25*100/$E$25</f>
        <v/>
      </c>
      <c r="JV25" s="133" t="n"/>
      <c r="JW25" s="182">
        <f>JV25*100/$E$25</f>
        <v/>
      </c>
      <c r="JX25" s="133" t="n"/>
      <c r="JY25" s="182">
        <f>JX25*100/$E$25</f>
        <v/>
      </c>
      <c r="JZ25" s="183">
        <f>JN25+JP25+JR25+JT25+JV25+JX25</f>
        <v/>
      </c>
      <c r="KA25" s="184">
        <f>JO25+JQ25+JS25+JU25+JW25+JY25</f>
        <v/>
      </c>
      <c r="KB25" s="185">
        <f>H25+J25+L25+N25+P25+R25+T25+V25+X25+Z25+AB25+AD25+AF25+AH25+AJ25+AL25+AN25+AP25+AR25+AT25+AV25+AX25+AZ25+BB25+BD25+BF25+BH25+BJ25+BL25+BN25+BP25+BR25+BT25+BV25+BX25+BZ25+CB25+CD25+CF25+CH25+CZ25+DB25+DD25+DF25+DH25+DJ25+DL25+DN25+DP25+DR25+DT25+DV25+DX25+DZ25+EB25+ED25+EF25+EH25+EJ25+EL25+EN25+EP25+ER25+ET25+EV25+FN25+FP25+FR25+FT25+FV25+FX25+FZ25+GB25+GD25+GF25+GH25+GJ25+GL25+GN25+GP25+GR25+GT25+GV25+GX25+GZ25+HB25+HD25+HF25+HH25+HJ25+HL25+HN25+HP25+HR25+HT25+HV25+HX25+HZ25+IB25+ID25+IF25+IH25+IJ25+IL25+IN25+IP25+IR25+IT25+IV25+IX25+IZ25+JB25+JD25+JF25+JH25+JJ25+JL25+JZ25+CJ25+CL25+CN25+CP25+CR25+CT25+CV25+CX25+EX25+EZ25+FB25+FD25+FF25+FH25+FJ25+FL25</f>
        <v/>
      </c>
      <c r="KC25" s="186">
        <f>I25+K25+M25+O25+Q25+S25+U25+W25+Y25+AA25+AC25+AE25+AG25+AI25+AK25+AM25+AO25+AQ25+AS25+AU25+AW25+AY25+BA25+BC25+BE25+BG25+BI25+BK25+BM25+BO25+BQ25+BS25+BU25+BW25+BY25+CA25+CC25+CE25+CG25+CI25+DA25+DC25+DE25+DG25+DI25+DK25+DM25+DO25+DQ25+DS25+DU25+DW25+DY25+EA25+EC25+EE25+EG25+EI25+EK25+EM25+EO25+EQ25+ES25+EU25+EW25+FO25+FS25+FU25+FW25+FQ25+FY25+GA25+GC25+GE25+GG25+GI25+GK25+GM25+GO25+GQ25+GS25+GU25+GW25+GY25+HA25+HC25+HE25+HG25+HI25+HK25+HM25+HO25+HQ25+HS25+HU25+HW25+HY25+IA25+IC25+IE25+IG25+II25+IK25+IM25+IO25+IQ25+IS25+IU25+IW25+IY25+JA25+JC25+JE25+JG25+JI25+JK25+JM25+KA25+CK25+CM25+CO25+CQ25+CS25+CU25+CW25+CY25+EY25+FA25+FC25+FE25+FG25+FI25+FK25+FM25</f>
        <v/>
      </c>
      <c r="KD25" s="187">
        <f>JO25+JQ25+JS25+JU25+JW25+JY25</f>
        <v/>
      </c>
      <c r="KE25" s="188">
        <f>KB25=E25</f>
        <v/>
      </c>
      <c r="KF25" s="189">
        <f>E25-KB25</f>
        <v/>
      </c>
      <c r="KG25" s="232" t="n"/>
    </row>
    <row r="26" ht="21.75" customFormat="1" customHeight="1" s="212">
      <c r="A26" s="126">
        <f>A25+1</f>
        <v/>
      </c>
      <c r="B26" s="175" t="inlineStr">
        <is>
          <t>Кузнецов И.Р.</t>
        </is>
      </c>
      <c r="C26" s="194" t="inlineStr">
        <is>
          <t>слесарь</t>
        </is>
      </c>
      <c r="D26" s="177">
        <f>$D$5</f>
        <v/>
      </c>
      <c r="E26" s="202" t="n">
        <v>159</v>
      </c>
      <c r="F26" s="193" t="n">
        <v>75793.14999999999</v>
      </c>
      <c r="G26" s="179">
        <f>F26/D26</f>
        <v/>
      </c>
      <c r="H26" s="180" t="n"/>
      <c r="I26" s="140">
        <f>H26*100/$E$26</f>
        <v/>
      </c>
      <c r="J26" s="133">
        <f>0.5+1.5</f>
        <v/>
      </c>
      <c r="K26" s="140">
        <f>J26*100/$E$26</f>
        <v/>
      </c>
      <c r="L26" s="133">
        <f>2+1.5</f>
        <v/>
      </c>
      <c r="M26" s="140">
        <f>L26*100/$E$26</f>
        <v/>
      </c>
      <c r="N26" s="133" t="n"/>
      <c r="O26" s="140">
        <f>N26*100/$E$26</f>
        <v/>
      </c>
      <c r="P26" s="133" t="n"/>
      <c r="Q26" s="139">
        <f>P26*100/$E$26</f>
        <v/>
      </c>
      <c r="R26" s="133" t="n"/>
      <c r="S26" s="139">
        <f>R26*100/$E$26</f>
        <v/>
      </c>
      <c r="T26" s="133" t="n"/>
      <c r="U26" s="140">
        <f>T26*100/$E$26</f>
        <v/>
      </c>
      <c r="V26" s="133" t="n"/>
      <c r="W26" s="140">
        <f>V26*100/$E$26</f>
        <v/>
      </c>
      <c r="X26" s="133" t="n"/>
      <c r="Y26" s="140">
        <f>X26*100/$E$26</f>
        <v/>
      </c>
      <c r="Z26" s="133" t="n"/>
      <c r="AA26" s="140">
        <f>Z26*100/$E$26</f>
        <v/>
      </c>
      <c r="AB26" s="133" t="n">
        <v>3.5</v>
      </c>
      <c r="AC26" s="140">
        <f>AB26*100/$E$26</f>
        <v/>
      </c>
      <c r="AD26" s="133">
        <f>2+0.5+0.5+1.5+1+1+1+1+1+0.5+2</f>
        <v/>
      </c>
      <c r="AE26" s="139">
        <f>AD26*100/$E$26</f>
        <v/>
      </c>
      <c r="AF26" s="133" t="n"/>
      <c r="AG26" s="139">
        <f>AF26*100/$E$26</f>
        <v/>
      </c>
      <c r="AH26" s="133" t="n"/>
      <c r="AI26" s="140">
        <f>AH26*100/$E$26</f>
        <v/>
      </c>
      <c r="AJ26" s="133" t="n"/>
      <c r="AK26" s="140">
        <f>AJ26*100/$E$26</f>
        <v/>
      </c>
      <c r="AL26" s="133" t="n"/>
      <c r="AM26" s="140">
        <f>AL26*100/$E$26</f>
        <v/>
      </c>
      <c r="AN26" s="133">
        <f>4.5+1.5+1.5+1+0.5+2</f>
        <v/>
      </c>
      <c r="AO26" s="140">
        <f>AN26*100/$E$26</f>
        <v/>
      </c>
      <c r="AP26" s="133" t="n"/>
      <c r="AQ26" s="140">
        <f>AP26*100/$E$26</f>
        <v/>
      </c>
      <c r="AR26" s="133" t="n"/>
      <c r="AS26" s="140">
        <f>AR26*100/$E$26</f>
        <v/>
      </c>
      <c r="AT26" s="133" t="n"/>
      <c r="AU26" s="181">
        <f>AT26*100/$E$26</f>
        <v/>
      </c>
      <c r="AV26" s="133" t="n"/>
      <c r="AW26" s="140">
        <f>AV26*100/$E$26</f>
        <v/>
      </c>
      <c r="AX26" s="133" t="n"/>
      <c r="AY26" s="140">
        <f>AX26*100/$E$26</f>
        <v/>
      </c>
      <c r="AZ26" s="133" t="n"/>
      <c r="BA26" s="140">
        <f>AZ26*100/$E$26</f>
        <v/>
      </c>
      <c r="BB26" s="133" t="n"/>
      <c r="BC26" s="140">
        <f>BB26*100/$E$26</f>
        <v/>
      </c>
      <c r="BD26" s="133" t="n"/>
      <c r="BE26" s="140">
        <f>BD26*100/$E$26</f>
        <v/>
      </c>
      <c r="BF26" s="133" t="n"/>
      <c r="BG26" s="140">
        <f>BF26*100/$E$26</f>
        <v/>
      </c>
      <c r="BH26" s="133">
        <f>0.5+6+2</f>
        <v/>
      </c>
      <c r="BI26" s="140">
        <f>BH26*100/$E$26</f>
        <v/>
      </c>
      <c r="BJ26" s="133" t="n"/>
      <c r="BK26" s="140">
        <f>BJ26*100/$E$26</f>
        <v/>
      </c>
      <c r="BL26" s="133" t="n"/>
      <c r="BM26" s="140">
        <f>BL26*100/$E$26</f>
        <v/>
      </c>
      <c r="BN26" s="133" t="n"/>
      <c r="BO26" s="140">
        <f>BN26*100/$E$26</f>
        <v/>
      </c>
      <c r="BP26" s="133" t="n"/>
      <c r="BQ26" s="140">
        <f>BP26*100/$E$26</f>
        <v/>
      </c>
      <c r="BR26" s="133" t="n"/>
      <c r="BS26" s="140">
        <f>BR26*100/$E$26</f>
        <v/>
      </c>
      <c r="BT26" s="133" t="n"/>
      <c r="BU26" s="140">
        <f>BT26*100/$E$26</f>
        <v/>
      </c>
      <c r="BV26" s="133" t="n"/>
      <c r="BW26" s="140">
        <f>BV26*100/$E$26</f>
        <v/>
      </c>
      <c r="BX26" s="133" t="n">
        <v>2.5</v>
      </c>
      <c r="BY26" s="140">
        <f>BX26*100/$E$26</f>
        <v/>
      </c>
      <c r="BZ26" s="133" t="n"/>
      <c r="CA26" s="140">
        <f>BZ26*100/$E$26</f>
        <v/>
      </c>
      <c r="CB26" s="133" t="n"/>
      <c r="CC26" s="140">
        <f>CB26*100/$E$26</f>
        <v/>
      </c>
      <c r="CD26" s="133" t="n"/>
      <c r="CE26" s="140">
        <f>CD26*100/$E$26</f>
        <v/>
      </c>
      <c r="CF26" s="133" t="n"/>
      <c r="CG26" s="140">
        <f>CF26*100/$E$26</f>
        <v/>
      </c>
      <c r="CH26" s="133" t="n"/>
      <c r="CI26" s="140">
        <f>CH26*100/$E$26</f>
        <v/>
      </c>
      <c r="CJ26" s="133" t="n"/>
      <c r="CK26" s="140">
        <f>CJ26*100/$E$26</f>
        <v/>
      </c>
      <c r="CL26" s="133" t="n"/>
      <c r="CM26" s="140">
        <f>CL26*100/$E$26</f>
        <v/>
      </c>
      <c r="CN26" s="133" t="n">
        <v>0.5</v>
      </c>
      <c r="CO26" s="139">
        <f>CN26*100/$E$26</f>
        <v/>
      </c>
      <c r="CP26" s="133" t="n"/>
      <c r="CQ26" s="140">
        <f>CP26*100/$E$26</f>
        <v/>
      </c>
      <c r="CR26" s="133" t="n"/>
      <c r="CS26" s="139">
        <f>CR26*100/$E$26</f>
        <v/>
      </c>
      <c r="CT26" s="133" t="n"/>
      <c r="CU26" s="139">
        <f>CT26*100/$E$26</f>
        <v/>
      </c>
      <c r="CV26" s="133" t="n"/>
      <c r="CW26" s="139">
        <f>CV26*100/$E$26</f>
        <v/>
      </c>
      <c r="CX26" s="133" t="n">
        <v>3</v>
      </c>
      <c r="CY26" s="139">
        <f>CX26*100/$E$26</f>
        <v/>
      </c>
      <c r="CZ26" s="133" t="n"/>
      <c r="DA26" s="139">
        <f>CZ26*100/$E$26</f>
        <v/>
      </c>
      <c r="DB26" s="133" t="n"/>
      <c r="DC26" s="139">
        <f>DB26*100/$E$26</f>
        <v/>
      </c>
      <c r="DD26" s="133" t="n"/>
      <c r="DE26" s="139">
        <f>DD26*100/$E$26</f>
        <v/>
      </c>
      <c r="DF26" s="133" t="n"/>
      <c r="DG26" s="139">
        <f>DF26*100/$E$26</f>
        <v/>
      </c>
      <c r="DH26" s="133" t="n"/>
      <c r="DI26" s="139">
        <f>DH26*100/$E$26</f>
        <v/>
      </c>
      <c r="DJ26" s="133" t="n"/>
      <c r="DK26" s="139">
        <f>DJ26*100/$E$26</f>
        <v/>
      </c>
      <c r="DL26" s="133" t="n"/>
      <c r="DM26" s="139">
        <f>DL26*100/$E$26</f>
        <v/>
      </c>
      <c r="DN26" s="133" t="n"/>
      <c r="DO26" s="139">
        <f>DN26*100/$E$26</f>
        <v/>
      </c>
      <c r="DP26" s="133" t="n"/>
      <c r="DQ26" s="139">
        <f>DP26*100/$E$26</f>
        <v/>
      </c>
      <c r="DR26" s="133" t="n"/>
      <c r="DS26" s="139">
        <f>DR26*100/E26</f>
        <v/>
      </c>
      <c r="DT26" s="133" t="n"/>
      <c r="DU26" s="139">
        <f>DT26*100/$E$26</f>
        <v/>
      </c>
      <c r="DV26" s="133" t="n"/>
      <c r="DW26" s="139">
        <f>DV26*100/$E$26</f>
        <v/>
      </c>
      <c r="DX26" s="133">
        <f>1+1.5+0.5</f>
        <v/>
      </c>
      <c r="DY26" s="139">
        <f>DX26*100/$E$26</f>
        <v/>
      </c>
      <c r="DZ26" s="133" t="n"/>
      <c r="EA26" s="139">
        <f>DZ26*100/$E$26</f>
        <v/>
      </c>
      <c r="EB26" s="133" t="n"/>
      <c r="EC26" s="139">
        <f>EB26*100/$E$26</f>
        <v/>
      </c>
      <c r="ED26" s="133" t="n"/>
      <c r="EE26" s="139">
        <f>ED26*100/$E$26</f>
        <v/>
      </c>
      <c r="EF26" s="133" t="n"/>
      <c r="EG26" s="139">
        <f>EF26*100/$E$26</f>
        <v/>
      </c>
      <c r="EH26" s="133" t="n"/>
      <c r="EI26" s="139">
        <f>EH26*100/$E$26</f>
        <v/>
      </c>
      <c r="EJ26" s="133">
        <f>3.5+0.5+0.5</f>
        <v/>
      </c>
      <c r="EK26" s="139">
        <f>EJ26*100/$E$26</f>
        <v/>
      </c>
      <c r="EL26" s="133" t="n"/>
      <c r="EM26" s="139">
        <f>EL26*100/$E$26</f>
        <v/>
      </c>
      <c r="EN26" s="133" t="n"/>
      <c r="EO26" s="139">
        <f>EN26*100/$E$26</f>
        <v/>
      </c>
      <c r="EP26" s="133" t="n"/>
      <c r="EQ26" s="139">
        <f>EP26*100/$E$26</f>
        <v/>
      </c>
      <c r="ER26" s="133" t="n"/>
      <c r="ES26" s="139">
        <f>ER26*100/$E$26</f>
        <v/>
      </c>
      <c r="ET26" s="133" t="n">
        <v>1.5</v>
      </c>
      <c r="EU26" s="139">
        <f>ET26*100/$E$26</f>
        <v/>
      </c>
      <c r="EV26" s="133" t="n"/>
      <c r="EW26" s="139">
        <f>EV26*100/$E$26</f>
        <v/>
      </c>
      <c r="EX26" s="133" t="n"/>
      <c r="EY26" s="139">
        <f>EX26*100/$E$26</f>
        <v/>
      </c>
      <c r="EZ26" s="133" t="n"/>
      <c r="FA26" s="139">
        <f>EZ26*100/$E$26</f>
        <v/>
      </c>
      <c r="FB26" s="133" t="n"/>
      <c r="FC26" s="139">
        <f>FB26*100/$E$26</f>
        <v/>
      </c>
      <c r="FD26" s="133" t="n"/>
      <c r="FE26" s="139">
        <f>FD26*100/$E$26</f>
        <v/>
      </c>
      <c r="FF26" s="133">
        <f>8+2+0.5+1.5+4</f>
        <v/>
      </c>
      <c r="FG26" s="139">
        <f>FF26*100/$E$26</f>
        <v/>
      </c>
      <c r="FH26" s="133">
        <f>0.5+2.5+2.5+2+3.5</f>
        <v/>
      </c>
      <c r="FI26" s="139">
        <f>FH26*100/$E$26</f>
        <v/>
      </c>
      <c r="FJ26" s="133" t="n"/>
      <c r="FK26" s="139">
        <f>FJ26*100/$E$26</f>
        <v/>
      </c>
      <c r="FL26" s="133" t="n"/>
      <c r="FM26" s="139">
        <f>FL26*100/$E$26</f>
        <v/>
      </c>
      <c r="FN26" s="133" t="n">
        <v>9</v>
      </c>
      <c r="FO26" s="139">
        <f>FN26*100/$E$26</f>
        <v/>
      </c>
      <c r="FP26" s="133">
        <f>1+0.5+1</f>
        <v/>
      </c>
      <c r="FQ26" s="139">
        <f>FP26*100/$E$26</f>
        <v/>
      </c>
      <c r="FR26" s="133">
        <f>1.5+0.5+2</f>
        <v/>
      </c>
      <c r="FS26" s="139">
        <f>FR26*100/$E$26</f>
        <v/>
      </c>
      <c r="FT26" s="133" t="n">
        <v>3.5</v>
      </c>
      <c r="FU26" s="139">
        <f>FT26*100/$E$26</f>
        <v/>
      </c>
      <c r="FV26" s="133">
        <f>0.5+1+3.5+0.5+2.5</f>
        <v/>
      </c>
      <c r="FW26" s="139">
        <f>FV26*100/$E$26</f>
        <v/>
      </c>
      <c r="FX26" s="133" t="n"/>
      <c r="FY26" s="140">
        <f>FX26*100/$E$26</f>
        <v/>
      </c>
      <c r="FZ26" s="133" t="n"/>
      <c r="GA26" s="140">
        <f>FZ26*100/$E$26</f>
        <v/>
      </c>
      <c r="GB26" s="133" t="n"/>
      <c r="GC26" s="140">
        <f>GB26*100/$E$26</f>
        <v/>
      </c>
      <c r="GD26" s="133" t="n"/>
      <c r="GE26" s="140">
        <f>GD26*100/$E$26</f>
        <v/>
      </c>
      <c r="GF26" s="133" t="n"/>
      <c r="GG26" s="140">
        <f>GF26*100/$E$26</f>
        <v/>
      </c>
      <c r="GH26" s="133" t="n"/>
      <c r="GI26" s="140">
        <f>GH26*100/$E$26</f>
        <v/>
      </c>
      <c r="GJ26" s="133" t="n"/>
      <c r="GK26" s="139">
        <f>GJ26*100/$E$26</f>
        <v/>
      </c>
      <c r="GL26" s="133" t="n"/>
      <c r="GM26" s="140">
        <f>GL26*100/$E$26</f>
        <v/>
      </c>
      <c r="GN26" s="133" t="n"/>
      <c r="GO26" s="139">
        <f>GN26*100/$E$26</f>
        <v/>
      </c>
      <c r="GP26" s="133" t="n"/>
      <c r="GQ26" s="140">
        <f>GP26*100/$E$26</f>
        <v/>
      </c>
      <c r="GR26" s="133" t="n"/>
      <c r="GS26" s="139">
        <f>GR26*100/$E$26</f>
        <v/>
      </c>
      <c r="GT26" s="133" t="n"/>
      <c r="GU26" s="139">
        <f>GT26*100/$E$26</f>
        <v/>
      </c>
      <c r="GV26" s="133" t="n"/>
      <c r="GW26" s="139">
        <f>GV26*100/$E$26</f>
        <v/>
      </c>
      <c r="GX26" s="133" t="n"/>
      <c r="GY26" s="140">
        <f>GX26*100/$E$26</f>
        <v/>
      </c>
      <c r="GZ26" s="133" t="n"/>
      <c r="HA26" s="140">
        <f>GZ26*100/$E$26</f>
        <v/>
      </c>
      <c r="HB26" s="133" t="n"/>
      <c r="HC26" s="140">
        <f>HB26*100/$E$26</f>
        <v/>
      </c>
      <c r="HD26" s="133" t="n"/>
      <c r="HE26" s="140">
        <f>HD26*100/$E$26</f>
        <v/>
      </c>
      <c r="HF26" s="133" t="n"/>
      <c r="HG26" s="140">
        <f>HF26*100/$E$26</f>
        <v/>
      </c>
      <c r="HH26" s="133" t="n"/>
      <c r="HI26" s="140">
        <f>HH26*100/$E$26</f>
        <v/>
      </c>
      <c r="HJ26" s="133" t="n"/>
      <c r="HK26" s="140">
        <f>HJ26*100/$E$26</f>
        <v/>
      </c>
      <c r="HL26" s="133" t="n"/>
      <c r="HM26" s="140">
        <f>HL26*100/$E$26</f>
        <v/>
      </c>
      <c r="HN26" s="133" t="n"/>
      <c r="HO26" s="140">
        <f>HN26*100/$E$26</f>
        <v/>
      </c>
      <c r="HP26" s="133" t="n"/>
      <c r="HQ26" s="140">
        <f>HP26*100/$E$26</f>
        <v/>
      </c>
      <c r="HR26" s="133" t="n"/>
      <c r="HS26" s="140">
        <f>HR26*100/$E$26</f>
        <v/>
      </c>
      <c r="HT26" s="133" t="n"/>
      <c r="HU26" s="140">
        <f>HT26*100/$E$26</f>
        <v/>
      </c>
      <c r="HV26" s="133" t="n"/>
      <c r="HW26" s="140">
        <f>HV26*100/$E$26</f>
        <v/>
      </c>
      <c r="HX26" s="133" t="n"/>
      <c r="HY26" s="140">
        <f>HX26*100/$E$26</f>
        <v/>
      </c>
      <c r="HZ26" s="133" t="n"/>
      <c r="IA26" s="139">
        <f>HZ26*100/$E$26</f>
        <v/>
      </c>
      <c r="IB26" s="133" t="n"/>
      <c r="IC26" s="139">
        <f>IB26*100/$E$26</f>
        <v/>
      </c>
      <c r="ID26" s="133" t="n"/>
      <c r="IE26" s="139">
        <f>ID26*100/$E$26</f>
        <v/>
      </c>
      <c r="IF26" s="133" t="n"/>
      <c r="IG26" s="139">
        <f>IF26*100/$E$26</f>
        <v/>
      </c>
      <c r="IH26" s="133" t="n"/>
      <c r="II26" s="139">
        <f>IH26*100/$E$26</f>
        <v/>
      </c>
      <c r="IJ26" s="133" t="n"/>
      <c r="IK26" s="139">
        <f>IJ26*100/$E$26</f>
        <v/>
      </c>
      <c r="IL26" s="133" t="n"/>
      <c r="IM26" s="140">
        <f>IL26*100/$E$26</f>
        <v/>
      </c>
      <c r="IN26" s="133" t="n"/>
      <c r="IO26" s="140">
        <f>IN26*100/$E$26</f>
        <v/>
      </c>
      <c r="IP26" s="133" t="n"/>
      <c r="IQ26" s="139">
        <f>IP26*100/$E$26</f>
        <v/>
      </c>
      <c r="IR26" s="133" t="n"/>
      <c r="IS26" s="139">
        <f>IR26*100/$E$26</f>
        <v/>
      </c>
      <c r="IT26" s="133" t="n"/>
      <c r="IU26" s="139">
        <f>IT26*100/$E$26</f>
        <v/>
      </c>
      <c r="IV26" s="133" t="n"/>
      <c r="IW26" s="139">
        <f>IV26*100/$E$26</f>
        <v/>
      </c>
      <c r="IX26" s="133" t="n"/>
      <c r="IY26" s="139">
        <f>IX26*100/$E$26</f>
        <v/>
      </c>
      <c r="IZ26" s="133" t="n"/>
      <c r="JA26" s="139">
        <f>IZ26*100/$E$26</f>
        <v/>
      </c>
      <c r="JB26" s="133" t="n"/>
      <c r="JC26" s="139">
        <f>JB26*100/$E$26</f>
        <v/>
      </c>
      <c r="JD26" s="133" t="n"/>
      <c r="JE26" s="139">
        <f>JD26*100/$E$26</f>
        <v/>
      </c>
      <c r="JF26" s="133" t="n"/>
      <c r="JG26" s="139">
        <f>JF26*100/$E$26</f>
        <v/>
      </c>
      <c r="JH26" s="133" t="n"/>
      <c r="JI26" s="139">
        <f>JH26*100/$E$26</f>
        <v/>
      </c>
      <c r="JJ26" s="133" t="n"/>
      <c r="JK26" s="139">
        <f>JJ26*100/$E$26</f>
        <v/>
      </c>
      <c r="JL26" s="133">
        <f>2+3+6+7.5+2+4+1+2.5+1+3+4+0.5+6+7</f>
        <v/>
      </c>
      <c r="JM26" s="139">
        <f>JL26*100/$E$26</f>
        <v/>
      </c>
      <c r="JN26" s="133" t="n"/>
      <c r="JO26" s="139">
        <f>JN26*100/$E$26</f>
        <v/>
      </c>
      <c r="JP26" s="133" t="n"/>
      <c r="JQ26" s="139">
        <f>JP26*100/$E$26</f>
        <v/>
      </c>
      <c r="JR26" s="133" t="n"/>
      <c r="JS26" s="139">
        <f>JR26*100/$E$26</f>
        <v/>
      </c>
      <c r="JT26" s="133" t="n"/>
      <c r="JU26" s="182">
        <f>JT26*100/$E$26</f>
        <v/>
      </c>
      <c r="JV26" s="133" t="n"/>
      <c r="JW26" s="182">
        <f>JV26*100/$E$26</f>
        <v/>
      </c>
      <c r="JX26" s="133" t="n"/>
      <c r="JY26" s="182">
        <f>JX26*100/$E$26</f>
        <v/>
      </c>
      <c r="JZ26" s="183">
        <f>JN26+JP26+JR26+JT26+JV26+JX26</f>
        <v/>
      </c>
      <c r="KA26" s="184">
        <f>JO26+JQ26+JS26+JU26+JW26+JY26</f>
        <v/>
      </c>
      <c r="KB26" s="185">
        <f>H26+J26+L26+N26+P26+R26+T26+V26+X26+Z26+AB26+AD26+AF26+AH26+AJ26+AL26+AN26+AP26+AR26+AT26+AV26+AX26+AZ26+BB26+BD26+BF26+BH26+BJ26+BL26+BN26+BP26+BR26+BT26+BV26+BX26+BZ26+CB26+CD26+CF26+CH26+CZ26+DB26+DD26+DF26+DH26+DJ26+DL26+DN26+DP26+DR26+DT26+DV26+DX26+DZ26+EB26+ED26+EF26+EH26+EJ26+EL26+EN26+EP26+ER26+ET26+EV26+FN26+FP26+FR26+FT26+FV26+FX26+FZ26+GB26+GD26+GF26+GH26+GJ26+GL26+GN26+GP26+GR26+GT26+GV26+GX26+GZ26+HB26+HD26+HF26+HH26+HJ26+HL26+HN26+HP26+HR26+HT26+HV26+HX26+HZ26+IB26+ID26+IF26+IH26+IJ26+IL26+IN26+IP26+IR26+IT26+IV26+IX26+IZ26+JB26+JD26+JF26+JH26+JJ26+JL26+JZ26+CJ26+CL26+CN26+CP26+CR26+CT26+CV26+CX26+EX26+EZ26+FB26+FD26+FF26+FH26+FJ26+FL26</f>
        <v/>
      </c>
      <c r="KC26" s="186">
        <f>I26+K26+M26+O26+Q26+S26+U26+W26+Y26+AA26+AC26+AE26+AG26+AI26+AK26+AM26+AO26+AQ26+AS26+AU26+AW26+AY26+BA26+BC26+BE26+BG26+BI26+BK26+BM26+BO26+BQ26+BS26+BU26+BW26+BY26+CA26+CC26+CE26+CG26+CI26+DA26+DC26+DE26+DG26+DI26+DK26+DM26+DO26+DQ26+DS26+DU26+DW26+DY26+EA26+EC26+EE26+EG26+EI26+EK26+EM26+EO26+EQ26+ES26+EU26+EW26+FO26+FS26+FU26+FW26+FQ26+FY26+GA26+GC26+GE26+GG26+GI26+GK26+GM26+GO26+GQ26+GS26+GU26+GW26+GY26+HA26+HC26+HE26+HG26+HI26+HK26+HM26+HO26+HQ26+HS26+HU26+HW26+HY26+IA26+IC26+IE26+IG26+II26+IK26+IM26+IO26+IQ26+IS26+IU26+IW26+IY26+JA26+JC26+JE26+JG26+JI26+JK26+JM26+KA26+CK26+CM26+CO26+CQ26+CS26+CU26+CW26+CY26+EY26+FA26+FC26+FE26+FG26+FI26+FK26+FM26</f>
        <v/>
      </c>
      <c r="KD26" s="187">
        <f>JO26+JQ26+JS26+JU26+JW26+JY26</f>
        <v/>
      </c>
      <c r="KE26" s="188">
        <f>KB26=E26</f>
        <v/>
      </c>
      <c r="KF26" s="189">
        <f>E26-KB26</f>
        <v/>
      </c>
      <c r="KG26" s="232" t="n"/>
    </row>
    <row r="27" ht="21.75" customFormat="1" customHeight="1" s="212">
      <c r="A27" s="126">
        <f>A26+1</f>
        <v/>
      </c>
      <c r="B27" s="175" t="inlineStr">
        <is>
          <t>Кузнецов Р.А.</t>
        </is>
      </c>
      <c r="C27" s="176" t="inlineStr">
        <is>
          <t>сварщик</t>
        </is>
      </c>
      <c r="D27" s="177">
        <f>$D$5</f>
        <v/>
      </c>
      <c r="E27" s="202" t="n">
        <v>88</v>
      </c>
      <c r="F27" s="193" t="n">
        <v>92564.64999999999</v>
      </c>
      <c r="G27" s="179">
        <f>F27/D27</f>
        <v/>
      </c>
      <c r="H27" s="133" t="n"/>
      <c r="I27" s="139">
        <f>H27*100/$E$27</f>
        <v/>
      </c>
      <c r="J27" s="133" t="n"/>
      <c r="K27" s="139">
        <f>J27*100/$E$27</f>
        <v/>
      </c>
      <c r="L27" s="133" t="n"/>
      <c r="M27" s="139">
        <f>L27*100/$E$27</f>
        <v/>
      </c>
      <c r="N27" s="133" t="n"/>
      <c r="O27" s="139">
        <f>N27*100/$E$27</f>
        <v/>
      </c>
      <c r="P27" s="133" t="n"/>
      <c r="Q27" s="139">
        <f>P27*100/$E$27</f>
        <v/>
      </c>
      <c r="R27" s="133" t="n"/>
      <c r="S27" s="139">
        <f>R27*100/$E$27</f>
        <v/>
      </c>
      <c r="T27" s="133" t="n"/>
      <c r="U27" s="139">
        <f>T27*100/$E$27</f>
        <v/>
      </c>
      <c r="V27" s="133" t="n"/>
      <c r="W27" s="139">
        <f>V27*100/$E$27</f>
        <v/>
      </c>
      <c r="X27" s="133" t="n"/>
      <c r="Y27" s="139">
        <f>X27*100/$E$27</f>
        <v/>
      </c>
      <c r="Z27" s="133" t="n"/>
      <c r="AA27" s="139">
        <f>Z27*100/$E$27</f>
        <v/>
      </c>
      <c r="AB27" s="133" t="n"/>
      <c r="AC27" s="139">
        <f>AB27*100/$E$27</f>
        <v/>
      </c>
      <c r="AD27" s="133" t="n"/>
      <c r="AE27" s="139">
        <f>AD27*100/$E$27</f>
        <v/>
      </c>
      <c r="AF27" s="133" t="n"/>
      <c r="AG27" s="139">
        <f>AF27*100/$E$27</f>
        <v/>
      </c>
      <c r="AH27" s="133" t="n"/>
      <c r="AI27" s="139">
        <f>AH27*100/$E$27</f>
        <v/>
      </c>
      <c r="AJ27" s="133" t="n"/>
      <c r="AK27" s="139">
        <f>AJ27*100/$E$27</f>
        <v/>
      </c>
      <c r="AL27" s="133" t="n"/>
      <c r="AM27" s="139">
        <f>AL27*100/$E$27</f>
        <v/>
      </c>
      <c r="AN27" s="133" t="n"/>
      <c r="AO27" s="139">
        <f>AN27*100/$E$27</f>
        <v/>
      </c>
      <c r="AP27" s="133" t="n"/>
      <c r="AQ27" s="139">
        <f>AP27*100/$E$27</f>
        <v/>
      </c>
      <c r="AR27" s="133" t="n"/>
      <c r="AS27" s="139">
        <f>AR27*100/$E$27</f>
        <v/>
      </c>
      <c r="AT27" s="133" t="n"/>
      <c r="AU27" s="181">
        <f>AT27*100/$E$27</f>
        <v/>
      </c>
      <c r="AV27" s="133">
        <f>1.5+1</f>
        <v/>
      </c>
      <c r="AW27" s="139">
        <f>AV27*100/$E$27</f>
        <v/>
      </c>
      <c r="AX27" s="133" t="n"/>
      <c r="AY27" s="139">
        <f>AX27*100/$E$27</f>
        <v/>
      </c>
      <c r="AZ27" s="133" t="n"/>
      <c r="BA27" s="139">
        <f>AZ27*100/$E$27</f>
        <v/>
      </c>
      <c r="BB27" s="133" t="n"/>
      <c r="BC27" s="139">
        <f>BB27*100/$E$27</f>
        <v/>
      </c>
      <c r="BD27" s="133" t="n"/>
      <c r="BE27" s="139">
        <f>BD27*100/$E$27</f>
        <v/>
      </c>
      <c r="BF27" s="133" t="n"/>
      <c r="BG27" s="139">
        <f>BF27*100/$E$27</f>
        <v/>
      </c>
      <c r="BH27" s="133" t="n"/>
      <c r="BI27" s="139">
        <f>BH27*100/$E$27</f>
        <v/>
      </c>
      <c r="BJ27" s="133" t="n"/>
      <c r="BK27" s="139">
        <f>BJ27*100/$E$27</f>
        <v/>
      </c>
      <c r="BL27" s="133" t="n"/>
      <c r="BM27" s="139">
        <f>BL27*100/$E$27</f>
        <v/>
      </c>
      <c r="BN27" s="133" t="n"/>
      <c r="BO27" s="139">
        <f>BN27*100/$E$27</f>
        <v/>
      </c>
      <c r="BP27" s="133" t="n"/>
      <c r="BQ27" s="139">
        <f>BP27*100/$E$27</f>
        <v/>
      </c>
      <c r="BR27" s="133" t="n"/>
      <c r="BS27" s="139">
        <f>BR27*100/$E$27</f>
        <v/>
      </c>
      <c r="BT27" s="133" t="n"/>
      <c r="BU27" s="139">
        <f>BT27*100/$E$27</f>
        <v/>
      </c>
      <c r="BV27" s="133" t="n"/>
      <c r="BW27" s="139">
        <f>BV27*100/$E$27</f>
        <v/>
      </c>
      <c r="BX27" s="133" t="n"/>
      <c r="BY27" s="139">
        <f>BX27*100/$E$27</f>
        <v/>
      </c>
      <c r="BZ27" s="133" t="n"/>
      <c r="CA27" s="139">
        <f>BZ27*100/$E$27</f>
        <v/>
      </c>
      <c r="CB27" s="133" t="n"/>
      <c r="CC27" s="139">
        <f>CB27*100/$E$27</f>
        <v/>
      </c>
      <c r="CD27" s="133" t="n"/>
      <c r="CE27" s="139">
        <f>CD27*100/$E$27</f>
        <v/>
      </c>
      <c r="CF27" s="133" t="n"/>
      <c r="CG27" s="139">
        <f>CF27*100/$E$27</f>
        <v/>
      </c>
      <c r="CH27" s="133" t="n"/>
      <c r="CI27" s="139">
        <f>CH27*100/$E$27</f>
        <v/>
      </c>
      <c r="CJ27" s="133" t="n"/>
      <c r="CK27" s="139">
        <f>CJ27*100/$E$27</f>
        <v/>
      </c>
      <c r="CL27" s="133" t="n"/>
      <c r="CM27" s="139">
        <f>CL27*100/$E$27</f>
        <v/>
      </c>
      <c r="CN27" s="133" t="n"/>
      <c r="CO27" s="139">
        <f>CN27*100/$E$27</f>
        <v/>
      </c>
      <c r="CP27" s="133" t="n"/>
      <c r="CQ27" s="139">
        <f>CP27*100/$E$27</f>
        <v/>
      </c>
      <c r="CR27" s="133" t="n"/>
      <c r="CS27" s="139">
        <f>CR27*100/$E$27</f>
        <v/>
      </c>
      <c r="CT27" s="133" t="n"/>
      <c r="CU27" s="139">
        <f>CT27*100/$E$27</f>
        <v/>
      </c>
      <c r="CV27" s="133" t="n"/>
      <c r="CW27" s="139">
        <f>CV27*100/$E$27</f>
        <v/>
      </c>
      <c r="CX27" s="133" t="n"/>
      <c r="CY27" s="139">
        <f>CX27*100/$E$27</f>
        <v/>
      </c>
      <c r="CZ27" s="133" t="n"/>
      <c r="DA27" s="139">
        <f>CZ27*100/$E$27</f>
        <v/>
      </c>
      <c r="DB27" s="133" t="n"/>
      <c r="DC27" s="139">
        <f>DB27*100/$E$27</f>
        <v/>
      </c>
      <c r="DD27" s="133" t="n"/>
      <c r="DE27" s="139">
        <f>DD27*100/$E$27</f>
        <v/>
      </c>
      <c r="DF27" s="133" t="n"/>
      <c r="DG27" s="139">
        <f>DF27*100/$E$27</f>
        <v/>
      </c>
      <c r="DH27" s="133" t="n"/>
      <c r="DI27" s="139">
        <f>DH27*100/$E$27</f>
        <v/>
      </c>
      <c r="DJ27" s="133" t="n"/>
      <c r="DK27" s="139">
        <f>DJ27*100/$E$27</f>
        <v/>
      </c>
      <c r="DL27" s="133" t="n"/>
      <c r="DM27" s="139">
        <f>DL27*100/$E$27</f>
        <v/>
      </c>
      <c r="DN27" s="133" t="n"/>
      <c r="DO27" s="139">
        <f>DN27*100/$E$27</f>
        <v/>
      </c>
      <c r="DP27" s="133" t="n"/>
      <c r="DQ27" s="139">
        <f>DP27*100/$E$27</f>
        <v/>
      </c>
      <c r="DR27" s="133" t="n"/>
      <c r="DS27" s="139">
        <f>DR27*100/$E$27</f>
        <v/>
      </c>
      <c r="DT27" s="133" t="n"/>
      <c r="DU27" s="139">
        <f>DT27*100/$E$27</f>
        <v/>
      </c>
      <c r="DV27" s="133" t="n"/>
      <c r="DW27" s="139">
        <f>DV27*100/$E$27</f>
        <v/>
      </c>
      <c r="DX27" s="133" t="n"/>
      <c r="DY27" s="139">
        <f>DX27*100/$E$27</f>
        <v/>
      </c>
      <c r="DZ27" s="133" t="n"/>
      <c r="EA27" s="139">
        <f>DZ27*100/$E$27</f>
        <v/>
      </c>
      <c r="EB27" s="133" t="n"/>
      <c r="EC27" s="139">
        <f>EB27*100/$E$27</f>
        <v/>
      </c>
      <c r="ED27" s="133" t="n"/>
      <c r="EE27" s="139">
        <f>ED27*100/$E$27</f>
        <v/>
      </c>
      <c r="EF27" s="133" t="n"/>
      <c r="EG27" s="139">
        <f>EF27*100/$E$27</f>
        <v/>
      </c>
      <c r="EH27" s="133" t="n"/>
      <c r="EI27" s="139">
        <f>EH27*100/$E$27</f>
        <v/>
      </c>
      <c r="EJ27" s="133">
        <f>8+8+4</f>
        <v/>
      </c>
      <c r="EK27" s="139">
        <f>EJ27*100/$E$27</f>
        <v/>
      </c>
      <c r="EL27" s="133" t="n"/>
      <c r="EM27" s="139">
        <f>EL27*100/$E$27</f>
        <v/>
      </c>
      <c r="EN27" s="133" t="n"/>
      <c r="EO27" s="139">
        <f>EN27*100/$E$27</f>
        <v/>
      </c>
      <c r="EP27" s="133" t="n"/>
      <c r="EQ27" s="139">
        <f>EP27*100/$E$27</f>
        <v/>
      </c>
      <c r="ER27" s="133" t="n"/>
      <c r="ES27" s="139">
        <f>ER27*100/$E$27</f>
        <v/>
      </c>
      <c r="ET27" s="133" t="n"/>
      <c r="EU27" s="139">
        <f>ET27*100/$E$27</f>
        <v/>
      </c>
      <c r="EV27" s="133" t="n"/>
      <c r="EW27" s="139">
        <f>EV27*100/$E$27</f>
        <v/>
      </c>
      <c r="EX27" s="133" t="n"/>
      <c r="EY27" s="139">
        <f>EX27*100/$E$27</f>
        <v/>
      </c>
      <c r="EZ27" s="133" t="n"/>
      <c r="FA27" s="139">
        <f>EZ27*100/$E$27</f>
        <v/>
      </c>
      <c r="FB27" s="133" t="n"/>
      <c r="FC27" s="139">
        <f>FB27*100/$E$27</f>
        <v/>
      </c>
      <c r="FD27" s="133" t="n"/>
      <c r="FE27" s="139">
        <f>FD27*100/$E$27</f>
        <v/>
      </c>
      <c r="FF27" s="133" t="n"/>
      <c r="FG27" s="139">
        <f>FF27*100/$E$27</f>
        <v/>
      </c>
      <c r="FH27" s="133" t="n"/>
      <c r="FI27" s="139">
        <f>FH27*100/$E$27</f>
        <v/>
      </c>
      <c r="FJ27" s="133" t="n"/>
      <c r="FK27" s="139">
        <f>FJ27*100/$E$27</f>
        <v/>
      </c>
      <c r="FL27" s="133" t="n"/>
      <c r="FM27" s="139">
        <f>FL27*100/$E$27</f>
        <v/>
      </c>
      <c r="FN27" s="133" t="n"/>
      <c r="FO27" s="139">
        <f>FN27*100/$E$27</f>
        <v/>
      </c>
      <c r="FP27" s="133" t="n"/>
      <c r="FQ27" s="139">
        <f>FP27*100/$E$27</f>
        <v/>
      </c>
      <c r="FR27" s="133" t="n"/>
      <c r="FS27" s="139">
        <f>FR27*100/$E$27</f>
        <v/>
      </c>
      <c r="FT27" s="133" t="n"/>
      <c r="FU27" s="139">
        <f>FT27*100/$E$27</f>
        <v/>
      </c>
      <c r="FV27" s="133" t="n"/>
      <c r="FW27" s="139">
        <f>FV27*100/$E$27</f>
        <v/>
      </c>
      <c r="FX27" s="133" t="n"/>
      <c r="FY27" s="139">
        <f>FX27*100/$E$27</f>
        <v/>
      </c>
      <c r="FZ27" s="133" t="n"/>
      <c r="GA27" s="139">
        <f>FZ27*100/$E$27</f>
        <v/>
      </c>
      <c r="GB27" s="133" t="n"/>
      <c r="GC27" s="139">
        <f>GB27*100/$E$27</f>
        <v/>
      </c>
      <c r="GD27" s="133" t="n"/>
      <c r="GE27" s="139">
        <f>GD27*100/$E$27</f>
        <v/>
      </c>
      <c r="GF27" s="133" t="n"/>
      <c r="GG27" s="139">
        <f>GF27*100/$E$27</f>
        <v/>
      </c>
      <c r="GH27" s="133" t="n"/>
      <c r="GI27" s="139">
        <f>GH27*100/$E$27</f>
        <v/>
      </c>
      <c r="GJ27" s="133" t="n"/>
      <c r="GK27" s="139">
        <f>GJ27*100/$E$27</f>
        <v/>
      </c>
      <c r="GL27" s="133" t="n"/>
      <c r="GM27" s="139">
        <f>GL27*100/$E$27</f>
        <v/>
      </c>
      <c r="GN27" s="133" t="n"/>
      <c r="GO27" s="139">
        <f>GN27*100/$E$27</f>
        <v/>
      </c>
      <c r="GP27" s="133" t="n"/>
      <c r="GQ27" s="139">
        <f>GP27*100/$E$27</f>
        <v/>
      </c>
      <c r="GR27" s="133" t="n"/>
      <c r="GS27" s="139">
        <f>GR27*100/$E$27</f>
        <v/>
      </c>
      <c r="GT27" s="133" t="n"/>
      <c r="GU27" s="139">
        <f>GT27*100/$E$27</f>
        <v/>
      </c>
      <c r="GV27" s="133" t="n"/>
      <c r="GW27" s="139">
        <f>GV27*100/$E$27</f>
        <v/>
      </c>
      <c r="GX27" s="133" t="n"/>
      <c r="GY27" s="139">
        <f>GX27*100/$E$27</f>
        <v/>
      </c>
      <c r="GZ27" s="133" t="n"/>
      <c r="HA27" s="139">
        <f>GZ27*100/$E$27</f>
        <v/>
      </c>
      <c r="HB27" s="133" t="n"/>
      <c r="HC27" s="139">
        <f>HB27*100/$E$27</f>
        <v/>
      </c>
      <c r="HD27" s="133" t="n"/>
      <c r="HE27" s="139">
        <f>HD27*100/$E$27</f>
        <v/>
      </c>
      <c r="HF27" s="133" t="n"/>
      <c r="HG27" s="139">
        <f>HF27*100/$E$27</f>
        <v/>
      </c>
      <c r="HH27" s="133" t="n"/>
      <c r="HI27" s="139">
        <f>HH27*100/$E$27</f>
        <v/>
      </c>
      <c r="HJ27" s="133" t="n"/>
      <c r="HK27" s="139">
        <f>HJ27*100/$E$27</f>
        <v/>
      </c>
      <c r="HL27" s="133" t="n"/>
      <c r="HM27" s="139">
        <f>HL27*100/$E$27</f>
        <v/>
      </c>
      <c r="HN27" s="133" t="n"/>
      <c r="HO27" s="139">
        <f>HN27*100/$E$27</f>
        <v/>
      </c>
      <c r="HP27" s="133" t="n"/>
      <c r="HQ27" s="139">
        <f>HP27*100/$E$27</f>
        <v/>
      </c>
      <c r="HR27" s="133" t="n"/>
      <c r="HS27" s="139">
        <f>HR27*100/$E$27</f>
        <v/>
      </c>
      <c r="HT27" s="133" t="n"/>
      <c r="HU27" s="139">
        <f>HT27*100/$E$27</f>
        <v/>
      </c>
      <c r="HV27" s="133" t="n"/>
      <c r="HW27" s="139">
        <f>HV27*100/$E$27</f>
        <v/>
      </c>
      <c r="HX27" s="133" t="n"/>
      <c r="HY27" s="139">
        <f>HX27*100/$E$27</f>
        <v/>
      </c>
      <c r="HZ27" s="133" t="n"/>
      <c r="IA27" s="139">
        <f>HZ27*100/$E$27</f>
        <v/>
      </c>
      <c r="IB27" s="133" t="n"/>
      <c r="IC27" s="139">
        <f>IB27*100/$E$27</f>
        <v/>
      </c>
      <c r="ID27" s="133" t="n"/>
      <c r="IE27" s="139">
        <f>ID27*100/$E$27</f>
        <v/>
      </c>
      <c r="IF27" s="133" t="n"/>
      <c r="IG27" s="139">
        <f>IF27*100/$E$27</f>
        <v/>
      </c>
      <c r="IH27" s="133" t="n"/>
      <c r="II27" s="139">
        <f>IH27*100/$E$27</f>
        <v/>
      </c>
      <c r="IJ27" s="133" t="n"/>
      <c r="IK27" s="139">
        <f>IJ27*100/$E$27</f>
        <v/>
      </c>
      <c r="IL27" s="133" t="n"/>
      <c r="IM27" s="139">
        <f>IL27*100/$E$27</f>
        <v/>
      </c>
      <c r="IN27" s="133" t="n"/>
      <c r="IO27" s="139">
        <f>IN27*100/$E$27</f>
        <v/>
      </c>
      <c r="IP27" s="133" t="n"/>
      <c r="IQ27" s="139">
        <f>IP27*100/$E$27</f>
        <v/>
      </c>
      <c r="IR27" s="133" t="n"/>
      <c r="IS27" s="139">
        <f>IR27*100/$E$27</f>
        <v/>
      </c>
      <c r="IT27" s="133" t="n"/>
      <c r="IU27" s="139">
        <f>IT27*100/$E$27</f>
        <v/>
      </c>
      <c r="IV27" s="133" t="n"/>
      <c r="IW27" s="139">
        <f>IV27*100/$E$27</f>
        <v/>
      </c>
      <c r="IX27" s="133" t="n"/>
      <c r="IY27" s="139">
        <f>IX27*100/$E$27</f>
        <v/>
      </c>
      <c r="IZ27" s="133" t="n"/>
      <c r="JA27" s="139">
        <f>IZ27*100/$E$27</f>
        <v/>
      </c>
      <c r="JB27" s="133" t="n"/>
      <c r="JC27" s="139">
        <f>JB27*100/$E$27</f>
        <v/>
      </c>
      <c r="JD27" s="133" t="n"/>
      <c r="JE27" s="139">
        <f>JD27*100/$E$27</f>
        <v/>
      </c>
      <c r="JF27" s="133" t="n"/>
      <c r="JG27" s="139">
        <f>JF27*100/$E$27</f>
        <v/>
      </c>
      <c r="JH27" s="133" t="n"/>
      <c r="JI27" s="139">
        <f>JH27*100/$E$27</f>
        <v/>
      </c>
      <c r="JJ27" s="133" t="n"/>
      <c r="JK27" s="139">
        <f>JJ27*100/$E$27</f>
        <v/>
      </c>
      <c r="JL27" s="133">
        <f>8+1.5+8+8</f>
        <v/>
      </c>
      <c r="JM27" s="139">
        <f>JL27*100/$E$27</f>
        <v/>
      </c>
      <c r="JN27" s="133" t="n"/>
      <c r="JO27" s="139">
        <f>JN27*100/$E$27</f>
        <v/>
      </c>
      <c r="JP27" s="133" t="n"/>
      <c r="JQ27" s="139">
        <f>JP27*100/$E$27</f>
        <v/>
      </c>
      <c r="JR27" s="133">
        <f>8+8+8+8+8</f>
        <v/>
      </c>
      <c r="JS27" s="139">
        <f>JR27*100/$E$27</f>
        <v/>
      </c>
      <c r="JT27" s="133" t="n"/>
      <c r="JU27" s="139">
        <f>JT27*100/$E$27</f>
        <v/>
      </c>
      <c r="JV27" s="133" t="n"/>
      <c r="JW27" s="139">
        <f>JV27*100/$E$27</f>
        <v/>
      </c>
      <c r="JX27" s="133" t="n"/>
      <c r="JY27" s="139">
        <f>JX27*100/$E$27</f>
        <v/>
      </c>
      <c r="JZ27" s="183">
        <f>JN27+JP27+JR27+JT27+JV27+JX27</f>
        <v/>
      </c>
      <c r="KA27" s="184">
        <f>JO27+JQ27+JS27+JU27+JW27+JY27</f>
        <v/>
      </c>
      <c r="KB27" s="185">
        <f>H27+J27+L27+N27+P27+R27+T27+V27+X27+Z27+AB27+AD27+AF27+AH27+AJ27+AL27+AN27+AP27+AR27+AT27+AV27+AX27+AZ27+BB27+BD27+BF27+BH27+BJ27+BL27+BN27+BP27+BR27+BT27+BV27+BX27+BZ27+CB27+CD27+CF27+CH27+CZ27+DB27+DD27+DF27+DH27+DJ27+DL27+DN27+DP27+DR27+DT27+DV27+DX27+DZ27+EB27+ED27+EF27+EH27+EJ27+EL27+EN27+EP27+ER27+ET27+EV27+FN27+FP27+FR27+FT27+FV27+FX27+FZ27+GB27+GD27+GF27+GH27+GJ27+GL27+GN27+GP27+GR27+GT27+GV27+GX27+GZ27+HB27+HD27+HF27+HH27+HJ27+HL27+HN27+HP27+HR27+HT27+HV27+HX27+HZ27+IB27+ID27+IF27+IH27+IJ27+IL27+IN27+IP27+IR27+IT27+IV27+IX27+IZ27+JB27+JD27+JF27+JH27+JJ27+JL27+JZ27+CJ27+CL27+CN27+CP27+CR27+CT27+CV27+CX27+EX27+EZ27+FB27+FD27+FF27+FH27+FJ27+FL27</f>
        <v/>
      </c>
      <c r="KC27" s="186">
        <f>I27+K27+M27+O27+Q27+S27+U27+W27+Y27+AA27+AC27+AE27+AG27+AI27+AK27+AM27+AO27+AQ27+AS27+AU27+AW27+AY27+BA27+BC27+BE27+BG27+BI27+BK27+BM27+BO27+BQ27+BS27+BU27+BW27+BY27+CA27+CC27+CE27+CG27+CI27+DA27+DC27+DE27+DG27+DI27+DK27+DM27+DO27+DQ27+DS27+DU27+DW27+DY27+EA27+EC27+EE27+EG27+EI27+EK27+EM27+EO27+EQ27+ES27+EU27+EW27+FO27+FS27+FU27+FW27+FQ27+FY27+GA27+GC27+GE27+GG27+GI27+GK27+GM27+GO27+GQ27+GS27+GU27+GW27+GY27+HA27+HC27+HE27+HG27+HI27+HK27+HM27+HO27+HQ27+HS27+HU27+HW27+HY27+IA27+IC27+IE27+IG27+II27+IK27+IM27+IO27+IQ27+IS27+IU27+IW27+IY27+JA27+JC27+JE27+JG27+JI27+JK27+JM27+KA27+CK27+CM27+CO27+CQ27+CS27+CU27+CW27+CY27+EY27+FA27+FC27+FE27+FG27+FI27+FK27+FM27</f>
        <v/>
      </c>
      <c r="KD27" s="187">
        <f>JO27+JQ27+JS27+JU27+JW27+JY27</f>
        <v/>
      </c>
      <c r="KE27" s="188">
        <f>KB27=E27</f>
        <v/>
      </c>
      <c r="KF27" s="189">
        <f>E27-KB27</f>
        <v/>
      </c>
      <c r="KG27" s="232" t="n"/>
    </row>
    <row r="28" ht="25.5" customFormat="1" customHeight="1" s="232">
      <c r="A28" s="126">
        <f>A27+1</f>
        <v/>
      </c>
      <c r="B28" s="175" t="inlineStr">
        <is>
          <t>Лопухов Н.В.</t>
        </is>
      </c>
      <c r="C28" s="176" t="inlineStr">
        <is>
          <t>слесарь МСР</t>
        </is>
      </c>
      <c r="D28" s="177">
        <f>$D$5</f>
        <v/>
      </c>
      <c r="E28" s="202" t="n">
        <v>95</v>
      </c>
      <c r="F28" s="193" t="n">
        <v>61346.99</v>
      </c>
      <c r="G28" s="179">
        <f>F28/D28</f>
        <v/>
      </c>
      <c r="H28" s="180" t="n"/>
      <c r="I28" s="140">
        <f>H28*100/$E$28</f>
        <v/>
      </c>
      <c r="J28" s="133" t="n"/>
      <c r="K28" s="140">
        <f>J28*100/$E$28</f>
        <v/>
      </c>
      <c r="L28" s="133" t="n"/>
      <c r="M28" s="140">
        <f>L28*100/$E$28</f>
        <v/>
      </c>
      <c r="N28" s="133" t="n"/>
      <c r="O28" s="140">
        <f>N28*100/$E$28</f>
        <v/>
      </c>
      <c r="P28" s="133" t="n"/>
      <c r="Q28" s="139">
        <f>P28*100/$E$28</f>
        <v/>
      </c>
      <c r="R28" s="133" t="n"/>
      <c r="S28" s="139">
        <f>R28*100/$E$28</f>
        <v/>
      </c>
      <c r="T28" s="133" t="n"/>
      <c r="U28" s="140">
        <f>T28*100/$E$28</f>
        <v/>
      </c>
      <c r="V28" s="133" t="n"/>
      <c r="W28" s="140">
        <f>V28*100/$E$28</f>
        <v/>
      </c>
      <c r="X28" s="133" t="n"/>
      <c r="Y28" s="140">
        <f>X28*100/$E$28</f>
        <v/>
      </c>
      <c r="Z28" s="133" t="n"/>
      <c r="AA28" s="140">
        <f>Z28*100/$E$28</f>
        <v/>
      </c>
      <c r="AB28" s="133" t="n"/>
      <c r="AC28" s="140">
        <f>AB28*100/$E$28</f>
        <v/>
      </c>
      <c r="AD28" s="133" t="n"/>
      <c r="AE28" s="139">
        <f>AD28*100/$E$28</f>
        <v/>
      </c>
      <c r="AF28" s="133" t="n"/>
      <c r="AG28" s="139">
        <f>AF28*100/$E$28</f>
        <v/>
      </c>
      <c r="AH28" s="133" t="n"/>
      <c r="AI28" s="140">
        <f>AH28*100/$E$28</f>
        <v/>
      </c>
      <c r="AJ28" s="133" t="n"/>
      <c r="AK28" s="140">
        <f>AJ28*100/$E$28</f>
        <v/>
      </c>
      <c r="AL28" s="133" t="n"/>
      <c r="AM28" s="140">
        <f>AL28*100/$E$28</f>
        <v/>
      </c>
      <c r="AN28" s="133" t="n"/>
      <c r="AO28" s="140">
        <f>AN28*100/$E$28</f>
        <v/>
      </c>
      <c r="AP28" s="133" t="n"/>
      <c r="AQ28" s="140">
        <f>AP28*100/$E$28</f>
        <v/>
      </c>
      <c r="AR28" s="133" t="n"/>
      <c r="AS28" s="140">
        <f>AR28*100/$E$28</f>
        <v/>
      </c>
      <c r="AT28" s="133" t="n"/>
      <c r="AU28" s="181">
        <f>AT28*100/$E$28</f>
        <v/>
      </c>
      <c r="AV28" s="133" t="n">
        <v>8</v>
      </c>
      <c r="AW28" s="140">
        <f>AV28*100/$E$28</f>
        <v/>
      </c>
      <c r="AX28" s="133" t="n"/>
      <c r="AY28" s="140">
        <f>AX28*100/$E$28</f>
        <v/>
      </c>
      <c r="AZ28" s="133" t="n"/>
      <c r="BA28" s="140">
        <f>AZ28*100/$E$28</f>
        <v/>
      </c>
      <c r="BB28" s="133" t="n"/>
      <c r="BC28" s="140">
        <f>BB28*100/$E$28</f>
        <v/>
      </c>
      <c r="BD28" s="133" t="n"/>
      <c r="BE28" s="140">
        <f>BD28*100/$E$28</f>
        <v/>
      </c>
      <c r="BF28" s="133" t="n"/>
      <c r="BG28" s="140">
        <f>BF28*100/$E$28</f>
        <v/>
      </c>
      <c r="BH28" s="133" t="n"/>
      <c r="BI28" s="140">
        <f>BH28*100/$E$28</f>
        <v/>
      </c>
      <c r="BJ28" s="133" t="n"/>
      <c r="BK28" s="140">
        <f>BJ28*100/$E$28</f>
        <v/>
      </c>
      <c r="BL28" s="133" t="n"/>
      <c r="BM28" s="140">
        <f>BL28*100/$E$28</f>
        <v/>
      </c>
      <c r="BN28" s="133" t="n"/>
      <c r="BO28" s="140">
        <f>BN28*100/$E$28</f>
        <v/>
      </c>
      <c r="BP28" s="133" t="n"/>
      <c r="BQ28" s="140">
        <f>BP28*100/$E$28</f>
        <v/>
      </c>
      <c r="BR28" s="133" t="n"/>
      <c r="BS28" s="140">
        <f>BR28*100/$E$28</f>
        <v/>
      </c>
      <c r="BT28" s="133" t="n"/>
      <c r="BU28" s="140">
        <f>BT28*100/$E$28</f>
        <v/>
      </c>
      <c r="BV28" s="133" t="n">
        <v>16</v>
      </c>
      <c r="BW28" s="140">
        <f>BV28*100/$E$28</f>
        <v/>
      </c>
      <c r="BX28" s="133" t="n"/>
      <c r="BY28" s="140">
        <f>BX28*100/$E$28</f>
        <v/>
      </c>
      <c r="BZ28" s="133" t="n"/>
      <c r="CA28" s="140">
        <f>BZ28*100/$E$28</f>
        <v/>
      </c>
      <c r="CB28" s="133" t="n"/>
      <c r="CC28" s="140">
        <f>CB28*100/$E$28</f>
        <v/>
      </c>
      <c r="CD28" s="133" t="n"/>
      <c r="CE28" s="140">
        <f>CD28*100/$E$28</f>
        <v/>
      </c>
      <c r="CF28" s="133" t="n"/>
      <c r="CG28" s="140">
        <f>CF28*100/$E$28</f>
        <v/>
      </c>
      <c r="CH28" s="133" t="n"/>
      <c r="CI28" s="140">
        <f>CH28*100/$E$28</f>
        <v/>
      </c>
      <c r="CJ28" s="133" t="n"/>
      <c r="CK28" s="140">
        <f>CJ28*100/$E$28</f>
        <v/>
      </c>
      <c r="CL28" s="133" t="n"/>
      <c r="CM28" s="140">
        <f>CL28*100/$E$28</f>
        <v/>
      </c>
      <c r="CN28" s="133" t="n"/>
      <c r="CO28" s="139">
        <f>CN28*100/$E$28</f>
        <v/>
      </c>
      <c r="CP28" s="133" t="n"/>
      <c r="CQ28" s="140">
        <f>CP28*100/$E$28</f>
        <v/>
      </c>
      <c r="CR28" s="133" t="n"/>
      <c r="CS28" s="139">
        <f>CR28*100/$E$28</f>
        <v/>
      </c>
      <c r="CT28" s="133" t="n"/>
      <c r="CU28" s="139">
        <f>CT28*100/$E$28</f>
        <v/>
      </c>
      <c r="CV28" s="133" t="n"/>
      <c r="CW28" s="139">
        <f>CV28*100/$E$28</f>
        <v/>
      </c>
      <c r="CX28" s="133" t="n"/>
      <c r="CY28" s="139">
        <f>CX28*100/$E$28</f>
        <v/>
      </c>
      <c r="CZ28" s="133" t="n"/>
      <c r="DA28" s="139">
        <f>CZ28*100/$E$28</f>
        <v/>
      </c>
      <c r="DB28" s="133" t="n"/>
      <c r="DC28" s="139">
        <f>DB28*100/$E$28</f>
        <v/>
      </c>
      <c r="DD28" s="133" t="n"/>
      <c r="DE28" s="139">
        <f>DD28*100/$E$28</f>
        <v/>
      </c>
      <c r="DF28" s="133" t="n"/>
      <c r="DG28" s="139">
        <f>DF28*100/$E$28</f>
        <v/>
      </c>
      <c r="DH28" s="133" t="n"/>
      <c r="DI28" s="139">
        <f>DH28*100/$E$28</f>
        <v/>
      </c>
      <c r="DJ28" s="133" t="n"/>
      <c r="DK28" s="139">
        <f>DJ28*100/$E$28</f>
        <v/>
      </c>
      <c r="DL28" s="133" t="n"/>
      <c r="DM28" s="139">
        <f>DL28*100/$E$28</f>
        <v/>
      </c>
      <c r="DN28" s="133" t="n"/>
      <c r="DO28" s="139">
        <f>DN28*100/$E$28</f>
        <v/>
      </c>
      <c r="DP28" s="133" t="n"/>
      <c r="DQ28" s="139">
        <f>DP28*100/$E$28</f>
        <v/>
      </c>
      <c r="DR28" s="133" t="n"/>
      <c r="DS28" s="139">
        <f>DR28*100/$E$28</f>
        <v/>
      </c>
      <c r="DT28" s="133" t="n"/>
      <c r="DU28" s="139">
        <f>DT28*100/$E$28</f>
        <v/>
      </c>
      <c r="DV28" s="133" t="n"/>
      <c r="DW28" s="139">
        <f>DV28*100/$E$28</f>
        <v/>
      </c>
      <c r="DX28" s="133" t="n"/>
      <c r="DY28" s="139">
        <f>DX28*100/$E$28</f>
        <v/>
      </c>
      <c r="DZ28" s="133" t="n"/>
      <c r="EA28" s="139">
        <f>DZ28*100/$E$28</f>
        <v/>
      </c>
      <c r="EB28" s="133" t="n"/>
      <c r="EC28" s="139">
        <f>EB28*100/$E$28</f>
        <v/>
      </c>
      <c r="ED28" s="133" t="n"/>
      <c r="EE28" s="139">
        <f>ED28*100/$E$28</f>
        <v/>
      </c>
      <c r="EF28" s="133" t="n"/>
      <c r="EG28" s="139">
        <f>EF28*100/$E$28</f>
        <v/>
      </c>
      <c r="EH28" s="133" t="n"/>
      <c r="EI28" s="139">
        <f>EH28*100/$E$28</f>
        <v/>
      </c>
      <c r="EJ28" s="133" t="n"/>
      <c r="EK28" s="139">
        <f>EJ28*100/$E$28</f>
        <v/>
      </c>
      <c r="EL28" s="133" t="n"/>
      <c r="EM28" s="139">
        <f>EL28*100/$E$28</f>
        <v/>
      </c>
      <c r="EN28" s="133" t="n"/>
      <c r="EO28" s="139">
        <f>EN28*100/$E$28</f>
        <v/>
      </c>
      <c r="EP28" s="133" t="n"/>
      <c r="EQ28" s="139">
        <f>EP28*100/$E$28</f>
        <v/>
      </c>
      <c r="ER28" s="133" t="n"/>
      <c r="ES28" s="139">
        <f>ER28*100/$E$28</f>
        <v/>
      </c>
      <c r="ET28" s="133" t="n"/>
      <c r="EU28" s="139">
        <f>ET28*100/$E$28</f>
        <v/>
      </c>
      <c r="EV28" s="133" t="n"/>
      <c r="EW28" s="139">
        <f>EV28*100/$E$28</f>
        <v/>
      </c>
      <c r="EX28" s="133" t="n"/>
      <c r="EY28" s="139">
        <f>EX28*100/$E$28</f>
        <v/>
      </c>
      <c r="EZ28" s="133" t="n"/>
      <c r="FA28" s="139">
        <f>EZ28*100/$E$28</f>
        <v/>
      </c>
      <c r="FB28" s="133" t="n"/>
      <c r="FC28" s="139">
        <f>FB28*100/$E$28</f>
        <v/>
      </c>
      <c r="FD28" s="133" t="n"/>
      <c r="FE28" s="139">
        <f>FD28*100/$E$28</f>
        <v/>
      </c>
      <c r="FF28" s="133" t="n">
        <v>8</v>
      </c>
      <c r="FG28" s="139">
        <f>FF28*100/$E$28</f>
        <v/>
      </c>
      <c r="FH28" s="133" t="n"/>
      <c r="FI28" s="139">
        <f>FH28*100/$E$28</f>
        <v/>
      </c>
      <c r="FJ28" s="133" t="n"/>
      <c r="FK28" s="139">
        <f>FJ28*100/$E$28</f>
        <v/>
      </c>
      <c r="FL28" s="133" t="n"/>
      <c r="FM28" s="139">
        <f>FL28*100/$E$28</f>
        <v/>
      </c>
      <c r="FN28" s="133" t="n"/>
      <c r="FO28" s="139">
        <f>FN28*100/$E$28</f>
        <v/>
      </c>
      <c r="FP28" s="133" t="n"/>
      <c r="FQ28" s="139">
        <f>FP28*100/$E$28</f>
        <v/>
      </c>
      <c r="FR28" s="133" t="n"/>
      <c r="FS28" s="139">
        <f>FR28*100/$E$28</f>
        <v/>
      </c>
      <c r="FT28" s="133" t="n"/>
      <c r="FU28" s="139">
        <f>FT28*100/$E$28</f>
        <v/>
      </c>
      <c r="FV28" s="133" t="n"/>
      <c r="FW28" s="139">
        <f>FV28*100/$E$28</f>
        <v/>
      </c>
      <c r="FX28" s="133" t="n"/>
      <c r="FY28" s="140">
        <f>FX28*100/$E$28</f>
        <v/>
      </c>
      <c r="FZ28" s="133" t="n"/>
      <c r="GA28" s="140">
        <f>FZ28*100/$E$28</f>
        <v/>
      </c>
      <c r="GB28" s="133" t="n"/>
      <c r="GC28" s="140">
        <f>GB28*100/$E$28</f>
        <v/>
      </c>
      <c r="GD28" s="133" t="n"/>
      <c r="GE28" s="140">
        <f>GD28*100/$E$28</f>
        <v/>
      </c>
      <c r="GF28" s="133" t="n"/>
      <c r="GG28" s="140">
        <f>GF28*100/$E$28</f>
        <v/>
      </c>
      <c r="GH28" s="133" t="n"/>
      <c r="GI28" s="140">
        <f>GH28*100/$E$28</f>
        <v/>
      </c>
      <c r="GJ28" s="133" t="n"/>
      <c r="GK28" s="139">
        <f>GJ28*100/$E$28</f>
        <v/>
      </c>
      <c r="GL28" s="133" t="n"/>
      <c r="GM28" s="140">
        <f>GL28*100/$E$28</f>
        <v/>
      </c>
      <c r="GN28" s="133" t="n"/>
      <c r="GO28" s="139">
        <f>GN28*100/$E$28</f>
        <v/>
      </c>
      <c r="GP28" s="133" t="n"/>
      <c r="GQ28" s="140">
        <f>GP28*100/$E$28</f>
        <v/>
      </c>
      <c r="GR28" s="133" t="n"/>
      <c r="GS28" s="139">
        <f>GR28*100/$E$28</f>
        <v/>
      </c>
      <c r="GT28" s="133" t="n"/>
      <c r="GU28" s="139">
        <f>GT28*100/$E$28</f>
        <v/>
      </c>
      <c r="GV28" s="133" t="n"/>
      <c r="GW28" s="139">
        <f>GV28*100/$E$28</f>
        <v/>
      </c>
      <c r="GX28" s="133" t="n"/>
      <c r="GY28" s="140">
        <f>GX28*100/$E$28</f>
        <v/>
      </c>
      <c r="GZ28" s="133" t="n"/>
      <c r="HA28" s="140">
        <f>GZ28*100/$E$28</f>
        <v/>
      </c>
      <c r="HB28" s="133" t="n"/>
      <c r="HC28" s="140">
        <f>HB28*100/$E$28</f>
        <v/>
      </c>
      <c r="HD28" s="133" t="n"/>
      <c r="HE28" s="140">
        <f>HD28*100/$E$28</f>
        <v/>
      </c>
      <c r="HF28" s="133" t="n"/>
      <c r="HG28" s="140">
        <f>HF28*100/$E$28</f>
        <v/>
      </c>
      <c r="HH28" s="133" t="n"/>
      <c r="HI28" s="140">
        <f>HH28*100/$E$28</f>
        <v/>
      </c>
      <c r="HJ28" s="133" t="n"/>
      <c r="HK28" s="140">
        <f>HJ28*100/$E$28</f>
        <v/>
      </c>
      <c r="HL28" s="133" t="n"/>
      <c r="HM28" s="140">
        <f>HL28*100/$E$28</f>
        <v/>
      </c>
      <c r="HN28" s="133" t="n"/>
      <c r="HO28" s="140">
        <f>HN28*100/$E$28</f>
        <v/>
      </c>
      <c r="HP28" s="133" t="n"/>
      <c r="HQ28" s="140">
        <f>HP28*100/$E$28</f>
        <v/>
      </c>
      <c r="HR28" s="133" t="n"/>
      <c r="HS28" s="140">
        <f>HR28*100/$E$28</f>
        <v/>
      </c>
      <c r="HT28" s="133" t="n"/>
      <c r="HU28" s="140">
        <f>HT28*100/$E$28</f>
        <v/>
      </c>
      <c r="HV28" s="133" t="n"/>
      <c r="HW28" s="140">
        <f>HV28*100/$E$28</f>
        <v/>
      </c>
      <c r="HX28" s="133" t="n"/>
      <c r="HY28" s="140">
        <f>HX28*100/$E$28</f>
        <v/>
      </c>
      <c r="HZ28" s="133" t="n"/>
      <c r="IA28" s="139">
        <f>HZ28*100/$E$28</f>
        <v/>
      </c>
      <c r="IB28" s="133" t="n"/>
      <c r="IC28" s="139">
        <f>IB28*100/$E$28</f>
        <v/>
      </c>
      <c r="ID28" s="133" t="n"/>
      <c r="IE28" s="139">
        <f>ID28*100/$E$28</f>
        <v/>
      </c>
      <c r="IF28" s="133" t="n"/>
      <c r="IG28" s="139">
        <f>IF28*100/$E$28</f>
        <v/>
      </c>
      <c r="IH28" s="133" t="n"/>
      <c r="II28" s="139">
        <f>IH28*100/$E$28</f>
        <v/>
      </c>
      <c r="IJ28" s="133" t="n"/>
      <c r="IK28" s="139">
        <f>IJ28*100/$E$28</f>
        <v/>
      </c>
      <c r="IL28" s="133" t="n"/>
      <c r="IM28" s="140">
        <f>IL28*100/$E$28</f>
        <v/>
      </c>
      <c r="IN28" s="133" t="n"/>
      <c r="IO28" s="140">
        <f>IN28*100/$E$28</f>
        <v/>
      </c>
      <c r="IP28" s="133" t="n"/>
      <c r="IQ28" s="139">
        <f>IP28*100/$E$28</f>
        <v/>
      </c>
      <c r="IR28" s="133" t="n"/>
      <c r="IS28" s="139">
        <f>IR28*100/$E$28</f>
        <v/>
      </c>
      <c r="IT28" s="133" t="n"/>
      <c r="IU28" s="139">
        <f>IT28*100/$E$28</f>
        <v/>
      </c>
      <c r="IV28" s="133" t="n"/>
      <c r="IW28" s="139">
        <f>IV28*100/$E$28</f>
        <v/>
      </c>
      <c r="IX28" s="133" t="n"/>
      <c r="IY28" s="139">
        <f>IX28*100/$E$28</f>
        <v/>
      </c>
      <c r="IZ28" s="133" t="n"/>
      <c r="JA28" s="139">
        <f>IZ28*100/$E$28</f>
        <v/>
      </c>
      <c r="JB28" s="133" t="n"/>
      <c r="JC28" s="139">
        <f>JB28*100/$E$28</f>
        <v/>
      </c>
      <c r="JD28" s="133" t="n"/>
      <c r="JE28" s="139">
        <f>JD28*100/$E$28</f>
        <v/>
      </c>
      <c r="JF28" s="133" t="n"/>
      <c r="JG28" s="139">
        <f>JF28*100/$E$28</f>
        <v/>
      </c>
      <c r="JH28" s="133" t="n"/>
      <c r="JI28" s="139">
        <f>JH28*100/$E$28</f>
        <v/>
      </c>
      <c r="JJ28" s="133" t="n"/>
      <c r="JK28" s="139">
        <f>JJ28*100/$E$28</f>
        <v/>
      </c>
      <c r="JL28" s="133">
        <f>8+8+8+7</f>
        <v/>
      </c>
      <c r="JM28" s="139">
        <f>JL28*100/$E$28</f>
        <v/>
      </c>
      <c r="JN28" s="133" t="n">
        <v>8</v>
      </c>
      <c r="JO28" s="139">
        <f>JN28*100/$E$28</f>
        <v/>
      </c>
      <c r="JP28" s="133" t="n"/>
      <c r="JQ28" s="139">
        <f>JP28*100/$E$28</f>
        <v/>
      </c>
      <c r="JR28" s="133">
        <f>8+8+8</f>
        <v/>
      </c>
      <c r="JS28" s="139">
        <f>JR28*100/$E$28</f>
        <v/>
      </c>
      <c r="JT28" s="223" t="n"/>
      <c r="JU28" s="182">
        <f>JT28*100/$E$28</f>
        <v/>
      </c>
      <c r="JV28" s="133" t="n"/>
      <c r="JW28" s="182">
        <f>JV28*100/$E$28</f>
        <v/>
      </c>
      <c r="JX28" s="133" t="n"/>
      <c r="JY28" s="182">
        <f>JX28*100/$E$28</f>
        <v/>
      </c>
      <c r="JZ28" s="183">
        <f>JN28+JP28+JR28+JT28+JV28+JX28</f>
        <v/>
      </c>
      <c r="KA28" s="184">
        <f>JO28+JQ28+JS28+JU28+JW28+JY28</f>
        <v/>
      </c>
      <c r="KB28" s="185">
        <f>H28+J28+L28+N28+P28+R28+T28+V28+X28+Z28+AB28+AD28+AF28+AH28+AJ28+AL28+AN28+AP28+AR28+AT28+AV28+AX28+AZ28+BB28+BD28+BF28+BH28+BJ28+BL28+BN28+BP28+BR28+BT28+BV28+BX28+BZ28+CB28+CD28+CF28+CH28+CZ28+DB28+DD28+DF28+DH28+DJ28+DL28+DN28+DP28+DR28+DT28+DV28+DX28+DZ28+EB28+ED28+EF28+EH28+EJ28+EL28+EN28+EP28+ER28+ET28+EV28+FN28+FP28+FR28+FT28+FV28+FX28+FZ28+GB28+GD28+GF28+GH28+GJ28+GL28+GN28+GP28+GR28+GT28+GV28+GX28+GZ28+HB28+HD28+HF28+HH28+HJ28+HL28+HN28+HP28+HR28+HT28+HV28+HX28+HZ28+IB28+ID28+IF28+IH28+IJ28+IL28+IN28+IP28+IR28+IT28+IV28+IX28+IZ28+JB28+JD28+JF28+JH28+JJ28+JL28+JZ28+CJ28+CL28+CN28+CP28+CR28+CT28+CV28+CX28+EX28+EZ28+FB28+FD28+FF28+FH28+FJ28+FL28</f>
        <v/>
      </c>
      <c r="KC28" s="186">
        <f>I28+K28+M28+O28+Q28+S28+U28+W28+Y28+AA28+AC28+AE28+AG28+AI28+AK28+AM28+AO28+AQ28+AS28+AU28+AW28+AY28+BA28+BC28+BE28+BG28+BI28+BK28+BM28+BO28+BQ28+BS28+BU28+BW28+BY28+CA28+CC28+CE28+CG28+CI28+DA28+DC28+DE28+DG28+DI28+DK28+DM28+DO28+DQ28+DS28+DU28+DW28+DY28+EA28+EC28+EE28+EG28+EI28+EK28+EM28+EO28+EQ28+ES28+EU28+EW28+FO28+FS28+FU28+FW28+FQ28+FY28+GA28+GC28+GE28+GG28+GI28+GK28+GM28+GO28+GQ28+GS28+GU28+GW28+GY28+HA28+HC28+HE28+HG28+HI28+HK28+HM28+HO28+HQ28+HS28+HU28+HW28+HY28+IA28+IC28+IE28+IG28+II28+IK28+IM28+IO28+IQ28+IS28+IU28+IW28+IY28+JA28+JC28+JE28+JG28+JI28+JK28+JM28+KA28+CK28+CM28+CO28+CQ28+CS28+CU28+CW28+CY28+EY28+FA28+FC28+FE28+FG28+FI28+FK28+FM28</f>
        <v/>
      </c>
      <c r="KD28" s="187">
        <f>JO28+JQ28+JS28+JU28+JW28+JY28</f>
        <v/>
      </c>
      <c r="KE28" s="188">
        <f>KB28=E28</f>
        <v/>
      </c>
      <c r="KF28" s="189">
        <f>E28-KB28</f>
        <v/>
      </c>
      <c r="KG28" s="209" t="n"/>
    </row>
    <row r="29" ht="24.75" customFormat="1" customHeight="1" s="232">
      <c r="A29" s="126">
        <f>A28+1</f>
        <v/>
      </c>
      <c r="B29" s="175" t="inlineStr">
        <is>
          <t>Ленинг И.Н.</t>
        </is>
      </c>
      <c r="C29" s="176" t="inlineStr">
        <is>
          <t xml:space="preserve">Оператор СПУ </t>
        </is>
      </c>
      <c r="D29" s="177">
        <f>$D$5</f>
        <v/>
      </c>
      <c r="E29" s="202" t="n">
        <v>204</v>
      </c>
      <c r="F29" s="193" t="n">
        <v>179828.39</v>
      </c>
      <c r="G29" s="179">
        <f>F29/D29</f>
        <v/>
      </c>
      <c r="H29" s="180" t="n"/>
      <c r="I29" s="140">
        <f>H29*100/$E$29</f>
        <v/>
      </c>
      <c r="J29" s="133" t="n"/>
      <c r="K29" s="140">
        <f>J29*100/$E$29</f>
        <v/>
      </c>
      <c r="L29" s="133" t="n"/>
      <c r="M29" s="140">
        <f>L29*100/$E$29</f>
        <v/>
      </c>
      <c r="N29" s="133" t="n"/>
      <c r="O29" s="140">
        <f>N29*100/$E$29</f>
        <v/>
      </c>
      <c r="P29" s="133" t="n"/>
      <c r="Q29" s="139">
        <f>P29*100/$E$29</f>
        <v/>
      </c>
      <c r="R29" s="133" t="n"/>
      <c r="S29" s="139">
        <f>R29*100/$E$29</f>
        <v/>
      </c>
      <c r="T29" s="133" t="n"/>
      <c r="U29" s="140">
        <f>T29*100/$E$29</f>
        <v/>
      </c>
      <c r="V29" s="133" t="n"/>
      <c r="W29" s="140">
        <f>V29*100/$E$29</f>
        <v/>
      </c>
      <c r="X29" s="133" t="n"/>
      <c r="Y29" s="140">
        <f>X29*100/$E$29</f>
        <v/>
      </c>
      <c r="Z29" s="133" t="n"/>
      <c r="AA29" s="140">
        <f>Z29*100/$E$29</f>
        <v/>
      </c>
      <c r="AB29" s="133" t="n"/>
      <c r="AC29" s="140">
        <f>AB29*100/$E$29</f>
        <v/>
      </c>
      <c r="AD29" s="133" t="n">
        <v>5</v>
      </c>
      <c r="AE29" s="139">
        <f>AD29*100/$E$29</f>
        <v/>
      </c>
      <c r="AF29" s="133">
        <f>12+12+12+12+4+6+2+12+8</f>
        <v/>
      </c>
      <c r="AG29" s="139">
        <f>AF29*100/$E$29</f>
        <v/>
      </c>
      <c r="AH29" s="133" t="n"/>
      <c r="AI29" s="140">
        <f>AH29*100/$E$29</f>
        <v/>
      </c>
      <c r="AJ29" s="133" t="n">
        <v>4</v>
      </c>
      <c r="AK29" s="140">
        <f>AJ29*100/$E$29</f>
        <v/>
      </c>
      <c r="AL29" s="133" t="n"/>
      <c r="AM29" s="140">
        <f>AL29*100/$E$29</f>
        <v/>
      </c>
      <c r="AN29" s="133" t="n"/>
      <c r="AO29" s="140">
        <f>AN29*100/$E$29</f>
        <v/>
      </c>
      <c r="AP29" s="133" t="n"/>
      <c r="AQ29" s="140">
        <f>AP29*100/$E$29</f>
        <v/>
      </c>
      <c r="AR29" s="133" t="n"/>
      <c r="AS29" s="140">
        <f>AR29*100/$E$29</f>
        <v/>
      </c>
      <c r="AT29" s="133" t="n"/>
      <c r="AU29" s="181">
        <f>AT29*100/$E$29</f>
        <v/>
      </c>
      <c r="AV29" s="133" t="n"/>
      <c r="AW29" s="140">
        <f>AV29*100/$E$29</f>
        <v/>
      </c>
      <c r="AX29" s="133" t="n"/>
      <c r="AY29" s="140">
        <f>AX29*100/$E$29</f>
        <v/>
      </c>
      <c r="AZ29" s="133">
        <f>7+10</f>
        <v/>
      </c>
      <c r="BA29" s="140">
        <f>AZ29*100/$E$29</f>
        <v/>
      </c>
      <c r="BB29" s="133" t="n">
        <v>2</v>
      </c>
      <c r="BC29" s="140">
        <f>BB29*100/$E$29</f>
        <v/>
      </c>
      <c r="BD29" s="133">
        <f>12+12+12+7</f>
        <v/>
      </c>
      <c r="BE29" s="140">
        <f>BD29*100/$E$29</f>
        <v/>
      </c>
      <c r="BF29" s="133" t="n"/>
      <c r="BG29" s="140">
        <f>BF29*100/$E$29</f>
        <v/>
      </c>
      <c r="BH29" s="133" t="n"/>
      <c r="BI29" s="140">
        <f>BH29*100/$E$29</f>
        <v/>
      </c>
      <c r="BJ29" s="133" t="n"/>
      <c r="BK29" s="140">
        <f>BJ29*100/$E$29</f>
        <v/>
      </c>
      <c r="BL29" s="133" t="n"/>
      <c r="BM29" s="140">
        <f>BL29*100/$E$29</f>
        <v/>
      </c>
      <c r="BN29" s="133" t="n"/>
      <c r="BO29" s="140">
        <f>BN29*100/$E$29</f>
        <v/>
      </c>
      <c r="BP29" s="133" t="n"/>
      <c r="BQ29" s="140">
        <f>BP29*100/$E$29</f>
        <v/>
      </c>
      <c r="BR29" s="133" t="n"/>
      <c r="BS29" s="140">
        <f>BR29*100/$E$29</f>
        <v/>
      </c>
      <c r="BT29" s="133" t="n"/>
      <c r="BU29" s="140">
        <f>BT29*100/$E$29</f>
        <v/>
      </c>
      <c r="BV29" s="133" t="n"/>
      <c r="BW29" s="140">
        <f>BV29*100/$E$29</f>
        <v/>
      </c>
      <c r="BX29" s="133" t="n"/>
      <c r="BY29" s="140">
        <f>BX29*100/$E$29</f>
        <v/>
      </c>
      <c r="BZ29" s="133" t="n"/>
      <c r="CA29" s="140">
        <f>BZ29*100/$E$29</f>
        <v/>
      </c>
      <c r="CB29" s="133" t="n"/>
      <c r="CC29" s="140">
        <f>CB29*100/$E$29</f>
        <v/>
      </c>
      <c r="CD29" s="133" t="n"/>
      <c r="CE29" s="140">
        <f>CD29*100/$E$29</f>
        <v/>
      </c>
      <c r="CF29" s="133" t="n"/>
      <c r="CG29" s="140">
        <f>CF29*100/$E$29</f>
        <v/>
      </c>
      <c r="CH29" s="133" t="n"/>
      <c r="CI29" s="140">
        <f>CH29*100/$E$29</f>
        <v/>
      </c>
      <c r="CJ29" s="133" t="n"/>
      <c r="CK29" s="140">
        <f>CJ29*100/$E$29</f>
        <v/>
      </c>
      <c r="CL29" s="133" t="n"/>
      <c r="CM29" s="140">
        <f>CL29*100/$E$29</f>
        <v/>
      </c>
      <c r="CN29" s="133" t="n"/>
      <c r="CO29" s="139">
        <f>CN29*100/$E$29</f>
        <v/>
      </c>
      <c r="CP29" s="133" t="n"/>
      <c r="CQ29" s="140">
        <f>CP29*100/$E$29</f>
        <v/>
      </c>
      <c r="CR29" s="133">
        <f>12+12+8</f>
        <v/>
      </c>
      <c r="CS29" s="139">
        <f>CR29*100/$E$29</f>
        <v/>
      </c>
      <c r="CT29" s="133" t="n"/>
      <c r="CU29" s="139">
        <f>CT29*100/$E$29</f>
        <v/>
      </c>
      <c r="CV29" s="133" t="n"/>
      <c r="CW29" s="139">
        <f>CV29*100/$E$29</f>
        <v/>
      </c>
      <c r="CX29" s="133" t="n"/>
      <c r="CY29" s="139">
        <f>CX29*100/$E$29</f>
        <v/>
      </c>
      <c r="CZ29" s="133" t="n">
        <v>11</v>
      </c>
      <c r="DA29" s="139">
        <f>CZ29*100/$E$29</f>
        <v/>
      </c>
      <c r="DB29" s="133" t="n"/>
      <c r="DC29" s="139">
        <f>DB29*100/$E$29</f>
        <v/>
      </c>
      <c r="DD29" s="133" t="n"/>
      <c r="DE29" s="139">
        <f>DD29*100/$E$29</f>
        <v/>
      </c>
      <c r="DF29" s="133" t="n"/>
      <c r="DG29" s="139">
        <f>DF29*100/$E$29</f>
        <v/>
      </c>
      <c r="DH29" s="133" t="n"/>
      <c r="DI29" s="139">
        <f>DH29*100/$E$29</f>
        <v/>
      </c>
      <c r="DJ29" s="133" t="n">
        <v>6</v>
      </c>
      <c r="DK29" s="139">
        <f>DJ29*100/$E$29</f>
        <v/>
      </c>
      <c r="DL29" s="133" t="n">
        <v>4</v>
      </c>
      <c r="DM29" s="139">
        <f>DL29*100/$E$29</f>
        <v/>
      </c>
      <c r="DN29" s="133" t="n"/>
      <c r="DO29" s="139">
        <f>DN29*100/$E$29</f>
        <v/>
      </c>
      <c r="DP29" s="133" t="n"/>
      <c r="DQ29" s="139">
        <f>DP29*100/$E$29</f>
        <v/>
      </c>
      <c r="DR29" s="133" t="n"/>
      <c r="DS29" s="139">
        <f>DR29*100/$E$29</f>
        <v/>
      </c>
      <c r="DT29" s="133" t="n"/>
      <c r="DU29" s="139">
        <f>DT29*100/$E$29</f>
        <v/>
      </c>
      <c r="DV29" s="133" t="n"/>
      <c r="DW29" s="139">
        <f>DV29*100/$E$29</f>
        <v/>
      </c>
      <c r="DX29" s="133" t="n"/>
      <c r="DY29" s="139">
        <f>DX29*100/$E$29</f>
        <v/>
      </c>
      <c r="DZ29" s="133" t="n"/>
      <c r="EA29" s="139">
        <f>DZ29*100/$E$29</f>
        <v/>
      </c>
      <c r="EB29" s="133" t="n"/>
      <c r="EC29" s="139">
        <f>EB29*100/$E$29</f>
        <v/>
      </c>
      <c r="ED29" s="133" t="n"/>
      <c r="EE29" s="139">
        <f>ED29*100/$E$29</f>
        <v/>
      </c>
      <c r="EF29" s="133" t="n"/>
      <c r="EG29" s="139">
        <f>EF29*100/$E$29</f>
        <v/>
      </c>
      <c r="EH29" s="133" t="n"/>
      <c r="EI29" s="139">
        <f>EH29*100/$E$29</f>
        <v/>
      </c>
      <c r="EJ29" s="133" t="n"/>
      <c r="EK29" s="139">
        <f>EJ29*100/$E$29</f>
        <v/>
      </c>
      <c r="EL29" s="133" t="n"/>
      <c r="EM29" s="139">
        <f>EL29*100/$E$29</f>
        <v/>
      </c>
      <c r="EN29" s="133" t="n"/>
      <c r="EO29" s="139">
        <f>EN29*100/$E$29</f>
        <v/>
      </c>
      <c r="EP29" s="133" t="n"/>
      <c r="EQ29" s="139">
        <f>EP29*100/$E$29</f>
        <v/>
      </c>
      <c r="ER29" s="133" t="n"/>
      <c r="ES29" s="139">
        <f>ER29*100/$E$29</f>
        <v/>
      </c>
      <c r="ET29" s="133" t="n"/>
      <c r="EU29" s="139">
        <f>ET29*100/$E$29</f>
        <v/>
      </c>
      <c r="EV29" s="133" t="n"/>
      <c r="EW29" s="139">
        <f>EV29*100/$E$29</f>
        <v/>
      </c>
      <c r="EX29" s="133" t="n"/>
      <c r="EY29" s="139">
        <f>EX29*100/$E$29</f>
        <v/>
      </c>
      <c r="EZ29" s="133" t="n"/>
      <c r="FA29" s="139">
        <f>EZ29*100/$E$29</f>
        <v/>
      </c>
      <c r="FB29" s="133" t="n"/>
      <c r="FC29" s="139">
        <f>FB29*100/$E$29</f>
        <v/>
      </c>
      <c r="FD29" s="133" t="n"/>
      <c r="FE29" s="139">
        <f>FD29*100/$E$29</f>
        <v/>
      </c>
      <c r="FF29" s="133" t="n"/>
      <c r="FG29" s="139">
        <f>FF29*100/$E$29</f>
        <v/>
      </c>
      <c r="FH29" s="133" t="n"/>
      <c r="FI29" s="139">
        <f>FH29*100/$E$29</f>
        <v/>
      </c>
      <c r="FJ29" s="133" t="n"/>
      <c r="FK29" s="139">
        <f>FJ29*100/$E$29</f>
        <v/>
      </c>
      <c r="FL29" s="133" t="n"/>
      <c r="FM29" s="139">
        <f>FL29*100/$E$29</f>
        <v/>
      </c>
      <c r="FN29" s="133" t="n"/>
      <c r="FO29" s="139">
        <f>FN29*100/$E$29</f>
        <v/>
      </c>
      <c r="FP29" s="133" t="n"/>
      <c r="FQ29" s="139">
        <f>FP29*100/$E$29</f>
        <v/>
      </c>
      <c r="FR29" s="133" t="n"/>
      <c r="FS29" s="139">
        <f>FR29*100/$E$29</f>
        <v/>
      </c>
      <c r="FT29" s="133" t="n"/>
      <c r="FU29" s="139">
        <f>FT29*100/$E$29</f>
        <v/>
      </c>
      <c r="FV29" s="133" t="n"/>
      <c r="FW29" s="139">
        <f>FV29*100/$E$29</f>
        <v/>
      </c>
      <c r="FX29" s="133" t="n"/>
      <c r="FY29" s="140">
        <f>FX29*100/$E$29</f>
        <v/>
      </c>
      <c r="FZ29" s="133" t="n"/>
      <c r="GA29" s="140">
        <f>FZ29*100/$E$29</f>
        <v/>
      </c>
      <c r="GB29" s="133" t="n"/>
      <c r="GC29" s="140">
        <f>GB29*100/$E$29</f>
        <v/>
      </c>
      <c r="GD29" s="133" t="n"/>
      <c r="GE29" s="140">
        <f>GD29*100/$E$29</f>
        <v/>
      </c>
      <c r="GF29" s="133" t="n"/>
      <c r="GG29" s="140">
        <f>GF29*100/$E$29</f>
        <v/>
      </c>
      <c r="GH29" s="133" t="n"/>
      <c r="GI29" s="140">
        <f>GH29*100/$E$29</f>
        <v/>
      </c>
      <c r="GJ29" s="133" t="n"/>
      <c r="GK29" s="139">
        <f>GJ29*100/$E$29</f>
        <v/>
      </c>
      <c r="GL29" s="133" t="n"/>
      <c r="GM29" s="140">
        <f>GL29*100/$E$29</f>
        <v/>
      </c>
      <c r="GN29" s="133" t="n"/>
      <c r="GO29" s="139">
        <f>GN29*100/$E$29</f>
        <v/>
      </c>
      <c r="GP29" s="133" t="n"/>
      <c r="GQ29" s="140">
        <f>GP29*100/$E$29</f>
        <v/>
      </c>
      <c r="GR29" s="133" t="n"/>
      <c r="GS29" s="139">
        <f>GR29*100/$E$29</f>
        <v/>
      </c>
      <c r="GT29" s="133" t="n"/>
      <c r="GU29" s="139">
        <f>GT29*100/$E$29</f>
        <v/>
      </c>
      <c r="GV29" s="133" t="n"/>
      <c r="GW29" s="139">
        <f>GV29*100/$E$29</f>
        <v/>
      </c>
      <c r="GX29" s="133" t="n"/>
      <c r="GY29" s="140">
        <f>GX29*100/$E$29</f>
        <v/>
      </c>
      <c r="GZ29" s="133" t="n"/>
      <c r="HA29" s="140">
        <f>GZ29*100/$E$29</f>
        <v/>
      </c>
      <c r="HB29" s="133" t="n"/>
      <c r="HC29" s="140">
        <f>HB29*100/$E$29</f>
        <v/>
      </c>
      <c r="HD29" s="133" t="n"/>
      <c r="HE29" s="140">
        <f>HD29*100/$E$29</f>
        <v/>
      </c>
      <c r="HF29" s="133" t="n"/>
      <c r="HG29" s="140">
        <f>HF29*100/$E$29</f>
        <v/>
      </c>
      <c r="HH29" s="133" t="n"/>
      <c r="HI29" s="140">
        <f>HH29*100/$E$29</f>
        <v/>
      </c>
      <c r="HJ29" s="133" t="n"/>
      <c r="HK29" s="140">
        <f>HJ29*100/$E$29</f>
        <v/>
      </c>
      <c r="HL29" s="133" t="n"/>
      <c r="HM29" s="140">
        <f>HL29*100/$E$29</f>
        <v/>
      </c>
      <c r="HN29" s="133" t="n"/>
      <c r="HO29" s="140">
        <f>HN29*100/$E$29</f>
        <v/>
      </c>
      <c r="HP29" s="133" t="n"/>
      <c r="HQ29" s="140">
        <f>HP29*100/$E$29</f>
        <v/>
      </c>
      <c r="HR29" s="133" t="n"/>
      <c r="HS29" s="140">
        <f>HR29*100/$E$29</f>
        <v/>
      </c>
      <c r="HT29" s="133" t="n"/>
      <c r="HU29" s="140">
        <f>HT29*100/$E$29</f>
        <v/>
      </c>
      <c r="HV29" s="133" t="n"/>
      <c r="HW29" s="140">
        <f>HV29*100/$E$29</f>
        <v/>
      </c>
      <c r="HX29" s="133" t="n"/>
      <c r="HY29" s="140">
        <f>HX29*100/$E$29</f>
        <v/>
      </c>
      <c r="HZ29" s="133" t="n"/>
      <c r="IA29" s="139">
        <f>HZ29*100/$E$29</f>
        <v/>
      </c>
      <c r="IB29" s="133" t="n"/>
      <c r="IC29" s="139">
        <f>IB29*100/$E$29</f>
        <v/>
      </c>
      <c r="ID29" s="133" t="n"/>
      <c r="IE29" s="139">
        <f>ID29*100/$E$29</f>
        <v/>
      </c>
      <c r="IF29" s="133" t="n"/>
      <c r="IG29" s="139">
        <f>IF29*100/$E$29</f>
        <v/>
      </c>
      <c r="IH29" s="133" t="n"/>
      <c r="II29" s="139">
        <f>IH29*100/$E$29</f>
        <v/>
      </c>
      <c r="IJ29" s="133" t="n"/>
      <c r="IK29" s="139">
        <f>IJ29*100/$E$29</f>
        <v/>
      </c>
      <c r="IL29" s="133" t="n"/>
      <c r="IM29" s="140">
        <f>IL29*100/$E$29</f>
        <v/>
      </c>
      <c r="IN29" s="133" t="n"/>
      <c r="IO29" s="140">
        <f>IN29*100/$E$29</f>
        <v/>
      </c>
      <c r="IP29" s="133" t="n"/>
      <c r="IQ29" s="139">
        <f>IP29*100/$E$29</f>
        <v/>
      </c>
      <c r="IR29" s="133" t="n"/>
      <c r="IS29" s="139">
        <f>IR29*100/$E$29</f>
        <v/>
      </c>
      <c r="IT29" s="133" t="n"/>
      <c r="IU29" s="139">
        <f>IT29*100/$E$29</f>
        <v/>
      </c>
      <c r="IV29" s="133" t="n"/>
      <c r="IW29" s="139">
        <f>IV29*100/$E$29</f>
        <v/>
      </c>
      <c r="IX29" s="133" t="n"/>
      <c r="IY29" s="139">
        <f>IX29*100/$E$29</f>
        <v/>
      </c>
      <c r="IZ29" s="133" t="n"/>
      <c r="JA29" s="139">
        <f>IZ29*100/$E$29</f>
        <v/>
      </c>
      <c r="JB29" s="133" t="n"/>
      <c r="JC29" s="139">
        <f>JB29*100/$E$29</f>
        <v/>
      </c>
      <c r="JD29" s="133" t="n"/>
      <c r="JE29" s="139">
        <f>JD29*100/$E$29</f>
        <v/>
      </c>
      <c r="JF29" s="133" t="n"/>
      <c r="JG29" s="139">
        <f>JF29*100/$E$29</f>
        <v/>
      </c>
      <c r="JH29" s="133" t="n"/>
      <c r="JI29" s="139">
        <f>JH29*100/$E$29</f>
        <v/>
      </c>
      <c r="JJ29" s="133" t="n"/>
      <c r="JK29" s="139">
        <f>JJ29*100/$E$29</f>
        <v/>
      </c>
      <c r="JL29" s="133" t="n"/>
      <c r="JM29" s="139">
        <f>JL29*100/$E$29</f>
        <v/>
      </c>
      <c r="JN29" s="133" t="n"/>
      <c r="JO29" s="139">
        <f>JN29*100/$E$29</f>
        <v/>
      </c>
      <c r="JP29" s="133" t="n"/>
      <c r="JQ29" s="139">
        <f>JP29*100/$E$29</f>
        <v/>
      </c>
      <c r="JR29" s="133" t="n"/>
      <c r="JS29" s="139">
        <f>JR29*100/$E$29</f>
        <v/>
      </c>
      <c r="JT29" s="223" t="n"/>
      <c r="JU29" s="182">
        <f>JT29*100/$E$29</f>
        <v/>
      </c>
      <c r="JV29" s="133" t="n"/>
      <c r="JW29" s="182">
        <f>JV29*100/$E$29</f>
        <v/>
      </c>
      <c r="JX29" s="133" t="n"/>
      <c r="JY29" s="182">
        <f>JX29*100/$E$29</f>
        <v/>
      </c>
      <c r="JZ29" s="183">
        <f>JN29+JP29+JR29+JT29+JV29+JX29</f>
        <v/>
      </c>
      <c r="KA29" s="184">
        <f>JO29+JQ29+JS29+JU29+JW29+JY29</f>
        <v/>
      </c>
      <c r="KB29" s="185">
        <f>H29+J29+L29+N29+P29+R29+T29+V29+X29+Z29+AB29+AD29+AF29+AH29+AJ29+AL29+AN29+AP29+AR29+AT29+AV29+AX29+AZ29+BB29+BD29+BF29+BH29+BJ29+BL29+BN29+BP29+BR29+BT29+BV29+BX29+BZ29+CB29+CD29+CF29+CH29+CZ29+DB29+DD29+DF29+DH29+DJ29+DL29+DN29+DP29+DR29+DT29+DV29+DX29+DZ29+EB29+ED29+EF29+EH29+EJ29+EL29+EN29+EP29+ER29+ET29+EV29+FN29+FP29+FR29+FT29+FV29+FX29+FZ29+GB29+GD29+GF29+GH29+GJ29+GL29+GN29+GP29+GR29+GT29+GV29+GX29+GZ29+HB29+HD29+HF29+HH29+HJ29+HL29+HN29+HP29+HR29+HT29+HV29+HX29+HZ29+IB29+ID29+IF29+IH29+IJ29+IL29+IN29+IP29+IR29+IT29+IV29+IX29+IZ29+JB29+JD29+JF29+JH29+JJ29+JL29+JZ29+CJ29+CL29+CN29+CP29+CR29+CT29+CV29+CX29+EX29+EZ29+FB29+FD29+FF29+FH29+FJ29+FL29</f>
        <v/>
      </c>
      <c r="KC29" s="186">
        <f>I29+K29+M29+O29+Q29+S29+U29+W29+Y29+AA29+AC29+AE29+AG29+AI29+AK29+AM29+AO29+AQ29+AS29+AU29+AW29+AY29+BA29+BC29+BE29+BG29+BI29+BK29+BM29+BO29+BQ29+BS29+BU29+BW29+BY29+CA29+CC29+CE29+CG29+CI29+DA29+DC29+DE29+DG29+DI29+DK29+DM29+DO29+DQ29+DS29+DU29+DW29+DY29+EA29+EC29+EE29+EG29+EI29+EK29+EM29+EO29+EQ29+ES29+EU29+EW29+FO29+FS29+FU29+FW29+FQ29+FY29+GA29+GC29+GE29+GG29+GI29+GK29+GM29+GO29+GQ29+GS29+GU29+GW29+GY29+HA29+HC29+HE29+HG29+HI29+HK29+HM29+HO29+HQ29+HS29+HU29+HW29+HY29+IA29+IC29+IE29+IG29+II29+IK29+IM29+IO29+IQ29+IS29+IU29+IW29+IY29+JA29+JC29+JE29+JG29+JI29+JK29+JM29+KA29+CK29+CM29+CO29+CQ29+CS29+CU29+CW29+CY29+EY29+FA29+FC29+FE29+FG29+FI29+FK29+FM29</f>
        <v/>
      </c>
      <c r="KD29" s="187">
        <f>JO29+JQ29+JS29+JU29+JW29+JY29</f>
        <v/>
      </c>
      <c r="KE29" s="188">
        <f>KB29=E29</f>
        <v/>
      </c>
      <c r="KF29" s="189">
        <f>E29-KB29</f>
        <v/>
      </c>
      <c r="KG29" s="209" t="n"/>
    </row>
    <row r="30" ht="21.75" customFormat="1" customHeight="1" s="232">
      <c r="A30" s="126">
        <f>A29+1</f>
        <v/>
      </c>
      <c r="B30" s="175" t="inlineStr">
        <is>
          <t>Маргиани Г.И.</t>
        </is>
      </c>
      <c r="C30" s="176" t="inlineStr">
        <is>
          <t xml:space="preserve">Оператор СПУ </t>
        </is>
      </c>
      <c r="D30" s="177">
        <f>$D$5</f>
        <v/>
      </c>
      <c r="E30" s="202" t="n">
        <v>180</v>
      </c>
      <c r="F30" s="193" t="n">
        <v>125172.89</v>
      </c>
      <c r="G30" s="179">
        <f>F30/D30</f>
        <v/>
      </c>
      <c r="H30" s="180" t="n"/>
      <c r="I30" s="140">
        <f>H30*100/$E$30</f>
        <v/>
      </c>
      <c r="J30" s="133" t="n"/>
      <c r="K30" s="140">
        <f>J30*100/$E$30</f>
        <v/>
      </c>
      <c r="L30" s="133" t="n"/>
      <c r="M30" s="140">
        <f>L30*100/$E$30</f>
        <v/>
      </c>
      <c r="N30" s="133" t="n"/>
      <c r="O30" s="140">
        <f>N30*100/$E$30</f>
        <v/>
      </c>
      <c r="P30" s="133" t="n"/>
      <c r="Q30" s="139">
        <f>P30*100/$E$30</f>
        <v/>
      </c>
      <c r="R30" s="133" t="n"/>
      <c r="S30" s="139">
        <f>R30*100/$E$30</f>
        <v/>
      </c>
      <c r="T30" s="133" t="n"/>
      <c r="U30" s="140">
        <f>T30*100/$E$30</f>
        <v/>
      </c>
      <c r="V30" s="133" t="n"/>
      <c r="W30" s="140">
        <f>V30*100/$E$30</f>
        <v/>
      </c>
      <c r="X30" s="133" t="n"/>
      <c r="Y30" s="140">
        <f>X30*100/$E$30</f>
        <v/>
      </c>
      <c r="Z30" s="133" t="n"/>
      <c r="AA30" s="140">
        <f>Z30*100/$E$30</f>
        <v/>
      </c>
      <c r="AB30" s="133" t="n"/>
      <c r="AC30" s="140">
        <f>AB30*100/$E$30</f>
        <v/>
      </c>
      <c r="AD30" s="133" t="n">
        <v>2</v>
      </c>
      <c r="AE30" s="139">
        <f>AD30*100/$E$30</f>
        <v/>
      </c>
      <c r="AF30" s="133">
        <f>2+10</f>
        <v/>
      </c>
      <c r="AG30" s="139">
        <f>AF30*100/$E$30</f>
        <v/>
      </c>
      <c r="AH30" s="133" t="n"/>
      <c r="AI30" s="140">
        <f>AH30*100/$E$30</f>
        <v/>
      </c>
      <c r="AJ30" s="133" t="n"/>
      <c r="AK30" s="140">
        <f>AJ30*100/$E$30</f>
        <v/>
      </c>
      <c r="AL30" s="133">
        <f>12+4+8+9+4</f>
        <v/>
      </c>
      <c r="AM30" s="140">
        <f>AL30*100/$E$30</f>
        <v/>
      </c>
      <c r="AN30" s="133" t="n"/>
      <c r="AO30" s="140">
        <f>AN30*100/$E$30</f>
        <v/>
      </c>
      <c r="AP30" s="133" t="n"/>
      <c r="AQ30" s="140">
        <f>AP30*100/$E$30</f>
        <v/>
      </c>
      <c r="AR30" s="133">
        <f>10+2</f>
        <v/>
      </c>
      <c r="AS30" s="140">
        <f>AR30*100/$E$30</f>
        <v/>
      </c>
      <c r="AT30" s="133" t="n"/>
      <c r="AU30" s="181">
        <f>AT30*100/$E$30</f>
        <v/>
      </c>
      <c r="AV30" s="133">
        <f>12+12+2</f>
        <v/>
      </c>
      <c r="AW30" s="140">
        <f>AV30*100/$E$30</f>
        <v/>
      </c>
      <c r="AX30" s="133" t="n"/>
      <c r="AY30" s="140">
        <f>AX30*100/$E$30</f>
        <v/>
      </c>
      <c r="AZ30" s="133">
        <f>3+8+4</f>
        <v/>
      </c>
      <c r="BA30" s="139">
        <f>AZ30*100/$E$30</f>
        <v/>
      </c>
      <c r="BB30" s="133" t="n"/>
      <c r="BC30" s="140">
        <f>BB30*100/$E$30</f>
        <v/>
      </c>
      <c r="BD30" s="133">
        <f>8+8</f>
        <v/>
      </c>
      <c r="BE30" s="140">
        <f>BD30*100/$E$30</f>
        <v/>
      </c>
      <c r="BF30" s="133" t="n"/>
      <c r="BG30" s="140">
        <f>BF30*100/$E$30</f>
        <v/>
      </c>
      <c r="BH30" s="133" t="n"/>
      <c r="BI30" s="140">
        <f>BH30*100/$E$30</f>
        <v/>
      </c>
      <c r="BJ30" s="133" t="n"/>
      <c r="BK30" s="140">
        <f>BJ30*100/$E$30</f>
        <v/>
      </c>
      <c r="BL30" s="133" t="n"/>
      <c r="BM30" s="140">
        <f>BL30*100/$E$30</f>
        <v/>
      </c>
      <c r="BN30" s="133" t="n"/>
      <c r="BO30" s="140">
        <f>BN30*100/$E$30</f>
        <v/>
      </c>
      <c r="BP30" s="133" t="n"/>
      <c r="BQ30" s="140">
        <f>BP30*100/$E$30</f>
        <v/>
      </c>
      <c r="BR30" s="133" t="n"/>
      <c r="BS30" s="140">
        <f>BR30*100/$E$30</f>
        <v/>
      </c>
      <c r="BT30" s="133" t="n"/>
      <c r="BU30" s="140">
        <f>BT30*100/$E$30</f>
        <v/>
      </c>
      <c r="BV30" s="133" t="n"/>
      <c r="BW30" s="140">
        <f>BV30*100/$E$30</f>
        <v/>
      </c>
      <c r="BX30" s="133" t="n">
        <v>4</v>
      </c>
      <c r="BY30" s="140">
        <f>BX30*100/$E$30</f>
        <v/>
      </c>
      <c r="BZ30" s="133" t="n"/>
      <c r="CA30" s="140">
        <f>BZ30*100/$E$30</f>
        <v/>
      </c>
      <c r="CB30" s="133" t="n"/>
      <c r="CC30" s="140">
        <f>CB30*100/$E$30</f>
        <v/>
      </c>
      <c r="CD30" s="133" t="n"/>
      <c r="CE30" s="140">
        <f>CD30*100/$E$30</f>
        <v/>
      </c>
      <c r="CF30" s="133" t="n"/>
      <c r="CG30" s="140">
        <f>CF30*100/$E$30</f>
        <v/>
      </c>
      <c r="CH30" s="133" t="n"/>
      <c r="CI30" s="140">
        <f>CH30*100/$E$30</f>
        <v/>
      </c>
      <c r="CJ30" s="133" t="n"/>
      <c r="CK30" s="140">
        <f>CJ30*100/$E$30</f>
        <v/>
      </c>
      <c r="CL30" s="133" t="n"/>
      <c r="CM30" s="140">
        <f>CL30*100/$E$30</f>
        <v/>
      </c>
      <c r="CN30" s="133" t="n">
        <v>10</v>
      </c>
      <c r="CO30" s="139">
        <f>CN30*100/$E$30</f>
        <v/>
      </c>
      <c r="CP30" s="133" t="n"/>
      <c r="CQ30" s="140">
        <f>CP30*100/$E$30</f>
        <v/>
      </c>
      <c r="CR30" s="133" t="n"/>
      <c r="CS30" s="139">
        <f>CR30*100/$E$30</f>
        <v/>
      </c>
      <c r="CT30" s="133" t="n"/>
      <c r="CU30" s="139">
        <f>CT30*100/$E$30</f>
        <v/>
      </c>
      <c r="CV30" s="133" t="n"/>
      <c r="CW30" s="139">
        <f>CV30*100/$E$30</f>
        <v/>
      </c>
      <c r="CX30" s="133" t="n"/>
      <c r="CY30" s="139">
        <f>CX30*100/$E$30</f>
        <v/>
      </c>
      <c r="CZ30" s="133" t="n"/>
      <c r="DA30" s="139">
        <f>CZ30*100/$E$30</f>
        <v/>
      </c>
      <c r="DB30" s="133" t="n"/>
      <c r="DC30" s="139">
        <f>DB30*100/$E$30</f>
        <v/>
      </c>
      <c r="DD30" s="133" t="n">
        <v>12</v>
      </c>
      <c r="DE30" s="139">
        <f>DD30*100/$E$30</f>
        <v/>
      </c>
      <c r="DF30" s="133" t="n"/>
      <c r="DG30" s="139">
        <f>DF30*100/$E$30</f>
        <v/>
      </c>
      <c r="DH30" s="133" t="n"/>
      <c r="DI30" s="139">
        <f>DH30*100/$E$30</f>
        <v/>
      </c>
      <c r="DJ30" s="133" t="n">
        <v>4</v>
      </c>
      <c r="DK30" s="139">
        <f>DJ30*100/$E$30</f>
        <v/>
      </c>
      <c r="DL30" s="133" t="n"/>
      <c r="DM30" s="139">
        <f>DL30*100/$E$30</f>
        <v/>
      </c>
      <c r="DN30" s="133" t="n"/>
      <c r="DO30" s="139">
        <f>DN30*100/$E$30</f>
        <v/>
      </c>
      <c r="DP30" s="133" t="n"/>
      <c r="DQ30" s="139">
        <f>DP30*100/$E$30</f>
        <v/>
      </c>
      <c r="DR30" s="133" t="n"/>
      <c r="DS30" s="140">
        <f>DR30*100/$E$30</f>
        <v/>
      </c>
      <c r="DT30" s="133" t="n"/>
      <c r="DU30" s="139">
        <f>DT30*100/$E$30</f>
        <v/>
      </c>
      <c r="DV30" s="133" t="n">
        <v>4</v>
      </c>
      <c r="DW30" s="139">
        <f>DV30*100/$E$30</f>
        <v/>
      </c>
      <c r="DX30" s="133" t="n"/>
      <c r="DY30" s="139">
        <f>DX30*100/$E$30</f>
        <v/>
      </c>
      <c r="DZ30" s="133" t="n"/>
      <c r="EA30" s="139">
        <f>DZ30*100/$E$30</f>
        <v/>
      </c>
      <c r="EB30" s="133" t="n"/>
      <c r="EC30" s="139">
        <f>EB30*100/$E$30</f>
        <v/>
      </c>
      <c r="ED30" s="133" t="n"/>
      <c r="EE30" s="139">
        <f>ED30*100/$E$30</f>
        <v/>
      </c>
      <c r="EF30" s="133" t="n"/>
      <c r="EG30" s="139">
        <f>EF30*100/$E$30</f>
        <v/>
      </c>
      <c r="EH30" s="133" t="n"/>
      <c r="EI30" s="139">
        <f>EH30*100/$E$30</f>
        <v/>
      </c>
      <c r="EJ30" s="133" t="n"/>
      <c r="EK30" s="139">
        <f>EJ30*100/$E$30</f>
        <v/>
      </c>
      <c r="EL30" s="133" t="n"/>
      <c r="EM30" s="139">
        <f>EL30*100/$E$30</f>
        <v/>
      </c>
      <c r="EN30" s="133" t="n"/>
      <c r="EO30" s="139">
        <f>EN30*100/$E$30</f>
        <v/>
      </c>
      <c r="EP30" s="133" t="n"/>
      <c r="EQ30" s="139">
        <f>EP30*100/$E$30</f>
        <v/>
      </c>
      <c r="ER30" s="133" t="n"/>
      <c r="ES30" s="140">
        <f>ER30*100/$E$30</f>
        <v/>
      </c>
      <c r="ET30" s="133" t="n"/>
      <c r="EU30" s="140">
        <f>ET30*100/$E$30</f>
        <v/>
      </c>
      <c r="EV30" s="133" t="n"/>
      <c r="EW30" s="139">
        <f>EV30*100/$E$30</f>
        <v/>
      </c>
      <c r="EX30" s="133" t="n"/>
      <c r="EY30" s="139">
        <f>EX30*100/$E$30</f>
        <v/>
      </c>
      <c r="EZ30" s="133" t="n"/>
      <c r="FA30" s="139">
        <f>EZ30*100/$E$30</f>
        <v/>
      </c>
      <c r="FB30" s="133" t="n"/>
      <c r="FC30" s="139">
        <f>FB30*100/$E$30</f>
        <v/>
      </c>
      <c r="FD30" s="133" t="n"/>
      <c r="FE30" s="139">
        <f>FD30*100/$E$30</f>
        <v/>
      </c>
      <c r="FF30" s="133" t="n"/>
      <c r="FG30" s="139">
        <f>FF30*100/$E$30</f>
        <v/>
      </c>
      <c r="FH30" s="133" t="n"/>
      <c r="FI30" s="139">
        <f>FH30*100/$E$30</f>
        <v/>
      </c>
      <c r="FJ30" s="133" t="n"/>
      <c r="FK30" s="139">
        <f>FJ30*100/$E$30</f>
        <v/>
      </c>
      <c r="FL30" s="133" t="n"/>
      <c r="FM30" s="139">
        <f>FL30*100/$E$30</f>
        <v/>
      </c>
      <c r="FN30" s="133" t="n"/>
      <c r="FO30" s="139">
        <f>FN30*100/$E$30</f>
        <v/>
      </c>
      <c r="FP30" s="133" t="n"/>
      <c r="FQ30" s="139">
        <f>FP30*100/$E$30</f>
        <v/>
      </c>
      <c r="FR30" s="133" t="n"/>
      <c r="FS30" s="139">
        <f>FR30*100/$E$30</f>
        <v/>
      </c>
      <c r="FT30" s="133" t="n"/>
      <c r="FU30" s="139">
        <f>FT30*100/$E$30</f>
        <v/>
      </c>
      <c r="FV30" s="133" t="n"/>
      <c r="FW30" s="139">
        <f>FV30*100/$E$30</f>
        <v/>
      </c>
      <c r="FX30" s="133" t="n"/>
      <c r="FY30" s="139">
        <f>FX30*100/$E$30</f>
        <v/>
      </c>
      <c r="FZ30" s="133" t="n"/>
      <c r="GA30" s="139">
        <f>FZ30*100/$E$30</f>
        <v/>
      </c>
      <c r="GB30" s="133" t="n"/>
      <c r="GC30" s="140">
        <f>GB30*100/$E$30</f>
        <v/>
      </c>
      <c r="GD30" s="133" t="n"/>
      <c r="GE30" s="140">
        <f>GD30*100/$E$30</f>
        <v/>
      </c>
      <c r="GF30" s="133" t="n"/>
      <c r="GG30" s="140">
        <f>GF30*100/$E$30</f>
        <v/>
      </c>
      <c r="GH30" s="133" t="n"/>
      <c r="GI30" s="140">
        <f>GH30*100/$E$30</f>
        <v/>
      </c>
      <c r="GJ30" s="133" t="n"/>
      <c r="GK30" s="139">
        <f>GJ30*100/$E$30</f>
        <v/>
      </c>
      <c r="GL30" s="133" t="n"/>
      <c r="GM30" s="140">
        <f>GL30*100/$E$30</f>
        <v/>
      </c>
      <c r="GN30" s="133" t="n"/>
      <c r="GO30" s="139">
        <f>GN30*100/$E$30</f>
        <v/>
      </c>
      <c r="GP30" s="180" t="n"/>
      <c r="GQ30" s="139">
        <f>GP30*100/$E$30</f>
        <v/>
      </c>
      <c r="GR30" s="133" t="n"/>
      <c r="GS30" s="139">
        <f>GR30*100/$E$30</f>
        <v/>
      </c>
      <c r="GT30" s="133" t="n"/>
      <c r="GU30" s="139">
        <f>GT30*100/$E$30</f>
        <v/>
      </c>
      <c r="GV30" s="133" t="n"/>
      <c r="GW30" s="140">
        <f>GV30*100/$E$30</f>
        <v/>
      </c>
      <c r="GX30" s="133" t="n"/>
      <c r="GY30" s="140">
        <f>GX30*100/$E$30</f>
        <v/>
      </c>
      <c r="GZ30" s="133" t="n"/>
      <c r="HA30" s="139">
        <f>GZ30*100/$E$30</f>
        <v/>
      </c>
      <c r="HB30" s="133" t="n"/>
      <c r="HC30" s="139">
        <f>HB30*100/$E$30</f>
        <v/>
      </c>
      <c r="HD30" s="133" t="n"/>
      <c r="HE30" s="139">
        <f>HD30*100/$E$30</f>
        <v/>
      </c>
      <c r="HF30" s="133" t="n"/>
      <c r="HG30" s="139">
        <f>HF30*100/$E$30</f>
        <v/>
      </c>
      <c r="HH30" s="133" t="n"/>
      <c r="HI30" s="139">
        <f>HH30*100/$E$30</f>
        <v/>
      </c>
      <c r="HJ30" s="133" t="n"/>
      <c r="HK30" s="139">
        <f>HJ30*100/$E$30</f>
        <v/>
      </c>
      <c r="HL30" s="133" t="n"/>
      <c r="HM30" s="140">
        <f>HL30*100/$E$30</f>
        <v/>
      </c>
      <c r="HN30" s="133" t="n"/>
      <c r="HO30" s="140">
        <f>HN30*100/$E$30</f>
        <v/>
      </c>
      <c r="HP30" s="133" t="n"/>
      <c r="HQ30" s="140">
        <f>HP30*100/$E$30</f>
        <v/>
      </c>
      <c r="HR30" s="133" t="n"/>
      <c r="HS30" s="140">
        <f>HR30*100/$E$30</f>
        <v/>
      </c>
      <c r="HT30" s="133" t="n"/>
      <c r="HU30" s="140">
        <f>HT30*100/$E$30</f>
        <v/>
      </c>
      <c r="HV30" s="133" t="n"/>
      <c r="HW30" s="140">
        <f>HV30*100/$E$30</f>
        <v/>
      </c>
      <c r="HX30" s="133" t="n"/>
      <c r="HY30" s="139">
        <f>HX30*100/$E$30</f>
        <v/>
      </c>
      <c r="HZ30" s="133" t="n"/>
      <c r="IA30" s="139">
        <f>HZ30*100/$E$30</f>
        <v/>
      </c>
      <c r="IB30" s="133" t="n"/>
      <c r="IC30" s="139">
        <f>IB30*100/$E$30</f>
        <v/>
      </c>
      <c r="ID30" s="133" t="n"/>
      <c r="IE30" s="139">
        <f>ID30*100/$E$30</f>
        <v/>
      </c>
      <c r="IF30" s="133" t="n"/>
      <c r="IG30" s="139">
        <f>IF30*100/$E$30</f>
        <v/>
      </c>
      <c r="IH30" s="133" t="n"/>
      <c r="II30" s="139">
        <f>IH30*100/$E$30</f>
        <v/>
      </c>
      <c r="IJ30" s="133" t="n"/>
      <c r="IK30" s="139">
        <f>IJ30*100/$E$30</f>
        <v/>
      </c>
      <c r="IL30" s="133" t="n"/>
      <c r="IM30" s="139">
        <f>IL30*100/$E$30</f>
        <v/>
      </c>
      <c r="IN30" s="133" t="n"/>
      <c r="IO30" s="139">
        <f>IN30*100/$E$30</f>
        <v/>
      </c>
      <c r="IP30" s="133" t="n"/>
      <c r="IQ30" s="139">
        <f>IP30*100/$E$30</f>
        <v/>
      </c>
      <c r="IR30" s="133" t="n"/>
      <c r="IS30" s="139">
        <f>IR30*100/$E$30</f>
        <v/>
      </c>
      <c r="IT30" s="133" t="n"/>
      <c r="IU30" s="139">
        <f>IT30*100/$E$30</f>
        <v/>
      </c>
      <c r="IV30" s="133" t="n"/>
      <c r="IW30" s="139">
        <f>IV30*100/$E$30</f>
        <v/>
      </c>
      <c r="IX30" s="133" t="n"/>
      <c r="IY30" s="139">
        <f>IX30*100/$E$30</f>
        <v/>
      </c>
      <c r="IZ30" s="133" t="n"/>
      <c r="JA30" s="139">
        <f>IZ30*100/$E$30</f>
        <v/>
      </c>
      <c r="JB30" s="133" t="n"/>
      <c r="JC30" s="139">
        <f>JB30*100/$E$30</f>
        <v/>
      </c>
      <c r="JD30" s="133" t="n"/>
      <c r="JE30" s="139">
        <f>JD30*100/$E$30</f>
        <v/>
      </c>
      <c r="JF30" s="133" t="n"/>
      <c r="JG30" s="140">
        <f>JF30*100/$E$30</f>
        <v/>
      </c>
      <c r="JH30" s="133">
        <f>8+10</f>
        <v/>
      </c>
      <c r="JI30" s="139">
        <f>JH30*100/$E$30</f>
        <v/>
      </c>
      <c r="JJ30" s="180" t="n"/>
      <c r="JK30" s="139">
        <f>JJ30*100/$E$30</f>
        <v/>
      </c>
      <c r="JL30" s="133">
        <f>4+4</f>
        <v/>
      </c>
      <c r="JM30" s="139">
        <f>JL30*100/$E$30</f>
        <v/>
      </c>
      <c r="JN30" s="133" t="n"/>
      <c r="JO30" s="139">
        <f>JN30*100/$E$30</f>
        <v/>
      </c>
      <c r="JP30" s="133" t="n"/>
      <c r="JQ30" s="139">
        <f>JP30*100/$E$30</f>
        <v/>
      </c>
      <c r="JR30" s="133" t="n"/>
      <c r="JS30" s="139">
        <f>JR30*100/$E$30</f>
        <v/>
      </c>
      <c r="JT30" s="133" t="n"/>
      <c r="JU30" s="139">
        <f>JT30*100/$E$30</f>
        <v/>
      </c>
      <c r="JV30" s="133" t="n"/>
      <c r="JW30" s="139">
        <f>JV30*100/$E$30</f>
        <v/>
      </c>
      <c r="JX30" s="133" t="n"/>
      <c r="JY30" s="139">
        <f>JX30*100/$E$30</f>
        <v/>
      </c>
      <c r="JZ30" s="183">
        <f>JN30+JP30+JR30+JT30+JV30+JX30</f>
        <v/>
      </c>
      <c r="KA30" s="184">
        <f>JO30+JQ30+JS30+JU30+JW30+JY30</f>
        <v/>
      </c>
      <c r="KB30" s="185">
        <f>H30+J30+L30+N30+P30+R30+T30+V30+X30+Z30+AB30+AD30+AF30+AH30+AJ30+AL30+AN30+AP30+AR30+AT30+AV30+AX30+AZ30+BB30+BD30+BF30+BH30+BJ30+BL30+BN30+BP30+BR30+BT30+BV30+BX30+BZ30+CB30+CD30+CF30+CH30+CZ30+DB30+DD30+DF30+DH30+DJ30+DL30+DN30+DP30+DR30+DT30+DV30+DX30+DZ30+EB30+ED30+EF30+EH30+EJ30+EL30+EN30+EP30+ER30+ET30+EV30+FN30+FP30+FR30+FT30+FV30+FX30+FZ30+GB30+GD30+GF30+GH30+GJ30+GL30+GN30+GP30+GR30+GT30+GV30+GX30+GZ30+HB30+HD30+HF30+HH30+HJ30+HL30+HN30+HP30+HR30+HT30+HV30+HX30+HZ30+IB30+ID30+IF30+IH30+IJ30+IL30+IN30+IP30+IR30+IT30+IV30+IX30+IZ30+JB30+JD30+JF30+JH30+JJ30+JL30+JZ30+CJ30+CL30+CN30+CP30+CR30+CT30+CV30+CX30+EX30+EZ30+FB30+FD30+FF30+FH30+FJ30+FL30</f>
        <v/>
      </c>
      <c r="KC30" s="186">
        <f>I30+K30+M30+O30+Q30+S30+U30+W30+Y30+AA30+AC30+AE30+AG30+AI30+AK30+AM30+AO30+AQ30+AS30+AU30+AW30+AY30+BA30+BC30+BE30+BG30+BI30+BK30+BM30+BO30+BQ30+BS30+BU30+BW30+BY30+CA30+CC30+CE30+CG30+CI30+DA30+DC30+DE30+DG30+DI30+DK30+DM30+DO30+DQ30+DS30+DU30+DW30+DY30+EA30+EC30+EE30+EG30+EI30+EK30+EM30+EO30+EQ30+ES30+EU30+EW30+FO30+FS30+FU30+FW30+FQ30+FY30+GA30+GC30+GE30+GG30+GI30+GK30+GM30+GO30+GQ30+GS30+GU30+GW30+GY30+HA30+HC30+HE30+HG30+HI30+HK30+HM30+HO30+HQ30+HS30+HU30+HW30+HY30+IA30+IC30+IE30+IG30+II30+IK30+IM30+IO30+IQ30+IS30+IU30+IW30+IY30+JA30+JC30+JE30+JG30+JI30+JK30+JM30+KA30+CK30+CM30+CO30+CQ30+CS30+CU30+CW30+CY30+EY30+FA30+FC30+FE30+FG30+FI30+FK30+FM30</f>
        <v/>
      </c>
      <c r="KD30" s="187">
        <f>JO30+JQ30+JS30+JU30+JW30+JY30</f>
        <v/>
      </c>
      <c r="KE30" s="188">
        <f>KB30=E30</f>
        <v/>
      </c>
      <c r="KF30" s="189">
        <f>E30-KB30</f>
        <v/>
      </c>
      <c r="KG30" s="209" t="n"/>
    </row>
    <row r="31" ht="21.75" customFormat="1" customHeight="1" s="209">
      <c r="A31" s="126">
        <f>A30+1</f>
        <v/>
      </c>
      <c r="B31" s="175" t="inlineStr">
        <is>
          <t>Михеев В.О.</t>
        </is>
      </c>
      <c r="C31" s="194" t="inlineStr">
        <is>
          <t>электрогазосварщик</t>
        </is>
      </c>
      <c r="D31" s="177">
        <f>$D$5</f>
        <v/>
      </c>
      <c r="E31" s="202" t="n">
        <v>56</v>
      </c>
      <c r="F31" s="193" t="n">
        <v>80460.89999999999</v>
      </c>
      <c r="G31" s="179">
        <f>F31/D31</f>
        <v/>
      </c>
      <c r="H31" s="180" t="n"/>
      <c r="I31" s="140">
        <f>H31*100/$E$31</f>
        <v/>
      </c>
      <c r="J31" s="133" t="n"/>
      <c r="K31" s="140">
        <f>J31*100/$E$31</f>
        <v/>
      </c>
      <c r="L31" s="133" t="n"/>
      <c r="M31" s="140">
        <f>L31*100/$E$31</f>
        <v/>
      </c>
      <c r="N31" s="133" t="n"/>
      <c r="O31" s="140">
        <f>N31*100/$E$31</f>
        <v/>
      </c>
      <c r="P31" s="133" t="n"/>
      <c r="Q31" s="139">
        <f>P31*100/$E$31</f>
        <v/>
      </c>
      <c r="R31" s="133" t="n"/>
      <c r="S31" s="139">
        <f>R31*100/$E$31</f>
        <v/>
      </c>
      <c r="T31" s="133" t="n"/>
      <c r="U31" s="140">
        <f>T31*100/$E$31</f>
        <v/>
      </c>
      <c r="V31" s="133" t="n"/>
      <c r="W31" s="140">
        <f>V31*100/$E$31</f>
        <v/>
      </c>
      <c r="X31" s="133" t="n"/>
      <c r="Y31" s="140">
        <f>X31*100/$E$31</f>
        <v/>
      </c>
      <c r="Z31" s="133" t="n"/>
      <c r="AA31" s="140">
        <f>Z31*100/$E$31</f>
        <v/>
      </c>
      <c r="AB31" s="133" t="n"/>
      <c r="AC31" s="140">
        <f>AB31*100/$E$31</f>
        <v/>
      </c>
      <c r="AD31" s="133" t="n"/>
      <c r="AE31" s="139">
        <f>AD31*100/$E$31</f>
        <v/>
      </c>
      <c r="AF31" s="133" t="n"/>
      <c r="AG31" s="139">
        <f>AF31*100/$E$31</f>
        <v/>
      </c>
      <c r="AH31" s="133" t="n"/>
      <c r="AI31" s="140">
        <f>AH31*100/$E$31</f>
        <v/>
      </c>
      <c r="AJ31" s="133" t="n"/>
      <c r="AK31" s="140">
        <f>AJ31*100/$E$31</f>
        <v/>
      </c>
      <c r="AL31" s="133" t="n"/>
      <c r="AM31" s="140">
        <f>AL31*100/$E$31</f>
        <v/>
      </c>
      <c r="AN31" s="133" t="n"/>
      <c r="AO31" s="140">
        <f>AN31*100/$E$31</f>
        <v/>
      </c>
      <c r="AP31" s="133" t="n"/>
      <c r="AQ31" s="140">
        <f>AP31*100/$E$31</f>
        <v/>
      </c>
      <c r="AR31" s="133" t="n"/>
      <c r="AS31" s="140">
        <f>AR31*100/$E$31</f>
        <v/>
      </c>
      <c r="AT31" s="133" t="n"/>
      <c r="AU31" s="181">
        <f>AT31*100/$E$31</f>
        <v/>
      </c>
      <c r="AV31" s="133" t="n"/>
      <c r="AW31" s="140">
        <f>AV31*100/$E$31</f>
        <v/>
      </c>
      <c r="AX31" s="133" t="n"/>
      <c r="AY31" s="140">
        <f>AX31*100/$E$31</f>
        <v/>
      </c>
      <c r="AZ31" s="133" t="n"/>
      <c r="BA31" s="140">
        <f>AZ31*100/$E$31</f>
        <v/>
      </c>
      <c r="BB31" s="133" t="n"/>
      <c r="BC31" s="140">
        <f>BB31*100/$E$31</f>
        <v/>
      </c>
      <c r="BD31" s="133" t="n"/>
      <c r="BE31" s="140">
        <f>BD31*100/$E$31</f>
        <v/>
      </c>
      <c r="BF31" s="133" t="n"/>
      <c r="BG31" s="140">
        <f>BF31*100/$E$31</f>
        <v/>
      </c>
      <c r="BH31" s="133" t="n"/>
      <c r="BI31" s="140">
        <f>BH31*100/$E$31</f>
        <v/>
      </c>
      <c r="BJ31" s="133" t="n"/>
      <c r="BK31" s="140">
        <f>BJ31*100/$E$31</f>
        <v/>
      </c>
      <c r="BL31" s="133" t="n"/>
      <c r="BM31" s="140">
        <f>BL31*100/$E$31</f>
        <v/>
      </c>
      <c r="BN31" s="133" t="n"/>
      <c r="BO31" s="140">
        <f>BN31*100/$E$31</f>
        <v/>
      </c>
      <c r="BP31" s="133" t="n"/>
      <c r="BQ31" s="140">
        <f>BP31*100/$E$31</f>
        <v/>
      </c>
      <c r="BR31" s="133" t="n"/>
      <c r="BS31" s="140">
        <f>BR31*100/$E$31</f>
        <v/>
      </c>
      <c r="BT31" s="133" t="n"/>
      <c r="BU31" s="140">
        <f>BT31*100/$E$31</f>
        <v/>
      </c>
      <c r="BV31" s="133" t="n"/>
      <c r="BW31" s="140">
        <f>BV31*100/$E$31</f>
        <v/>
      </c>
      <c r="BX31" s="133" t="n"/>
      <c r="BY31" s="140">
        <f>BX31*100/$E$31</f>
        <v/>
      </c>
      <c r="BZ31" s="133" t="n"/>
      <c r="CA31" s="140">
        <f>BZ31*100/$E$31</f>
        <v/>
      </c>
      <c r="CB31" s="133" t="n"/>
      <c r="CC31" s="140">
        <f>CB31*100/$E$31</f>
        <v/>
      </c>
      <c r="CD31" s="133" t="n"/>
      <c r="CE31" s="140">
        <f>CD31*100/$E$31</f>
        <v/>
      </c>
      <c r="CF31" s="133" t="n"/>
      <c r="CG31" s="140">
        <f>CF31*100/$E$31</f>
        <v/>
      </c>
      <c r="CH31" s="133" t="n"/>
      <c r="CI31" s="140">
        <f>CH31*100/$E$31</f>
        <v/>
      </c>
      <c r="CJ31" s="133" t="n"/>
      <c r="CK31" s="140">
        <f>CJ31*100/$E$31</f>
        <v/>
      </c>
      <c r="CL31" s="133" t="n"/>
      <c r="CM31" s="140">
        <f>CL31*100/$E$31</f>
        <v/>
      </c>
      <c r="CN31" s="133" t="n"/>
      <c r="CO31" s="139">
        <f>CN31*100/$E$31</f>
        <v/>
      </c>
      <c r="CP31" s="133" t="n"/>
      <c r="CQ31" s="140">
        <f>CP31*100/$E$31</f>
        <v/>
      </c>
      <c r="CR31" s="133" t="n"/>
      <c r="CS31" s="139">
        <f>CR31*100/$E$31</f>
        <v/>
      </c>
      <c r="CT31" s="133" t="n"/>
      <c r="CU31" s="139">
        <f>CT31*100/$E$31</f>
        <v/>
      </c>
      <c r="CV31" s="133" t="n"/>
      <c r="CW31" s="139">
        <f>CV31*100/$E$31</f>
        <v/>
      </c>
      <c r="CX31" s="133" t="n"/>
      <c r="CY31" s="139">
        <f>CX31*100/$E$31</f>
        <v/>
      </c>
      <c r="CZ31" s="133" t="n"/>
      <c r="DA31" s="139">
        <f>CZ31*100/$E$31</f>
        <v/>
      </c>
      <c r="DB31" s="133" t="n"/>
      <c r="DC31" s="139">
        <f>DB31*100/$E$31</f>
        <v/>
      </c>
      <c r="DD31" s="133" t="n"/>
      <c r="DE31" s="139">
        <f>DD31*100/$E$31</f>
        <v/>
      </c>
      <c r="DF31" s="133" t="n"/>
      <c r="DG31" s="139">
        <f>DF31*100/$E$31</f>
        <v/>
      </c>
      <c r="DH31" s="133" t="n"/>
      <c r="DI31" s="139">
        <f>DH31*100/$E$31</f>
        <v/>
      </c>
      <c r="DJ31" s="133" t="n"/>
      <c r="DK31" s="139">
        <f>DJ31*100/$E$31</f>
        <v/>
      </c>
      <c r="DL31" s="133" t="n"/>
      <c r="DM31" s="139">
        <f>DL31*100/$E$31</f>
        <v/>
      </c>
      <c r="DN31" s="133" t="n"/>
      <c r="DO31" s="139">
        <f>DN31*100/$E$31</f>
        <v/>
      </c>
      <c r="DP31" s="133" t="n"/>
      <c r="DQ31" s="139">
        <f>DP31*100/$E$31</f>
        <v/>
      </c>
      <c r="DR31" s="133" t="n"/>
      <c r="DS31" s="139">
        <f>DR31*100/$E$31</f>
        <v/>
      </c>
      <c r="DT31" s="133" t="n"/>
      <c r="DU31" s="139">
        <f>DT31*100/$E$31</f>
        <v/>
      </c>
      <c r="DV31" s="133" t="n"/>
      <c r="DW31" s="139">
        <f>DV31*100/$E$31</f>
        <v/>
      </c>
      <c r="DX31" s="133" t="n"/>
      <c r="DY31" s="139">
        <f>DX31*100/$E$31</f>
        <v/>
      </c>
      <c r="DZ31" s="133" t="n"/>
      <c r="EA31" s="139">
        <f>DZ31*100/$E$31</f>
        <v/>
      </c>
      <c r="EB31" s="133" t="n"/>
      <c r="EC31" s="139">
        <f>EB31*100/$E$31</f>
        <v/>
      </c>
      <c r="ED31" s="133" t="n"/>
      <c r="EE31" s="139">
        <f>ED31*100/$E$31</f>
        <v/>
      </c>
      <c r="EF31" s="133" t="n"/>
      <c r="EG31" s="139">
        <f>EF31*100/$E$31</f>
        <v/>
      </c>
      <c r="EH31" s="133" t="n"/>
      <c r="EI31" s="139">
        <f>EH31*100/$E$31</f>
        <v/>
      </c>
      <c r="EJ31" s="133" t="n"/>
      <c r="EK31" s="139">
        <f>EJ31*100/$E$31</f>
        <v/>
      </c>
      <c r="EL31" s="133" t="n"/>
      <c r="EM31" s="139">
        <f>EL31*100/$E$31</f>
        <v/>
      </c>
      <c r="EN31" s="133" t="n"/>
      <c r="EO31" s="139">
        <f>EN31*100/$E$31</f>
        <v/>
      </c>
      <c r="EP31" s="133" t="n"/>
      <c r="EQ31" s="139">
        <f>EP31*100/$E$31</f>
        <v/>
      </c>
      <c r="ER31" s="133" t="n"/>
      <c r="ES31" s="139">
        <f>ER31*100/$E$31</f>
        <v/>
      </c>
      <c r="ET31" s="133" t="n"/>
      <c r="EU31" s="139">
        <f>ET31*100/$E$31</f>
        <v/>
      </c>
      <c r="EV31" s="133" t="n"/>
      <c r="EW31" s="139">
        <f>EV31*100/$E$31</f>
        <v/>
      </c>
      <c r="EX31" s="133" t="n"/>
      <c r="EY31" s="139">
        <f>EX31*100/$E$31</f>
        <v/>
      </c>
      <c r="EZ31" s="133" t="n"/>
      <c r="FA31" s="139">
        <f>EZ31*100/$E$31</f>
        <v/>
      </c>
      <c r="FB31" s="133" t="n"/>
      <c r="FC31" s="139">
        <f>FB31*100/$E$31</f>
        <v/>
      </c>
      <c r="FD31" s="133" t="n"/>
      <c r="FE31" s="139">
        <f>FD31*100/$E$31</f>
        <v/>
      </c>
      <c r="FF31" s="133" t="n"/>
      <c r="FG31" s="139">
        <f>FF31*100/$E$31</f>
        <v/>
      </c>
      <c r="FH31" s="133" t="n"/>
      <c r="FI31" s="139">
        <f>FH31*100/$E$31</f>
        <v/>
      </c>
      <c r="FJ31" s="133" t="n"/>
      <c r="FK31" s="139">
        <f>FJ31*100/$E$31</f>
        <v/>
      </c>
      <c r="FL31" s="133" t="n"/>
      <c r="FM31" s="139">
        <f>FL31*100/$E$31</f>
        <v/>
      </c>
      <c r="FN31" s="133" t="n"/>
      <c r="FO31" s="139">
        <f>FN31*100/$E$31</f>
        <v/>
      </c>
      <c r="FP31" s="133" t="n"/>
      <c r="FQ31" s="139">
        <f>FP31*100/$E$31</f>
        <v/>
      </c>
      <c r="FR31" s="133" t="n"/>
      <c r="FS31" s="139">
        <f>FR31*100/$E$31</f>
        <v/>
      </c>
      <c r="FT31" s="133" t="n"/>
      <c r="FU31" s="139">
        <f>FT31*100/$E$31</f>
        <v/>
      </c>
      <c r="FV31" s="133" t="n"/>
      <c r="FW31" s="139">
        <f>FV31*100/$E$31</f>
        <v/>
      </c>
      <c r="FX31" s="133" t="n"/>
      <c r="FY31" s="140">
        <f>FX31*100/$E$31</f>
        <v/>
      </c>
      <c r="FZ31" s="133" t="n"/>
      <c r="GA31" s="140">
        <f>FZ31*100/$E$31</f>
        <v/>
      </c>
      <c r="GB31" s="133" t="n"/>
      <c r="GC31" s="140">
        <f>GB31*100/$E$31</f>
        <v/>
      </c>
      <c r="GD31" s="133" t="n"/>
      <c r="GE31" s="140">
        <f>GD31*100/$E$31</f>
        <v/>
      </c>
      <c r="GF31" s="133" t="n"/>
      <c r="GG31" s="140">
        <f>GF31*100/$E$31</f>
        <v/>
      </c>
      <c r="GH31" s="133" t="n"/>
      <c r="GI31" s="140">
        <f>GH31*100/$E$31</f>
        <v/>
      </c>
      <c r="GJ31" s="133" t="n"/>
      <c r="GK31" s="139">
        <f>GJ31*100/$E$31</f>
        <v/>
      </c>
      <c r="GL31" s="133" t="n"/>
      <c r="GM31" s="140">
        <f>GL31*100/$E$31</f>
        <v/>
      </c>
      <c r="GN31" s="133" t="n"/>
      <c r="GO31" s="139">
        <f>GN31*100/$E$31</f>
        <v/>
      </c>
      <c r="GP31" s="133" t="n"/>
      <c r="GQ31" s="140">
        <f>GP31*100/$E$31</f>
        <v/>
      </c>
      <c r="GR31" s="133" t="n"/>
      <c r="GS31" s="139">
        <f>GR31*100/$E$31</f>
        <v/>
      </c>
      <c r="GT31" s="133" t="n"/>
      <c r="GU31" s="139">
        <f>GT31*100/$E$31</f>
        <v/>
      </c>
      <c r="GV31" s="133" t="n"/>
      <c r="GW31" s="139">
        <f>GV31*100/$E$31</f>
        <v/>
      </c>
      <c r="GX31" s="133" t="n"/>
      <c r="GY31" s="140">
        <f>GX31*100/$E$31</f>
        <v/>
      </c>
      <c r="GZ31" s="133" t="n"/>
      <c r="HA31" s="140">
        <f>GZ31*100/$E$31</f>
        <v/>
      </c>
      <c r="HB31" s="133" t="n"/>
      <c r="HC31" s="140">
        <f>HB31*100/$E$31</f>
        <v/>
      </c>
      <c r="HD31" s="133" t="n"/>
      <c r="HE31" s="140">
        <f>HD31*100/$E$31</f>
        <v/>
      </c>
      <c r="HF31" s="133" t="n"/>
      <c r="HG31" s="140">
        <f>HF31*100/$E$31</f>
        <v/>
      </c>
      <c r="HH31" s="133" t="n"/>
      <c r="HI31" s="140">
        <f>HH31*100/$E$31</f>
        <v/>
      </c>
      <c r="HJ31" s="133" t="n"/>
      <c r="HK31" s="140">
        <f>HJ31*100/$E$31</f>
        <v/>
      </c>
      <c r="HL31" s="133" t="n"/>
      <c r="HM31" s="140">
        <f>HL31*100/$E$31</f>
        <v/>
      </c>
      <c r="HN31" s="133" t="n"/>
      <c r="HO31" s="140">
        <f>HN31*100/$E$31</f>
        <v/>
      </c>
      <c r="HP31" s="133" t="n"/>
      <c r="HQ31" s="140">
        <f>HP31*100/$E$31</f>
        <v/>
      </c>
      <c r="HR31" s="133" t="n"/>
      <c r="HS31" s="140">
        <f>HR31*100/$E$31</f>
        <v/>
      </c>
      <c r="HT31" s="133" t="n"/>
      <c r="HU31" s="140">
        <f>HT31*100/$E$31</f>
        <v/>
      </c>
      <c r="HV31" s="133" t="n"/>
      <c r="HW31" s="140">
        <f>HV31*100/$E$31</f>
        <v/>
      </c>
      <c r="HX31" s="133" t="n"/>
      <c r="HY31" s="140">
        <f>HX31*100/$E$31</f>
        <v/>
      </c>
      <c r="HZ31" s="133" t="n"/>
      <c r="IA31" s="139">
        <f>HZ31*100/$E$31</f>
        <v/>
      </c>
      <c r="IB31" s="133" t="n"/>
      <c r="IC31" s="139">
        <f>IB31*100/$E$31</f>
        <v/>
      </c>
      <c r="ID31" s="133" t="n"/>
      <c r="IE31" s="139">
        <f>ID31*100/$E$31</f>
        <v/>
      </c>
      <c r="IF31" s="133" t="n"/>
      <c r="IG31" s="139">
        <f>IF31*100/$E$31</f>
        <v/>
      </c>
      <c r="IH31" s="133" t="n"/>
      <c r="II31" s="139">
        <f>IH31*100/$E$31</f>
        <v/>
      </c>
      <c r="IJ31" s="133" t="n"/>
      <c r="IK31" s="139">
        <f>IJ31*100/$E$31</f>
        <v/>
      </c>
      <c r="IL31" s="133" t="n"/>
      <c r="IM31" s="140">
        <f>IL31*100/$E$31</f>
        <v/>
      </c>
      <c r="IN31" s="133" t="n"/>
      <c r="IO31" s="140">
        <f>IN31*100/$E$31</f>
        <v/>
      </c>
      <c r="IP31" s="133" t="n"/>
      <c r="IQ31" s="139">
        <f>IP31*100/$E$31</f>
        <v/>
      </c>
      <c r="IR31" s="133" t="n"/>
      <c r="IS31" s="139">
        <f>IR31*100/$E$31</f>
        <v/>
      </c>
      <c r="IT31" s="133" t="n"/>
      <c r="IU31" s="139">
        <f>IT31*100/$E$31</f>
        <v/>
      </c>
      <c r="IV31" s="133" t="n"/>
      <c r="IW31" s="139">
        <f>IV31*100/$E$31</f>
        <v/>
      </c>
      <c r="IX31" s="133" t="n"/>
      <c r="IY31" s="139">
        <f>IX31*100/$E$31</f>
        <v/>
      </c>
      <c r="IZ31" s="133" t="n"/>
      <c r="JA31" s="139">
        <f>IZ31*100/$E$31</f>
        <v/>
      </c>
      <c r="JB31" s="133" t="n"/>
      <c r="JC31" s="139">
        <f>JB31*100/$E$31</f>
        <v/>
      </c>
      <c r="JD31" s="133" t="n"/>
      <c r="JE31" s="139">
        <f>JD31*100/$E$31</f>
        <v/>
      </c>
      <c r="JF31" s="133" t="n"/>
      <c r="JG31" s="139">
        <f>JF31*100/$E$31</f>
        <v/>
      </c>
      <c r="JH31" s="133" t="n"/>
      <c r="JI31" s="139">
        <f>JH31*100/$E$31</f>
        <v/>
      </c>
      <c r="JJ31" s="133" t="n"/>
      <c r="JK31" s="139">
        <f>JJ31*100/$E$31</f>
        <v/>
      </c>
      <c r="JL31" s="133" t="n">
        <v>4</v>
      </c>
      <c r="JM31" s="139">
        <f>JL31*100/$E$31</f>
        <v/>
      </c>
      <c r="JN31" s="133">
        <f>48+4</f>
        <v/>
      </c>
      <c r="JO31" s="139">
        <f>JN31*100/$E$31</f>
        <v/>
      </c>
      <c r="JP31" s="133" t="n"/>
      <c r="JQ31" s="139">
        <f>JP31*100/$E$31</f>
        <v/>
      </c>
      <c r="JR31" s="133" t="n"/>
      <c r="JS31" s="139">
        <f>JR31*100/$E$31</f>
        <v/>
      </c>
      <c r="JT31" s="133" t="n"/>
      <c r="JU31" s="182">
        <f>JT31*100/$E$31</f>
        <v/>
      </c>
      <c r="JV31" s="133" t="n"/>
      <c r="JW31" s="182">
        <f>JV31*100/$E$31</f>
        <v/>
      </c>
      <c r="JX31" s="133" t="n"/>
      <c r="JY31" s="182">
        <f>JX31*100/$E$31</f>
        <v/>
      </c>
      <c r="JZ31" s="183">
        <f>JN31+JP31+JR31+JT31+JV31+JX31</f>
        <v/>
      </c>
      <c r="KA31" s="184">
        <f>JO31+JQ31+JS31+JU31+JW31+JY31</f>
        <v/>
      </c>
      <c r="KB31" s="185">
        <f>H31+J31+L31+N31+P31+R31+T31+V31+X31+Z31+AB31+AD31+AF31+AH31+AJ31+AL31+AN31+AP31+AR31+AT31+AV31+AX31+AZ31+BB31+BD31+BF31+BH31+BJ31+BL31+BN31+BP31+BR31+BT31+BV31+BX31+BZ31+CB31+CD31+CF31+CH31+CZ31+DB31+DD31+DF31+DH31+DJ31+DL31+DN31+DP31+DR31+DT31+DV31+DX31+DZ31+EB31+ED31+EF31+EH31+EJ31+EL31+EN31+EP31+ER31+ET31+EV31+FN31+FP31+FR31+FT31+FV31+FX31+FZ31+GB31+GD31+GF31+GH31+GJ31+GL31+GN31+GP31+GR31+GT31+GV31+GX31+GZ31+HB31+HD31+HF31+HH31+HJ31+HL31+HN31+HP31+HR31+HT31+HV31+HX31+HZ31+IB31+ID31+IF31+IH31+IJ31+IL31+IN31+IP31+IR31+IT31+IV31+IX31+IZ31+JB31+JD31+JF31+JH31+JJ31+JL31+JZ31+CJ31+CL31+CN31+CP31+CR31+CT31+CV31+CX31+EX31+EZ31+FB31+FD31+FF31+FH31+FJ31+FL31</f>
        <v/>
      </c>
      <c r="KC31" s="186">
        <f>I31+K31+M31+O31+Q31+S31+U31+W31+Y31+AA31+AC31+AE31+AG31+AI31+AK31+AM31+AO31+AQ31+AS31+AU31+AW31+AY31+BA31+BC31+BE31+BG31+BI31+BK31+BM31+BO31+BQ31+BS31+BU31+BW31+BY31+CA31+CC31+CE31+CG31+CI31+DA31+DC31+DE31+DG31+DI31+DK31+DM31+DO31+DQ31+DS31+DU31+DW31+DY31+EA31+EC31+EE31+EG31+EI31+EK31+EM31+EO31+EQ31+ES31+EU31+EW31+FO31+FS31+FU31+FW31+FQ31+FY31+GA31+GC31+GE31+GG31+GI31+GK31+GM31+GO31+GQ31+GS31+GU31+GW31+GY31+HA31+HC31+HE31+HG31+HI31+HK31+HM31+HO31+HQ31+HS31+HU31+HW31+HY31+IA31+IC31+IE31+IG31+II31+IK31+IM31+IO31+IQ31+IS31+IU31+IW31+IY31+JA31+JC31+JE31+JG31+JI31+JK31+JM31+KA31+CK31+CM31+CO31+CQ31+CS31+CU31+CW31+CY31+EY31+FA31+FC31+FE31+FG31+FI31+FK31+FM31</f>
        <v/>
      </c>
      <c r="KD31" s="187">
        <f>JO31+JQ31+JS31+JU31+JW31+JY31</f>
        <v/>
      </c>
      <c r="KE31" s="188">
        <f>KB31=E31</f>
        <v/>
      </c>
      <c r="KF31" s="189">
        <f>E31-KB31</f>
        <v/>
      </c>
      <c r="KG31" s="210" t="n"/>
    </row>
    <row r="32" ht="21.75" customFormat="1" customHeight="1" s="210">
      <c r="A32" s="126">
        <f>A31+1</f>
        <v/>
      </c>
      <c r="B32" s="201" t="inlineStr">
        <is>
          <t>Неверов Г.А.</t>
        </is>
      </c>
      <c r="C32" s="194" t="inlineStr">
        <is>
          <t>слесарь</t>
        </is>
      </c>
      <c r="D32" s="177">
        <f>$D$5</f>
        <v/>
      </c>
      <c r="E32" s="202" t="n">
        <v>159</v>
      </c>
      <c r="F32" s="193" t="n">
        <v>75793.14999999999</v>
      </c>
      <c r="G32" s="179">
        <f>F32/D32</f>
        <v/>
      </c>
      <c r="H32" s="180">
        <f>8+8+4</f>
        <v/>
      </c>
      <c r="I32" s="140">
        <f>H32*100/$E$32</f>
        <v/>
      </c>
      <c r="J32" s="133" t="n"/>
      <c r="K32" s="140">
        <f>J32*100/$E$32</f>
        <v/>
      </c>
      <c r="L32" s="133" t="n"/>
      <c r="M32" s="140">
        <f>L32*100/$E$32</f>
        <v/>
      </c>
      <c r="N32" s="133" t="n"/>
      <c r="O32" s="140">
        <f>N32*100/$E$32</f>
        <v/>
      </c>
      <c r="P32" s="133" t="n"/>
      <c r="Q32" s="139">
        <f>P32*100/$E$32</f>
        <v/>
      </c>
      <c r="R32" s="133" t="n"/>
      <c r="S32" s="139">
        <f>R32*100/$E$32</f>
        <v/>
      </c>
      <c r="T32" s="133" t="n"/>
      <c r="U32" s="140">
        <f>T32*100/$E$32</f>
        <v/>
      </c>
      <c r="V32" s="133" t="n"/>
      <c r="W32" s="140">
        <f>V32*100/$E$32</f>
        <v/>
      </c>
      <c r="X32" s="133" t="n"/>
      <c r="Y32" s="140">
        <f>X32*100/$E$32</f>
        <v/>
      </c>
      <c r="Z32" s="133" t="n"/>
      <c r="AA32" s="140">
        <f>Z32*100/$E$32</f>
        <v/>
      </c>
      <c r="AB32" s="133">
        <f>4+1</f>
        <v/>
      </c>
      <c r="AC32" s="140">
        <f>AB32*100/$E$32</f>
        <v/>
      </c>
      <c r="AD32" s="133">
        <f>5+4+2</f>
        <v/>
      </c>
      <c r="AE32" s="139">
        <f>AD32*100/$E$32</f>
        <v/>
      </c>
      <c r="AF32" s="133" t="n"/>
      <c r="AG32" s="139">
        <f>AF32*100/$E$32</f>
        <v/>
      </c>
      <c r="AH32" s="133" t="n">
        <v>1</v>
      </c>
      <c r="AI32" s="140">
        <f>AH32*100/$E$32</f>
        <v/>
      </c>
      <c r="AJ32" s="133" t="n">
        <v>4</v>
      </c>
      <c r="AK32" s="140">
        <f>AJ32*100/$E$32</f>
        <v/>
      </c>
      <c r="AL32" s="133">
        <f>2+4+5</f>
        <v/>
      </c>
      <c r="AM32" s="140">
        <f>AL32*100/$E$32</f>
        <v/>
      </c>
      <c r="AN32" s="133" t="n"/>
      <c r="AO32" s="140">
        <f>AN32*100/$E$32</f>
        <v/>
      </c>
      <c r="AP32" s="133" t="n"/>
      <c r="AQ32" s="140">
        <f>AP32*100/$E$32</f>
        <v/>
      </c>
      <c r="AR32" s="133" t="n">
        <v>3</v>
      </c>
      <c r="AS32" s="140">
        <f>AR32*100/$E$32</f>
        <v/>
      </c>
      <c r="AT32" s="133" t="n"/>
      <c r="AU32" s="181">
        <f>AT32*100/$E$32</f>
        <v/>
      </c>
      <c r="AV32" s="133" t="n"/>
      <c r="AW32" s="140">
        <f>AV32*100/$E$32</f>
        <v/>
      </c>
      <c r="AX32" s="133" t="n">
        <v>4</v>
      </c>
      <c r="AY32" s="140">
        <f>AX32*100/$E$32</f>
        <v/>
      </c>
      <c r="AZ32" s="133">
        <f>4+4</f>
        <v/>
      </c>
      <c r="BA32" s="140">
        <f>AZ32*100/$E$32</f>
        <v/>
      </c>
      <c r="BB32" s="133" t="n"/>
      <c r="BC32" s="140">
        <f>BB32*100/$E$32</f>
        <v/>
      </c>
      <c r="BD32" s="133" t="n">
        <v>1</v>
      </c>
      <c r="BE32" s="140">
        <f>BD32*100/$E$32</f>
        <v/>
      </c>
      <c r="BF32" s="133" t="n"/>
      <c r="BG32" s="140">
        <f>BF32*100/$E$32</f>
        <v/>
      </c>
      <c r="BH32" s="133" t="n"/>
      <c r="BI32" s="140">
        <f>BH32*100/$E$32</f>
        <v/>
      </c>
      <c r="BJ32" s="133" t="n"/>
      <c r="BK32" s="140">
        <f>BJ32*100/$E$32</f>
        <v/>
      </c>
      <c r="BL32" s="133" t="n"/>
      <c r="BM32" s="140">
        <f>BL32*100/$E$32</f>
        <v/>
      </c>
      <c r="BN32" s="133" t="n"/>
      <c r="BO32" s="140">
        <f>BN32*100/$E$32</f>
        <v/>
      </c>
      <c r="BP32" s="133" t="n"/>
      <c r="BQ32" s="140">
        <f>BP32*100/$E$32</f>
        <v/>
      </c>
      <c r="BR32" s="133" t="n"/>
      <c r="BS32" s="140">
        <f>BR32*100/$E$32</f>
        <v/>
      </c>
      <c r="BT32" s="133" t="n"/>
      <c r="BU32" s="140">
        <f>BT32*100/$E$32</f>
        <v/>
      </c>
      <c r="BV32" s="133" t="n"/>
      <c r="BW32" s="140">
        <f>BV32*100/$E$32</f>
        <v/>
      </c>
      <c r="BX32" s="133" t="n"/>
      <c r="BY32" s="140">
        <f>BX32*100/$E$32</f>
        <v/>
      </c>
      <c r="BZ32" s="133" t="n">
        <v>2</v>
      </c>
      <c r="CA32" s="140">
        <f>BZ32*100/$E$32</f>
        <v/>
      </c>
      <c r="CB32" s="133" t="n"/>
      <c r="CC32" s="140">
        <f>CB32*100/$E$32</f>
        <v/>
      </c>
      <c r="CD32" s="240" t="n">
        <v>2</v>
      </c>
      <c r="CE32" s="140">
        <f>CD32*100/$E$32</f>
        <v/>
      </c>
      <c r="CF32" s="133" t="n"/>
      <c r="CG32" s="140">
        <f>CF32*100/$E$32</f>
        <v/>
      </c>
      <c r="CH32" s="133" t="n"/>
      <c r="CI32" s="140">
        <f>CH32*100/$E$32</f>
        <v/>
      </c>
      <c r="CJ32" s="133" t="n"/>
      <c r="CK32" s="140">
        <f>CJ32*100/$E$32</f>
        <v/>
      </c>
      <c r="CL32" s="133" t="n"/>
      <c r="CM32" s="140">
        <f>CL32*100/$E$32</f>
        <v/>
      </c>
      <c r="CN32" s="133">
        <f>4+7+5</f>
        <v/>
      </c>
      <c r="CO32" s="139">
        <f>CN32*100/$E$32</f>
        <v/>
      </c>
      <c r="CP32" s="133" t="n"/>
      <c r="CQ32" s="140">
        <f>CP32*100/$E$32</f>
        <v/>
      </c>
      <c r="CR32" s="133">
        <f>4+3+4+5+3</f>
        <v/>
      </c>
      <c r="CS32" s="139">
        <f>CR32*100/$E$32</f>
        <v/>
      </c>
      <c r="CT32" s="133">
        <f>8+8+5</f>
        <v/>
      </c>
      <c r="CU32" s="139">
        <f>CT32*100/$E$32</f>
        <v/>
      </c>
      <c r="CV32" s="133" t="n">
        <v>8</v>
      </c>
      <c r="CW32" s="139">
        <f>CV32*100/$E$32</f>
        <v/>
      </c>
      <c r="CX32" s="133" t="n"/>
      <c r="CY32" s="139">
        <f>CX32*100/$E$32</f>
        <v/>
      </c>
      <c r="CZ32" s="133" t="n">
        <v>7</v>
      </c>
      <c r="DA32" s="139">
        <f>CZ32*100/$E$32</f>
        <v/>
      </c>
      <c r="DB32" s="133" t="n"/>
      <c r="DC32" s="139">
        <f>DB32*100/$E$32</f>
        <v/>
      </c>
      <c r="DD32" s="133">
        <f>4+4</f>
        <v/>
      </c>
      <c r="DE32" s="139">
        <f>DD32*100/$E$32</f>
        <v/>
      </c>
      <c r="DF32" s="133" t="n"/>
      <c r="DG32" s="139">
        <f>DF32*100/$E$32</f>
        <v/>
      </c>
      <c r="DH32" s="133" t="n"/>
      <c r="DI32" s="139">
        <f>DH32*100/$E$32</f>
        <v/>
      </c>
      <c r="DJ32" s="133" t="n"/>
      <c r="DK32" s="139">
        <f>DJ32*100/$E$32</f>
        <v/>
      </c>
      <c r="DL32" s="133" t="n"/>
      <c r="DM32" s="139">
        <f>DL32*100/$E$32</f>
        <v/>
      </c>
      <c r="DN32" s="133" t="n"/>
      <c r="DO32" s="139">
        <f>DN32*100/$E$32</f>
        <v/>
      </c>
      <c r="DP32" s="133" t="n"/>
      <c r="DQ32" s="139">
        <f>DP32*100/$E$32</f>
        <v/>
      </c>
      <c r="DR32" s="133" t="n"/>
      <c r="DS32" s="139">
        <f>DR32*100/$E$32</f>
        <v/>
      </c>
      <c r="DT32" s="133" t="n"/>
      <c r="DU32" s="139">
        <f>DT32*100/$E$32</f>
        <v/>
      </c>
      <c r="DV32" s="133" t="n">
        <v>4</v>
      </c>
      <c r="DW32" s="139">
        <f>DV32*100/$E$32</f>
        <v/>
      </c>
      <c r="DX32" s="133" t="n"/>
      <c r="DY32" s="139">
        <f>DX32*100/$E$32</f>
        <v/>
      </c>
      <c r="DZ32" s="133" t="n"/>
      <c r="EA32" s="139">
        <f>DZ32*100/$E$32</f>
        <v/>
      </c>
      <c r="EB32" s="133" t="n"/>
      <c r="EC32" s="139">
        <f>EB32*100/$E$32</f>
        <v/>
      </c>
      <c r="ED32" s="133" t="n"/>
      <c r="EE32" s="139">
        <f>ED32*100/$E$32</f>
        <v/>
      </c>
      <c r="EF32" s="133" t="n"/>
      <c r="EG32" s="139">
        <f>EF32*100/$E$32</f>
        <v/>
      </c>
      <c r="EH32" s="133" t="n"/>
      <c r="EI32" s="139">
        <f>EH32*100/$E$32</f>
        <v/>
      </c>
      <c r="EJ32" s="133" t="n"/>
      <c r="EK32" s="139">
        <f>EJ32*100/$E$32</f>
        <v/>
      </c>
      <c r="EL32" s="133" t="n"/>
      <c r="EM32" s="139">
        <f>EL32*100/$E$32</f>
        <v/>
      </c>
      <c r="EN32" s="133" t="n"/>
      <c r="EO32" s="139">
        <f>EN32*100/$E$32</f>
        <v/>
      </c>
      <c r="EP32" s="133" t="n"/>
      <c r="EQ32" s="139">
        <f>EP32*100/$E$32</f>
        <v/>
      </c>
      <c r="ER32" s="133" t="n"/>
      <c r="ES32" s="139">
        <f>ER32*100/$E$32</f>
        <v/>
      </c>
      <c r="ET32" s="133" t="n"/>
      <c r="EU32" s="139">
        <f>ET32*100/$E$32</f>
        <v/>
      </c>
      <c r="EV32" s="133" t="n"/>
      <c r="EW32" s="139">
        <f>EV32*100/$E$32</f>
        <v/>
      </c>
      <c r="EX32" s="133" t="n"/>
      <c r="EY32" s="139">
        <f>EX32*100/$E$32</f>
        <v/>
      </c>
      <c r="EZ32" s="133" t="n"/>
      <c r="FA32" s="139">
        <f>EZ32*100/$E$32</f>
        <v/>
      </c>
      <c r="FB32" s="133" t="n"/>
      <c r="FC32" s="139">
        <f>FB32*100/$E$32</f>
        <v/>
      </c>
      <c r="FD32" s="133" t="n"/>
      <c r="FE32" s="139">
        <f>FD32*100/$E$32</f>
        <v/>
      </c>
      <c r="FF32" s="133" t="n"/>
      <c r="FG32" s="139">
        <f>FF32*100/$E$32</f>
        <v/>
      </c>
      <c r="FH32" s="133" t="n"/>
      <c r="FI32" s="139">
        <f>FH32*100/$E$32</f>
        <v/>
      </c>
      <c r="FJ32" s="133" t="n"/>
      <c r="FK32" s="139">
        <f>FJ32*100/$E$32</f>
        <v/>
      </c>
      <c r="FL32" s="133" t="n"/>
      <c r="FM32" s="139">
        <f>FL32*100/$E$32</f>
        <v/>
      </c>
      <c r="FN32" s="133" t="n"/>
      <c r="FO32" s="139">
        <f>FN32*100/$E$32</f>
        <v/>
      </c>
      <c r="FP32" s="133" t="n"/>
      <c r="FQ32" s="139">
        <f>FP32*100/$E$32</f>
        <v/>
      </c>
      <c r="FR32" s="133" t="n"/>
      <c r="FS32" s="139">
        <f>FR32*100/$E$32</f>
        <v/>
      </c>
      <c r="FT32" s="133" t="n"/>
      <c r="FU32" s="139">
        <f>FT32*100/$E$32</f>
        <v/>
      </c>
      <c r="FV32" s="133" t="n"/>
      <c r="FW32" s="139">
        <f>FV32*100/$E$32</f>
        <v/>
      </c>
      <c r="FX32" s="133" t="n"/>
      <c r="FY32" s="140">
        <f>FX32*100/$E$32</f>
        <v/>
      </c>
      <c r="FZ32" s="133" t="n"/>
      <c r="GA32" s="140">
        <f>FZ32*100/$E$32</f>
        <v/>
      </c>
      <c r="GB32" s="133" t="n"/>
      <c r="GC32" s="140">
        <f>GB32*100/$E$32</f>
        <v/>
      </c>
      <c r="GD32" s="133" t="n"/>
      <c r="GE32" s="140">
        <f>GD32*100/$E$32</f>
        <v/>
      </c>
      <c r="GF32" s="133" t="n"/>
      <c r="GG32" s="140">
        <f>GF32*100/$E$32</f>
        <v/>
      </c>
      <c r="GH32" s="133" t="n"/>
      <c r="GI32" s="140">
        <f>GH32*100/$E$32</f>
        <v/>
      </c>
      <c r="GJ32" s="133" t="n"/>
      <c r="GK32" s="139">
        <f>GJ32*100/$E$32</f>
        <v/>
      </c>
      <c r="GL32" s="133" t="n"/>
      <c r="GM32" s="140">
        <f>GL32*100/$E$32</f>
        <v/>
      </c>
      <c r="GN32" s="133" t="n"/>
      <c r="GO32" s="139">
        <f>GN32*100/$E$32</f>
        <v/>
      </c>
      <c r="GP32" s="133" t="n"/>
      <c r="GQ32" s="140">
        <f>GP32*100/$E$32</f>
        <v/>
      </c>
      <c r="GR32" s="133" t="n"/>
      <c r="GS32" s="139">
        <f>GR32*100/$E$32</f>
        <v/>
      </c>
      <c r="GT32" s="133" t="n"/>
      <c r="GU32" s="139">
        <f>GT32*100/$E$32</f>
        <v/>
      </c>
      <c r="GV32" s="133" t="n"/>
      <c r="GW32" s="139">
        <f>GV32*100/$E$32</f>
        <v/>
      </c>
      <c r="GX32" s="133" t="n"/>
      <c r="GY32" s="140">
        <f>GX32*100/$E$32</f>
        <v/>
      </c>
      <c r="GZ32" s="133" t="n"/>
      <c r="HA32" s="140">
        <f>GZ32*100/$E$32</f>
        <v/>
      </c>
      <c r="HB32" s="133" t="n"/>
      <c r="HC32" s="140">
        <f>HB32*100/$E$32</f>
        <v/>
      </c>
      <c r="HD32" s="133" t="n"/>
      <c r="HE32" s="140">
        <f>HD32*100/$E$32</f>
        <v/>
      </c>
      <c r="HF32" s="133" t="n"/>
      <c r="HG32" s="140">
        <f>HF32*100/$E$32</f>
        <v/>
      </c>
      <c r="HH32" s="133" t="n"/>
      <c r="HI32" s="140">
        <f>HH32*100/$E$32</f>
        <v/>
      </c>
      <c r="HJ32" s="133" t="n"/>
      <c r="HK32" s="140">
        <f>HJ32*100/$E$32</f>
        <v/>
      </c>
      <c r="HL32" s="133" t="n"/>
      <c r="HM32" s="140">
        <f>HL32*100/$E$32</f>
        <v/>
      </c>
      <c r="HN32" s="133" t="n"/>
      <c r="HO32" s="140">
        <f>HN32*100/$E$32</f>
        <v/>
      </c>
      <c r="HP32" s="133" t="n"/>
      <c r="HQ32" s="140">
        <f>HP32*100/$E$32</f>
        <v/>
      </c>
      <c r="HR32" s="133" t="n"/>
      <c r="HS32" s="140">
        <f>HR32*100/$E$32</f>
        <v/>
      </c>
      <c r="HT32" s="133" t="n"/>
      <c r="HU32" s="140">
        <f>HT32*100/$E$32</f>
        <v/>
      </c>
      <c r="HV32" s="133" t="n"/>
      <c r="HW32" s="140">
        <f>HV32*100/$E$32</f>
        <v/>
      </c>
      <c r="HX32" s="133" t="n"/>
      <c r="HY32" s="140">
        <f>HX32*100/$E$32</f>
        <v/>
      </c>
      <c r="HZ32" s="133" t="n"/>
      <c r="IA32" s="139">
        <f>HZ32*100/$E$32</f>
        <v/>
      </c>
      <c r="IB32" s="133" t="n"/>
      <c r="IC32" s="139">
        <f>IB32*100/$E$32</f>
        <v/>
      </c>
      <c r="ID32" s="133" t="n"/>
      <c r="IE32" s="139">
        <f>ID32*100/$E$32</f>
        <v/>
      </c>
      <c r="IF32" s="133" t="n"/>
      <c r="IG32" s="139">
        <f>IF32*100/$E$32</f>
        <v/>
      </c>
      <c r="IH32" s="133" t="n"/>
      <c r="II32" s="139">
        <f>IH32*100/$E$32</f>
        <v/>
      </c>
      <c r="IJ32" s="133" t="n"/>
      <c r="IK32" s="139">
        <f>IJ32*100/$E$32</f>
        <v/>
      </c>
      <c r="IL32" s="133" t="n"/>
      <c r="IM32" s="140">
        <f>IL32*100/$E$32</f>
        <v/>
      </c>
      <c r="IN32" s="133" t="n"/>
      <c r="IO32" s="140">
        <f>IN32*100/$E$32</f>
        <v/>
      </c>
      <c r="IP32" s="133" t="n"/>
      <c r="IQ32" s="139">
        <f>IP32*100/$E$32</f>
        <v/>
      </c>
      <c r="IR32" s="133" t="n"/>
      <c r="IS32" s="139">
        <f>IR32*100/$E$32</f>
        <v/>
      </c>
      <c r="IT32" s="133" t="n"/>
      <c r="IU32" s="139">
        <f>IT32*100/$E$32</f>
        <v/>
      </c>
      <c r="IV32" s="133" t="n"/>
      <c r="IW32" s="139">
        <f>IV32*100/$E$32</f>
        <v/>
      </c>
      <c r="IX32" s="133" t="n"/>
      <c r="IY32" s="139">
        <f>IX32*100/$E$32</f>
        <v/>
      </c>
      <c r="IZ32" s="133" t="n"/>
      <c r="JA32" s="139">
        <f>IZ32*100/$E$32</f>
        <v/>
      </c>
      <c r="JB32" s="133" t="n"/>
      <c r="JC32" s="139">
        <f>JB32*100/$E$32</f>
        <v/>
      </c>
      <c r="JD32" s="133" t="n"/>
      <c r="JE32" s="139">
        <f>JD32*100/$E$32</f>
        <v/>
      </c>
      <c r="JF32" s="133" t="n"/>
      <c r="JG32" s="139">
        <f>JF32*100/$E$32</f>
        <v/>
      </c>
      <c r="JH32" s="133" t="n"/>
      <c r="JI32" s="139">
        <f>JH32*100/$E$32</f>
        <v/>
      </c>
      <c r="JJ32" s="133" t="n"/>
      <c r="JK32" s="139">
        <f>JJ32*100/$E$32</f>
        <v/>
      </c>
      <c r="JL32" s="133">
        <f>3+3-2</f>
        <v/>
      </c>
      <c r="JM32" s="139">
        <f>JL32*100/$E$32</f>
        <v/>
      </c>
      <c r="JN32" s="133" t="n"/>
      <c r="JO32" s="139">
        <f>JN32*100/$E$32</f>
        <v/>
      </c>
      <c r="JP32" s="133" t="n"/>
      <c r="JQ32" s="139">
        <f>JP32*100/$E$32</f>
        <v/>
      </c>
      <c r="JR32" s="133" t="n"/>
      <c r="JS32" s="139">
        <f>JR32*100/$E$32</f>
        <v/>
      </c>
      <c r="JT32" s="133" t="n"/>
      <c r="JU32" s="182">
        <f>JT32*100/$E$32</f>
        <v/>
      </c>
      <c r="JV32" s="133" t="n"/>
      <c r="JW32" s="182">
        <f>JV32*100/$E$32</f>
        <v/>
      </c>
      <c r="JX32" s="133" t="n"/>
      <c r="JY32" s="182">
        <f>JX32*100/$E$32</f>
        <v/>
      </c>
      <c r="JZ32" s="183">
        <f>JN32+JP32+JR32+JT32+JV32+JX32</f>
        <v/>
      </c>
      <c r="KA32" s="184">
        <f>JO32+JQ32+JS32+JU32+JW32+JY32</f>
        <v/>
      </c>
      <c r="KB32" s="185">
        <f>H32+J32+L32+N32+P32+R32+T32+V32+X32+Z32+AB32+AD32+AF32+AH32+AJ32+AL32+AN32+AP32+AR32+AT32+AV32+AX32+AZ32+BB32+BD32+BF32+BH32+BJ32+BL32+BN32+BP32+BR32+BT32+BV32+BX32+BZ32+CB32+CD32+CF32+CH32+CZ32+DB32+DD32+DF32+DH32+DJ32+DL32+DN32+DP32+DR32+DT32+DV32+DX32+DZ32+EB32+ED32+EF32+EH32+EJ32+EL32+EN32+EP32+ER32+ET32+EV32+FN32+FP32+FR32+FT32+FV32+FX32+FZ32+GB32+GD32+GF32+GH32+GJ32+GL32+GN32+GP32+GR32+GT32+GV32+GX32+GZ32+HB32+HD32+HF32+HH32+HJ32+HL32+HN32+HP32+HR32+HT32+HV32+HX32+HZ32+IB32+ID32+IF32+IH32+IJ32+IL32+IN32+IP32+IR32+IT32+IV32+IX32+IZ32+JB32+JD32+JF32+JH32+JJ32+JL32+JZ32+CJ32+CL32+CN32+CP32+CR32+CT32+CV32+CX32+EX32+EZ32+FB32+FD32+FF32+FH32+FJ32+FL32</f>
        <v/>
      </c>
      <c r="KC32" s="186">
        <f>I32+K32+M32+O32+Q32+S32+U32+W32+Y32+AA32+AC32+AE32+AG32+AI32+AK32+AM32+AO32+AQ32+AS32+AU32+AW32+AY32+BA32+BC32+BE32+BG32+BI32+BK32+BM32+BO32+BQ32+BS32+BU32+BW32+BY32+CA32+CC32+CE32+CG32+CI32+DA32+DC32+DE32+DG32+DI32+DK32+DM32+DO32+DQ32+DS32+DU32+DW32+DY32+EA32+EC32+EE32+EG32+EI32+EK32+EM32+EO32+EQ32+ES32+EU32+EW32+FO32+FS32+FU32+FW32+FQ32+FY32+GA32+GC32+GE32+GG32+GI32+GK32+GM32+GO32+GQ32+GS32+GU32+GW32+GY32+HA32+HC32+HE32+HG32+HI32+HK32+HM32+HO32+HQ32+HS32+HU32+HW32+HY32+IA32+IC32+IE32+IG32+II32+IK32+IM32+IO32+IQ32+IS32+IU32+IW32+IY32+JA32+JC32+JE32+JG32+JI32+JK32+JM32+KA32+CK32+CM32+CO32+CQ32+CS32+CU32+CW32+CY32+EY32+FA32+FC32+FE32+FG32+FI32+FK32+FM32</f>
        <v/>
      </c>
      <c r="KD32" s="187">
        <f>JO32+JQ32+JS32+JU32+JW32+JY32</f>
        <v/>
      </c>
      <c r="KE32" s="188">
        <f>KB32=E32</f>
        <v/>
      </c>
      <c r="KF32" s="189">
        <f>E32-KB32</f>
        <v/>
      </c>
      <c r="KG32" s="209" t="n"/>
    </row>
    <row r="33" ht="21.75" customFormat="1" customHeight="1" s="209">
      <c r="A33" s="126">
        <f>A32+1</f>
        <v/>
      </c>
      <c r="B33" s="175" t="inlineStr">
        <is>
          <t>Никулин В.Г.</t>
        </is>
      </c>
      <c r="C33" s="176" t="inlineStr">
        <is>
          <t>токарь</t>
        </is>
      </c>
      <c r="D33" s="177">
        <f>$D$5</f>
        <v/>
      </c>
      <c r="E33" s="202" t="n">
        <v>180</v>
      </c>
      <c r="F33" s="193" t="n">
        <v>118220.84</v>
      </c>
      <c r="G33" s="179">
        <f>F33/D33</f>
        <v/>
      </c>
      <c r="H33" s="180" t="n"/>
      <c r="I33" s="140">
        <f>H33*100/$E$33</f>
        <v/>
      </c>
      <c r="J33" s="133" t="n"/>
      <c r="K33" s="140">
        <f>J33*100/$E$33</f>
        <v/>
      </c>
      <c r="L33" s="133" t="n"/>
      <c r="M33" s="140">
        <f>L33*100/$E$33</f>
        <v/>
      </c>
      <c r="N33" s="133" t="n"/>
      <c r="O33" s="140">
        <f>N33*100/$E$33</f>
        <v/>
      </c>
      <c r="P33" s="133" t="n"/>
      <c r="Q33" s="139">
        <f>P33*100/$E$33</f>
        <v/>
      </c>
      <c r="R33" s="133" t="n"/>
      <c r="S33" s="139">
        <f>R33*100/$E$33</f>
        <v/>
      </c>
      <c r="T33" s="133" t="n"/>
      <c r="U33" s="140">
        <f>T33*100/$E$33</f>
        <v/>
      </c>
      <c r="V33" s="133" t="n"/>
      <c r="W33" s="140">
        <f>V33*100/$E$33</f>
        <v/>
      </c>
      <c r="X33" s="133" t="n"/>
      <c r="Y33" s="140">
        <f>X33*100/$E$33</f>
        <v/>
      </c>
      <c r="Z33" s="133" t="n"/>
      <c r="AA33" s="140">
        <f>Z33*100/$E$33</f>
        <v/>
      </c>
      <c r="AB33" s="133" t="n"/>
      <c r="AC33" s="140">
        <f>AB33*100/$E$33</f>
        <v/>
      </c>
      <c r="AD33" s="133" t="n"/>
      <c r="AE33" s="139">
        <f>AD33*100/$E$33</f>
        <v/>
      </c>
      <c r="AF33" s="133" t="n"/>
      <c r="AG33" s="139">
        <f>AF33*100/$E$33</f>
        <v/>
      </c>
      <c r="AH33" s="133">
        <f>12+6+12+3</f>
        <v/>
      </c>
      <c r="AI33" s="140">
        <f>AH33*100/$E$33</f>
        <v/>
      </c>
      <c r="AJ33" s="133" t="n"/>
      <c r="AK33" s="140">
        <f>AJ33*100/$E$33</f>
        <v/>
      </c>
      <c r="AL33" s="133" t="n"/>
      <c r="AM33" s="140">
        <f>AL33*100/$E$33</f>
        <v/>
      </c>
      <c r="AN33" s="133">
        <f>9+9</f>
        <v/>
      </c>
      <c r="AO33" s="140">
        <f>AN33*100/$E$33</f>
        <v/>
      </c>
      <c r="AP33" s="133" t="n"/>
      <c r="AQ33" s="140">
        <f>AP33*100/$E$33</f>
        <v/>
      </c>
      <c r="AR33" s="133" t="n"/>
      <c r="AS33" s="140">
        <f>AR33*100/$E$33</f>
        <v/>
      </c>
      <c r="AT33" s="133" t="n"/>
      <c r="AU33" s="181">
        <f>AT33*100/$E$33</f>
        <v/>
      </c>
      <c r="AV33" s="133" t="n"/>
      <c r="AW33" s="140">
        <f>AV33*100/$E$33</f>
        <v/>
      </c>
      <c r="AX33" s="133">
        <f>3+5</f>
        <v/>
      </c>
      <c r="AY33" s="140">
        <f>AX33*100/$E$33</f>
        <v/>
      </c>
      <c r="AZ33" s="133" t="n">
        <v>5</v>
      </c>
      <c r="BA33" s="140">
        <f>AZ33*100/$E$33</f>
        <v/>
      </c>
      <c r="BB33" s="133" t="n"/>
      <c r="BC33" s="140">
        <f>BB33*100/$E$33</f>
        <v/>
      </c>
      <c r="BD33" s="133" t="n"/>
      <c r="BE33" s="140">
        <f>BD33*100/$E$33</f>
        <v/>
      </c>
      <c r="BF33" s="133" t="n"/>
      <c r="BG33" s="140">
        <f>BF33*100/$E$33</f>
        <v/>
      </c>
      <c r="BH33" s="133" t="n"/>
      <c r="BI33" s="140">
        <f>BH33*100/$E$33</f>
        <v/>
      </c>
      <c r="BJ33" s="133" t="n"/>
      <c r="BK33" s="140">
        <f>BJ33*100/$E$33</f>
        <v/>
      </c>
      <c r="BL33" s="133" t="n"/>
      <c r="BM33" s="140">
        <f>BL33*100/$E$33</f>
        <v/>
      </c>
      <c r="BN33" s="133" t="n"/>
      <c r="BO33" s="140">
        <f>BN33*100/$E$33</f>
        <v/>
      </c>
      <c r="BP33" s="133" t="n"/>
      <c r="BQ33" s="140">
        <f>BP33*100/$E$33</f>
        <v/>
      </c>
      <c r="BR33" s="133" t="n"/>
      <c r="BS33" s="140">
        <f>BR33*100/$E$33</f>
        <v/>
      </c>
      <c r="BT33" s="133" t="n"/>
      <c r="BU33" s="140">
        <f>BT33*100/$E$33</f>
        <v/>
      </c>
      <c r="BV33" s="133" t="n"/>
      <c r="BW33" s="140">
        <f>BV33*100/$E$33</f>
        <v/>
      </c>
      <c r="BX33" s="133" t="n"/>
      <c r="BY33" s="140">
        <f>BX33*100/$E$33</f>
        <v/>
      </c>
      <c r="BZ33" s="133">
        <f>6+12</f>
        <v/>
      </c>
      <c r="CA33" s="140">
        <f>BZ33*100/$E$33</f>
        <v/>
      </c>
      <c r="CB33" s="133" t="n"/>
      <c r="CC33" s="140">
        <f>CB33*100/$E$33</f>
        <v/>
      </c>
      <c r="CD33" s="133" t="n"/>
      <c r="CE33" s="140">
        <f>CD33*100/$E$33</f>
        <v/>
      </c>
      <c r="CF33" s="133" t="n"/>
      <c r="CG33" s="140">
        <f>CF33*100/$E$33</f>
        <v/>
      </c>
      <c r="CH33" s="133" t="n"/>
      <c r="CI33" s="140">
        <f>CH33*100/$E$33</f>
        <v/>
      </c>
      <c r="CJ33" s="133" t="n"/>
      <c r="CK33" s="140">
        <f>CJ33*100/$E$33</f>
        <v/>
      </c>
      <c r="CL33" s="133" t="n"/>
      <c r="CM33" s="140">
        <f>CL33*100/$E$33</f>
        <v/>
      </c>
      <c r="CN33" s="133" t="n"/>
      <c r="CO33" s="139">
        <f>CN33*100/$E$33</f>
        <v/>
      </c>
      <c r="CP33" s="133" t="n"/>
      <c r="CQ33" s="140">
        <f>CP33*100/$E$33</f>
        <v/>
      </c>
      <c r="CR33" s="133" t="n"/>
      <c r="CS33" s="139">
        <f>CR33*100/$E$33</f>
        <v/>
      </c>
      <c r="CT33" s="133" t="n"/>
      <c r="CU33" s="139">
        <f>CT33*100/$E$33</f>
        <v/>
      </c>
      <c r="CV33" s="133">
        <f>12+12+12+6</f>
        <v/>
      </c>
      <c r="CW33" s="139">
        <f>CV33*100/$E$33</f>
        <v/>
      </c>
      <c r="CX33" s="133" t="n">
        <v>6</v>
      </c>
      <c r="CY33" s="139">
        <f>CX33*100/$E$33</f>
        <v/>
      </c>
      <c r="CZ33" s="133" t="n"/>
      <c r="DA33" s="139">
        <f>CZ33*100/$E$33</f>
        <v/>
      </c>
      <c r="DB33" s="133" t="n"/>
      <c r="DC33" s="139">
        <f>DB33*100/$E$33</f>
        <v/>
      </c>
      <c r="DD33" s="133" t="n"/>
      <c r="DE33" s="139">
        <f>DD33*100/$E$33</f>
        <v/>
      </c>
      <c r="DF33" s="133" t="n"/>
      <c r="DG33" s="139">
        <f>DF33*100/$E$33</f>
        <v/>
      </c>
      <c r="DH33" s="133">
        <f>12+12+3</f>
        <v/>
      </c>
      <c r="DI33" s="139">
        <f>DH33*100/$E$33</f>
        <v/>
      </c>
      <c r="DJ33" s="133" t="n"/>
      <c r="DK33" s="139">
        <f>DJ33*100/$E$33</f>
        <v/>
      </c>
      <c r="DL33" s="133" t="n"/>
      <c r="DM33" s="139">
        <f>DL33*100/$E$33</f>
        <v/>
      </c>
      <c r="DN33" s="133" t="n">
        <v>6</v>
      </c>
      <c r="DO33" s="139">
        <f>DN33*100/$E$33</f>
        <v/>
      </c>
      <c r="DP33" s="133" t="n">
        <v>9</v>
      </c>
      <c r="DQ33" s="139">
        <f>DP33*100/$E$33</f>
        <v/>
      </c>
      <c r="DR33" s="133" t="n"/>
      <c r="DS33" s="139">
        <f>DR33*100/$E$33</f>
        <v/>
      </c>
      <c r="DT33" s="133" t="n"/>
      <c r="DU33" s="139">
        <f>DT33*100/$E$33</f>
        <v/>
      </c>
      <c r="DV33" s="133" t="n"/>
      <c r="DW33" s="139">
        <f>DV33*100/$E$33</f>
        <v/>
      </c>
      <c r="DX33" s="133" t="n">
        <v>8</v>
      </c>
      <c r="DY33" s="139">
        <f>DX33*100/$E$33</f>
        <v/>
      </c>
      <c r="DZ33" s="133" t="n"/>
      <c r="EA33" s="139">
        <f>DZ33*100/$E$33</f>
        <v/>
      </c>
      <c r="EB33" s="133" t="n"/>
      <c r="EC33" s="139">
        <f>EB33*100/$E$33</f>
        <v/>
      </c>
      <c r="ED33" s="133" t="n"/>
      <c r="EE33" s="139">
        <f>ED33*100/$E$33</f>
        <v/>
      </c>
      <c r="EF33" s="133" t="n"/>
      <c r="EG33" s="139">
        <f>EF33*100/$E$33</f>
        <v/>
      </c>
      <c r="EH33" s="133" t="n"/>
      <c r="EI33" s="139">
        <f>EH33*100/$E$33</f>
        <v/>
      </c>
      <c r="EJ33" s="133" t="n"/>
      <c r="EK33" s="139">
        <f>EJ33*100/$E$33</f>
        <v/>
      </c>
      <c r="EL33" s="133" t="n"/>
      <c r="EM33" s="139">
        <f>EL33*100/$E$33</f>
        <v/>
      </c>
      <c r="EN33" s="133" t="n"/>
      <c r="EO33" s="139">
        <f>EN33*100/$E$33</f>
        <v/>
      </c>
      <c r="EP33" s="133" t="n"/>
      <c r="EQ33" s="139">
        <f>EP33*100/$E$33</f>
        <v/>
      </c>
      <c r="ER33" s="133" t="n"/>
      <c r="ES33" s="139">
        <f>ER33*100/$E$33</f>
        <v/>
      </c>
      <c r="ET33" s="133" t="n"/>
      <c r="EU33" s="139">
        <f>ET33*100/$E$33</f>
        <v/>
      </c>
      <c r="EV33" s="133" t="n"/>
      <c r="EW33" s="139">
        <f>EV33*100/$E$33</f>
        <v/>
      </c>
      <c r="EX33" s="133" t="n"/>
      <c r="EY33" s="139">
        <f>EX33*100/$E$33</f>
        <v/>
      </c>
      <c r="EZ33" s="133" t="n"/>
      <c r="FA33" s="139">
        <f>EZ33*100/$E$33</f>
        <v/>
      </c>
      <c r="FB33" s="133" t="n"/>
      <c r="FC33" s="139">
        <f>FB33*100/$E$33</f>
        <v/>
      </c>
      <c r="FD33" s="133" t="n"/>
      <c r="FE33" s="139">
        <f>FD33*100/$E$33</f>
        <v/>
      </c>
      <c r="FF33" s="133" t="n"/>
      <c r="FG33" s="139">
        <f>FF33*100/$E$33</f>
        <v/>
      </c>
      <c r="FH33" s="133" t="n"/>
      <c r="FI33" s="139">
        <f>FH33*100/$E$33</f>
        <v/>
      </c>
      <c r="FJ33" s="133" t="n"/>
      <c r="FK33" s="139">
        <f>FJ33*100/$E$33</f>
        <v/>
      </c>
      <c r="FL33" s="133" t="n"/>
      <c r="FM33" s="139">
        <f>FL33*100/$E$33</f>
        <v/>
      </c>
      <c r="FN33" s="133" t="n"/>
      <c r="FO33" s="139">
        <f>FN33*100/$E$33</f>
        <v/>
      </c>
      <c r="FP33" s="133" t="n"/>
      <c r="FQ33" s="139">
        <f>FP33*100/$E$33</f>
        <v/>
      </c>
      <c r="FR33" s="133" t="n"/>
      <c r="FS33" s="139">
        <f>FR33*100/$E$33</f>
        <v/>
      </c>
      <c r="FT33" s="133" t="n"/>
      <c r="FU33" s="139">
        <f>FT33*100/$E$33</f>
        <v/>
      </c>
      <c r="FV33" s="133" t="n"/>
      <c r="FW33" s="139">
        <f>FV33*100/$E$33</f>
        <v/>
      </c>
      <c r="FX33" s="133" t="n"/>
      <c r="FY33" s="140">
        <f>FX33*100/$E$33</f>
        <v/>
      </c>
      <c r="FZ33" s="133" t="n"/>
      <c r="GA33" s="140">
        <f>FZ33*100/$E$33</f>
        <v/>
      </c>
      <c r="GB33" s="133" t="n"/>
      <c r="GC33" s="140">
        <f>GB33*100/$E$33</f>
        <v/>
      </c>
      <c r="GD33" s="133" t="n"/>
      <c r="GE33" s="140">
        <f>GD33*100/$E$33</f>
        <v/>
      </c>
      <c r="GF33" s="133" t="n"/>
      <c r="GG33" s="140">
        <f>GF33*100/$E$33</f>
        <v/>
      </c>
      <c r="GH33" s="133" t="n"/>
      <c r="GI33" s="140">
        <f>GH33*100/$E$33</f>
        <v/>
      </c>
      <c r="GJ33" s="133" t="n"/>
      <c r="GK33" s="139">
        <f>GJ33*100/$E$33</f>
        <v/>
      </c>
      <c r="GL33" s="133" t="n"/>
      <c r="GM33" s="140">
        <f>GL33*100/$E$33</f>
        <v/>
      </c>
      <c r="GN33" s="133" t="n"/>
      <c r="GO33" s="139">
        <f>GN33*100/$E$33</f>
        <v/>
      </c>
      <c r="GP33" s="133" t="n"/>
      <c r="GQ33" s="140">
        <f>GP33*100/$E$33</f>
        <v/>
      </c>
      <c r="GR33" s="133" t="n"/>
      <c r="GS33" s="139">
        <f>GR33*100/$E$33</f>
        <v/>
      </c>
      <c r="GT33" s="133" t="n"/>
      <c r="GU33" s="139">
        <f>GT33*100/$E$33</f>
        <v/>
      </c>
      <c r="GV33" s="133" t="n"/>
      <c r="GW33" s="139">
        <f>GV33*100/$E$33</f>
        <v/>
      </c>
      <c r="GX33" s="133" t="n"/>
      <c r="GY33" s="140">
        <f>GX33*100/$E$33</f>
        <v/>
      </c>
      <c r="GZ33" s="133" t="n"/>
      <c r="HA33" s="140">
        <f>GZ33*100/$E$33</f>
        <v/>
      </c>
      <c r="HB33" s="133" t="n"/>
      <c r="HC33" s="140">
        <f>HB33*100/$E$33</f>
        <v/>
      </c>
      <c r="HD33" s="133" t="n"/>
      <c r="HE33" s="140">
        <f>HD33*100/$E$33</f>
        <v/>
      </c>
      <c r="HF33" s="133" t="n"/>
      <c r="HG33" s="140">
        <f>HF33*100/$E$33</f>
        <v/>
      </c>
      <c r="HH33" s="133" t="n"/>
      <c r="HI33" s="140">
        <f>HH33*100/$E$33</f>
        <v/>
      </c>
      <c r="HJ33" s="133" t="n"/>
      <c r="HK33" s="140">
        <f>HJ33*100/$E$33</f>
        <v/>
      </c>
      <c r="HL33" s="133" t="n"/>
      <c r="HM33" s="140">
        <f>HL33*100/$E$33</f>
        <v/>
      </c>
      <c r="HN33" s="133" t="n"/>
      <c r="HO33" s="140">
        <f>HN33*100/$E$33</f>
        <v/>
      </c>
      <c r="HP33" s="133" t="n"/>
      <c r="HQ33" s="140">
        <f>HP33*100/$E$33</f>
        <v/>
      </c>
      <c r="HR33" s="133" t="n"/>
      <c r="HS33" s="140">
        <f>HR33*100/$E$33</f>
        <v/>
      </c>
      <c r="HT33" s="133" t="n"/>
      <c r="HU33" s="140">
        <f>HT33*100/$E$33</f>
        <v/>
      </c>
      <c r="HV33" s="133" t="n"/>
      <c r="HW33" s="140">
        <f>HV33*100/$E$33</f>
        <v/>
      </c>
      <c r="HX33" s="133" t="n"/>
      <c r="HY33" s="140">
        <f>HX33*100/$E$33</f>
        <v/>
      </c>
      <c r="HZ33" s="133" t="n"/>
      <c r="IA33" s="139">
        <f>HZ33*100/$E$33</f>
        <v/>
      </c>
      <c r="IB33" s="133" t="n"/>
      <c r="IC33" s="139">
        <f>IB33*100/$E$33</f>
        <v/>
      </c>
      <c r="ID33" s="133" t="n"/>
      <c r="IE33" s="139">
        <f>ID33*100/$E$33</f>
        <v/>
      </c>
      <c r="IF33" s="133" t="n"/>
      <c r="IG33" s="139">
        <f>IF33*100/$E$33</f>
        <v/>
      </c>
      <c r="IH33" s="133" t="n"/>
      <c r="II33" s="139">
        <f>IH33*100/$E$33</f>
        <v/>
      </c>
      <c r="IJ33" s="133" t="n"/>
      <c r="IK33" s="139">
        <f>IJ33*100/$E$33</f>
        <v/>
      </c>
      <c r="IL33" s="133" t="n"/>
      <c r="IM33" s="140">
        <f>IL33*100/$E$33</f>
        <v/>
      </c>
      <c r="IN33" s="133" t="n"/>
      <c r="IO33" s="140">
        <f>IN33*100/$E$33</f>
        <v/>
      </c>
      <c r="IP33" s="133" t="n"/>
      <c r="IQ33" s="139">
        <f>IP33*100/$E$33</f>
        <v/>
      </c>
      <c r="IR33" s="133" t="n"/>
      <c r="IS33" s="139">
        <f>IR33*100/$E$33</f>
        <v/>
      </c>
      <c r="IT33" s="133" t="n"/>
      <c r="IU33" s="139">
        <f>IT33*100/$E$33</f>
        <v/>
      </c>
      <c r="IV33" s="133" t="n"/>
      <c r="IW33" s="139">
        <f>IV33*100/$E$33</f>
        <v/>
      </c>
      <c r="IX33" s="133" t="n"/>
      <c r="IY33" s="139">
        <f>IX33*100/$E$33</f>
        <v/>
      </c>
      <c r="IZ33" s="133" t="n"/>
      <c r="JA33" s="139">
        <f>IZ33*100/$E$33</f>
        <v/>
      </c>
      <c r="JB33" s="133" t="n"/>
      <c r="JC33" s="139">
        <f>JB33*100/$E$33</f>
        <v/>
      </c>
      <c r="JD33" s="133" t="n"/>
      <c r="JE33" s="139">
        <f>JD33*100/$E$33</f>
        <v/>
      </c>
      <c r="JF33" s="133" t="n"/>
      <c r="JG33" s="139">
        <f>JF33*100/$E$33</f>
        <v/>
      </c>
      <c r="JH33" s="133" t="n"/>
      <c r="JI33" s="139">
        <f>JH33*100/$E$33</f>
        <v/>
      </c>
      <c r="JJ33" s="133" t="n"/>
      <c r="JK33" s="139">
        <f>JJ33*100/$E$33</f>
        <v/>
      </c>
      <c r="JL33" s="133" t="n"/>
      <c r="JM33" s="139">
        <f>JL33*100/$E$33</f>
        <v/>
      </c>
      <c r="JN33" s="133" t="n"/>
      <c r="JO33" s="139">
        <f>JN33*100/$E$33</f>
        <v/>
      </c>
      <c r="JP33" s="133" t="n"/>
      <c r="JQ33" s="139">
        <f>JP33*100/$E$33</f>
        <v/>
      </c>
      <c r="JR33" s="133" t="n"/>
      <c r="JS33" s="139">
        <f>JR33*100/$E$33</f>
        <v/>
      </c>
      <c r="JT33" s="133" t="n"/>
      <c r="JU33" s="182">
        <f>JT33*100/$E$33</f>
        <v/>
      </c>
      <c r="JV33" s="133" t="n"/>
      <c r="JW33" s="182">
        <f>JV33*100/$E$33</f>
        <v/>
      </c>
      <c r="JX33" s="133" t="n"/>
      <c r="JY33" s="182">
        <f>JX33*100/$E$33</f>
        <v/>
      </c>
      <c r="JZ33" s="183">
        <f>JN33+JP33+JR33+JT33+JV33+JX33</f>
        <v/>
      </c>
      <c r="KA33" s="184">
        <f>JO33+JQ33+JS33+JU33+JW33+JY33</f>
        <v/>
      </c>
      <c r="KB33" s="185">
        <f>H33+J33+L33+N33+P33+R33+T33+V33+X33+Z33+AB33+AD33+AF33+AH33+AJ33+AL33+AN33+AP33+AR33+AT33+AV33+AX33+AZ33+BB33+BD33+BF33+BH33+BJ33+BL33+BN33+BP33+BR33+BT33+BV33+BX33+BZ33+CB33+CD33+CF33+CH33+CZ33+DB33+DD33+DF33+DH33+DJ33+DL33+DN33+DP33+DR33+DT33+DV33+DX33+DZ33+EB33+ED33+EF33+EH33+EJ33+EL33+EN33+EP33+ER33+ET33+EV33+FN33+FP33+FR33+FT33+FV33+FX33+FZ33+GB33+GD33+GF33+GH33+GJ33+GL33+GN33+GP33+GR33+GT33+GV33+GX33+GZ33+HB33+HD33+HF33+HH33+HJ33+HL33+HN33+HP33+HR33+HT33+HV33+HX33+HZ33+IB33+ID33+IF33+IH33+IJ33+IL33+IN33+IP33+IR33+IT33+IV33+IX33+IZ33+JB33+JD33+JF33+JH33+JJ33+JL33+JZ33+CJ33+CL33+CN33+CP33+CR33+CT33+CV33+CX33+EX33+EZ33+FB33+FD33+FF33+FH33+FJ33+FL33</f>
        <v/>
      </c>
      <c r="KC33" s="186">
        <f>I33+K33+M33+O33+Q33+S33+U33+W33+Y33+AA33+AC33+AE33+AG33+AI33+AK33+AM33+AO33+AQ33+AS33+AU33+AW33+AY33+BA33+BC33+BE33+BG33+BI33+BK33+BM33+BO33+BQ33+BS33+BU33+BW33+BY33+CA33+CC33+CE33+CG33+CI33+DA33+DC33+DE33+DG33+DI33+DK33+DM33+DO33+DQ33+DS33+DU33+DW33+DY33+EA33+EC33+EE33+EG33+EI33+EK33+EM33+EO33+EQ33+ES33+EU33+EW33+FO33+FS33+FU33+FW33+FQ33+FY33+GA33+GC33+GE33+GG33+GI33+GK33+GM33+GO33+GQ33+GS33+GU33+GW33+GY33+HA33+HC33+HE33+HG33+HI33+HK33+HM33+HO33+HQ33+HS33+HU33+HW33+HY33+IA33+IC33+IE33+IG33+II33+IK33+IM33+IO33+IQ33+IS33+IU33+IW33+IY33+JA33+JC33+JE33+JG33+JI33+JK33+JM33+KA33+CK33+CM33+CO33+CQ33+CS33+CU33+CW33+CY33+EY33+FA33+FC33+FE33+FG33+FI33+FK33+FM33</f>
        <v/>
      </c>
      <c r="KD33" s="187">
        <f>JO33+JQ33+JS33+JU33+JW33+JY33</f>
        <v/>
      </c>
      <c r="KE33" s="188">
        <f>KB33=E33</f>
        <v/>
      </c>
      <c r="KF33" s="189">
        <f>E33-KB33</f>
        <v/>
      </c>
      <c r="KG33" s="211" t="n"/>
    </row>
    <row r="34" ht="21.75" customFormat="1" customHeight="1" s="211">
      <c r="A34" s="126">
        <f>A33+1</f>
        <v/>
      </c>
      <c r="B34" s="198" t="inlineStr">
        <is>
          <t>Новокрещенов А.С.</t>
        </is>
      </c>
      <c r="C34" s="194" t="inlineStr">
        <is>
          <t>токарь-расточник</t>
        </is>
      </c>
      <c r="D34" s="177">
        <f>$D$5</f>
        <v/>
      </c>
      <c r="E34" s="202" t="n">
        <v>180</v>
      </c>
      <c r="F34" s="193" t="n">
        <v>172414.02</v>
      </c>
      <c r="G34" s="179">
        <f>F34/D34</f>
        <v/>
      </c>
      <c r="H34" s="180" t="n"/>
      <c r="I34" s="140">
        <f>H34*100/$E$34</f>
        <v/>
      </c>
      <c r="J34" s="133" t="n"/>
      <c r="K34" s="140">
        <f>J34*100/$E$34</f>
        <v/>
      </c>
      <c r="L34" s="133" t="n"/>
      <c r="M34" s="140">
        <f>L34*100/$E$34</f>
        <v/>
      </c>
      <c r="N34" s="133" t="n"/>
      <c r="O34" s="140">
        <f>N34*100/$E$34</f>
        <v/>
      </c>
      <c r="P34" s="133" t="n"/>
      <c r="Q34" s="139">
        <f>P34*100/$E$34</f>
        <v/>
      </c>
      <c r="R34" s="133" t="n"/>
      <c r="S34" s="139">
        <f>R34*100/$E$34</f>
        <v/>
      </c>
      <c r="T34" s="133" t="n"/>
      <c r="U34" s="140">
        <f>T34*100/$E$34</f>
        <v/>
      </c>
      <c r="V34" s="133" t="n"/>
      <c r="W34" s="140">
        <f>V34*100/$E$34</f>
        <v/>
      </c>
      <c r="X34" s="133" t="n"/>
      <c r="Y34" s="140">
        <f>X34*100/$E$34</f>
        <v/>
      </c>
      <c r="Z34" s="133" t="n"/>
      <c r="AA34" s="140">
        <f>Z34*100/$E$34</f>
        <v/>
      </c>
      <c r="AB34" s="133" t="n"/>
      <c r="AC34" s="140">
        <f>AB34*100/$E$34</f>
        <v/>
      </c>
      <c r="AD34" s="133" t="n">
        <v>2</v>
      </c>
      <c r="AE34" s="139">
        <f>AD34*100/$E$34</f>
        <v/>
      </c>
      <c r="AF34" s="133" t="n"/>
      <c r="AG34" s="139">
        <f>AF34*100/$E$34</f>
        <v/>
      </c>
      <c r="AH34" s="133">
        <f>10+12+9</f>
        <v/>
      </c>
      <c r="AI34" s="140">
        <f>AH34*100/$E$34</f>
        <v/>
      </c>
      <c r="AJ34" s="133" t="n"/>
      <c r="AK34" s="140">
        <f>AJ34*100/$E$34</f>
        <v/>
      </c>
      <c r="AL34" s="133" t="n">
        <v>6</v>
      </c>
      <c r="AM34" s="140">
        <f>AL34*100/$E$34</f>
        <v/>
      </c>
      <c r="AN34" s="133" t="n"/>
      <c r="AO34" s="140">
        <f>AN34*100/$E$34</f>
        <v/>
      </c>
      <c r="AP34" s="133" t="n">
        <v>5</v>
      </c>
      <c r="AQ34" s="140">
        <f>AP34*100/$E$34</f>
        <v/>
      </c>
      <c r="AR34" s="133" t="n">
        <v>2</v>
      </c>
      <c r="AS34" s="140">
        <f>AR34*100/$E$34</f>
        <v/>
      </c>
      <c r="AT34" s="133" t="n"/>
      <c r="AU34" s="181">
        <f>AT34*100/$E$34</f>
        <v/>
      </c>
      <c r="AV34" s="133" t="n"/>
      <c r="AW34" s="140">
        <f>AV34*100/$E$34</f>
        <v/>
      </c>
      <c r="AX34" s="133" t="n"/>
      <c r="AY34" s="140">
        <f>AX34*100/$E$34</f>
        <v/>
      </c>
      <c r="AZ34" s="133" t="n"/>
      <c r="BA34" s="140">
        <f>AZ34*100/$E$34</f>
        <v/>
      </c>
      <c r="BB34" s="133">
        <f>12+12+6</f>
        <v/>
      </c>
      <c r="BC34" s="140">
        <f>BB34*100/$E$34</f>
        <v/>
      </c>
      <c r="BD34" s="133" t="n"/>
      <c r="BE34" s="140">
        <f>BD34*100/$E$34</f>
        <v/>
      </c>
      <c r="BF34" s="133" t="n"/>
      <c r="BG34" s="140">
        <f>BF34*100/$E$34</f>
        <v/>
      </c>
      <c r="BH34" s="133" t="n"/>
      <c r="BI34" s="140">
        <f>BH34*100/$E$34</f>
        <v/>
      </c>
      <c r="BJ34" s="133" t="n"/>
      <c r="BK34" s="140">
        <f>BJ34*100/$E$34</f>
        <v/>
      </c>
      <c r="BL34" s="133" t="n"/>
      <c r="BM34" s="140">
        <f>BL34*100/$E$34</f>
        <v/>
      </c>
      <c r="BN34" s="133" t="n"/>
      <c r="BO34" s="140">
        <f>BN34*100/$E$34</f>
        <v/>
      </c>
      <c r="BP34" s="133" t="n"/>
      <c r="BQ34" s="140">
        <f>BP34*100/$E$34</f>
        <v/>
      </c>
      <c r="BR34" s="133" t="n"/>
      <c r="BS34" s="140">
        <f>BR34*100/$E$34</f>
        <v/>
      </c>
      <c r="BT34" s="133" t="n"/>
      <c r="BU34" s="140">
        <f>BT34*100/$E$34</f>
        <v/>
      </c>
      <c r="BV34" s="133" t="n"/>
      <c r="BW34" s="140">
        <f>BV34*100/$E$34</f>
        <v/>
      </c>
      <c r="BX34" s="133" t="n"/>
      <c r="BY34" s="140">
        <f>BX34*100/$E$34</f>
        <v/>
      </c>
      <c r="BZ34" s="133" t="n">
        <v>2</v>
      </c>
      <c r="CA34" s="140">
        <f>BZ34*100/$E$34</f>
        <v/>
      </c>
      <c r="CB34" s="133" t="n"/>
      <c r="CC34" s="140">
        <f>CB34*100/$E$34</f>
        <v/>
      </c>
      <c r="CD34" s="133" t="n"/>
      <c r="CE34" s="140">
        <f>CD34*100/$E$34</f>
        <v/>
      </c>
      <c r="CF34" s="133" t="n"/>
      <c r="CG34" s="140">
        <f>CF34*100/$E$34</f>
        <v/>
      </c>
      <c r="CH34" s="133" t="n"/>
      <c r="CI34" s="140">
        <f>CH34*100/$E$34</f>
        <v/>
      </c>
      <c r="CJ34" s="133" t="n"/>
      <c r="CK34" s="140">
        <f>CJ34*100/$E$34</f>
        <v/>
      </c>
      <c r="CL34" s="133" t="n"/>
      <c r="CM34" s="140">
        <f>CL34*100/$E$34</f>
        <v/>
      </c>
      <c r="CN34" s="133" t="n">
        <v>2</v>
      </c>
      <c r="CO34" s="139">
        <f>CN34*100/$E$34</f>
        <v/>
      </c>
      <c r="CP34" s="133" t="n"/>
      <c r="CQ34" s="140">
        <f>CP34*100/$E$34</f>
        <v/>
      </c>
      <c r="CR34" s="133">
        <f>8+11+13</f>
        <v/>
      </c>
      <c r="CS34" s="139">
        <f>CR34*100/$E$34</f>
        <v/>
      </c>
      <c r="CT34" s="133" t="n"/>
      <c r="CU34" s="139">
        <f>CT34*100/$E$34</f>
        <v/>
      </c>
      <c r="CV34" s="133" t="n"/>
      <c r="CW34" s="139">
        <f>CV34*100/$E$34</f>
        <v/>
      </c>
      <c r="CX34" s="133" t="n"/>
      <c r="CY34" s="139">
        <f>CX34*100/$E$34</f>
        <v/>
      </c>
      <c r="CZ34" s="133" t="n"/>
      <c r="DA34" s="139">
        <f>CZ34*100/$E$34</f>
        <v/>
      </c>
      <c r="DB34" s="133" t="n"/>
      <c r="DC34" s="139">
        <f>DB34*100/$E$34</f>
        <v/>
      </c>
      <c r="DD34" s="133" t="n"/>
      <c r="DE34" s="139">
        <f>DD34*100/$E$34</f>
        <v/>
      </c>
      <c r="DF34" s="133" t="n"/>
      <c r="DG34" s="139">
        <f>DF34*100/$E$34</f>
        <v/>
      </c>
      <c r="DH34" s="133" t="n"/>
      <c r="DI34" s="139">
        <f>DH34*100/$E$34</f>
        <v/>
      </c>
      <c r="DJ34" s="133" t="n"/>
      <c r="DK34" s="139">
        <f>DJ34*100/$E$34</f>
        <v/>
      </c>
      <c r="DL34" s="133" t="n"/>
      <c r="DM34" s="139">
        <f>DL34*100/$E$34</f>
        <v/>
      </c>
      <c r="DN34" s="133" t="n"/>
      <c r="DO34" s="139">
        <f>DN34*100/$E$34</f>
        <v/>
      </c>
      <c r="DP34" s="133" t="n"/>
      <c r="DQ34" s="139">
        <f>DP34*100/$E$34</f>
        <v/>
      </c>
      <c r="DR34" s="133" t="n"/>
      <c r="DS34" s="139">
        <f>DR34*100/$E$34</f>
        <v/>
      </c>
      <c r="DT34" s="133" t="n"/>
      <c r="DU34" s="139">
        <f>DT34*100/$E$34</f>
        <v/>
      </c>
      <c r="DV34" s="133" t="n"/>
      <c r="DW34" s="139">
        <f>DV34*100/$E$34</f>
        <v/>
      </c>
      <c r="DX34" s="133" t="n"/>
      <c r="DY34" s="139">
        <f>DX34*100/$E$34</f>
        <v/>
      </c>
      <c r="DZ34" s="133" t="n">
        <v>5</v>
      </c>
      <c r="EA34" s="139">
        <f>DZ34*100/$E$34</f>
        <v/>
      </c>
      <c r="EB34" s="133">
        <f>12+12+3+12+2</f>
        <v/>
      </c>
      <c r="EC34" s="139">
        <f>EB34*100/$E$34</f>
        <v/>
      </c>
      <c r="ED34" s="133" t="n"/>
      <c r="EE34" s="139">
        <f>ED34*100/$E$34</f>
        <v/>
      </c>
      <c r="EF34" s="133" t="n"/>
      <c r="EG34" s="139">
        <f>EF34*100/$E$34</f>
        <v/>
      </c>
      <c r="EH34" s="133" t="n"/>
      <c r="EI34" s="139">
        <f>EH34*100/$E$34</f>
        <v/>
      </c>
      <c r="EJ34" s="133" t="n"/>
      <c r="EK34" s="139">
        <f>EJ34*100/$E$34</f>
        <v/>
      </c>
      <c r="EL34" s="133" t="n"/>
      <c r="EM34" s="139">
        <f>EL34*100/$E$34</f>
        <v/>
      </c>
      <c r="EN34" s="133" t="n"/>
      <c r="EO34" s="139">
        <f>EN34*100/$E$34</f>
        <v/>
      </c>
      <c r="EP34" s="133" t="n"/>
      <c r="EQ34" s="139">
        <f>EP34*100/$E$34</f>
        <v/>
      </c>
      <c r="ER34" s="133" t="n"/>
      <c r="ES34" s="139">
        <f>ER34*100/$E$34</f>
        <v/>
      </c>
      <c r="ET34" s="133" t="n"/>
      <c r="EU34" s="139">
        <f>ET34*100/$E$34</f>
        <v/>
      </c>
      <c r="EV34" s="133" t="n"/>
      <c r="EW34" s="139">
        <f>EV34*100/$E$34</f>
        <v/>
      </c>
      <c r="EX34" s="133" t="n"/>
      <c r="EY34" s="139">
        <f>EX34*100/$E$34</f>
        <v/>
      </c>
      <c r="EZ34" s="133" t="n"/>
      <c r="FA34" s="139">
        <f>EZ34*100/$E$34</f>
        <v/>
      </c>
      <c r="FB34" s="133" t="n"/>
      <c r="FC34" s="139">
        <f>FB34*100/$E$34</f>
        <v/>
      </c>
      <c r="FD34" s="133" t="n"/>
      <c r="FE34" s="139">
        <f>FD34*100/$E$34</f>
        <v/>
      </c>
      <c r="FF34" s="133" t="n"/>
      <c r="FG34" s="139">
        <f>FF34*100/$E$34</f>
        <v/>
      </c>
      <c r="FH34" s="133" t="n"/>
      <c r="FI34" s="139">
        <f>FH34*100/$E$34</f>
        <v/>
      </c>
      <c r="FJ34" s="133" t="n"/>
      <c r="FK34" s="139">
        <f>FJ34*100/$E$34</f>
        <v/>
      </c>
      <c r="FL34" s="133" t="n"/>
      <c r="FM34" s="139">
        <f>FL34*100/$E$34</f>
        <v/>
      </c>
      <c r="FN34" s="133" t="n"/>
      <c r="FO34" s="139">
        <f>FN34*100/$E$34</f>
        <v/>
      </c>
      <c r="FP34" s="133" t="n"/>
      <c r="FQ34" s="139">
        <f>FP34*100/$E$34</f>
        <v/>
      </c>
      <c r="FR34" s="133" t="n"/>
      <c r="FS34" s="139">
        <f>FR34*100/$E$34</f>
        <v/>
      </c>
      <c r="FT34" s="133" t="n"/>
      <c r="FU34" s="139">
        <f>FT34*100/$E$34</f>
        <v/>
      </c>
      <c r="FV34" s="133" t="n"/>
      <c r="FW34" s="139">
        <f>FV34*100/$E$34</f>
        <v/>
      </c>
      <c r="FX34" s="133" t="n"/>
      <c r="FY34" s="140">
        <f>FX34*100/$E$34</f>
        <v/>
      </c>
      <c r="FZ34" s="133" t="n"/>
      <c r="GA34" s="140">
        <f>FZ34*100/$E$34</f>
        <v/>
      </c>
      <c r="GB34" s="133" t="n"/>
      <c r="GC34" s="140">
        <f>GB34*100/$E$34</f>
        <v/>
      </c>
      <c r="GD34" s="133" t="n"/>
      <c r="GE34" s="140">
        <f>GD34*100/$E$34</f>
        <v/>
      </c>
      <c r="GF34" s="133" t="n"/>
      <c r="GG34" s="140">
        <f>GF34*100/$E$34</f>
        <v/>
      </c>
      <c r="GH34" s="133" t="n"/>
      <c r="GI34" s="140">
        <f>GH34*100/$E$34</f>
        <v/>
      </c>
      <c r="GJ34" s="133" t="n"/>
      <c r="GK34" s="139">
        <f>GJ34*100/$E$34</f>
        <v/>
      </c>
      <c r="GL34" s="133" t="n"/>
      <c r="GM34" s="140">
        <f>GL34*100/$E$34</f>
        <v/>
      </c>
      <c r="GN34" s="133" t="n"/>
      <c r="GO34" s="139">
        <f>GN34*100/$E$34</f>
        <v/>
      </c>
      <c r="GP34" s="133" t="n"/>
      <c r="GQ34" s="140">
        <f>GP34*100/$E$34</f>
        <v/>
      </c>
      <c r="GR34" s="133" t="n"/>
      <c r="GS34" s="139">
        <f>GR34*100/$E$34</f>
        <v/>
      </c>
      <c r="GT34" s="133" t="n"/>
      <c r="GU34" s="139">
        <f>GT34*100/$E$34</f>
        <v/>
      </c>
      <c r="GV34" s="133" t="n"/>
      <c r="GW34" s="139">
        <f>GV34*100/$E$34</f>
        <v/>
      </c>
      <c r="GX34" s="133" t="n"/>
      <c r="GY34" s="140">
        <f>GX34*100/$E$34</f>
        <v/>
      </c>
      <c r="GZ34" s="133" t="n"/>
      <c r="HA34" s="140">
        <f>GZ34*100/$E$34</f>
        <v/>
      </c>
      <c r="HB34" s="133" t="n"/>
      <c r="HC34" s="140">
        <f>HB34*100/$E$34</f>
        <v/>
      </c>
      <c r="HD34" s="133" t="n"/>
      <c r="HE34" s="140">
        <f>HD34*100/$E$34</f>
        <v/>
      </c>
      <c r="HF34" s="133" t="n"/>
      <c r="HG34" s="140">
        <f>HF34*100/$E$34</f>
        <v/>
      </c>
      <c r="HH34" s="133" t="n"/>
      <c r="HI34" s="140">
        <f>HH34*100/$E$34</f>
        <v/>
      </c>
      <c r="HJ34" s="133" t="n"/>
      <c r="HK34" s="140">
        <f>HJ34*100/$E$34</f>
        <v/>
      </c>
      <c r="HL34" s="133" t="n"/>
      <c r="HM34" s="140">
        <f>HL34*100/$E$34</f>
        <v/>
      </c>
      <c r="HN34" s="133" t="n"/>
      <c r="HO34" s="140">
        <f>HN34*100/$E$34</f>
        <v/>
      </c>
      <c r="HP34" s="133" t="n"/>
      <c r="HQ34" s="140">
        <f>HP34*100/$E$34</f>
        <v/>
      </c>
      <c r="HR34" s="133" t="n"/>
      <c r="HS34" s="140">
        <f>HR34*100/$E$34</f>
        <v/>
      </c>
      <c r="HT34" s="133" t="n"/>
      <c r="HU34" s="140">
        <f>HT34*100/$E$34</f>
        <v/>
      </c>
      <c r="HV34" s="133" t="n"/>
      <c r="HW34" s="140">
        <f>HV34*100/$E$34</f>
        <v/>
      </c>
      <c r="HX34" s="133" t="n"/>
      <c r="HY34" s="140">
        <f>HX34*100/$E$34</f>
        <v/>
      </c>
      <c r="HZ34" s="133" t="n"/>
      <c r="IA34" s="139">
        <f>HZ34*100/$E$34</f>
        <v/>
      </c>
      <c r="IB34" s="133" t="n"/>
      <c r="IC34" s="139">
        <f>IB34*100/$E$34</f>
        <v/>
      </c>
      <c r="ID34" s="133" t="n"/>
      <c r="IE34" s="139">
        <f>ID34*100/$E$34</f>
        <v/>
      </c>
      <c r="IF34" s="133" t="n"/>
      <c r="IG34" s="139">
        <f>IF34*100/$E$34</f>
        <v/>
      </c>
      <c r="IH34" s="133" t="n"/>
      <c r="II34" s="139">
        <f>IH34*100/$E$34</f>
        <v/>
      </c>
      <c r="IJ34" s="133" t="n"/>
      <c r="IK34" s="139">
        <f>IJ34*100/$E$34</f>
        <v/>
      </c>
      <c r="IL34" s="133" t="n"/>
      <c r="IM34" s="140">
        <f>IL34*100/$E$34</f>
        <v/>
      </c>
      <c r="IN34" s="133" t="n"/>
      <c r="IO34" s="140">
        <f>IN34*100/$E$34</f>
        <v/>
      </c>
      <c r="IP34" s="133" t="n"/>
      <c r="IQ34" s="139">
        <f>IP34*100/$E$34</f>
        <v/>
      </c>
      <c r="IR34" s="133" t="n"/>
      <c r="IS34" s="139">
        <f>IR34*100/$E$34</f>
        <v/>
      </c>
      <c r="IT34" s="133" t="n"/>
      <c r="IU34" s="139">
        <f>IT34*100/$E$34</f>
        <v/>
      </c>
      <c r="IV34" s="133" t="n"/>
      <c r="IW34" s="139">
        <f>IV34*100/$E$34</f>
        <v/>
      </c>
      <c r="IX34" s="133" t="n"/>
      <c r="IY34" s="139">
        <f>IX34*100/$E$34</f>
        <v/>
      </c>
      <c r="IZ34" s="133" t="n"/>
      <c r="JA34" s="139">
        <f>IZ34*100/$E$34</f>
        <v/>
      </c>
      <c r="JB34" s="133" t="n"/>
      <c r="JC34" s="139">
        <f>JB34*100/$E$34</f>
        <v/>
      </c>
      <c r="JD34" s="133" t="n"/>
      <c r="JE34" s="139">
        <f>JD34*100/$E$34</f>
        <v/>
      </c>
      <c r="JF34" s="133" t="n"/>
      <c r="JG34" s="139">
        <f>JF34*100/$E$34</f>
        <v/>
      </c>
      <c r="JH34" s="133" t="n"/>
      <c r="JI34" s="139">
        <f>JH34*100/$E$34</f>
        <v/>
      </c>
      <c r="JJ34" s="240" t="n">
        <v>3</v>
      </c>
      <c r="JK34" s="139">
        <f>JJ34*100/$E$34</f>
        <v/>
      </c>
      <c r="JL34" s="133">
        <f>10+12-3</f>
        <v/>
      </c>
      <c r="JM34" s="139">
        <f>JL34*100/$E$34</f>
        <v/>
      </c>
      <c r="JN34" s="133" t="n"/>
      <c r="JO34" s="139">
        <f>JN34*100/$E$34</f>
        <v/>
      </c>
      <c r="JP34" s="133" t="n"/>
      <c r="JQ34" s="139">
        <f>JP34*100/$E$34</f>
        <v/>
      </c>
      <c r="JR34" s="133" t="n"/>
      <c r="JS34" s="139">
        <f>JR34*100/$E$34</f>
        <v/>
      </c>
      <c r="JT34" s="133" t="n"/>
      <c r="JU34" s="182">
        <f>JT34*100/$E$34</f>
        <v/>
      </c>
      <c r="JV34" s="133" t="n"/>
      <c r="JW34" s="182">
        <f>JV34*100/$E$34</f>
        <v/>
      </c>
      <c r="JX34" s="133" t="n"/>
      <c r="JY34" s="182">
        <f>JX34*100/$E$34</f>
        <v/>
      </c>
      <c r="JZ34" s="183">
        <f>JN34+JP34+JR34+JT34+JV34+JX34</f>
        <v/>
      </c>
      <c r="KA34" s="184">
        <f>JO34+JQ34+JS34+JU34+JW34+JY34</f>
        <v/>
      </c>
      <c r="KB34" s="185">
        <f>H34+J34+L34+N34+P34+R34+T34+V34+X34+Z34+AB34+AD34+AF34+AH34+AJ34+AL34+AN34+AP34+AR34+AT34+AV34+AX34+AZ34+BB34+BD34+BF34+BH34+BJ34+BL34+BN34+BP34+BR34+BT34+BV34+BX34+BZ34+CB34+CD34+CF34+CH34+CZ34+DB34+DD34+DF34+DH34+DJ34+DL34+DN34+DP34+DR34+DT34+DV34+DX34+DZ34+EB34+ED34+EF34+EH34+EJ34+EL34+EN34+EP34+ER34+ET34+EV34+FN34+FP34+FR34+FT34+FV34+FX34+FZ34+GB34+GD34+GF34+GH34+GJ34+GL34+GN34+GP34+GR34+GT34+GV34+GX34+GZ34+HB34+HD34+HF34+HH34+HJ34+HL34+HN34+HP34+HR34+HT34+HV34+HX34+HZ34+IB34+ID34+IF34+IH34+IJ34+IL34+IN34+IP34+IR34+IT34+IV34+IX34+IZ34+JB34+JD34+JF34+JH34+JJ34+JL34+JZ34+CJ34+CL34+CN34+CP34+CR34+CT34+CV34+CX34+EX34+EZ34+FB34+FD34+FF34+FH34+FJ34+FL34</f>
        <v/>
      </c>
      <c r="KC34" s="186">
        <f>I34+K34+M34+O34+Q34+S34+U34+W34+Y34+AA34+AC34+AE34+AG34+AI34+AK34+AM34+AO34+AQ34+AS34+AU34+AW34+AY34+BA34+BC34+BE34+BG34+BI34+BK34+BM34+BO34+BQ34+BS34+BU34+BW34+BY34+CA34+CC34+CE34+CG34+CI34+DA34+DC34+DE34+DG34+DI34+DK34+DM34+DO34+DQ34+DS34+DU34+DW34+DY34+EA34+EC34+EE34+EG34+EI34+EK34+EM34+EO34+EQ34+ES34+EU34+EW34+FO34+FS34+FU34+FW34+FQ34+FY34+GA34+GC34+GE34+GG34+GI34+GK34+GM34+GO34+GQ34+GS34+GU34+GW34+GY34+HA34+HC34+HE34+HG34+HI34+HK34+HM34+HO34+HQ34+HS34+HU34+HW34+HY34+IA34+IC34+IE34+IG34+II34+IK34+IM34+IO34+IQ34+IS34+IU34+IW34+IY34+JA34+JC34+JE34+JG34+JI34+JK34+JM34+KA34+CK34+CM34+CO34+CQ34+CS34+CU34+CW34+CY34+EY34+FA34+FC34+FE34+FG34+FI34+FK34+FM34</f>
        <v/>
      </c>
      <c r="KD34" s="187">
        <f>JO34+JQ34+JS34+JU34+JW34+JY34</f>
        <v/>
      </c>
      <c r="KE34" s="188">
        <f>KB34=E34</f>
        <v/>
      </c>
      <c r="KF34" s="189">
        <f>E34-KB34</f>
        <v/>
      </c>
      <c r="KG34" s="212" t="n"/>
    </row>
    <row r="35" ht="21.75" customFormat="1" customHeight="1" s="212">
      <c r="A35" s="126">
        <f>A34+1</f>
        <v/>
      </c>
      <c r="B35" s="175" t="inlineStr">
        <is>
          <t>Носиков А.А.</t>
        </is>
      </c>
      <c r="C35" s="194" t="inlineStr">
        <is>
          <t>Фрезеровщик</t>
        </is>
      </c>
      <c r="D35" s="177">
        <f>$D$5</f>
        <v/>
      </c>
      <c r="E35" s="202" t="n">
        <v>180</v>
      </c>
      <c r="F35" s="193" t="n">
        <v>111265.05</v>
      </c>
      <c r="G35" s="179">
        <f>F35/D35</f>
        <v/>
      </c>
      <c r="H35" s="180" t="n"/>
      <c r="I35" s="140">
        <f>H35*100/$E$35</f>
        <v/>
      </c>
      <c r="J35" s="133" t="n"/>
      <c r="K35" s="140">
        <f>J35*100/$E$35</f>
        <v/>
      </c>
      <c r="L35" s="133" t="n"/>
      <c r="M35" s="140">
        <f>L35*100/$E$35</f>
        <v/>
      </c>
      <c r="N35" s="133" t="n"/>
      <c r="O35" s="140">
        <f>N35*100/$E$35</f>
        <v/>
      </c>
      <c r="P35" s="133" t="n"/>
      <c r="Q35" s="139">
        <f>P35*100/$E$35</f>
        <v/>
      </c>
      <c r="R35" s="133" t="n"/>
      <c r="S35" s="139">
        <f>R35*100/$E$35</f>
        <v/>
      </c>
      <c r="T35" s="133" t="n"/>
      <c r="U35" s="140">
        <f>T35*100/$E$35</f>
        <v/>
      </c>
      <c r="V35" s="133" t="n"/>
      <c r="W35" s="140">
        <f>V35*100/$E$35</f>
        <v/>
      </c>
      <c r="X35" s="133" t="n"/>
      <c r="Y35" s="140">
        <f>X35*100/$E$35</f>
        <v/>
      </c>
      <c r="Z35" s="133" t="n"/>
      <c r="AA35" s="140">
        <f>Z35*100/$E$35</f>
        <v/>
      </c>
      <c r="AB35" s="133" t="n">
        <v>2</v>
      </c>
      <c r="AC35" s="140">
        <f>AB35*100/$E$35</f>
        <v/>
      </c>
      <c r="AD35" s="133" t="n">
        <v>4</v>
      </c>
      <c r="AE35" s="139">
        <f>AD35*100/$E$35</f>
        <v/>
      </c>
      <c r="AF35" s="133" t="n"/>
      <c r="AG35" s="139">
        <f>AF35*100/$E$35</f>
        <v/>
      </c>
      <c r="AH35" s="133" t="n"/>
      <c r="AI35" s="140">
        <f>AH35*100/$E$35</f>
        <v/>
      </c>
      <c r="AJ35" s="133" t="n"/>
      <c r="AK35" s="140">
        <f>AJ35*100/$E$35</f>
        <v/>
      </c>
      <c r="AL35" s="133" t="n"/>
      <c r="AM35" s="140">
        <f>AL35*100/$E$35</f>
        <v/>
      </c>
      <c r="AN35" s="133" t="n"/>
      <c r="AO35" s="140">
        <f>AN35*100/$E$35</f>
        <v/>
      </c>
      <c r="AP35" s="133" t="n"/>
      <c r="AQ35" s="140">
        <f>AP35*100/$E$35</f>
        <v/>
      </c>
      <c r="AR35" s="133" t="n"/>
      <c r="AS35" s="140">
        <f>AR35*100/$E$35</f>
        <v/>
      </c>
      <c r="AT35" s="133" t="n"/>
      <c r="AU35" s="181">
        <f>AT35*100/$E$35</f>
        <v/>
      </c>
      <c r="AV35" s="133">
        <f>3+5</f>
        <v/>
      </c>
      <c r="AW35" s="140">
        <f>AV35*100/$E$35</f>
        <v/>
      </c>
      <c r="AX35" s="133" t="n"/>
      <c r="AY35" s="140">
        <f>AX35*100/$E$35</f>
        <v/>
      </c>
      <c r="AZ35" s="133" t="n">
        <v>4</v>
      </c>
      <c r="BA35" s="140">
        <f>AZ35*100/$E$35</f>
        <v/>
      </c>
      <c r="BB35" s="133" t="n"/>
      <c r="BC35" s="140">
        <f>BB35*100/$E$35</f>
        <v/>
      </c>
      <c r="BD35" s="133" t="n"/>
      <c r="BE35" s="140">
        <f>BD35*100/$E$35</f>
        <v/>
      </c>
      <c r="BF35" s="133" t="n"/>
      <c r="BG35" s="140">
        <f>BF35*100/$E$35</f>
        <v/>
      </c>
      <c r="BH35" s="133" t="n"/>
      <c r="BI35" s="140">
        <f>BH35*100/$E$35</f>
        <v/>
      </c>
      <c r="BJ35" s="133" t="n"/>
      <c r="BK35" s="140">
        <f>BJ35*100/$E$35</f>
        <v/>
      </c>
      <c r="BL35" s="133" t="n"/>
      <c r="BM35" s="140">
        <f>BL35*100/$E$35</f>
        <v/>
      </c>
      <c r="BN35" s="133" t="n"/>
      <c r="BO35" s="140">
        <f>BN35*100/$E$35</f>
        <v/>
      </c>
      <c r="BP35" s="133" t="n"/>
      <c r="BQ35" s="140">
        <f>BP35*100/$E$35</f>
        <v/>
      </c>
      <c r="BR35" s="133" t="n"/>
      <c r="BS35" s="140">
        <f>BR35*100/$E$35</f>
        <v/>
      </c>
      <c r="BT35" s="133" t="n"/>
      <c r="BU35" s="140">
        <f>BT35*100/$E$35</f>
        <v/>
      </c>
      <c r="BV35" s="133">
        <f>8+12+12</f>
        <v/>
      </c>
      <c r="BW35" s="140">
        <f>BV35*100/$E$35</f>
        <v/>
      </c>
      <c r="BX35" s="133" t="n"/>
      <c r="BY35" s="140">
        <f>BX35*100/$E$35</f>
        <v/>
      </c>
      <c r="BZ35" s="133" t="n"/>
      <c r="CA35" s="140">
        <f>BZ35*100/$E$35</f>
        <v/>
      </c>
      <c r="CB35" s="133" t="n"/>
      <c r="CC35" s="140">
        <f>CB35*100/$E$35</f>
        <v/>
      </c>
      <c r="CD35" s="133" t="n"/>
      <c r="CE35" s="140">
        <f>CD35*100/$E$35</f>
        <v/>
      </c>
      <c r="CF35" s="133" t="n"/>
      <c r="CG35" s="140">
        <f>CF35*100/$E$35</f>
        <v/>
      </c>
      <c r="CH35" s="133" t="n"/>
      <c r="CI35" s="140">
        <f>CH35*100/$E$35</f>
        <v/>
      </c>
      <c r="CJ35" s="133" t="n"/>
      <c r="CK35" s="140">
        <f>CJ35*100/$E$35</f>
        <v/>
      </c>
      <c r="CL35" s="133" t="n"/>
      <c r="CM35" s="140">
        <f>CL35*100/$E$35</f>
        <v/>
      </c>
      <c r="CN35" s="133" t="n">
        <v>1</v>
      </c>
      <c r="CO35" s="139">
        <f>CN35*100/$E$35</f>
        <v/>
      </c>
      <c r="CP35" s="133" t="n"/>
      <c r="CQ35" s="140">
        <f>CP35*100/$E$35</f>
        <v/>
      </c>
      <c r="CR35" s="133">
        <f>12+12+8+8+6+12+2+6+12+8</f>
        <v/>
      </c>
      <c r="CS35" s="139">
        <f>CR35*100/$E$35</f>
        <v/>
      </c>
      <c r="CT35" s="133" t="n">
        <v>12</v>
      </c>
      <c r="CU35" s="139">
        <f>CT35*100/$E$35</f>
        <v/>
      </c>
      <c r="CV35" s="133" t="n"/>
      <c r="CW35" s="139">
        <f>CV35*100/$E$35</f>
        <v/>
      </c>
      <c r="CX35" s="133" t="n"/>
      <c r="CY35" s="139">
        <f>CX35*100/$E$35</f>
        <v/>
      </c>
      <c r="CZ35" s="133" t="n">
        <v>12</v>
      </c>
      <c r="DA35" s="139">
        <f>CZ35*100/$E$35</f>
        <v/>
      </c>
      <c r="DB35" s="133" t="n"/>
      <c r="DC35" s="139">
        <f>DB35*100/$E$35</f>
        <v/>
      </c>
      <c r="DD35" s="133" t="n"/>
      <c r="DE35" s="139">
        <f>DD35*100/$E$35</f>
        <v/>
      </c>
      <c r="DF35" s="133" t="n">
        <v>5</v>
      </c>
      <c r="DG35" s="139">
        <f>DF35*100/$E$35</f>
        <v/>
      </c>
      <c r="DH35" s="133" t="n"/>
      <c r="DI35" s="139">
        <f>DH35*100/$E$35</f>
        <v/>
      </c>
      <c r="DJ35" s="133" t="n">
        <v>4</v>
      </c>
      <c r="DK35" s="139">
        <f>DJ35*100/$E$35</f>
        <v/>
      </c>
      <c r="DL35" s="133" t="n"/>
      <c r="DM35" s="139">
        <f>DL35*100/$E$35</f>
        <v/>
      </c>
      <c r="DN35" s="133" t="n"/>
      <c r="DO35" s="139">
        <f>DN35*100/$E$35</f>
        <v/>
      </c>
      <c r="DP35" s="133" t="n"/>
      <c r="DQ35" s="139">
        <f>DP35*100/$E$35</f>
        <v/>
      </c>
      <c r="DR35" s="133" t="n"/>
      <c r="DS35" s="139">
        <f>DR35*100/$E$35</f>
        <v/>
      </c>
      <c r="DT35" s="133" t="n"/>
      <c r="DU35" s="139">
        <f>DT35*100/$E$35</f>
        <v/>
      </c>
      <c r="DV35" s="133" t="n"/>
      <c r="DW35" s="139">
        <f>DV35*100/$E$35</f>
        <v/>
      </c>
      <c r="DX35" s="133" t="n"/>
      <c r="DY35" s="139">
        <f>DX35*100/$E$35</f>
        <v/>
      </c>
      <c r="DZ35" s="133" t="n"/>
      <c r="EA35" s="139">
        <f>DZ35*100/$E$35</f>
        <v/>
      </c>
      <c r="EB35" s="133" t="n"/>
      <c r="EC35" s="139">
        <f>EB35*100/$E$35</f>
        <v/>
      </c>
      <c r="ED35" s="133" t="n">
        <v>2</v>
      </c>
      <c r="EE35" s="139">
        <f>ED35*100/$E$35</f>
        <v/>
      </c>
      <c r="EF35" s="133" t="n">
        <v>3</v>
      </c>
      <c r="EG35" s="139">
        <f>EF35*100/$E$35</f>
        <v/>
      </c>
      <c r="EH35" s="133" t="n">
        <v>3</v>
      </c>
      <c r="EI35" s="139">
        <f>EH35*100/$E$35</f>
        <v/>
      </c>
      <c r="EJ35" s="133" t="n"/>
      <c r="EK35" s="139">
        <f>EJ35*100/$E$35</f>
        <v/>
      </c>
      <c r="EL35" s="133" t="n"/>
      <c r="EM35" s="139">
        <f>EL35*100/$E$35</f>
        <v/>
      </c>
      <c r="EN35" s="133" t="n"/>
      <c r="EO35" s="139">
        <f>EN35*100/$E$35</f>
        <v/>
      </c>
      <c r="EP35" s="133" t="n"/>
      <c r="EQ35" s="139">
        <f>EP35*100/$E$35</f>
        <v/>
      </c>
      <c r="ER35" s="133" t="n"/>
      <c r="ES35" s="139">
        <f>ER35*100/$E$35</f>
        <v/>
      </c>
      <c r="ET35" s="133" t="n"/>
      <c r="EU35" s="139">
        <f>ET35*100/$E$35</f>
        <v/>
      </c>
      <c r="EV35" s="133" t="n"/>
      <c r="EW35" s="139">
        <f>EV35*100/$E$35</f>
        <v/>
      </c>
      <c r="EX35" s="133" t="n"/>
      <c r="EY35" s="139">
        <f>EX35*100/$E$35</f>
        <v/>
      </c>
      <c r="EZ35" s="133" t="n"/>
      <c r="FA35" s="139">
        <f>EZ35*100/$E$35</f>
        <v/>
      </c>
      <c r="FB35" s="133" t="n"/>
      <c r="FC35" s="139">
        <f>FB35*100/$E$35</f>
        <v/>
      </c>
      <c r="FD35" s="133" t="n"/>
      <c r="FE35" s="139">
        <f>FD35*100/$E$35</f>
        <v/>
      </c>
      <c r="FF35" s="133" t="n"/>
      <c r="FG35" s="139">
        <f>FF35*100/$E$35</f>
        <v/>
      </c>
      <c r="FH35" s="133" t="n"/>
      <c r="FI35" s="139">
        <f>FH35*100/$E$35</f>
        <v/>
      </c>
      <c r="FJ35" s="133" t="n"/>
      <c r="FK35" s="139">
        <f>FJ35*100/$E$35</f>
        <v/>
      </c>
      <c r="FL35" s="133" t="n"/>
      <c r="FM35" s="139">
        <f>FL35*100/$E$35</f>
        <v/>
      </c>
      <c r="FN35" s="133" t="n"/>
      <c r="FO35" s="139">
        <f>FN35*100/$E$35</f>
        <v/>
      </c>
      <c r="FP35" s="133" t="n"/>
      <c r="FQ35" s="139">
        <f>FP35*100/$E$35</f>
        <v/>
      </c>
      <c r="FR35" s="133" t="n"/>
      <c r="FS35" s="139">
        <f>FR35*100/$E$35</f>
        <v/>
      </c>
      <c r="FT35" s="133" t="n"/>
      <c r="FU35" s="139">
        <f>FT35*100/$E$35</f>
        <v/>
      </c>
      <c r="FV35" s="133" t="n"/>
      <c r="FW35" s="139">
        <f>FV35*100/$E$35</f>
        <v/>
      </c>
      <c r="FX35" s="133" t="n"/>
      <c r="FY35" s="140">
        <f>FX35*100/$E$35</f>
        <v/>
      </c>
      <c r="FZ35" s="133" t="n"/>
      <c r="GA35" s="140">
        <f>FZ35*100/$E$35</f>
        <v/>
      </c>
      <c r="GB35" s="133" t="n"/>
      <c r="GC35" s="140">
        <f>GB35*100/$E$35</f>
        <v/>
      </c>
      <c r="GD35" s="133" t="n"/>
      <c r="GE35" s="140">
        <f>GD35*100/$E$35</f>
        <v/>
      </c>
      <c r="GF35" s="133" t="n"/>
      <c r="GG35" s="140">
        <f>GF35*100/$E$35</f>
        <v/>
      </c>
      <c r="GH35" s="133" t="n"/>
      <c r="GI35" s="140">
        <f>GH35*100/$E$35</f>
        <v/>
      </c>
      <c r="GJ35" s="133" t="n"/>
      <c r="GK35" s="139">
        <f>GJ35*100/$E$35</f>
        <v/>
      </c>
      <c r="GL35" s="133" t="n"/>
      <c r="GM35" s="140">
        <f>GL35*100/$E$35</f>
        <v/>
      </c>
      <c r="GN35" s="133" t="n"/>
      <c r="GO35" s="139">
        <f>GN35*100/$E$35</f>
        <v/>
      </c>
      <c r="GP35" s="133" t="n"/>
      <c r="GQ35" s="140">
        <f>GP35*100/$E$35</f>
        <v/>
      </c>
      <c r="GR35" s="133" t="n"/>
      <c r="GS35" s="139">
        <f>GR35*100/$E$35</f>
        <v/>
      </c>
      <c r="GT35" s="133" t="n"/>
      <c r="GU35" s="139">
        <f>GT35*100/$E$35</f>
        <v/>
      </c>
      <c r="GV35" s="133" t="n"/>
      <c r="GW35" s="139">
        <f>GV35*100/$E$35</f>
        <v/>
      </c>
      <c r="GX35" s="133" t="n"/>
      <c r="GY35" s="140">
        <f>GX35*100/$E$35</f>
        <v/>
      </c>
      <c r="GZ35" s="133" t="n"/>
      <c r="HA35" s="140">
        <f>GZ35*100/$E$35</f>
        <v/>
      </c>
      <c r="HB35" s="133" t="n"/>
      <c r="HC35" s="140">
        <f>HB35*100/$E$35</f>
        <v/>
      </c>
      <c r="HD35" s="133" t="n"/>
      <c r="HE35" s="140">
        <f>HD35*100/$E$35</f>
        <v/>
      </c>
      <c r="HF35" s="133" t="n"/>
      <c r="HG35" s="140">
        <f>HF35*100/$E$35</f>
        <v/>
      </c>
      <c r="HH35" s="133" t="n"/>
      <c r="HI35" s="140">
        <f>HH35*100/$E$35</f>
        <v/>
      </c>
      <c r="HJ35" s="133" t="n"/>
      <c r="HK35" s="140">
        <f>HJ35*100/$E$35</f>
        <v/>
      </c>
      <c r="HL35" s="133" t="n"/>
      <c r="HM35" s="140">
        <f>HL35*100/$E$35</f>
        <v/>
      </c>
      <c r="HN35" s="133" t="n"/>
      <c r="HO35" s="140">
        <f>HN35*100/$E$35</f>
        <v/>
      </c>
      <c r="HP35" s="133" t="n"/>
      <c r="HQ35" s="140">
        <f>HP35*100/$E$35</f>
        <v/>
      </c>
      <c r="HR35" s="133" t="n"/>
      <c r="HS35" s="140">
        <f>HR35*100/$E$35</f>
        <v/>
      </c>
      <c r="HT35" s="133" t="n"/>
      <c r="HU35" s="140">
        <f>HT35*100/$E$35</f>
        <v/>
      </c>
      <c r="HV35" s="133" t="n"/>
      <c r="HW35" s="140">
        <f>HV35*100/$E$35</f>
        <v/>
      </c>
      <c r="HX35" s="133" t="n"/>
      <c r="HY35" s="140">
        <f>HX35*100/$E$35</f>
        <v/>
      </c>
      <c r="HZ35" s="133" t="n"/>
      <c r="IA35" s="139">
        <f>HZ35*100/$E$35</f>
        <v/>
      </c>
      <c r="IB35" s="133" t="n"/>
      <c r="IC35" s="139">
        <f>IB35*100/$E$35</f>
        <v/>
      </c>
      <c r="ID35" s="133" t="n"/>
      <c r="IE35" s="139">
        <f>ID35*100/$E$35</f>
        <v/>
      </c>
      <c r="IF35" s="133" t="n"/>
      <c r="IG35" s="139">
        <f>IF35*100/$E$35</f>
        <v/>
      </c>
      <c r="IH35" s="133" t="n"/>
      <c r="II35" s="139">
        <f>IH35*100/$E$35</f>
        <v/>
      </c>
      <c r="IJ35" s="133" t="n"/>
      <c r="IK35" s="139">
        <f>IJ35*100/$E$35</f>
        <v/>
      </c>
      <c r="IL35" s="133" t="n"/>
      <c r="IM35" s="140">
        <f>IL35*100/$E$35</f>
        <v/>
      </c>
      <c r="IN35" s="133" t="n"/>
      <c r="IO35" s="140">
        <f>IN35*100/$E$35</f>
        <v/>
      </c>
      <c r="IP35" s="133" t="n"/>
      <c r="IQ35" s="139">
        <f>IP35*100/$E$35</f>
        <v/>
      </c>
      <c r="IR35" s="133" t="n"/>
      <c r="IS35" s="139">
        <f>IR35*100/$E$35</f>
        <v/>
      </c>
      <c r="IT35" s="133" t="n"/>
      <c r="IU35" s="139">
        <f>IT35*100/$E$35</f>
        <v/>
      </c>
      <c r="IV35" s="133" t="n"/>
      <c r="IW35" s="139">
        <f>IV35*100/$E$35</f>
        <v/>
      </c>
      <c r="IX35" s="133" t="n"/>
      <c r="IY35" s="139">
        <f>IX35*100/$E$35</f>
        <v/>
      </c>
      <c r="IZ35" s="133" t="n"/>
      <c r="JA35" s="139">
        <f>IZ35*100/$E$35</f>
        <v/>
      </c>
      <c r="JB35" s="133" t="n"/>
      <c r="JC35" s="139">
        <f>JB35*100/$E$35</f>
        <v/>
      </c>
      <c r="JD35" s="133" t="n"/>
      <c r="JE35" s="139">
        <f>JD35*100/$E$35</f>
        <v/>
      </c>
      <c r="JF35" s="133" t="n"/>
      <c r="JG35" s="139">
        <f>JF35*100/$E$35</f>
        <v/>
      </c>
      <c r="JH35" s="133" t="n"/>
      <c r="JI35" s="139">
        <f>JH35*100/$E$35</f>
        <v/>
      </c>
      <c r="JJ35" s="133" t="n"/>
      <c r="JK35" s="139">
        <f>JJ35*100/$E$35</f>
        <v/>
      </c>
      <c r="JL35" s="133" t="n">
        <v>2</v>
      </c>
      <c r="JM35" s="139">
        <f>JL35*100/$E$35</f>
        <v/>
      </c>
      <c r="JN35" s="133" t="n"/>
      <c r="JO35" s="139">
        <f>JN35*100/$E$35</f>
        <v/>
      </c>
      <c r="JP35" s="133" t="n"/>
      <c r="JQ35" s="139">
        <f>JP35*100/$E$35</f>
        <v/>
      </c>
      <c r="JR35" s="133" t="n"/>
      <c r="JS35" s="139">
        <f>JR35*100/$E$35</f>
        <v/>
      </c>
      <c r="JT35" s="133" t="n"/>
      <c r="JU35" s="182">
        <f>JT35*100/$E$35</f>
        <v/>
      </c>
      <c r="JV35" s="225" t="n"/>
      <c r="JW35" s="182">
        <f>JV35*100/$E$35</f>
        <v/>
      </c>
      <c r="JX35" s="225" t="n"/>
      <c r="JY35" s="182">
        <f>JX35*100/$E$35</f>
        <v/>
      </c>
      <c r="JZ35" s="183">
        <f>JN35+JP35+JR35+JT35+JV35+JX35</f>
        <v/>
      </c>
      <c r="KA35" s="184">
        <f>JO35+JQ35+JS35+JU35+JW35+JY35</f>
        <v/>
      </c>
      <c r="KB35" s="185">
        <f>H35+J35+L35+N35+P35+R35+T35+V35+X35+Z35+AB35+AD35+AF35+AH35+AJ35+AL35+AN35+AP35+AR35+AT35+AV35+AX35+AZ35+BB35+BD35+BF35+BH35+BJ35+BL35+BN35+BP35+BR35+BT35+BV35+BX35+BZ35+CB35+CD35+CF35+CH35+CZ35+DB35+DD35+DF35+DH35+DJ35+DL35+DN35+DP35+DR35+DT35+DV35+DX35+DZ35+EB35+ED35+EF35+EH35+EJ35+EL35+EN35+EP35+ER35+ET35+EV35+FN35+FP35+FR35+FT35+FV35+FX35+FZ35+GB35+GD35+GF35+GH35+GJ35+GL35+GN35+GP35+GR35+GT35+GV35+GX35+GZ35+HB35+HD35+HF35+HH35+HJ35+HL35+HN35+HP35+HR35+HT35+HV35+HX35+HZ35+IB35+ID35+IF35+IH35+IJ35+IL35+IN35+IP35+IR35+IT35+IV35+IX35+IZ35+JB35+JD35+JF35+JH35+JJ35+JL35+JZ35+CJ35+CL35+CN35+CP35+CR35+CT35+CV35+CX35+EX35+EZ35+FB35+FD35+FF35+FH35+FJ35+FL35</f>
        <v/>
      </c>
      <c r="KC35" s="186">
        <f>I35+K35+M35+O35+Q35+S35+U35+W35+Y35+AA35+AC35+AE35+AG35+AI35+AK35+AM35+AO35+AQ35+AS35+AU35+AW35+AY35+BA35+BC35+BE35+BG35+BI35+BK35+BM35+BO35+BQ35+BS35+BU35+BW35+BY35+CA35+CC35+CE35+CG35+CI35+DA35+DC35+DE35+DG35+DI35+DK35+DM35+DO35+DQ35+DS35+DU35+DW35+DY35+EA35+EC35+EE35+EG35+EI35+EK35+EM35+EO35+EQ35+ES35+EU35+EW35+FO35+FS35+FU35+FW35+FQ35+FY35+GA35+GC35+GE35+GG35+GI35+GK35+GM35+GO35+GQ35+GS35+GU35+GW35+GY35+HA35+HC35+HE35+HG35+HI35+HK35+HM35+HO35+HQ35+HS35+HU35+HW35+HY35+IA35+IC35+IE35+IG35+II35+IK35+IM35+IO35+IQ35+IS35+IU35+IW35+IY35+JA35+JC35+JE35+JG35+JI35+JK35+JM35+KA35+CK35+CM35+CO35+CQ35+CS35+CU35+CW35+CY35+EY35+FA35+FC35+FE35+FG35+FI35+FK35+FM35</f>
        <v/>
      </c>
      <c r="KD35" s="187">
        <f>JO35+JQ35+JS35+JU35+JW35+JY35</f>
        <v/>
      </c>
      <c r="KE35" s="188">
        <f>KB35=E35</f>
        <v/>
      </c>
      <c r="KF35" s="189">
        <f>E35-KB35</f>
        <v/>
      </c>
      <c r="KG35" s="213" t="n"/>
    </row>
    <row r="36" ht="21.75" customFormat="1" customHeight="1" s="213">
      <c r="A36" s="126">
        <f>A35+1</f>
        <v/>
      </c>
      <c r="B36" s="175" t="inlineStr">
        <is>
          <t>Ряснов С.О.</t>
        </is>
      </c>
      <c r="C36" s="176" t="inlineStr">
        <is>
          <t>Фрезеровщик</t>
        </is>
      </c>
      <c r="D36" s="177">
        <f>$D$5</f>
        <v/>
      </c>
      <c r="E36" s="202" t="n">
        <v>156</v>
      </c>
      <c r="F36" s="193" t="n">
        <v>111265.05</v>
      </c>
      <c r="G36" s="179">
        <f>F36/D36</f>
        <v/>
      </c>
      <c r="H36" s="180" t="n"/>
      <c r="I36" s="140">
        <f>H36*100/$E$36</f>
        <v/>
      </c>
      <c r="J36" s="133" t="n"/>
      <c r="K36" s="140">
        <f>J36*100/$E$36</f>
        <v/>
      </c>
      <c r="L36" s="133" t="n"/>
      <c r="M36" s="140">
        <f>L36*100/$E$36</f>
        <v/>
      </c>
      <c r="N36" s="133" t="n"/>
      <c r="O36" s="140">
        <f>N36*100/$E$36</f>
        <v/>
      </c>
      <c r="P36" s="133" t="n"/>
      <c r="Q36" s="139">
        <f>P36*100/$E$36</f>
        <v/>
      </c>
      <c r="R36" s="133" t="n"/>
      <c r="S36" s="139">
        <f>R36*100/$E$36</f>
        <v/>
      </c>
      <c r="T36" s="133" t="n"/>
      <c r="U36" s="140">
        <f>T36*100/$E$36</f>
        <v/>
      </c>
      <c r="V36" s="133" t="n"/>
      <c r="W36" s="140">
        <f>V36*100/$E$36</f>
        <v/>
      </c>
      <c r="X36" s="133" t="n"/>
      <c r="Y36" s="140">
        <f>X36*100/$E$36</f>
        <v/>
      </c>
      <c r="Z36" s="133" t="n"/>
      <c r="AA36" s="140">
        <f>Z36*100/$E$36</f>
        <v/>
      </c>
      <c r="AB36" s="133" t="n"/>
      <c r="AC36" s="140">
        <f>AB36*100/$E$36</f>
        <v/>
      </c>
      <c r="AD36" s="133" t="n"/>
      <c r="AE36" s="139">
        <f>AD36*100/$E$36</f>
        <v/>
      </c>
      <c r="AF36" s="133" t="n"/>
      <c r="AG36" s="139">
        <f>AF36*100/$E$36</f>
        <v/>
      </c>
      <c r="AH36" s="133" t="n">
        <v>12</v>
      </c>
      <c r="AI36" s="140">
        <f>AH36*100/$E$36</f>
        <v/>
      </c>
      <c r="AJ36" s="133" t="n"/>
      <c r="AK36" s="140">
        <f>AJ36*100/$E$36</f>
        <v/>
      </c>
      <c r="AL36" s="133" t="n">
        <v>4</v>
      </c>
      <c r="AM36" s="140">
        <f>AL36*100/$E$36</f>
        <v/>
      </c>
      <c r="AN36" s="133" t="n"/>
      <c r="AO36" s="140">
        <f>AN36*100/$E$36</f>
        <v/>
      </c>
      <c r="AP36" s="133" t="n"/>
      <c r="AQ36" s="140">
        <f>AP36*100/$E$36</f>
        <v/>
      </c>
      <c r="AR36" s="133" t="n">
        <v>6</v>
      </c>
      <c r="AS36" s="140">
        <f>AR36*100/$E$36</f>
        <v/>
      </c>
      <c r="AT36" s="133" t="n"/>
      <c r="AU36" s="181">
        <f>AT36*100/$E$36</f>
        <v/>
      </c>
      <c r="AV36" s="133" t="n"/>
      <c r="AW36" s="140">
        <f>AV36*100/$E$36</f>
        <v/>
      </c>
      <c r="AX36" s="133" t="n"/>
      <c r="AY36" s="140">
        <f>AX36*100/$E$36</f>
        <v/>
      </c>
      <c r="AZ36" s="133" t="n"/>
      <c r="BA36" s="140">
        <f>AZ36*100/$E$36</f>
        <v/>
      </c>
      <c r="BB36" s="133" t="n"/>
      <c r="BC36" s="140">
        <f>BB36*100/$E$36</f>
        <v/>
      </c>
      <c r="BD36" s="133" t="n"/>
      <c r="BE36" s="140">
        <f>BD36*100/$E$36</f>
        <v/>
      </c>
      <c r="BF36" s="133" t="n"/>
      <c r="BG36" s="140">
        <f>BF36*100/$E$36</f>
        <v/>
      </c>
      <c r="BH36" s="133" t="n"/>
      <c r="BI36" s="140">
        <f>BH36*100/$E$36</f>
        <v/>
      </c>
      <c r="BJ36" s="133" t="n"/>
      <c r="BK36" s="140">
        <f>BJ36*100/$E$36</f>
        <v/>
      </c>
      <c r="BL36" s="133" t="n"/>
      <c r="BM36" s="140">
        <f>BL36*100/$E$36</f>
        <v/>
      </c>
      <c r="BN36" s="133" t="n"/>
      <c r="BO36" s="140">
        <f>BN36*100/$E$36</f>
        <v/>
      </c>
      <c r="BP36" s="133" t="n"/>
      <c r="BQ36" s="140">
        <f>BP36*100/$E$36</f>
        <v/>
      </c>
      <c r="BR36" s="133" t="n"/>
      <c r="BS36" s="140">
        <f>BR36*100/$E$36</f>
        <v/>
      </c>
      <c r="BT36" s="133" t="n"/>
      <c r="BU36" s="140">
        <f>BT36*100/$E$36</f>
        <v/>
      </c>
      <c r="BV36" s="133">
        <f>12+8</f>
        <v/>
      </c>
      <c r="BW36" s="140">
        <f>BV36*100/$E$36</f>
        <v/>
      </c>
      <c r="BX36" s="133" t="n"/>
      <c r="BY36" s="140">
        <f>BX36*100/$E$36</f>
        <v/>
      </c>
      <c r="BZ36" s="133" t="n"/>
      <c r="CA36" s="140">
        <f>BZ36*100/$E$36</f>
        <v/>
      </c>
      <c r="CB36" s="133" t="n"/>
      <c r="CC36" s="140">
        <f>CB36*100/$E$36</f>
        <v/>
      </c>
      <c r="CD36" s="133" t="n"/>
      <c r="CE36" s="140">
        <f>CD36*100/$E$36</f>
        <v/>
      </c>
      <c r="CF36" s="133" t="n"/>
      <c r="CG36" s="140">
        <f>CF36*100/$E$36</f>
        <v/>
      </c>
      <c r="CH36" s="133" t="n"/>
      <c r="CI36" s="140">
        <f>CH36*100/$E$36</f>
        <v/>
      </c>
      <c r="CJ36" s="133" t="n"/>
      <c r="CK36" s="140">
        <f>CJ36*100/$E$36</f>
        <v/>
      </c>
      <c r="CL36" s="133" t="n"/>
      <c r="CM36" s="140">
        <f>CL36*100/$E$36</f>
        <v/>
      </c>
      <c r="CN36" s="133" t="n"/>
      <c r="CO36" s="139">
        <f>CN36*100/$E$36</f>
        <v/>
      </c>
      <c r="CP36" s="133" t="n"/>
      <c r="CQ36" s="140">
        <f>CP36*100/$E$36</f>
        <v/>
      </c>
      <c r="CR36" s="133">
        <f>12+12+12+12+12+12+12</f>
        <v/>
      </c>
      <c r="CS36" s="139">
        <f>CR36*100/$E$36</f>
        <v/>
      </c>
      <c r="CT36" s="133">
        <f>6+12</f>
        <v/>
      </c>
      <c r="CU36" s="139">
        <f>CT36*100/$E$36</f>
        <v/>
      </c>
      <c r="CV36" s="133" t="n"/>
      <c r="CW36" s="139">
        <f>CV36*100/$E$36</f>
        <v/>
      </c>
      <c r="CX36" s="133" t="n"/>
      <c r="CY36" s="139">
        <f>CX36*100/$E$36</f>
        <v/>
      </c>
      <c r="CZ36" s="133" t="n"/>
      <c r="DA36" s="139">
        <f>CZ36*100/$E$36</f>
        <v/>
      </c>
      <c r="DB36" s="133" t="n"/>
      <c r="DC36" s="139">
        <f>DB36*100/$E$36</f>
        <v/>
      </c>
      <c r="DD36" s="133" t="n"/>
      <c r="DE36" s="139">
        <f>DD36*100/$E$36</f>
        <v/>
      </c>
      <c r="DF36" s="133" t="n"/>
      <c r="DG36" s="139">
        <f>DF36*100/$E$36</f>
        <v/>
      </c>
      <c r="DH36" s="133" t="n"/>
      <c r="DI36" s="139">
        <f>DH36*100/$E$36</f>
        <v/>
      </c>
      <c r="DJ36" s="133" t="n"/>
      <c r="DK36" s="139">
        <f>DJ36*100/$E$36</f>
        <v/>
      </c>
      <c r="DL36" s="133" t="n"/>
      <c r="DM36" s="139">
        <f>DL36*100/$E$36</f>
        <v/>
      </c>
      <c r="DN36" s="133" t="n"/>
      <c r="DO36" s="139">
        <f>DN36*100/$E$36</f>
        <v/>
      </c>
      <c r="DP36" s="133" t="n"/>
      <c r="DQ36" s="139">
        <f>DP36*100/$E$36</f>
        <v/>
      </c>
      <c r="DR36" s="133" t="n"/>
      <c r="DS36" s="139">
        <f>DR36*100/$E$36</f>
        <v/>
      </c>
      <c r="DT36" s="133" t="n"/>
      <c r="DU36" s="139">
        <f>DT36*100/$E$36</f>
        <v/>
      </c>
      <c r="DV36" s="133" t="n"/>
      <c r="DW36" s="139">
        <f>DV36*100/$E$36</f>
        <v/>
      </c>
      <c r="DX36" s="133" t="n"/>
      <c r="DY36" s="139">
        <f>DX36*100/$E$36</f>
        <v/>
      </c>
      <c r="DZ36" s="133" t="n"/>
      <c r="EA36" s="139">
        <f>DZ36*100/$E$36</f>
        <v/>
      </c>
      <c r="EB36" s="133" t="n"/>
      <c r="EC36" s="139">
        <f>EB36*100/$E$36</f>
        <v/>
      </c>
      <c r="ED36" s="133" t="n"/>
      <c r="EE36" s="139">
        <f>ED36*100/$E$36</f>
        <v/>
      </c>
      <c r="EF36" s="133" t="n"/>
      <c r="EG36" s="139">
        <f>EF36*100/$E$36</f>
        <v/>
      </c>
      <c r="EH36" s="133" t="n"/>
      <c r="EI36" s="139">
        <f>EH36*100/$E$36</f>
        <v/>
      </c>
      <c r="EJ36" s="133" t="n">
        <v>12</v>
      </c>
      <c r="EK36" s="139">
        <f>EJ36*100/$E$36</f>
        <v/>
      </c>
      <c r="EL36" s="133" t="n"/>
      <c r="EM36" s="139">
        <f>EL36*100/$E$36</f>
        <v/>
      </c>
      <c r="EN36" s="133" t="n"/>
      <c r="EO36" s="139">
        <f>EN36*100/$E$36</f>
        <v/>
      </c>
      <c r="EP36" s="133" t="n"/>
      <c r="EQ36" s="139">
        <f>EP36*100/$E$36</f>
        <v/>
      </c>
      <c r="ER36" s="133" t="n"/>
      <c r="ES36" s="139">
        <f>ER36*100/$E$36</f>
        <v/>
      </c>
      <c r="ET36" s="133" t="n"/>
      <c r="EU36" s="139">
        <f>ET36*100/$E$36</f>
        <v/>
      </c>
      <c r="EV36" s="133" t="n"/>
      <c r="EW36" s="139">
        <f>EV36*100/$E$36</f>
        <v/>
      </c>
      <c r="EX36" s="133" t="n"/>
      <c r="EY36" s="139">
        <f>EX36*100/$E$36</f>
        <v/>
      </c>
      <c r="EZ36" s="133" t="n"/>
      <c r="FA36" s="139">
        <f>EZ36*100/$E$36</f>
        <v/>
      </c>
      <c r="FB36" s="133" t="n"/>
      <c r="FC36" s="139">
        <f>FB36*100/$E$36</f>
        <v/>
      </c>
      <c r="FD36" s="133" t="n"/>
      <c r="FE36" s="139">
        <f>FD36*100/$E$36</f>
        <v/>
      </c>
      <c r="FF36" s="133" t="n"/>
      <c r="FG36" s="139">
        <f>FF36*100/$E$36</f>
        <v/>
      </c>
      <c r="FH36" s="133" t="n"/>
      <c r="FI36" s="139">
        <f>FH36*100/$E$36</f>
        <v/>
      </c>
      <c r="FJ36" s="133" t="n"/>
      <c r="FK36" s="139">
        <f>FJ36*100/$E$36</f>
        <v/>
      </c>
      <c r="FL36" s="133" t="n"/>
      <c r="FM36" s="139">
        <f>FL36*100/$E$36</f>
        <v/>
      </c>
      <c r="FN36" s="133" t="n"/>
      <c r="FO36" s="139">
        <f>FN36*100/$E$36</f>
        <v/>
      </c>
      <c r="FP36" s="133" t="n"/>
      <c r="FQ36" s="139">
        <f>FP36*100/$E$36</f>
        <v/>
      </c>
      <c r="FR36" s="133" t="n"/>
      <c r="FS36" s="139">
        <f>FR36*100/$E$36</f>
        <v/>
      </c>
      <c r="FT36" s="133" t="n"/>
      <c r="FU36" s="139">
        <f>FT36*100/$E$36</f>
        <v/>
      </c>
      <c r="FV36" s="133" t="n"/>
      <c r="FW36" s="139">
        <f>FV36*100/$E$36</f>
        <v/>
      </c>
      <c r="FX36" s="133" t="n"/>
      <c r="FY36" s="140">
        <f>FX36*100/$E$36</f>
        <v/>
      </c>
      <c r="FZ36" s="133" t="n"/>
      <c r="GA36" s="140">
        <f>FZ36*100/$E$36</f>
        <v/>
      </c>
      <c r="GB36" s="133" t="n"/>
      <c r="GC36" s="140">
        <f>GB36*100/$E$36</f>
        <v/>
      </c>
      <c r="GD36" s="133" t="n"/>
      <c r="GE36" s="140">
        <f>GD36*100/$E$36</f>
        <v/>
      </c>
      <c r="GF36" s="133" t="n"/>
      <c r="GG36" s="140">
        <f>GF36*100/$E$36</f>
        <v/>
      </c>
      <c r="GH36" s="133" t="n"/>
      <c r="GI36" s="140">
        <f>GH36*100/$E$36</f>
        <v/>
      </c>
      <c r="GJ36" s="133" t="n"/>
      <c r="GK36" s="139">
        <f>GJ36*100/$E$36</f>
        <v/>
      </c>
      <c r="GL36" s="133" t="n"/>
      <c r="GM36" s="140">
        <f>GL36*100/$E$36</f>
        <v/>
      </c>
      <c r="GN36" s="133" t="n"/>
      <c r="GO36" s="139">
        <f>GN36*100/$E$36</f>
        <v/>
      </c>
      <c r="GP36" s="133" t="n"/>
      <c r="GQ36" s="140">
        <f>GP36*100/$E$36</f>
        <v/>
      </c>
      <c r="GR36" s="133" t="n"/>
      <c r="GS36" s="139">
        <f>GR36*100/$E$36</f>
        <v/>
      </c>
      <c r="GT36" s="133" t="n"/>
      <c r="GU36" s="139">
        <f>GT36*100/$E$36</f>
        <v/>
      </c>
      <c r="GV36" s="133" t="n"/>
      <c r="GW36" s="139">
        <f>GV36*100/$E$36</f>
        <v/>
      </c>
      <c r="GX36" s="133" t="n"/>
      <c r="GY36" s="140">
        <f>GX36*100/$E$36</f>
        <v/>
      </c>
      <c r="GZ36" s="133" t="n"/>
      <c r="HA36" s="140">
        <f>GZ36*100/$E$36</f>
        <v/>
      </c>
      <c r="HB36" s="133" t="n"/>
      <c r="HC36" s="140">
        <f>HB36*100/$E$36</f>
        <v/>
      </c>
      <c r="HD36" s="133" t="n"/>
      <c r="HE36" s="140">
        <f>HD36*100/$E$36</f>
        <v/>
      </c>
      <c r="HF36" s="133" t="n"/>
      <c r="HG36" s="140">
        <f>HF36*100/$E$36</f>
        <v/>
      </c>
      <c r="HH36" s="133" t="n"/>
      <c r="HI36" s="140">
        <f>HH36*100/$E$36</f>
        <v/>
      </c>
      <c r="HJ36" s="133" t="n"/>
      <c r="HK36" s="140">
        <f>HJ36*100/$E$36</f>
        <v/>
      </c>
      <c r="HL36" s="133" t="n"/>
      <c r="HM36" s="140">
        <f>HL36*100/$E$36</f>
        <v/>
      </c>
      <c r="HN36" s="133" t="n"/>
      <c r="HO36" s="140">
        <f>HN36*100/$E$36</f>
        <v/>
      </c>
      <c r="HP36" s="133" t="n"/>
      <c r="HQ36" s="140">
        <f>HP36*100/$E$36</f>
        <v/>
      </c>
      <c r="HR36" s="133" t="n"/>
      <c r="HS36" s="140">
        <f>HR36*100/$E$36</f>
        <v/>
      </c>
      <c r="HT36" s="133" t="n"/>
      <c r="HU36" s="140">
        <f>HT36*100/$E$36</f>
        <v/>
      </c>
      <c r="HV36" s="133" t="n"/>
      <c r="HW36" s="140">
        <f>HV36*100/$E$36</f>
        <v/>
      </c>
      <c r="HX36" s="133" t="n"/>
      <c r="HY36" s="140">
        <f>HX36*100/$E$36</f>
        <v/>
      </c>
      <c r="HZ36" s="133" t="n"/>
      <c r="IA36" s="139">
        <f>HZ36*100/$E$36</f>
        <v/>
      </c>
      <c r="IB36" s="133" t="n"/>
      <c r="IC36" s="139">
        <f>IB36*100/$E$36</f>
        <v/>
      </c>
      <c r="ID36" s="133" t="n"/>
      <c r="IE36" s="139">
        <f>ID36*100/$E$36</f>
        <v/>
      </c>
      <c r="IF36" s="133" t="n"/>
      <c r="IG36" s="139">
        <f>IF36*100/$E$36</f>
        <v/>
      </c>
      <c r="IH36" s="133" t="n"/>
      <c r="II36" s="139">
        <f>IH36*100/$E$36</f>
        <v/>
      </c>
      <c r="IJ36" s="133" t="n"/>
      <c r="IK36" s="139">
        <f>IJ36*100/$E$36</f>
        <v/>
      </c>
      <c r="IL36" s="133" t="n"/>
      <c r="IM36" s="140">
        <f>IL36*100/$E$36</f>
        <v/>
      </c>
      <c r="IN36" s="133" t="n"/>
      <c r="IO36" s="140">
        <f>IN36*100/$E$36</f>
        <v/>
      </c>
      <c r="IP36" s="133" t="n"/>
      <c r="IQ36" s="139">
        <f>IP36*100/$E$36</f>
        <v/>
      </c>
      <c r="IR36" s="133" t="n"/>
      <c r="IS36" s="139">
        <f>IR36*100/$E$36</f>
        <v/>
      </c>
      <c r="IT36" s="133" t="n"/>
      <c r="IU36" s="139">
        <f>IT36*100/$E$36</f>
        <v/>
      </c>
      <c r="IV36" s="133" t="n"/>
      <c r="IW36" s="139">
        <f>IV36*100/$E$36</f>
        <v/>
      </c>
      <c r="IX36" s="133" t="n"/>
      <c r="IY36" s="139">
        <f>IX36*100/$E$36</f>
        <v/>
      </c>
      <c r="IZ36" s="133" t="n"/>
      <c r="JA36" s="139">
        <f>IZ36*100/$E$36</f>
        <v/>
      </c>
      <c r="JB36" s="133" t="n"/>
      <c r="JC36" s="139">
        <f>JB36*100/$E$36</f>
        <v/>
      </c>
      <c r="JD36" s="133" t="n"/>
      <c r="JE36" s="139">
        <f>JD36*100/$E$36</f>
        <v/>
      </c>
      <c r="JF36" s="133" t="n"/>
      <c r="JG36" s="139">
        <f>JF36*100/$E$36</f>
        <v/>
      </c>
      <c r="JH36" s="133" t="n"/>
      <c r="JI36" s="139">
        <f>JH36*100/$E$36</f>
        <v/>
      </c>
      <c r="JJ36" s="133" t="n"/>
      <c r="JK36" s="139">
        <f>JJ36*100/$E$36</f>
        <v/>
      </c>
      <c r="JL36" s="133" t="n"/>
      <c r="JM36" s="139">
        <f>JL36*100/$E$36</f>
        <v/>
      </c>
      <c r="JN36" s="133" t="n"/>
      <c r="JO36" s="139">
        <f>JN36*100/$E$36</f>
        <v/>
      </c>
      <c r="JP36" s="133" t="n"/>
      <c r="JQ36" s="139">
        <f>JP36*100/$E$36</f>
        <v/>
      </c>
      <c r="JR36" s="133" t="n"/>
      <c r="JS36" s="139">
        <f>JR36*100/$E$36</f>
        <v/>
      </c>
      <c r="JT36" s="133" t="n"/>
      <c r="JU36" s="182">
        <f>JT36*100/$E$36</f>
        <v/>
      </c>
      <c r="JV36" s="133" t="n"/>
      <c r="JW36" s="182">
        <f>JV36*100/$E$36</f>
        <v/>
      </c>
      <c r="JX36" s="133" t="n"/>
      <c r="JY36" s="182">
        <f>JX36*100/$E$36</f>
        <v/>
      </c>
      <c r="JZ36" s="183">
        <f>JN36+JP36+JR36+JT36+JV36+JX36</f>
        <v/>
      </c>
      <c r="KA36" s="184">
        <f>JO36+JQ36+JS36+JU36+JW36+JY36</f>
        <v/>
      </c>
      <c r="KB36" s="185">
        <f>H36+J36+L36+N36+P36+R36+T36+V36+X36+Z36+AB36+AD36+AF36+AH36+AJ36+AL36+AN36+AP36+AR36+AT36+AV36+AX36+AZ36+BB36+BD36+BF36+BH36+BJ36+BL36+BN36+BP36+BR36+BT36+BV36+BX36+BZ36+CB36+CD36+CF36+CH36+CZ36+DB36+DD36+DF36+DH36+DJ36+DL36+DN36+DP36+DR36+DT36+DV36+DX36+DZ36+EB36+ED36+EF36+EH36+EJ36+EL36+EN36+EP36+ER36+ET36+EV36+FN36+FP36+FR36+FT36+FV36+FX36+FZ36+GB36+GD36+GF36+GH36+GJ36+GL36+GN36+GP36+GR36+GT36+GV36+GX36+GZ36+HB36+HD36+HF36+HH36+HJ36+HL36+HN36+HP36+HR36+HT36+HV36+HX36+HZ36+IB36+ID36+IF36+IH36+IJ36+IL36+IN36+IP36+IR36+IT36+IV36+IX36+IZ36+JB36+JD36+JF36+JH36+JJ36+JL36+JZ36+CJ36+CL36+CN36+CP36+CR36+CT36+CV36+CX36+EX36+EZ36+FB36+FD36+FF36+FH36+FJ36+FL36</f>
        <v/>
      </c>
      <c r="KC36" s="186">
        <f>I36+K36+M36+O36+Q36+S36+U36+W36+Y36+AA36+AC36+AE36+AG36+AI36+AK36+AM36+AO36+AQ36+AS36+AU36+AW36+AY36+BA36+BC36+BE36+BG36+BI36+BK36+BM36+BO36+BQ36+BS36+BU36+BW36+BY36+CA36+CC36+CE36+CG36+CI36+DA36+DC36+DE36+DG36+DI36+DK36+DM36+DO36+DQ36+DS36+DU36+DW36+DY36+EA36+EC36+EE36+EG36+EI36+EK36+EM36+EO36+EQ36+ES36+EU36+EW36+FO36+FS36+FU36+FW36+FQ36+FY36+GA36+GC36+GE36+GG36+GI36+GK36+GM36+GO36+GQ36+GS36+GU36+GW36+GY36+HA36+HC36+HE36+HG36+HI36+HK36+HM36+HO36+HQ36+HS36+HU36+HW36+HY36+IA36+IC36+IE36+IG36+II36+IK36+IM36+IO36+IQ36+IS36+IU36+IW36+IY36+JA36+JC36+JE36+JG36+JI36+JK36+JM36+KA36+CK36+CM36+CO36+CQ36+CS36+CU36+CW36+CY36+EY36+FA36+FC36+FE36+FG36+FI36+FK36+FM36</f>
        <v/>
      </c>
      <c r="KD36" s="187">
        <f>JO36+JQ36+JS36+JU36+JW36+JY36</f>
        <v/>
      </c>
      <c r="KE36" s="188">
        <f>KB36=E36</f>
        <v/>
      </c>
      <c r="KF36" s="189">
        <f>E36-KB36</f>
        <v/>
      </c>
      <c r="KG36" s="214" t="n"/>
    </row>
    <row r="37" ht="22.5" customFormat="1" customHeight="1" s="213">
      <c r="A37" s="126">
        <f>A36+1</f>
        <v/>
      </c>
      <c r="B37" s="175" t="inlineStr">
        <is>
          <t>Протасов С.А.</t>
        </is>
      </c>
      <c r="C37" s="194" t="inlineStr">
        <is>
          <t>слесарь МСР</t>
        </is>
      </c>
      <c r="D37" s="177">
        <f>$D$5</f>
        <v/>
      </c>
      <c r="E37" s="202" t="n">
        <v>170</v>
      </c>
      <c r="F37" s="193" t="n">
        <v>92564.64</v>
      </c>
      <c r="G37" s="179">
        <f>F37/D37</f>
        <v/>
      </c>
      <c r="H37" s="180" t="n"/>
      <c r="I37" s="140">
        <f>H37*100/$E$37</f>
        <v/>
      </c>
      <c r="J37" s="133" t="n"/>
      <c r="K37" s="140">
        <f>J37*100/$E$37</f>
        <v/>
      </c>
      <c r="L37" s="133" t="n"/>
      <c r="M37" s="140">
        <f>L37*100/$E$37</f>
        <v/>
      </c>
      <c r="N37" s="133" t="n"/>
      <c r="O37" s="140">
        <f>N37*100/$E$37</f>
        <v/>
      </c>
      <c r="P37" s="133" t="n"/>
      <c r="Q37" s="139">
        <f>P37*100/$E$37</f>
        <v/>
      </c>
      <c r="R37" s="133" t="n"/>
      <c r="S37" s="139">
        <f>R37*100/$E$37</f>
        <v/>
      </c>
      <c r="T37" s="133" t="n"/>
      <c r="U37" s="140">
        <f>T37*100/$E$37</f>
        <v/>
      </c>
      <c r="V37" s="133" t="n"/>
      <c r="W37" s="140">
        <f>V37*100/$E$37</f>
        <v/>
      </c>
      <c r="X37" s="133" t="n"/>
      <c r="Y37" s="140">
        <f>X37*100/$E$37</f>
        <v/>
      </c>
      <c r="Z37" s="133" t="n"/>
      <c r="AA37" s="140">
        <f>Z37*100/$E$37</f>
        <v/>
      </c>
      <c r="AB37" s="133" t="n"/>
      <c r="AC37" s="140">
        <f>AB37*100/$E$37</f>
        <v/>
      </c>
      <c r="AD37" s="133" t="n"/>
      <c r="AE37" s="139">
        <f>AD37*100/$E$37</f>
        <v/>
      </c>
      <c r="AF37" s="133" t="n"/>
      <c r="AG37" s="139">
        <f>AF37*100/$E$37</f>
        <v/>
      </c>
      <c r="AH37" s="133" t="n"/>
      <c r="AI37" s="140">
        <f>AH37*100/$E$37</f>
        <v/>
      </c>
      <c r="AJ37" s="133" t="n"/>
      <c r="AK37" s="140">
        <f>AJ37*100/$E$37</f>
        <v/>
      </c>
      <c r="AL37" s="133" t="n"/>
      <c r="AM37" s="140">
        <f>AL37*100/$E$37</f>
        <v/>
      </c>
      <c r="AN37" s="133" t="n"/>
      <c r="AO37" s="140">
        <f>AN37*100/$E$37</f>
        <v/>
      </c>
      <c r="AP37" s="133" t="n"/>
      <c r="AQ37" s="140">
        <f>AP37*100/$E$37</f>
        <v/>
      </c>
      <c r="AR37" s="133" t="n"/>
      <c r="AS37" s="140">
        <f>AR37*100/$E$37</f>
        <v/>
      </c>
      <c r="AT37" s="133" t="n"/>
      <c r="AU37" s="181">
        <f>AT37*100/$E$37</f>
        <v/>
      </c>
      <c r="AV37" s="133">
        <f>4+3+8+4+4</f>
        <v/>
      </c>
      <c r="AW37" s="140">
        <f>AV37*100/$E$37</f>
        <v/>
      </c>
      <c r="AX37" s="133" t="n"/>
      <c r="AY37" s="140">
        <f>AX37*100/$E$37</f>
        <v/>
      </c>
      <c r="AZ37" s="133">
        <f>2+8+5+3</f>
        <v/>
      </c>
      <c r="BA37" s="140">
        <f>AZ37*100/$E$37</f>
        <v/>
      </c>
      <c r="BB37" s="133" t="n"/>
      <c r="BC37" s="140">
        <f>BB37*100/$E$37</f>
        <v/>
      </c>
      <c r="BD37" s="133">
        <f>2+2+5+8+2+3+4+3</f>
        <v/>
      </c>
      <c r="BE37" s="140">
        <f>BD37*100/$E$37</f>
        <v/>
      </c>
      <c r="BF37" s="133" t="n"/>
      <c r="BG37" s="140">
        <f>BF37*100/$E$37</f>
        <v/>
      </c>
      <c r="BH37" s="133" t="n"/>
      <c r="BI37" s="140">
        <f>BH37*100/$E$37</f>
        <v/>
      </c>
      <c r="BJ37" s="133" t="n"/>
      <c r="BK37" s="140">
        <f>BJ37*100/$E$37</f>
        <v/>
      </c>
      <c r="BL37" s="133" t="n"/>
      <c r="BM37" s="140">
        <f>BL37*100/$E$37</f>
        <v/>
      </c>
      <c r="BN37" s="133" t="n"/>
      <c r="BO37" s="140">
        <f>BN37*100/$E$37</f>
        <v/>
      </c>
      <c r="BP37" s="133" t="n"/>
      <c r="BQ37" s="140">
        <f>BP37*100/$E$37</f>
        <v/>
      </c>
      <c r="BR37" s="133" t="n"/>
      <c r="BS37" s="140">
        <f>BR37*100/$E$37</f>
        <v/>
      </c>
      <c r="BT37" s="133" t="n"/>
      <c r="BU37" s="140">
        <f>BT37*100/$E$37</f>
        <v/>
      </c>
      <c r="BV37" s="133" t="n"/>
      <c r="BW37" s="140">
        <f>BV37*100/$E$37</f>
        <v/>
      </c>
      <c r="BX37" s="133" t="n"/>
      <c r="BY37" s="140">
        <f>BX37*100/$E$37</f>
        <v/>
      </c>
      <c r="BZ37" s="133" t="n"/>
      <c r="CA37" s="140">
        <f>BZ37*100/$E$37</f>
        <v/>
      </c>
      <c r="CB37" s="133">
        <f>4+4</f>
        <v/>
      </c>
      <c r="CC37" s="140">
        <f>CB37*100/$E$37</f>
        <v/>
      </c>
      <c r="CD37" s="133" t="n"/>
      <c r="CE37" s="140">
        <f>CD37*100/$E$37</f>
        <v/>
      </c>
      <c r="CF37" s="133" t="n"/>
      <c r="CG37" s="140">
        <f>CF37*100/$E$37</f>
        <v/>
      </c>
      <c r="CH37" s="133" t="n"/>
      <c r="CI37" s="140">
        <f>CH37*100/$E$37</f>
        <v/>
      </c>
      <c r="CJ37" s="133" t="n"/>
      <c r="CK37" s="140">
        <f>CJ37*100/$E$37</f>
        <v/>
      </c>
      <c r="CL37" s="133" t="n"/>
      <c r="CM37" s="140">
        <f>CL37*100/$E$37</f>
        <v/>
      </c>
      <c r="CN37" s="133">
        <f>3+4+15</f>
        <v/>
      </c>
      <c r="CO37" s="139">
        <f>CN37*100/$E$37</f>
        <v/>
      </c>
      <c r="CP37" s="133" t="n">
        <v>6</v>
      </c>
      <c r="CQ37" s="140">
        <f>CP37*100/$E$37</f>
        <v/>
      </c>
      <c r="CR37" s="133">
        <f>2+3+3</f>
        <v/>
      </c>
      <c r="CS37" s="139">
        <f>CR37*100/$E$37</f>
        <v/>
      </c>
      <c r="CT37" s="133" t="n"/>
      <c r="CU37" s="139">
        <f>CT37*100/$E$37</f>
        <v/>
      </c>
      <c r="CV37" s="133" t="n"/>
      <c r="CW37" s="139">
        <f>CV37*100/$E$37</f>
        <v/>
      </c>
      <c r="CX37" s="133" t="n"/>
      <c r="CY37" s="139">
        <f>CX37*100/$E$37</f>
        <v/>
      </c>
      <c r="CZ37" s="133" t="n"/>
      <c r="DA37" s="139">
        <f>CZ37*100/$E$37</f>
        <v/>
      </c>
      <c r="DB37" s="133" t="n"/>
      <c r="DC37" s="139">
        <f>DB37*100/$E$37</f>
        <v/>
      </c>
      <c r="DD37" s="133">
        <f>8+8</f>
        <v/>
      </c>
      <c r="DE37" s="139">
        <f>DD37*100/$E$37</f>
        <v/>
      </c>
      <c r="DF37" s="133" t="n"/>
      <c r="DG37" s="139">
        <f>DF37*100/$E$37</f>
        <v/>
      </c>
      <c r="DH37" s="133" t="n"/>
      <c r="DI37" s="139">
        <f>DH37*100/$E$37</f>
        <v/>
      </c>
      <c r="DJ37" s="133" t="n">
        <v>3</v>
      </c>
      <c r="DK37" s="139">
        <f>DJ37*100/$E$37</f>
        <v/>
      </c>
      <c r="DL37" s="133">
        <f>8+4+4+3</f>
        <v/>
      </c>
      <c r="DM37" s="139">
        <f>DL37*100/$E$37</f>
        <v/>
      </c>
      <c r="DN37" s="133" t="n"/>
      <c r="DO37" s="139">
        <f>DN37*100/$E$37</f>
        <v/>
      </c>
      <c r="DP37" s="133" t="n"/>
      <c r="DQ37" s="139">
        <f>DP37*100/$E$37</f>
        <v/>
      </c>
      <c r="DR37" s="133" t="n"/>
      <c r="DS37" s="139">
        <f>DR37*100/E37</f>
        <v/>
      </c>
      <c r="DT37" s="133" t="n"/>
      <c r="DU37" s="139">
        <f>DT37*100/$E$37</f>
        <v/>
      </c>
      <c r="DV37" s="133" t="n"/>
      <c r="DW37" s="139">
        <f>DV37*100/$E$37</f>
        <v/>
      </c>
      <c r="DX37" s="133" t="n"/>
      <c r="DY37" s="139">
        <f>DX37*100/$E$37</f>
        <v/>
      </c>
      <c r="DZ37" s="133" t="n"/>
      <c r="EA37" s="139">
        <f>DZ37*100/$E$37</f>
        <v/>
      </c>
      <c r="EB37" s="133" t="n"/>
      <c r="EC37" s="139">
        <f>EB37*100/$E$37</f>
        <v/>
      </c>
      <c r="ED37" s="133" t="n"/>
      <c r="EE37" s="139">
        <f>ED37*100/$E$37</f>
        <v/>
      </c>
      <c r="EF37" s="133" t="n"/>
      <c r="EG37" s="139">
        <f>EF37*100/$E$37</f>
        <v/>
      </c>
      <c r="EH37" s="133" t="n"/>
      <c r="EI37" s="139">
        <f>EH37*100/$E$37</f>
        <v/>
      </c>
      <c r="EJ37" s="133" t="n"/>
      <c r="EK37" s="139">
        <f>EJ37*100/$E$37</f>
        <v/>
      </c>
      <c r="EL37" s="133" t="n"/>
      <c r="EM37" s="139">
        <f>EL37*100/$E$37</f>
        <v/>
      </c>
      <c r="EN37" s="133" t="n"/>
      <c r="EO37" s="139">
        <f>EN37*100/$E$37</f>
        <v/>
      </c>
      <c r="EP37" s="133" t="n"/>
      <c r="EQ37" s="139">
        <f>EP37*100/$E$37</f>
        <v/>
      </c>
      <c r="ER37" s="133" t="n"/>
      <c r="ES37" s="139">
        <f>ER37*100/$E$37</f>
        <v/>
      </c>
      <c r="ET37" s="133" t="n"/>
      <c r="EU37" s="139">
        <f>ET37*100/$E$37</f>
        <v/>
      </c>
      <c r="EV37" s="133" t="n"/>
      <c r="EW37" s="139">
        <f>EV37*100/$E$37</f>
        <v/>
      </c>
      <c r="EX37" s="133" t="n"/>
      <c r="EY37" s="139">
        <f>EX37*100/$E$37</f>
        <v/>
      </c>
      <c r="EZ37" s="133" t="n"/>
      <c r="FA37" s="139">
        <f>EZ37*100/$E$37</f>
        <v/>
      </c>
      <c r="FB37" s="133" t="n"/>
      <c r="FC37" s="139">
        <f>FB37*100/$E$37</f>
        <v/>
      </c>
      <c r="FD37" s="133" t="n"/>
      <c r="FE37" s="139">
        <f>FD37*100/$E$37</f>
        <v/>
      </c>
      <c r="FF37" s="133" t="n"/>
      <c r="FG37" s="139">
        <f>FF37*100/$E$37</f>
        <v/>
      </c>
      <c r="FH37" s="133" t="n"/>
      <c r="FI37" s="139">
        <f>FH37*100/$E$37</f>
        <v/>
      </c>
      <c r="FJ37" s="133" t="n"/>
      <c r="FK37" s="139">
        <f>FJ37*100/$E$37</f>
        <v/>
      </c>
      <c r="FL37" s="133" t="n"/>
      <c r="FM37" s="139">
        <f>FL37*100/$E$37</f>
        <v/>
      </c>
      <c r="FN37" s="133" t="n"/>
      <c r="FO37" s="139">
        <f>FN37*100/$E$37</f>
        <v/>
      </c>
      <c r="FP37" s="133" t="n"/>
      <c r="FQ37" s="139">
        <f>FP37*100/E37</f>
        <v/>
      </c>
      <c r="FR37" s="133" t="n"/>
      <c r="FS37" s="139">
        <f>FR37*100/$E$37</f>
        <v/>
      </c>
      <c r="FT37" s="133" t="n"/>
      <c r="FU37" s="139">
        <f>FT37*100/$E$37</f>
        <v/>
      </c>
      <c r="FV37" s="133" t="n"/>
      <c r="FW37" s="139">
        <f>FV37*100/$E$37</f>
        <v/>
      </c>
      <c r="FX37" s="133" t="n"/>
      <c r="FY37" s="140">
        <f>FX37*100/$E$37</f>
        <v/>
      </c>
      <c r="FZ37" s="133" t="n"/>
      <c r="GA37" s="140">
        <f>FZ37*100/$E$37</f>
        <v/>
      </c>
      <c r="GB37" s="133" t="n"/>
      <c r="GC37" s="140">
        <f>GB37*100/$E$37</f>
        <v/>
      </c>
      <c r="GD37" s="133" t="n"/>
      <c r="GE37" s="140">
        <f>GD37*100/$E$37</f>
        <v/>
      </c>
      <c r="GF37" s="133" t="n"/>
      <c r="GG37" s="140">
        <f>GF37*100/$E$37</f>
        <v/>
      </c>
      <c r="GH37" s="133" t="n"/>
      <c r="GI37" s="140">
        <f>GH37*100/$E$37</f>
        <v/>
      </c>
      <c r="GJ37" s="133" t="n"/>
      <c r="GK37" s="139">
        <f>GJ37*100/$E$37</f>
        <v/>
      </c>
      <c r="GL37" s="133" t="n"/>
      <c r="GM37" s="140">
        <f>GL37*100/$E$37</f>
        <v/>
      </c>
      <c r="GN37" s="133" t="n"/>
      <c r="GO37" s="139">
        <f>GN37*100/$E$37</f>
        <v/>
      </c>
      <c r="GP37" s="133" t="n"/>
      <c r="GQ37" s="140">
        <f>GP37*100/$E$37</f>
        <v/>
      </c>
      <c r="GR37" s="133" t="n"/>
      <c r="GS37" s="139">
        <f>GR37*100/$E$37</f>
        <v/>
      </c>
      <c r="GT37" s="133" t="n"/>
      <c r="GU37" s="139">
        <f>GT37*100/$E$37</f>
        <v/>
      </c>
      <c r="GV37" s="133" t="n"/>
      <c r="GW37" s="139">
        <f>GV37*100/$E$37</f>
        <v/>
      </c>
      <c r="GX37" s="133" t="n"/>
      <c r="GY37" s="140">
        <f>GX37*100/$E$37</f>
        <v/>
      </c>
      <c r="GZ37" s="133" t="n"/>
      <c r="HA37" s="140">
        <f>GZ37*100/$E$37</f>
        <v/>
      </c>
      <c r="HB37" s="133" t="n"/>
      <c r="HC37" s="140">
        <f>HB37*100/$E$37</f>
        <v/>
      </c>
      <c r="HD37" s="133" t="n"/>
      <c r="HE37" s="140">
        <f>HD37*100/$E$37</f>
        <v/>
      </c>
      <c r="HF37" s="133" t="n"/>
      <c r="HG37" s="140">
        <f>HF37*100/$E$37</f>
        <v/>
      </c>
      <c r="HH37" s="133" t="n"/>
      <c r="HI37" s="140">
        <f>HH37*100/$E$37</f>
        <v/>
      </c>
      <c r="HJ37" s="133" t="n"/>
      <c r="HK37" s="140">
        <f>HJ37*100/$E$37</f>
        <v/>
      </c>
      <c r="HL37" s="133" t="n"/>
      <c r="HM37" s="140">
        <f>HL37*100/$E$37</f>
        <v/>
      </c>
      <c r="HN37" s="133" t="n"/>
      <c r="HO37" s="140">
        <f>HN37*100/$E$37</f>
        <v/>
      </c>
      <c r="HP37" s="133" t="n"/>
      <c r="HQ37" s="140">
        <f>HP37*100/$E$37</f>
        <v/>
      </c>
      <c r="HR37" s="133" t="n"/>
      <c r="HS37" s="140">
        <f>HR37*100/$E$37</f>
        <v/>
      </c>
      <c r="HT37" s="133" t="n"/>
      <c r="HU37" s="140">
        <f>HT37*100/$E$37</f>
        <v/>
      </c>
      <c r="HV37" s="133" t="n"/>
      <c r="HW37" s="140">
        <f>HV37*100/$E$37</f>
        <v/>
      </c>
      <c r="HX37" s="133" t="n"/>
      <c r="HY37" s="140">
        <f>HX37*100/$E$37</f>
        <v/>
      </c>
      <c r="HZ37" s="133" t="n"/>
      <c r="IA37" s="139">
        <f>HZ37*100/$E$37</f>
        <v/>
      </c>
      <c r="IB37" s="133" t="n"/>
      <c r="IC37" s="139">
        <f>IB37*100/$E$37</f>
        <v/>
      </c>
      <c r="ID37" s="133" t="n"/>
      <c r="IE37" s="139">
        <f>ID37*100/$E$37</f>
        <v/>
      </c>
      <c r="IF37" s="133" t="n"/>
      <c r="IG37" s="139">
        <f>IF37*100/$E$37</f>
        <v/>
      </c>
      <c r="IH37" s="133" t="n"/>
      <c r="II37" s="139">
        <f>IH37*100/$E$37</f>
        <v/>
      </c>
      <c r="IJ37" s="133" t="n"/>
      <c r="IK37" s="139">
        <f>IJ37*100/$E$37</f>
        <v/>
      </c>
      <c r="IL37" s="133" t="n"/>
      <c r="IM37" s="140">
        <f>IL37*100/$E$37</f>
        <v/>
      </c>
      <c r="IN37" s="133" t="n"/>
      <c r="IO37" s="140">
        <f>IN37*100/$E$37</f>
        <v/>
      </c>
      <c r="IP37" s="133" t="n"/>
      <c r="IQ37" s="139">
        <f>IP37*100/$E$37</f>
        <v/>
      </c>
      <c r="IR37" s="133" t="n"/>
      <c r="IS37" s="139">
        <f>IR37*100/$E$37</f>
        <v/>
      </c>
      <c r="IT37" s="133" t="n"/>
      <c r="IU37" s="139">
        <f>IT37*100/$E$37</f>
        <v/>
      </c>
      <c r="IV37" s="133" t="n"/>
      <c r="IW37" s="139">
        <f>IV37*100/$E$37</f>
        <v/>
      </c>
      <c r="IX37" s="133" t="n"/>
      <c r="IY37" s="139">
        <f>IX37*100/$E$37</f>
        <v/>
      </c>
      <c r="IZ37" s="133" t="n"/>
      <c r="JA37" s="139">
        <f>IZ37*100/$E$37</f>
        <v/>
      </c>
      <c r="JB37" s="133" t="n"/>
      <c r="JC37" s="139">
        <f>JB37*100/$E$37</f>
        <v/>
      </c>
      <c r="JD37" s="133" t="n"/>
      <c r="JE37" s="139">
        <f>JD37*100/$E$37</f>
        <v/>
      </c>
      <c r="JF37" s="133" t="n"/>
      <c r="JG37" s="139">
        <f>JF37*100/$E$37</f>
        <v/>
      </c>
      <c r="JH37" s="133" t="n"/>
      <c r="JI37" s="139">
        <f>JH37*100/$E$37</f>
        <v/>
      </c>
      <c r="JJ37" s="133" t="n"/>
      <c r="JK37" s="139">
        <f>JJ37*100/$E$37</f>
        <v/>
      </c>
      <c r="JL37" s="133">
        <f>4+4+3+7</f>
        <v/>
      </c>
      <c r="JM37" s="139">
        <f>JL37*100/$E$37</f>
        <v/>
      </c>
      <c r="JN37" s="133" t="n"/>
      <c r="JO37" s="139">
        <f>JN37*100/$E$37</f>
        <v/>
      </c>
      <c r="JP37" s="133" t="n"/>
      <c r="JQ37" s="139">
        <f>JP37*100/$E$37</f>
        <v/>
      </c>
      <c r="JR37" s="133" t="n"/>
      <c r="JS37" s="139">
        <f>JR37*100/$E$37</f>
        <v/>
      </c>
      <c r="JT37" s="133" t="n"/>
      <c r="JU37" s="182">
        <f>JT37*100/$E$37</f>
        <v/>
      </c>
      <c r="JV37" s="133" t="n"/>
      <c r="JW37" s="182">
        <f>JV37*100/$E$37</f>
        <v/>
      </c>
      <c r="JX37" s="133" t="n"/>
      <c r="JY37" s="182">
        <f>JX37*100/$E$37</f>
        <v/>
      </c>
      <c r="JZ37" s="183">
        <f>JN37+JP37+JR37+JT37+JV37+JX37</f>
        <v/>
      </c>
      <c r="KA37" s="184">
        <f>JO37+JQ37+JS37+JU37+JW37+JY37</f>
        <v/>
      </c>
      <c r="KB37" s="185">
        <f>H37+J37+L37+N37+P37+R37+T37+V37+X37+Z37+AB37+AD37+AF37+AH37+AJ37+AL37+AN37+AP37+AR37+AT37+AV37+AX37+AZ37+BB37+BD37+BF37+BH37+BJ37+BL37+BN37+BP37+BR37+BT37+BV37+BX37+BZ37+CB37+CD37+CF37+CH37+CZ37+DB37+DD37+DF37+DH37+DJ37+DL37+DN37+DP37+DR37+DT37+DV37+DX37+DZ37+EB37+ED37+EF37+EH37+EJ37+EL37+EN37+EP37+ER37+ET37+EV37+FN37+FP37+FR37+FT37+FV37+FX37+FZ37+GB37+GD37+GF37+GH37+GJ37+GL37+GN37+GP37+GR37+GT37+GV37+GX37+GZ37+HB37+HD37+HF37+HH37+HJ37+HL37+HN37+HP37+HR37+HT37+HV37+HX37+HZ37+IB37+ID37+IF37+IH37+IJ37+IL37+IN37+IP37+IR37+IT37+IV37+IX37+IZ37+JB37+JD37+JF37+JH37+JJ37+JL37+JZ37+CJ37+CL37+CN37+CP37+CR37+CT37+CV37+CX37+EX37+EZ37+FB37+FD37+FF37+FH37+FJ37+FL37</f>
        <v/>
      </c>
      <c r="KC37" s="186">
        <f>I37+K37+M37+O37+Q37+S37+U37+W37+Y37+AA37+AC37+AE37+AG37+AI37+AK37+AM37+AO37+AQ37+AS37+AU37+AW37+AY37+BA37+BC37+BE37+BG37+BI37+BK37+BM37+BO37+BQ37+BS37+BU37+BW37+BY37+CA37+CC37+CE37+CG37+CI37+DA37+DC37+DE37+DG37+DI37+DK37+DM37+DO37+DQ37+DS37+DU37+DW37+DY37+EA37+EC37+EE37+EG37+EI37+EK37+EM37+EO37+EQ37+ES37+EU37+EW37+FO37+FS37+FU37+FW37+FQ37+FY37+GA37+GC37+GE37+GG37+GI37+GK37+GM37+GO37+GQ37+GS37+GU37+GW37+GY37+HA37+HC37+HE37+HG37+HI37+HK37+HM37+HO37+HQ37+HS37+HU37+HW37+HY37+IA37+IC37+IE37+IG37+II37+IK37+IM37+IO37+IQ37+IS37+IU37+IW37+IY37+JA37+JC37+JE37+JG37+JI37+JK37+JM37+KA37+CK37+CM37+CO37+CQ37+CS37+CU37+CW37+CY37+EY37+FA37+FC37+FE37+FG37+FI37+FK37+FM37</f>
        <v/>
      </c>
      <c r="KD37" s="187">
        <f>JO37+JQ37+JS37+JU37+JW37+JY37</f>
        <v/>
      </c>
      <c r="KE37" s="188">
        <f>KB37=E37</f>
        <v/>
      </c>
      <c r="KF37" s="189">
        <f>E37-KB37</f>
        <v/>
      </c>
      <c r="KG37" s="214" t="n"/>
    </row>
    <row r="38" ht="21.75" customFormat="1" customHeight="1" s="213">
      <c r="A38" s="126">
        <f>A37+1</f>
        <v/>
      </c>
      <c r="B38" s="175" t="inlineStr">
        <is>
          <t>Селивановский А.К.</t>
        </is>
      </c>
      <c r="C38" s="194" t="inlineStr">
        <is>
          <t>токарь-расточник</t>
        </is>
      </c>
      <c r="D38" s="177">
        <f>$D$5</f>
        <v/>
      </c>
      <c r="E38" s="202" t="n">
        <v>167</v>
      </c>
      <c r="F38" s="193" t="n">
        <v>111265.49</v>
      </c>
      <c r="G38" s="179">
        <f>F38/D38</f>
        <v/>
      </c>
      <c r="H38" s="180" t="n"/>
      <c r="I38" s="140">
        <f>H38*100/$E$38</f>
        <v/>
      </c>
      <c r="J38" s="133" t="n"/>
      <c r="K38" s="140">
        <f>J38*100/$E$38</f>
        <v/>
      </c>
      <c r="L38" s="133" t="n"/>
      <c r="M38" s="140">
        <f>L38*100/$E$38</f>
        <v/>
      </c>
      <c r="N38" s="133" t="n"/>
      <c r="O38" s="140">
        <f>N38*100/$E$38</f>
        <v/>
      </c>
      <c r="P38" s="133" t="n"/>
      <c r="Q38" s="139">
        <f>P38*100/$E$38</f>
        <v/>
      </c>
      <c r="R38" s="133" t="n"/>
      <c r="S38" s="139">
        <f>R38*100/$E$38</f>
        <v/>
      </c>
      <c r="T38" s="133" t="n"/>
      <c r="U38" s="140">
        <f>T38*100/$E$38</f>
        <v/>
      </c>
      <c r="V38" s="133" t="n"/>
      <c r="W38" s="140">
        <f>V38*100/$E$38</f>
        <v/>
      </c>
      <c r="X38" s="133" t="n"/>
      <c r="Y38" s="140">
        <f>X38*100/$E$38</f>
        <v/>
      </c>
      <c r="Z38" s="133" t="n"/>
      <c r="AA38" s="140">
        <f>Z38*100/$E$38</f>
        <v/>
      </c>
      <c r="AB38" s="133" t="n"/>
      <c r="AC38" s="140">
        <f>AB38*100/$E$38</f>
        <v/>
      </c>
      <c r="AD38" s="133" t="n">
        <v>4</v>
      </c>
      <c r="AE38" s="139">
        <f>AD38*100/$E$38</f>
        <v/>
      </c>
      <c r="AF38" s="133" t="n"/>
      <c r="AG38" s="139">
        <f>AF38*100/$E$38</f>
        <v/>
      </c>
      <c r="AH38" s="133" t="n"/>
      <c r="AI38" s="140">
        <f>AH38*100/$E$38</f>
        <v/>
      </c>
      <c r="AJ38" s="133" t="n"/>
      <c r="AK38" s="140">
        <f>AJ38*100/$E$38</f>
        <v/>
      </c>
      <c r="AL38" s="133" t="n"/>
      <c r="AM38" s="140">
        <f>AL38*100/$E$38</f>
        <v/>
      </c>
      <c r="AN38" s="133" t="n">
        <v>3</v>
      </c>
      <c r="AO38" s="140">
        <f>AN38*100/$E$38</f>
        <v/>
      </c>
      <c r="AP38" s="133" t="n"/>
      <c r="AQ38" s="140">
        <f>AP38*100/$E$38</f>
        <v/>
      </c>
      <c r="AR38" s="133" t="n"/>
      <c r="AS38" s="140">
        <f>AR38*100/$E$38</f>
        <v/>
      </c>
      <c r="AT38" s="133" t="n"/>
      <c r="AU38" s="181">
        <f>AT38*100/$E$38</f>
        <v/>
      </c>
      <c r="AV38" s="133" t="n"/>
      <c r="AW38" s="140">
        <f>AV38*100/$E$38</f>
        <v/>
      </c>
      <c r="AX38" s="133" t="n"/>
      <c r="AY38" s="140">
        <f>AX38*100/$E$38</f>
        <v/>
      </c>
      <c r="AZ38" s="133">
        <f>4+8+8+8+8</f>
        <v/>
      </c>
      <c r="BA38" s="140">
        <f>AZ38*100/$E$38</f>
        <v/>
      </c>
      <c r="BB38" s="133" t="n"/>
      <c r="BC38" s="140">
        <f>BB38*100/$E$38</f>
        <v/>
      </c>
      <c r="BD38" s="133" t="n"/>
      <c r="BE38" s="140">
        <f>BD38*100/$E$38</f>
        <v/>
      </c>
      <c r="BF38" s="133" t="n"/>
      <c r="BG38" s="140">
        <f>BF38*100/$E$38</f>
        <v/>
      </c>
      <c r="BH38" s="133">
        <f>4+4</f>
        <v/>
      </c>
      <c r="BI38" s="140">
        <f>BH38*100/$E$38</f>
        <v/>
      </c>
      <c r="BJ38" s="133" t="n"/>
      <c r="BK38" s="140">
        <f>BJ38*100/$E$38</f>
        <v/>
      </c>
      <c r="BL38" s="133" t="n"/>
      <c r="BM38" s="140">
        <f>BL38*100/$E$38</f>
        <v/>
      </c>
      <c r="BN38" s="133" t="n"/>
      <c r="BO38" s="140">
        <f>BN38*100/$E$38</f>
        <v/>
      </c>
      <c r="BP38" s="133" t="n"/>
      <c r="BQ38" s="140">
        <f>BP38*100/$E$38</f>
        <v/>
      </c>
      <c r="BR38" s="133" t="n"/>
      <c r="BS38" s="140">
        <f>BR38*100/$E$38</f>
        <v/>
      </c>
      <c r="BT38" s="133">
        <f>8+8+8+8+4+8</f>
        <v/>
      </c>
      <c r="BU38" s="140">
        <f>BT38*100/$E$38</f>
        <v/>
      </c>
      <c r="BV38" s="133" t="n"/>
      <c r="BW38" s="140">
        <f>BV38*100/$E$38</f>
        <v/>
      </c>
      <c r="BX38" s="133" t="n">
        <v>8</v>
      </c>
      <c r="BY38" s="140">
        <f>BX38*100/$E$38</f>
        <v/>
      </c>
      <c r="BZ38" s="133" t="n"/>
      <c r="CA38" s="140">
        <f>BZ38*100/$E$38</f>
        <v/>
      </c>
      <c r="CB38" s="133" t="n"/>
      <c r="CC38" s="140">
        <f>CB38*100/$E$38</f>
        <v/>
      </c>
      <c r="CD38" s="133" t="n"/>
      <c r="CE38" s="140">
        <f>CD38*100/$E$38</f>
        <v/>
      </c>
      <c r="CF38" s="133" t="n"/>
      <c r="CG38" s="140">
        <f>CF38*100/$E$38</f>
        <v/>
      </c>
      <c r="CH38" s="133" t="n"/>
      <c r="CI38" s="140">
        <f>CH38*100/$E$38</f>
        <v/>
      </c>
      <c r="CJ38" s="133" t="n"/>
      <c r="CK38" s="140">
        <f>CJ38*100/$E$38</f>
        <v/>
      </c>
      <c r="CL38" s="133" t="n"/>
      <c r="CM38" s="140">
        <f>CL38*100/$E$38</f>
        <v/>
      </c>
      <c r="CN38" s="133">
        <f>8+4</f>
        <v/>
      </c>
      <c r="CO38" s="139">
        <f>CN38*100/$E$38</f>
        <v/>
      </c>
      <c r="CP38" s="133" t="n"/>
      <c r="CQ38" s="140">
        <f>CP38*100/$E$38</f>
        <v/>
      </c>
      <c r="CR38" s="133" t="n"/>
      <c r="CS38" s="139">
        <f>CR38*100/$E$38</f>
        <v/>
      </c>
      <c r="CT38" s="133" t="n"/>
      <c r="CU38" s="139">
        <f>CT38*100/$E$38</f>
        <v/>
      </c>
      <c r="CV38" s="133" t="n">
        <v>2</v>
      </c>
      <c r="CW38" s="139">
        <f>CV38*100/$E$38</f>
        <v/>
      </c>
      <c r="CX38" s="133" t="n"/>
      <c r="CY38" s="139">
        <f>CX38*100/$E$38</f>
        <v/>
      </c>
      <c r="CZ38" s="133" t="n"/>
      <c r="DA38" s="139">
        <f>CZ38*100/$E$38</f>
        <v/>
      </c>
      <c r="DB38" s="133" t="n"/>
      <c r="DC38" s="139">
        <f>DB38*100/$E$38</f>
        <v/>
      </c>
      <c r="DD38" s="133" t="n"/>
      <c r="DE38" s="139">
        <f>DD38*100/$E$38</f>
        <v/>
      </c>
      <c r="DF38" s="133" t="n"/>
      <c r="DG38" s="139">
        <f>DF38*100/$E$38</f>
        <v/>
      </c>
      <c r="DH38" s="133" t="n"/>
      <c r="DI38" s="139">
        <f>DH38*100/$E$38</f>
        <v/>
      </c>
      <c r="DJ38" s="133" t="n"/>
      <c r="DK38" s="139">
        <f>DJ38*100/$E$38</f>
        <v/>
      </c>
      <c r="DL38" s="133" t="n"/>
      <c r="DM38" s="139">
        <f>DL38*100/$E$38</f>
        <v/>
      </c>
      <c r="DN38" s="133" t="n"/>
      <c r="DO38" s="139">
        <f>DN38*100/$E$38</f>
        <v/>
      </c>
      <c r="DP38" s="133" t="n"/>
      <c r="DQ38" s="139">
        <f>DP38*100/$E$38</f>
        <v/>
      </c>
      <c r="DR38" s="133" t="n"/>
      <c r="DS38" s="139">
        <f>DR38*100/$E$38</f>
        <v/>
      </c>
      <c r="DT38" s="133" t="n"/>
      <c r="DU38" s="139">
        <f>DT38*100/$E$38</f>
        <v/>
      </c>
      <c r="DV38" s="133" t="n"/>
      <c r="DW38" s="139">
        <f>DV38*100/$E$38</f>
        <v/>
      </c>
      <c r="DX38" s="133" t="n"/>
      <c r="DY38" s="139">
        <f>DX38*100/$E$38</f>
        <v/>
      </c>
      <c r="DZ38" s="133" t="n"/>
      <c r="EA38" s="139">
        <f>DZ38*100/$E$38</f>
        <v/>
      </c>
      <c r="EB38" s="133" t="n"/>
      <c r="EC38" s="139">
        <f>EB38*100/$E$38</f>
        <v/>
      </c>
      <c r="ED38" s="133" t="n"/>
      <c r="EE38" s="139">
        <f>ED38*100/$E$38</f>
        <v/>
      </c>
      <c r="EF38" s="133">
        <f>8+8+8+4</f>
        <v/>
      </c>
      <c r="EG38" s="139">
        <f>EF38*100/$E$38</f>
        <v/>
      </c>
      <c r="EH38" s="133" t="n"/>
      <c r="EI38" s="139">
        <f>EH38*100/$E$38</f>
        <v/>
      </c>
      <c r="EJ38" s="133" t="n"/>
      <c r="EK38" s="139">
        <f>EJ38*100/$E$38</f>
        <v/>
      </c>
      <c r="EL38" s="133" t="n">
        <v>4</v>
      </c>
      <c r="EM38" s="139">
        <f>EL38*100/$E$38</f>
        <v/>
      </c>
      <c r="EN38" s="133">
        <f>6+8+4</f>
        <v/>
      </c>
      <c r="EO38" s="139">
        <f>EN38*100/$E$38</f>
        <v/>
      </c>
      <c r="EP38" s="133" t="n"/>
      <c r="EQ38" s="139">
        <f>EP38*100/$E$38</f>
        <v/>
      </c>
      <c r="ER38" s="133" t="n"/>
      <c r="ES38" s="139">
        <f>ER38*100/$E$38</f>
        <v/>
      </c>
      <c r="ET38" s="133" t="n"/>
      <c r="EU38" s="139">
        <f>ET38*100/$E$38</f>
        <v/>
      </c>
      <c r="EV38" s="133" t="n"/>
      <c r="EW38" s="139">
        <f>EV38*100/$E$38</f>
        <v/>
      </c>
      <c r="EX38" s="133" t="n"/>
      <c r="EY38" s="139">
        <f>EX38*100/$E$38</f>
        <v/>
      </c>
      <c r="EZ38" s="133" t="n"/>
      <c r="FA38" s="139">
        <f>EZ38*100/$E$38</f>
        <v/>
      </c>
      <c r="FB38" s="133" t="n"/>
      <c r="FC38" s="139">
        <f>FB38*100/$E$38</f>
        <v/>
      </c>
      <c r="FD38" s="133" t="n"/>
      <c r="FE38" s="139">
        <f>FD38*100/$E$38</f>
        <v/>
      </c>
      <c r="FF38" s="133" t="n"/>
      <c r="FG38" s="139">
        <f>FF38*100/$E$38</f>
        <v/>
      </c>
      <c r="FH38" s="133" t="n"/>
      <c r="FI38" s="139">
        <f>FH38*100/$E$38</f>
        <v/>
      </c>
      <c r="FJ38" s="133" t="n"/>
      <c r="FK38" s="139">
        <f>FJ38*100/$E$38</f>
        <v/>
      </c>
      <c r="FL38" s="133" t="n"/>
      <c r="FM38" s="139">
        <f>FL38*100/$E$38</f>
        <v/>
      </c>
      <c r="FN38" s="133" t="n"/>
      <c r="FO38" s="139">
        <f>FN38*100/$E$38</f>
        <v/>
      </c>
      <c r="FP38" s="133" t="n"/>
      <c r="FQ38" s="139">
        <f>FP38*100/$E$38</f>
        <v/>
      </c>
      <c r="FR38" s="133" t="n"/>
      <c r="FS38" s="139">
        <f>FR38*100/$E$38</f>
        <v/>
      </c>
      <c r="FT38" s="133" t="n"/>
      <c r="FU38" s="139">
        <f>FT38*100/$E$38</f>
        <v/>
      </c>
      <c r="FV38" s="133" t="n"/>
      <c r="FW38" s="139">
        <f>FV38*100/$E$38</f>
        <v/>
      </c>
      <c r="FX38" s="133" t="n"/>
      <c r="FY38" s="140">
        <f>FX38*100/$E$38</f>
        <v/>
      </c>
      <c r="FZ38" s="133" t="n"/>
      <c r="GA38" s="140">
        <f>FZ38*100/$E$38</f>
        <v/>
      </c>
      <c r="GB38" s="133" t="n"/>
      <c r="GC38" s="140">
        <f>GB38*100/$E$38</f>
        <v/>
      </c>
      <c r="GD38" s="133" t="n"/>
      <c r="GE38" s="140">
        <f>GD38*100/$E$38</f>
        <v/>
      </c>
      <c r="GF38" s="133" t="n"/>
      <c r="GG38" s="140">
        <f>GF38*100/$E$38</f>
        <v/>
      </c>
      <c r="GH38" s="133" t="n"/>
      <c r="GI38" s="140">
        <f>GH38*100/$E$38</f>
        <v/>
      </c>
      <c r="GJ38" s="133" t="n"/>
      <c r="GK38" s="139">
        <f>GJ38*100/$E$38</f>
        <v/>
      </c>
      <c r="GL38" s="133" t="n"/>
      <c r="GM38" s="140">
        <f>GL38*100/$E$38</f>
        <v/>
      </c>
      <c r="GN38" s="133" t="n"/>
      <c r="GO38" s="139">
        <f>GN38*100/$E$38</f>
        <v/>
      </c>
      <c r="GP38" s="133" t="n"/>
      <c r="GQ38" s="140">
        <f>GP38*100/$E$38</f>
        <v/>
      </c>
      <c r="GR38" s="133" t="n"/>
      <c r="GS38" s="139">
        <f>GR38*100/$E$38</f>
        <v/>
      </c>
      <c r="GT38" s="133" t="n"/>
      <c r="GU38" s="139">
        <f>GT38*100/$E$38</f>
        <v/>
      </c>
      <c r="GV38" s="133" t="n"/>
      <c r="GW38" s="139">
        <f>GV38*100/$E$38</f>
        <v/>
      </c>
      <c r="GX38" s="133" t="n"/>
      <c r="GY38" s="140">
        <f>GX38*100/$E$38</f>
        <v/>
      </c>
      <c r="GZ38" s="133" t="n"/>
      <c r="HA38" s="140">
        <f>GZ38*100/$E$38</f>
        <v/>
      </c>
      <c r="HB38" s="133" t="n"/>
      <c r="HC38" s="140">
        <f>HB38*100/$E$38</f>
        <v/>
      </c>
      <c r="HD38" s="133" t="n"/>
      <c r="HE38" s="140">
        <f>HD38*100/$E$38</f>
        <v/>
      </c>
      <c r="HF38" s="133" t="n"/>
      <c r="HG38" s="140">
        <f>HF38*100/$E$38</f>
        <v/>
      </c>
      <c r="HH38" s="133" t="n"/>
      <c r="HI38" s="140">
        <f>HH38*100/$E$38</f>
        <v/>
      </c>
      <c r="HJ38" s="133" t="n"/>
      <c r="HK38" s="140">
        <f>HJ38*100/$E$38</f>
        <v/>
      </c>
      <c r="HL38" s="133" t="n"/>
      <c r="HM38" s="140">
        <f>HL38*100/$E$38</f>
        <v/>
      </c>
      <c r="HN38" s="133" t="n"/>
      <c r="HO38" s="140">
        <f>HN38*100/$E$38</f>
        <v/>
      </c>
      <c r="HP38" s="133" t="n"/>
      <c r="HQ38" s="140">
        <f>HP38*100/$E$38</f>
        <v/>
      </c>
      <c r="HR38" s="133" t="n"/>
      <c r="HS38" s="140">
        <f>HR38*100/$E$38</f>
        <v/>
      </c>
      <c r="HT38" s="133" t="n"/>
      <c r="HU38" s="140">
        <f>HT38*100/$E$38</f>
        <v/>
      </c>
      <c r="HV38" s="133" t="n"/>
      <c r="HW38" s="140">
        <f>HV38*100/$E$38</f>
        <v/>
      </c>
      <c r="HX38" s="133" t="n"/>
      <c r="HY38" s="140">
        <f>HX38*100/$E$38</f>
        <v/>
      </c>
      <c r="HZ38" s="133" t="n"/>
      <c r="IA38" s="139">
        <f>HZ38*100/$E$38</f>
        <v/>
      </c>
      <c r="IB38" s="133" t="n"/>
      <c r="IC38" s="139">
        <f>IB38*100/$E$38</f>
        <v/>
      </c>
      <c r="ID38" s="133" t="n"/>
      <c r="IE38" s="139">
        <f>ID38*100/$E$38</f>
        <v/>
      </c>
      <c r="IF38" s="133" t="n"/>
      <c r="IG38" s="139">
        <f>IF38*100/$E$38</f>
        <v/>
      </c>
      <c r="IH38" s="133" t="n"/>
      <c r="II38" s="139">
        <f>IH38*100/$E$38</f>
        <v/>
      </c>
      <c r="IJ38" s="133" t="n"/>
      <c r="IK38" s="139">
        <f>IJ38*100/$E$38</f>
        <v/>
      </c>
      <c r="IL38" s="133" t="n"/>
      <c r="IM38" s="140">
        <f>IL38*100/$E$38</f>
        <v/>
      </c>
      <c r="IN38" s="133" t="n"/>
      <c r="IO38" s="140">
        <f>IN38*100/$E$38</f>
        <v/>
      </c>
      <c r="IP38" s="133" t="n"/>
      <c r="IQ38" s="139">
        <f>IP38*100/$E$38</f>
        <v/>
      </c>
      <c r="IR38" s="133" t="n"/>
      <c r="IS38" s="139">
        <f>IR38*100/$E$38</f>
        <v/>
      </c>
      <c r="IT38" s="133" t="n"/>
      <c r="IU38" s="139">
        <f>IT38*100/$E$38</f>
        <v/>
      </c>
      <c r="IV38" s="133" t="n"/>
      <c r="IW38" s="139">
        <f>IV38*100/$E$38</f>
        <v/>
      </c>
      <c r="IX38" s="133" t="n"/>
      <c r="IY38" s="139">
        <f>IX38*100/$E$38</f>
        <v/>
      </c>
      <c r="IZ38" s="133" t="n"/>
      <c r="JA38" s="139">
        <f>IZ38*100/$E$38</f>
        <v/>
      </c>
      <c r="JB38" s="133" t="n"/>
      <c r="JC38" s="139">
        <f>JB38*100/$E$38</f>
        <v/>
      </c>
      <c r="JD38" s="133" t="n"/>
      <c r="JE38" s="139">
        <f>JD38*100/$E$38</f>
        <v/>
      </c>
      <c r="JF38" s="133" t="n"/>
      <c r="JG38" s="139">
        <f>JF38*100/$E$38</f>
        <v/>
      </c>
      <c r="JH38" s="133" t="n"/>
      <c r="JI38" s="139">
        <f>JH38*100/$E$38</f>
        <v/>
      </c>
      <c r="JJ38" s="133" t="n"/>
      <c r="JK38" s="139">
        <f>JJ38*100/$E$38</f>
        <v/>
      </c>
      <c r="JL38" s="133" t="n"/>
      <c r="JM38" s="139">
        <f>JL38*100/$E$38</f>
        <v/>
      </c>
      <c r="JN38" s="133" t="n"/>
      <c r="JO38" s="139">
        <f>JN38*100/$E$38</f>
        <v/>
      </c>
      <c r="JP38" s="133" t="n"/>
      <c r="JQ38" s="139">
        <f>JP38*100/$E$38</f>
        <v/>
      </c>
      <c r="JR38" s="133" t="n"/>
      <c r="JS38" s="139">
        <f>JR38*100/$E$38</f>
        <v/>
      </c>
      <c r="JT38" s="133" t="n"/>
      <c r="JU38" s="182">
        <f>JT38*100/$E$38</f>
        <v/>
      </c>
      <c r="JV38" s="133" t="n"/>
      <c r="JW38" s="182">
        <f>JV38*100/$E$38</f>
        <v/>
      </c>
      <c r="JX38" s="133" t="n"/>
      <c r="JY38" s="182">
        <f>JX38*100/$E$38</f>
        <v/>
      </c>
      <c r="JZ38" s="183">
        <f>JN38+JP38+JR38+JT38+JV38+JX38</f>
        <v/>
      </c>
      <c r="KA38" s="184">
        <f>JO38+JQ38+JS38+JU38+JW38+JY38</f>
        <v/>
      </c>
      <c r="KB38" s="185">
        <f>H38+J38+L38+N38+P38+R38+T38+V38+X38+Z38+AB38+AD38+AF38+AH38+AJ38+AL38+AN38+AP38+AR38+AT38+AV38+AX38+AZ38+BB38+BD38+BF38+BH38+BJ38+BL38+BN38+BP38+BR38+BT38+BV38+BX38+BZ38+CB38+CD38+CF38+CH38+CZ38+DB38+DD38+DF38+DH38+DJ38+DL38+DN38+DP38+DR38+DT38+DV38+DX38+DZ38+EB38+ED38+EF38+EH38+EJ38+EL38+EN38+EP38+ER38+ET38+EV38+FN38+FP38+FR38+FT38+FV38+FX38+FZ38+GB38+GD38+GF38+GH38+GJ38+GL38+GN38+GP38+GR38+GT38+GV38+GX38+GZ38+HB38+HD38+HF38+HH38+HJ38+HL38+HN38+HP38+HR38+HT38+HV38+HX38+HZ38+IB38+ID38+IF38+IH38+IJ38+IL38+IN38+IP38+IR38+IT38+IV38+IX38+IZ38+JB38+JD38+JF38+JH38+JJ38+JL38+JZ38+CJ38+CL38+CN38+CP38+CR38+CT38+CV38+CX38+EX38+EZ38+FB38+FD38+FF38+FH38+FJ38+FL38</f>
        <v/>
      </c>
      <c r="KC38" s="186">
        <f>I38+K38+M38+O38+Q38+S38+U38+W38+Y38+AA38+AC38+AE38+AG38+AI38+AK38+AM38+AO38+AQ38+AS38+AU38+AW38+AY38+BA38+BC38+BE38+BG38+BI38+BK38+BM38+BO38+BQ38+BS38+BU38+BW38+BY38+CA38+CC38+CE38+CG38+CI38+DA38+DC38+DE38+DG38+DI38+DK38+DM38+DO38+DQ38+DS38+DU38+DW38+DY38+EA38+EC38+EE38+EG38+EI38+EK38+EM38+EO38+EQ38+ES38+EU38+EW38+FO38+FS38+FU38+FW38+FQ38+FY38+GA38+GC38+GE38+GG38+GI38+GK38+GM38+GO38+GQ38+GS38+GU38+GW38+GY38+HA38+HC38+HE38+HG38+HI38+HK38+HM38+HO38+HQ38+HS38+HU38+HW38+HY38+IA38+IC38+IE38+IG38+II38+IK38+IM38+IO38+IQ38+IS38+IU38+IW38+IY38+JA38+JC38+JE38+JG38+JI38+JK38+JM38+KA38+CK38+CM38+CO38+CQ38+CS38+CU38+CW38+CY38+EY38+FA38+FC38+FE38+FG38+FI38+FK38+FM38</f>
        <v/>
      </c>
      <c r="KD38" s="187">
        <f>JO38+JQ38+JS38+JU38+JW38+JY38</f>
        <v/>
      </c>
      <c r="KE38" s="188">
        <f>KB38=E38</f>
        <v/>
      </c>
      <c r="KF38" s="189">
        <f>E38-KB38</f>
        <v/>
      </c>
      <c r="KG38" s="215" t="n"/>
    </row>
    <row r="39" ht="21.75" customFormat="1" customHeight="1" s="215">
      <c r="A39" s="126">
        <f>A38+1</f>
        <v/>
      </c>
      <c r="B39" s="175" t="inlineStr">
        <is>
          <t>Сидоров Т.Ю.</t>
        </is>
      </c>
      <c r="C39" s="176" t="inlineStr">
        <is>
          <t xml:space="preserve">Оператор ЧПУ </t>
        </is>
      </c>
      <c r="D39" s="177">
        <f>$D$5</f>
        <v/>
      </c>
      <c r="E39" s="202" t="n">
        <v>139</v>
      </c>
      <c r="F39" s="193" t="n">
        <v>55770</v>
      </c>
      <c r="G39" s="179">
        <f>F39/D39</f>
        <v/>
      </c>
      <c r="H39" s="180" t="n"/>
      <c r="I39" s="140">
        <f>H39*100/$E$39</f>
        <v/>
      </c>
      <c r="J39" s="133" t="n"/>
      <c r="K39" s="140">
        <f>J39*100/$E$39</f>
        <v/>
      </c>
      <c r="L39" s="133">
        <f>7+7+7+7+7+7+3+7</f>
        <v/>
      </c>
      <c r="M39" s="140">
        <f>L39*100/$E$39</f>
        <v/>
      </c>
      <c r="N39" s="133" t="n"/>
      <c r="O39" s="140">
        <f>N39*100/$E$39</f>
        <v/>
      </c>
      <c r="P39" s="133" t="n"/>
      <c r="Q39" s="139">
        <f>P39*100/$E$39</f>
        <v/>
      </c>
      <c r="R39" s="133" t="n"/>
      <c r="S39" s="139">
        <f>R39*100/$E$39</f>
        <v/>
      </c>
      <c r="T39" s="133" t="n"/>
      <c r="U39" s="140">
        <f>T39*100/$E$39</f>
        <v/>
      </c>
      <c r="V39" s="133" t="n"/>
      <c r="W39" s="140">
        <f>V39*100/$E$39</f>
        <v/>
      </c>
      <c r="X39" s="133" t="n"/>
      <c r="Y39" s="140">
        <f>X39*100/$E$39</f>
        <v/>
      </c>
      <c r="Z39" s="133" t="n"/>
      <c r="AA39" s="140">
        <f>Z39*100/$E$39</f>
        <v/>
      </c>
      <c r="AB39" s="133" t="n"/>
      <c r="AC39" s="140">
        <f>AB39*100/$E$39</f>
        <v/>
      </c>
      <c r="AD39" s="133">
        <f>7+7+7</f>
        <v/>
      </c>
      <c r="AE39" s="139">
        <f>AD39*100/$E$39</f>
        <v/>
      </c>
      <c r="AF39" s="133" t="n"/>
      <c r="AG39" s="139">
        <f>AF39*100/$E$39</f>
        <v/>
      </c>
      <c r="AH39" s="133" t="n">
        <v>4</v>
      </c>
      <c r="AI39" s="140">
        <f>AH39*100/$E$39</f>
        <v/>
      </c>
      <c r="AJ39" s="133" t="n"/>
      <c r="AK39" s="140">
        <f>AJ39*100/$E$39</f>
        <v/>
      </c>
      <c r="AL39" s="133" t="n"/>
      <c r="AM39" s="140">
        <f>AL39*100/$E$39</f>
        <v/>
      </c>
      <c r="AN39" s="133" t="n"/>
      <c r="AO39" s="140">
        <f>AN39*100/$E$39</f>
        <v/>
      </c>
      <c r="AP39" s="133" t="n">
        <v>4</v>
      </c>
      <c r="AQ39" s="140">
        <f>AP39*100/$E$39</f>
        <v/>
      </c>
      <c r="AR39" s="133" t="n"/>
      <c r="AS39" s="140">
        <f>AR39*100/$E$39</f>
        <v/>
      </c>
      <c r="AT39" s="133" t="n"/>
      <c r="AU39" s="181">
        <f>AT39*100/$E$39</f>
        <v/>
      </c>
      <c r="AV39" s="133" t="n"/>
      <c r="AW39" s="140">
        <f>AV39*100/$E$39</f>
        <v/>
      </c>
      <c r="AX39" s="133" t="n"/>
      <c r="AY39" s="140">
        <f>AX39*100/$E$39</f>
        <v/>
      </c>
      <c r="AZ39" s="133" t="n"/>
      <c r="BA39" s="140">
        <f>AZ39*100/$E$39</f>
        <v/>
      </c>
      <c r="BB39" s="133" t="n"/>
      <c r="BC39" s="140">
        <f>BB39*100/$E$39</f>
        <v/>
      </c>
      <c r="BD39" s="133" t="n"/>
      <c r="BE39" s="140">
        <f>BD39*100/$E$39</f>
        <v/>
      </c>
      <c r="BF39" s="133" t="n"/>
      <c r="BG39" s="140">
        <f>BF39*100/$E$39</f>
        <v/>
      </c>
      <c r="BH39" s="133" t="n"/>
      <c r="BI39" s="140">
        <f>BH39*100/$E$39</f>
        <v/>
      </c>
      <c r="BJ39" s="133" t="n"/>
      <c r="BK39" s="140">
        <f>BJ39*100/$E$39</f>
        <v/>
      </c>
      <c r="BL39" s="133" t="n"/>
      <c r="BM39" s="140">
        <f>BL39*100/$E$39</f>
        <v/>
      </c>
      <c r="BN39" s="133" t="n"/>
      <c r="BO39" s="140">
        <f>BN39*100/$E$39</f>
        <v/>
      </c>
      <c r="BP39" s="133" t="n"/>
      <c r="BQ39" s="140">
        <f>BP39*100/$E$39</f>
        <v/>
      </c>
      <c r="BR39" s="133" t="n"/>
      <c r="BS39" s="140">
        <f>BR39*100/$E$39</f>
        <v/>
      </c>
      <c r="BT39" s="133" t="n">
        <v>4</v>
      </c>
      <c r="BU39" s="140">
        <f>BT39*100/$E$39</f>
        <v/>
      </c>
      <c r="BV39" s="133" t="n">
        <v>7</v>
      </c>
      <c r="BW39" s="140">
        <f>BV39*100/$E$39</f>
        <v/>
      </c>
      <c r="BX39" s="133" t="n"/>
      <c r="BY39" s="140">
        <f>BX39*100/$E$39</f>
        <v/>
      </c>
      <c r="BZ39" s="133" t="n">
        <v>3</v>
      </c>
      <c r="CA39" s="140">
        <f>BZ39*100/$E$39</f>
        <v/>
      </c>
      <c r="CB39" s="133" t="n"/>
      <c r="CC39" s="140">
        <f>CB39*100/$E$39</f>
        <v/>
      </c>
      <c r="CD39" s="133" t="n"/>
      <c r="CE39" s="140">
        <f>CD39*100/$E$39</f>
        <v/>
      </c>
      <c r="CF39" s="133" t="n"/>
      <c r="CG39" s="140">
        <f>CF39*100/$E$39</f>
        <v/>
      </c>
      <c r="CH39" s="133" t="n"/>
      <c r="CI39" s="140">
        <f>CH39*100/$E$39</f>
        <v/>
      </c>
      <c r="CJ39" s="133" t="n"/>
      <c r="CK39" s="140">
        <f>CJ39*100/$E$39</f>
        <v/>
      </c>
      <c r="CL39" s="133" t="n"/>
      <c r="CM39" s="140">
        <f>CL39*100/$E$39</f>
        <v/>
      </c>
      <c r="CN39" s="133" t="n"/>
      <c r="CO39" s="139">
        <f>CN39*100/$E$39</f>
        <v/>
      </c>
      <c r="CP39" s="133" t="n"/>
      <c r="CQ39" s="140">
        <f>CP39*100/$E$39</f>
        <v/>
      </c>
      <c r="CR39" s="133" t="n"/>
      <c r="CS39" s="139">
        <f>CR39*100/$E$39</f>
        <v/>
      </c>
      <c r="CT39" s="133" t="n"/>
      <c r="CU39" s="139">
        <f>CT39*100/$E$39</f>
        <v/>
      </c>
      <c r="CV39" s="133" t="n"/>
      <c r="CW39" s="139">
        <f>CV39*100/$E$39</f>
        <v/>
      </c>
      <c r="CX39" s="133" t="n"/>
      <c r="CY39" s="139">
        <f>CX39*100/$E$39</f>
        <v/>
      </c>
      <c r="CZ39" s="133" t="n"/>
      <c r="DA39" s="139">
        <f>CZ39*100/$E$39</f>
        <v/>
      </c>
      <c r="DB39" s="133" t="n"/>
      <c r="DC39" s="139">
        <f>DB39*100/$E$39</f>
        <v/>
      </c>
      <c r="DD39" s="133" t="n"/>
      <c r="DE39" s="139">
        <f>DD39*100/$E$39</f>
        <v/>
      </c>
      <c r="DF39" s="133" t="n"/>
      <c r="DG39" s="139">
        <f>DF39*100/$E$39</f>
        <v/>
      </c>
      <c r="DH39" s="133" t="n"/>
      <c r="DI39" s="139">
        <f>DH39*100/$E$39</f>
        <v/>
      </c>
      <c r="DJ39" s="133" t="n"/>
      <c r="DK39" s="139">
        <f>DJ39*100/$E$39</f>
        <v/>
      </c>
      <c r="DL39" s="133" t="n"/>
      <c r="DM39" s="139">
        <f>DL39*100/$E$39</f>
        <v/>
      </c>
      <c r="DN39" s="133" t="n"/>
      <c r="DO39" s="139">
        <f>DN39*100/$E$39</f>
        <v/>
      </c>
      <c r="DP39" s="133" t="n"/>
      <c r="DQ39" s="139">
        <f>DP39*100/$E$39</f>
        <v/>
      </c>
      <c r="DR39" s="133" t="n"/>
      <c r="DS39" s="139">
        <f>DR39*100/$E$39</f>
        <v/>
      </c>
      <c r="DT39" s="133" t="n"/>
      <c r="DU39" s="139">
        <f>DT39*100/$E$39</f>
        <v/>
      </c>
      <c r="DV39" s="133" t="n"/>
      <c r="DW39" s="139">
        <f>DV39*100/$E$39</f>
        <v/>
      </c>
      <c r="DX39" s="133" t="n"/>
      <c r="DY39" s="139">
        <f>DX39*100/$E$39</f>
        <v/>
      </c>
      <c r="DZ39" s="133" t="n"/>
      <c r="EA39" s="139">
        <f>DZ39*100/$E$39</f>
        <v/>
      </c>
      <c r="EB39" s="133" t="n"/>
      <c r="EC39" s="139">
        <f>EB39*100/$E$39</f>
        <v/>
      </c>
      <c r="ED39" s="133" t="n"/>
      <c r="EE39" s="139">
        <f>ED39*100/$E$39</f>
        <v/>
      </c>
      <c r="EF39" s="133">
        <f>7+3.5+3.5</f>
        <v/>
      </c>
      <c r="EG39" s="139">
        <f>EF39*100/$E$39</f>
        <v/>
      </c>
      <c r="EH39" s="133">
        <f>3.5+3.5</f>
        <v/>
      </c>
      <c r="EI39" s="139">
        <f>EH39*100/$E$39</f>
        <v/>
      </c>
      <c r="EJ39" s="133" t="n"/>
      <c r="EK39" s="139">
        <f>EJ39*100/$E$39</f>
        <v/>
      </c>
      <c r="EL39" s="133" t="n"/>
      <c r="EM39" s="139">
        <f>EL39*100/$E$39</f>
        <v/>
      </c>
      <c r="EN39" s="133" t="n"/>
      <c r="EO39" s="139">
        <f>EN39*100/$E$39</f>
        <v/>
      </c>
      <c r="EP39" s="133" t="n">
        <v>3</v>
      </c>
      <c r="EQ39" s="139">
        <f>EP39*100/$E$39</f>
        <v/>
      </c>
      <c r="ER39" s="133" t="n"/>
      <c r="ES39" s="139">
        <f>ER39*100/$E$39</f>
        <v/>
      </c>
      <c r="ET39" s="133" t="n"/>
      <c r="EU39" s="139">
        <f>ET39*100/$E$39</f>
        <v/>
      </c>
      <c r="EV39" s="133" t="n"/>
      <c r="EW39" s="139">
        <f>EV39*100/$E$39</f>
        <v/>
      </c>
      <c r="EX39" s="133" t="n"/>
      <c r="EY39" s="139">
        <f>EX39*100/$E$39</f>
        <v/>
      </c>
      <c r="EZ39" s="133" t="n"/>
      <c r="FA39" s="139">
        <f>EZ39*100/$E$39</f>
        <v/>
      </c>
      <c r="FB39" s="133" t="n"/>
      <c r="FC39" s="139">
        <f>FB39*100/$E$39</f>
        <v/>
      </c>
      <c r="FD39" s="133" t="n"/>
      <c r="FE39" s="139">
        <f>FD39*100/$E$39</f>
        <v/>
      </c>
      <c r="FF39" s="133" t="n"/>
      <c r="FG39" s="139">
        <f>FF39*100/$E$39</f>
        <v/>
      </c>
      <c r="FH39" s="133" t="n"/>
      <c r="FI39" s="139">
        <f>FH39*100/$E$39</f>
        <v/>
      </c>
      <c r="FJ39" s="133" t="n"/>
      <c r="FK39" s="139">
        <f>FJ39*100/$E$39</f>
        <v/>
      </c>
      <c r="FL39" s="133" t="n"/>
      <c r="FM39" s="139">
        <f>FL39*100/$E$39</f>
        <v/>
      </c>
      <c r="FN39" s="133" t="n"/>
      <c r="FO39" s="139">
        <f>FN39*100/$E$39</f>
        <v/>
      </c>
      <c r="FP39" s="133" t="n"/>
      <c r="FQ39" s="139">
        <f>FP39*100/$E$39</f>
        <v/>
      </c>
      <c r="FR39" s="133" t="n"/>
      <c r="FS39" s="139">
        <f>FR39*100/$E$39</f>
        <v/>
      </c>
      <c r="FT39" s="133" t="n"/>
      <c r="FU39" s="139">
        <f>FT39*100/$E$39</f>
        <v/>
      </c>
      <c r="FV39" s="133" t="n"/>
      <c r="FW39" s="139">
        <f>FV39*100/$E$39</f>
        <v/>
      </c>
      <c r="FX39" s="133" t="n"/>
      <c r="FY39" s="140">
        <f>FX39*100/$E$39</f>
        <v/>
      </c>
      <c r="FZ39" s="133" t="n"/>
      <c r="GA39" s="140">
        <f>FZ39*100/$E$39</f>
        <v/>
      </c>
      <c r="GB39" s="133" t="n"/>
      <c r="GC39" s="140">
        <f>GB39*100/$E$39</f>
        <v/>
      </c>
      <c r="GD39" s="133" t="n"/>
      <c r="GE39" s="140">
        <f>GD39*100/$E$39</f>
        <v/>
      </c>
      <c r="GF39" s="133" t="n"/>
      <c r="GG39" s="140">
        <f>GF39*100/$E$39</f>
        <v/>
      </c>
      <c r="GH39" s="133" t="n"/>
      <c r="GI39" s="140">
        <f>GH39*100/$E$39</f>
        <v/>
      </c>
      <c r="GJ39" s="133" t="n"/>
      <c r="GK39" s="139">
        <f>GJ39*100/$E$39</f>
        <v/>
      </c>
      <c r="GL39" s="133" t="n"/>
      <c r="GM39" s="140">
        <f>GL39*100/$E$39</f>
        <v/>
      </c>
      <c r="GN39" s="133" t="n"/>
      <c r="GO39" s="139">
        <f>GN39*100/$E$39</f>
        <v/>
      </c>
      <c r="GP39" s="133" t="n"/>
      <c r="GQ39" s="140">
        <f>GP39*100/$E$39</f>
        <v/>
      </c>
      <c r="GR39" s="133" t="n"/>
      <c r="GS39" s="139">
        <f>GR39*100/$E$39</f>
        <v/>
      </c>
      <c r="GT39" s="133" t="n"/>
      <c r="GU39" s="139">
        <f>GT39*100/$E$39</f>
        <v/>
      </c>
      <c r="GV39" s="133" t="n"/>
      <c r="GW39" s="139">
        <f>GV39*100/$E$39</f>
        <v/>
      </c>
      <c r="GX39" s="133" t="n"/>
      <c r="GY39" s="140">
        <f>GX39*100/$E$39</f>
        <v/>
      </c>
      <c r="GZ39" s="133" t="n"/>
      <c r="HA39" s="140">
        <f>GZ39*100/$E$39</f>
        <v/>
      </c>
      <c r="HB39" s="133" t="n"/>
      <c r="HC39" s="140">
        <f>HB39*100/$E$39</f>
        <v/>
      </c>
      <c r="HD39" s="133" t="n"/>
      <c r="HE39" s="140">
        <f>HD39*100/$E$39</f>
        <v/>
      </c>
      <c r="HF39" s="133" t="n"/>
      <c r="HG39" s="140">
        <f>HF39*100/$E$39</f>
        <v/>
      </c>
      <c r="HH39" s="133" t="n"/>
      <c r="HI39" s="140">
        <f>HH39*100/$E$39</f>
        <v/>
      </c>
      <c r="HJ39" s="133" t="n"/>
      <c r="HK39" s="140">
        <f>HJ39*100/$E$39</f>
        <v/>
      </c>
      <c r="HL39" s="133" t="n"/>
      <c r="HM39" s="140">
        <f>HL39*100/$E$39</f>
        <v/>
      </c>
      <c r="HN39" s="133" t="n"/>
      <c r="HO39" s="140">
        <f>HN39*100/$E$39</f>
        <v/>
      </c>
      <c r="HP39" s="133" t="n"/>
      <c r="HQ39" s="140">
        <f>HP39*100/$E$39</f>
        <v/>
      </c>
      <c r="HR39" s="133" t="n"/>
      <c r="HS39" s="140">
        <f>HR39*100/$E$39</f>
        <v/>
      </c>
      <c r="HT39" s="133" t="n"/>
      <c r="HU39" s="140">
        <f>HT39*100/$E$39</f>
        <v/>
      </c>
      <c r="HV39" s="133" t="n"/>
      <c r="HW39" s="140">
        <f>HV39*100/$E$39</f>
        <v/>
      </c>
      <c r="HX39" s="133" t="n"/>
      <c r="HY39" s="140">
        <f>HX39*100/$E$39</f>
        <v/>
      </c>
      <c r="HZ39" s="133" t="n"/>
      <c r="IA39" s="139">
        <f>HZ39*100/$E$39</f>
        <v/>
      </c>
      <c r="IB39" s="133" t="n"/>
      <c r="IC39" s="139">
        <f>IB39*100/$E$39</f>
        <v/>
      </c>
      <c r="ID39" s="133" t="n"/>
      <c r="IE39" s="139">
        <f>ID39*100/$E$39</f>
        <v/>
      </c>
      <c r="IF39" s="133" t="n"/>
      <c r="IG39" s="139">
        <f>IF39*100/$E$39</f>
        <v/>
      </c>
      <c r="IH39" s="133" t="n"/>
      <c r="II39" s="139">
        <f>IH39*100/$E$39</f>
        <v/>
      </c>
      <c r="IJ39" s="133" t="n"/>
      <c r="IK39" s="139">
        <f>IJ39*100/$E$39</f>
        <v/>
      </c>
      <c r="IL39" s="133" t="n"/>
      <c r="IM39" s="140">
        <f>IL39*100/$E$39</f>
        <v/>
      </c>
      <c r="IN39" s="133" t="n"/>
      <c r="IO39" s="140">
        <f>IN39*100/$E$39</f>
        <v/>
      </c>
      <c r="IP39" s="133" t="n"/>
      <c r="IQ39" s="139">
        <f>IP39*100/$E$39</f>
        <v/>
      </c>
      <c r="IR39" s="133" t="n"/>
      <c r="IS39" s="139">
        <f>IR39*100/$E$39</f>
        <v/>
      </c>
      <c r="IT39" s="133" t="n"/>
      <c r="IU39" s="139">
        <f>IT39*100/$E$39</f>
        <v/>
      </c>
      <c r="IV39" s="133" t="n"/>
      <c r="IW39" s="139">
        <f>IV39*100/$E$39</f>
        <v/>
      </c>
      <c r="IX39" s="133" t="n"/>
      <c r="IY39" s="139">
        <f>IX39*100/$E$39</f>
        <v/>
      </c>
      <c r="IZ39" s="133" t="n"/>
      <c r="JA39" s="139">
        <f>IZ39*100/$E$39</f>
        <v/>
      </c>
      <c r="JB39" s="133" t="n"/>
      <c r="JC39" s="139">
        <f>JB39*100/$E$39</f>
        <v/>
      </c>
      <c r="JD39" s="133" t="n"/>
      <c r="JE39" s="139">
        <f>JD39*100/$E$39</f>
        <v/>
      </c>
      <c r="JF39" s="133" t="n"/>
      <c r="JG39" s="139">
        <f>JF39*100/$E$39</f>
        <v/>
      </c>
      <c r="JH39" s="133" t="n"/>
      <c r="JI39" s="139">
        <f>JH39*100/$E$39</f>
        <v/>
      </c>
      <c r="JJ39" s="133" t="n"/>
      <c r="JK39" s="139">
        <f>JJ39*100/$E$39</f>
        <v/>
      </c>
      <c r="JL39" s="133">
        <f>6+7+7</f>
        <v/>
      </c>
      <c r="JM39" s="139">
        <f>JL39*100/$E$39</f>
        <v/>
      </c>
      <c r="JN39" s="133" t="n"/>
      <c r="JO39" s="139">
        <f>JN39*100/$E$39</f>
        <v/>
      </c>
      <c r="JP39" s="133" t="n"/>
      <c r="JQ39" s="139">
        <f>JP39*100/$E$39</f>
        <v/>
      </c>
      <c r="JR39" s="133" t="n"/>
      <c r="JS39" s="139">
        <f>JR39*100/$E$39</f>
        <v/>
      </c>
      <c r="JT39" s="133" t="n"/>
      <c r="JU39" s="182">
        <f>JT39*100/$E$39</f>
        <v/>
      </c>
      <c r="JV39" s="133" t="n"/>
      <c r="JW39" s="182">
        <f>JV39*100/$E$39</f>
        <v/>
      </c>
      <c r="JX39" s="133" t="n"/>
      <c r="JY39" s="182">
        <f>JX39*100/$E$39</f>
        <v/>
      </c>
      <c r="JZ39" s="183">
        <f>JN39+JP39+JR39+JT39+JV39+JX39</f>
        <v/>
      </c>
      <c r="KA39" s="184">
        <f>JO39+JQ39+JS39+JU39+JW39+JY39</f>
        <v/>
      </c>
      <c r="KB39" s="185">
        <f>H39+J39+L39+N39+P39+R39+T39+V39+X39+Z39+AB39+AD39+AF39+AH39+AJ39+AL39+AN39+AP39+AR39+AT39+AV39+AX39+AZ39+BB39+BD39+BF39+BH39+BJ39+BL39+BN39+BP39+BR39+BT39+BV39+BX39+BZ39+CB39+CD39+CF39+CH39+CZ39+DB39+DD39+DF39+DH39+DJ39+DL39+DN39+DP39+DR39+DT39+DV39+DX39+DZ39+EB39+ED39+EF39+EH39+EJ39+EL39+EN39+EP39+ER39+ET39+EV39+FN39+FP39+FR39+FT39+FV39+FX39+FZ39+GB39+GD39+GF39+GH39+GJ39+GL39+GN39+GP39+GR39+GT39+GV39+GX39+GZ39+HB39+HD39+HF39+HH39+HJ39+HL39+HN39+HP39+HR39+HT39+HV39+HX39+HZ39+IB39+ID39+IF39+IH39+IJ39+IL39+IN39+IP39+IR39+IT39+IV39+IX39+IZ39+JB39+JD39+JF39+JH39+JJ39+JL39+JZ39+CJ39+CL39+CN39+CP39+CR39+CT39+CV39+CX39+EX39+EZ39+FB39+FD39+FF39+FH39+FJ39+FL39</f>
        <v/>
      </c>
      <c r="KC39" s="186">
        <f>I39+K39+M39+O39+Q39+S39+U39+W39+Y39+AA39+AC39+AE39+AG39+AI39+AK39+AM39+AO39+AQ39+AS39+AU39+AW39+AY39+BA39+BC39+BE39+BG39+BI39+BK39+BM39+BO39+BQ39+BS39+BU39+BW39+BY39+CA39+CC39+CE39+CG39+CI39+DA39+DC39+DE39+DG39+DI39+DK39+DM39+DO39+DQ39+DS39+DU39+DW39+DY39+EA39+EC39+EE39+EG39+EI39+EK39+EM39+EO39+EQ39+ES39+EU39+EW39+FO39+FS39+FU39+FW39+FQ39+FY39+GA39+GC39+GE39+GG39+GI39+GK39+GM39+GO39+GQ39+GS39+GU39+GW39+GY39+HA39+HC39+HE39+HG39+HI39+HK39+HM39+HO39+HQ39+HS39+HU39+HW39+HY39+IA39+IC39+IE39+IG39+II39+IK39+IM39+IO39+IQ39+IS39+IU39+IW39+IY39+JA39+JC39+JE39+JG39+JI39+JK39+JM39+KA39+CK39+CM39+CO39+CQ39+CS39+CU39+CW39+CY39+EY39+FA39+FC39+FE39+FG39+FI39+FK39+FM39</f>
        <v/>
      </c>
      <c r="KD39" s="187">
        <f>JO39+JQ39+JS39+JU39+JW39+JY39</f>
        <v/>
      </c>
      <c r="KE39" s="188">
        <f>KB39=E39</f>
        <v/>
      </c>
      <c r="KF39" s="189">
        <f>E39-KB39</f>
        <v/>
      </c>
      <c r="KG39" s="195" t="n"/>
    </row>
    <row r="40" ht="21.75" customFormat="1" customHeight="1" s="216">
      <c r="A40" s="126">
        <f>A39+1</f>
        <v/>
      </c>
      <c r="B40" s="175" t="inlineStr">
        <is>
          <t>Сидоров Ю.В.</t>
        </is>
      </c>
      <c r="C40" s="176" t="inlineStr">
        <is>
          <t>ЧПУ</t>
        </is>
      </c>
      <c r="D40" s="177">
        <f>$D$5</f>
        <v/>
      </c>
      <c r="E40" s="202" t="n">
        <v>159</v>
      </c>
      <c r="F40" s="193" t="n">
        <v>172413.8</v>
      </c>
      <c r="G40" s="179">
        <f>F40/D40</f>
        <v/>
      </c>
      <c r="H40" s="180" t="n"/>
      <c r="I40" s="140">
        <f>H40*100/$E$40</f>
        <v/>
      </c>
      <c r="J40" s="133" t="n"/>
      <c r="K40" s="140">
        <f>J40*100/$E$40</f>
        <v/>
      </c>
      <c r="L40" s="133" t="n"/>
      <c r="M40" s="140">
        <f>L40*100/$E$40</f>
        <v/>
      </c>
      <c r="N40" s="133" t="n"/>
      <c r="O40" s="140">
        <f>N40*100/$E$40</f>
        <v/>
      </c>
      <c r="P40" s="133" t="n"/>
      <c r="Q40" s="139">
        <f>P40*100/$E$40</f>
        <v/>
      </c>
      <c r="R40" s="133" t="n"/>
      <c r="S40" s="139">
        <f>R40*100/$E$40</f>
        <v/>
      </c>
      <c r="T40" s="133" t="n"/>
      <c r="U40" s="140">
        <f>T40*100/$E$40</f>
        <v/>
      </c>
      <c r="V40" s="133" t="n"/>
      <c r="W40" s="140">
        <f>V40*100/$E$40</f>
        <v/>
      </c>
      <c r="X40" s="133" t="n"/>
      <c r="Y40" s="140">
        <f>X40*100/$E$40</f>
        <v/>
      </c>
      <c r="Z40" s="133" t="n"/>
      <c r="AA40" s="140">
        <f>Z40*100/$E$40</f>
        <v/>
      </c>
      <c r="AB40" s="133" t="n"/>
      <c r="AC40" s="140">
        <f>AB40*100/$E$40</f>
        <v/>
      </c>
      <c r="AD40" s="133" t="n">
        <v>4</v>
      </c>
      <c r="AE40" s="139">
        <f>AD40*100/$E$40</f>
        <v/>
      </c>
      <c r="AF40" s="133" t="n"/>
      <c r="AG40" s="139">
        <f>AF40*100/$E$40</f>
        <v/>
      </c>
      <c r="AH40" s="133" t="n"/>
      <c r="AI40" s="140">
        <f>AH40*100/$E$40</f>
        <v/>
      </c>
      <c r="AJ40" s="133" t="n">
        <v>4</v>
      </c>
      <c r="AK40" s="140">
        <f>AJ40*100/$E$40</f>
        <v/>
      </c>
      <c r="AL40" s="133" t="n"/>
      <c r="AM40" s="140">
        <f>AL40*100/$E$40</f>
        <v/>
      </c>
      <c r="AN40" s="133">
        <f>2+2+2</f>
        <v/>
      </c>
      <c r="AO40" s="140">
        <f>AN40*100/$E$40</f>
        <v/>
      </c>
      <c r="AP40" s="133" t="n">
        <v>2</v>
      </c>
      <c r="AQ40" s="140">
        <f>AP40*100/$E$40</f>
        <v/>
      </c>
      <c r="AR40" s="133">
        <f>2+2</f>
        <v/>
      </c>
      <c r="AS40" s="140">
        <f>AR40*100/$E$40</f>
        <v/>
      </c>
      <c r="AT40" s="133" t="n"/>
      <c r="AU40" s="181">
        <f>AT40*100/$E$40</f>
        <v/>
      </c>
      <c r="AV40" s="133" t="n">
        <v>4</v>
      </c>
      <c r="AW40" s="140">
        <f>AV40*100/$E$40</f>
        <v/>
      </c>
      <c r="AX40" s="133" t="n"/>
      <c r="AY40" s="140">
        <f>AX40*100/$E$40</f>
        <v/>
      </c>
      <c r="AZ40" s="133" t="n"/>
      <c r="BA40" s="140">
        <f>AZ40*100/$E$40</f>
        <v/>
      </c>
      <c r="BB40" s="133">
        <f>2+2</f>
        <v/>
      </c>
      <c r="BC40" s="140">
        <f>BB40*100/$E$40</f>
        <v/>
      </c>
      <c r="BD40" s="133" t="n"/>
      <c r="BE40" s="140">
        <f>BD40*100/$E$40</f>
        <v/>
      </c>
      <c r="BF40" s="133">
        <f>4+2+4</f>
        <v/>
      </c>
      <c r="BG40" s="140">
        <f>BF40*100/$E$40</f>
        <v/>
      </c>
      <c r="BH40" s="133" t="n">
        <v>4</v>
      </c>
      <c r="BI40" s="140">
        <f>BH40*100/$E$40</f>
        <v/>
      </c>
      <c r="BJ40" s="133">
        <f>4+6+2</f>
        <v/>
      </c>
      <c r="BK40" s="140">
        <f>BJ40*100/$E$40</f>
        <v/>
      </c>
      <c r="BL40" s="133" t="n"/>
      <c r="BM40" s="140">
        <f>BL40*100/$E$40</f>
        <v/>
      </c>
      <c r="BN40" s="133" t="n"/>
      <c r="BO40" s="140">
        <f>BN40*100/$E$40</f>
        <v/>
      </c>
      <c r="BP40" s="133" t="n"/>
      <c r="BQ40" s="140">
        <f>BP40*100/$E$40</f>
        <v/>
      </c>
      <c r="BR40" s="133" t="n">
        <v>4</v>
      </c>
      <c r="BS40" s="140">
        <f>BR40*100/$E$40</f>
        <v/>
      </c>
      <c r="BT40" s="133">
        <f>4+8+4</f>
        <v/>
      </c>
      <c r="BU40" s="140">
        <f>BT40*100/$E$40</f>
        <v/>
      </c>
      <c r="BV40" s="133" t="n"/>
      <c r="BW40" s="140">
        <f>BV40*100/$E$40</f>
        <v/>
      </c>
      <c r="BX40" s="133" t="n">
        <v>2</v>
      </c>
      <c r="BY40" s="140">
        <f>BX40*100/$E$40</f>
        <v/>
      </c>
      <c r="BZ40" s="133">
        <f>4+4+4+4+4</f>
        <v/>
      </c>
      <c r="CA40" s="140">
        <f>BZ40*100/$E$40</f>
        <v/>
      </c>
      <c r="CB40" s="133">
        <f>4+4+4</f>
        <v/>
      </c>
      <c r="CC40" s="140">
        <f>CB40*100/$E$40</f>
        <v/>
      </c>
      <c r="CD40" s="133" t="n"/>
      <c r="CE40" s="140">
        <f>CD40*100/$E$40</f>
        <v/>
      </c>
      <c r="CF40" s="133" t="n"/>
      <c r="CG40" s="140">
        <f>CF40*100/$E$40</f>
        <v/>
      </c>
      <c r="CH40" s="133" t="n"/>
      <c r="CI40" s="140">
        <f>CH40*100/$E$40</f>
        <v/>
      </c>
      <c r="CJ40" s="133" t="n"/>
      <c r="CK40" s="140">
        <f>CJ40*100/$E$40</f>
        <v/>
      </c>
      <c r="CL40" s="133" t="n"/>
      <c r="CM40" s="140">
        <f>CL40*100/$E$40</f>
        <v/>
      </c>
      <c r="CN40" s="133" t="n"/>
      <c r="CO40" s="139">
        <f>CN40*100/$E$40</f>
        <v/>
      </c>
      <c r="CP40" s="133" t="n"/>
      <c r="CQ40" s="140">
        <f>CP40*100/$E$40</f>
        <v/>
      </c>
      <c r="CR40" s="133" t="n"/>
      <c r="CS40" s="139">
        <f>CR40*100/$E$40</f>
        <v/>
      </c>
      <c r="CT40" s="133" t="n"/>
      <c r="CU40" s="139">
        <f>CT40*100/$E$40</f>
        <v/>
      </c>
      <c r="CV40" s="133" t="n"/>
      <c r="CW40" s="139">
        <f>CV40*100/$E$40</f>
        <v/>
      </c>
      <c r="CX40" s="133" t="n"/>
      <c r="CY40" s="139">
        <f>CX40*100/$E$40</f>
        <v/>
      </c>
      <c r="CZ40" s="133" t="n"/>
      <c r="DA40" s="139">
        <f>CZ40*100/$E$40</f>
        <v/>
      </c>
      <c r="DB40" s="133" t="n"/>
      <c r="DC40" s="139">
        <f>DB40*100/$E$40</f>
        <v/>
      </c>
      <c r="DD40" s="133" t="n"/>
      <c r="DE40" s="139">
        <f>DD40*100/$E$40</f>
        <v/>
      </c>
      <c r="DF40" s="133" t="n"/>
      <c r="DG40" s="139">
        <f>DF40*100/$E$40</f>
        <v/>
      </c>
      <c r="DH40" s="133" t="n"/>
      <c r="DI40" s="139">
        <f>DH40*100/$E$40</f>
        <v/>
      </c>
      <c r="DJ40" s="133" t="n"/>
      <c r="DK40" s="139">
        <f>DJ40*100/$E$40</f>
        <v/>
      </c>
      <c r="DL40" s="133" t="n"/>
      <c r="DM40" s="139">
        <f>DL40*100/$E$40</f>
        <v/>
      </c>
      <c r="DN40" s="133" t="n"/>
      <c r="DO40" s="139">
        <f>DN40*100/$E$40</f>
        <v/>
      </c>
      <c r="DP40" s="133">
        <f>4+4</f>
        <v/>
      </c>
      <c r="DQ40" s="139">
        <f>DP40*100/$E$40</f>
        <v/>
      </c>
      <c r="DR40" s="133" t="n"/>
      <c r="DS40" s="139">
        <f>DR40*100/$E$40</f>
        <v/>
      </c>
      <c r="DT40" s="133" t="n"/>
      <c r="DU40" s="139">
        <f>DT40*100/$E$40</f>
        <v/>
      </c>
      <c r="DV40" s="133" t="n"/>
      <c r="DW40" s="139">
        <f>DV40*100/$E$40</f>
        <v/>
      </c>
      <c r="DX40" s="133" t="n"/>
      <c r="DY40" s="139">
        <f>DX40*100/$E$40</f>
        <v/>
      </c>
      <c r="DZ40" s="133" t="n"/>
      <c r="EA40" s="139">
        <f>DZ40*100/$E$40</f>
        <v/>
      </c>
      <c r="EB40" s="133" t="n"/>
      <c r="EC40" s="139">
        <f>EB40*100/$E$40</f>
        <v/>
      </c>
      <c r="ED40" s="133" t="n"/>
      <c r="EE40" s="139">
        <f>ED40*100/$E$40</f>
        <v/>
      </c>
      <c r="EF40" s="133">
        <f>2+1.5+2+2</f>
        <v/>
      </c>
      <c r="EG40" s="139">
        <f>EF40*100/$E$40</f>
        <v/>
      </c>
      <c r="EH40" s="133">
        <f>4+2+1.5+2</f>
        <v/>
      </c>
      <c r="EI40" s="139">
        <f>EH40*100/$E$40</f>
        <v/>
      </c>
      <c r="EJ40" s="133" t="n"/>
      <c r="EK40" s="139">
        <f>EJ40*100/$E$40</f>
        <v/>
      </c>
      <c r="EL40" s="133" t="n"/>
      <c r="EM40" s="139">
        <f>EL40*100/$E$40</f>
        <v/>
      </c>
      <c r="EN40" s="133" t="n"/>
      <c r="EO40" s="139">
        <f>EN40*100/$E$40</f>
        <v/>
      </c>
      <c r="EP40" s="133" t="n">
        <v>2</v>
      </c>
      <c r="EQ40" s="139">
        <f>EP40*100/$E$40</f>
        <v/>
      </c>
      <c r="ER40" s="133" t="n">
        <v>4</v>
      </c>
      <c r="ES40" s="139">
        <f>ER40*100/$E$40</f>
        <v/>
      </c>
      <c r="ET40" s="133">
        <f>2+4</f>
        <v/>
      </c>
      <c r="EU40" s="139">
        <f>ET40*100/$E$40</f>
        <v/>
      </c>
      <c r="EV40" s="133" t="n"/>
      <c r="EW40" s="139">
        <f>EV40*100/$E$40</f>
        <v/>
      </c>
      <c r="EX40" s="133" t="n"/>
      <c r="EY40" s="139">
        <f>EX40*100/$E$40</f>
        <v/>
      </c>
      <c r="EZ40" s="133" t="n"/>
      <c r="FA40" s="139">
        <f>EZ40*100/$E$40</f>
        <v/>
      </c>
      <c r="FB40" s="133" t="n"/>
      <c r="FC40" s="139">
        <f>FB40*100/$E$40</f>
        <v/>
      </c>
      <c r="FD40" s="133" t="n"/>
      <c r="FE40" s="139">
        <f>FD40*100/$E$40</f>
        <v/>
      </c>
      <c r="FF40" s="133" t="n"/>
      <c r="FG40" s="139">
        <f>FF40*100/$E$40</f>
        <v/>
      </c>
      <c r="FH40" s="133" t="n"/>
      <c r="FI40" s="139">
        <f>FH40*100/$E$40</f>
        <v/>
      </c>
      <c r="FJ40" s="133" t="n"/>
      <c r="FK40" s="139">
        <f>FJ40*100/$E$40</f>
        <v/>
      </c>
      <c r="FL40" s="133" t="n"/>
      <c r="FM40" s="139">
        <f>FL40*100/$E$40</f>
        <v/>
      </c>
      <c r="FN40" s="133" t="n"/>
      <c r="FO40" s="139">
        <f>FN40*100/$E$40</f>
        <v/>
      </c>
      <c r="FP40" s="133" t="n"/>
      <c r="FQ40" s="139">
        <f>FP40*100/$E$40</f>
        <v/>
      </c>
      <c r="FR40" s="133" t="n"/>
      <c r="FS40" s="139">
        <f>FR40*100/$E$40</f>
        <v/>
      </c>
      <c r="FT40" s="133" t="n"/>
      <c r="FU40" s="139">
        <f>FT40*100/$E$40</f>
        <v/>
      </c>
      <c r="FV40" s="133" t="n"/>
      <c r="FW40" s="139">
        <f>FV40*100/$E$40</f>
        <v/>
      </c>
      <c r="FX40" s="133" t="n"/>
      <c r="FY40" s="140">
        <f>FX40*100/$E$40</f>
        <v/>
      </c>
      <c r="FZ40" s="133" t="n"/>
      <c r="GA40" s="140">
        <f>FZ40*100/$E$40</f>
        <v/>
      </c>
      <c r="GB40" s="133" t="n"/>
      <c r="GC40" s="140">
        <f>GB40*100/$E$40</f>
        <v/>
      </c>
      <c r="GD40" s="133" t="n"/>
      <c r="GE40" s="140">
        <f>GD40*100/$E$40</f>
        <v/>
      </c>
      <c r="GF40" s="133" t="n"/>
      <c r="GG40" s="140">
        <f>GF40*100/$E$40</f>
        <v/>
      </c>
      <c r="GH40" s="133" t="n"/>
      <c r="GI40" s="140">
        <f>GH40*100/$E$40</f>
        <v/>
      </c>
      <c r="GJ40" s="133" t="n"/>
      <c r="GK40" s="139">
        <f>GJ40*100/$E$40</f>
        <v/>
      </c>
      <c r="GL40" s="133" t="n"/>
      <c r="GM40" s="140">
        <f>GL40*100/$E$40</f>
        <v/>
      </c>
      <c r="GN40" s="133" t="n"/>
      <c r="GO40" s="139">
        <f>GN40*100/$E$40</f>
        <v/>
      </c>
      <c r="GP40" s="133" t="n"/>
      <c r="GQ40" s="140">
        <f>GP40*100/$E$40</f>
        <v/>
      </c>
      <c r="GR40" s="133" t="n"/>
      <c r="GS40" s="139">
        <f>GR40*100/$E$40</f>
        <v/>
      </c>
      <c r="GT40" s="133" t="n"/>
      <c r="GU40" s="139">
        <f>GT40*100/$E$40</f>
        <v/>
      </c>
      <c r="GV40" s="133" t="n"/>
      <c r="GW40" s="139">
        <f>GV40*100/$E$40</f>
        <v/>
      </c>
      <c r="GX40" s="133" t="n"/>
      <c r="GY40" s="140">
        <f>GX40*100/$E$40</f>
        <v/>
      </c>
      <c r="GZ40" s="133" t="n"/>
      <c r="HA40" s="140">
        <f>GZ40*100/$E$40</f>
        <v/>
      </c>
      <c r="HB40" s="133" t="n"/>
      <c r="HC40" s="140">
        <f>HB40*100/$E$40</f>
        <v/>
      </c>
      <c r="HD40" s="133" t="n"/>
      <c r="HE40" s="140">
        <f>HD40*100/$E$40</f>
        <v/>
      </c>
      <c r="HF40" s="133" t="n"/>
      <c r="HG40" s="140">
        <f>HF40*100/$E$40</f>
        <v/>
      </c>
      <c r="HH40" s="133" t="n"/>
      <c r="HI40" s="140">
        <f>HH40*100/$E$40</f>
        <v/>
      </c>
      <c r="HJ40" s="133" t="n"/>
      <c r="HK40" s="140">
        <f>HJ40*100/$E$40</f>
        <v/>
      </c>
      <c r="HL40" s="133" t="n"/>
      <c r="HM40" s="140">
        <f>HL40*100/$E$40</f>
        <v/>
      </c>
      <c r="HN40" s="133" t="n"/>
      <c r="HO40" s="140">
        <f>HN40*100/$E$40</f>
        <v/>
      </c>
      <c r="HP40" s="133" t="n"/>
      <c r="HQ40" s="140">
        <f>HP40*100/$E$40</f>
        <v/>
      </c>
      <c r="HR40" s="133" t="n"/>
      <c r="HS40" s="140">
        <f>HR40*100/$E$40</f>
        <v/>
      </c>
      <c r="HT40" s="133" t="n"/>
      <c r="HU40" s="140">
        <f>HT40*100/$E$40</f>
        <v/>
      </c>
      <c r="HV40" s="133" t="n"/>
      <c r="HW40" s="140">
        <f>HV40*100/$E$40</f>
        <v/>
      </c>
      <c r="HX40" s="133" t="n"/>
      <c r="HY40" s="140">
        <f>HX40*100/$E$40</f>
        <v/>
      </c>
      <c r="HZ40" s="133" t="n"/>
      <c r="IA40" s="139">
        <f>HZ40*100/$E$40</f>
        <v/>
      </c>
      <c r="IB40" s="133" t="n"/>
      <c r="IC40" s="139">
        <f>IB40*100/$E$40</f>
        <v/>
      </c>
      <c r="ID40" s="133" t="n"/>
      <c r="IE40" s="139">
        <f>ID40*100/$E$40</f>
        <v/>
      </c>
      <c r="IF40" s="133" t="n"/>
      <c r="IG40" s="139">
        <f>IF40*100/$E$40</f>
        <v/>
      </c>
      <c r="IH40" s="133" t="n"/>
      <c r="II40" s="139">
        <f>IH40*100/$E$40</f>
        <v/>
      </c>
      <c r="IJ40" s="133" t="n"/>
      <c r="IK40" s="139">
        <f>IJ40*100/$E$40</f>
        <v/>
      </c>
      <c r="IL40" s="133" t="n"/>
      <c r="IM40" s="140">
        <f>IL40*100/$E$40</f>
        <v/>
      </c>
      <c r="IN40" s="133" t="n"/>
      <c r="IO40" s="140">
        <f>IN40*100/$E$40</f>
        <v/>
      </c>
      <c r="IP40" s="133" t="n"/>
      <c r="IQ40" s="139">
        <f>IP40*100/$E$40</f>
        <v/>
      </c>
      <c r="IR40" s="133" t="n"/>
      <c r="IS40" s="139">
        <f>IR40*100/$E$40</f>
        <v/>
      </c>
      <c r="IT40" s="133" t="n"/>
      <c r="IU40" s="139">
        <f>IT40*100/$E$40</f>
        <v/>
      </c>
      <c r="IV40" s="133" t="n"/>
      <c r="IW40" s="139">
        <f>IV40*100/$E$40</f>
        <v/>
      </c>
      <c r="IX40" s="133" t="n"/>
      <c r="IY40" s="139">
        <f>IX40*100/$E$40</f>
        <v/>
      </c>
      <c r="IZ40" s="133" t="n"/>
      <c r="JA40" s="139">
        <f>IZ40*100/$E$40</f>
        <v/>
      </c>
      <c r="JB40" s="133" t="n"/>
      <c r="JC40" s="139">
        <f>JB40*100/$E$40</f>
        <v/>
      </c>
      <c r="JD40" s="133" t="n"/>
      <c r="JE40" s="139">
        <f>JD40*100/$E$40</f>
        <v/>
      </c>
      <c r="JF40" s="133" t="n"/>
      <c r="JG40" s="139">
        <f>JF40*100/$E$40</f>
        <v/>
      </c>
      <c r="JH40" s="133" t="n"/>
      <c r="JI40" s="139">
        <f>JH40*100/$E$40</f>
        <v/>
      </c>
      <c r="JJ40" s="133" t="n"/>
      <c r="JK40" s="139">
        <f>JJ40*100/$E$40</f>
        <v/>
      </c>
      <c r="JL40" s="133">
        <f>2+2+4+2+2+2</f>
        <v/>
      </c>
      <c r="JM40" s="139">
        <f>JL40*100/$E$40</f>
        <v/>
      </c>
      <c r="JN40" s="133" t="n"/>
      <c r="JO40" s="139">
        <f>JN40*100/$E$40</f>
        <v/>
      </c>
      <c r="JP40" s="133" t="n"/>
      <c r="JQ40" s="139">
        <f>JP40*100/$E$40</f>
        <v/>
      </c>
      <c r="JR40" s="133" t="n"/>
      <c r="JS40" s="139">
        <f>JR40*100/$E$40</f>
        <v/>
      </c>
      <c r="JT40" s="133" t="n"/>
      <c r="JU40" s="182">
        <f>JT40*100/$E$40</f>
        <v/>
      </c>
      <c r="JV40" s="133" t="n"/>
      <c r="JW40" s="182">
        <f>JV40*100/$E$40</f>
        <v/>
      </c>
      <c r="JX40" s="133" t="n"/>
      <c r="JY40" s="182">
        <f>JX40*100/$E$40</f>
        <v/>
      </c>
      <c r="JZ40" s="183">
        <f>JN40+JP40+JR40+JT40+JV40+JX40</f>
        <v/>
      </c>
      <c r="KA40" s="184">
        <f>JO40+JQ40+JS40+JU40+JW40+JY40</f>
        <v/>
      </c>
      <c r="KB40" s="185">
        <f>H40+J40+L40+N40+P40+R40+T40+V40+X40+Z40+AB40+AD40+AF40+AH40+AJ40+AL40+AN40+AP40+AR40+AT40+AV40+AX40+AZ40+BB40+BD40+BF40+BH40+BJ40+BL40+BN40+BP40+BR40+BT40+BV40+BX40+BZ40+CB40+CD40+CF40+CH40+CZ40+DB40+DD40+DF40+DH40+DJ40+DL40+DN40+DP40+DR40+DT40+DV40+DX40+DZ40+EB40+ED40+EF40+EH40+EJ40+EL40+EN40+EP40+ER40+ET40+EV40+FN40+FP40+FR40+FT40+FV40+FX40+FZ40+GB40+GD40+GF40+GH40+GJ40+GL40+GN40+GP40+GR40+GT40+GV40+GX40+GZ40+HB40+HD40+HF40+HH40+HJ40+HL40+HN40+HP40+HR40+HT40+HV40+HX40+HZ40+IB40+ID40+IF40+IH40+IJ40+IL40+IN40+IP40+IR40+IT40+IV40+IX40+IZ40+JB40+JD40+JF40+JH40+JJ40+JL40+JZ40+CJ40+CL40+CN40+CP40+CR40+CT40+CV40+CX40+EX40+EZ40+FB40+FD40+FF40+FH40+FJ40+FL40</f>
        <v/>
      </c>
      <c r="KC40" s="186">
        <f>I40+K40+M40+O40+Q40+S40+U40+W40+Y40+AA40+AC40+AE40+AG40+AI40+AK40+AM40+AO40+AQ40+AS40+AU40+AW40+AY40+BA40+BC40+BE40+BG40+BI40+BK40+BM40+BO40+BQ40+BS40+BU40+BW40+BY40+CA40+CC40+CE40+CG40+CI40+DA40+DC40+DE40+DG40+DI40+DK40+DM40+DO40+DQ40+DS40+DU40+DW40+DY40+EA40+EC40+EE40+EG40+EI40+EK40+EM40+EO40+EQ40+ES40+EU40+EW40+FO40+FS40+FU40+FW40+FQ40+FY40+GA40+GC40+GE40+GG40+GI40+GK40+GM40+GO40+GQ40+GS40+GU40+GW40+GY40+HA40+HC40+HE40+HG40+HI40+HK40+HM40+HO40+HQ40+HS40+HU40+HW40+HY40+IA40+IC40+IE40+IG40+II40+IK40+IM40+IO40+IQ40+IS40+IU40+IW40+IY40+JA40+JC40+JE40+JG40+JI40+JK40+JM40+KA40+CK40+CM40+CO40+CQ40+CS40+CU40+CW40+CY40+EY40+FA40+FC40+FE40+FG40+FI40+FK40+FM40</f>
        <v/>
      </c>
      <c r="KD40" s="187">
        <f>JO40+JQ40+JS40+JU40+JW40+JY40</f>
        <v/>
      </c>
      <c r="KE40" s="188">
        <f>KB40=E40</f>
        <v/>
      </c>
      <c r="KF40" s="189">
        <f>E40-KB40</f>
        <v/>
      </c>
      <c r="KG40" s="210" t="n"/>
    </row>
    <row r="41" ht="21.75" customFormat="1" customHeight="1" s="210">
      <c r="A41" s="126">
        <f>A40+1</f>
        <v/>
      </c>
      <c r="B41" s="175" t="inlineStr">
        <is>
          <t>Соколов Р.Т.</t>
        </is>
      </c>
      <c r="C41" s="176" t="inlineStr">
        <is>
          <t>сварщик</t>
        </is>
      </c>
      <c r="D41" s="177">
        <f>$D$5</f>
        <v/>
      </c>
      <c r="E41" s="202" t="n">
        <v>176</v>
      </c>
      <c r="F41" s="193" t="n">
        <v>107508.15</v>
      </c>
      <c r="G41" s="179">
        <f>F41/D41</f>
        <v/>
      </c>
      <c r="H41" s="180" t="n"/>
      <c r="I41" s="140">
        <f>H41*100/$E$41</f>
        <v/>
      </c>
      <c r="J41" s="133" t="n"/>
      <c r="K41" s="140">
        <f>J41*100/$E$41</f>
        <v/>
      </c>
      <c r="L41" s="133" t="n"/>
      <c r="M41" s="140">
        <f>L41*100/$E$41</f>
        <v/>
      </c>
      <c r="N41" s="133" t="n"/>
      <c r="O41" s="140">
        <f>N41*100/$E$41</f>
        <v/>
      </c>
      <c r="P41" s="133" t="n"/>
      <c r="Q41" s="139">
        <f>P41*100/$E$41</f>
        <v/>
      </c>
      <c r="R41" s="133" t="n"/>
      <c r="S41" s="139">
        <f>R41*100/$E$41</f>
        <v/>
      </c>
      <c r="T41" s="133" t="n"/>
      <c r="U41" s="140">
        <f>T41*100/$E$41</f>
        <v/>
      </c>
      <c r="V41" s="133" t="n"/>
      <c r="W41" s="140">
        <f>V41*100/$E$41</f>
        <v/>
      </c>
      <c r="X41" s="133" t="n"/>
      <c r="Y41" s="140">
        <f>X41*100/$E$41</f>
        <v/>
      </c>
      <c r="Z41" s="133" t="n"/>
      <c r="AA41" s="140">
        <f>Z41*100/$E$41</f>
        <v/>
      </c>
      <c r="AB41" s="133" t="n"/>
      <c r="AC41" s="140">
        <f>AB41*100/$E$41</f>
        <v/>
      </c>
      <c r="AD41" s="133">
        <f>6+2+11</f>
        <v/>
      </c>
      <c r="AE41" s="139">
        <f>AD41*100/$E$41</f>
        <v/>
      </c>
      <c r="AF41" s="133" t="n"/>
      <c r="AG41" s="139">
        <f>AF41*100/$E$41</f>
        <v/>
      </c>
      <c r="AH41" s="133" t="n"/>
      <c r="AI41" s="140">
        <f>AH41*100/$E$41</f>
        <v/>
      </c>
      <c r="AJ41" s="133" t="n"/>
      <c r="AK41" s="140">
        <f>AJ41*100/$E$41</f>
        <v/>
      </c>
      <c r="AL41" s="133" t="n">
        <v>12</v>
      </c>
      <c r="AM41" s="140">
        <f>AL41*100/$E$41</f>
        <v/>
      </c>
      <c r="AN41" s="133" t="n"/>
      <c r="AO41" s="140">
        <f>AN41*100/$E$41</f>
        <v/>
      </c>
      <c r="AP41" s="133" t="n"/>
      <c r="AQ41" s="140">
        <f>AP41*100/$E$41</f>
        <v/>
      </c>
      <c r="AR41" s="133" t="n"/>
      <c r="AS41" s="140">
        <f>AR41*100/$E$41</f>
        <v/>
      </c>
      <c r="AT41" s="133" t="n"/>
      <c r="AU41" s="181">
        <f>AT41*100/$E$41</f>
        <v/>
      </c>
      <c r="AV41" s="133">
        <f>6+2</f>
        <v/>
      </c>
      <c r="AW41" s="140">
        <f>AV41*100/$E$41</f>
        <v/>
      </c>
      <c r="AX41" s="133">
        <f>12+12</f>
        <v/>
      </c>
      <c r="AY41" s="140">
        <f>AX41*100/$E$41</f>
        <v/>
      </c>
      <c r="AZ41" s="133" t="n"/>
      <c r="BA41" s="140">
        <f>AZ41*100/$E$41</f>
        <v/>
      </c>
      <c r="BB41" s="133" t="n"/>
      <c r="BC41" s="140">
        <f>BB41*100/$E$41</f>
        <v/>
      </c>
      <c r="BD41" s="133" t="n">
        <v>4</v>
      </c>
      <c r="BE41" s="140">
        <f>BD41*100/$E$41</f>
        <v/>
      </c>
      <c r="BF41" s="133" t="n"/>
      <c r="BG41" s="140">
        <f>BF41*100/$E$41</f>
        <v/>
      </c>
      <c r="BH41" s="133" t="n"/>
      <c r="BI41" s="140">
        <f>BH41*100/$E$41</f>
        <v/>
      </c>
      <c r="BJ41" s="133" t="n"/>
      <c r="BK41" s="140">
        <f>BJ41*100/$E$41</f>
        <v/>
      </c>
      <c r="BL41" s="133" t="n"/>
      <c r="BM41" s="140">
        <f>BL41*100/$E$41</f>
        <v/>
      </c>
      <c r="BN41" s="133" t="n"/>
      <c r="BO41" s="140">
        <f>BN41*100/$E$41</f>
        <v/>
      </c>
      <c r="BP41" s="133" t="n"/>
      <c r="BQ41" s="140">
        <f>BP41*100/$E$41</f>
        <v/>
      </c>
      <c r="BR41" s="133" t="n"/>
      <c r="BS41" s="140">
        <f>BR41*100/$E$41</f>
        <v/>
      </c>
      <c r="BT41" s="133" t="n"/>
      <c r="BU41" s="140">
        <f>BT41*100/$E$41</f>
        <v/>
      </c>
      <c r="BV41" s="133" t="n"/>
      <c r="BW41" s="140">
        <f>BV41*100/$E$41</f>
        <v/>
      </c>
      <c r="BX41" s="133" t="n"/>
      <c r="BY41" s="140">
        <f>BX41*100/$E$41</f>
        <v/>
      </c>
      <c r="BZ41" s="133" t="n"/>
      <c r="CA41" s="140">
        <f>BZ41*100/$E$41</f>
        <v/>
      </c>
      <c r="CB41" s="133" t="n"/>
      <c r="CC41" s="140">
        <f>CB41*100/$E$41</f>
        <v/>
      </c>
      <c r="CD41" s="133" t="n"/>
      <c r="CE41" s="140">
        <f>CD41*100/$E$41</f>
        <v/>
      </c>
      <c r="CF41" s="133" t="n"/>
      <c r="CG41" s="140">
        <f>CF41*100/$E$41</f>
        <v/>
      </c>
      <c r="CH41" s="133" t="n"/>
      <c r="CI41" s="140">
        <f>CH41*100/$E$41</f>
        <v/>
      </c>
      <c r="CJ41" s="133" t="n"/>
      <c r="CK41" s="140">
        <f>CJ41*100/$E$41</f>
        <v/>
      </c>
      <c r="CL41" s="133" t="n"/>
      <c r="CM41" s="140">
        <f>CL41*100/$E$41</f>
        <v/>
      </c>
      <c r="CN41" s="133">
        <f>13+6+2</f>
        <v/>
      </c>
      <c r="CO41" s="139">
        <f>CN41*100/$E$41</f>
        <v/>
      </c>
      <c r="CP41" s="133" t="n"/>
      <c r="CQ41" s="140">
        <f>CP41*100/$E$41</f>
        <v/>
      </c>
      <c r="CR41" s="133">
        <f>6+3+4+10</f>
        <v/>
      </c>
      <c r="CS41" s="139">
        <f>CR41*100/$E$41</f>
        <v/>
      </c>
      <c r="CT41" s="133" t="n"/>
      <c r="CU41" s="139">
        <f>CT41*100/$E$41</f>
        <v/>
      </c>
      <c r="CV41" s="133">
        <f>4+6+2</f>
        <v/>
      </c>
      <c r="CW41" s="139">
        <f>CV41*100/$E$41</f>
        <v/>
      </c>
      <c r="CX41" s="133" t="n"/>
      <c r="CY41" s="139">
        <f>CX41*100/$E$41</f>
        <v/>
      </c>
      <c r="CZ41" s="133" t="n"/>
      <c r="DA41" s="139">
        <f>CZ41*100/$E$41</f>
        <v/>
      </c>
      <c r="DB41" s="133" t="n"/>
      <c r="DC41" s="139">
        <f>DB41*100/$E$41</f>
        <v/>
      </c>
      <c r="DD41" s="133" t="n"/>
      <c r="DE41" s="139">
        <f>DD41*100/$E$41</f>
        <v/>
      </c>
      <c r="DF41" s="133" t="n"/>
      <c r="DG41" s="139">
        <f>DF41*100/$E$41</f>
        <v/>
      </c>
      <c r="DH41" s="133" t="n"/>
      <c r="DI41" s="139">
        <f>DH41*100/$E$41</f>
        <v/>
      </c>
      <c r="DJ41" s="133" t="n"/>
      <c r="DK41" s="139">
        <f>DJ41*100/$E$41</f>
        <v/>
      </c>
      <c r="DL41" s="133" t="n"/>
      <c r="DM41" s="139">
        <f>DL41*100/$E$41</f>
        <v/>
      </c>
      <c r="DN41" s="133" t="n"/>
      <c r="DO41" s="139">
        <f>DN41*100/$E$41</f>
        <v/>
      </c>
      <c r="DP41" s="133" t="n"/>
      <c r="DQ41" s="139">
        <f>DP41*100/$E$41</f>
        <v/>
      </c>
      <c r="DR41" s="133" t="n"/>
      <c r="DS41" s="139">
        <f>DR41*100/$E$41</f>
        <v/>
      </c>
      <c r="DT41" s="133" t="n"/>
      <c r="DU41" s="139">
        <f>DT41*100/$E$41</f>
        <v/>
      </c>
      <c r="DV41" s="133" t="n"/>
      <c r="DW41" s="139">
        <f>DV41*100/$E$41</f>
        <v/>
      </c>
      <c r="DX41" s="133" t="n"/>
      <c r="DY41" s="139">
        <f>DX41*100/$E$41</f>
        <v/>
      </c>
      <c r="DZ41" s="133" t="n"/>
      <c r="EA41" s="139">
        <f>DZ41*100/$E$41</f>
        <v/>
      </c>
      <c r="EB41" s="133" t="n"/>
      <c r="EC41" s="139">
        <f>EB41*100/$E$41</f>
        <v/>
      </c>
      <c r="ED41" s="133" t="n"/>
      <c r="EE41" s="139">
        <f>ED41*100/$E$41</f>
        <v/>
      </c>
      <c r="EF41" s="133" t="n"/>
      <c r="EG41" s="139">
        <f>EF41*100/$E$41</f>
        <v/>
      </c>
      <c r="EH41" s="133" t="n"/>
      <c r="EI41" s="139">
        <f>EH41*100/$E$41</f>
        <v/>
      </c>
      <c r="EJ41" s="133" t="n"/>
      <c r="EK41" s="139">
        <f>EJ41*100/$E$41</f>
        <v/>
      </c>
      <c r="EL41" s="133" t="n"/>
      <c r="EM41" s="139">
        <f>EL41*100/$E$41</f>
        <v/>
      </c>
      <c r="EN41" s="133" t="n"/>
      <c r="EO41" s="139">
        <f>EN41*100/$E$41</f>
        <v/>
      </c>
      <c r="EP41" s="133" t="n"/>
      <c r="EQ41" s="139">
        <f>EP41*100/$E$41</f>
        <v/>
      </c>
      <c r="ER41" s="133" t="n"/>
      <c r="ES41" s="139">
        <f>ER41*100/$E$41</f>
        <v/>
      </c>
      <c r="ET41" s="133" t="n"/>
      <c r="EU41" s="139">
        <f>ET41*100/$E$41</f>
        <v/>
      </c>
      <c r="EV41" s="133" t="n"/>
      <c r="EW41" s="139">
        <f>EV41*100/$E$41</f>
        <v/>
      </c>
      <c r="EX41" s="133" t="n"/>
      <c r="EY41" s="139">
        <f>EX41*100/$E$41</f>
        <v/>
      </c>
      <c r="EZ41" s="133" t="n"/>
      <c r="FA41" s="139">
        <f>EZ41*100/$E$41</f>
        <v/>
      </c>
      <c r="FB41" s="133" t="n"/>
      <c r="FC41" s="139">
        <f>FB41*100/$E$41</f>
        <v/>
      </c>
      <c r="FD41" s="133" t="n"/>
      <c r="FE41" s="139">
        <f>FD41*100/$E$41</f>
        <v/>
      </c>
      <c r="FF41" s="133" t="n"/>
      <c r="FG41" s="139">
        <f>FF41*100/$E$41</f>
        <v/>
      </c>
      <c r="FH41" s="133" t="n"/>
      <c r="FI41" s="139">
        <f>FH41*100/$E$41</f>
        <v/>
      </c>
      <c r="FJ41" s="133" t="n"/>
      <c r="FK41" s="139">
        <f>FJ41*100/$E$41</f>
        <v/>
      </c>
      <c r="FL41" s="133" t="n"/>
      <c r="FM41" s="139">
        <f>FL41*100/$E$41</f>
        <v/>
      </c>
      <c r="FN41" s="133" t="n"/>
      <c r="FO41" s="139">
        <f>FN41*100/$E$41</f>
        <v/>
      </c>
      <c r="FP41" s="133" t="n"/>
      <c r="FQ41" s="139">
        <f>FP41*100/$E$41</f>
        <v/>
      </c>
      <c r="FR41" s="133" t="n"/>
      <c r="FS41" s="139">
        <f>FR41*100/$E$41</f>
        <v/>
      </c>
      <c r="FT41" s="133" t="n"/>
      <c r="FU41" s="139">
        <f>FT41*100/$E$41</f>
        <v/>
      </c>
      <c r="FV41" s="133" t="n"/>
      <c r="FW41" s="139">
        <f>FV41*100/$E$41</f>
        <v/>
      </c>
      <c r="FX41" s="133" t="n"/>
      <c r="FY41" s="140">
        <f>FX41*100/$E$41</f>
        <v/>
      </c>
      <c r="FZ41" s="133" t="n"/>
      <c r="GA41" s="140">
        <f>FZ41*100/$E$41</f>
        <v/>
      </c>
      <c r="GB41" s="133" t="n"/>
      <c r="GC41" s="140">
        <f>GB41*100/$E$41</f>
        <v/>
      </c>
      <c r="GD41" s="133" t="n"/>
      <c r="GE41" s="140">
        <f>GD41*100/$E$41</f>
        <v/>
      </c>
      <c r="GF41" s="133" t="n"/>
      <c r="GG41" s="140">
        <f>GF41*100/$E$41</f>
        <v/>
      </c>
      <c r="GH41" s="133" t="n"/>
      <c r="GI41" s="140">
        <f>GH41*100/$E$41</f>
        <v/>
      </c>
      <c r="GJ41" s="133" t="n"/>
      <c r="GK41" s="139">
        <f>GJ41*100/$E$41</f>
        <v/>
      </c>
      <c r="GL41" s="133" t="n"/>
      <c r="GM41" s="140">
        <f>GL41*100/$E$41</f>
        <v/>
      </c>
      <c r="GN41" s="133" t="n"/>
      <c r="GO41" s="139">
        <f>GN41*100/$E$41</f>
        <v/>
      </c>
      <c r="GP41" s="133" t="n"/>
      <c r="GQ41" s="140">
        <f>GP41*100/$E$41</f>
        <v/>
      </c>
      <c r="GR41" s="133" t="n"/>
      <c r="GS41" s="139">
        <f>GR41*100/$E$41</f>
        <v/>
      </c>
      <c r="GT41" s="133" t="n"/>
      <c r="GU41" s="139">
        <f>GT41*100/$E$41</f>
        <v/>
      </c>
      <c r="GV41" s="133" t="n"/>
      <c r="GW41" s="139">
        <f>GV41*100/$E$41</f>
        <v/>
      </c>
      <c r="GX41" s="133" t="n"/>
      <c r="GY41" s="140">
        <f>GX41*100/$E$41</f>
        <v/>
      </c>
      <c r="GZ41" s="133" t="n"/>
      <c r="HA41" s="140">
        <f>GZ41*100/$E$41</f>
        <v/>
      </c>
      <c r="HB41" s="133" t="n"/>
      <c r="HC41" s="140">
        <f>HB41*100/$E$41</f>
        <v/>
      </c>
      <c r="HD41" s="133" t="n"/>
      <c r="HE41" s="140">
        <f>HD41*100/$E$41</f>
        <v/>
      </c>
      <c r="HF41" s="133" t="n"/>
      <c r="HG41" s="140">
        <f>HF41*100/$E$41</f>
        <v/>
      </c>
      <c r="HH41" s="133" t="n"/>
      <c r="HI41" s="140">
        <f>HH41*100/$E$41</f>
        <v/>
      </c>
      <c r="HJ41" s="133" t="n"/>
      <c r="HK41" s="140">
        <f>HJ41*100/$E$41</f>
        <v/>
      </c>
      <c r="HL41" s="133" t="n"/>
      <c r="HM41" s="140">
        <f>HL41*100/$E$41</f>
        <v/>
      </c>
      <c r="HN41" s="133" t="n"/>
      <c r="HO41" s="140">
        <f>HN41*100/$E$41</f>
        <v/>
      </c>
      <c r="HP41" s="133" t="n"/>
      <c r="HQ41" s="140">
        <f>HP41*100/$E$41</f>
        <v/>
      </c>
      <c r="HR41" s="133" t="n"/>
      <c r="HS41" s="140">
        <f>HR41*100/$E$41</f>
        <v/>
      </c>
      <c r="HT41" s="133" t="n"/>
      <c r="HU41" s="140">
        <f>HT41*100/$E$41</f>
        <v/>
      </c>
      <c r="HV41" s="133" t="n"/>
      <c r="HW41" s="140">
        <f>HV41*100/$E$41</f>
        <v/>
      </c>
      <c r="HX41" s="133" t="n"/>
      <c r="HY41" s="140">
        <f>HX41*100/$E$41</f>
        <v/>
      </c>
      <c r="HZ41" s="133" t="n"/>
      <c r="IA41" s="139">
        <f>HZ41*100/$E$41</f>
        <v/>
      </c>
      <c r="IB41" s="133" t="n"/>
      <c r="IC41" s="139">
        <f>IB41*100/$E$41</f>
        <v/>
      </c>
      <c r="ID41" s="133" t="n"/>
      <c r="IE41" s="139">
        <f>ID41*100/$E$41</f>
        <v/>
      </c>
      <c r="IF41" s="133" t="n"/>
      <c r="IG41" s="139">
        <f>IF41*100/$E$41</f>
        <v/>
      </c>
      <c r="IH41" s="133" t="n"/>
      <c r="II41" s="139">
        <f>IH41*100/$E$41</f>
        <v/>
      </c>
      <c r="IJ41" s="133" t="n"/>
      <c r="IK41" s="139">
        <f>IJ41*100/$E$41</f>
        <v/>
      </c>
      <c r="IL41" s="133" t="n"/>
      <c r="IM41" s="140">
        <f>IL41*100/$E$41</f>
        <v/>
      </c>
      <c r="IN41" s="133" t="n"/>
      <c r="IO41" s="140">
        <f>IN41*100/$E$41</f>
        <v/>
      </c>
      <c r="IP41" s="133" t="n"/>
      <c r="IQ41" s="139">
        <f>IP41*100/$E$41</f>
        <v/>
      </c>
      <c r="IR41" s="133" t="n"/>
      <c r="IS41" s="139">
        <f>IR41*100/$E$41</f>
        <v/>
      </c>
      <c r="IT41" s="133" t="n"/>
      <c r="IU41" s="139">
        <f>IT41*100/$E$41</f>
        <v/>
      </c>
      <c r="IV41" s="133" t="n"/>
      <c r="IW41" s="139">
        <f>IV41*100/$E$41</f>
        <v/>
      </c>
      <c r="IX41" s="133" t="n"/>
      <c r="IY41" s="139">
        <f>IX41*100/$E$41</f>
        <v/>
      </c>
      <c r="IZ41" s="133" t="n"/>
      <c r="JA41" s="139">
        <f>IZ41*100/$E$41</f>
        <v/>
      </c>
      <c r="JB41" s="133" t="n"/>
      <c r="JC41" s="139">
        <f>JB41*100/$E$41</f>
        <v/>
      </c>
      <c r="JD41" s="133" t="n"/>
      <c r="JE41" s="139">
        <f>JD41*100/$E$41</f>
        <v/>
      </c>
      <c r="JF41" s="133" t="n"/>
      <c r="JG41" s="139">
        <f>JF41*100/$E$41</f>
        <v/>
      </c>
      <c r="JH41" s="133" t="n">
        <v>4</v>
      </c>
      <c r="JI41" s="139">
        <f>JH41*100/$E$41</f>
        <v/>
      </c>
      <c r="JJ41" s="133" t="n"/>
      <c r="JK41" s="139">
        <f>JJ41*100/$E$41</f>
        <v/>
      </c>
      <c r="JL41" s="133">
        <f>7+4+6+6+6+12+8</f>
        <v/>
      </c>
      <c r="JM41" s="139">
        <f>JL41*100/$E$41</f>
        <v/>
      </c>
      <c r="JN41" s="133" t="n"/>
      <c r="JO41" s="139">
        <f>JN41*100/$E$41</f>
        <v/>
      </c>
      <c r="JP41" s="133" t="n"/>
      <c r="JQ41" s="139">
        <f>JP41*100/$E$41</f>
        <v/>
      </c>
      <c r="JR41" s="133" t="n"/>
      <c r="JS41" s="139">
        <f>JR41*100/$E$41</f>
        <v/>
      </c>
      <c r="JT41" s="133" t="n"/>
      <c r="JU41" s="182">
        <f>JT41*100/$E$41</f>
        <v/>
      </c>
      <c r="JV41" s="133" t="n"/>
      <c r="JW41" s="182">
        <f>JV41*100/$E$41</f>
        <v/>
      </c>
      <c r="JX41" s="133" t="n"/>
      <c r="JY41" s="182">
        <f>JX41*100/$E$41</f>
        <v/>
      </c>
      <c r="JZ41" s="183">
        <f>JN41+JP41+JR41+JT41+JV41+JX41</f>
        <v/>
      </c>
      <c r="KA41" s="184">
        <f>JO41+JQ41+JS41+JU41+JW41+JY41</f>
        <v/>
      </c>
      <c r="KB41" s="185">
        <f>H41+J41+L41+N41+P41+R41+T41+V41+X41+Z41+AB41+AD41+AF41+AH41+AJ41+AL41+AN41+AP41+AR41+AT41+AV41+AX41+AZ41+BB41+BD41+BF41+BH41+BJ41+BL41+BN41+BP41+BR41+BT41+BV41+BX41+BZ41+CB41+CD41+CF41+CH41+CZ41+DB41+DD41+DF41+DH41+DJ41+DL41+DN41+DP41+DR41+DT41+DV41+DX41+DZ41+EB41+ED41+EF41+EH41+EJ41+EL41+EN41+EP41+ER41+ET41+EV41+FN41+FP41+FR41+FT41+FV41+FX41+FZ41+GB41+GD41+GF41+GH41+GJ41+GL41+GN41+GP41+GR41+GT41+GV41+GX41+GZ41+HB41+HD41+HF41+HH41+HJ41+HL41+HN41+HP41+HR41+HT41+HV41+HX41+HZ41+IB41+ID41+IF41+IH41+IJ41+IL41+IN41+IP41+IR41+IT41+IV41+IX41+IZ41+JB41+JD41+JF41+JH41+JJ41+JL41+JZ41+CJ41+CL41+CN41+CP41+CR41+CT41+CV41+CX41+EX41+EZ41+FB41+FD41+FF41+FH41+FJ41+FL41</f>
        <v/>
      </c>
      <c r="KC41" s="186">
        <f>I41+K41+M41+O41+Q41+S41+U41+W41+Y41+AA41+AC41+AE41+AG41+AI41+AK41+AM41+AO41+AQ41+AS41+AU41+AW41+AY41+BA41+BC41+BE41+BG41+BI41+BK41+BM41+BO41+BQ41+BS41+BU41+BW41+BY41+CA41+CC41+CE41+CG41+CI41+DA41+DC41+DE41+DG41+DI41+DK41+DM41+DO41+DQ41+DS41+DU41+DW41+DY41+EA41+EC41+EE41+EG41+EI41+EK41+EM41+EO41+EQ41+ES41+EU41+EW41+FO41+FS41+FU41+FW41+FQ41+FY41+GA41+GC41+GE41+GG41+GI41+GK41+GM41+GO41+GQ41+GS41+GU41+GW41+GY41+HA41+HC41+HE41+HG41+HI41+HK41+HM41+HO41+HQ41+HS41+HU41+HW41+HY41+IA41+IC41+IE41+IG41+II41+IK41+IM41+IO41+IQ41+IS41+IU41+IW41+IY41+JA41+JC41+JE41+JG41+JI41+JK41+JM41+KA41+CK41+CM41+CO41+CQ41+CS41+CU41+CW41+CY41+EY41+FA41+FC41+FE41+FG41+FI41+FK41+FM41</f>
        <v/>
      </c>
      <c r="KD41" s="187">
        <f>JO41+JQ41+JS41+JU41+JW41+JY41</f>
        <v/>
      </c>
      <c r="KE41" s="188">
        <f>KB41=E41</f>
        <v/>
      </c>
      <c r="KF41" s="189">
        <f>E41-KB41</f>
        <v/>
      </c>
      <c r="KG41" s="195" t="n"/>
    </row>
    <row r="42" ht="21.75" customFormat="1" customHeight="1" s="195">
      <c r="A42" s="126">
        <f>A41+1</f>
        <v/>
      </c>
      <c r="B42" s="175" t="inlineStr">
        <is>
          <t>Сорокин Е</t>
        </is>
      </c>
      <c r="C42" s="176" t="inlineStr">
        <is>
          <t>сварщик</t>
        </is>
      </c>
      <c r="D42" s="177">
        <f>$D$5</f>
        <v/>
      </c>
      <c r="E42" s="202" t="n">
        <v>159</v>
      </c>
      <c r="F42" s="193" t="n">
        <v>92564.64999999999</v>
      </c>
      <c r="G42" s="179">
        <f>F42/D42</f>
        <v/>
      </c>
      <c r="H42" s="180" t="n"/>
      <c r="I42" s="140">
        <f>H42*100/$E$42</f>
        <v/>
      </c>
      <c r="J42" s="133" t="n"/>
      <c r="K42" s="140">
        <f>J42*100/$E$42</f>
        <v/>
      </c>
      <c r="L42" s="133" t="n"/>
      <c r="M42" s="140">
        <f>L42*100/$E$42</f>
        <v/>
      </c>
      <c r="N42" s="133" t="n"/>
      <c r="O42" s="140">
        <f>N42*100/$E$42</f>
        <v/>
      </c>
      <c r="P42" s="133" t="n"/>
      <c r="Q42" s="139">
        <f>P42*100/$E$42</f>
        <v/>
      </c>
      <c r="R42" s="133" t="n"/>
      <c r="S42" s="139">
        <f>R42*100/$E$42</f>
        <v/>
      </c>
      <c r="T42" s="133" t="n"/>
      <c r="U42" s="140">
        <f>T42*100/$E$42</f>
        <v/>
      </c>
      <c r="V42" s="133" t="n"/>
      <c r="W42" s="140">
        <f>V42*100/$E$42</f>
        <v/>
      </c>
      <c r="X42" s="133" t="n"/>
      <c r="Y42" s="140">
        <f>X42*100/$E$42</f>
        <v/>
      </c>
      <c r="Z42" s="133" t="n"/>
      <c r="AA42" s="140">
        <f>Z42*100/$E$42</f>
        <v/>
      </c>
      <c r="AB42" s="133" t="n"/>
      <c r="AC42" s="140">
        <f>AB42*100/$E$42</f>
        <v/>
      </c>
      <c r="AD42" s="133" t="n"/>
      <c r="AE42" s="139">
        <f>AD42*100/$E$42</f>
        <v/>
      </c>
      <c r="AF42" s="133" t="n"/>
      <c r="AG42" s="139">
        <f>AF42*100/$E$42</f>
        <v/>
      </c>
      <c r="AH42" s="133" t="n"/>
      <c r="AI42" s="140">
        <f>AH42*100/$E$42</f>
        <v/>
      </c>
      <c r="AJ42" s="133" t="n"/>
      <c r="AK42" s="140">
        <f>AJ42*100/$E$42</f>
        <v/>
      </c>
      <c r="AL42" s="133" t="n"/>
      <c r="AM42" s="140">
        <f>AL42*100/$E$42</f>
        <v/>
      </c>
      <c r="AN42" s="133" t="n"/>
      <c r="AO42" s="140">
        <f>AN42*100/$E$42</f>
        <v/>
      </c>
      <c r="AP42" s="133" t="n"/>
      <c r="AQ42" s="140">
        <f>AP42*100/$E$42</f>
        <v/>
      </c>
      <c r="AR42" s="133" t="n"/>
      <c r="AS42" s="140">
        <f>AR42*100/$E$42</f>
        <v/>
      </c>
      <c r="AT42" s="133" t="n"/>
      <c r="AU42" s="181">
        <f>AT42*100/$E$42</f>
        <v/>
      </c>
      <c r="AV42" s="133" t="n"/>
      <c r="AW42" s="140">
        <f>AV42*100/$E$42</f>
        <v/>
      </c>
      <c r="AX42" s="133" t="n"/>
      <c r="AY42" s="140">
        <f>AX42*100/$E$42</f>
        <v/>
      </c>
      <c r="AZ42" s="133" t="n"/>
      <c r="BA42" s="140">
        <f>AZ42*100/$E$42</f>
        <v/>
      </c>
      <c r="BB42" s="133" t="n"/>
      <c r="BC42" s="140">
        <f>BB42*100/$E$42</f>
        <v/>
      </c>
      <c r="BD42" s="133" t="n"/>
      <c r="BE42" s="140">
        <f>BD42*100/$E$42</f>
        <v/>
      </c>
      <c r="BF42" s="133" t="n"/>
      <c r="BG42" s="140">
        <f>BF42*100/$E$42</f>
        <v/>
      </c>
      <c r="BH42" s="133" t="n"/>
      <c r="BI42" s="140">
        <f>BH42*100/$E$42</f>
        <v/>
      </c>
      <c r="BJ42" s="133" t="n"/>
      <c r="BK42" s="140">
        <f>BJ42*100/$E$42</f>
        <v/>
      </c>
      <c r="BL42" s="133" t="n"/>
      <c r="BM42" s="140">
        <f>BL42*100/$E$42</f>
        <v/>
      </c>
      <c r="BN42" s="133" t="n"/>
      <c r="BO42" s="140">
        <f>BN42*100/$E$42</f>
        <v/>
      </c>
      <c r="BP42" s="133" t="n"/>
      <c r="BQ42" s="140">
        <f>BP42*100/$E$42</f>
        <v/>
      </c>
      <c r="BR42" s="133" t="n"/>
      <c r="BS42" s="140">
        <f>BR42*100/$E$42</f>
        <v/>
      </c>
      <c r="BT42" s="133" t="n"/>
      <c r="BU42" s="140">
        <f>BT42*100/$E$42</f>
        <v/>
      </c>
      <c r="BV42" s="133" t="n"/>
      <c r="BW42" s="140">
        <f>BV42*100/$E$42</f>
        <v/>
      </c>
      <c r="BX42" s="133" t="n"/>
      <c r="BY42" s="140">
        <f>BX42*100/$E$42</f>
        <v/>
      </c>
      <c r="BZ42" s="133" t="n"/>
      <c r="CA42" s="140">
        <f>BZ42*100/$E$42</f>
        <v/>
      </c>
      <c r="CB42" s="133" t="n"/>
      <c r="CC42" s="140">
        <f>CB42*100/$E$42</f>
        <v/>
      </c>
      <c r="CD42" s="133" t="n"/>
      <c r="CE42" s="140">
        <f>CD42*100/$E$42</f>
        <v/>
      </c>
      <c r="CF42" s="133" t="n"/>
      <c r="CG42" s="140">
        <f>CF42*100/$E$42</f>
        <v/>
      </c>
      <c r="CH42" s="133" t="n"/>
      <c r="CI42" s="140">
        <f>CH42*100/$E$42</f>
        <v/>
      </c>
      <c r="CJ42" s="133" t="n"/>
      <c r="CK42" s="140">
        <f>CJ42*100/$E$42</f>
        <v/>
      </c>
      <c r="CL42" s="133" t="n"/>
      <c r="CM42" s="140">
        <f>CL42*100/$E$42</f>
        <v/>
      </c>
      <c r="CN42" s="133" t="n"/>
      <c r="CO42" s="139">
        <f>CN42*100/$E$42</f>
        <v/>
      </c>
      <c r="CP42" s="133" t="n"/>
      <c r="CQ42" s="140">
        <f>CP42*100/$E$42</f>
        <v/>
      </c>
      <c r="CR42" s="133" t="n"/>
      <c r="CS42" s="139">
        <f>CR42*100/$E$42</f>
        <v/>
      </c>
      <c r="CT42" s="133" t="n"/>
      <c r="CU42" s="139">
        <f>CT42*100/$E$42</f>
        <v/>
      </c>
      <c r="CV42" s="133" t="n"/>
      <c r="CW42" s="139">
        <f>CV42*100/$E$42</f>
        <v/>
      </c>
      <c r="CX42" s="133" t="n"/>
      <c r="CY42" s="139">
        <f>CX42*100/$E$42</f>
        <v/>
      </c>
      <c r="CZ42" s="133" t="n"/>
      <c r="DA42" s="139">
        <f>CZ42*100/$E$42</f>
        <v/>
      </c>
      <c r="DB42" s="133" t="n"/>
      <c r="DC42" s="139">
        <f>DB42*100/$E$42</f>
        <v/>
      </c>
      <c r="DD42" s="133" t="n"/>
      <c r="DE42" s="139">
        <f>DD42*100/$E$42</f>
        <v/>
      </c>
      <c r="DF42" s="133" t="n"/>
      <c r="DG42" s="139">
        <f>DF42*100/$E$42</f>
        <v/>
      </c>
      <c r="DH42" s="133" t="n"/>
      <c r="DI42" s="139">
        <f>DH42*100/$E$42</f>
        <v/>
      </c>
      <c r="DJ42" s="133" t="n"/>
      <c r="DK42" s="139">
        <f>DJ42*100/$E$42</f>
        <v/>
      </c>
      <c r="DL42" s="133" t="n"/>
      <c r="DM42" s="139">
        <f>DL42*100/$E$42</f>
        <v/>
      </c>
      <c r="DN42" s="133" t="n"/>
      <c r="DO42" s="139">
        <f>DN42*100/$E$42</f>
        <v/>
      </c>
      <c r="DP42" s="133" t="n"/>
      <c r="DQ42" s="139">
        <f>DP42*100/$E$42</f>
        <v/>
      </c>
      <c r="DR42" s="133" t="n"/>
      <c r="DS42" s="139">
        <f>DR42*100/$E$42</f>
        <v/>
      </c>
      <c r="DT42" s="133" t="n"/>
      <c r="DU42" s="139">
        <f>DT42*100/$E$42</f>
        <v/>
      </c>
      <c r="DV42" s="133" t="n"/>
      <c r="DW42" s="139">
        <f>DV42*100/$E$42</f>
        <v/>
      </c>
      <c r="DX42" s="133" t="n"/>
      <c r="DY42" s="139">
        <f>DX42*100/$E$42</f>
        <v/>
      </c>
      <c r="DZ42" s="133" t="n"/>
      <c r="EA42" s="139">
        <f>DZ42*100/$E$42</f>
        <v/>
      </c>
      <c r="EB42" s="133">
        <f>8+8+6+8+6+4+6+8+8</f>
        <v/>
      </c>
      <c r="EC42" s="139">
        <f>EB42*100/$E$42</f>
        <v/>
      </c>
      <c r="ED42" s="133" t="n"/>
      <c r="EE42" s="139">
        <f>ED42*100/$E$42</f>
        <v/>
      </c>
      <c r="EF42" s="133" t="n"/>
      <c r="EG42" s="139">
        <f>EF42*100/$E$42</f>
        <v/>
      </c>
      <c r="EH42" s="133" t="n"/>
      <c r="EI42" s="139">
        <f>EH42*100/$E$42</f>
        <v/>
      </c>
      <c r="EJ42" s="133" t="n"/>
      <c r="EK42" s="139">
        <f>EJ42*100/$E$42</f>
        <v/>
      </c>
      <c r="EL42" s="133" t="n"/>
      <c r="EM42" s="139">
        <f>EL42*100/$E$42</f>
        <v/>
      </c>
      <c r="EN42" s="133" t="n"/>
      <c r="EO42" s="139">
        <f>EN42*100/$E$42</f>
        <v/>
      </c>
      <c r="EP42" s="133" t="n"/>
      <c r="EQ42" s="139">
        <f>EP42*100/$E$42</f>
        <v/>
      </c>
      <c r="ER42" s="133" t="n"/>
      <c r="ES42" s="139">
        <f>ER42*100/$E$42</f>
        <v/>
      </c>
      <c r="ET42" s="133" t="n"/>
      <c r="EU42" s="139">
        <f>ET42*100/$E$42</f>
        <v/>
      </c>
      <c r="EV42" s="133" t="n"/>
      <c r="EW42" s="139">
        <f>EV42*100/$E$42</f>
        <v/>
      </c>
      <c r="EX42" s="133" t="n"/>
      <c r="EY42" s="139">
        <f>EX42*100/$E$42</f>
        <v/>
      </c>
      <c r="EZ42" s="133" t="n"/>
      <c r="FA42" s="139">
        <f>EZ42*100/$E$42</f>
        <v/>
      </c>
      <c r="FB42" s="133" t="n"/>
      <c r="FC42" s="139">
        <f>FB42*100/$E$42</f>
        <v/>
      </c>
      <c r="FD42" s="133" t="n"/>
      <c r="FE42" s="139">
        <f>FD42*100/$E$42</f>
        <v/>
      </c>
      <c r="FF42" s="133">
        <f>2+8+8+8+11</f>
        <v/>
      </c>
      <c r="FG42" s="139">
        <f>FF42*100/$E$42</f>
        <v/>
      </c>
      <c r="FH42" s="133" t="n"/>
      <c r="FI42" s="139">
        <f>FH42*100/$E$42</f>
        <v/>
      </c>
      <c r="FJ42" s="133" t="n"/>
      <c r="FK42" s="139">
        <f>FJ42*100/$E$42</f>
        <v/>
      </c>
      <c r="FL42" s="133" t="n"/>
      <c r="FM42" s="139">
        <f>FL42*100/$E$42</f>
        <v/>
      </c>
      <c r="FN42" s="133" t="n"/>
      <c r="FO42" s="139">
        <f>FN42*100/$E$42</f>
        <v/>
      </c>
      <c r="FP42" s="133" t="n"/>
      <c r="FQ42" s="139">
        <f>FP42*100/$E$42</f>
        <v/>
      </c>
      <c r="FR42" s="133" t="n"/>
      <c r="FS42" s="139">
        <f>FR42*100/$E$42</f>
        <v/>
      </c>
      <c r="FT42" s="133" t="n"/>
      <c r="FU42" s="139">
        <f>FT42*100/$E$42</f>
        <v/>
      </c>
      <c r="FV42" s="133" t="n"/>
      <c r="FW42" s="139">
        <f>FV42*100/$E$42</f>
        <v/>
      </c>
      <c r="FX42" s="133" t="n"/>
      <c r="FY42" s="140">
        <f>FX42*100/$E$42</f>
        <v/>
      </c>
      <c r="FZ42" s="133" t="n"/>
      <c r="GA42" s="140">
        <f>FZ42*100/$E$42</f>
        <v/>
      </c>
      <c r="GB42" s="133" t="n"/>
      <c r="GC42" s="140">
        <f>GB42*100/$E$42</f>
        <v/>
      </c>
      <c r="GD42" s="133" t="n"/>
      <c r="GE42" s="140">
        <f>GD42*100/$E$42</f>
        <v/>
      </c>
      <c r="GF42" s="133" t="n"/>
      <c r="GG42" s="140">
        <f>GF42*100/$E$42</f>
        <v/>
      </c>
      <c r="GH42" s="133" t="n"/>
      <c r="GI42" s="140">
        <f>GH42*100/$E$42</f>
        <v/>
      </c>
      <c r="GJ42" s="133" t="n"/>
      <c r="GK42" s="139">
        <f>GJ42*100/$E$42</f>
        <v/>
      </c>
      <c r="GL42" s="133" t="n"/>
      <c r="GM42" s="140">
        <f>GL42*100/$E$42</f>
        <v/>
      </c>
      <c r="GN42" s="133" t="n"/>
      <c r="GO42" s="139">
        <f>GN42*100/$E$42</f>
        <v/>
      </c>
      <c r="GP42" s="133" t="n"/>
      <c r="GQ42" s="140">
        <f>GP42*100/$E$42</f>
        <v/>
      </c>
      <c r="GR42" s="133" t="n"/>
      <c r="GS42" s="139">
        <f>GR42*100/$E$42</f>
        <v/>
      </c>
      <c r="GT42" s="133" t="n"/>
      <c r="GU42" s="139">
        <f>GT42*100/$E$42</f>
        <v/>
      </c>
      <c r="GV42" s="133" t="n"/>
      <c r="GW42" s="139">
        <f>GV42*100/$E$42</f>
        <v/>
      </c>
      <c r="GX42" s="133" t="n"/>
      <c r="GY42" s="140">
        <f>GX42*100/$E$42</f>
        <v/>
      </c>
      <c r="GZ42" s="133" t="n"/>
      <c r="HA42" s="140">
        <f>GZ42*100/$E$42</f>
        <v/>
      </c>
      <c r="HB42" s="133" t="n"/>
      <c r="HC42" s="140">
        <f>HB42*100/$E$42</f>
        <v/>
      </c>
      <c r="HD42" s="133" t="n"/>
      <c r="HE42" s="140">
        <f>HD42*100/$E$42</f>
        <v/>
      </c>
      <c r="HF42" s="133" t="n"/>
      <c r="HG42" s="140">
        <f>HF42*100/$E$42</f>
        <v/>
      </c>
      <c r="HH42" s="133" t="n"/>
      <c r="HI42" s="140">
        <f>HH42*100/$E$42</f>
        <v/>
      </c>
      <c r="HJ42" s="133" t="n"/>
      <c r="HK42" s="140">
        <f>HJ42*100/$E$42</f>
        <v/>
      </c>
      <c r="HL42" s="133" t="n"/>
      <c r="HM42" s="140">
        <f>HL42*100/$E$42</f>
        <v/>
      </c>
      <c r="HN42" s="133" t="n"/>
      <c r="HO42" s="140">
        <f>HN42*100/$E$42</f>
        <v/>
      </c>
      <c r="HP42" s="133" t="n"/>
      <c r="HQ42" s="140">
        <f>HP42*100/$E$42</f>
        <v/>
      </c>
      <c r="HR42" s="133" t="n"/>
      <c r="HS42" s="140">
        <f>HR42*100/$E$42</f>
        <v/>
      </c>
      <c r="HT42" s="133" t="n"/>
      <c r="HU42" s="140">
        <f>HT42*100/$E$42</f>
        <v/>
      </c>
      <c r="HV42" s="133" t="n"/>
      <c r="HW42" s="140">
        <f>HV42*100/$E$42</f>
        <v/>
      </c>
      <c r="HX42" s="133" t="n"/>
      <c r="HY42" s="140">
        <f>HX42*100/$E$42</f>
        <v/>
      </c>
      <c r="HZ42" s="133" t="n"/>
      <c r="IA42" s="139">
        <f>HZ42*100/$E$42</f>
        <v/>
      </c>
      <c r="IB42" s="133" t="n"/>
      <c r="IC42" s="139">
        <f>IB42*100/$E$42</f>
        <v/>
      </c>
      <c r="ID42" s="133" t="n"/>
      <c r="IE42" s="139">
        <f>ID42*100/$E$42</f>
        <v/>
      </c>
      <c r="IF42" s="133" t="n"/>
      <c r="IG42" s="139">
        <f>IF42*100/$E$42</f>
        <v/>
      </c>
      <c r="IH42" s="133" t="n"/>
      <c r="II42" s="139">
        <f>IH42*100/$E$42</f>
        <v/>
      </c>
      <c r="IJ42" s="133" t="n"/>
      <c r="IK42" s="139">
        <f>IJ42*100/$E$42</f>
        <v/>
      </c>
      <c r="IL42" s="133" t="n"/>
      <c r="IM42" s="140">
        <f>IL42*100/$E$42</f>
        <v/>
      </c>
      <c r="IN42" s="133" t="n"/>
      <c r="IO42" s="140">
        <f>IN42*100/$E$42</f>
        <v/>
      </c>
      <c r="IP42" s="133" t="n"/>
      <c r="IQ42" s="139">
        <f>IP42*100/$E$42</f>
        <v/>
      </c>
      <c r="IR42" s="133" t="n"/>
      <c r="IS42" s="139">
        <f>IR42*100/$E$42</f>
        <v/>
      </c>
      <c r="IT42" s="133" t="n"/>
      <c r="IU42" s="139">
        <f>IT42*100/$E$42</f>
        <v/>
      </c>
      <c r="IV42" s="133" t="n"/>
      <c r="IW42" s="139">
        <f>IV42*100/$E$42</f>
        <v/>
      </c>
      <c r="IX42" s="133" t="n"/>
      <c r="IY42" s="139">
        <f>IX42*100/$E$42</f>
        <v/>
      </c>
      <c r="IZ42" s="133" t="n"/>
      <c r="JA42" s="139">
        <f>IZ42*100/$E$42</f>
        <v/>
      </c>
      <c r="JB42" s="133" t="n"/>
      <c r="JC42" s="139">
        <f>JB42*100/$E$42</f>
        <v/>
      </c>
      <c r="JD42" s="133" t="n"/>
      <c r="JE42" s="139">
        <f>JD42*100/$E$42</f>
        <v/>
      </c>
      <c r="JF42" s="133" t="n"/>
      <c r="JG42" s="139">
        <f>JF42*100/$E$42</f>
        <v/>
      </c>
      <c r="JH42" s="133" t="n"/>
      <c r="JI42" s="139">
        <f>JH42*100/$E$42</f>
        <v/>
      </c>
      <c r="JJ42" s="133" t="n"/>
      <c r="JK42" s="139">
        <f>JJ42*100/$E$42</f>
        <v/>
      </c>
      <c r="JL42" s="133">
        <f>4+4+4+8+6</f>
        <v/>
      </c>
      <c r="JM42" s="139">
        <f>JL42*100/$E$42</f>
        <v/>
      </c>
      <c r="JN42" s="133" t="n"/>
      <c r="JO42" s="139">
        <f>JN42*100/$E$42</f>
        <v/>
      </c>
      <c r="JP42" s="133" t="n">
        <v>4</v>
      </c>
      <c r="JQ42" s="139">
        <f>JP42*100/$E$42</f>
        <v/>
      </c>
      <c r="JR42" s="133">
        <f>4+4+8+2+8+4</f>
        <v/>
      </c>
      <c r="JS42" s="139">
        <f>JR42*100/$E$42</f>
        <v/>
      </c>
      <c r="JT42" s="133" t="n"/>
      <c r="JU42" s="182">
        <f>JT42*100/$E$42</f>
        <v/>
      </c>
      <c r="JV42" s="133" t="n"/>
      <c r="JW42" s="182">
        <f>JV42*100/$E$42</f>
        <v/>
      </c>
      <c r="JX42" s="133" t="n"/>
      <c r="JY42" s="182">
        <f>JX42*100/$E$42</f>
        <v/>
      </c>
      <c r="JZ42" s="183">
        <f>JN42+JP42+JR42+JT42+JV42+JX42</f>
        <v/>
      </c>
      <c r="KA42" s="184">
        <f>JO42+JQ42+JS42+JU42+JW42+JY42</f>
        <v/>
      </c>
      <c r="KB42" s="185">
        <f>H42+J42+L42+N42+P42+R42+T42+V42+X42+Z42+AB42+AD42+AF42+AH42+AJ42+AL42+AN42+AP42+AR42+AT42+AV42+AX42+AZ42+BB42+BD42+BF42+BH42+BJ42+BL42+BN42+BP42+BR42+BT42+BV42+BX42+BZ42+CB42+CD42+CF42+CH42+CZ42+DB42+DD42+DF42+DH42+DJ42+DL42+DN42+DP42+DR42+DT42+DV42+DX42+DZ42+EB42+ED42+EF42+EH42+EJ42+EL42+EN42+EP42+ER42+ET42+EV42+FN42+FP42+FR42+FT42+FV42+FX42+FZ42+GB42+GD42+GF42+GH42+GJ42+GL42+GN42+GP42+GR42+GT42+GV42+GX42+GZ42+HB42+HD42+HF42+HH42+HJ42+HL42+HN42+HP42+HR42+HT42+HV42+HX42+HZ42+IB42+ID42+IF42+IH42+IJ42+IL42+IN42+IP42+IR42+IT42+IV42+IX42+IZ42+JB42+JD42+JF42+JH42+JJ42+JL42+JZ42+CJ42+CL42+CN42+CP42+CR42+CT42+CV42+CX42+EX42+EZ42+FB42+FD42+FF42+FH42+FJ42+FL42</f>
        <v/>
      </c>
      <c r="KC42" s="186">
        <f>I42+K42+M42+O42+Q42+S42+U42+W42+Y42+AA42+AC42+AE42+AG42+AI42+AK42+AM42+AO42+AQ42+AS42+AU42+AW42+AY42+BA42+BC42+BE42+BG42+BI42+BK42+BM42+BO42+BQ42+BS42+BU42+BW42+BY42+CA42+CC42+CE42+CG42+CI42+DA42+DC42+DE42+DG42+DI42+DK42+DM42+DO42+DQ42+DS42+DU42+DW42+DY42+EA42+EC42+EE42+EG42+EI42+EK42+EM42+EO42+EQ42+ES42+EU42+EW42+FO42+FS42+FU42+FW42+FQ42+FY42+GA42+GC42+GE42+GG42+GI42+GK42+GM42+GO42+GQ42+GS42+GU42+GW42+GY42+HA42+HC42+HE42+HG42+HI42+HK42+HM42+HO42+HQ42+HS42+HU42+HW42+HY42+IA42+IC42+IE42+IG42+II42+IK42+IM42+IO42+IQ42+IS42+IU42+IW42+IY42+JA42+JC42+JE42+JG42+JI42+JK42+JM42+KA42+CK42+CM42+CO42+CQ42+CS42+CU42+CW42+CY42+EY42+FA42+FC42+FE42+FG42+FI42+FK42+FM42</f>
        <v/>
      </c>
      <c r="KD42" s="187">
        <f>JO42+JQ42+JS42+JU42+JW42+JY42</f>
        <v/>
      </c>
      <c r="KE42" s="188">
        <f>KB42=E42</f>
        <v/>
      </c>
      <c r="KF42" s="189">
        <f>E42-KB42</f>
        <v/>
      </c>
      <c r="KG42" s="215" t="n"/>
    </row>
    <row r="43" ht="21.75" customFormat="1" customHeight="1" s="215">
      <c r="A43" s="126">
        <f>A42+1</f>
        <v/>
      </c>
      <c r="B43" s="175" t="inlineStr">
        <is>
          <t>Титаев А.А.</t>
        </is>
      </c>
      <c r="C43" s="176" t="inlineStr">
        <is>
          <t>слесарь МСР</t>
        </is>
      </c>
      <c r="D43" s="177">
        <f>$D$5</f>
        <v/>
      </c>
      <c r="E43" s="202" t="n">
        <v>159</v>
      </c>
      <c r="F43" s="178" t="n">
        <v>61346.99</v>
      </c>
      <c r="G43" s="179">
        <f>F43/D43</f>
        <v/>
      </c>
      <c r="H43" s="180" t="n">
        <v>7</v>
      </c>
      <c r="I43" s="140">
        <f>H43*100/$E$43</f>
        <v/>
      </c>
      <c r="J43" s="133" t="n">
        <v>4</v>
      </c>
      <c r="K43" s="140">
        <f>J43*100/$E$43</f>
        <v/>
      </c>
      <c r="L43" s="133" t="n"/>
      <c r="M43" s="140">
        <f>L43*100/$E$43</f>
        <v/>
      </c>
      <c r="N43" s="133" t="n"/>
      <c r="O43" s="140">
        <f>N43*100/$E$43</f>
        <v/>
      </c>
      <c r="P43" s="133" t="n"/>
      <c r="Q43" s="139">
        <f>P43*100/$E$43</f>
        <v/>
      </c>
      <c r="R43" s="133" t="n"/>
      <c r="S43" s="139">
        <f>R43*100/$E$43</f>
        <v/>
      </c>
      <c r="T43" s="133" t="n"/>
      <c r="U43" s="140">
        <f>T43*100/$E$43</f>
        <v/>
      </c>
      <c r="V43" s="133" t="n"/>
      <c r="W43" s="140">
        <f>V43*100/$E$43</f>
        <v/>
      </c>
      <c r="X43" s="133" t="n"/>
      <c r="Y43" s="140">
        <f>X43*100/$E$43</f>
        <v/>
      </c>
      <c r="Z43" s="133" t="n"/>
      <c r="AA43" s="140">
        <f>Z43*100/$E$43</f>
        <v/>
      </c>
      <c r="AB43" s="133" t="n"/>
      <c r="AC43" s="140">
        <f>AB43*100/$E$43</f>
        <v/>
      </c>
      <c r="AD43" s="133" t="n"/>
      <c r="AE43" s="139">
        <f>AD43*100/$E$43</f>
        <v/>
      </c>
      <c r="AF43" s="133" t="n"/>
      <c r="AG43" s="139">
        <f>AF43*100/$E$43</f>
        <v/>
      </c>
      <c r="AH43" s="133" t="n"/>
      <c r="AI43" s="140">
        <f>AH43*100/$E$43</f>
        <v/>
      </c>
      <c r="AJ43" s="133" t="n">
        <v>2</v>
      </c>
      <c r="AK43" s="140">
        <f>AJ43*100/$E$43</f>
        <v/>
      </c>
      <c r="AL43" s="133" t="n"/>
      <c r="AM43" s="140">
        <f>AL43*100/$E$43</f>
        <v/>
      </c>
      <c r="AN43" s="133">
        <f>1+4</f>
        <v/>
      </c>
      <c r="AO43" s="140">
        <f>AN43*100/$E$43</f>
        <v/>
      </c>
      <c r="AP43" s="133" t="n"/>
      <c r="AQ43" s="140">
        <f>AP43*100/$E$43</f>
        <v/>
      </c>
      <c r="AR43" s="133" t="n"/>
      <c r="AS43" s="140">
        <f>AR43*100/$E$43</f>
        <v/>
      </c>
      <c r="AT43" s="133" t="n"/>
      <c r="AU43" s="181">
        <f>AT43*100/$E$43</f>
        <v/>
      </c>
      <c r="AV43" s="133" t="n">
        <v>3</v>
      </c>
      <c r="AW43" s="140">
        <f>AV43*100/$E$43</f>
        <v/>
      </c>
      <c r="AX43" s="133" t="n"/>
      <c r="AY43" s="140">
        <f>AX43*100/$E$43</f>
        <v/>
      </c>
      <c r="AZ43" s="133" t="n">
        <v>2</v>
      </c>
      <c r="BA43" s="140">
        <f>AZ43*100/$E$43</f>
        <v/>
      </c>
      <c r="BB43" s="133" t="n"/>
      <c r="BC43" s="140">
        <f>BB43*100/$E$43</f>
        <v/>
      </c>
      <c r="BD43" s="133" t="n"/>
      <c r="BE43" s="140">
        <f>BD43*100/$E$43</f>
        <v/>
      </c>
      <c r="BF43" s="133" t="n"/>
      <c r="BG43" s="140">
        <f>BF43*100/$E$43</f>
        <v/>
      </c>
      <c r="BH43" s="133" t="n">
        <v>1</v>
      </c>
      <c r="BI43" s="140">
        <f>BH43*100/$E$43</f>
        <v/>
      </c>
      <c r="BJ43" s="133" t="n"/>
      <c r="BK43" s="140">
        <f>BJ43*100/$E$43</f>
        <v/>
      </c>
      <c r="BL43" s="133" t="n"/>
      <c r="BM43" s="140">
        <f>BL43*100/$E$43</f>
        <v/>
      </c>
      <c r="BN43" s="133" t="n"/>
      <c r="BO43" s="140">
        <f>BN43*100/$E$43</f>
        <v/>
      </c>
      <c r="BP43" s="133" t="n">
        <v>2</v>
      </c>
      <c r="BQ43" s="140">
        <f>BP43*100/$E$43</f>
        <v/>
      </c>
      <c r="BR43" s="133" t="n"/>
      <c r="BS43" s="140">
        <f>BR43*100/$E$43</f>
        <v/>
      </c>
      <c r="BT43" s="133" t="n"/>
      <c r="BU43" s="140">
        <f>BT43*100/$E$43</f>
        <v/>
      </c>
      <c r="BV43" s="133" t="n"/>
      <c r="BW43" s="140">
        <f>BV43*100/$E$43</f>
        <v/>
      </c>
      <c r="BX43" s="133" t="n">
        <v>2</v>
      </c>
      <c r="BY43" s="140">
        <f>BX43*100/$E$43</f>
        <v/>
      </c>
      <c r="BZ43" s="133" t="n"/>
      <c r="CA43" s="140">
        <f>BZ43*100/$E$43</f>
        <v/>
      </c>
      <c r="CB43" s="133" t="n"/>
      <c r="CC43" s="140">
        <f>CB43*100/$E$43</f>
        <v/>
      </c>
      <c r="CD43" s="133" t="n"/>
      <c r="CE43" s="140">
        <f>CD43*100/$E$43</f>
        <v/>
      </c>
      <c r="CF43" s="133" t="n"/>
      <c r="CG43" s="140">
        <f>CF43*100/$E$43</f>
        <v/>
      </c>
      <c r="CH43" s="133" t="n"/>
      <c r="CI43" s="140">
        <f>CH43*100/$E$43</f>
        <v/>
      </c>
      <c r="CJ43" s="133" t="n"/>
      <c r="CK43" s="140">
        <f>CJ43*100/$E$43</f>
        <v/>
      </c>
      <c r="CL43" s="133" t="n"/>
      <c r="CM43" s="140">
        <f>CL43*100/$E$43</f>
        <v/>
      </c>
      <c r="CN43" s="133" t="n">
        <v>3</v>
      </c>
      <c r="CO43" s="139">
        <f>CN43*100/$E$43</f>
        <v/>
      </c>
      <c r="CP43" s="133" t="n"/>
      <c r="CQ43" s="140">
        <f>CP43*100/$E$43</f>
        <v/>
      </c>
      <c r="CR43" s="133" t="n"/>
      <c r="CS43" s="139">
        <f>CR43*100/$E$43</f>
        <v/>
      </c>
      <c r="CT43" s="133" t="n">
        <v>8</v>
      </c>
      <c r="CU43" s="139">
        <f>CT43*100/$E$43</f>
        <v/>
      </c>
      <c r="CV43" s="133" t="n"/>
      <c r="CW43" s="139">
        <f>CV43*100/$E$43</f>
        <v/>
      </c>
      <c r="CX43" s="133" t="n"/>
      <c r="CY43" s="139">
        <f>CX43*100/$E$43</f>
        <v/>
      </c>
      <c r="CZ43" s="133" t="n"/>
      <c r="DA43" s="139">
        <f>CZ43*100/$E$43</f>
        <v/>
      </c>
      <c r="DB43" s="133" t="n"/>
      <c r="DC43" s="139">
        <f>DB43*100/$E$43</f>
        <v/>
      </c>
      <c r="DD43" s="133" t="n"/>
      <c r="DE43" s="139">
        <f>DD43*100/$E$43</f>
        <v/>
      </c>
      <c r="DF43" s="133" t="n"/>
      <c r="DG43" s="139">
        <f>DF43*100/$E$43</f>
        <v/>
      </c>
      <c r="DH43" s="133" t="n"/>
      <c r="DI43" s="139">
        <f>DH43*100/$E$43</f>
        <v/>
      </c>
      <c r="DJ43" s="133" t="n"/>
      <c r="DK43" s="139">
        <f>DJ43*100/$E$43</f>
        <v/>
      </c>
      <c r="DL43" s="133" t="n"/>
      <c r="DM43" s="139">
        <f>DL43*100/$E$43</f>
        <v/>
      </c>
      <c r="DN43" s="133" t="n"/>
      <c r="DO43" s="139">
        <f>DN43*100/$E$43</f>
        <v/>
      </c>
      <c r="DP43" s="133" t="n"/>
      <c r="DQ43" s="139">
        <f>DP43*100/$E$43</f>
        <v/>
      </c>
      <c r="DR43" s="133" t="n"/>
      <c r="DS43" s="139">
        <f>DR43*100/$E$43</f>
        <v/>
      </c>
      <c r="DT43" s="133" t="n">
        <v>2</v>
      </c>
      <c r="DU43" s="139">
        <f>DT43*100/$E$43</f>
        <v/>
      </c>
      <c r="DV43" s="133" t="n"/>
      <c r="DW43" s="139">
        <f>DV43*100/$E$43</f>
        <v/>
      </c>
      <c r="DX43" s="133" t="n"/>
      <c r="DY43" s="139">
        <f>DX43*100/$E$43</f>
        <v/>
      </c>
      <c r="DZ43" s="133" t="n"/>
      <c r="EA43" s="139">
        <f>DZ43*100/$E$43</f>
        <v/>
      </c>
      <c r="EB43" s="133" t="n"/>
      <c r="EC43" s="139">
        <f>EB43*100/$E$43</f>
        <v/>
      </c>
      <c r="ED43" s="133" t="n"/>
      <c r="EE43" s="139">
        <f>ED43*100/$E$43</f>
        <v/>
      </c>
      <c r="EF43" s="133">
        <f>1+2</f>
        <v/>
      </c>
      <c r="EG43" s="139">
        <f>EF43*100/$E$43</f>
        <v/>
      </c>
      <c r="EH43" s="133" t="n">
        <v>2</v>
      </c>
      <c r="EI43" s="139">
        <f>EH43*100/$E$43</f>
        <v/>
      </c>
      <c r="EJ43" s="133" t="n"/>
      <c r="EK43" s="139">
        <f>EJ43*100/$E$43</f>
        <v/>
      </c>
      <c r="EL43" s="133" t="n"/>
      <c r="EM43" s="139">
        <f>EL43*100/$E$43</f>
        <v/>
      </c>
      <c r="EN43" s="133" t="n"/>
      <c r="EO43" s="139">
        <f>EN43*100/$E$43</f>
        <v/>
      </c>
      <c r="EP43" s="133" t="n"/>
      <c r="EQ43" s="139">
        <f>EP43*100/$E$43</f>
        <v/>
      </c>
      <c r="ER43" s="133" t="n"/>
      <c r="ES43" s="139">
        <f>ER43*100/$E$43</f>
        <v/>
      </c>
      <c r="ET43" s="133" t="n"/>
      <c r="EU43" s="139">
        <f>ET43*100/$E$43</f>
        <v/>
      </c>
      <c r="EV43" s="133" t="n">
        <v>2</v>
      </c>
      <c r="EW43" s="139">
        <f>EV43*100/$E$43</f>
        <v/>
      </c>
      <c r="EX43" s="133" t="n">
        <v>3</v>
      </c>
      <c r="EY43" s="139">
        <f>EX43*100/$E$43</f>
        <v/>
      </c>
      <c r="EZ43" s="133" t="n">
        <v>2</v>
      </c>
      <c r="FA43" s="139">
        <f>EZ43*100/$E$43</f>
        <v/>
      </c>
      <c r="FB43" s="133" t="n">
        <v>3</v>
      </c>
      <c r="FC43" s="139">
        <f>FB43*100/$E$43</f>
        <v/>
      </c>
      <c r="FD43" s="133" t="n"/>
      <c r="FE43" s="139">
        <f>FD43*100/$E$43</f>
        <v/>
      </c>
      <c r="FF43" s="133" t="n"/>
      <c r="FG43" s="139">
        <f>FF43*100/$E$43</f>
        <v/>
      </c>
      <c r="FH43" s="133" t="n"/>
      <c r="FI43" s="139">
        <f>FH43*100/$E$43</f>
        <v/>
      </c>
      <c r="FJ43" s="133" t="n"/>
      <c r="FK43" s="139">
        <f>FJ43*100/$E$43</f>
        <v/>
      </c>
      <c r="FL43" s="133" t="n"/>
      <c r="FM43" s="139">
        <f>FL43*100/$E$43</f>
        <v/>
      </c>
      <c r="FN43" s="133" t="n"/>
      <c r="FO43" s="139">
        <f>FN43*100/$E$43</f>
        <v/>
      </c>
      <c r="FP43" s="133" t="n"/>
      <c r="FQ43" s="139">
        <f>FP43*100/$E$43</f>
        <v/>
      </c>
      <c r="FR43" s="133" t="n"/>
      <c r="FS43" s="139">
        <f>FR43*100/$E$43</f>
        <v/>
      </c>
      <c r="FT43" s="133" t="n"/>
      <c r="FU43" s="139">
        <f>FT43*100/$E$43</f>
        <v/>
      </c>
      <c r="FV43" s="133" t="n"/>
      <c r="FW43" s="139">
        <f>FV43*100/$E$43</f>
        <v/>
      </c>
      <c r="FX43" s="133" t="n"/>
      <c r="FY43" s="140">
        <f>FX43*100/$E$43</f>
        <v/>
      </c>
      <c r="FZ43" s="133" t="n"/>
      <c r="GA43" s="140">
        <f>FZ43*100/$E$43</f>
        <v/>
      </c>
      <c r="GB43" s="133" t="n"/>
      <c r="GC43" s="140">
        <f>GB43*100/$E$43</f>
        <v/>
      </c>
      <c r="GD43" s="133" t="n"/>
      <c r="GE43" s="140">
        <f>GD43*100/$E$43</f>
        <v/>
      </c>
      <c r="GF43" s="133" t="n"/>
      <c r="GG43" s="140">
        <f>GF43*100/$E$43</f>
        <v/>
      </c>
      <c r="GH43" s="133" t="n"/>
      <c r="GI43" s="140">
        <f>GH43*100/$E$43</f>
        <v/>
      </c>
      <c r="GJ43" s="133" t="n"/>
      <c r="GK43" s="139">
        <f>GJ43*100/$E$43</f>
        <v/>
      </c>
      <c r="GL43" s="133" t="n"/>
      <c r="GM43" s="140">
        <f>GL43*100/$E$43</f>
        <v/>
      </c>
      <c r="GN43" s="133" t="n"/>
      <c r="GO43" s="139">
        <f>GN43*100/$E$43</f>
        <v/>
      </c>
      <c r="GP43" s="133" t="n"/>
      <c r="GQ43" s="140">
        <f>GP43*100/$E$43</f>
        <v/>
      </c>
      <c r="GR43" s="133" t="n"/>
      <c r="GS43" s="139">
        <f>GR43*100/$E$43</f>
        <v/>
      </c>
      <c r="GT43" s="133" t="n"/>
      <c r="GU43" s="139">
        <f>GT43*100/$E$43</f>
        <v/>
      </c>
      <c r="GV43" s="133" t="n"/>
      <c r="GW43" s="139">
        <f>GV43*100/$E$43</f>
        <v/>
      </c>
      <c r="GX43" s="133" t="n"/>
      <c r="GY43" s="140">
        <f>GX43*100/$E$43</f>
        <v/>
      </c>
      <c r="GZ43" s="133" t="n"/>
      <c r="HA43" s="140">
        <f>GZ43*100/$E$43</f>
        <v/>
      </c>
      <c r="HB43" s="133" t="n"/>
      <c r="HC43" s="140">
        <f>HB43*100/$E$43</f>
        <v/>
      </c>
      <c r="HD43" s="133" t="n"/>
      <c r="HE43" s="140">
        <f>HD43*100/$E$43</f>
        <v/>
      </c>
      <c r="HF43" s="133" t="n"/>
      <c r="HG43" s="140">
        <f>HF43*100/$E$43</f>
        <v/>
      </c>
      <c r="HH43" s="133" t="n"/>
      <c r="HI43" s="140">
        <f>HH43*100/$E$43</f>
        <v/>
      </c>
      <c r="HJ43" s="133" t="n"/>
      <c r="HK43" s="140">
        <f>HJ43*100/$E$43</f>
        <v/>
      </c>
      <c r="HL43" s="133" t="n"/>
      <c r="HM43" s="140">
        <f>HL43*100/$E$43</f>
        <v/>
      </c>
      <c r="HN43" s="133" t="n"/>
      <c r="HO43" s="140">
        <f>HN43*100/$E$43</f>
        <v/>
      </c>
      <c r="HP43" s="133" t="n"/>
      <c r="HQ43" s="140">
        <f>HP43*100/$E$43</f>
        <v/>
      </c>
      <c r="HR43" s="133" t="n"/>
      <c r="HS43" s="140">
        <f>HR43*100/$E$43</f>
        <v/>
      </c>
      <c r="HT43" s="133" t="n"/>
      <c r="HU43" s="140">
        <f>HT43*100/$E$43</f>
        <v/>
      </c>
      <c r="HV43" s="133" t="n"/>
      <c r="HW43" s="140">
        <f>HV43*100/$E$43</f>
        <v/>
      </c>
      <c r="HX43" s="133" t="n"/>
      <c r="HY43" s="140">
        <f>HX43*100/$E$43</f>
        <v/>
      </c>
      <c r="HZ43" s="133" t="n"/>
      <c r="IA43" s="139">
        <f>HZ43*100/$E$43</f>
        <v/>
      </c>
      <c r="IB43" s="133" t="n"/>
      <c r="IC43" s="139">
        <f>IB43*100/$E$43</f>
        <v/>
      </c>
      <c r="ID43" s="133" t="n"/>
      <c r="IE43" s="139">
        <f>ID43*100/$E$43</f>
        <v/>
      </c>
      <c r="IF43" s="133" t="n"/>
      <c r="IG43" s="139">
        <f>IF43*100/$E$43</f>
        <v/>
      </c>
      <c r="IH43" s="133" t="n"/>
      <c r="II43" s="139">
        <f>IH43*100/$E$43</f>
        <v/>
      </c>
      <c r="IJ43" s="133" t="n"/>
      <c r="IK43" s="139">
        <f>IJ43*100/$E$43</f>
        <v/>
      </c>
      <c r="IL43" s="133" t="n"/>
      <c r="IM43" s="140">
        <f>IL43*100/$E$43</f>
        <v/>
      </c>
      <c r="IN43" s="133" t="n"/>
      <c r="IO43" s="140">
        <f>IN43*100/$E$43</f>
        <v/>
      </c>
      <c r="IP43" s="133" t="n"/>
      <c r="IQ43" s="139">
        <f>IP43*100/$E$43</f>
        <v/>
      </c>
      <c r="IR43" s="133" t="n"/>
      <c r="IS43" s="139">
        <f>IR43*100/$E$43</f>
        <v/>
      </c>
      <c r="IT43" s="133" t="n"/>
      <c r="IU43" s="139">
        <f>IT43*100/$E$43</f>
        <v/>
      </c>
      <c r="IV43" s="133" t="n"/>
      <c r="IW43" s="139">
        <f>IV43*100/$E$43</f>
        <v/>
      </c>
      <c r="IX43" s="133" t="n"/>
      <c r="IY43" s="139">
        <f>IX43*100/$E$43</f>
        <v/>
      </c>
      <c r="IZ43" s="133" t="n"/>
      <c r="JA43" s="139">
        <f>IZ43*100/$E$43</f>
        <v/>
      </c>
      <c r="JB43" s="133" t="n"/>
      <c r="JC43" s="139">
        <f>JB43*100/$E$43</f>
        <v/>
      </c>
      <c r="JD43" s="133" t="n"/>
      <c r="JE43" s="139">
        <f>JD43*100/$E$43</f>
        <v/>
      </c>
      <c r="JF43" s="133" t="n"/>
      <c r="JG43" s="139">
        <f>JF43*100/$E$43</f>
        <v/>
      </c>
      <c r="JH43" s="133" t="n"/>
      <c r="JI43" s="139">
        <f>JH43*100/$E$43</f>
        <v/>
      </c>
      <c r="JJ43" s="133" t="n"/>
      <c r="JK43" s="139">
        <f>JJ43*100/$E$43</f>
        <v/>
      </c>
      <c r="JL43" s="133">
        <f>8+1+2+6+8+3+3+3+3+2+7+8+8+5+3+4+4+3+4+7+4+3+4</f>
        <v/>
      </c>
      <c r="JM43" s="139">
        <f>JL43*100/$E$43</f>
        <v/>
      </c>
      <c r="JN43" s="133" t="n"/>
      <c r="JO43" s="139">
        <f>JN43*100/$E$43</f>
        <v/>
      </c>
      <c r="JP43" s="133" t="n"/>
      <c r="JQ43" s="139">
        <f>JP43*100/$E$43</f>
        <v/>
      </c>
      <c r="JR43" s="133" t="n"/>
      <c r="JS43" s="139">
        <f>JR43*100/$E$43</f>
        <v/>
      </c>
      <c r="JT43" s="133" t="n"/>
      <c r="JU43" s="182">
        <f>JT43*100/$E$43</f>
        <v/>
      </c>
      <c r="JV43" s="223" t="n"/>
      <c r="JW43" s="182">
        <f>JV43*100/$E$43</f>
        <v/>
      </c>
      <c r="JX43" s="223" t="n"/>
      <c r="JY43" s="182">
        <f>JX43*100/$E$43</f>
        <v/>
      </c>
      <c r="JZ43" s="183">
        <f>JN43+JP43+JR43+JT43+JV43+JX43</f>
        <v/>
      </c>
      <c r="KA43" s="184">
        <f>JO43+JQ43+JS43+JU43+JW43+JY43</f>
        <v/>
      </c>
      <c r="KB43" s="185">
        <f>H43+J43+L43+N43+P43+R43+T43+V43+X43+Z43+AB43+AD43+AF43+AH43+AJ43+AL43+AN43+AP43+AR43+AT43+AV43+AX43+AZ43+BB43+BD43+BF43+BH43+BJ43+BL43+BN43+BP43+BR43+BT43+BV43+BX43+BZ43+CB43+CD43+CF43+CH43+CZ43+DB43+DD43+DF43+DH43+DJ43+DL43+DN43+DP43+DR43+DT43+DV43+DX43+DZ43+EB43+ED43+EF43+EH43+EJ43+EL43+EN43+EP43+ER43+ET43+EV43+FN43+FP43+FR43+FT43+FV43+FX43+FZ43+GB43+GD43+GF43+GH43+GJ43+GL43+GN43+GP43+GR43+GT43+GV43+GX43+GZ43+HB43+HD43+HF43+HH43+HJ43+HL43+HN43+HP43+HR43+HT43+HV43+HX43+HZ43+IB43+ID43+IF43+IH43+IJ43+IL43+IN43+IP43+IR43+IT43+IV43+IX43+IZ43+JB43+JD43+JF43+JH43+JJ43+JL43+JZ43+CJ43+CL43+CN43+CP43+CR43+CT43+CV43+CX43+EX43+EZ43+FB43+FD43+FF43+FH43+FJ43+FL43</f>
        <v/>
      </c>
      <c r="KC43" s="186">
        <f>I43+K43+M43+O43+Q43+S43+U43+W43+Y43+AA43+AC43+AE43+AG43+AI43+AK43+AM43+AO43+AQ43+AS43+AU43+AW43+AY43+BA43+BC43+BE43+BG43+BI43+BK43+BM43+BO43+BQ43+BS43+BU43+BW43+BY43+CA43+CC43+CE43+CG43+CI43+DA43+DC43+DE43+DG43+DI43+DK43+DM43+DO43+DQ43+DS43+DU43+DW43+DY43+EA43+EC43+EE43+EG43+EI43+EK43+EM43+EO43+EQ43+ES43+EU43+EW43+FO43+FS43+FU43+FW43+FQ43+FY43+GA43+GC43+GE43+GG43+GI43+GK43+GM43+GO43+GQ43+GS43+GU43+GW43+GY43+HA43+HC43+HE43+HG43+HI43+HK43+HM43+HO43+HQ43+HS43+HU43+HW43+HY43+IA43+IC43+IE43+IG43+II43+IK43+IM43+IO43+IQ43+IS43+IU43+IW43+IY43+JA43+JC43+JE43+JG43+JI43+JK43+JM43+KA43+CK43+CM43+CO43+CQ43+CS43+CU43+CW43+CY43+EY43+FA43+FC43+FE43+FG43+FI43+FK43+FM43</f>
        <v/>
      </c>
      <c r="KD43" s="187">
        <f>JO43+JQ43+JS43+JU43+JW43+JY43</f>
        <v/>
      </c>
      <c r="KE43" s="188">
        <f>KB43=E43</f>
        <v/>
      </c>
      <c r="KF43" s="189">
        <f>E43-KB43</f>
        <v/>
      </c>
      <c r="KG43" s="210" t="n"/>
    </row>
    <row r="44" ht="21.75" customFormat="1" customHeight="1" s="210">
      <c r="A44" s="126">
        <f>A43+1</f>
        <v/>
      </c>
      <c r="B44" s="175" t="inlineStr">
        <is>
          <t>Токарев Н. С.</t>
        </is>
      </c>
      <c r="C44" s="176" t="inlineStr">
        <is>
          <t>фрезеровщик</t>
        </is>
      </c>
      <c r="D44" s="177">
        <f>$D$5</f>
        <v/>
      </c>
      <c r="E44" s="202" t="n">
        <v>84</v>
      </c>
      <c r="F44" s="191" t="n">
        <v>111264.87</v>
      </c>
      <c r="G44" s="179">
        <f>F44/D44</f>
        <v/>
      </c>
      <c r="H44" s="180" t="n"/>
      <c r="I44" s="140">
        <f>H44*100/$E$44</f>
        <v/>
      </c>
      <c r="J44" s="133" t="n"/>
      <c r="K44" s="140">
        <f>J44*100/$E$44</f>
        <v/>
      </c>
      <c r="L44" s="133" t="n"/>
      <c r="M44" s="140">
        <f>L44*100/$E$44</f>
        <v/>
      </c>
      <c r="N44" s="133" t="n"/>
      <c r="O44" s="140">
        <f>N44*100/$E$44</f>
        <v/>
      </c>
      <c r="P44" s="133" t="n"/>
      <c r="Q44" s="139">
        <f>P44*100/$E$44</f>
        <v/>
      </c>
      <c r="R44" s="133" t="n"/>
      <c r="S44" s="139">
        <f>R44*100/$E$44</f>
        <v/>
      </c>
      <c r="T44" s="133" t="n"/>
      <c r="U44" s="140">
        <f>T44*100/$E$44</f>
        <v/>
      </c>
      <c r="V44" s="133" t="n"/>
      <c r="W44" s="140">
        <f>V44*100/$E$44</f>
        <v/>
      </c>
      <c r="X44" s="133" t="n"/>
      <c r="Y44" s="140">
        <f>X44*100/$E$44</f>
        <v/>
      </c>
      <c r="Z44" s="133" t="n"/>
      <c r="AA44" s="140">
        <f>Z44*100/$E$44</f>
        <v/>
      </c>
      <c r="AB44" s="133" t="n"/>
      <c r="AC44" s="140">
        <f>AB44*100/$E$44</f>
        <v/>
      </c>
      <c r="AD44" s="133" t="n"/>
      <c r="AE44" s="139">
        <f>AD44*100/$E$44</f>
        <v/>
      </c>
      <c r="AF44" s="133" t="n"/>
      <c r="AG44" s="139">
        <f>AF44*100/$E$44</f>
        <v/>
      </c>
      <c r="AH44" s="133" t="n"/>
      <c r="AI44" s="140">
        <f>AH44*100/$E$44</f>
        <v/>
      </c>
      <c r="AJ44" s="133" t="n"/>
      <c r="AK44" s="140">
        <f>AJ44*100/$E$44</f>
        <v/>
      </c>
      <c r="AL44" s="133" t="n"/>
      <c r="AM44" s="140">
        <f>AL44*100/$E$44</f>
        <v/>
      </c>
      <c r="AN44" s="133" t="n"/>
      <c r="AO44" s="140">
        <f>AN44*100/$E$44</f>
        <v/>
      </c>
      <c r="AP44" s="133" t="n"/>
      <c r="AQ44" s="140">
        <f>AP44*100/$E$44</f>
        <v/>
      </c>
      <c r="AR44" s="133" t="n"/>
      <c r="AS44" s="140">
        <f>AR44*100/$E$44</f>
        <v/>
      </c>
      <c r="AT44" s="133" t="n"/>
      <c r="AU44" s="181">
        <f>AT44*100/$E$44</f>
        <v/>
      </c>
      <c r="AV44" s="133" t="n"/>
      <c r="AW44" s="140">
        <f>AV44*100/$E$44</f>
        <v/>
      </c>
      <c r="AX44" s="133" t="n"/>
      <c r="AY44" s="140">
        <f>AX44*100/$E$44</f>
        <v/>
      </c>
      <c r="AZ44" s="133">
        <f>6+6</f>
        <v/>
      </c>
      <c r="BA44" s="140">
        <f>AZ44*100/$E$44</f>
        <v/>
      </c>
      <c r="BB44" s="133" t="n"/>
      <c r="BC44" s="140">
        <f>BB44*100/$E$44</f>
        <v/>
      </c>
      <c r="BD44" s="133" t="n"/>
      <c r="BE44" s="140">
        <f>BD44*100/$E$44</f>
        <v/>
      </c>
      <c r="BF44" s="133" t="n"/>
      <c r="BG44" s="140">
        <f>BF44*100/$E$44</f>
        <v/>
      </c>
      <c r="BH44" s="133" t="n"/>
      <c r="BI44" s="140">
        <f>BH44*100/$E$44</f>
        <v/>
      </c>
      <c r="BJ44" s="133" t="n"/>
      <c r="BK44" s="140">
        <f>BJ44*100/$E$44</f>
        <v/>
      </c>
      <c r="BL44" s="133" t="n"/>
      <c r="BM44" s="140">
        <f>BL44*100/$E$44</f>
        <v/>
      </c>
      <c r="BN44" s="133" t="n"/>
      <c r="BO44" s="140">
        <f>BN44*100/$E$44</f>
        <v/>
      </c>
      <c r="BP44" s="133" t="n"/>
      <c r="BQ44" s="140">
        <f>BP44*100/$E$44</f>
        <v/>
      </c>
      <c r="BR44" s="133" t="n"/>
      <c r="BS44" s="140">
        <f>BR44*100/$E$44</f>
        <v/>
      </c>
      <c r="BT44" s="133" t="n"/>
      <c r="BU44" s="140">
        <f>BT44*100/$E$44</f>
        <v/>
      </c>
      <c r="BV44" s="133" t="n"/>
      <c r="BW44" s="140">
        <f>BV44*100/$E$44</f>
        <v/>
      </c>
      <c r="BX44" s="133" t="n"/>
      <c r="BY44" s="140">
        <f>BX44*100/$E$44</f>
        <v/>
      </c>
      <c r="BZ44" s="133">
        <f>6+6</f>
        <v/>
      </c>
      <c r="CA44" s="140">
        <f>BZ44*100/$E$44</f>
        <v/>
      </c>
      <c r="CB44" s="133" t="n"/>
      <c r="CC44" s="140">
        <f>CB44*100/$E$44</f>
        <v/>
      </c>
      <c r="CD44" s="133" t="n"/>
      <c r="CE44" s="140">
        <f>CD44*100/$E$44</f>
        <v/>
      </c>
      <c r="CF44" s="133" t="n"/>
      <c r="CG44" s="140">
        <f>CF44*100/$E$44</f>
        <v/>
      </c>
      <c r="CH44" s="133" t="n"/>
      <c r="CI44" s="140">
        <f>CH44*100/$E$44</f>
        <v/>
      </c>
      <c r="CJ44" s="133" t="n"/>
      <c r="CK44" s="140">
        <f>CJ44*100/$E$44</f>
        <v/>
      </c>
      <c r="CL44" s="133" t="n"/>
      <c r="CM44" s="140">
        <f>CL44*100/$E$44</f>
        <v/>
      </c>
      <c r="CN44" s="133" t="n"/>
      <c r="CO44" s="139">
        <f>CN44*100/$E$44</f>
        <v/>
      </c>
      <c r="CP44" s="133" t="n"/>
      <c r="CQ44" s="140">
        <f>CP44*100/$E$44</f>
        <v/>
      </c>
      <c r="CR44" s="133">
        <f>12+12+12+12+12</f>
        <v/>
      </c>
      <c r="CS44" s="139">
        <f>CR44*100/$E$44</f>
        <v/>
      </c>
      <c r="CT44" s="133" t="n"/>
      <c r="CU44" s="139">
        <f>CT44*100/$E$44</f>
        <v/>
      </c>
      <c r="CV44" s="133" t="n"/>
      <c r="CW44" s="139">
        <f>CV44*100/$E$44</f>
        <v/>
      </c>
      <c r="CX44" s="133" t="n"/>
      <c r="CY44" s="139">
        <f>CX44*100/$E$44</f>
        <v/>
      </c>
      <c r="CZ44" s="133" t="n"/>
      <c r="DA44" s="139">
        <f>CZ44*100/$E$44</f>
        <v/>
      </c>
      <c r="DB44" s="133" t="n"/>
      <c r="DC44" s="139">
        <f>DB44*100/$E$44</f>
        <v/>
      </c>
      <c r="DD44" s="133" t="n"/>
      <c r="DE44" s="139">
        <f>DD44*100/$E$44</f>
        <v/>
      </c>
      <c r="DF44" s="133" t="n"/>
      <c r="DG44" s="139">
        <f>DF44*100/$E$44</f>
        <v/>
      </c>
      <c r="DH44" s="133" t="n"/>
      <c r="DI44" s="139">
        <f>DH44*100/$E$44</f>
        <v/>
      </c>
      <c r="DJ44" s="133" t="n"/>
      <c r="DK44" s="139">
        <f>DJ44*100/$E$44</f>
        <v/>
      </c>
      <c r="DL44" s="133" t="n"/>
      <c r="DM44" s="139">
        <f>DL44*100/$E$44</f>
        <v/>
      </c>
      <c r="DN44" s="133" t="n"/>
      <c r="DO44" s="139">
        <f>DN44*100/$E$44</f>
        <v/>
      </c>
      <c r="DP44" s="133" t="n"/>
      <c r="DQ44" s="139">
        <f>DP44*100/$E$44</f>
        <v/>
      </c>
      <c r="DR44" s="133" t="n"/>
      <c r="DS44" s="139">
        <f>DR44*100/$E$44</f>
        <v/>
      </c>
      <c r="DT44" s="133" t="n"/>
      <c r="DU44" s="139">
        <f>DT44*100/$E$44</f>
        <v/>
      </c>
      <c r="DV44" s="133" t="n"/>
      <c r="DW44" s="139">
        <f>DV44*100/$E$44</f>
        <v/>
      </c>
      <c r="DX44" s="133" t="n"/>
      <c r="DY44" s="139">
        <f>DX44*100/$E$44</f>
        <v/>
      </c>
      <c r="DZ44" s="133" t="n"/>
      <c r="EA44" s="139">
        <f>DZ44*100/$E$44</f>
        <v/>
      </c>
      <c r="EB44" s="133" t="n"/>
      <c r="EC44" s="139">
        <f>EB44*100/$E$44</f>
        <v/>
      </c>
      <c r="ED44" s="133" t="n"/>
      <c r="EE44" s="139">
        <f>ED44*100/$E$44</f>
        <v/>
      </c>
      <c r="EF44" s="133" t="n"/>
      <c r="EG44" s="139">
        <f>EF44*100/$E$44</f>
        <v/>
      </c>
      <c r="EH44" s="133" t="n"/>
      <c r="EI44" s="139">
        <f>EH44*100/$E$44</f>
        <v/>
      </c>
      <c r="EJ44" s="133" t="n"/>
      <c r="EK44" s="139">
        <f>EJ44*100/$E$44</f>
        <v/>
      </c>
      <c r="EL44" s="133" t="n"/>
      <c r="EM44" s="139">
        <f>EL44*100/$E$44</f>
        <v/>
      </c>
      <c r="EN44" s="133" t="n"/>
      <c r="EO44" s="139">
        <f>EN44*100/$E$44</f>
        <v/>
      </c>
      <c r="EP44" s="133" t="n"/>
      <c r="EQ44" s="139">
        <f>EP44*100/$E$44</f>
        <v/>
      </c>
      <c r="ER44" s="133" t="n"/>
      <c r="ES44" s="139">
        <f>ER44*100/$E$44</f>
        <v/>
      </c>
      <c r="ET44" s="133" t="n"/>
      <c r="EU44" s="139">
        <f>ET44*100/$E$44</f>
        <v/>
      </c>
      <c r="EV44" s="133" t="n"/>
      <c r="EW44" s="139">
        <f>EV44*100/$E$44</f>
        <v/>
      </c>
      <c r="EX44" s="133" t="n"/>
      <c r="EY44" s="139">
        <f>EX44*100/$E$44</f>
        <v/>
      </c>
      <c r="EZ44" s="133" t="n"/>
      <c r="FA44" s="139">
        <f>EZ44*100/$E$44</f>
        <v/>
      </c>
      <c r="FB44" s="133" t="n"/>
      <c r="FC44" s="139">
        <f>FB44*100/$E$44</f>
        <v/>
      </c>
      <c r="FD44" s="133" t="n"/>
      <c r="FE44" s="139">
        <f>FD44*100/$E$44</f>
        <v/>
      </c>
      <c r="FF44" s="133" t="n"/>
      <c r="FG44" s="139">
        <f>FF44*100/$E$44</f>
        <v/>
      </c>
      <c r="FH44" s="133" t="n"/>
      <c r="FI44" s="139">
        <f>FH44*100/$E$44</f>
        <v/>
      </c>
      <c r="FJ44" s="133" t="n"/>
      <c r="FK44" s="139">
        <f>FJ44*100/$E$44</f>
        <v/>
      </c>
      <c r="FL44" s="133" t="n"/>
      <c r="FM44" s="139">
        <f>FL44*100/$E$44</f>
        <v/>
      </c>
      <c r="FN44" s="133" t="n"/>
      <c r="FO44" s="139">
        <f>FN44*100/$E$44</f>
        <v/>
      </c>
      <c r="FP44" s="133" t="n"/>
      <c r="FQ44" s="139">
        <f>FP44*100/$E$44</f>
        <v/>
      </c>
      <c r="FR44" s="133" t="n"/>
      <c r="FS44" s="139">
        <f>FR44*100/$E$44</f>
        <v/>
      </c>
      <c r="FT44" s="133" t="n"/>
      <c r="FU44" s="139">
        <f>FT44*100/$E$44</f>
        <v/>
      </c>
      <c r="FV44" s="133" t="n"/>
      <c r="FW44" s="139">
        <f>FV44*100/$E$44</f>
        <v/>
      </c>
      <c r="FX44" s="133" t="n"/>
      <c r="FY44" s="140">
        <f>FX44*100/$E$44</f>
        <v/>
      </c>
      <c r="FZ44" s="133" t="n"/>
      <c r="GA44" s="140">
        <f>FZ44*100/$E$44</f>
        <v/>
      </c>
      <c r="GB44" s="133" t="n"/>
      <c r="GC44" s="140">
        <f>GB44*100/$E$44</f>
        <v/>
      </c>
      <c r="GD44" s="133" t="n"/>
      <c r="GE44" s="140">
        <f>GD44*100/$E$44</f>
        <v/>
      </c>
      <c r="GF44" s="133" t="n"/>
      <c r="GG44" s="140">
        <f>GF44*100/$E$44</f>
        <v/>
      </c>
      <c r="GH44" s="133" t="n"/>
      <c r="GI44" s="140">
        <f>GH44*100/$E$44</f>
        <v/>
      </c>
      <c r="GJ44" s="133" t="n"/>
      <c r="GK44" s="139">
        <f>GJ44*100/$E$44</f>
        <v/>
      </c>
      <c r="GL44" s="133" t="n"/>
      <c r="GM44" s="140">
        <f>GL44*100/$E$44</f>
        <v/>
      </c>
      <c r="GN44" s="133" t="n"/>
      <c r="GO44" s="139">
        <f>GN44*100/$E$44</f>
        <v/>
      </c>
      <c r="GP44" s="133" t="n"/>
      <c r="GQ44" s="140">
        <f>GP44*100/$E$44</f>
        <v/>
      </c>
      <c r="GR44" s="133" t="n"/>
      <c r="GS44" s="139">
        <f>GR44*100/$E$44</f>
        <v/>
      </c>
      <c r="GT44" s="133" t="n"/>
      <c r="GU44" s="139">
        <f>GT44*100/$E$44</f>
        <v/>
      </c>
      <c r="GV44" s="133" t="n"/>
      <c r="GW44" s="139">
        <f>GV44*100/$E$44</f>
        <v/>
      </c>
      <c r="GX44" s="133" t="n"/>
      <c r="GY44" s="140">
        <f>GX44*100/$E$44</f>
        <v/>
      </c>
      <c r="GZ44" s="133" t="n"/>
      <c r="HA44" s="140">
        <f>GZ44*100/$E$44</f>
        <v/>
      </c>
      <c r="HB44" s="133" t="n"/>
      <c r="HC44" s="140">
        <f>HB44*100/$E$44</f>
        <v/>
      </c>
      <c r="HD44" s="133" t="n"/>
      <c r="HE44" s="140">
        <f>HD44*100/$E$44</f>
        <v/>
      </c>
      <c r="HF44" s="133" t="n"/>
      <c r="HG44" s="140">
        <f>HF44*100/$E$44</f>
        <v/>
      </c>
      <c r="HH44" s="133" t="n"/>
      <c r="HI44" s="140">
        <f>HH44*100/$E$44</f>
        <v/>
      </c>
      <c r="HJ44" s="133" t="n"/>
      <c r="HK44" s="140">
        <f>HJ44*100/$E$44</f>
        <v/>
      </c>
      <c r="HL44" s="133" t="n"/>
      <c r="HM44" s="140">
        <f>HL44*100/$E$44</f>
        <v/>
      </c>
      <c r="HN44" s="133" t="n"/>
      <c r="HO44" s="140">
        <f>HN44*100/$E$44</f>
        <v/>
      </c>
      <c r="HP44" s="133" t="n"/>
      <c r="HQ44" s="140">
        <f>HP44*100/$E$44</f>
        <v/>
      </c>
      <c r="HR44" s="133" t="n"/>
      <c r="HS44" s="140">
        <f>HR44*100/$E$44</f>
        <v/>
      </c>
      <c r="HT44" s="133" t="n"/>
      <c r="HU44" s="140">
        <f>HT44*100/$E$44</f>
        <v/>
      </c>
      <c r="HV44" s="133" t="n"/>
      <c r="HW44" s="140">
        <f>HV44*100/$E$44</f>
        <v/>
      </c>
      <c r="HX44" s="133" t="n"/>
      <c r="HY44" s="140">
        <f>HX44*100/$E$44</f>
        <v/>
      </c>
      <c r="HZ44" s="133" t="n"/>
      <c r="IA44" s="139">
        <f>HZ44*100/$E$44</f>
        <v/>
      </c>
      <c r="IB44" s="133" t="n"/>
      <c r="IC44" s="139">
        <f>IB44*100/$E$44</f>
        <v/>
      </c>
      <c r="ID44" s="133" t="n"/>
      <c r="IE44" s="139">
        <f>ID44*100/$E$44</f>
        <v/>
      </c>
      <c r="IF44" s="133" t="n"/>
      <c r="IG44" s="139">
        <f>IF44*100/$E$44</f>
        <v/>
      </c>
      <c r="IH44" s="133" t="n"/>
      <c r="II44" s="139">
        <f>IH44*100/$E$44</f>
        <v/>
      </c>
      <c r="IJ44" s="133" t="n"/>
      <c r="IK44" s="139">
        <f>IJ44*100/$E$44</f>
        <v/>
      </c>
      <c r="IL44" s="133" t="n"/>
      <c r="IM44" s="140">
        <f>IL44*100/$E$44</f>
        <v/>
      </c>
      <c r="IN44" s="133" t="n"/>
      <c r="IO44" s="140">
        <f>IN44*100/$E$44</f>
        <v/>
      </c>
      <c r="IP44" s="133" t="n"/>
      <c r="IQ44" s="139">
        <f>IP44*100/$E$44</f>
        <v/>
      </c>
      <c r="IR44" s="133" t="n"/>
      <c r="IS44" s="139">
        <f>IR44*100/$E$44</f>
        <v/>
      </c>
      <c r="IT44" s="133" t="n"/>
      <c r="IU44" s="139">
        <f>IT44*100/$E$44</f>
        <v/>
      </c>
      <c r="IV44" s="133" t="n"/>
      <c r="IW44" s="139">
        <f>IV44*100/$E$44</f>
        <v/>
      </c>
      <c r="IX44" s="133" t="n"/>
      <c r="IY44" s="139">
        <f>IX44*100/$E$44</f>
        <v/>
      </c>
      <c r="IZ44" s="133" t="n"/>
      <c r="JA44" s="139">
        <f>IZ44*100/$E$44</f>
        <v/>
      </c>
      <c r="JB44" s="133" t="n"/>
      <c r="JC44" s="139">
        <f>JB44*100/$E$44</f>
        <v/>
      </c>
      <c r="JD44" s="133" t="n"/>
      <c r="JE44" s="139">
        <f>JD44*100/$E$44</f>
        <v/>
      </c>
      <c r="JF44" s="133" t="n"/>
      <c r="JG44" s="139">
        <f>JF44*100/$E$44</f>
        <v/>
      </c>
      <c r="JH44" s="133" t="n"/>
      <c r="JI44" s="139">
        <f>JH44*100/$E$44</f>
        <v/>
      </c>
      <c r="JJ44" s="133" t="n"/>
      <c r="JK44" s="139">
        <f>JJ44*100/$E$44</f>
        <v/>
      </c>
      <c r="JL44" s="133" t="n"/>
      <c r="JM44" s="139">
        <f>JL44*100/$E$44</f>
        <v/>
      </c>
      <c r="JN44" s="133" t="n"/>
      <c r="JO44" s="139">
        <f>JN44*100/$E$44</f>
        <v/>
      </c>
      <c r="JP44" s="133" t="n"/>
      <c r="JQ44" s="139">
        <f>JP44*100/$E$44</f>
        <v/>
      </c>
      <c r="JR44" s="133" t="n"/>
      <c r="JS44" s="139">
        <f>JR44*100/$E$44</f>
        <v/>
      </c>
      <c r="JT44" s="133" t="n"/>
      <c r="JU44" s="182">
        <f>JT44*100/$E$44</f>
        <v/>
      </c>
      <c r="JV44" s="133" t="n"/>
      <c r="JW44" s="182">
        <f>JV44*100/$E$44</f>
        <v/>
      </c>
      <c r="JX44" s="133" t="n"/>
      <c r="JY44" s="182">
        <f>JX44*100/$E$44</f>
        <v/>
      </c>
      <c r="JZ44" s="183">
        <f>JN44+JP44+JR44+JT44+JV44+JX44</f>
        <v/>
      </c>
      <c r="KA44" s="184">
        <f>JO44+JQ44+JS44+JU44+JW44+JY44</f>
        <v/>
      </c>
      <c r="KB44" s="185">
        <f>H44+J44+L44+N44+P44+R44+T44+V44+X44+Z44+AB44+AD44+AF44+AH44+AJ44+AL44+AN44+AP44+AR44+AT44+AV44+AX44+AZ44+BB44+BD44+BF44+BH44+BJ44+BL44+BN44+BP44+BR44+BT44+BV44+BX44+BZ44+CB44+CD44+CF44+CH44+CZ44+DB44+DD44+DF44+DH44+DJ44+DL44+DN44+DP44+DR44+DT44+DV44+DX44+DZ44+EB44+ED44+EF44+EH44+EJ44+EL44+EN44+EP44+ER44+ET44+EV44+FN44+FP44+FR44+FT44+FV44+FX44+FZ44+GB44+GD44+GF44+GH44+GJ44+GL44+GN44+GP44+GR44+GT44+GV44+GX44+GZ44+HB44+HD44+HF44+HH44+HJ44+HL44+HN44+HP44+HR44+HT44+HV44+HX44+HZ44+IB44+ID44+IF44+IH44+IJ44+IL44+IN44+IP44+IR44+IT44+IV44+IX44+IZ44+JB44+JD44+JF44+JH44+JJ44+JL44+JZ44+CJ44+CL44+CN44+CP44+CR44+CT44+CV44+CX44+EX44+EZ44+FB44+FD44+FF44+FH44+FJ44+FL44</f>
        <v/>
      </c>
      <c r="KC44" s="186">
        <f>I44+K44+M44+O44+Q44+S44+U44+W44+Y44+AA44+AC44+AE44+AG44+AI44+AK44+AM44+AO44+AQ44+AS44+AU44+AW44+AY44+BA44+BC44+BE44+BG44+BI44+BK44+BM44+BO44+BQ44+BS44+BU44+BW44+BY44+CA44+CC44+CE44+CG44+CI44+DA44+DC44+DE44+DG44+DI44+DK44+DM44+DO44+DQ44+DS44+DU44+DW44+DY44+EA44+EC44+EE44+EG44+EI44+EK44+EM44+EO44+EQ44+ES44+EU44+EW44+FO44+FS44+FU44+FW44+FQ44+FY44+GA44+GC44+GE44+GG44+GI44+GK44+GM44+GO44+GQ44+GS44+GU44+GW44+GY44+HA44+HC44+HE44+HG44+HI44+HK44+HM44+HO44+HQ44+HS44+HU44+HW44+HY44+IA44+IC44+IE44+IG44+II44+IK44+IM44+IO44+IQ44+IS44+IU44+IW44+IY44+JA44+JC44+JE44+JG44+JI44+JK44+JM44+KA44+CK44+CM44+CO44+CQ44+CS44+CU44+CW44+CY44+EY44+FA44+FC44+FE44+FG44+FI44+FK44+FM44</f>
        <v/>
      </c>
      <c r="KD44" s="187">
        <f>JO44+JQ44+JS44+JU44+JW44+JY44</f>
        <v/>
      </c>
      <c r="KE44" s="188">
        <f>KB44=E44</f>
        <v/>
      </c>
      <c r="KF44" s="189">
        <f>E44-KB44</f>
        <v/>
      </c>
      <c r="KG44" s="212" t="n"/>
    </row>
    <row r="45" ht="21.75" customFormat="1" customHeight="1" s="212">
      <c r="A45" s="126">
        <f>A44+1</f>
        <v/>
      </c>
      <c r="B45" s="192" t="inlineStr">
        <is>
          <t>Трикачев С.И.</t>
        </is>
      </c>
      <c r="C45" s="204" t="inlineStr">
        <is>
          <t>токарь</t>
        </is>
      </c>
      <c r="D45" s="206">
        <f>$D$5</f>
        <v/>
      </c>
      <c r="E45" s="207" t="n">
        <v>168</v>
      </c>
      <c r="F45" s="205" t="n">
        <v>172414.02</v>
      </c>
      <c r="G45" s="179">
        <f>F45/D45</f>
        <v/>
      </c>
      <c r="H45" s="180" t="n"/>
      <c r="I45" s="140">
        <f>H45*100/$E$45</f>
        <v/>
      </c>
      <c r="J45" s="133" t="n"/>
      <c r="K45" s="140">
        <f>J45*100/$E$45</f>
        <v/>
      </c>
      <c r="L45" s="133" t="n"/>
      <c r="M45" s="140">
        <f>L45*100/$E$45</f>
        <v/>
      </c>
      <c r="N45" s="133" t="n"/>
      <c r="O45" s="140">
        <f>N45*100/$E$45</f>
        <v/>
      </c>
      <c r="P45" s="133" t="n"/>
      <c r="Q45" s="139">
        <f>P45*100/$E$45</f>
        <v/>
      </c>
      <c r="R45" s="133" t="n"/>
      <c r="S45" s="139">
        <f>R45*100/$E$45</f>
        <v/>
      </c>
      <c r="T45" s="133" t="n"/>
      <c r="U45" s="140">
        <f>T45*100/$E$45</f>
        <v/>
      </c>
      <c r="V45" s="133" t="n"/>
      <c r="W45" s="140">
        <f>V45*100/$E$45</f>
        <v/>
      </c>
      <c r="X45" s="133" t="n"/>
      <c r="Y45" s="140">
        <f>X45*100/$E$45</f>
        <v/>
      </c>
      <c r="Z45" s="133" t="n"/>
      <c r="AA45" s="140">
        <f>Z45*100/$E$45</f>
        <v/>
      </c>
      <c r="AB45" s="133" t="n"/>
      <c r="AC45" s="140">
        <f>AB45*100/$E$45</f>
        <v/>
      </c>
      <c r="AD45" s="133" t="n"/>
      <c r="AE45" s="139">
        <f>AD45*100/$E$45</f>
        <v/>
      </c>
      <c r="AF45" s="133" t="n"/>
      <c r="AG45" s="139">
        <f>AF45*100/$E$45</f>
        <v/>
      </c>
      <c r="AH45" s="133">
        <f>8+9+7+12</f>
        <v/>
      </c>
      <c r="AI45" s="140">
        <f>AH45*100/$E$45</f>
        <v/>
      </c>
      <c r="AJ45" s="133" t="n"/>
      <c r="AK45" s="140">
        <f>AJ45*100/$E$45</f>
        <v/>
      </c>
      <c r="AL45" s="133" t="n"/>
      <c r="AM45" s="140">
        <f>AL45*100/$E$45</f>
        <v/>
      </c>
      <c r="AN45" s="133">
        <f>5+5+12</f>
        <v/>
      </c>
      <c r="AO45" s="140">
        <f>AN45*100/$E$45</f>
        <v/>
      </c>
      <c r="AP45" s="133" t="n"/>
      <c r="AQ45" s="140">
        <f>AP45*100/$E$45</f>
        <v/>
      </c>
      <c r="AR45" s="133" t="n"/>
      <c r="AS45" s="140">
        <f>AR45*100/$E$45</f>
        <v/>
      </c>
      <c r="AT45" s="133" t="n"/>
      <c r="AU45" s="181">
        <f>AT45*100/$E$45</f>
        <v/>
      </c>
      <c r="AV45" s="133" t="n"/>
      <c r="AW45" s="140">
        <f>AV45*100/$E$45</f>
        <v/>
      </c>
      <c r="AX45" s="133" t="n"/>
      <c r="AY45" s="140">
        <f>AX45*100/$E$45</f>
        <v/>
      </c>
      <c r="AZ45" s="133" t="n"/>
      <c r="BA45" s="140">
        <f>AZ45*100/$E$45</f>
        <v/>
      </c>
      <c r="BB45" s="133" t="n"/>
      <c r="BC45" s="140">
        <f>BB45*100/$E$45</f>
        <v/>
      </c>
      <c r="BD45" s="133" t="n"/>
      <c r="BE45" s="140">
        <f>BD45*100/$E$45</f>
        <v/>
      </c>
      <c r="BF45" s="133" t="n">
        <v>3</v>
      </c>
      <c r="BG45" s="140">
        <f>BF45*100/$E$45</f>
        <v/>
      </c>
      <c r="BH45" s="133" t="n"/>
      <c r="BI45" s="140">
        <f>BH45*100/$E$45</f>
        <v/>
      </c>
      <c r="BJ45" s="133" t="n"/>
      <c r="BK45" s="140">
        <f>BJ45*100/$E$45</f>
        <v/>
      </c>
      <c r="BL45" s="133" t="n"/>
      <c r="BM45" s="140">
        <f>BL45*100/$E$45</f>
        <v/>
      </c>
      <c r="BN45" s="133" t="n"/>
      <c r="BO45" s="140">
        <f>BN45*100/$E$45</f>
        <v/>
      </c>
      <c r="BP45" s="133" t="n"/>
      <c r="BQ45" s="140">
        <f>BP45*100/$E$45</f>
        <v/>
      </c>
      <c r="BR45" s="133" t="n"/>
      <c r="BS45" s="140">
        <f>BR45*100/$E$45</f>
        <v/>
      </c>
      <c r="BT45" s="133" t="n"/>
      <c r="BU45" s="140">
        <f>BT45*100/$E$45</f>
        <v/>
      </c>
      <c r="BV45" s="133" t="n"/>
      <c r="BW45" s="140">
        <f>BV45*100/$E$45</f>
        <v/>
      </c>
      <c r="BX45" s="133" t="n"/>
      <c r="BY45" s="140">
        <f>BX45*100/$E$45</f>
        <v/>
      </c>
      <c r="BZ45" s="133">
        <f>12+12+4</f>
        <v/>
      </c>
      <c r="CA45" s="140">
        <f>BZ45*100/$E$45</f>
        <v/>
      </c>
      <c r="CB45" s="133" t="n"/>
      <c r="CC45" s="140">
        <f>CB45*100/$E$45</f>
        <v/>
      </c>
      <c r="CD45" s="133" t="n"/>
      <c r="CE45" s="140">
        <f>CD45*100/$E$45</f>
        <v/>
      </c>
      <c r="CF45" s="133" t="n"/>
      <c r="CG45" s="140">
        <f>CF45*100/$E$45</f>
        <v/>
      </c>
      <c r="CH45" s="133" t="n"/>
      <c r="CI45" s="140">
        <f>CH45*100/$E$45</f>
        <v/>
      </c>
      <c r="CJ45" s="133" t="n"/>
      <c r="CK45" s="140">
        <f>CJ45*100/$E$45</f>
        <v/>
      </c>
      <c r="CL45" s="133" t="n"/>
      <c r="CM45" s="140">
        <f>CL45*100/$E$45</f>
        <v/>
      </c>
      <c r="CN45" s="133" t="n"/>
      <c r="CO45" s="139">
        <f>CN45*100/$E$45</f>
        <v/>
      </c>
      <c r="CP45" s="133" t="n"/>
      <c r="CQ45" s="140">
        <f>CP45*100/$E$45</f>
        <v/>
      </c>
      <c r="CR45" s="133" t="n"/>
      <c r="CS45" s="139">
        <f>CR45*100/$E$45</f>
        <v/>
      </c>
      <c r="CT45" s="133" t="n"/>
      <c r="CU45" s="139">
        <f>CT45*100/$E$45</f>
        <v/>
      </c>
      <c r="CV45" s="133">
        <f>12+12</f>
        <v/>
      </c>
      <c r="CW45" s="139">
        <f>CV45*100/$E$45</f>
        <v/>
      </c>
      <c r="CX45" s="133" t="n">
        <v>7</v>
      </c>
      <c r="CY45" s="139">
        <f>CX45*100/$E$45</f>
        <v/>
      </c>
      <c r="CZ45" s="133" t="n"/>
      <c r="DA45" s="139">
        <f>CZ45*100/$E$45</f>
        <v/>
      </c>
      <c r="DB45" s="133" t="n"/>
      <c r="DC45" s="139">
        <f>DB45*100/$E$45</f>
        <v/>
      </c>
      <c r="DD45" s="133" t="n"/>
      <c r="DE45" s="139">
        <f>DD45*100/$E$45</f>
        <v/>
      </c>
      <c r="DF45" s="133" t="n"/>
      <c r="DG45" s="139">
        <f>DF45*100/$E$45</f>
        <v/>
      </c>
      <c r="DH45" s="133">
        <f>12+12</f>
        <v/>
      </c>
      <c r="DI45" s="139">
        <f>DH45*100/$E$45</f>
        <v/>
      </c>
      <c r="DJ45" s="133" t="n"/>
      <c r="DK45" s="139">
        <f>DJ45*100/$E$45</f>
        <v/>
      </c>
      <c r="DL45" s="133" t="n"/>
      <c r="DM45" s="139">
        <f>DL45*100/$E$45</f>
        <v/>
      </c>
      <c r="DN45" s="133" t="n"/>
      <c r="DO45" s="139">
        <f>DN45*100/$E$45</f>
        <v/>
      </c>
      <c r="DP45" s="133" t="n">
        <v>4</v>
      </c>
      <c r="DQ45" s="139">
        <f>DP45*100/$E$45</f>
        <v/>
      </c>
      <c r="DR45" s="133" t="n"/>
      <c r="DS45" s="139">
        <f>DR45*100/$E$45</f>
        <v/>
      </c>
      <c r="DT45" s="133" t="n"/>
      <c r="DU45" s="139">
        <f>DT45*100/$E$45</f>
        <v/>
      </c>
      <c r="DV45" s="133" t="n"/>
      <c r="DW45" s="139">
        <f>DV45*100/$E$45</f>
        <v/>
      </c>
      <c r="DX45" s="133" t="n"/>
      <c r="DY45" s="139">
        <f>DX45*100/$E$45</f>
        <v/>
      </c>
      <c r="DZ45" s="133" t="n"/>
      <c r="EA45" s="139">
        <f>DZ45*100/$E$45</f>
        <v/>
      </c>
      <c r="EB45" s="133" t="n"/>
      <c r="EC45" s="139">
        <f>EB45*100/$E$45</f>
        <v/>
      </c>
      <c r="ED45" s="133" t="n"/>
      <c r="EE45" s="139">
        <f>ED45*100/$E$45</f>
        <v/>
      </c>
      <c r="EF45" s="133" t="n"/>
      <c r="EG45" s="139">
        <f>EF45*100/$E$45</f>
        <v/>
      </c>
      <c r="EH45" s="133" t="n"/>
      <c r="EI45" s="139">
        <f>EH45*100/$E$45</f>
        <v/>
      </c>
      <c r="EJ45" s="133" t="n"/>
      <c r="EK45" s="139">
        <f>EJ45*100/$E$45</f>
        <v/>
      </c>
      <c r="EL45" s="133" t="n"/>
      <c r="EM45" s="139">
        <f>EL45*100/$E$45</f>
        <v/>
      </c>
      <c r="EN45" s="133" t="n"/>
      <c r="EO45" s="139">
        <f>EN45*100/$E$45</f>
        <v/>
      </c>
      <c r="EP45" s="133">
        <f>8+12</f>
        <v/>
      </c>
      <c r="EQ45" s="139">
        <f>EP45*100/$E$45</f>
        <v/>
      </c>
      <c r="ER45" s="133" t="n"/>
      <c r="ES45" s="139">
        <f>ER45*100/$E$45</f>
        <v/>
      </c>
      <c r="ET45" s="133" t="n"/>
      <c r="EU45" s="139">
        <f>ET45*100/$E$45</f>
        <v/>
      </c>
      <c r="EV45" s="133" t="n"/>
      <c r="EW45" s="139">
        <f>EV45*100/$E$45</f>
        <v/>
      </c>
      <c r="EX45" s="133" t="n"/>
      <c r="EY45" s="139">
        <f>EX45*100/$E$45</f>
        <v/>
      </c>
      <c r="EZ45" s="133" t="n"/>
      <c r="FA45" s="139">
        <f>EZ45*100/$E$45</f>
        <v/>
      </c>
      <c r="FB45" s="133" t="n"/>
      <c r="FC45" s="139">
        <f>FB45*100/$E$45</f>
        <v/>
      </c>
      <c r="FD45" s="133" t="n"/>
      <c r="FE45" s="139">
        <f>FD45*100/$E$45</f>
        <v/>
      </c>
      <c r="FF45" s="133" t="n"/>
      <c r="FG45" s="139">
        <f>FF45*100/$E$45</f>
        <v/>
      </c>
      <c r="FH45" s="133" t="n"/>
      <c r="FI45" s="139">
        <f>FH45*100/$E$45</f>
        <v/>
      </c>
      <c r="FJ45" s="133" t="n"/>
      <c r="FK45" s="139">
        <f>FJ45*100/$E$45</f>
        <v/>
      </c>
      <c r="FL45" s="133" t="n"/>
      <c r="FM45" s="139">
        <f>FL45*100/$E$45</f>
        <v/>
      </c>
      <c r="FN45" s="133" t="n"/>
      <c r="FO45" s="139">
        <f>FN45*100/$E$45</f>
        <v/>
      </c>
      <c r="FP45" s="133" t="n"/>
      <c r="FQ45" s="139">
        <f>FP45*100/$E$45</f>
        <v/>
      </c>
      <c r="FR45" s="133" t="n"/>
      <c r="FS45" s="139">
        <f>FR45*100/$E$45</f>
        <v/>
      </c>
      <c r="FT45" s="133" t="n"/>
      <c r="FU45" s="139">
        <f>FT45*100/$E$45</f>
        <v/>
      </c>
      <c r="FV45" s="133" t="n"/>
      <c r="FW45" s="139">
        <f>FV45*100/$E$45</f>
        <v/>
      </c>
      <c r="FX45" s="133" t="n"/>
      <c r="FY45" s="140">
        <f>FX45*100/$E$45</f>
        <v/>
      </c>
      <c r="FZ45" s="133" t="n"/>
      <c r="GA45" s="140">
        <f>FZ45*100/$E$45</f>
        <v/>
      </c>
      <c r="GB45" s="133" t="n"/>
      <c r="GC45" s="140">
        <f>GB45*100/$E$45</f>
        <v/>
      </c>
      <c r="GD45" s="133" t="n"/>
      <c r="GE45" s="140">
        <f>GD45*100/$E$45</f>
        <v/>
      </c>
      <c r="GF45" s="133" t="n"/>
      <c r="GG45" s="140">
        <f>GF45*100/$E$45</f>
        <v/>
      </c>
      <c r="GH45" s="133" t="n"/>
      <c r="GI45" s="140">
        <f>GH45*100/$E$45</f>
        <v/>
      </c>
      <c r="GJ45" s="133" t="n"/>
      <c r="GK45" s="139">
        <f>GJ45*100/$E$45</f>
        <v/>
      </c>
      <c r="GL45" s="133" t="n"/>
      <c r="GM45" s="140">
        <f>GL45*100/$E$45</f>
        <v/>
      </c>
      <c r="GN45" s="133" t="n"/>
      <c r="GO45" s="139">
        <f>GN45*100/$E$45</f>
        <v/>
      </c>
      <c r="GP45" s="133" t="n"/>
      <c r="GQ45" s="140">
        <f>GP45*100/$E$45</f>
        <v/>
      </c>
      <c r="GR45" s="133" t="n"/>
      <c r="GS45" s="139">
        <f>GR45*100/$E$45</f>
        <v/>
      </c>
      <c r="GT45" s="133" t="n"/>
      <c r="GU45" s="139">
        <f>GT45*100/$E$45</f>
        <v/>
      </c>
      <c r="GV45" s="133" t="n"/>
      <c r="GW45" s="139">
        <f>GV45*100/$E$45</f>
        <v/>
      </c>
      <c r="GX45" s="133" t="n"/>
      <c r="GY45" s="140">
        <f>GX45*100/$E$45</f>
        <v/>
      </c>
      <c r="GZ45" s="133" t="n"/>
      <c r="HA45" s="140">
        <f>GZ45*100/$E$45</f>
        <v/>
      </c>
      <c r="HB45" s="133" t="n"/>
      <c r="HC45" s="140">
        <f>HB45*100/$E$45</f>
        <v/>
      </c>
      <c r="HD45" s="133" t="n"/>
      <c r="HE45" s="140">
        <f>HD45*100/$E$45</f>
        <v/>
      </c>
      <c r="HF45" s="133" t="n"/>
      <c r="HG45" s="140">
        <f>HF45*100/$E$45</f>
        <v/>
      </c>
      <c r="HH45" s="133" t="n"/>
      <c r="HI45" s="140">
        <f>HH45*100/$E$45</f>
        <v/>
      </c>
      <c r="HJ45" s="133" t="n"/>
      <c r="HK45" s="140">
        <f>HJ45*100/$E$45</f>
        <v/>
      </c>
      <c r="HL45" s="133" t="n"/>
      <c r="HM45" s="140">
        <f>HL45*100/$E$45</f>
        <v/>
      </c>
      <c r="HN45" s="133" t="n"/>
      <c r="HO45" s="140">
        <f>HN45*100/$E$45</f>
        <v/>
      </c>
      <c r="HP45" s="133" t="n"/>
      <c r="HQ45" s="140">
        <f>HP45*100/$E$45</f>
        <v/>
      </c>
      <c r="HR45" s="133" t="n"/>
      <c r="HS45" s="140">
        <f>HR45*100/$E$45</f>
        <v/>
      </c>
      <c r="HT45" s="133" t="n"/>
      <c r="HU45" s="140">
        <f>HT45*100/$E$45</f>
        <v/>
      </c>
      <c r="HV45" s="133" t="n"/>
      <c r="HW45" s="140">
        <f>HV45*100/$E$45</f>
        <v/>
      </c>
      <c r="HX45" s="133" t="n"/>
      <c r="HY45" s="140">
        <f>HX45*100/$E$45</f>
        <v/>
      </c>
      <c r="HZ45" s="133" t="n"/>
      <c r="IA45" s="139">
        <f>HZ45*100/$E$45</f>
        <v/>
      </c>
      <c r="IB45" s="133" t="n"/>
      <c r="IC45" s="139">
        <f>IB45*100/$E$45</f>
        <v/>
      </c>
      <c r="ID45" s="133" t="n"/>
      <c r="IE45" s="139">
        <f>ID45*100/$E$45</f>
        <v/>
      </c>
      <c r="IF45" s="133" t="n"/>
      <c r="IG45" s="139">
        <f>IF45*100/$E$45</f>
        <v/>
      </c>
      <c r="IH45" s="133" t="n"/>
      <c r="II45" s="139">
        <f>IH45*100/$E$45</f>
        <v/>
      </c>
      <c r="IJ45" s="133" t="n"/>
      <c r="IK45" s="139">
        <f>IJ45*100/$E$45</f>
        <v/>
      </c>
      <c r="IL45" s="133" t="n"/>
      <c r="IM45" s="140">
        <f>IL45*100/$E$45</f>
        <v/>
      </c>
      <c r="IN45" s="133" t="n"/>
      <c r="IO45" s="140">
        <f>IN45*100/$E$45</f>
        <v/>
      </c>
      <c r="IP45" s="133" t="n"/>
      <c r="IQ45" s="139">
        <f>IP45*100/$E$45</f>
        <v/>
      </c>
      <c r="IR45" s="133" t="n"/>
      <c r="IS45" s="139">
        <f>IR45*100/$E$45</f>
        <v/>
      </c>
      <c r="IT45" s="133" t="n"/>
      <c r="IU45" s="139">
        <f>IT45*100/$E$45</f>
        <v/>
      </c>
      <c r="IV45" s="133" t="n"/>
      <c r="IW45" s="139">
        <f>IV45*100/$E$45</f>
        <v/>
      </c>
      <c r="IX45" s="133" t="n"/>
      <c r="IY45" s="139">
        <f>IX45*100/$E$45</f>
        <v/>
      </c>
      <c r="IZ45" s="133" t="n"/>
      <c r="JA45" s="139">
        <f>IZ45*100/$E$45</f>
        <v/>
      </c>
      <c r="JB45" s="133" t="n"/>
      <c r="JC45" s="139">
        <f>JB45*100/$E$45</f>
        <v/>
      </c>
      <c r="JD45" s="133" t="n"/>
      <c r="JE45" s="139">
        <f>JD45*100/$E$45</f>
        <v/>
      </c>
      <c r="JF45" s="133" t="n"/>
      <c r="JG45" s="139">
        <f>JF45*100/$E$45</f>
        <v/>
      </c>
      <c r="JH45" s="133" t="n"/>
      <c r="JI45" s="139">
        <f>JH45*100/$E$45</f>
        <v/>
      </c>
      <c r="JJ45" s="133" t="n"/>
      <c r="JK45" s="139">
        <f>JJ45*100/$E$45</f>
        <v/>
      </c>
      <c r="JL45" s="133" t="n"/>
      <c r="JM45" s="139">
        <f>JL45*100/$E$45</f>
        <v/>
      </c>
      <c r="JN45" s="133" t="n"/>
      <c r="JO45" s="139">
        <f>JN45*100/$E$45</f>
        <v/>
      </c>
      <c r="JP45" s="133" t="n"/>
      <c r="JQ45" s="139">
        <f>JP45*100/$E$45</f>
        <v/>
      </c>
      <c r="JR45" s="133" t="n"/>
      <c r="JS45" s="139">
        <f>JR45*100/$E$45</f>
        <v/>
      </c>
      <c r="JT45" s="133" t="n"/>
      <c r="JU45" s="182">
        <f>JT45*100/$E$45</f>
        <v/>
      </c>
      <c r="JV45" s="133" t="n"/>
      <c r="JW45" s="182">
        <f>JV45*100/$E$45</f>
        <v/>
      </c>
      <c r="JX45" s="133" t="n"/>
      <c r="JY45" s="182">
        <f>JX45*100/$E$45</f>
        <v/>
      </c>
      <c r="JZ45" s="183">
        <f>JN45+JP45+JR45+JT45+JV45+JX45</f>
        <v/>
      </c>
      <c r="KA45" s="184">
        <f>JO45+JQ45+JS45+JU45+JW45+JY45</f>
        <v/>
      </c>
      <c r="KB45" s="185">
        <f>H45+J45+L45+N45+P45+R45+T45+V45+X45+Z45+AB45+AD45+AF45+AH45+AJ45+AL45+AN45+AP45+AR45+AT45+AV45+AX45+AZ45+BB45+BD45+BF45+BH45+BJ45+BL45+BN45+BP45+BR45+BT45+BV45+BX45+BZ45+CB45+CD45+CF45+CH45+CZ45+DB45+DD45+DF45+DH45+DJ45+DL45+DN45+DP45+DR45+DT45+DV45+DX45+DZ45+EB45+ED45+EF45+EH45+EJ45+EL45+EN45+EP45+ER45+ET45+EV45+FN45+FP45+FR45+FT45+FV45+FX45+FZ45+GB45+GD45+GF45+GH45+GJ45+GL45+GN45+GP45+GR45+GT45+GV45+GX45+GZ45+HB45+HD45+HF45+HH45+HJ45+HL45+HN45+HP45+HR45+HT45+HV45+HX45+HZ45+IB45+ID45+IF45+IH45+IJ45+IL45+IN45+IP45+IR45+IT45+IV45+IX45+IZ45+JB45+JD45+JF45+JH45+JJ45+JL45+JZ45+CJ45+CL45+CN45+CP45+CR45+CT45+CV45+CX45+EX45+EZ45+FB45+FD45+FF45+FH45+FJ45+FL45</f>
        <v/>
      </c>
      <c r="KC45" s="186">
        <f>I45+K45+M45+O45+Q45+S45+U45+W45+Y45+AA45+AC45+AE45+AG45+AI45+AK45+AM45+AO45+AQ45+AS45+AU45+AW45+AY45+BA45+BC45+BE45+BG45+BI45+BK45+BM45+BO45+BQ45+BS45+BU45+BW45+BY45+CA45+CC45+CE45+CG45+CI45+DA45+DC45+DE45+DG45+DI45+DK45+DM45+DO45+DQ45+DS45+DU45+DW45+DY45+EA45+EC45+EE45+EG45+EI45+EK45+EM45+EO45+EQ45+ES45+EU45+EW45+FO45+FS45+FU45+FW45+FQ45+FY45+GA45+GC45+GE45+GG45+GI45+GK45+GM45+GO45+GQ45+GS45+GU45+GW45+GY45+HA45+HC45+HE45+HG45+HI45+HK45+HM45+HO45+HQ45+HS45+HU45+HW45+HY45+IA45+IC45+IE45+IG45+II45+IK45+IM45+IO45+IQ45+IS45+IU45+IW45+IY45+JA45+JC45+JE45+JG45+JI45+JK45+JM45+KA45+CK45+CM45+CO45+CQ45+CS45+CU45+CW45+CY45+EY45+FA45+FC45+FE45+FG45+FI45+FK45+FM45</f>
        <v/>
      </c>
      <c r="KD45" s="187">
        <f>JO45+JQ45+JS45+JU45+JW45+JY45</f>
        <v/>
      </c>
      <c r="KE45" s="188">
        <f>KB45=E45</f>
        <v/>
      </c>
      <c r="KF45" s="189">
        <f>E45-KB45</f>
        <v/>
      </c>
      <c r="KG45" s="210" t="n"/>
    </row>
    <row r="46" ht="21.75" customFormat="1" customHeight="1" s="195">
      <c r="A46" s="126">
        <f>A45+1</f>
        <v/>
      </c>
      <c r="B46" s="175" t="inlineStr">
        <is>
          <t>Шишлов Д.А.</t>
        </is>
      </c>
      <c r="C46" s="176" t="inlineStr">
        <is>
          <t>токарь</t>
        </is>
      </c>
      <c r="D46" s="177">
        <f>$D$5</f>
        <v/>
      </c>
      <c r="E46" s="202" t="n">
        <v>79</v>
      </c>
      <c r="F46" s="193" t="n">
        <v>82183.91</v>
      </c>
      <c r="G46" s="179">
        <f>F46/D46</f>
        <v/>
      </c>
      <c r="H46" s="180" t="n"/>
      <c r="I46" s="140">
        <f>H46*100/$E$46</f>
        <v/>
      </c>
      <c r="J46" s="133" t="n"/>
      <c r="K46" s="140">
        <f>J46*100/$E$46</f>
        <v/>
      </c>
      <c r="L46" s="133" t="n">
        <v>8</v>
      </c>
      <c r="M46" s="140">
        <f>L46*100/$E$46</f>
        <v/>
      </c>
      <c r="N46" s="133" t="n"/>
      <c r="O46" s="140">
        <f>N46*100/$E$46</f>
        <v/>
      </c>
      <c r="P46" s="133" t="n"/>
      <c r="Q46" s="139">
        <f>P46*100/$E$46</f>
        <v/>
      </c>
      <c r="R46" s="133" t="n"/>
      <c r="S46" s="139">
        <f>R46*100/$E$46</f>
        <v/>
      </c>
      <c r="T46" s="133" t="n"/>
      <c r="U46" s="140">
        <f>T46*100/$E$46</f>
        <v/>
      </c>
      <c r="V46" s="133" t="n"/>
      <c r="W46" s="140">
        <f>V46*100/$E$46</f>
        <v/>
      </c>
      <c r="X46" s="133" t="n"/>
      <c r="Y46" s="140">
        <f>X46*100/$E$46</f>
        <v/>
      </c>
      <c r="Z46" s="133" t="n"/>
      <c r="AA46" s="140">
        <f>Z46*100/$E$46</f>
        <v/>
      </c>
      <c r="AB46" s="133" t="n">
        <v>5</v>
      </c>
      <c r="AC46" s="140">
        <f>AB46*100/$E$46</f>
        <v/>
      </c>
      <c r="AD46" s="133" t="n"/>
      <c r="AE46" s="139">
        <f>AD46*100/$E$46</f>
        <v/>
      </c>
      <c r="AF46" s="133" t="n"/>
      <c r="AG46" s="139">
        <f>AF46*100/$E$46</f>
        <v/>
      </c>
      <c r="AH46" s="133">
        <f>8+5</f>
        <v/>
      </c>
      <c r="AI46" s="140">
        <f>AH46*100/$E$46</f>
        <v/>
      </c>
      <c r="AJ46" s="133" t="n"/>
      <c r="AK46" s="140">
        <f>AJ46*100/$E$46</f>
        <v/>
      </c>
      <c r="AL46" s="133" t="n"/>
      <c r="AM46" s="140">
        <f>AL46*100/$E$46</f>
        <v/>
      </c>
      <c r="AN46" s="133">
        <f>8+4+4</f>
        <v/>
      </c>
      <c r="AO46" s="140">
        <f>AN46*100/$E$46</f>
        <v/>
      </c>
      <c r="AP46" s="133">
        <f>8+7</f>
        <v/>
      </c>
      <c r="AQ46" s="140">
        <f>AP46*100/$E$46</f>
        <v/>
      </c>
      <c r="AR46" s="133" t="n"/>
      <c r="AS46" s="140">
        <f>AR46*100/$E$46</f>
        <v/>
      </c>
      <c r="AT46" s="133" t="n">
        <v>8</v>
      </c>
      <c r="AU46" s="181">
        <f>AT46*100/$E$46</f>
        <v/>
      </c>
      <c r="AV46" s="133" t="n"/>
      <c r="AW46" s="140">
        <f>AV46*100/$E$46</f>
        <v/>
      </c>
      <c r="AX46" s="133" t="n"/>
      <c r="AY46" s="140">
        <f>AX46*100/$E$46</f>
        <v/>
      </c>
      <c r="AZ46" s="133" t="n"/>
      <c r="BA46" s="140">
        <f>AZ46*100/$E$46</f>
        <v/>
      </c>
      <c r="BB46" s="133" t="n"/>
      <c r="BC46" s="140">
        <f>BB46*100/$E$46</f>
        <v/>
      </c>
      <c r="BD46" s="133" t="n"/>
      <c r="BE46" s="140">
        <f>BD46*100/$E$46</f>
        <v/>
      </c>
      <c r="BF46" s="133" t="n"/>
      <c r="BG46" s="140">
        <f>BF46*100/$E$46</f>
        <v/>
      </c>
      <c r="BH46" s="133" t="n"/>
      <c r="BI46" s="140">
        <f>BH46*100/$E$46</f>
        <v/>
      </c>
      <c r="BJ46" s="133" t="n"/>
      <c r="BK46" s="140">
        <f>BJ46*100/$E$46</f>
        <v/>
      </c>
      <c r="BL46" s="133" t="n"/>
      <c r="BM46" s="140">
        <f>BL46*100/$E$46</f>
        <v/>
      </c>
      <c r="BN46" s="133" t="n"/>
      <c r="BO46" s="140">
        <f>BN46*100/$E$46</f>
        <v/>
      </c>
      <c r="BP46" s="133" t="n"/>
      <c r="BQ46" s="140">
        <f>BP46*100/$E$46</f>
        <v/>
      </c>
      <c r="BR46" s="133" t="n">
        <v>8</v>
      </c>
      <c r="BS46" s="140">
        <f>BR46*100/$E$46</f>
        <v/>
      </c>
      <c r="BT46" s="133" t="n"/>
      <c r="BU46" s="140">
        <f>BT46*100/$E$46</f>
        <v/>
      </c>
      <c r="BV46" s="133" t="n"/>
      <c r="BW46" s="140">
        <f>BV46*100/$E$46</f>
        <v/>
      </c>
      <c r="BX46" s="133" t="n"/>
      <c r="BY46" s="140">
        <f>BX46*100/$E$46</f>
        <v/>
      </c>
      <c r="BZ46" s="133" t="n"/>
      <c r="CA46" s="140">
        <f>BZ46*100/$E$46</f>
        <v/>
      </c>
      <c r="CB46" s="133" t="n"/>
      <c r="CC46" s="140">
        <f>CB46*100/$E$46</f>
        <v/>
      </c>
      <c r="CD46" s="133" t="n"/>
      <c r="CE46" s="140">
        <f>CD46*100/$E$46</f>
        <v/>
      </c>
      <c r="CF46" s="133" t="n"/>
      <c r="CG46" s="140">
        <f>CF46*100/$E$46</f>
        <v/>
      </c>
      <c r="CH46" s="133" t="n"/>
      <c r="CI46" s="140">
        <f>CH46*100/$E$46</f>
        <v/>
      </c>
      <c r="CJ46" s="133" t="n"/>
      <c r="CK46" s="140">
        <f>CJ46*100/$E$46</f>
        <v/>
      </c>
      <c r="CL46" s="133" t="n"/>
      <c r="CM46" s="140">
        <f>CL46*100/$E$46</f>
        <v/>
      </c>
      <c r="CN46" s="133" t="n"/>
      <c r="CO46" s="139">
        <f>CN46*100/$E$46</f>
        <v/>
      </c>
      <c r="CP46" s="133" t="n"/>
      <c r="CQ46" s="140">
        <f>CP46*100/$E$46</f>
        <v/>
      </c>
      <c r="CR46" s="133" t="n"/>
      <c r="CS46" s="139">
        <f>CR46*100/$E$46</f>
        <v/>
      </c>
      <c r="CT46" s="133" t="n"/>
      <c r="CU46" s="139">
        <f>CT46*100/$E$46</f>
        <v/>
      </c>
      <c r="CV46" s="133" t="n"/>
      <c r="CW46" s="139">
        <f>CV46*100/$E$46</f>
        <v/>
      </c>
      <c r="CX46" s="133" t="n"/>
      <c r="CY46" s="139">
        <f>CX46*100/$E$46</f>
        <v/>
      </c>
      <c r="CZ46" s="133" t="n"/>
      <c r="DA46" s="139">
        <f>CZ46*100/$E$46</f>
        <v/>
      </c>
      <c r="DB46" s="133" t="n"/>
      <c r="DC46" s="139">
        <f>DB46*100/$E$46</f>
        <v/>
      </c>
      <c r="DD46" s="133" t="n"/>
      <c r="DE46" s="139">
        <f>DD46*100/$E$46</f>
        <v/>
      </c>
      <c r="DF46" s="133" t="n"/>
      <c r="DG46" s="139">
        <f>DF46*100/$E$46</f>
        <v/>
      </c>
      <c r="DH46" s="133" t="n"/>
      <c r="DI46" s="139">
        <f>DH46*100/$E$46</f>
        <v/>
      </c>
      <c r="DJ46" s="133" t="n"/>
      <c r="DK46" s="139">
        <f>DJ46*100/$E$46</f>
        <v/>
      </c>
      <c r="DL46" s="133" t="n"/>
      <c r="DM46" s="139">
        <f>DL46*100/$E$46</f>
        <v/>
      </c>
      <c r="DN46" s="133" t="n"/>
      <c r="DO46" s="139">
        <f>DN46*100/$E$46</f>
        <v/>
      </c>
      <c r="DP46" s="133" t="n"/>
      <c r="DQ46" s="139">
        <f>DP46*100/$E$46</f>
        <v/>
      </c>
      <c r="DR46" s="133" t="n"/>
      <c r="DS46" s="139">
        <f>DR46*100/$E$46</f>
        <v/>
      </c>
      <c r="DT46" s="133" t="n"/>
      <c r="DU46" s="139">
        <f>DT46*100/$E$46</f>
        <v/>
      </c>
      <c r="DV46" s="133" t="n"/>
      <c r="DW46" s="139">
        <f>DV46*100/$E$46</f>
        <v/>
      </c>
      <c r="DX46" s="133" t="n"/>
      <c r="DY46" s="139">
        <f>DX46*100/$E$46</f>
        <v/>
      </c>
      <c r="DZ46" s="133" t="n"/>
      <c r="EA46" s="139">
        <f>DZ46*100/$E$46</f>
        <v/>
      </c>
      <c r="EB46" s="133" t="n"/>
      <c r="EC46" s="139">
        <f>EB46*100/$E$46</f>
        <v/>
      </c>
      <c r="ED46" s="133" t="n"/>
      <c r="EE46" s="139">
        <f>ED46*100/$E$46</f>
        <v/>
      </c>
      <c r="EF46" s="133" t="n"/>
      <c r="EG46" s="139">
        <f>EF46*100/$E$46</f>
        <v/>
      </c>
      <c r="EH46" s="133" t="n"/>
      <c r="EI46" s="139">
        <f>EH46*100/$E$46</f>
        <v/>
      </c>
      <c r="EJ46" s="133" t="n"/>
      <c r="EK46" s="139">
        <f>EJ46*100/$E$46</f>
        <v/>
      </c>
      <c r="EL46" s="133" t="n"/>
      <c r="EM46" s="139">
        <f>EL46*100/$E$46</f>
        <v/>
      </c>
      <c r="EN46" s="133" t="n"/>
      <c r="EO46" s="139">
        <f>EN46*100/$E$46</f>
        <v/>
      </c>
      <c r="EP46" s="133" t="n"/>
      <c r="EQ46" s="139">
        <f>EP46*100/$E$46</f>
        <v/>
      </c>
      <c r="ER46" s="133" t="n"/>
      <c r="ES46" s="139">
        <f>ER46*100/$E$46</f>
        <v/>
      </c>
      <c r="ET46" s="133" t="n"/>
      <c r="EU46" s="139">
        <f>ET46*100/$E$46</f>
        <v/>
      </c>
      <c r="EV46" s="133" t="n"/>
      <c r="EW46" s="139">
        <f>EV46*100/$E$46</f>
        <v/>
      </c>
      <c r="EX46" s="133" t="n"/>
      <c r="EY46" s="139">
        <f>EX46*100/$E$46</f>
        <v/>
      </c>
      <c r="EZ46" s="133" t="n"/>
      <c r="FA46" s="139">
        <f>EZ46*100/$E$46</f>
        <v/>
      </c>
      <c r="FB46" s="133" t="n"/>
      <c r="FC46" s="139">
        <f>FB46*100/$E$46</f>
        <v/>
      </c>
      <c r="FD46" s="133" t="n"/>
      <c r="FE46" s="139">
        <f>FD46*100/$E$46</f>
        <v/>
      </c>
      <c r="FF46" s="133" t="n"/>
      <c r="FG46" s="139">
        <f>FF46*100/$E$46</f>
        <v/>
      </c>
      <c r="FH46" s="133" t="n"/>
      <c r="FI46" s="139">
        <f>FH46*100/$E$46</f>
        <v/>
      </c>
      <c r="FJ46" s="133" t="n"/>
      <c r="FK46" s="139">
        <f>FJ46*100/$E$46</f>
        <v/>
      </c>
      <c r="FL46" s="133" t="n"/>
      <c r="FM46" s="139">
        <f>FL46*100/$E$46</f>
        <v/>
      </c>
      <c r="FN46" s="133" t="n"/>
      <c r="FO46" s="139">
        <f>FN46*100/$E$46</f>
        <v/>
      </c>
      <c r="FP46" s="133" t="n"/>
      <c r="FQ46" s="139">
        <f>FP46*100/$E$46</f>
        <v/>
      </c>
      <c r="FR46" s="133" t="n"/>
      <c r="FS46" s="139">
        <f>FR46*100/$E$46</f>
        <v/>
      </c>
      <c r="FT46" s="133" t="n"/>
      <c r="FU46" s="139">
        <f>FT46*100/$E$46</f>
        <v/>
      </c>
      <c r="FV46" s="133" t="n"/>
      <c r="FW46" s="139">
        <f>FV46*100/$E$46</f>
        <v/>
      </c>
      <c r="FX46" s="133" t="n"/>
      <c r="FY46" s="140">
        <f>FX46*100/$E$46</f>
        <v/>
      </c>
      <c r="FZ46" s="133" t="n"/>
      <c r="GA46" s="140">
        <f>FZ46*100/$E$46</f>
        <v/>
      </c>
      <c r="GB46" s="133" t="n"/>
      <c r="GC46" s="140">
        <f>GB46*100/$E$46</f>
        <v/>
      </c>
      <c r="GD46" s="133" t="n"/>
      <c r="GE46" s="140">
        <f>GD46*100/$E$46</f>
        <v/>
      </c>
      <c r="GF46" s="133" t="n"/>
      <c r="GG46" s="140">
        <f>GF46*100/$E$46</f>
        <v/>
      </c>
      <c r="GH46" s="133" t="n"/>
      <c r="GI46" s="140">
        <f>GH46*100/$E$46</f>
        <v/>
      </c>
      <c r="GJ46" s="133" t="n"/>
      <c r="GK46" s="139">
        <f>GJ46*100/$E$46</f>
        <v/>
      </c>
      <c r="GL46" s="133" t="n"/>
      <c r="GM46" s="140">
        <f>GL46*100/$E$46</f>
        <v/>
      </c>
      <c r="GN46" s="133" t="n"/>
      <c r="GO46" s="139">
        <f>GN46*100/$E$46</f>
        <v/>
      </c>
      <c r="GP46" s="133" t="n"/>
      <c r="GQ46" s="140">
        <f>GP46*100/$E$46</f>
        <v/>
      </c>
      <c r="GR46" s="133" t="n"/>
      <c r="GS46" s="139">
        <f>GR46*100/$E$46</f>
        <v/>
      </c>
      <c r="GT46" s="133" t="n"/>
      <c r="GU46" s="139">
        <f>GT46*100/$E$46</f>
        <v/>
      </c>
      <c r="GV46" s="133" t="n"/>
      <c r="GW46" s="139">
        <f>GV46*100/$E$46</f>
        <v/>
      </c>
      <c r="GX46" s="133" t="n"/>
      <c r="GY46" s="140">
        <f>GX46*100/$E$46</f>
        <v/>
      </c>
      <c r="GZ46" s="133" t="n"/>
      <c r="HA46" s="140">
        <f>GZ46*100/$E$46</f>
        <v/>
      </c>
      <c r="HB46" s="133" t="n"/>
      <c r="HC46" s="140">
        <f>HB46*100/$E$46</f>
        <v/>
      </c>
      <c r="HD46" s="133" t="n"/>
      <c r="HE46" s="140">
        <f>HD46*100/$E$46</f>
        <v/>
      </c>
      <c r="HF46" s="133" t="n"/>
      <c r="HG46" s="140">
        <f>HF46*100/$E$46</f>
        <v/>
      </c>
      <c r="HH46" s="133" t="n"/>
      <c r="HI46" s="140">
        <f>HH46*100/$E$46</f>
        <v/>
      </c>
      <c r="HJ46" s="133" t="n"/>
      <c r="HK46" s="140">
        <f>HJ46*100/$E$46</f>
        <v/>
      </c>
      <c r="HL46" s="133" t="n"/>
      <c r="HM46" s="140">
        <f>HL46*100/$E$46</f>
        <v/>
      </c>
      <c r="HN46" s="133" t="n"/>
      <c r="HO46" s="140">
        <f>HN46*100/$E$46</f>
        <v/>
      </c>
      <c r="HP46" s="133" t="n"/>
      <c r="HQ46" s="140">
        <f>HP46*100/$E$46</f>
        <v/>
      </c>
      <c r="HR46" s="133" t="n"/>
      <c r="HS46" s="140">
        <f>HR46*100/$E$46</f>
        <v/>
      </c>
      <c r="HT46" s="133" t="n"/>
      <c r="HU46" s="140">
        <f>HT46*100/$E$46</f>
        <v/>
      </c>
      <c r="HV46" s="133" t="n"/>
      <c r="HW46" s="140">
        <f>HV46*100/$E$46</f>
        <v/>
      </c>
      <c r="HX46" s="133" t="n"/>
      <c r="HY46" s="140">
        <f>HX46*100/$E$46</f>
        <v/>
      </c>
      <c r="HZ46" s="133" t="n"/>
      <c r="IA46" s="139">
        <f>HZ46*100/$E$46</f>
        <v/>
      </c>
      <c r="IB46" s="133" t="n"/>
      <c r="IC46" s="139">
        <f>IB46*100/$E$46</f>
        <v/>
      </c>
      <c r="ID46" s="133" t="n"/>
      <c r="IE46" s="139">
        <f>ID46*100/$E$46</f>
        <v/>
      </c>
      <c r="IF46" s="133" t="n"/>
      <c r="IG46" s="139">
        <f>IF46*100/$E$46</f>
        <v/>
      </c>
      <c r="IH46" s="133" t="n"/>
      <c r="II46" s="139">
        <f>IH46*100/$E$46</f>
        <v/>
      </c>
      <c r="IJ46" s="133" t="n"/>
      <c r="IK46" s="139">
        <f>IJ46*100/$E$46</f>
        <v/>
      </c>
      <c r="IL46" s="133" t="n"/>
      <c r="IM46" s="140">
        <f>IL46*100/$E$46</f>
        <v/>
      </c>
      <c r="IN46" s="133" t="n"/>
      <c r="IO46" s="140">
        <f>IN46*100/$E$46</f>
        <v/>
      </c>
      <c r="IP46" s="133" t="n"/>
      <c r="IQ46" s="139">
        <f>IP46*100/$E$46</f>
        <v/>
      </c>
      <c r="IR46" s="133" t="n"/>
      <c r="IS46" s="139">
        <f>IR46*100/$E$46</f>
        <v/>
      </c>
      <c r="IT46" s="133" t="n"/>
      <c r="IU46" s="139">
        <f>IT46*100/$E$46</f>
        <v/>
      </c>
      <c r="IV46" s="133" t="n"/>
      <c r="IW46" s="139">
        <f>IV46*100/$E$46</f>
        <v/>
      </c>
      <c r="IX46" s="133" t="n"/>
      <c r="IY46" s="139">
        <f>IX46*100/$E$46</f>
        <v/>
      </c>
      <c r="IZ46" s="133" t="n"/>
      <c r="JA46" s="139">
        <f>IZ46*100/$E$46</f>
        <v/>
      </c>
      <c r="JB46" s="133" t="n"/>
      <c r="JC46" s="139">
        <f>JB46*100/$E$46</f>
        <v/>
      </c>
      <c r="JD46" s="133" t="n"/>
      <c r="JE46" s="139">
        <f>JD46*100/$E$46</f>
        <v/>
      </c>
      <c r="JF46" s="133" t="n"/>
      <c r="JG46" s="139">
        <f>JF46*100/$E$46</f>
        <v/>
      </c>
      <c r="JH46" s="133" t="n"/>
      <c r="JI46" s="139">
        <f>JH46*100/$E$46</f>
        <v/>
      </c>
      <c r="JJ46" s="133" t="n"/>
      <c r="JK46" s="139">
        <f>JJ46*100/$E$46</f>
        <v/>
      </c>
      <c r="JL46" s="133">
        <f>3+1+2</f>
        <v/>
      </c>
      <c r="JM46" s="139">
        <f>JL46*100/$E$46</f>
        <v/>
      </c>
      <c r="JN46" s="133" t="n"/>
      <c r="JO46" s="139">
        <f>JN46*100/$E$46</f>
        <v/>
      </c>
      <c r="JP46" s="133" t="n"/>
      <c r="JQ46" s="139">
        <f>JP46*100/$E$46</f>
        <v/>
      </c>
      <c r="JR46" s="133" t="n"/>
      <c r="JS46" s="139">
        <f>JR46*100/$E$46</f>
        <v/>
      </c>
      <c r="JT46" s="133" t="n"/>
      <c r="JU46" s="182">
        <f>JT46*100/$E$46</f>
        <v/>
      </c>
      <c r="JV46" s="133" t="n"/>
      <c r="JW46" s="182">
        <f>JV46*100/$E$46</f>
        <v/>
      </c>
      <c r="JX46" s="133" t="n"/>
      <c r="JY46" s="182">
        <f>JX46*100/$E$46</f>
        <v/>
      </c>
      <c r="JZ46" s="183">
        <f>JN46+JP46+JR46+JT46+JV46+JX46</f>
        <v/>
      </c>
      <c r="KA46" s="184">
        <f>JO46+JQ46+JS46+JU46+JW46+JY46</f>
        <v/>
      </c>
      <c r="KB46" s="185">
        <f>H46+J46+L46+N46+P46+R46+T46+V46+X46+Z46+AB46+AD46+AF46+AH46+AJ46+AL46+AN46+AP46+AR46+AT46+AV46+AX46+AZ46+BB46+BD46+BF46+BH46+BJ46+BL46+BN46+BP46+BR46+BT46+BV46+BX46+BZ46+CB46+CD46+CF46+CH46+CZ46+DB46+DD46+DF46+DH46+DJ46+DL46+DN46+DP46+DR46+DT46+DV46+DX46+DZ46+EB46+ED46+EF46+EH46+EJ46+EL46+EN46+EP46+ER46+ET46+EV46+FN46+FP46+FR46+FT46+FV46+FX46+FZ46+GB46+GD46+GF46+GH46+GJ46+GL46+GN46+GP46+GR46+GT46+GV46+GX46+GZ46+HB46+HD46+HF46+HH46+HJ46+HL46+HN46+HP46+HR46+HT46+HV46+HX46+HZ46+IB46+ID46+IF46+IH46+IJ46+IL46+IN46+IP46+IR46+IT46+IV46+IX46+IZ46+JB46+JD46+JF46+JH46+JJ46+JL46+JZ46+CJ46+CL46+CN46+CP46+CR46+CT46+CV46+CX46+EX46+EZ46+FB46+FD46+FF46+FH46+FJ46+FL46</f>
        <v/>
      </c>
      <c r="KC46" s="186">
        <f>I46+K46+M46+O46+Q46+S46+U46+W46+Y46+AA46+AC46+AE46+AG46+AI46+AK46+AM46+AO46+AQ46+AS46+AU46+AW46+AY46+BA46+BC46+BE46+BG46+BI46+BK46+BM46+BO46+BQ46+BS46+BU46+BW46+BY46+CA46+CC46+CE46+CG46+CI46+DA46+DC46+DE46+DG46+DI46+DK46+DM46+DO46+DQ46+DS46+DU46+DW46+DY46+EA46+EC46+EE46+EG46+EI46+EK46+EM46+EO46+EQ46+ES46+EU46+EW46+FO46+FS46+FU46+FW46+FQ46+FY46+GA46+GC46+GE46+GG46+GI46+GK46+GM46+GO46+GQ46+GS46+GU46+GW46+GY46+HA46+HC46+HE46+HG46+HI46+HK46+HM46+HO46+HQ46+HS46+HU46+HW46+HY46+IA46+IC46+IE46+IG46+II46+IK46+IM46+IO46+IQ46+IS46+IU46+IW46+IY46+JA46+JC46+JE46+JG46+JI46+JK46+JM46+KA46+CK46+CM46+CO46+CQ46+CS46+CU46+CW46+CY46+EY46+FA46+FC46+FE46+FG46+FI46+FK46+FM46</f>
        <v/>
      </c>
      <c r="KD46" s="187">
        <f>JO46+JQ46+JS46+JU46+JW46+JY46</f>
        <v/>
      </c>
      <c r="KE46" s="188">
        <f>KB46=E46</f>
        <v/>
      </c>
      <c r="KF46" s="189">
        <f>E46-KB46</f>
        <v/>
      </c>
      <c r="KG46" s="196" t="n"/>
    </row>
    <row r="47" ht="21.75" customFormat="1" customHeight="1" s="212">
      <c r="A47" s="126">
        <f>A46+1</f>
        <v/>
      </c>
      <c r="B47" s="175" t="inlineStr">
        <is>
          <t>Чередников В.С.</t>
        </is>
      </c>
      <c r="C47" s="176" t="inlineStr">
        <is>
          <t>токарь</t>
        </is>
      </c>
      <c r="D47" s="177">
        <f>$D$5</f>
        <v/>
      </c>
      <c r="E47" s="202" t="n">
        <v>87</v>
      </c>
      <c r="F47" s="193" t="n">
        <v>82183.91</v>
      </c>
      <c r="G47" s="179">
        <f>F47/D47</f>
        <v/>
      </c>
      <c r="H47" s="180" t="n"/>
      <c r="I47" s="140">
        <f>H47*100/$E$47</f>
        <v/>
      </c>
      <c r="J47" s="133" t="n"/>
      <c r="K47" s="140">
        <f>J47*100/$E$47</f>
        <v/>
      </c>
      <c r="L47" s="133" t="n"/>
      <c r="M47" s="140">
        <f>L47*100/$E$47</f>
        <v/>
      </c>
      <c r="N47" s="133" t="n"/>
      <c r="O47" s="140">
        <f>N47*100/$E$47</f>
        <v/>
      </c>
      <c r="P47" s="133" t="n"/>
      <c r="Q47" s="139">
        <f>P47*100/$E$47</f>
        <v/>
      </c>
      <c r="R47" s="180" t="n"/>
      <c r="S47" s="139">
        <f>R47*100/$E$47</f>
        <v/>
      </c>
      <c r="T47" s="133" t="n"/>
      <c r="U47" s="140">
        <f>T47*100/$E$47</f>
        <v/>
      </c>
      <c r="V47" s="133" t="n"/>
      <c r="W47" s="140">
        <f>V47*100/$E$47</f>
        <v/>
      </c>
      <c r="X47" s="133" t="n"/>
      <c r="Y47" s="140">
        <f>X47*100/$E$47</f>
        <v/>
      </c>
      <c r="Z47" s="133" t="n"/>
      <c r="AA47" s="140">
        <f>Z47*100/$E$47</f>
        <v/>
      </c>
      <c r="AB47" s="133" t="n"/>
      <c r="AC47" s="140">
        <f>AB47*100/$E$47</f>
        <v/>
      </c>
      <c r="AD47" s="133" t="n">
        <v>7</v>
      </c>
      <c r="AE47" s="139">
        <f>AD47*100/$E$47</f>
        <v/>
      </c>
      <c r="AF47" s="133" t="n"/>
      <c r="AG47" s="139">
        <f>AF47*100/$E$47</f>
        <v/>
      </c>
      <c r="AH47" s="133" t="n"/>
      <c r="AI47" s="140">
        <f>AH47*100/$E$47</f>
        <v/>
      </c>
      <c r="AJ47" s="133" t="n"/>
      <c r="AK47" s="140">
        <f>AJ47*100/$E$47</f>
        <v/>
      </c>
      <c r="AL47" s="133" t="n"/>
      <c r="AM47" s="140">
        <f>AL47*100/$E$47</f>
        <v/>
      </c>
      <c r="AN47" s="133" t="n"/>
      <c r="AO47" s="140">
        <f>AN47*100/$E$47</f>
        <v/>
      </c>
      <c r="AP47" s="133" t="n"/>
      <c r="AQ47" s="140">
        <f>AP47*100/$E$47</f>
        <v/>
      </c>
      <c r="AR47" s="133" t="n"/>
      <c r="AS47" s="140">
        <f>AR47*100/$E$47</f>
        <v/>
      </c>
      <c r="AT47" s="133" t="n"/>
      <c r="AU47" s="181">
        <f>AT47*100/$E$47</f>
        <v/>
      </c>
      <c r="AV47" s="133" t="n"/>
      <c r="AW47" s="140">
        <f>AV47*100/$E$47</f>
        <v/>
      </c>
      <c r="AX47" s="133" t="n">
        <v>1</v>
      </c>
      <c r="AY47" s="140">
        <f>AX47*100/$E$47</f>
        <v/>
      </c>
      <c r="AZ47" s="133">
        <f>8+4</f>
        <v/>
      </c>
      <c r="BA47" s="140">
        <f>AZ47*100/$E$47</f>
        <v/>
      </c>
      <c r="BB47" s="133" t="n"/>
      <c r="BC47" s="140">
        <f>BB47*100/$E$47</f>
        <v/>
      </c>
      <c r="BD47" s="133" t="n"/>
      <c r="BE47" s="140">
        <f>BD47*100/$E$47</f>
        <v/>
      </c>
      <c r="BF47" s="133" t="n"/>
      <c r="BG47" s="140">
        <f>BF47*100/$E$47</f>
        <v/>
      </c>
      <c r="BH47" s="133" t="n"/>
      <c r="BI47" s="140">
        <f>BH47*100/$E$47</f>
        <v/>
      </c>
      <c r="BJ47" s="133" t="n"/>
      <c r="BK47" s="140">
        <f>BJ47*100/$E$47</f>
        <v/>
      </c>
      <c r="BL47" s="133" t="n"/>
      <c r="BM47" s="140">
        <f>BL47*100/$E$47</f>
        <v/>
      </c>
      <c r="BN47" s="133" t="n"/>
      <c r="BO47" s="140">
        <f>BN47*100/$E$47</f>
        <v/>
      </c>
      <c r="BP47" s="133" t="n"/>
      <c r="BQ47" s="140">
        <f>BP47*100/$E$47</f>
        <v/>
      </c>
      <c r="BR47" s="133" t="n"/>
      <c r="BS47" s="140">
        <f>BR47*100/$E$47</f>
        <v/>
      </c>
      <c r="BT47" s="133" t="n">
        <v>8</v>
      </c>
      <c r="BU47" s="140">
        <f>BT47*100/$E$47</f>
        <v/>
      </c>
      <c r="BV47" s="133" t="n"/>
      <c r="BW47" s="140">
        <f>BV47*100/$E$47</f>
        <v/>
      </c>
      <c r="BX47" s="133">
        <f>4+8</f>
        <v/>
      </c>
      <c r="BY47" s="140">
        <f>BX47*100/$E$47</f>
        <v/>
      </c>
      <c r="BZ47" s="133" t="n"/>
      <c r="CA47" s="140">
        <f>BZ47*100/$E$47</f>
        <v/>
      </c>
      <c r="CB47" s="133">
        <f>8+8</f>
        <v/>
      </c>
      <c r="CC47" s="140">
        <f>CB47*100/$E$47</f>
        <v/>
      </c>
      <c r="CD47" s="133" t="n"/>
      <c r="CE47" s="140">
        <f>CD47*100/$E$47</f>
        <v/>
      </c>
      <c r="CF47" s="133" t="n"/>
      <c r="CG47" s="140">
        <f>CF47*100/$E$47</f>
        <v/>
      </c>
      <c r="CH47" s="133" t="n"/>
      <c r="CI47" s="140">
        <f>CH47*100/$E$47</f>
        <v/>
      </c>
      <c r="CJ47" s="133" t="n"/>
      <c r="CK47" s="140">
        <f>CJ47*100/$E$47</f>
        <v/>
      </c>
      <c r="CL47" s="133" t="n"/>
      <c r="CM47" s="140">
        <f>CL47*100/$E$47</f>
        <v/>
      </c>
      <c r="CN47" s="133" t="n"/>
      <c r="CO47" s="139">
        <f>CN47*100/$E$47</f>
        <v/>
      </c>
      <c r="CP47" s="133" t="n"/>
      <c r="CQ47" s="140">
        <f>CP47*100/$E$47</f>
        <v/>
      </c>
      <c r="CR47" s="133" t="n"/>
      <c r="CS47" s="139">
        <f>CR47*100/$E$47</f>
        <v/>
      </c>
      <c r="CT47" s="133" t="n"/>
      <c r="CU47" s="139">
        <f>CT47*100/$E$47</f>
        <v/>
      </c>
      <c r="CV47" s="133" t="n"/>
      <c r="CW47" s="139">
        <f>CV47*100/$E$47</f>
        <v/>
      </c>
      <c r="CX47" s="133" t="n"/>
      <c r="CY47" s="139">
        <f>CX47*100/$E$47</f>
        <v/>
      </c>
      <c r="CZ47" s="133" t="n"/>
      <c r="DA47" s="139">
        <f>CZ47*100/$E$47</f>
        <v/>
      </c>
      <c r="DB47" s="133" t="n"/>
      <c r="DC47" s="139">
        <f>DB47*100/$E$47</f>
        <v/>
      </c>
      <c r="DD47" s="133" t="n"/>
      <c r="DE47" s="139">
        <f>DD47*100/$E$47</f>
        <v/>
      </c>
      <c r="DF47" s="133" t="n"/>
      <c r="DG47" s="139">
        <f>DF47*100/$E$47</f>
        <v/>
      </c>
      <c r="DH47" s="133" t="n"/>
      <c r="DI47" s="139">
        <f>DH47*100/$E$47</f>
        <v/>
      </c>
      <c r="DJ47" s="133" t="n"/>
      <c r="DK47" s="139">
        <f>DJ47*100/$E$47</f>
        <v/>
      </c>
      <c r="DL47" s="133" t="n"/>
      <c r="DM47" s="139">
        <f>DL47*100/$E$47</f>
        <v/>
      </c>
      <c r="DN47" s="133" t="n"/>
      <c r="DO47" s="139">
        <f>DN47*100/$E$47</f>
        <v/>
      </c>
      <c r="DP47" s="133" t="n"/>
      <c r="DQ47" s="139">
        <f>DP47*100/$E$47</f>
        <v/>
      </c>
      <c r="DR47" s="133" t="n"/>
      <c r="DS47" s="139">
        <f>DR47*100/$E$47</f>
        <v/>
      </c>
      <c r="DT47" s="133" t="n"/>
      <c r="DU47" s="139">
        <f>DT47*100/$E$47</f>
        <v/>
      </c>
      <c r="DV47" s="133" t="n"/>
      <c r="DW47" s="139">
        <f>DV47*100/$E$47</f>
        <v/>
      </c>
      <c r="DX47" s="133" t="n"/>
      <c r="DY47" s="139">
        <f>DX47*100/$E$47</f>
        <v/>
      </c>
      <c r="DZ47" s="133" t="n"/>
      <c r="EA47" s="139">
        <f>DZ47*100/$E$47</f>
        <v/>
      </c>
      <c r="EB47" s="133" t="n"/>
      <c r="EC47" s="139">
        <f>EB47*100/$E$47</f>
        <v/>
      </c>
      <c r="ED47" s="133" t="n"/>
      <c r="EE47" s="139">
        <f>ED47*100/$E$47</f>
        <v/>
      </c>
      <c r="EF47" s="133" t="n">
        <v>8</v>
      </c>
      <c r="EG47" s="139">
        <f>EF47*100/$E$47</f>
        <v/>
      </c>
      <c r="EH47" s="133">
        <f>7+8</f>
        <v/>
      </c>
      <c r="EI47" s="139">
        <f>EH47*100/$E$47</f>
        <v/>
      </c>
      <c r="EJ47" s="133" t="n"/>
      <c r="EK47" s="139">
        <f>EJ47*100/$E$47</f>
        <v/>
      </c>
      <c r="EL47" s="133" t="n">
        <v>8</v>
      </c>
      <c r="EM47" s="139">
        <f>EL47*100/$E$47</f>
        <v/>
      </c>
      <c r="EN47" s="133" t="n"/>
      <c r="EO47" s="139">
        <f>EN47*100/$E$47</f>
        <v/>
      </c>
      <c r="EP47" s="133" t="n"/>
      <c r="EQ47" s="139">
        <f>EP47*100/$E$47</f>
        <v/>
      </c>
      <c r="ER47" s="133" t="n"/>
      <c r="ES47" s="139">
        <f>ER47*100/$E$47</f>
        <v/>
      </c>
      <c r="ET47" s="133" t="n"/>
      <c r="EU47" s="139">
        <f>ET47*100/$E$47</f>
        <v/>
      </c>
      <c r="EV47" s="133" t="n"/>
      <c r="EW47" s="139">
        <f>EV47*100/$E$47</f>
        <v/>
      </c>
      <c r="EX47" s="133" t="n"/>
      <c r="EY47" s="139">
        <f>EX47*100/$E$47</f>
        <v/>
      </c>
      <c r="EZ47" s="133" t="n"/>
      <c r="FA47" s="139">
        <f>EZ47*100/$E$47</f>
        <v/>
      </c>
      <c r="FB47" s="133" t="n"/>
      <c r="FC47" s="139">
        <f>FB47*100/$E$47</f>
        <v/>
      </c>
      <c r="FD47" s="133" t="n"/>
      <c r="FE47" s="139">
        <f>FD47*100/$E$47</f>
        <v/>
      </c>
      <c r="FF47" s="133" t="n"/>
      <c r="FG47" s="139">
        <f>FF47*100/$E$47</f>
        <v/>
      </c>
      <c r="FH47" s="133" t="n"/>
      <c r="FI47" s="139">
        <f>FH47*100/$E$47</f>
        <v/>
      </c>
      <c r="FJ47" s="133" t="n"/>
      <c r="FK47" s="139">
        <f>FJ47*100/$E$47</f>
        <v/>
      </c>
      <c r="FL47" s="133" t="n"/>
      <c r="FM47" s="139">
        <f>FL47*100/$E$47</f>
        <v/>
      </c>
      <c r="FN47" s="133" t="n"/>
      <c r="FO47" s="139">
        <f>FN47*100/$E$47</f>
        <v/>
      </c>
      <c r="FP47" s="133" t="n"/>
      <c r="FQ47" s="139">
        <f>FP47*100/$E$47</f>
        <v/>
      </c>
      <c r="FR47" s="133" t="n"/>
      <c r="FS47" s="139">
        <f>FR47*100/$E$47</f>
        <v/>
      </c>
      <c r="FT47" s="133" t="n"/>
      <c r="FU47" s="139">
        <f>FT47*100/$E$47</f>
        <v/>
      </c>
      <c r="FV47" s="133" t="n"/>
      <c r="FW47" s="139">
        <f>FV47*100/$E$47</f>
        <v/>
      </c>
      <c r="FX47" s="133" t="n"/>
      <c r="FY47" s="140">
        <f>FX47*100/$E$47</f>
        <v/>
      </c>
      <c r="FZ47" s="133" t="n"/>
      <c r="GA47" s="140">
        <f>FZ47*100/$E$47</f>
        <v/>
      </c>
      <c r="GB47" s="133" t="n"/>
      <c r="GC47" s="140">
        <f>GB47*100/$E$47</f>
        <v/>
      </c>
      <c r="GD47" s="133" t="n"/>
      <c r="GE47" s="140">
        <f>GD47*100/$E$47</f>
        <v/>
      </c>
      <c r="GF47" s="133" t="n"/>
      <c r="GG47" s="140">
        <f>GF47*100/$E$47</f>
        <v/>
      </c>
      <c r="GH47" s="133" t="n"/>
      <c r="GI47" s="140">
        <f>GH47*100/$E$47</f>
        <v/>
      </c>
      <c r="GJ47" s="133" t="n"/>
      <c r="GK47" s="139">
        <f>GJ47*100/$E$47</f>
        <v/>
      </c>
      <c r="GL47" s="133" t="n"/>
      <c r="GM47" s="140">
        <f>GL47*100/$E$47</f>
        <v/>
      </c>
      <c r="GN47" s="133" t="n"/>
      <c r="GO47" s="139">
        <f>GN47*100/$E$47</f>
        <v/>
      </c>
      <c r="GP47" s="133" t="n"/>
      <c r="GQ47" s="140">
        <f>GP47*100/$E$47</f>
        <v/>
      </c>
      <c r="GR47" s="133" t="n"/>
      <c r="GS47" s="139">
        <f>GR47*100/$E$47</f>
        <v/>
      </c>
      <c r="GT47" s="133" t="n"/>
      <c r="GU47" s="139">
        <f>GT47*100/$E$47</f>
        <v/>
      </c>
      <c r="GV47" s="133" t="n"/>
      <c r="GW47" s="139">
        <f>GV47*100/$E$47</f>
        <v/>
      </c>
      <c r="GX47" s="133" t="n"/>
      <c r="GY47" s="140">
        <f>GX47*100/$E$47</f>
        <v/>
      </c>
      <c r="GZ47" s="133" t="n"/>
      <c r="HA47" s="140">
        <f>GZ47*100/$E$47</f>
        <v/>
      </c>
      <c r="HB47" s="133" t="n"/>
      <c r="HC47" s="140">
        <f>HB47*100/$E$47</f>
        <v/>
      </c>
      <c r="HD47" s="133" t="n"/>
      <c r="HE47" s="140">
        <f>HD47*100/$E$47</f>
        <v/>
      </c>
      <c r="HF47" s="133" t="n"/>
      <c r="HG47" s="140">
        <f>HF47*100/$E$47</f>
        <v/>
      </c>
      <c r="HH47" s="133" t="n"/>
      <c r="HI47" s="140">
        <f>HH47*100/$E$47</f>
        <v/>
      </c>
      <c r="HJ47" s="133" t="n"/>
      <c r="HK47" s="140">
        <f>HJ47*100/$E$47</f>
        <v/>
      </c>
      <c r="HL47" s="133" t="n"/>
      <c r="HM47" s="140">
        <f>HL47*100/$E$47</f>
        <v/>
      </c>
      <c r="HN47" s="133" t="n"/>
      <c r="HO47" s="140">
        <f>HN47*100/$E$47</f>
        <v/>
      </c>
      <c r="HP47" s="133" t="n"/>
      <c r="HQ47" s="140">
        <f>HP47*100/$E$47</f>
        <v/>
      </c>
      <c r="HR47" s="133" t="n"/>
      <c r="HS47" s="140">
        <f>HR47*100/$E$47</f>
        <v/>
      </c>
      <c r="HT47" s="133" t="n"/>
      <c r="HU47" s="140">
        <f>HT47*100/$E$47</f>
        <v/>
      </c>
      <c r="HV47" s="133" t="n"/>
      <c r="HW47" s="140">
        <f>HV47*100/$E$47</f>
        <v/>
      </c>
      <c r="HX47" s="133" t="n"/>
      <c r="HY47" s="140">
        <f>HX47*100/$E$47</f>
        <v/>
      </c>
      <c r="HZ47" s="133" t="n"/>
      <c r="IA47" s="139">
        <f>HZ47*100/$E$47</f>
        <v/>
      </c>
      <c r="IB47" s="133" t="n"/>
      <c r="IC47" s="139">
        <f>IB47*100/$E$47</f>
        <v/>
      </c>
      <c r="ID47" s="133" t="n"/>
      <c r="IE47" s="139">
        <f>ID47*100/$E$47</f>
        <v/>
      </c>
      <c r="IF47" s="133" t="n"/>
      <c r="IG47" s="139">
        <f>IF47*100/$E$47</f>
        <v/>
      </c>
      <c r="IH47" s="133" t="n"/>
      <c r="II47" s="139">
        <f>IH47*100/$E$47</f>
        <v/>
      </c>
      <c r="IJ47" s="133" t="n"/>
      <c r="IK47" s="139">
        <f>IJ47*100/$E$47</f>
        <v/>
      </c>
      <c r="IL47" s="133" t="n"/>
      <c r="IM47" s="140">
        <f>IL47*100/$E$47</f>
        <v/>
      </c>
      <c r="IN47" s="133" t="n"/>
      <c r="IO47" s="140">
        <f>IN47*100/$E$47</f>
        <v/>
      </c>
      <c r="IP47" s="133" t="n"/>
      <c r="IQ47" s="139">
        <f>IP47*100/$E$47</f>
        <v/>
      </c>
      <c r="IR47" s="133" t="n"/>
      <c r="IS47" s="139">
        <f>IR47*100/$E$47</f>
        <v/>
      </c>
      <c r="IT47" s="133" t="n"/>
      <c r="IU47" s="139">
        <f>IT47*100/$E$47</f>
        <v/>
      </c>
      <c r="IV47" s="133" t="n"/>
      <c r="IW47" s="139">
        <f>IV47*100/$E$47</f>
        <v/>
      </c>
      <c r="IX47" s="133" t="n"/>
      <c r="IY47" s="139">
        <f>IX47*100/$E$47</f>
        <v/>
      </c>
      <c r="IZ47" s="133" t="n"/>
      <c r="JA47" s="139">
        <f>IZ47*100/$E$47</f>
        <v/>
      </c>
      <c r="JB47" s="133" t="n"/>
      <c r="JC47" s="139">
        <f>JB47*100/$E$47</f>
        <v/>
      </c>
      <c r="JD47" s="133" t="n"/>
      <c r="JE47" s="139">
        <f>JD47*100/$E$47</f>
        <v/>
      </c>
      <c r="JF47" s="133" t="n"/>
      <c r="JG47" s="139">
        <f>JF47*100/$E$47</f>
        <v/>
      </c>
      <c r="JH47" s="133" t="n"/>
      <c r="JI47" s="139">
        <f>JH47*100/$E$47</f>
        <v/>
      </c>
      <c r="JJ47" s="133" t="n"/>
      <c r="JK47" s="139">
        <f>JJ47*100/$E$47</f>
        <v/>
      </c>
      <c r="JL47" s="133" t="n"/>
      <c r="JM47" s="139">
        <f>JL47*100/$E$47</f>
        <v/>
      </c>
      <c r="JN47" s="133" t="n"/>
      <c r="JO47" s="139">
        <f>JN47*100/$E$47</f>
        <v/>
      </c>
      <c r="JP47" s="133" t="n"/>
      <c r="JQ47" s="139">
        <f>JP47*100/$E$47</f>
        <v/>
      </c>
      <c r="JR47" s="133" t="n"/>
      <c r="JS47" s="139">
        <f>JR47*100/$E$47</f>
        <v/>
      </c>
      <c r="JT47" s="133" t="n"/>
      <c r="JU47" s="182">
        <f>JT47*100/$E$47</f>
        <v/>
      </c>
      <c r="JV47" s="133" t="n"/>
      <c r="JW47" s="182">
        <f>JV47*100/$E$47</f>
        <v/>
      </c>
      <c r="JX47" s="133" t="n"/>
      <c r="JY47" s="182">
        <f>JX47*100/$E$47</f>
        <v/>
      </c>
      <c r="JZ47" s="183">
        <f>JN47+JP47+JR47+JT47+JV47+JX47</f>
        <v/>
      </c>
      <c r="KA47" s="184">
        <f>JO47+JQ47+JS47+JU47+JW47+JY47</f>
        <v/>
      </c>
      <c r="KB47" s="185">
        <f>H47+J47+L47+N47+P47+R47+T47+V47+X47+Z47+AB47+AD47+AF47+AH47+AJ47+AL47+AN47+AP47+AR47+AT47+AV47+AX47+AZ47+BB47+BD47+BF47+BH47+BJ47+BL47+BN47+BP47+BR47+BT47+BV47+BX47+BZ47+CB47+CD47+CF47+CH47+CZ47+DB47+DD47+DF47+DH47+DJ47+DL47+DN47+DP47+DR47+DT47+DV47+DX47+DZ47+EB47+ED47+EF47+EH47+EJ47+EL47+EN47+EP47+ER47+ET47+EV47+FN47+FP47+FR47+FT47+FV47+FX47+FZ47+GB47+GD47+GF47+GH47+GJ47+GL47+GN47+GP47+GR47+GT47+GV47+GX47+GZ47+HB47+HD47+HF47+HH47+HJ47+HL47+HN47+HP47+HR47+HT47+HV47+HX47+HZ47+IB47+ID47+IF47+IH47+IJ47+IL47+IN47+IP47+IR47+IT47+IV47+IX47+IZ47+JB47+JD47+JF47+JH47+JJ47+JL47+JZ47+CJ47+CL47+CN47+CP47+CR47+CT47+CV47+CX47+EX47+EZ47+FB47+FD47+FF47+FH47+FJ47+FL47</f>
        <v/>
      </c>
      <c r="KC47" s="186">
        <f>I47+K47+M47+O47+Q47+S47+U47+W47+Y47+AA47+AC47+AE47+AG47+AI47+AK47+AM47+AO47+AQ47+AS47+AU47+AW47+AY47+BA47+BC47+BE47+BG47+BI47+BK47+BM47+BO47+BQ47+BS47+BU47+BW47+BY47+CA47+CC47+CE47+CG47+CI47+DA47+DC47+DE47+DG47+DI47+DK47+DM47+DO47+DQ47+DS47+DU47+DW47+DY47+EA47+EC47+EE47+EG47+EI47+EK47+EM47+EO47+EQ47+ES47+EU47+EW47+FO47+FS47+FU47+FW47+FQ47+FY47+GA47+GC47+GE47+GG47+GI47+GK47+GM47+GO47+GQ47+GS47+GU47+GW47+GY47+HA47+HC47+HE47+HG47+HI47+HK47+HM47+HO47+HQ47+HS47+HU47+HW47+HY47+IA47+IC47+IE47+IG47+II47+IK47+IM47+IO47+IQ47+IS47+IU47+IW47+IY47+JA47+JC47+JE47+JG47+JI47+JK47+JM47+KA47+CK47+CM47+CO47+CQ47+CS47+CU47+CW47+CY47+EY47+FA47+FC47+FE47+FG47+FI47+FK47+FM47</f>
        <v/>
      </c>
      <c r="KD47" s="187">
        <f>JO47+JQ47+JS47+JU47+JW47+JY47</f>
        <v/>
      </c>
      <c r="KE47" s="188">
        <f>KB47=E47</f>
        <v/>
      </c>
      <c r="KF47" s="189">
        <f>E47-KB47</f>
        <v/>
      </c>
      <c r="KG47" s="210" t="n"/>
    </row>
    <row r="48" ht="21.75" customFormat="1" customHeight="1" s="195">
      <c r="A48" s="126">
        <f>A47+1</f>
        <v/>
      </c>
      <c r="B48" s="175" t="inlineStr">
        <is>
          <t>Федотов Е.А.</t>
        </is>
      </c>
      <c r="C48" s="176" t="inlineStr">
        <is>
          <t>термист</t>
        </is>
      </c>
      <c r="D48" s="177">
        <f>$D$5</f>
        <v/>
      </c>
      <c r="E48" s="202" t="n">
        <v>159</v>
      </c>
      <c r="F48" s="193" t="n">
        <v>75793.16</v>
      </c>
      <c r="G48" s="179">
        <f>F48/D48</f>
        <v/>
      </c>
      <c r="H48" s="180" t="n">
        <v>2</v>
      </c>
      <c r="I48" s="140">
        <f>H48*100/$E$48</f>
        <v/>
      </c>
      <c r="J48" s="133" t="n"/>
      <c r="K48" s="140">
        <f>J48*100/$E$48</f>
        <v/>
      </c>
      <c r="L48" s="133" t="n"/>
      <c r="M48" s="140">
        <f>L48*100/$E$48</f>
        <v/>
      </c>
      <c r="N48" s="133" t="n"/>
      <c r="O48" s="140">
        <f>N48*100/$E$48</f>
        <v/>
      </c>
      <c r="P48" s="133" t="n"/>
      <c r="Q48" s="139">
        <f>P48*100/$E$48</f>
        <v/>
      </c>
      <c r="R48" s="133" t="n"/>
      <c r="S48" s="139">
        <f>R48*100/$E$48</f>
        <v/>
      </c>
      <c r="T48" s="133" t="n"/>
      <c r="U48" s="140">
        <f>T48*100/$E$48</f>
        <v/>
      </c>
      <c r="V48" s="133" t="n"/>
      <c r="W48" s="140">
        <f>V48*100/$E$48</f>
        <v/>
      </c>
      <c r="X48" s="133" t="n"/>
      <c r="Y48" s="140">
        <f>X48*100/$E$48</f>
        <v/>
      </c>
      <c r="Z48" s="133" t="n"/>
      <c r="AA48" s="140">
        <f>Z48*100/$E$48</f>
        <v/>
      </c>
      <c r="AB48" s="133">
        <f>1+4</f>
        <v/>
      </c>
      <c r="AC48" s="140">
        <f>AB48*100/$E$48</f>
        <v/>
      </c>
      <c r="AD48" s="133" t="n"/>
      <c r="AE48" s="139">
        <f>AD48*100/$E$48</f>
        <v/>
      </c>
      <c r="AF48" s="133">
        <f>8+4+8+8</f>
        <v/>
      </c>
      <c r="AG48" s="139">
        <f>AF48*100/$E$48</f>
        <v/>
      </c>
      <c r="AH48" s="133" t="n">
        <v>4</v>
      </c>
      <c r="AI48" s="140">
        <f>AH48*100/$E$48</f>
        <v/>
      </c>
      <c r="AJ48" s="133">
        <f>1+2+2+2</f>
        <v/>
      </c>
      <c r="AK48" s="140">
        <f>AJ48*100/$E$48</f>
        <v/>
      </c>
      <c r="AL48" s="133" t="n"/>
      <c r="AM48" s="140">
        <f>AL48*100/$E$48</f>
        <v/>
      </c>
      <c r="AN48" s="133">
        <f>3+4+4+8+4+8</f>
        <v/>
      </c>
      <c r="AO48" s="140">
        <f>AN48*100/$E$48</f>
        <v/>
      </c>
      <c r="AP48" s="133" t="n"/>
      <c r="AQ48" s="140">
        <f>AP48*100/$E$48</f>
        <v/>
      </c>
      <c r="AR48" s="133" t="n"/>
      <c r="AS48" s="140">
        <f>AR48*100/$E$48</f>
        <v/>
      </c>
      <c r="AT48" s="133" t="n">
        <v>4</v>
      </c>
      <c r="AU48" s="181">
        <f>AT48*100/$E$48</f>
        <v/>
      </c>
      <c r="AV48" s="133" t="n">
        <v>3</v>
      </c>
      <c r="AW48" s="140">
        <f>AV48*100/$E$48</f>
        <v/>
      </c>
      <c r="AX48" s="133" t="n">
        <v>3</v>
      </c>
      <c r="AY48" s="140">
        <f>AX48*100/$E$48</f>
        <v/>
      </c>
      <c r="AZ48" s="133" t="n">
        <v>1</v>
      </c>
      <c r="BA48" s="140">
        <f>AZ48*100/$E$48</f>
        <v/>
      </c>
      <c r="BB48" s="133" t="n"/>
      <c r="BC48" s="140">
        <f>BB48*100/$E$48</f>
        <v/>
      </c>
      <c r="BD48" s="133">
        <f>2+3</f>
        <v/>
      </c>
      <c r="BE48" s="140">
        <f>BD48*100/$E$48</f>
        <v/>
      </c>
      <c r="BF48" s="133" t="n"/>
      <c r="BG48" s="140">
        <f>BF48*100/$E$48</f>
        <v/>
      </c>
      <c r="BH48" s="133" t="n"/>
      <c r="BI48" s="140">
        <f>BH48*100/$E$48</f>
        <v/>
      </c>
      <c r="BJ48" s="133" t="n">
        <v>4</v>
      </c>
      <c r="BK48" s="140">
        <f>BJ48*100/$E$48</f>
        <v/>
      </c>
      <c r="BL48" s="133" t="n"/>
      <c r="BM48" s="140">
        <f>BL48*100/$E$48</f>
        <v/>
      </c>
      <c r="BN48" s="133" t="n"/>
      <c r="BO48" s="140">
        <f>BN48*100/$E$48</f>
        <v/>
      </c>
      <c r="BP48" s="133">
        <f>6+2+3+3+1+1</f>
        <v/>
      </c>
      <c r="BQ48" s="140">
        <f>BP48*100/$E$48</f>
        <v/>
      </c>
      <c r="BR48" s="133" t="n"/>
      <c r="BS48" s="140">
        <f>BR48*100/$E$48</f>
        <v/>
      </c>
      <c r="BT48" s="133">
        <f>6+1</f>
        <v/>
      </c>
      <c r="BU48" s="140">
        <f>BT48*100/$E$48</f>
        <v/>
      </c>
      <c r="BV48" s="133" t="n"/>
      <c r="BW48" s="140">
        <f>BV48*100/$E$48</f>
        <v/>
      </c>
      <c r="BX48" s="133" t="n">
        <v>2</v>
      </c>
      <c r="BY48" s="140">
        <f>BX48*100/$E$48</f>
        <v/>
      </c>
      <c r="BZ48" s="133" t="n">
        <v>2</v>
      </c>
      <c r="CA48" s="140">
        <f>BZ48*100/$E$48</f>
        <v/>
      </c>
      <c r="CB48" s="133" t="n"/>
      <c r="CC48" s="140">
        <f>CB48*100/$E$48</f>
        <v/>
      </c>
      <c r="CD48" s="133" t="n"/>
      <c r="CE48" s="140">
        <f>CD48*100/$E$48</f>
        <v/>
      </c>
      <c r="CF48" s="133" t="n"/>
      <c r="CG48" s="140">
        <f>CF48*100/$E$48</f>
        <v/>
      </c>
      <c r="CH48" s="133" t="n"/>
      <c r="CI48" s="140">
        <f>CH48*100/$E$48</f>
        <v/>
      </c>
      <c r="CJ48" s="133" t="n"/>
      <c r="CK48" s="140">
        <f>CJ48*100/$E$48</f>
        <v/>
      </c>
      <c r="CL48" s="133" t="n"/>
      <c r="CM48" s="140">
        <f>CL48*100/$E$48</f>
        <v/>
      </c>
      <c r="CN48" s="133" t="n"/>
      <c r="CO48" s="139">
        <f>CN48*100/$E$48</f>
        <v/>
      </c>
      <c r="CP48" s="133" t="n"/>
      <c r="CQ48" s="140">
        <f>CP48*100/$E$48</f>
        <v/>
      </c>
      <c r="CR48" s="133" t="n"/>
      <c r="CS48" s="139">
        <f>CR48*100/$E$48</f>
        <v/>
      </c>
      <c r="CT48" s="133" t="n"/>
      <c r="CU48" s="139">
        <f>CT48*100/$E$48</f>
        <v/>
      </c>
      <c r="CV48" s="133" t="n"/>
      <c r="CW48" s="139">
        <f>CV48*100/$E$48</f>
        <v/>
      </c>
      <c r="CX48" s="133" t="n"/>
      <c r="CY48" s="139">
        <f>CX48*100/$E$48</f>
        <v/>
      </c>
      <c r="CZ48" s="133" t="n">
        <v>3</v>
      </c>
      <c r="DA48" s="139">
        <f>CZ48*100/$E$48</f>
        <v/>
      </c>
      <c r="DB48" s="133" t="n"/>
      <c r="DC48" s="139">
        <f>DB48*100/$E$48</f>
        <v/>
      </c>
      <c r="DD48" s="133" t="n"/>
      <c r="DE48" s="139">
        <f>DD48*100/$E$48</f>
        <v/>
      </c>
      <c r="DF48" s="133" t="n">
        <v>3.5</v>
      </c>
      <c r="DG48" s="139">
        <f>DF48*100/$E$48</f>
        <v/>
      </c>
      <c r="DH48" s="133" t="n"/>
      <c r="DI48" s="139">
        <f>DH48*100/$E$48</f>
        <v/>
      </c>
      <c r="DJ48" s="133" t="n">
        <v>1</v>
      </c>
      <c r="DK48" s="139">
        <f>DJ48*100/$E$48</f>
        <v/>
      </c>
      <c r="DL48" s="133" t="n"/>
      <c r="DM48" s="139">
        <f>DL48*100/$E$48</f>
        <v/>
      </c>
      <c r="DN48" s="133" t="n">
        <v>3.5</v>
      </c>
      <c r="DO48" s="139">
        <f>DN48*100/$E$48</f>
        <v/>
      </c>
      <c r="DP48" s="133" t="n"/>
      <c r="DQ48" s="139">
        <f>DP48*100/$E$48</f>
        <v/>
      </c>
      <c r="DR48" s="133" t="n"/>
      <c r="DS48" s="139">
        <f>DR48*100/$E$48</f>
        <v/>
      </c>
      <c r="DT48" s="133">
        <f>4+2</f>
        <v/>
      </c>
      <c r="DU48" s="139">
        <f>DT48*100/$E$48</f>
        <v/>
      </c>
      <c r="DV48" s="133" t="n"/>
      <c r="DW48" s="139">
        <f>DV48*100/$E$48</f>
        <v/>
      </c>
      <c r="DX48" s="133" t="n"/>
      <c r="DY48" s="139">
        <f>DX48*100/$E$48</f>
        <v/>
      </c>
      <c r="DZ48" s="133" t="n"/>
      <c r="EA48" s="139">
        <f>DZ48*100/$E$48</f>
        <v/>
      </c>
      <c r="EB48" s="133" t="n"/>
      <c r="EC48" s="139">
        <f>EB48*100/$E$48</f>
        <v/>
      </c>
      <c r="ED48" s="133" t="n"/>
      <c r="EE48" s="139">
        <f>ED48*100/$E$48</f>
        <v/>
      </c>
      <c r="EF48" s="133" t="n">
        <v>2</v>
      </c>
      <c r="EG48" s="139">
        <f>EF48*100/$E$48</f>
        <v/>
      </c>
      <c r="EH48" s="133" t="n">
        <v>2</v>
      </c>
      <c r="EI48" s="139">
        <f>EH48*100/$E$48</f>
        <v/>
      </c>
      <c r="EJ48" s="133" t="n"/>
      <c r="EK48" s="139">
        <f>EJ48*100/$E$48</f>
        <v/>
      </c>
      <c r="EL48" s="133" t="n"/>
      <c r="EM48" s="139">
        <f>EL48*100/$E$48</f>
        <v/>
      </c>
      <c r="EN48" s="133" t="n">
        <v>4</v>
      </c>
      <c r="EO48" s="139">
        <f>EN48*100/$E$48</f>
        <v/>
      </c>
      <c r="EP48" s="133" t="n"/>
      <c r="EQ48" s="139">
        <f>EP48*100/$E$48</f>
        <v/>
      </c>
      <c r="ER48" s="133" t="n"/>
      <c r="ES48" s="139">
        <f>ER48*100/$E$48</f>
        <v/>
      </c>
      <c r="ET48" s="133" t="n"/>
      <c r="EU48" s="139">
        <f>ET48*100/$E$48</f>
        <v/>
      </c>
      <c r="EV48" s="133" t="n"/>
      <c r="EW48" s="139">
        <f>EV48*100/$E$48</f>
        <v/>
      </c>
      <c r="EX48" s="133" t="n"/>
      <c r="EY48" s="139">
        <f>EX48*100/$E$48</f>
        <v/>
      </c>
      <c r="EZ48" s="133" t="n"/>
      <c r="FA48" s="139">
        <f>EZ48*100/$E$48</f>
        <v/>
      </c>
      <c r="FB48" s="133" t="n"/>
      <c r="FC48" s="139">
        <f>FB48*100/$E$48</f>
        <v/>
      </c>
      <c r="FD48" s="133" t="n">
        <v>3</v>
      </c>
      <c r="FE48" s="139">
        <f>FD48*100/$E$48</f>
        <v/>
      </c>
      <c r="FF48" s="133" t="n"/>
      <c r="FG48" s="139">
        <f>FF48*100/$E$48</f>
        <v/>
      </c>
      <c r="FH48" s="133" t="n"/>
      <c r="FI48" s="139">
        <f>FH48*100/$E$48</f>
        <v/>
      </c>
      <c r="FJ48" s="133" t="n"/>
      <c r="FK48" s="139">
        <f>FJ48*100/$E$48</f>
        <v/>
      </c>
      <c r="FL48" s="133" t="n"/>
      <c r="FM48" s="139">
        <f>FL48*100/$E$48</f>
        <v/>
      </c>
      <c r="FN48" s="133" t="n"/>
      <c r="FO48" s="139">
        <f>FN48*100/$E$48</f>
        <v/>
      </c>
      <c r="FP48" s="133" t="n"/>
      <c r="FQ48" s="139">
        <f>FP48*100/$E$48</f>
        <v/>
      </c>
      <c r="FR48" s="133" t="n"/>
      <c r="FS48" s="139">
        <f>FR48*100/$E$48</f>
        <v/>
      </c>
      <c r="FT48" s="133" t="n"/>
      <c r="FU48" s="139">
        <f>FT48*100/$E$48</f>
        <v/>
      </c>
      <c r="FV48" s="133" t="n"/>
      <c r="FW48" s="139">
        <f>FV48*100/$E$48</f>
        <v/>
      </c>
      <c r="FX48" s="133" t="n"/>
      <c r="FY48" s="140">
        <f>FX48*100/$E$48</f>
        <v/>
      </c>
      <c r="FZ48" s="133" t="n"/>
      <c r="GA48" s="140">
        <f>FZ48*100/$E$48</f>
        <v/>
      </c>
      <c r="GB48" s="133" t="n"/>
      <c r="GC48" s="140">
        <f>GB48*100/$E$48</f>
        <v/>
      </c>
      <c r="GD48" s="133" t="n"/>
      <c r="GE48" s="140">
        <f>GD48*100/$E$48</f>
        <v/>
      </c>
      <c r="GF48" s="133" t="n"/>
      <c r="GG48" s="140">
        <f>GF48*100/$E$48</f>
        <v/>
      </c>
      <c r="GH48" s="133" t="n"/>
      <c r="GI48" s="140">
        <f>GH48*100/$E$48</f>
        <v/>
      </c>
      <c r="GJ48" s="133" t="n"/>
      <c r="GK48" s="139">
        <f>GJ48*100/$E$48</f>
        <v/>
      </c>
      <c r="GL48" s="133" t="n"/>
      <c r="GM48" s="140">
        <f>GL48*100/$E$48</f>
        <v/>
      </c>
      <c r="GN48" s="133" t="n"/>
      <c r="GO48" s="139">
        <f>GN48*100/$E$48</f>
        <v/>
      </c>
      <c r="GP48" s="133" t="n"/>
      <c r="GQ48" s="140">
        <f>GP48*100/$E$48</f>
        <v/>
      </c>
      <c r="GR48" s="133" t="n"/>
      <c r="GS48" s="139">
        <f>GR48*100/$E$48</f>
        <v/>
      </c>
      <c r="GT48" s="133" t="n"/>
      <c r="GU48" s="139">
        <f>GT48*100/$E$48</f>
        <v/>
      </c>
      <c r="GV48" s="133" t="n"/>
      <c r="GW48" s="139">
        <f>GV48*100/$E$48</f>
        <v/>
      </c>
      <c r="GX48" s="133" t="n"/>
      <c r="GY48" s="140">
        <f>GX48*100/$E$48</f>
        <v/>
      </c>
      <c r="GZ48" s="133" t="n"/>
      <c r="HA48" s="140">
        <f>GZ48*100/$E$48</f>
        <v/>
      </c>
      <c r="HB48" s="133" t="n"/>
      <c r="HC48" s="140">
        <f>HB48*100/$E$48</f>
        <v/>
      </c>
      <c r="HD48" s="133" t="n"/>
      <c r="HE48" s="140">
        <f>HD48*100/$E$48</f>
        <v/>
      </c>
      <c r="HF48" s="133" t="n"/>
      <c r="HG48" s="140">
        <f>HF48*100/$E$48</f>
        <v/>
      </c>
      <c r="HH48" s="133" t="n"/>
      <c r="HI48" s="140">
        <f>HH48*100/$E$48</f>
        <v/>
      </c>
      <c r="HJ48" s="133" t="n"/>
      <c r="HK48" s="140">
        <f>HJ48*100/$E$48</f>
        <v/>
      </c>
      <c r="HL48" s="133" t="n"/>
      <c r="HM48" s="140">
        <f>HL48*100/$E$48</f>
        <v/>
      </c>
      <c r="HN48" s="133" t="n"/>
      <c r="HO48" s="140">
        <f>HN48*100/$E$48</f>
        <v/>
      </c>
      <c r="HP48" s="133" t="n"/>
      <c r="HQ48" s="140">
        <f>HP48*100/$E$48</f>
        <v/>
      </c>
      <c r="HR48" s="133" t="n"/>
      <c r="HS48" s="140">
        <f>HR48*100/$E$48</f>
        <v/>
      </c>
      <c r="HT48" s="133" t="n"/>
      <c r="HU48" s="140">
        <f>HT48*100/$E$48</f>
        <v/>
      </c>
      <c r="HV48" s="133" t="n"/>
      <c r="HW48" s="140">
        <f>HV48*100/$E$48</f>
        <v/>
      </c>
      <c r="HX48" s="133" t="n"/>
      <c r="HY48" s="140">
        <f>HX48*100/$E$48</f>
        <v/>
      </c>
      <c r="HZ48" s="133" t="n"/>
      <c r="IA48" s="139">
        <f>HZ48*100/$E$48</f>
        <v/>
      </c>
      <c r="IB48" s="133" t="n"/>
      <c r="IC48" s="139">
        <f>IB48*100/$E$48</f>
        <v/>
      </c>
      <c r="ID48" s="133" t="n"/>
      <c r="IE48" s="139">
        <f>ID48*100/$E$48</f>
        <v/>
      </c>
      <c r="IF48" s="133" t="n"/>
      <c r="IG48" s="139">
        <f>IF48*100/$E$48</f>
        <v/>
      </c>
      <c r="IH48" s="133" t="n"/>
      <c r="II48" s="139">
        <f>IH48*100/$E$48</f>
        <v/>
      </c>
      <c r="IJ48" s="133" t="n"/>
      <c r="IK48" s="139">
        <f>IJ48*100/$E$48</f>
        <v/>
      </c>
      <c r="IL48" s="133" t="n"/>
      <c r="IM48" s="140">
        <f>IL48*100/$E$48</f>
        <v/>
      </c>
      <c r="IN48" s="133" t="n"/>
      <c r="IO48" s="140">
        <f>IN48*100/$E$48</f>
        <v/>
      </c>
      <c r="IP48" s="133" t="n"/>
      <c r="IQ48" s="139">
        <f>IP48*100/$E$48</f>
        <v/>
      </c>
      <c r="IR48" s="133" t="n"/>
      <c r="IS48" s="139">
        <f>IR48*100/$E$48</f>
        <v/>
      </c>
      <c r="IT48" s="133" t="n"/>
      <c r="IU48" s="139">
        <f>IT48*100/$E$48</f>
        <v/>
      </c>
      <c r="IV48" s="133" t="n"/>
      <c r="IW48" s="139">
        <f>IV48*100/$E$48</f>
        <v/>
      </c>
      <c r="IX48" s="133" t="n"/>
      <c r="IY48" s="139">
        <f>IX48*100/$E$48</f>
        <v/>
      </c>
      <c r="IZ48" s="133" t="n"/>
      <c r="JA48" s="139">
        <f>IZ48*100/$E$48</f>
        <v/>
      </c>
      <c r="JB48" s="133" t="n"/>
      <c r="JC48" s="139">
        <f>JB48*100/$E$48</f>
        <v/>
      </c>
      <c r="JD48" s="133" t="n"/>
      <c r="JE48" s="139">
        <f>JD48*100/$E$48</f>
        <v/>
      </c>
      <c r="JF48" s="133" t="n"/>
      <c r="JG48" s="139">
        <f>JF48*100/$E$48</f>
        <v/>
      </c>
      <c r="JH48" s="133" t="n"/>
      <c r="JI48" s="139">
        <f>JH48*100/$E$48</f>
        <v/>
      </c>
      <c r="JJ48" s="133" t="n"/>
      <c r="JK48" s="139">
        <f>JJ48*100/$E$48</f>
        <v/>
      </c>
      <c r="JL48" s="133">
        <f>4+2+1</f>
        <v/>
      </c>
      <c r="JM48" s="139">
        <f>JL48*100/$E$48</f>
        <v/>
      </c>
      <c r="JN48" s="133" t="n"/>
      <c r="JO48" s="139">
        <f>JN48*100/$E$48</f>
        <v/>
      </c>
      <c r="JP48" s="133" t="n"/>
      <c r="JQ48" s="139">
        <f>JP48*100/$E$48</f>
        <v/>
      </c>
      <c r="JR48" s="133" t="n"/>
      <c r="JS48" s="139">
        <f>JR48*100/$E$48</f>
        <v/>
      </c>
      <c r="JT48" s="133" t="n"/>
      <c r="JU48" s="182">
        <f>JT48*100/$E$48</f>
        <v/>
      </c>
      <c r="JV48" s="133" t="n"/>
      <c r="JW48" s="182">
        <f>JV48*100/$E$48</f>
        <v/>
      </c>
      <c r="JX48" s="133" t="n"/>
      <c r="JY48" s="182">
        <f>JX48*100/$E$48</f>
        <v/>
      </c>
      <c r="JZ48" s="183">
        <f>JN48+JP48+JR48+JT48+JV48+JX48</f>
        <v/>
      </c>
      <c r="KA48" s="184">
        <f>JO48+JQ48+JS48+JU48+JW48+JY48</f>
        <v/>
      </c>
      <c r="KB48" s="185">
        <f>H48+J48+L48+N48+P48+R48+T48+V48+X48+Z48+AB48+AD48+AF48+AH48+AJ48+AL48+AN48+AP48+AR48+AT48+AV48+AX48+AZ48+BB48+BD48+BF48+BH48+BJ48+BL48+BN48+BP48+BR48+BT48+BV48+BX48+BZ48+CB48+CD48+CF48+CH48+CZ48+DB48+DD48+DF48+DH48+DJ48+DL48+DN48+DP48+DR48+DT48+DV48+DX48+DZ48+EB48+ED48+EF48+EH48+EJ48+EL48+EN48+EP48+ER48+ET48+EV48+FN48+FP48+FR48+FT48+FV48+FX48+FZ48+GB48+GD48+GF48+GH48+GJ48+GL48+GN48+GP48+GR48+GT48+GV48+GX48+GZ48+HB48+HD48+HF48+HH48+HJ48+HL48+HN48+HP48+HR48+HT48+HV48+HX48+HZ48+IB48+ID48+IF48+IH48+IJ48+IL48+IN48+IP48+IR48+IT48+IV48+IX48+IZ48+JB48+JD48+JF48+JH48+JJ48+JL48+JZ48+CJ48+CL48+CN48+CP48+CR48+CT48+CV48+CX48+EX48+EZ48+FB48+FD48+FF48+FH48+FJ48+FL48</f>
        <v/>
      </c>
      <c r="KC48" s="186">
        <f>I48+K48+M48+O48+Q48+S48+U48+W48+Y48+AA48+AC48+AE48+AG48+AI48+AK48+AM48+AO48+AQ48+AS48+AU48+AW48+AY48+BA48+BC48+BE48+BG48+BI48+BK48+BM48+BO48+BQ48+BS48+BU48+BW48+BY48+CA48+CC48+CE48+CG48+CI48+DA48+DC48+DE48+DG48+DI48+DK48+DM48+DO48+DQ48+DS48+DU48+DW48+DY48+EA48+EC48+EE48+EG48+EI48+EK48+EM48+EO48+EQ48+ES48+EU48+EW48+FO48+FS48+FU48+FW48+FQ48+FY48+GA48+GC48+GE48+GG48+GI48+GK48+GM48+GO48+GQ48+GS48+GU48+GW48+GY48+HA48+HC48+HE48+HG48+HI48+HK48+HM48+HO48+HQ48+HS48+HU48+HW48+HY48+IA48+IC48+IE48+IG48+II48+IK48+IM48+IO48+IQ48+IS48+IU48+IW48+IY48+JA48+JC48+JE48+JG48+JI48+JK48+JM48+KA48+CK48+CM48+CO48+CQ48+CS48+CU48+CW48+CY48+EY48+FA48+FC48+FE48+FG48+FI48+FK48+FM48</f>
        <v/>
      </c>
      <c r="KD48" s="187">
        <f>JO48+JQ48+JS48+JU48+JW48+JY48</f>
        <v/>
      </c>
      <c r="KE48" s="188">
        <f>KB48=E48</f>
        <v/>
      </c>
      <c r="KF48" s="189">
        <f>E48-KB48</f>
        <v/>
      </c>
      <c r="KG48" s="196" t="n"/>
    </row>
    <row r="49" ht="21.75" customFormat="1" customHeight="1" s="212">
      <c r="A49" s="126">
        <f>A48+1</f>
        <v/>
      </c>
      <c r="B49" s="175" t="inlineStr">
        <is>
          <t>Фещенко Д.М.</t>
        </is>
      </c>
      <c r="C49" s="176" t="inlineStr">
        <is>
          <t xml:space="preserve">Оператор СПУ </t>
        </is>
      </c>
      <c r="D49" s="177">
        <f>$D$5</f>
        <v/>
      </c>
      <c r="E49" s="202" t="n">
        <v>181</v>
      </c>
      <c r="F49" s="193" t="n">
        <v>111264.87</v>
      </c>
      <c r="G49" s="179">
        <f>F49/D49</f>
        <v/>
      </c>
      <c r="H49" s="180" t="n"/>
      <c r="I49" s="140">
        <f>H49*100/$E$49</f>
        <v/>
      </c>
      <c r="J49" s="133" t="n"/>
      <c r="K49" s="140">
        <f>J49*100/$E$49</f>
        <v/>
      </c>
      <c r="L49" s="133" t="n"/>
      <c r="M49" s="140">
        <f>L49*100/$E$49</f>
        <v/>
      </c>
      <c r="N49" s="133" t="n"/>
      <c r="O49" s="140">
        <f>N49*100/$E$49</f>
        <v/>
      </c>
      <c r="P49" s="133" t="n"/>
      <c r="Q49" s="139">
        <f>P49*100/$E$49</f>
        <v/>
      </c>
      <c r="R49" s="180" t="n"/>
      <c r="S49" s="139">
        <f>R49*100/$E$49</f>
        <v/>
      </c>
      <c r="T49" s="133" t="n"/>
      <c r="U49" s="140">
        <f>T49*100/$E$49</f>
        <v/>
      </c>
      <c r="V49" s="133" t="n"/>
      <c r="W49" s="140">
        <f>V49*100/$E$49</f>
        <v/>
      </c>
      <c r="X49" s="133" t="n"/>
      <c r="Y49" s="140">
        <f>X49*100/$E$49</f>
        <v/>
      </c>
      <c r="Z49" s="133" t="n"/>
      <c r="AA49" s="140">
        <f>Z49*100/$E$49</f>
        <v/>
      </c>
      <c r="AB49" s="133" t="n"/>
      <c r="AC49" s="140">
        <f>AB49*100/$E$49</f>
        <v/>
      </c>
      <c r="AD49" s="133" t="n">
        <v>5</v>
      </c>
      <c r="AE49" s="139">
        <f>AD49*100/$E$49</f>
        <v/>
      </c>
      <c r="AF49" s="133">
        <f>12+12+7+12+11+12</f>
        <v/>
      </c>
      <c r="AG49" s="139">
        <f>AF49*100/$E$49</f>
        <v/>
      </c>
      <c r="AH49" s="133" t="n"/>
      <c r="AI49" s="140">
        <f>AH49*100/$E$49</f>
        <v/>
      </c>
      <c r="AJ49" s="133" t="n"/>
      <c r="AK49" s="140">
        <f>AJ49*100/$E$49</f>
        <v/>
      </c>
      <c r="AL49" s="133" t="n">
        <v>4</v>
      </c>
      <c r="AM49" s="140">
        <f>AL49*100/$E$49</f>
        <v/>
      </c>
      <c r="AN49" s="133" t="n"/>
      <c r="AO49" s="140">
        <f>AN49*100/$E$49</f>
        <v/>
      </c>
      <c r="AP49" s="133" t="n"/>
      <c r="AQ49" s="140">
        <f>AP49*100/$E$49</f>
        <v/>
      </c>
      <c r="AR49" s="133" t="n"/>
      <c r="AS49" s="140">
        <f>AR49*100/$E$49</f>
        <v/>
      </c>
      <c r="AT49" s="133" t="n"/>
      <c r="AU49" s="181">
        <f>AT49*100/$E$49</f>
        <v/>
      </c>
      <c r="AV49" s="133">
        <f>12+17</f>
        <v/>
      </c>
      <c r="AW49" s="140">
        <f>AV49*100/$E$49</f>
        <v/>
      </c>
      <c r="AX49" s="133" t="n"/>
      <c r="AY49" s="140">
        <f>AX49*100/$E$49</f>
        <v/>
      </c>
      <c r="AZ49" s="133">
        <f>10+8</f>
        <v/>
      </c>
      <c r="BA49" s="140">
        <f>AZ49*100/$E$49</f>
        <v/>
      </c>
      <c r="BB49" s="133" t="n"/>
      <c r="BC49" s="140">
        <f>BB49*100/$E$49</f>
        <v/>
      </c>
      <c r="BD49" s="133" t="n"/>
      <c r="BE49" s="140">
        <f>BD49*100/$E$49</f>
        <v/>
      </c>
      <c r="BF49" s="133" t="n"/>
      <c r="BG49" s="140">
        <f>BF49*100/$E$49</f>
        <v/>
      </c>
      <c r="BH49" s="133" t="n"/>
      <c r="BI49" s="140">
        <f>BH49*100/$E$49</f>
        <v/>
      </c>
      <c r="BJ49" s="133" t="n"/>
      <c r="BK49" s="140">
        <f>BJ49*100/$E$49</f>
        <v/>
      </c>
      <c r="BL49" s="133" t="n"/>
      <c r="BM49" s="140">
        <f>BL49*100/$E$49</f>
        <v/>
      </c>
      <c r="BN49" s="133" t="n"/>
      <c r="BO49" s="140">
        <f>BN49*100/$E$49</f>
        <v/>
      </c>
      <c r="BP49" s="133" t="n"/>
      <c r="BQ49" s="140">
        <f>BP49*100/$E$49</f>
        <v/>
      </c>
      <c r="BR49" s="133" t="n"/>
      <c r="BS49" s="140">
        <f>BR49*100/$E$49</f>
        <v/>
      </c>
      <c r="BT49" s="133" t="n"/>
      <c r="BU49" s="140">
        <f>BT49*100/$E$49</f>
        <v/>
      </c>
      <c r="BV49" s="133" t="n"/>
      <c r="BW49" s="140">
        <f>BV49*100/$E$49</f>
        <v/>
      </c>
      <c r="BX49" s="133">
        <f>10+15</f>
        <v/>
      </c>
      <c r="BY49" s="140">
        <f>BX49*100/$E$49</f>
        <v/>
      </c>
      <c r="BZ49" s="133" t="n"/>
      <c r="CA49" s="140">
        <f>BZ49*100/$E$49</f>
        <v/>
      </c>
      <c r="CB49" s="133" t="n"/>
      <c r="CC49" s="140">
        <f>CB49*100/$E$49</f>
        <v/>
      </c>
      <c r="CD49" s="133" t="n"/>
      <c r="CE49" s="140">
        <f>CD49*100/$E$49</f>
        <v/>
      </c>
      <c r="CF49" s="133" t="n"/>
      <c r="CG49" s="140">
        <f>CF49*100/$E$49</f>
        <v/>
      </c>
      <c r="CH49" s="133" t="n"/>
      <c r="CI49" s="140">
        <f>CH49*100/$E$49</f>
        <v/>
      </c>
      <c r="CJ49" s="133" t="n"/>
      <c r="CK49" s="140">
        <f>CJ49*100/$E$49</f>
        <v/>
      </c>
      <c r="CL49" s="133" t="n"/>
      <c r="CM49" s="140">
        <f>CL49*100/$E$49</f>
        <v/>
      </c>
      <c r="CN49" s="133" t="n">
        <v>2</v>
      </c>
      <c r="CO49" s="139">
        <f>CN49*100/$E$49</f>
        <v/>
      </c>
      <c r="CP49" s="133" t="n">
        <v>12</v>
      </c>
      <c r="CQ49" s="140">
        <f>CP49*100/$E$49</f>
        <v/>
      </c>
      <c r="CR49" s="133" t="n"/>
      <c r="CS49" s="139">
        <f>CR49*100/$E$49</f>
        <v/>
      </c>
      <c r="CT49" s="133" t="n"/>
      <c r="CU49" s="139">
        <f>CT49*100/$E$49</f>
        <v/>
      </c>
      <c r="CV49" s="133" t="n"/>
      <c r="CW49" s="139">
        <f>CV49*100/$E$49</f>
        <v/>
      </c>
      <c r="CX49" s="133" t="n"/>
      <c r="CY49" s="139">
        <f>CX49*100/$E$49</f>
        <v/>
      </c>
      <c r="CZ49" s="133" t="n"/>
      <c r="DA49" s="139">
        <f>CZ49*100/$E$49</f>
        <v/>
      </c>
      <c r="DB49" s="133" t="n"/>
      <c r="DC49" s="139">
        <f>DB49*100/$E$49</f>
        <v/>
      </c>
      <c r="DD49" s="133" t="n"/>
      <c r="DE49" s="139">
        <f>DD49*100/$E$49</f>
        <v/>
      </c>
      <c r="DF49" s="133" t="n"/>
      <c r="DG49" s="139">
        <f>DF49*100/$E$49</f>
        <v/>
      </c>
      <c r="DH49" s="133" t="n"/>
      <c r="DI49" s="139">
        <f>DH49*100/$E$49</f>
        <v/>
      </c>
      <c r="DJ49" s="133" t="n"/>
      <c r="DK49" s="139">
        <f>DJ49*100/$E$49</f>
        <v/>
      </c>
      <c r="DL49" s="133" t="n"/>
      <c r="DM49" s="139">
        <f>DL49*100/$E$49</f>
        <v/>
      </c>
      <c r="DN49" s="133">
        <f>2</f>
        <v/>
      </c>
      <c r="DO49" s="139">
        <f>DN49*100/$E$49</f>
        <v/>
      </c>
      <c r="DP49" s="133" t="n"/>
      <c r="DQ49" s="139">
        <f>DP49*100/$E$49</f>
        <v/>
      </c>
      <c r="DR49" s="133" t="n"/>
      <c r="DS49" s="139">
        <f>DR49*100/$E$49</f>
        <v/>
      </c>
      <c r="DT49" s="133" t="n"/>
      <c r="DU49" s="139">
        <f>DT49*100/$E$49</f>
        <v/>
      </c>
      <c r="DV49" s="133" t="n"/>
      <c r="DW49" s="139">
        <f>DV49*100/$E$49</f>
        <v/>
      </c>
      <c r="DX49" s="133" t="n"/>
      <c r="DY49" s="139">
        <f>DX49*100/$E$49</f>
        <v/>
      </c>
      <c r="DZ49" s="133" t="n"/>
      <c r="EA49" s="139">
        <f>DZ49*100/$E$49</f>
        <v/>
      </c>
      <c r="EB49" s="133" t="n"/>
      <c r="EC49" s="139">
        <f>EB49*100/$E$49</f>
        <v/>
      </c>
      <c r="ED49" s="133" t="n"/>
      <c r="EE49" s="139">
        <f>ED49*100/$E$49</f>
        <v/>
      </c>
      <c r="EF49" s="133" t="n"/>
      <c r="EG49" s="139">
        <f>EF49*100/$E$49</f>
        <v/>
      </c>
      <c r="EH49" s="133" t="n"/>
      <c r="EI49" s="139">
        <f>EH49*100/$E$49</f>
        <v/>
      </c>
      <c r="EJ49" s="133" t="n"/>
      <c r="EK49" s="139">
        <f>EJ49*100/$E$49</f>
        <v/>
      </c>
      <c r="EL49" s="133" t="n"/>
      <c r="EM49" s="139">
        <f>EL49*100/$E$49</f>
        <v/>
      </c>
      <c r="EN49" s="133" t="n"/>
      <c r="EO49" s="139">
        <f>EN49*100/$E$49</f>
        <v/>
      </c>
      <c r="EP49" s="133" t="n"/>
      <c r="EQ49" s="139">
        <f>EP49*100/$E$49</f>
        <v/>
      </c>
      <c r="ER49" s="133" t="n"/>
      <c r="ES49" s="139">
        <f>ER49*100/$E$49</f>
        <v/>
      </c>
      <c r="ET49" s="133" t="n"/>
      <c r="EU49" s="139">
        <f>ET49*100/$E$49</f>
        <v/>
      </c>
      <c r="EV49" s="133" t="n"/>
      <c r="EW49" s="139">
        <f>EV49*100/$E$49</f>
        <v/>
      </c>
      <c r="EX49" s="133" t="n"/>
      <c r="EY49" s="139">
        <f>EX49*100/$E$49</f>
        <v/>
      </c>
      <c r="EZ49" s="133" t="n"/>
      <c r="FA49" s="139">
        <f>EZ49*100/$E$49</f>
        <v/>
      </c>
      <c r="FB49" s="133" t="n"/>
      <c r="FC49" s="139">
        <f>FB49*100/$E$49</f>
        <v/>
      </c>
      <c r="FD49" s="133" t="n"/>
      <c r="FE49" s="139">
        <f>FD49*100/$E$49</f>
        <v/>
      </c>
      <c r="FF49" s="133" t="n"/>
      <c r="FG49" s="139">
        <f>FF49*100/$E$49</f>
        <v/>
      </c>
      <c r="FH49" s="133" t="n"/>
      <c r="FI49" s="139">
        <f>FH49*100/$E$49</f>
        <v/>
      </c>
      <c r="FJ49" s="133" t="n"/>
      <c r="FK49" s="139">
        <f>FJ49*100/$E$49</f>
        <v/>
      </c>
      <c r="FL49" s="133" t="n"/>
      <c r="FM49" s="139">
        <f>FL49*100/$E$49</f>
        <v/>
      </c>
      <c r="FN49" s="133" t="n"/>
      <c r="FO49" s="139">
        <f>FN49*100/$E$49</f>
        <v/>
      </c>
      <c r="FP49" s="133" t="n"/>
      <c r="FQ49" s="139">
        <f>FP49*100/$E$49</f>
        <v/>
      </c>
      <c r="FR49" s="133" t="n"/>
      <c r="FS49" s="139">
        <f>FR49*100/$E$49</f>
        <v/>
      </c>
      <c r="FT49" s="133" t="n"/>
      <c r="FU49" s="139">
        <f>FT49*100/$E$49</f>
        <v/>
      </c>
      <c r="FV49" s="133" t="n"/>
      <c r="FW49" s="139">
        <f>FV49*100/$E$49</f>
        <v/>
      </c>
      <c r="FX49" s="133" t="n"/>
      <c r="FY49" s="140">
        <f>FX49*100/$E$49</f>
        <v/>
      </c>
      <c r="FZ49" s="133" t="n"/>
      <c r="GA49" s="140">
        <f>FZ49*100/$E$49</f>
        <v/>
      </c>
      <c r="GB49" s="133" t="n"/>
      <c r="GC49" s="140">
        <f>GB49*100/$E$49</f>
        <v/>
      </c>
      <c r="GD49" s="133" t="n"/>
      <c r="GE49" s="140">
        <f>GD49*100/$E$49</f>
        <v/>
      </c>
      <c r="GF49" s="133" t="n"/>
      <c r="GG49" s="140">
        <f>GF49*100/$E$49</f>
        <v/>
      </c>
      <c r="GH49" s="133" t="n"/>
      <c r="GI49" s="140">
        <f>GH49*100/$E$49</f>
        <v/>
      </c>
      <c r="GJ49" s="133" t="n"/>
      <c r="GK49" s="139">
        <f>GJ49*100/$E$49</f>
        <v/>
      </c>
      <c r="GL49" s="133" t="n"/>
      <c r="GM49" s="140">
        <f>GL49*100/$E$49</f>
        <v/>
      </c>
      <c r="GN49" s="133" t="n"/>
      <c r="GO49" s="139">
        <f>GN49*100/$E$49</f>
        <v/>
      </c>
      <c r="GP49" s="133" t="n"/>
      <c r="GQ49" s="140">
        <f>GP49*100/$E$49</f>
        <v/>
      </c>
      <c r="GR49" s="133" t="n"/>
      <c r="GS49" s="139">
        <f>GR49*100/$E$49</f>
        <v/>
      </c>
      <c r="GT49" s="133" t="n"/>
      <c r="GU49" s="139">
        <f>GT49*100/$E$49</f>
        <v/>
      </c>
      <c r="GV49" s="133" t="n"/>
      <c r="GW49" s="139">
        <f>GV49*100/$E$49</f>
        <v/>
      </c>
      <c r="GX49" s="133" t="n"/>
      <c r="GY49" s="140">
        <f>GX49*100/$E$49</f>
        <v/>
      </c>
      <c r="GZ49" s="133" t="n"/>
      <c r="HA49" s="140">
        <f>GZ49*100/$E$49</f>
        <v/>
      </c>
      <c r="HB49" s="133" t="n"/>
      <c r="HC49" s="140">
        <f>HB49*100/$E$49</f>
        <v/>
      </c>
      <c r="HD49" s="133" t="n"/>
      <c r="HE49" s="140">
        <f>HD49*100/$E$49</f>
        <v/>
      </c>
      <c r="HF49" s="133" t="n"/>
      <c r="HG49" s="140">
        <f>HF49*100/$E$49</f>
        <v/>
      </c>
      <c r="HH49" s="133" t="n"/>
      <c r="HI49" s="140">
        <f>HH49*100/$E$49</f>
        <v/>
      </c>
      <c r="HJ49" s="133" t="n"/>
      <c r="HK49" s="140">
        <f>HJ49*100/$E$49</f>
        <v/>
      </c>
      <c r="HL49" s="133" t="n"/>
      <c r="HM49" s="140">
        <f>HL49*100/$E$49</f>
        <v/>
      </c>
      <c r="HN49" s="133" t="n"/>
      <c r="HO49" s="140">
        <f>HN49*100/$E$49</f>
        <v/>
      </c>
      <c r="HP49" s="133" t="n"/>
      <c r="HQ49" s="140">
        <f>HP49*100/$E$49</f>
        <v/>
      </c>
      <c r="HR49" s="133" t="n"/>
      <c r="HS49" s="140">
        <f>HR49*100/$E$49</f>
        <v/>
      </c>
      <c r="HT49" s="133" t="n"/>
      <c r="HU49" s="140">
        <f>HT49*100/$E$49</f>
        <v/>
      </c>
      <c r="HV49" s="133" t="n"/>
      <c r="HW49" s="140">
        <f>HV49*100/$E$49</f>
        <v/>
      </c>
      <c r="HX49" s="133" t="n"/>
      <c r="HY49" s="140">
        <f>HX49*100/$E$49</f>
        <v/>
      </c>
      <c r="HZ49" s="133" t="n"/>
      <c r="IA49" s="139">
        <f>HZ49*100/$E$49</f>
        <v/>
      </c>
      <c r="IB49" s="133" t="n"/>
      <c r="IC49" s="139">
        <f>IB49*100/$E$49</f>
        <v/>
      </c>
      <c r="ID49" s="133" t="n"/>
      <c r="IE49" s="139">
        <f>ID49*100/$E$49</f>
        <v/>
      </c>
      <c r="IF49" s="133" t="n"/>
      <c r="IG49" s="139">
        <f>IF49*100/$E$49</f>
        <v/>
      </c>
      <c r="IH49" s="133" t="n"/>
      <c r="II49" s="139">
        <f>IH49*100/$E$49</f>
        <v/>
      </c>
      <c r="IJ49" s="133" t="n"/>
      <c r="IK49" s="139">
        <f>IJ49*100/$E$49</f>
        <v/>
      </c>
      <c r="IL49" s="133" t="n"/>
      <c r="IM49" s="140">
        <f>IL49*100/$E$49</f>
        <v/>
      </c>
      <c r="IN49" s="133" t="n"/>
      <c r="IO49" s="140">
        <f>IN49*100/$E$49</f>
        <v/>
      </c>
      <c r="IP49" s="133" t="n"/>
      <c r="IQ49" s="139">
        <f>IP49*100/$E$49</f>
        <v/>
      </c>
      <c r="IR49" s="133" t="n"/>
      <c r="IS49" s="139">
        <f>IR49*100/$E$49</f>
        <v/>
      </c>
      <c r="IT49" s="133" t="n"/>
      <c r="IU49" s="139">
        <f>IT49*100/$E$49</f>
        <v/>
      </c>
      <c r="IV49" s="133" t="n"/>
      <c r="IW49" s="139">
        <f>IV49*100/$E$49</f>
        <v/>
      </c>
      <c r="IX49" s="133" t="n"/>
      <c r="IY49" s="139">
        <f>IX49*100/$E$49</f>
        <v/>
      </c>
      <c r="IZ49" s="133" t="n"/>
      <c r="JA49" s="139">
        <f>IZ49*100/$E$49</f>
        <v/>
      </c>
      <c r="JB49" s="133" t="n"/>
      <c r="JC49" s="139">
        <f>JB49*100/$E$49</f>
        <v/>
      </c>
      <c r="JD49" s="133" t="n"/>
      <c r="JE49" s="139">
        <f>JD49*100/$E$49</f>
        <v/>
      </c>
      <c r="JF49" s="133" t="n"/>
      <c r="JG49" s="139">
        <f>JF49*100/$E$49</f>
        <v/>
      </c>
      <c r="JH49" s="133" t="n"/>
      <c r="JI49" s="139">
        <f>JH49*100/$E$49</f>
        <v/>
      </c>
      <c r="JJ49" s="133" t="n"/>
      <c r="JK49" s="139">
        <f>JJ49*100/$E$49</f>
        <v/>
      </c>
      <c r="JL49" s="133">
        <f>9+9</f>
        <v/>
      </c>
      <c r="JM49" s="139">
        <f>JL49*100/$E$49</f>
        <v/>
      </c>
      <c r="JN49" s="133" t="n"/>
      <c r="JO49" s="139">
        <f>JN49*100/$E$49</f>
        <v/>
      </c>
      <c r="JP49" s="133" t="n"/>
      <c r="JQ49" s="139">
        <f>JP49*100/$E$49</f>
        <v/>
      </c>
      <c r="JR49" s="133" t="n"/>
      <c r="JS49" s="139">
        <f>JR49*100/$E$49</f>
        <v/>
      </c>
      <c r="JT49" s="133" t="n"/>
      <c r="JU49" s="182">
        <f>JT49*100/$E$49</f>
        <v/>
      </c>
      <c r="JV49" s="133" t="n"/>
      <c r="JW49" s="182">
        <f>JV49*100/$E$49</f>
        <v/>
      </c>
      <c r="JX49" s="133" t="n"/>
      <c r="JY49" s="182">
        <f>JX49*100/$E$49</f>
        <v/>
      </c>
      <c r="JZ49" s="183">
        <f>JN49+JP49+JR49+JT49+JV49+JX49</f>
        <v/>
      </c>
      <c r="KA49" s="184">
        <f>JO49+JQ49+JS49+JU49+JW49+JY49</f>
        <v/>
      </c>
      <c r="KB49" s="185">
        <f>H49+J49+L49+N49+P49+R49+T49+V49+X49+Z49+AB49+AD49+AF49+AH49+AJ49+AL49+AN49+AP49+AR49+AT49+AV49+AX49+AZ49+BB49+BD49+BF49+BH49+BJ49+BL49+BN49+BP49+BR49+BT49+BV49+BX49+BZ49+CB49+CD49+CF49+CH49+CZ49+DB49+DD49+DF49+DH49+DJ49+DL49+DN49+DP49+DR49+DT49+DV49+DX49+DZ49+EB49+ED49+EF49+EH49+EJ49+EL49+EN49+EP49+ER49+ET49+EV49+FN49+FP49+FR49+FT49+FV49+FX49+FZ49+GB49+GD49+GF49+GH49+GJ49+GL49+GN49+GP49+GR49+GT49+GV49+GX49+GZ49+HB49+HD49+HF49+HH49+HJ49+HL49+HN49+HP49+HR49+HT49+HV49+HX49+HZ49+IB49+ID49+IF49+IH49+IJ49+IL49+IN49+IP49+IR49+IT49+IV49+IX49+IZ49+JB49+JD49+JF49+JH49+JJ49+JL49+JZ49+CJ49+CL49+CN49+CP49+CR49+CT49+CV49+CX49+EX49+EZ49+FB49+FD49+FF49+FH49+FJ49+FL49</f>
        <v/>
      </c>
      <c r="KC49" s="186">
        <f>I49+K49+M49+O49+Q49+S49+U49+W49+Y49+AA49+AC49+AE49+AG49+AI49+AK49+AM49+AO49+AQ49+AS49+AU49+AW49+AY49+BA49+BC49+BE49+BG49+BI49+BK49+BM49+BO49+BQ49+BS49+BU49+BW49+BY49+CA49+CC49+CE49+CG49+CI49+DA49+DC49+DE49+DG49+DI49+DK49+DM49+DO49+DQ49+DS49+DU49+DW49+DY49+EA49+EC49+EE49+EG49+EI49+EK49+EM49+EO49+EQ49+ES49+EU49+EW49+FO49+FS49+FU49+FW49+FQ49+FY49+GA49+GC49+GE49+GG49+GI49+GK49+GM49+GO49+GQ49+GS49+GU49+GW49+GY49+HA49+HC49+HE49+HG49+HI49+HK49+HM49+HO49+HQ49+HS49+HU49+HW49+HY49+IA49+IC49+IE49+IG49+II49+IK49+IM49+IO49+IQ49+IS49+IU49+IW49+IY49+JA49+JC49+JE49+JG49+JI49+JK49+JM49+KA49+CK49+CM49+CO49+CQ49+CS49+CU49+CW49+CY49+EY49+FA49+FC49+FE49+FG49+FI49+FK49+FM49</f>
        <v/>
      </c>
      <c r="KD49" s="187">
        <f>JO49+JQ49+JS49+JU49+JW49+JY49</f>
        <v/>
      </c>
      <c r="KE49" s="188">
        <f>KB49=E49</f>
        <v/>
      </c>
      <c r="KF49" s="189">
        <f>E49-KB49</f>
        <v/>
      </c>
      <c r="KG49" s="210" t="n"/>
    </row>
    <row r="50" ht="21.75" customFormat="1" customHeight="1" s="195">
      <c r="A50" s="126">
        <f>A49+1</f>
        <v/>
      </c>
      <c r="B50" s="175" t="inlineStr">
        <is>
          <t>Чигоряев С.А.</t>
        </is>
      </c>
      <c r="C50" s="176" t="inlineStr">
        <is>
          <t>слесарь</t>
        </is>
      </c>
      <c r="D50" s="177">
        <f>$D$5</f>
        <v/>
      </c>
      <c r="E50" s="202" t="n">
        <v>159</v>
      </c>
      <c r="F50" s="193" t="n">
        <v>114943.61</v>
      </c>
      <c r="G50" s="179">
        <f>F50/D50</f>
        <v/>
      </c>
      <c r="H50" s="180" t="n"/>
      <c r="I50" s="140">
        <f>H50*100/$E$50</f>
        <v/>
      </c>
      <c r="J50" s="133" t="n"/>
      <c r="K50" s="140">
        <f>J50*100/$E$50</f>
        <v/>
      </c>
      <c r="L50" s="133" t="n"/>
      <c r="M50" s="140">
        <f>L50*100/$E$50</f>
        <v/>
      </c>
      <c r="N50" s="133" t="n"/>
      <c r="O50" s="140">
        <f>N50*100/$E$50</f>
        <v/>
      </c>
      <c r="P50" s="133" t="n"/>
      <c r="Q50" s="139">
        <f>P50*100/$E$50</f>
        <v/>
      </c>
      <c r="R50" s="133" t="n"/>
      <c r="S50" s="139">
        <f>R50*100/$E$50</f>
        <v/>
      </c>
      <c r="T50" s="133" t="n"/>
      <c r="U50" s="140">
        <f>T50*100/$E$50</f>
        <v/>
      </c>
      <c r="V50" s="133" t="n"/>
      <c r="W50" s="140">
        <f>V50*100/$E$50</f>
        <v/>
      </c>
      <c r="X50" s="133" t="n"/>
      <c r="Y50" s="140">
        <f>X50*100/$E$50</f>
        <v/>
      </c>
      <c r="Z50" s="133" t="n"/>
      <c r="AA50" s="140">
        <f>Z50*100/$E$50</f>
        <v/>
      </c>
      <c r="AB50" s="133" t="n"/>
      <c r="AC50" s="140">
        <f>AB50*100/$E$50</f>
        <v/>
      </c>
      <c r="AD50" s="133" t="n"/>
      <c r="AE50" s="139">
        <f>AD50*100/$E$50</f>
        <v/>
      </c>
      <c r="AF50" s="133" t="n"/>
      <c r="AG50" s="139">
        <f>AF50*100/$E$50</f>
        <v/>
      </c>
      <c r="AH50" s="133" t="n"/>
      <c r="AI50" s="140">
        <f>AH50*100/$E$50</f>
        <v/>
      </c>
      <c r="AJ50" s="133" t="n"/>
      <c r="AK50" s="140">
        <f>AJ50*100/$E$50</f>
        <v/>
      </c>
      <c r="AL50" s="133" t="n"/>
      <c r="AM50" s="140">
        <f>AL50*100/$E$50</f>
        <v/>
      </c>
      <c r="AN50" s="133" t="n"/>
      <c r="AO50" s="140">
        <f>AN50*100/$E$50</f>
        <v/>
      </c>
      <c r="AP50" s="133" t="n"/>
      <c r="AQ50" s="140">
        <f>AP50*100/$E$50</f>
        <v/>
      </c>
      <c r="AR50" s="133" t="n"/>
      <c r="AS50" s="140">
        <f>AR50*100/$E$50</f>
        <v/>
      </c>
      <c r="AT50" s="133" t="n"/>
      <c r="AU50" s="181">
        <f>AT50*100/$E$50</f>
        <v/>
      </c>
      <c r="AV50" s="133">
        <f>8+8+8+8+8+8+8+8+8+8+5+8+8+8+7</f>
        <v/>
      </c>
      <c r="AW50" s="140">
        <f>AV50*100/$E$50</f>
        <v/>
      </c>
      <c r="AX50" s="133" t="n"/>
      <c r="AY50" s="140">
        <f>AX50*100/$E$50</f>
        <v/>
      </c>
      <c r="AZ50" s="133" t="n"/>
      <c r="BA50" s="140">
        <f>AZ50*100/$E$50</f>
        <v/>
      </c>
      <c r="BB50" s="133" t="n"/>
      <c r="BC50" s="140">
        <f>BB50*100/$E$50</f>
        <v/>
      </c>
      <c r="BD50" s="133" t="n"/>
      <c r="BE50" s="140">
        <f>BD50*100/$E$50</f>
        <v/>
      </c>
      <c r="BF50" s="133" t="n"/>
      <c r="BG50" s="140">
        <f>BF50*100/$E$50</f>
        <v/>
      </c>
      <c r="BH50" s="133" t="n"/>
      <c r="BI50" s="140">
        <f>BH50*100/$E$50</f>
        <v/>
      </c>
      <c r="BJ50" s="133" t="n"/>
      <c r="BK50" s="140">
        <f>BJ50*100/$E$50</f>
        <v/>
      </c>
      <c r="BL50" s="133" t="n"/>
      <c r="BM50" s="140">
        <f>BL50*100/$E$50</f>
        <v/>
      </c>
      <c r="BN50" s="133" t="n"/>
      <c r="BO50" s="140">
        <f>BN50*100/$E$50</f>
        <v/>
      </c>
      <c r="BP50" s="133" t="n"/>
      <c r="BQ50" s="140">
        <f>BP50*100/$E$50</f>
        <v/>
      </c>
      <c r="BR50" s="133" t="n"/>
      <c r="BS50" s="140">
        <f>BR50*100/$E$50</f>
        <v/>
      </c>
      <c r="BT50" s="133" t="n"/>
      <c r="BU50" s="140">
        <f>BT50*100/$E$50</f>
        <v/>
      </c>
      <c r="BV50" s="133" t="n"/>
      <c r="BW50" s="140">
        <f>BV50*100/$E$50</f>
        <v/>
      </c>
      <c r="BX50" s="133" t="n"/>
      <c r="BY50" s="140">
        <f>BX50*100/$E$50</f>
        <v/>
      </c>
      <c r="BZ50" s="133" t="n"/>
      <c r="CA50" s="140">
        <f>BZ50*100/$E$50</f>
        <v/>
      </c>
      <c r="CB50" s="133" t="n"/>
      <c r="CC50" s="140">
        <f>CB50*100/$E$50</f>
        <v/>
      </c>
      <c r="CD50" s="133" t="n"/>
      <c r="CE50" s="140">
        <f>CD50*100/$E$50</f>
        <v/>
      </c>
      <c r="CF50" s="133" t="n"/>
      <c r="CG50" s="140">
        <f>CF50*100/$E$50</f>
        <v/>
      </c>
      <c r="CH50" s="133" t="n"/>
      <c r="CI50" s="140">
        <f>CH50*100/$E$50</f>
        <v/>
      </c>
      <c r="CJ50" s="133">
        <f>4+8</f>
        <v/>
      </c>
      <c r="CK50" s="140">
        <f>CJ50*100/$E$50</f>
        <v/>
      </c>
      <c r="CL50" s="133" t="n"/>
      <c r="CM50" s="140">
        <f>CL50*100/$E$50</f>
        <v/>
      </c>
      <c r="CN50" s="133" t="n"/>
      <c r="CO50" s="139">
        <f>CN50*100/$E$50</f>
        <v/>
      </c>
      <c r="CP50" s="133" t="n"/>
      <c r="CQ50" s="140">
        <f>CP50*100/$E$50</f>
        <v/>
      </c>
      <c r="CR50" s="133" t="n"/>
      <c r="CS50" s="139">
        <f>CR50*100/$E$50</f>
        <v/>
      </c>
      <c r="CT50" s="133" t="n"/>
      <c r="CU50" s="139">
        <f>CT50*100/$E$50</f>
        <v/>
      </c>
      <c r="CV50" s="133" t="n"/>
      <c r="CW50" s="139">
        <f>CV50*100/$E$50</f>
        <v/>
      </c>
      <c r="CX50" s="133" t="n"/>
      <c r="CY50" s="139">
        <f>CX50*100/$E$50</f>
        <v/>
      </c>
      <c r="CZ50" s="133" t="n"/>
      <c r="DA50" s="139">
        <f>CZ50*100/$E$50</f>
        <v/>
      </c>
      <c r="DB50" s="133" t="n"/>
      <c r="DC50" s="139">
        <f>DB50*100/$E$50</f>
        <v/>
      </c>
      <c r="DD50" s="133" t="n"/>
      <c r="DE50" s="139">
        <f>DD50*100/$E$50</f>
        <v/>
      </c>
      <c r="DF50" s="133" t="n"/>
      <c r="DG50" s="139">
        <f>DF50*100/$E$50</f>
        <v/>
      </c>
      <c r="DH50" s="133" t="n"/>
      <c r="DI50" s="139">
        <f>DH50*100/$E$50</f>
        <v/>
      </c>
      <c r="DJ50" s="133" t="n"/>
      <c r="DK50" s="139">
        <f>DJ50*100/$E$50</f>
        <v/>
      </c>
      <c r="DL50" s="133" t="n">
        <v>3</v>
      </c>
      <c r="DM50" s="139">
        <f>DL50*100/$E$50</f>
        <v/>
      </c>
      <c r="DN50" s="133" t="n"/>
      <c r="DO50" s="139">
        <f>DN50*100/$E$50</f>
        <v/>
      </c>
      <c r="DP50" s="133" t="n"/>
      <c r="DQ50" s="139">
        <f>DP50*100/$E$50</f>
        <v/>
      </c>
      <c r="DR50" s="133" t="n"/>
      <c r="DS50" s="139">
        <f>DR50*100/$E$50</f>
        <v/>
      </c>
      <c r="DT50" s="133" t="n"/>
      <c r="DU50" s="139">
        <f>DT50*100/$E$50</f>
        <v/>
      </c>
      <c r="DV50" s="133" t="n"/>
      <c r="DW50" s="139">
        <f>DV50*100/$E$50</f>
        <v/>
      </c>
      <c r="DX50" s="133" t="n"/>
      <c r="DY50" s="139">
        <f>DX50*100/$E$50</f>
        <v/>
      </c>
      <c r="DZ50" s="133" t="n"/>
      <c r="EA50" s="139">
        <f>DZ50*100/$E$50</f>
        <v/>
      </c>
      <c r="EB50" s="133" t="n"/>
      <c r="EC50" s="139">
        <f>EB50*100/$E$50</f>
        <v/>
      </c>
      <c r="ED50" s="133" t="n"/>
      <c r="EE50" s="139">
        <f>ED50*100/$E$50</f>
        <v/>
      </c>
      <c r="EF50" s="133" t="n"/>
      <c r="EG50" s="139">
        <f>EF50*100/$E$50</f>
        <v/>
      </c>
      <c r="EH50" s="133" t="n"/>
      <c r="EI50" s="139">
        <f>EH50*100/$E$50</f>
        <v/>
      </c>
      <c r="EJ50" s="133" t="n"/>
      <c r="EK50" s="139">
        <f>EJ50*100/$E$50</f>
        <v/>
      </c>
      <c r="EL50" s="133" t="n"/>
      <c r="EM50" s="139">
        <f>EL50*100/$E$50</f>
        <v/>
      </c>
      <c r="EN50" s="133" t="n"/>
      <c r="EO50" s="139">
        <f>EN50*100/$E$50</f>
        <v/>
      </c>
      <c r="EP50" s="133" t="n"/>
      <c r="EQ50" s="139">
        <f>EP50*100/$E$50</f>
        <v/>
      </c>
      <c r="ER50" s="133" t="n"/>
      <c r="ES50" s="139">
        <f>ER50*100/$E$50</f>
        <v/>
      </c>
      <c r="ET50" s="133" t="n"/>
      <c r="EU50" s="139">
        <f>ET50*100/$E$50</f>
        <v/>
      </c>
      <c r="EV50" s="133" t="n"/>
      <c r="EW50" s="139">
        <f>EV50*100/$E$50</f>
        <v/>
      </c>
      <c r="EX50" s="133" t="n"/>
      <c r="EY50" s="139">
        <f>EX50*100/$E$50</f>
        <v/>
      </c>
      <c r="EZ50" s="133" t="n"/>
      <c r="FA50" s="139">
        <f>EZ50*100/$E$50</f>
        <v/>
      </c>
      <c r="FB50" s="133" t="n"/>
      <c r="FC50" s="139">
        <f>FB50*100/$E$50</f>
        <v/>
      </c>
      <c r="FD50" s="133" t="n"/>
      <c r="FE50" s="139">
        <f>FD50*100/$E$50</f>
        <v/>
      </c>
      <c r="FF50" s="133" t="n"/>
      <c r="FG50" s="139">
        <f>FF50*100/$E$50</f>
        <v/>
      </c>
      <c r="FH50" s="133" t="n"/>
      <c r="FI50" s="139">
        <f>FH50*100/$E$50</f>
        <v/>
      </c>
      <c r="FJ50" s="133" t="n">
        <v>8</v>
      </c>
      <c r="FK50" s="139">
        <f>FJ50*100/$E$50</f>
        <v/>
      </c>
      <c r="FL50" s="133">
        <f>8+8+4</f>
        <v/>
      </c>
      <c r="FM50" s="139">
        <f>FL50*100/$E$50</f>
        <v/>
      </c>
      <c r="FN50" s="133" t="n"/>
      <c r="FO50" s="139">
        <f>FN50*100/$E$50</f>
        <v/>
      </c>
      <c r="FP50" s="133" t="n"/>
      <c r="FQ50" s="139">
        <f>FP50*100/$E$50</f>
        <v/>
      </c>
      <c r="FR50" s="133" t="n"/>
      <c r="FS50" s="139">
        <f>FR50*100/$E$50</f>
        <v/>
      </c>
      <c r="FT50" s="133" t="n"/>
      <c r="FU50" s="139">
        <f>FT50*100/$E$50</f>
        <v/>
      </c>
      <c r="FV50" s="133" t="n"/>
      <c r="FW50" s="139">
        <f>FV50*100/$E$50</f>
        <v/>
      </c>
      <c r="FX50" s="133" t="n"/>
      <c r="FY50" s="140">
        <f>FX50*100/$E$50</f>
        <v/>
      </c>
      <c r="FZ50" s="133" t="n"/>
      <c r="GA50" s="140">
        <f>FZ50*100/$E$50</f>
        <v/>
      </c>
      <c r="GB50" s="133" t="n"/>
      <c r="GC50" s="140">
        <f>GB50*100/$E$50</f>
        <v/>
      </c>
      <c r="GD50" s="133" t="n"/>
      <c r="GE50" s="140">
        <f>GD50*100/$E$50</f>
        <v/>
      </c>
      <c r="GF50" s="133" t="n"/>
      <c r="GG50" s="140">
        <f>GF50*100/$E$50</f>
        <v/>
      </c>
      <c r="GH50" s="133" t="n"/>
      <c r="GI50" s="140">
        <f>GH50*100/$E$50</f>
        <v/>
      </c>
      <c r="GJ50" s="133" t="n"/>
      <c r="GK50" s="139">
        <f>GJ50*100/$E$50</f>
        <v/>
      </c>
      <c r="GL50" s="133" t="n"/>
      <c r="GM50" s="140">
        <f>GL50*100/$E$50</f>
        <v/>
      </c>
      <c r="GN50" s="133" t="n"/>
      <c r="GO50" s="139">
        <f>GN50*100/$E$50</f>
        <v/>
      </c>
      <c r="GP50" s="133" t="n"/>
      <c r="GQ50" s="140">
        <f>GP50*100/$E$50</f>
        <v/>
      </c>
      <c r="GR50" s="133" t="n"/>
      <c r="GS50" s="139">
        <f>GR50*100/$E$50</f>
        <v/>
      </c>
      <c r="GT50" s="133" t="n"/>
      <c r="GU50" s="139">
        <f>GT50*100/$E$50</f>
        <v/>
      </c>
      <c r="GV50" s="133" t="n"/>
      <c r="GW50" s="139">
        <f>GV50*100/$E$50</f>
        <v/>
      </c>
      <c r="GX50" s="133" t="n"/>
      <c r="GY50" s="140">
        <f>GX50*100/$E$50</f>
        <v/>
      </c>
      <c r="GZ50" s="133" t="n"/>
      <c r="HA50" s="140">
        <f>GZ50*100/$E$50</f>
        <v/>
      </c>
      <c r="HB50" s="133" t="n"/>
      <c r="HC50" s="140">
        <f>HB50*100/$E$50</f>
        <v/>
      </c>
      <c r="HD50" s="133" t="n"/>
      <c r="HE50" s="140">
        <f>HD50*100/$E$50</f>
        <v/>
      </c>
      <c r="HF50" s="133" t="n"/>
      <c r="HG50" s="140">
        <f>HF50*100/$E$50</f>
        <v/>
      </c>
      <c r="HH50" s="133" t="n"/>
      <c r="HI50" s="140">
        <f>HH50*100/$E$50</f>
        <v/>
      </c>
      <c r="HJ50" s="133" t="n"/>
      <c r="HK50" s="140">
        <f>HJ50*100/$E$50</f>
        <v/>
      </c>
      <c r="HL50" s="133" t="n"/>
      <c r="HM50" s="140">
        <f>HL50*100/$E$50</f>
        <v/>
      </c>
      <c r="HN50" s="133" t="n"/>
      <c r="HO50" s="140">
        <f>HN50*100/$E$50</f>
        <v/>
      </c>
      <c r="HP50" s="133" t="n"/>
      <c r="HQ50" s="140">
        <f>HP50*100/$E$50</f>
        <v/>
      </c>
      <c r="HR50" s="133" t="n"/>
      <c r="HS50" s="140">
        <f>HR50*100/$E$50</f>
        <v/>
      </c>
      <c r="HT50" s="133" t="n"/>
      <c r="HU50" s="140">
        <f>HT50*100/$E$50</f>
        <v/>
      </c>
      <c r="HV50" s="133" t="n"/>
      <c r="HW50" s="140">
        <f>HV50*100/$E$50</f>
        <v/>
      </c>
      <c r="HX50" s="133" t="n"/>
      <c r="HY50" s="140">
        <f>HX50*100/$E$50</f>
        <v/>
      </c>
      <c r="HZ50" s="133" t="n"/>
      <c r="IA50" s="139">
        <f>HZ50*100/$E$50</f>
        <v/>
      </c>
      <c r="IB50" s="133" t="n"/>
      <c r="IC50" s="139">
        <f>IB50*100/$E$50</f>
        <v/>
      </c>
      <c r="ID50" s="133" t="n"/>
      <c r="IE50" s="139">
        <f>ID50*100/$E$50</f>
        <v/>
      </c>
      <c r="IF50" s="133" t="n"/>
      <c r="IG50" s="139">
        <f>IF50*100/$E$50</f>
        <v/>
      </c>
      <c r="IH50" s="133" t="n"/>
      <c r="II50" s="139">
        <f>IH50*100/$E$50</f>
        <v/>
      </c>
      <c r="IJ50" s="133" t="n"/>
      <c r="IK50" s="139">
        <f>IJ50*100/$E$50</f>
        <v/>
      </c>
      <c r="IL50" s="133" t="n"/>
      <c r="IM50" s="140">
        <f>IL50*100/$E$50</f>
        <v/>
      </c>
      <c r="IN50" s="133" t="n"/>
      <c r="IO50" s="140">
        <f>IN50*100/$E$50</f>
        <v/>
      </c>
      <c r="IP50" s="133" t="n"/>
      <c r="IQ50" s="139">
        <f>IP50*100/$E$50</f>
        <v/>
      </c>
      <c r="IR50" s="133" t="n"/>
      <c r="IS50" s="139">
        <f>IR50*100/$E$50</f>
        <v/>
      </c>
      <c r="IT50" s="133" t="n"/>
      <c r="IU50" s="139">
        <f>IT50*100/$E$50</f>
        <v/>
      </c>
      <c r="IV50" s="133" t="n"/>
      <c r="IW50" s="139">
        <f>IV50*100/$E$50</f>
        <v/>
      </c>
      <c r="IX50" s="133" t="n"/>
      <c r="IY50" s="139">
        <f>IX50*100/$E$50</f>
        <v/>
      </c>
      <c r="IZ50" s="133" t="n"/>
      <c r="JA50" s="139">
        <f>IZ50*100/$E$50</f>
        <v/>
      </c>
      <c r="JB50" s="133" t="n"/>
      <c r="JC50" s="139">
        <f>JB50*100/$E$50</f>
        <v/>
      </c>
      <c r="JD50" s="133" t="n"/>
      <c r="JE50" s="139">
        <f>JD50*100/$E$50</f>
        <v/>
      </c>
      <c r="JF50" s="133" t="n"/>
      <c r="JG50" s="139">
        <f>JF50*100/$E$50</f>
        <v/>
      </c>
      <c r="JH50" s="133" t="n"/>
      <c r="JI50" s="139">
        <f>JH50*100/$E$50</f>
        <v/>
      </c>
      <c r="JJ50" s="133" t="n"/>
      <c r="JK50" s="139">
        <f>JJ50*100/$E$50</f>
        <v/>
      </c>
      <c r="JL50" s="133" t="n"/>
      <c r="JM50" s="139">
        <f>JL50*100/$E$50</f>
        <v/>
      </c>
      <c r="JN50" s="133" t="n"/>
      <c r="JO50" s="139">
        <f>JN50*100/$E$50</f>
        <v/>
      </c>
      <c r="JP50" s="133" t="n"/>
      <c r="JQ50" s="139">
        <f>JP50*100/$E$50</f>
        <v/>
      </c>
      <c r="JR50" s="133" t="n"/>
      <c r="JS50" s="139">
        <f>JR50*100/$E$50</f>
        <v/>
      </c>
      <c r="JT50" s="133" t="n"/>
      <c r="JU50" s="182">
        <f>JT50*100/$E$50</f>
        <v/>
      </c>
      <c r="JV50" s="133" t="n"/>
      <c r="JW50" s="182">
        <f>JV50*100/$E$50</f>
        <v/>
      </c>
      <c r="JX50" s="133" t="n"/>
      <c r="JY50" s="182">
        <f>JX50*100/$E$50</f>
        <v/>
      </c>
      <c r="JZ50" s="183">
        <f>JN50+JP50+JR50+JT50+JV50+JX50</f>
        <v/>
      </c>
      <c r="KA50" s="184">
        <f>JO50+JQ50+JS50+JU50+JW50+JY50</f>
        <v/>
      </c>
      <c r="KB50" s="185">
        <f>H50+J50+L50+N50+P50+R50+T50+V50+X50+Z50+AB50+AD50+AF50+AH50+AJ50+AL50+AN50+AP50+AR50+AT50+AV50+AX50+AZ50+BB50+BD50+BF50+BH50+BJ50+BL50+BN50+BP50+BR50+BT50+BV50+BX50+BZ50+CB50+CD50+CF50+CH50+CZ50+DB50+DD50+DF50+DH50+DJ50+DL50+DN50+DP50+DR50+DT50+DV50+DX50+DZ50+EB50+ED50+EF50+EH50+EJ50+EL50+EN50+EP50+ER50+ET50+EV50+FN50+FP50+FR50+FT50+FV50+FX50+FZ50+GB50+GD50+GF50+GH50+GJ50+GL50+GN50+GP50+GR50+GT50+GV50+GX50+GZ50+HB50+HD50+HF50+HH50+HJ50+HL50+HN50+HP50+HR50+HT50+HV50+HX50+HZ50+IB50+ID50+IF50+IH50+IJ50+IL50+IN50+IP50+IR50+IT50+IV50+IX50+IZ50+JB50+JD50+JF50+JH50+JJ50+JL50+JZ50+CJ50+CL50+CN50+CP50+CR50+CT50+CV50+CX50+EX50+EZ50+FB50+FD50+FF50+FH50+FJ50+FL50</f>
        <v/>
      </c>
      <c r="KC50" s="186">
        <f>I50+K50+M50+O50+Q50+S50+U50+W50+Y50+AA50+AC50+AE50+AG50+AI50+AK50+AM50+AO50+AQ50+AS50+AU50+AW50+AY50+BA50+BC50+BE50+BG50+BI50+BK50+BM50+BO50+BQ50+BS50+BU50+BW50+BY50+CA50+CC50+CE50+CG50+CI50+DA50+DC50+DE50+DG50+DI50+DK50+DM50+DO50+DQ50+DS50+DU50+DW50+DY50+EA50+EC50+EE50+EG50+EI50+EK50+EM50+EO50+EQ50+ES50+EU50+EW50+FO50+FS50+FU50+FW50+FQ50+FY50+GA50+GC50+GE50+GG50+GI50+GK50+GM50+GO50+GQ50+GS50+GU50+GW50+GY50+HA50+HC50+HE50+HG50+HI50+HK50+HM50+HO50+HQ50+HS50+HU50+HW50+HY50+IA50+IC50+IE50+IG50+II50+IK50+IM50+IO50+IQ50+IS50+IU50+IW50+IY50+JA50+JC50+JE50+JG50+JI50+JK50+JM50+KA50+CK50+CM50+CO50+CQ50+CS50+CU50+CW50+CY50+EY50+FA50+FC50+FE50+FG50+FI50+FK50+FM50</f>
        <v/>
      </c>
      <c r="KD50" s="187">
        <f>JO50+JQ50+JS50+JU50+JW50+JY50</f>
        <v/>
      </c>
      <c r="KE50" s="188">
        <f>KB50=E50</f>
        <v/>
      </c>
      <c r="KF50" s="189">
        <f>E50-KB50</f>
        <v/>
      </c>
      <c r="KG50" s="196" t="n"/>
    </row>
    <row r="51" ht="22.5" customFormat="1" customHeight="1" s="210" thickBot="1">
      <c r="A51" s="126">
        <f>A50+1</f>
        <v/>
      </c>
      <c r="B51" s="175" t="inlineStr">
        <is>
          <t>Южиков А.Ю.</t>
        </is>
      </c>
      <c r="C51" s="176" t="inlineStr">
        <is>
          <t>сварщик</t>
        </is>
      </c>
      <c r="D51" s="177">
        <f>$D$5</f>
        <v/>
      </c>
      <c r="E51" s="202" t="n">
        <v>166</v>
      </c>
      <c r="F51" s="193" t="n">
        <v>75739.21000000001</v>
      </c>
      <c r="G51" s="179">
        <f>F51/D51</f>
        <v/>
      </c>
      <c r="H51" s="180" t="n"/>
      <c r="I51" s="140">
        <f>H51*100/$E$51</f>
        <v/>
      </c>
      <c r="J51" s="133" t="n"/>
      <c r="K51" s="140">
        <f>J51*100/$E$51</f>
        <v/>
      </c>
      <c r="L51" s="133" t="n"/>
      <c r="M51" s="140">
        <f>L51*100/$E$51</f>
        <v/>
      </c>
      <c r="N51" s="133" t="n"/>
      <c r="O51" s="140">
        <f>N51*100/$E$51</f>
        <v/>
      </c>
      <c r="P51" s="133" t="n"/>
      <c r="Q51" s="139">
        <f>P51*100/$E$51</f>
        <v/>
      </c>
      <c r="R51" s="180" t="n"/>
      <c r="S51" s="139">
        <f>R51*100/$E$51</f>
        <v/>
      </c>
      <c r="T51" s="133" t="n"/>
      <c r="U51" s="140">
        <f>T51*100/$E$51</f>
        <v/>
      </c>
      <c r="V51" s="133" t="n"/>
      <c r="W51" s="140">
        <f>V51*100/$E$51</f>
        <v/>
      </c>
      <c r="X51" s="133" t="n"/>
      <c r="Y51" s="140">
        <f>X51*100/$E$51</f>
        <v/>
      </c>
      <c r="Z51" s="133" t="n"/>
      <c r="AA51" s="140">
        <f>Z51*100/$E$51</f>
        <v/>
      </c>
      <c r="AB51" s="133" t="n"/>
      <c r="AC51" s="140">
        <f>AB51*100/$E$51</f>
        <v/>
      </c>
      <c r="AD51" s="133" t="n"/>
      <c r="AE51" s="139">
        <f>AD51*100/$E$51</f>
        <v/>
      </c>
      <c r="AF51" s="133" t="n"/>
      <c r="AG51" s="139">
        <f>AF51*100/$E$51</f>
        <v/>
      </c>
      <c r="AH51" s="133" t="n"/>
      <c r="AI51" s="140">
        <f>AH51*100/$E$51</f>
        <v/>
      </c>
      <c r="AJ51" s="133" t="n"/>
      <c r="AK51" s="140">
        <f>AJ51*100/$E$51</f>
        <v/>
      </c>
      <c r="AL51" s="133" t="n"/>
      <c r="AM51" s="140">
        <f>AL51*100/$E$51</f>
        <v/>
      </c>
      <c r="AN51" s="133" t="n"/>
      <c r="AO51" s="140">
        <f>AN51*100/$E$51</f>
        <v/>
      </c>
      <c r="AP51" s="133" t="n"/>
      <c r="AQ51" s="140">
        <f>AP51*100/$E$51</f>
        <v/>
      </c>
      <c r="AR51" s="133" t="n"/>
      <c r="AS51" s="140">
        <f>AR51*100/$E$51</f>
        <v/>
      </c>
      <c r="AT51" s="133" t="n"/>
      <c r="AU51" s="181">
        <f>AT51*100/$E$51</f>
        <v/>
      </c>
      <c r="AV51" s="133" t="n">
        <v>4</v>
      </c>
      <c r="AW51" s="140">
        <f>AV51*100/$E$51</f>
        <v/>
      </c>
      <c r="AX51" s="133" t="n"/>
      <c r="AY51" s="140">
        <f>AX51*100/$E$51</f>
        <v/>
      </c>
      <c r="AZ51" s="133" t="n"/>
      <c r="BA51" s="140">
        <f>AZ51*100/$E$51</f>
        <v/>
      </c>
      <c r="BB51" s="133" t="n"/>
      <c r="BC51" s="140">
        <f>BB51*100/$E$51</f>
        <v/>
      </c>
      <c r="BD51" s="133" t="n"/>
      <c r="BE51" s="140">
        <f>BD51*100/$E$51</f>
        <v/>
      </c>
      <c r="BF51" s="133" t="n"/>
      <c r="BG51" s="140">
        <f>BF51*100/$E$51</f>
        <v/>
      </c>
      <c r="BH51" s="133" t="n"/>
      <c r="BI51" s="140">
        <f>BH51*100/$E$51</f>
        <v/>
      </c>
      <c r="BJ51" s="133" t="n"/>
      <c r="BK51" s="140">
        <f>BJ51*100/$E$51</f>
        <v/>
      </c>
      <c r="BL51" s="133" t="n"/>
      <c r="BM51" s="140">
        <f>BL51*100/$E$51</f>
        <v/>
      </c>
      <c r="BN51" s="133" t="n"/>
      <c r="BO51" s="140">
        <f>BN51*100/$E$51</f>
        <v/>
      </c>
      <c r="BP51" s="133" t="n"/>
      <c r="BQ51" s="140">
        <f>BP51*100/$E$51</f>
        <v/>
      </c>
      <c r="BR51" s="133" t="n"/>
      <c r="BS51" s="140">
        <f>BR51*100/$E$51</f>
        <v/>
      </c>
      <c r="BT51" s="133" t="n"/>
      <c r="BU51" s="140">
        <f>BT51*100/$E$51</f>
        <v/>
      </c>
      <c r="BV51" s="133" t="n"/>
      <c r="BW51" s="140">
        <f>BV51*100/$E$51</f>
        <v/>
      </c>
      <c r="BX51" s="133" t="n"/>
      <c r="BY51" s="140">
        <f>BX51*100/$E$51</f>
        <v/>
      </c>
      <c r="BZ51" s="133" t="n"/>
      <c r="CA51" s="140">
        <f>BZ51*100/$E$51</f>
        <v/>
      </c>
      <c r="CB51" s="133" t="n"/>
      <c r="CC51" s="140">
        <f>CB51*100/$E$51</f>
        <v/>
      </c>
      <c r="CD51" s="133" t="n"/>
      <c r="CE51" s="140">
        <f>CD51*100/$E$51</f>
        <v/>
      </c>
      <c r="CF51" s="133" t="n"/>
      <c r="CG51" s="140">
        <f>CF51*100/$E$51</f>
        <v/>
      </c>
      <c r="CH51" s="133" t="n"/>
      <c r="CI51" s="140">
        <f>CH51*100/$E$51</f>
        <v/>
      </c>
      <c r="CJ51" s="133" t="n"/>
      <c r="CK51" s="140">
        <f>CJ51*100/$E$51</f>
        <v/>
      </c>
      <c r="CL51" s="133" t="n"/>
      <c r="CM51" s="140">
        <f>CL51*100/$E$51</f>
        <v/>
      </c>
      <c r="CN51" s="133" t="n"/>
      <c r="CO51" s="139">
        <f>CN51*100/$E$51</f>
        <v/>
      </c>
      <c r="CP51" s="133" t="n"/>
      <c r="CQ51" s="140">
        <f>CP51*100/$E$51</f>
        <v/>
      </c>
      <c r="CR51" s="133" t="n">
        <v>5</v>
      </c>
      <c r="CS51" s="139">
        <f>CR51*100/$E$51</f>
        <v/>
      </c>
      <c r="CT51" s="133" t="n"/>
      <c r="CU51" s="139">
        <f>CT51*100/$E$51</f>
        <v/>
      </c>
      <c r="CV51" s="133" t="n"/>
      <c r="CW51" s="139">
        <f>CV51*100/$E$51</f>
        <v/>
      </c>
      <c r="CX51" s="133" t="n">
        <v>1</v>
      </c>
      <c r="CY51" s="139">
        <f>CX51*100/$E$51</f>
        <v/>
      </c>
      <c r="CZ51" s="133" t="n"/>
      <c r="DA51" s="139">
        <f>CZ51*100/$E$51</f>
        <v/>
      </c>
      <c r="DB51" s="133" t="n"/>
      <c r="DC51" s="139">
        <f>DB51*100/$E$51</f>
        <v/>
      </c>
      <c r="DD51" s="133" t="n"/>
      <c r="DE51" s="139">
        <f>DD51*100/$E$51</f>
        <v/>
      </c>
      <c r="DF51" s="133" t="n"/>
      <c r="DG51" s="139">
        <f>DF51*100/$E$51</f>
        <v/>
      </c>
      <c r="DH51" s="133" t="n"/>
      <c r="DI51" s="139">
        <f>DH51*100/$E$51</f>
        <v/>
      </c>
      <c r="DJ51" s="133" t="n"/>
      <c r="DK51" s="139">
        <f>DJ51*100/$E$51</f>
        <v/>
      </c>
      <c r="DL51" s="133" t="n"/>
      <c r="DM51" s="139">
        <f>DL51*100/$E$51</f>
        <v/>
      </c>
      <c r="DN51" s="133" t="n"/>
      <c r="DO51" s="139">
        <f>DN51*100/$E$51</f>
        <v/>
      </c>
      <c r="DP51" s="133" t="n"/>
      <c r="DQ51" s="139">
        <f>DP51*100/$E$51</f>
        <v/>
      </c>
      <c r="DR51" s="133" t="n"/>
      <c r="DS51" s="139">
        <f>DR51*100/$E$51</f>
        <v/>
      </c>
      <c r="DT51" s="133" t="n"/>
      <c r="DU51" s="139">
        <f>DT51*100/$E$51</f>
        <v/>
      </c>
      <c r="DV51" s="133" t="n"/>
      <c r="DW51" s="139">
        <f>DV51*100/$E$51</f>
        <v/>
      </c>
      <c r="DX51" s="133" t="n"/>
      <c r="DY51" s="139">
        <f>DX51*100/$E$51</f>
        <v/>
      </c>
      <c r="DZ51" s="133" t="n"/>
      <c r="EA51" s="139">
        <f>DZ51*100/$E$51</f>
        <v/>
      </c>
      <c r="EB51" s="133">
        <f>4+6+4</f>
        <v/>
      </c>
      <c r="EC51" s="139">
        <f>EB51*100/$E$51</f>
        <v/>
      </c>
      <c r="ED51" s="133" t="n"/>
      <c r="EE51" s="139">
        <f>ED51*100/$E$51</f>
        <v/>
      </c>
      <c r="EF51" s="133" t="n"/>
      <c r="EG51" s="139">
        <f>EF51*100/$E$51</f>
        <v/>
      </c>
      <c r="EH51" s="133" t="n"/>
      <c r="EI51" s="139">
        <f>EH51*100/$E$51</f>
        <v/>
      </c>
      <c r="EJ51" s="133" t="n">
        <v>6</v>
      </c>
      <c r="EK51" s="139">
        <f>EJ51*100/$E$51</f>
        <v/>
      </c>
      <c r="EL51" s="133" t="n"/>
      <c r="EM51" s="139">
        <f>EL51*100/$E$51</f>
        <v/>
      </c>
      <c r="EN51" s="133" t="n"/>
      <c r="EO51" s="139">
        <f>EN51*100/$E$51</f>
        <v/>
      </c>
      <c r="EP51" s="133" t="n"/>
      <c r="EQ51" s="139">
        <f>EP51*100/$E$51</f>
        <v/>
      </c>
      <c r="ER51" s="133" t="n"/>
      <c r="ES51" s="139">
        <f>ER51*100/$E$51</f>
        <v/>
      </c>
      <c r="ET51" s="133" t="n"/>
      <c r="EU51" s="139">
        <f>ET51*100/$E$51</f>
        <v/>
      </c>
      <c r="EV51" s="133" t="n"/>
      <c r="EW51" s="139">
        <f>EV51*100/$E$51</f>
        <v/>
      </c>
      <c r="EX51" s="133" t="n"/>
      <c r="EY51" s="139">
        <f>EX51*100/$E$51</f>
        <v/>
      </c>
      <c r="EZ51" s="133" t="n"/>
      <c r="FA51" s="139">
        <f>EZ51*100/$E$51</f>
        <v/>
      </c>
      <c r="FB51" s="133" t="n"/>
      <c r="FC51" s="139">
        <f>FB51*100/$E$51</f>
        <v/>
      </c>
      <c r="FD51" s="133" t="n"/>
      <c r="FE51" s="139">
        <f>FD51*100/$E$51</f>
        <v/>
      </c>
      <c r="FF51" s="133">
        <f>4+8+8+8+11</f>
        <v/>
      </c>
      <c r="FG51" s="139">
        <f>FF51*100/$E$51</f>
        <v/>
      </c>
      <c r="FH51" s="133" t="n"/>
      <c r="FI51" s="139">
        <f>FH51*100/$E$51</f>
        <v/>
      </c>
      <c r="FJ51" s="133" t="n">
        <v>2.5</v>
      </c>
      <c r="FK51" s="139">
        <f>FJ51*100/$E$51</f>
        <v/>
      </c>
      <c r="FL51" s="133" t="n"/>
      <c r="FM51" s="139">
        <f>FL51*100/$E$51</f>
        <v/>
      </c>
      <c r="FN51" s="133" t="n"/>
      <c r="FO51" s="139">
        <f>FN51*100/$E$51</f>
        <v/>
      </c>
      <c r="FP51" s="133" t="n"/>
      <c r="FQ51" s="139">
        <f>FP51*100/$E$51</f>
        <v/>
      </c>
      <c r="FR51" s="133" t="n"/>
      <c r="FS51" s="139">
        <f>FR51*100/$E$51</f>
        <v/>
      </c>
      <c r="FT51" s="133" t="n"/>
      <c r="FU51" s="139">
        <f>FT51*100/$E$51</f>
        <v/>
      </c>
      <c r="FV51" s="133" t="n"/>
      <c r="FW51" s="139">
        <f>FV51*100/$E$51</f>
        <v/>
      </c>
      <c r="FX51" s="133" t="n"/>
      <c r="FY51" s="140">
        <f>FX51*100/$E$51</f>
        <v/>
      </c>
      <c r="FZ51" s="133" t="n">
        <v>4</v>
      </c>
      <c r="GA51" s="140">
        <f>FZ51*100/$E$51</f>
        <v/>
      </c>
      <c r="GB51" s="133" t="n"/>
      <c r="GC51" s="140">
        <f>GB51*100/$E$51</f>
        <v/>
      </c>
      <c r="GD51" s="133" t="n"/>
      <c r="GE51" s="140">
        <f>GD51*100/$E$51</f>
        <v/>
      </c>
      <c r="GF51" s="133" t="n"/>
      <c r="GG51" s="140">
        <f>GF51*100/$E$51</f>
        <v/>
      </c>
      <c r="GH51" s="133" t="n"/>
      <c r="GI51" s="140">
        <f>GH51*100/$E$51</f>
        <v/>
      </c>
      <c r="GJ51" s="133" t="n"/>
      <c r="GK51" s="139">
        <f>GJ51*100/$E$51</f>
        <v/>
      </c>
      <c r="GL51" s="133" t="n"/>
      <c r="GM51" s="140">
        <f>GL51*100/$E$51</f>
        <v/>
      </c>
      <c r="GN51" s="133" t="n"/>
      <c r="GO51" s="139">
        <f>GN51*100/$E$51</f>
        <v/>
      </c>
      <c r="GP51" s="133" t="n"/>
      <c r="GQ51" s="140">
        <f>GP51*100/$E$51</f>
        <v/>
      </c>
      <c r="GR51" s="133" t="n"/>
      <c r="GS51" s="139">
        <f>GR51*100/$E$51</f>
        <v/>
      </c>
      <c r="GT51" s="133" t="n"/>
      <c r="GU51" s="139">
        <f>GT51*100/$E$51</f>
        <v/>
      </c>
      <c r="GV51" s="133" t="n"/>
      <c r="GW51" s="139">
        <f>GV51*100/$E$51</f>
        <v/>
      </c>
      <c r="GX51" s="133" t="n"/>
      <c r="GY51" s="140">
        <f>GX51*100/$E$51</f>
        <v/>
      </c>
      <c r="GZ51" s="133" t="n"/>
      <c r="HA51" s="140">
        <f>GZ51*100/$E$51</f>
        <v/>
      </c>
      <c r="HB51" s="133" t="n"/>
      <c r="HC51" s="140">
        <f>HB51*100/$E$51</f>
        <v/>
      </c>
      <c r="HD51" s="133" t="n"/>
      <c r="HE51" s="140">
        <f>HD51*100/$E$51</f>
        <v/>
      </c>
      <c r="HF51" s="133" t="n"/>
      <c r="HG51" s="140">
        <f>HF51*100/$E$51</f>
        <v/>
      </c>
      <c r="HH51" s="133" t="n"/>
      <c r="HI51" s="140">
        <f>HH51*100/$E$51</f>
        <v/>
      </c>
      <c r="HJ51" s="133" t="n"/>
      <c r="HK51" s="140">
        <f>HJ51*100/$E$51</f>
        <v/>
      </c>
      <c r="HL51" s="133" t="n"/>
      <c r="HM51" s="140">
        <f>HL51*100/$E$51</f>
        <v/>
      </c>
      <c r="HN51" s="133" t="n"/>
      <c r="HO51" s="140">
        <f>HN51*100/$E$51</f>
        <v/>
      </c>
      <c r="HP51" s="133" t="n"/>
      <c r="HQ51" s="140">
        <f>HP51*100/$E$51</f>
        <v/>
      </c>
      <c r="HR51" s="133" t="n"/>
      <c r="HS51" s="140">
        <f>HR51*100/$E$51</f>
        <v/>
      </c>
      <c r="HT51" s="133" t="n"/>
      <c r="HU51" s="140">
        <f>HT51*100/$E$51</f>
        <v/>
      </c>
      <c r="HV51" s="133" t="n"/>
      <c r="HW51" s="140">
        <f>HV51*100/$E$51</f>
        <v/>
      </c>
      <c r="HX51" s="133" t="n"/>
      <c r="HY51" s="140">
        <f>HX51*100/$E$51</f>
        <v/>
      </c>
      <c r="HZ51" s="133" t="n"/>
      <c r="IA51" s="139">
        <f>HZ51*100/$E$51</f>
        <v/>
      </c>
      <c r="IB51" s="133" t="n"/>
      <c r="IC51" s="139">
        <f>IB51*100/$E$51</f>
        <v/>
      </c>
      <c r="ID51" s="133" t="n"/>
      <c r="IE51" s="139">
        <f>ID51*100/$E$51</f>
        <v/>
      </c>
      <c r="IF51" s="133" t="n"/>
      <c r="IG51" s="139">
        <f>IF51*100/$E$51</f>
        <v/>
      </c>
      <c r="IH51" s="133" t="n"/>
      <c r="II51" s="139">
        <f>IH51*100/$E$51</f>
        <v/>
      </c>
      <c r="IJ51" s="133" t="n"/>
      <c r="IK51" s="139">
        <f>IJ51*100/$E$51</f>
        <v/>
      </c>
      <c r="IL51" s="133" t="n"/>
      <c r="IM51" s="140">
        <f>IL51*100/$E$51</f>
        <v/>
      </c>
      <c r="IN51" s="133" t="n"/>
      <c r="IO51" s="140">
        <f>IN51*100/$E$51</f>
        <v/>
      </c>
      <c r="IP51" s="133" t="n"/>
      <c r="IQ51" s="139">
        <f>IP51*100/$E$51</f>
        <v/>
      </c>
      <c r="IR51" s="133" t="n"/>
      <c r="IS51" s="139">
        <f>IR51*100/$E$51</f>
        <v/>
      </c>
      <c r="IT51" s="133" t="n"/>
      <c r="IU51" s="139">
        <f>IT51*100/$E$51</f>
        <v/>
      </c>
      <c r="IV51" s="133" t="n"/>
      <c r="IW51" s="139">
        <f>IV51*100/$E$51</f>
        <v/>
      </c>
      <c r="IX51" s="133" t="n"/>
      <c r="IY51" s="139">
        <f>IX51*100/$E$51</f>
        <v/>
      </c>
      <c r="IZ51" s="133" t="n"/>
      <c r="JA51" s="139">
        <f>IZ51*100/$E$51</f>
        <v/>
      </c>
      <c r="JB51" s="133" t="n"/>
      <c r="JC51" s="139">
        <f>JB51*100/$E$51</f>
        <v/>
      </c>
      <c r="JD51" s="133" t="n"/>
      <c r="JE51" s="139">
        <f>JD51*100/$E$51</f>
        <v/>
      </c>
      <c r="JF51" s="133" t="n"/>
      <c r="JG51" s="139">
        <f>JF51*100/$E$51</f>
        <v/>
      </c>
      <c r="JH51" s="133" t="n"/>
      <c r="JI51" s="139">
        <f>JH51*100/$E$51</f>
        <v/>
      </c>
      <c r="JJ51" s="133" t="n"/>
      <c r="JK51" s="139">
        <f>JJ51*100/$E$51</f>
        <v/>
      </c>
      <c r="JL51" s="133">
        <f>4+1+1.5+8+8+4</f>
        <v/>
      </c>
      <c r="JM51" s="139">
        <f>JL51*100/$E$51</f>
        <v/>
      </c>
      <c r="JN51" s="133" t="n"/>
      <c r="JO51" s="139">
        <f>JN51*100/$E$51</f>
        <v/>
      </c>
      <c r="JP51" s="133" t="n"/>
      <c r="JQ51" s="139">
        <f>JP51*100/$E$51</f>
        <v/>
      </c>
      <c r="JR51" s="133">
        <f>8+4+4+8+4+4+8+8+8+8</f>
        <v/>
      </c>
      <c r="JS51" s="139">
        <f>JR51*100/$E$51</f>
        <v/>
      </c>
      <c r="JT51" s="133" t="n"/>
      <c r="JU51" s="182">
        <f>JT51*100/$E$51</f>
        <v/>
      </c>
      <c r="JV51" s="133" t="n"/>
      <c r="JW51" s="182">
        <f>JV51*100/$E$51</f>
        <v/>
      </c>
      <c r="JX51" s="133" t="n"/>
      <c r="JY51" s="182">
        <f>JX51*100/$E$51</f>
        <v/>
      </c>
      <c r="JZ51" s="183">
        <f>JN51+JP51+JR51+JT51+JV51+JX51</f>
        <v/>
      </c>
      <c r="KA51" s="184">
        <f>JO51+JQ51+JS51+JU51+JW51+JY51</f>
        <v/>
      </c>
      <c r="KB51" s="185">
        <f>H51+J51+L51+N51+P51+R51+T51+V51+X51+Z51+AB51+AD51+AF51+AH51+AJ51+AL51+AN51+AP51+AR51+AT51+AV51+AX51+AZ51+BB51+BD51+BF51+BH51+BJ51+BL51+BN51+BP51+BR51+BT51+BV51+BX51+BZ51+CB51+CD51+CF51+CH51+CZ51+DB51+DD51+DF51+DH51+DJ51+DL51+DN51+DP51+DR51+DT51+DV51+DX51+DZ51+EB51+ED51+EF51+EH51+EJ51+EL51+EN51+EP51+ER51+ET51+EV51+FN51+FP51+FR51+FT51+FV51+FX51+FZ51+GB51+GD51+GF51+GH51+GJ51+GL51+GN51+GP51+GR51+GT51+GV51+GX51+GZ51+HB51+HD51+HF51+HH51+HJ51+HL51+HN51+HP51+HR51+HT51+HV51+HX51+HZ51+IB51+ID51+IF51+IH51+IJ51+IL51+IN51+IP51+IR51+IT51+IV51+IX51+IZ51+JB51+JD51+JF51+JH51+JJ51+JL51+JZ51+CJ51+CL51+CN51+CP51+CR51+CT51+CV51+CX51+EX51+EZ51+FB51+FD51+FF51+FH51+FJ51+FL51</f>
        <v/>
      </c>
      <c r="KC51" s="186">
        <f>I51+K51+M51+O51+Q51+S51+U51+W51+Y51+AA51+AC51+AE51+AG51+AI51+AK51+AM51+AO51+AQ51+AS51+AU51+AW51+AY51+BA51+BC51+BE51+BG51+BI51+BK51+BM51+BO51+BQ51+BS51+BU51+BW51+BY51+CA51+CC51+CE51+CG51+CI51+DA51+DC51+DE51+DG51+DI51+DK51+DM51+DO51+DQ51+DS51+DU51+DW51+DY51+EA51+EC51+EE51+EG51+EI51+EK51+EM51+EO51+EQ51+ES51+EU51+EW51+FO51+FS51+FU51+FW51+FQ51+FY51+GA51+GC51+GE51+GG51+GI51+GK51+GM51+GO51+GQ51+GS51+GU51+GW51+GY51+HA51+HC51+HE51+HG51+HI51+HK51+HM51+HO51+HQ51+HS51+HU51+HW51+HY51+IA51+IC51+IE51+IG51+II51+IK51+IM51+IO51+IQ51+IS51+IU51+IW51+IY51+JA51+JC51+JE51+JG51+JI51+JK51+JM51+KA51+CK51+CM51+CO51+CQ51+CS51+CU51+CW51+CY51+EY51+FA51+FC51+FE51+FG51+FI51+FK51+FM51</f>
        <v/>
      </c>
      <c r="KD51" s="187">
        <f>JO51+JQ51+JS51+JU51+JW51+JY51</f>
        <v/>
      </c>
      <c r="KE51" s="188">
        <f>KB51=E51</f>
        <v/>
      </c>
      <c r="KF51" s="189">
        <f>E51-KB51</f>
        <v/>
      </c>
      <c r="KG51" s="239" t="n"/>
    </row>
    <row r="52" ht="29.25" customFormat="1" customHeight="1" s="100" thickBot="1">
      <c r="A52" s="129" t="n"/>
      <c r="B52" s="135" t="inlineStr">
        <is>
          <t>Итого</t>
        </is>
      </c>
      <c r="C52" s="91" t="n"/>
      <c r="D52" s="131">
        <f>SUM(D9:D51)</f>
        <v/>
      </c>
      <c r="E52" s="31">
        <f>SUM(E9:E51)</f>
        <v/>
      </c>
      <c r="F52" s="92">
        <f>SUM(F9:F51)</f>
        <v/>
      </c>
      <c r="G52" s="105">
        <f>E52*F53</f>
        <v/>
      </c>
      <c r="H52" s="95">
        <f>SUM(H9:H51)</f>
        <v/>
      </c>
      <c r="I52" s="96">
        <f>SUM(I9:I51)</f>
        <v/>
      </c>
      <c r="J52" s="89">
        <f>SUM(J9:J51)</f>
        <v/>
      </c>
      <c r="K52" s="96">
        <f>SUM(K9:K51)</f>
        <v/>
      </c>
      <c r="L52" s="89">
        <f>SUM(L9:L51)</f>
        <v/>
      </c>
      <c r="M52" s="96">
        <f>SUM(M9:M51)</f>
        <v/>
      </c>
      <c r="N52" s="89">
        <f>SUM(N9:N51)</f>
        <v/>
      </c>
      <c r="O52" s="96">
        <f>SUM(O9:O51)</f>
        <v/>
      </c>
      <c r="P52" s="89">
        <f>SUM(P9:P51)</f>
        <v/>
      </c>
      <c r="Q52" s="96">
        <f>SUM(Q9:Q51)</f>
        <v/>
      </c>
      <c r="R52" s="95">
        <f>SUM(R9:R51)</f>
        <v/>
      </c>
      <c r="S52" s="96">
        <f>SUM(S9:S51)</f>
        <v/>
      </c>
      <c r="T52" s="89">
        <f>SUM(T9:T51)</f>
        <v/>
      </c>
      <c r="U52" s="96">
        <f>SUM(U9:U51)</f>
        <v/>
      </c>
      <c r="V52" s="89">
        <f>SUM(V9:V51)</f>
        <v/>
      </c>
      <c r="W52" s="96">
        <f>SUM(W9:W51)</f>
        <v/>
      </c>
      <c r="X52" s="89">
        <f>SUM(X9:X51)</f>
        <v/>
      </c>
      <c r="Y52" s="96">
        <f>SUM(Y9:Y51)</f>
        <v/>
      </c>
      <c r="Z52" s="89">
        <f>SUM(Z9:Z51)</f>
        <v/>
      </c>
      <c r="AA52" s="96">
        <f>SUM(AA9:AA51)</f>
        <v/>
      </c>
      <c r="AB52" s="89">
        <f>SUM(AB9:AB51)</f>
        <v/>
      </c>
      <c r="AC52" s="96">
        <f>SUM(AC9:AC51)</f>
        <v/>
      </c>
      <c r="AD52" s="89">
        <f>SUM(AD9:AD51)</f>
        <v/>
      </c>
      <c r="AE52" s="96">
        <f>SUM(AE9:AE51)</f>
        <v/>
      </c>
      <c r="AF52" s="89">
        <f>SUM(AF9:AF51)</f>
        <v/>
      </c>
      <c r="AG52" s="96">
        <f>SUM(AG9:AG51)</f>
        <v/>
      </c>
      <c r="AH52" s="89">
        <f>SUM(AH9:AH51)</f>
        <v/>
      </c>
      <c r="AI52" s="96">
        <f>SUM(AI9:AI51)</f>
        <v/>
      </c>
      <c r="AJ52" s="89">
        <f>SUM(AJ9:AJ51)</f>
        <v/>
      </c>
      <c r="AK52" s="96">
        <f>SUM(AK9:AK51)</f>
        <v/>
      </c>
      <c r="AL52" s="89">
        <f>SUM(AL9:AL51)</f>
        <v/>
      </c>
      <c r="AM52" s="96">
        <f>SUM(AM9:AM51)</f>
        <v/>
      </c>
      <c r="AN52" s="89">
        <f>SUM(AN9:AN51)</f>
        <v/>
      </c>
      <c r="AO52" s="96">
        <f>SUM(AO9:AO51)</f>
        <v/>
      </c>
      <c r="AP52" s="89">
        <f>SUM(AP9:AP51)</f>
        <v/>
      </c>
      <c r="AQ52" s="96">
        <f>SUM(AQ9:AQ51)</f>
        <v/>
      </c>
      <c r="AR52" s="89">
        <f>SUM(AR9:AR51)</f>
        <v/>
      </c>
      <c r="AS52" s="96">
        <f>SUM(AS9:AS51)</f>
        <v/>
      </c>
      <c r="AT52" s="89">
        <f>SUM(AT9:AT51)</f>
        <v/>
      </c>
      <c r="AU52" s="96">
        <f>SUM(AU9:AU51)</f>
        <v/>
      </c>
      <c r="AV52" s="89">
        <f>SUM(AV9:AV51)</f>
        <v/>
      </c>
      <c r="AW52" s="96">
        <f>SUM(AW9:AW51)</f>
        <v/>
      </c>
      <c r="AX52" s="89">
        <f>SUM(AX9:AX51)</f>
        <v/>
      </c>
      <c r="AY52" s="96">
        <f>SUM(AY9:AY51)</f>
        <v/>
      </c>
      <c r="AZ52" s="89">
        <f>SUM(AZ9:AZ51)</f>
        <v/>
      </c>
      <c r="BA52" s="96">
        <f>SUM(BA9:BA51)</f>
        <v/>
      </c>
      <c r="BB52" s="89">
        <f>SUM(BB9:BB51)</f>
        <v/>
      </c>
      <c r="BC52" s="96">
        <f>SUM(BC9:BC51)</f>
        <v/>
      </c>
      <c r="BD52" s="89">
        <f>SUM(BD9:BD51)</f>
        <v/>
      </c>
      <c r="BE52" s="96">
        <f>SUM(BE9:BE51)</f>
        <v/>
      </c>
      <c r="BF52" s="89">
        <f>SUM(BF9:BF51)</f>
        <v/>
      </c>
      <c r="BG52" s="96">
        <f>SUM(BG9:BG51)</f>
        <v/>
      </c>
      <c r="BH52" s="89">
        <f>SUM(BH9:BH51)</f>
        <v/>
      </c>
      <c r="BI52" s="96">
        <f>SUM(BI9:BI51)</f>
        <v/>
      </c>
      <c r="BJ52" s="89">
        <f>SUM(BJ9:BJ51)</f>
        <v/>
      </c>
      <c r="BK52" s="96">
        <f>SUM(BK9:BK51)</f>
        <v/>
      </c>
      <c r="BL52" s="89">
        <f>SUM(BL9:BL51)</f>
        <v/>
      </c>
      <c r="BM52" s="96">
        <f>SUM(BM9:BM51)</f>
        <v/>
      </c>
      <c r="BN52" s="89">
        <f>SUM(BN9:BN51)</f>
        <v/>
      </c>
      <c r="BO52" s="96">
        <f>SUM(BO9:BO51)</f>
        <v/>
      </c>
      <c r="BP52" s="89">
        <f>SUM(BP9:BP51)</f>
        <v/>
      </c>
      <c r="BQ52" s="96">
        <f>SUM(BQ9:BQ51)</f>
        <v/>
      </c>
      <c r="BR52" s="89">
        <f>SUM(BR9:BR51)</f>
        <v/>
      </c>
      <c r="BS52" s="96">
        <f>SUM(BS9:BS51)</f>
        <v/>
      </c>
      <c r="BT52" s="89">
        <f>SUM(BT9:BT51)</f>
        <v/>
      </c>
      <c r="BU52" s="96">
        <f>SUM(BU9:BU51)</f>
        <v/>
      </c>
      <c r="BV52" s="89">
        <f>SUM(BV9:BV51)</f>
        <v/>
      </c>
      <c r="BW52" s="96">
        <f>SUM(BW9:BW51)</f>
        <v/>
      </c>
      <c r="BX52" s="89">
        <f>SUM(BX9:BX51)</f>
        <v/>
      </c>
      <c r="BY52" s="96">
        <f>SUM(BY9:BY51)</f>
        <v/>
      </c>
      <c r="BZ52" s="89">
        <f>SUM(BZ9:BZ51)</f>
        <v/>
      </c>
      <c r="CA52" s="96">
        <f>SUM(CA9:CA51)</f>
        <v/>
      </c>
      <c r="CB52" s="89">
        <f>SUM(CB9:CB51)</f>
        <v/>
      </c>
      <c r="CC52" s="96">
        <f>SUM(CC9:CC51)</f>
        <v/>
      </c>
      <c r="CD52" s="89">
        <f>SUM(CD9:CD51)</f>
        <v/>
      </c>
      <c r="CE52" s="96">
        <f>SUM(CE9:CE51)</f>
        <v/>
      </c>
      <c r="CF52" s="89">
        <f>SUM(CF9:CF51)</f>
        <v/>
      </c>
      <c r="CG52" s="96">
        <f>SUM(CG9:CG51)</f>
        <v/>
      </c>
      <c r="CH52" s="89">
        <f>SUM(CH9:CH51)</f>
        <v/>
      </c>
      <c r="CI52" s="96">
        <f>SUM(CI9:CI51)</f>
        <v/>
      </c>
      <c r="CJ52" s="89">
        <f>SUM(CJ9:CJ51)</f>
        <v/>
      </c>
      <c r="CK52" s="96">
        <f>SUM(CK9:CK51)</f>
        <v/>
      </c>
      <c r="CL52" s="89">
        <f>SUM(CL9:CL51)</f>
        <v/>
      </c>
      <c r="CM52" s="96">
        <f>SUM(CM9:CM51)</f>
        <v/>
      </c>
      <c r="CN52" s="89">
        <f>SUM(CN9:CN51)</f>
        <v/>
      </c>
      <c r="CO52" s="96">
        <f>SUM(CO9:CO51)</f>
        <v/>
      </c>
      <c r="CP52" s="89">
        <f>SUM(CP9:CP51)</f>
        <v/>
      </c>
      <c r="CQ52" s="96">
        <f>SUM(CQ9:CQ51)</f>
        <v/>
      </c>
      <c r="CR52" s="89">
        <f>SUM(CR9:CR51)</f>
        <v/>
      </c>
      <c r="CS52" s="96">
        <f>SUM(CS9:CS51)</f>
        <v/>
      </c>
      <c r="CT52" s="89">
        <f>SUM(CT9:CT51)</f>
        <v/>
      </c>
      <c r="CU52" s="96">
        <f>SUM(CU9:CU51)</f>
        <v/>
      </c>
      <c r="CV52" s="89">
        <f>SUM(CV9:CV51)</f>
        <v/>
      </c>
      <c r="CW52" s="96">
        <f>SUM(CW9:CW51)</f>
        <v/>
      </c>
      <c r="CX52" s="89">
        <f>SUM(CX9:CX51)</f>
        <v/>
      </c>
      <c r="CY52" s="96">
        <f>SUM(CY9:CY51)</f>
        <v/>
      </c>
      <c r="CZ52" s="89">
        <f>SUM(CZ9:CZ51)</f>
        <v/>
      </c>
      <c r="DA52" s="96">
        <f>SUM(DA9:DA51)</f>
        <v/>
      </c>
      <c r="DB52" s="89">
        <f>SUM(DB9:DB51)</f>
        <v/>
      </c>
      <c r="DC52" s="96">
        <f>SUM(DC9:DC51)</f>
        <v/>
      </c>
      <c r="DD52" s="89">
        <f>SUM(DD9:DD51)</f>
        <v/>
      </c>
      <c r="DE52" s="96">
        <f>SUM(DE9:DE51)</f>
        <v/>
      </c>
      <c r="DF52" s="89">
        <f>SUM(DF9:DF51)</f>
        <v/>
      </c>
      <c r="DG52" s="96">
        <f>SUM(DG9:DG51)</f>
        <v/>
      </c>
      <c r="DH52" s="89">
        <f>SUM(DH9:DH51)</f>
        <v/>
      </c>
      <c r="DI52" s="96">
        <f>SUM(DI9:DI51)</f>
        <v/>
      </c>
      <c r="DJ52" s="89">
        <f>SUM(DJ9:DJ51)</f>
        <v/>
      </c>
      <c r="DK52" s="96">
        <f>SUM(DK9:DK51)</f>
        <v/>
      </c>
      <c r="DL52" s="89">
        <f>SUM(DL9:DL51)</f>
        <v/>
      </c>
      <c r="DM52" s="96">
        <f>SUM(DM9:DM51)</f>
        <v/>
      </c>
      <c r="DN52" s="89">
        <f>SUM(DN9:DN51)</f>
        <v/>
      </c>
      <c r="DO52" s="96">
        <f>SUM(DO9:DO51)</f>
        <v/>
      </c>
      <c r="DP52" s="89">
        <f>SUM(DP9:DP51)</f>
        <v/>
      </c>
      <c r="DQ52" s="96">
        <f>SUM(DQ9:DQ51)</f>
        <v/>
      </c>
      <c r="DR52" s="89">
        <f>SUM(DR9:DR51)</f>
        <v/>
      </c>
      <c r="DS52" s="96">
        <f>SUM(DS9:DS51)</f>
        <v/>
      </c>
      <c r="DT52" s="89">
        <f>SUM(DT9:DT51)</f>
        <v/>
      </c>
      <c r="DU52" s="96">
        <f>SUM(DU9:DU51)</f>
        <v/>
      </c>
      <c r="DV52" s="89">
        <f>SUM(DV9:DV51)</f>
        <v/>
      </c>
      <c r="DW52" s="96">
        <f>SUM(DW9:DW51)</f>
        <v/>
      </c>
      <c r="DX52" s="89">
        <f>SUM(DX9:DX51)</f>
        <v/>
      </c>
      <c r="DY52" s="96">
        <f>SUM(DY9:DY51)</f>
        <v/>
      </c>
      <c r="DZ52" s="89">
        <f>SUM(DZ9:DZ51)</f>
        <v/>
      </c>
      <c r="EA52" s="96">
        <f>SUM(EA9:EA51)</f>
        <v/>
      </c>
      <c r="EB52" s="89">
        <f>SUM(EB9:EB51)</f>
        <v/>
      </c>
      <c r="EC52" s="96">
        <f>SUM(EC9:EC51)</f>
        <v/>
      </c>
      <c r="ED52" s="89">
        <f>SUM(ED9:ED51)</f>
        <v/>
      </c>
      <c r="EE52" s="96">
        <f>SUM(EE9:EE51)</f>
        <v/>
      </c>
      <c r="EF52" s="89">
        <f>SUM(EF9:EF51)</f>
        <v/>
      </c>
      <c r="EG52" s="96">
        <f>SUM(EG9:EG51)</f>
        <v/>
      </c>
      <c r="EH52" s="89">
        <f>SUM(EH9:EH51)</f>
        <v/>
      </c>
      <c r="EI52" s="96">
        <f>SUM(EI9:EI51)</f>
        <v/>
      </c>
      <c r="EJ52" s="89">
        <f>SUM(EJ9:EJ51)</f>
        <v/>
      </c>
      <c r="EK52" s="96">
        <f>SUM(EK9:EK51)</f>
        <v/>
      </c>
      <c r="EL52" s="89">
        <f>SUM(EL9:EL51)</f>
        <v/>
      </c>
      <c r="EM52" s="96">
        <f>SUM(EM9:EM51)</f>
        <v/>
      </c>
      <c r="EN52" s="89">
        <f>SUM(EN9:EN51)</f>
        <v/>
      </c>
      <c r="EO52" s="96">
        <f>SUM(EO9:EO51)</f>
        <v/>
      </c>
      <c r="EP52" s="89">
        <f>SUM(EP9:EP51)</f>
        <v/>
      </c>
      <c r="EQ52" s="96">
        <f>SUM(EQ9:EQ51)</f>
        <v/>
      </c>
      <c r="ER52" s="89">
        <f>SUM(ER9:ER51)</f>
        <v/>
      </c>
      <c r="ES52" s="96">
        <f>SUM(ES9:ES51)</f>
        <v/>
      </c>
      <c r="ET52" s="89">
        <f>SUM(ET9:ET51)</f>
        <v/>
      </c>
      <c r="EU52" s="96">
        <f>SUM(EU9:EU51)</f>
        <v/>
      </c>
      <c r="EV52" s="89">
        <f>SUM(EV9:EV51)</f>
        <v/>
      </c>
      <c r="EW52" s="96">
        <f>SUM(EW9:EW51)</f>
        <v/>
      </c>
      <c r="EX52" s="89">
        <f>SUM(EX9:EX51)</f>
        <v/>
      </c>
      <c r="EY52" s="96">
        <f>SUM(EY9:EY51)</f>
        <v/>
      </c>
      <c r="EZ52" s="89">
        <f>SUM(EZ9:EZ51)</f>
        <v/>
      </c>
      <c r="FA52" s="96">
        <f>SUM(FA9:FA51)</f>
        <v/>
      </c>
      <c r="FB52" s="89">
        <f>SUM(FB9:FB51)</f>
        <v/>
      </c>
      <c r="FC52" s="96">
        <f>SUM(FC9:FC51)</f>
        <v/>
      </c>
      <c r="FD52" s="89">
        <f>SUM(FD9:FD51)</f>
        <v/>
      </c>
      <c r="FE52" s="96">
        <f>SUM(FE9:FE51)</f>
        <v/>
      </c>
      <c r="FF52" s="89">
        <f>SUM(FF9:FF51)</f>
        <v/>
      </c>
      <c r="FG52" s="96">
        <f>SUM(FG9:FG51)</f>
        <v/>
      </c>
      <c r="FH52" s="89">
        <f>SUM(FH9:FH51)</f>
        <v/>
      </c>
      <c r="FI52" s="96">
        <f>SUM(FI9:FI51)</f>
        <v/>
      </c>
      <c r="FJ52" s="89">
        <f>SUM(FJ9:FJ51)</f>
        <v/>
      </c>
      <c r="FK52" s="96">
        <f>SUM(FK9:FK51)</f>
        <v/>
      </c>
      <c r="FL52" s="89">
        <f>SUM(FL9:FL51)</f>
        <v/>
      </c>
      <c r="FM52" s="96">
        <f>SUM(FM9:FM51)</f>
        <v/>
      </c>
      <c r="FN52" s="89">
        <f>SUM(FN9:FN51)</f>
        <v/>
      </c>
      <c r="FO52" s="96">
        <f>SUM(FO9:FO51)</f>
        <v/>
      </c>
      <c r="FP52" s="89">
        <f>SUM(FP9:FP51)</f>
        <v/>
      </c>
      <c r="FQ52" s="96">
        <f>SUM(FQ9:FQ51)</f>
        <v/>
      </c>
      <c r="FR52" s="89">
        <f>SUM(FR9:FR51)</f>
        <v/>
      </c>
      <c r="FS52" s="96">
        <f>SUM(FS9:FS51)</f>
        <v/>
      </c>
      <c r="FT52" s="89">
        <f>SUM(FT9:FT51)</f>
        <v/>
      </c>
      <c r="FU52" s="96">
        <f>SUM(FU9:FU51)</f>
        <v/>
      </c>
      <c r="FV52" s="89">
        <f>SUM(FV9:FV51)</f>
        <v/>
      </c>
      <c r="FW52" s="96">
        <f>SUM(FW9:FW51)</f>
        <v/>
      </c>
      <c r="FX52" s="89">
        <f>SUM(FX9:FX51)</f>
        <v/>
      </c>
      <c r="FY52" s="96">
        <f>SUM(FY9:FY51)</f>
        <v/>
      </c>
      <c r="FZ52" s="89">
        <f>SUM(FZ9:FZ51)</f>
        <v/>
      </c>
      <c r="GA52" s="96">
        <f>SUM(GA9:GA51)</f>
        <v/>
      </c>
      <c r="GB52" s="89">
        <f>SUM(GB9:GB51)</f>
        <v/>
      </c>
      <c r="GC52" s="96">
        <f>SUM(GC9:GC51)</f>
        <v/>
      </c>
      <c r="GD52" s="89">
        <f>SUM(GD9:GD51)</f>
        <v/>
      </c>
      <c r="GE52" s="96">
        <f>SUM(GE9:GE51)</f>
        <v/>
      </c>
      <c r="GF52" s="89">
        <f>SUM(GF9:GF51)</f>
        <v/>
      </c>
      <c r="GG52" s="96">
        <f>SUM(GG9:GG51)</f>
        <v/>
      </c>
      <c r="GH52" s="89">
        <f>SUM(GH9:GH51)</f>
        <v/>
      </c>
      <c r="GI52" s="96">
        <f>SUM(GI9:GI51)</f>
        <v/>
      </c>
      <c r="GJ52" s="89">
        <f>SUM(GJ9:GJ51)</f>
        <v/>
      </c>
      <c r="GK52" s="96">
        <f>SUM(GK9:GK51)</f>
        <v/>
      </c>
      <c r="GL52" s="89">
        <f>SUM(GL9:GL51)</f>
        <v/>
      </c>
      <c r="GM52" s="96">
        <f>SUM(GM9:GM51)</f>
        <v/>
      </c>
      <c r="GN52" s="89">
        <f>SUM(GN9:GN51)</f>
        <v/>
      </c>
      <c r="GO52" s="96">
        <f>SUM(GO9:GO51)</f>
        <v/>
      </c>
      <c r="GP52" s="89">
        <f>SUM(GP9:GP51)</f>
        <v/>
      </c>
      <c r="GQ52" s="96">
        <f>SUM(GQ9:GQ51)</f>
        <v/>
      </c>
      <c r="GR52" s="89">
        <f>SUM(GR9:GR51)</f>
        <v/>
      </c>
      <c r="GS52" s="96">
        <f>SUM(GS9:GS51)</f>
        <v/>
      </c>
      <c r="GT52" s="89">
        <f>SUM(GT9:GT51)</f>
        <v/>
      </c>
      <c r="GU52" s="96">
        <f>SUM(GU9:GU51)</f>
        <v/>
      </c>
      <c r="GV52" s="89">
        <f>SUM(GV9:GV51)</f>
        <v/>
      </c>
      <c r="GW52" s="96">
        <f>SUM(GW9:GW51)</f>
        <v/>
      </c>
      <c r="GX52" s="89">
        <f>SUM(GX9:GX51)</f>
        <v/>
      </c>
      <c r="GY52" s="96">
        <f>SUM(GY9:GY51)</f>
        <v/>
      </c>
      <c r="GZ52" s="89">
        <f>SUM(GZ9:GZ51)</f>
        <v/>
      </c>
      <c r="HA52" s="96">
        <f>SUM(HA9:HA51)</f>
        <v/>
      </c>
      <c r="HB52" s="89">
        <f>SUM(HB9:HB51)</f>
        <v/>
      </c>
      <c r="HC52" s="96">
        <f>SUM(HC9:HC51)</f>
        <v/>
      </c>
      <c r="HD52" s="89">
        <f>SUM(HD9:HD51)</f>
        <v/>
      </c>
      <c r="HE52" s="96">
        <f>SUM(HE9:HE51)</f>
        <v/>
      </c>
      <c r="HF52" s="89">
        <f>SUM(HF9:HF51)</f>
        <v/>
      </c>
      <c r="HG52" s="96">
        <f>SUM(HG9:HG51)</f>
        <v/>
      </c>
      <c r="HH52" s="89">
        <f>SUM(HH9:HH51)</f>
        <v/>
      </c>
      <c r="HI52" s="96">
        <f>SUM(HI9:HI51)</f>
        <v/>
      </c>
      <c r="HJ52" s="89">
        <f>SUM(HJ9:HJ51)</f>
        <v/>
      </c>
      <c r="HK52" s="96">
        <f>SUM(HK9:HK51)</f>
        <v/>
      </c>
      <c r="HL52" s="89">
        <f>SUM(HL9:HL51)</f>
        <v/>
      </c>
      <c r="HM52" s="96">
        <f>SUM(HM9:HM51)</f>
        <v/>
      </c>
      <c r="HN52" s="89">
        <f>SUM(HN9:HN51)</f>
        <v/>
      </c>
      <c r="HO52" s="96">
        <f>SUM(HO9:HO51)</f>
        <v/>
      </c>
      <c r="HP52" s="89">
        <f>SUM(HP9:HP51)</f>
        <v/>
      </c>
      <c r="HQ52" s="96">
        <f>SUM(HQ9:HQ51)</f>
        <v/>
      </c>
      <c r="HR52" s="89">
        <f>SUM(HR9:HR51)</f>
        <v/>
      </c>
      <c r="HS52" s="96">
        <f>SUM(HS9:HS51)</f>
        <v/>
      </c>
      <c r="HT52" s="89">
        <f>SUM(HT9:HT51)</f>
        <v/>
      </c>
      <c r="HU52" s="96">
        <f>SUM(HU9:HU51)</f>
        <v/>
      </c>
      <c r="HV52" s="89">
        <f>SUM(HV9:HV51)</f>
        <v/>
      </c>
      <c r="HW52" s="96">
        <f>SUM(HW9:HW51)</f>
        <v/>
      </c>
      <c r="HX52" s="89">
        <f>SUM(HX9:HX51)</f>
        <v/>
      </c>
      <c r="HY52" s="96">
        <f>SUM(HY9:HY51)</f>
        <v/>
      </c>
      <c r="HZ52" s="89">
        <f>SUM(HZ9:HZ51)</f>
        <v/>
      </c>
      <c r="IA52" s="96">
        <f>SUM(IA9:IA51)</f>
        <v/>
      </c>
      <c r="IB52" s="89">
        <f>SUM(IB9:IB51)</f>
        <v/>
      </c>
      <c r="IC52" s="96">
        <f>SUM(IC9:IC51)</f>
        <v/>
      </c>
      <c r="ID52" s="89">
        <f>SUM(ID9:ID51)</f>
        <v/>
      </c>
      <c r="IE52" s="96">
        <f>SUM(IE9:IE51)</f>
        <v/>
      </c>
      <c r="IF52" s="89">
        <f>SUM(IF9:IF51)</f>
        <v/>
      </c>
      <c r="IG52" s="96">
        <f>SUM(IG9:IG51)</f>
        <v/>
      </c>
      <c r="IH52" s="89">
        <f>SUM(IH9:IH51)</f>
        <v/>
      </c>
      <c r="II52" s="96">
        <f>SUM(II9:II51)</f>
        <v/>
      </c>
      <c r="IJ52" s="89">
        <f>SUM(IJ9:IJ51)</f>
        <v/>
      </c>
      <c r="IK52" s="96">
        <f>SUM(IK9:IK51)</f>
        <v/>
      </c>
      <c r="IL52" s="89">
        <f>SUM(IL9:IL51)</f>
        <v/>
      </c>
      <c r="IM52" s="96">
        <f>SUM(IM9:IM51)</f>
        <v/>
      </c>
      <c r="IN52" s="89">
        <f>SUM(IN9:IN51)</f>
        <v/>
      </c>
      <c r="IO52" s="96">
        <f>SUM(IO9:IO51)</f>
        <v/>
      </c>
      <c r="IP52" s="89">
        <f>SUM(IP9:IP51)</f>
        <v/>
      </c>
      <c r="IQ52" s="96">
        <f>SUM(IQ9:IQ51)</f>
        <v/>
      </c>
      <c r="IR52" s="89">
        <f>SUM(IR9:IR51)</f>
        <v/>
      </c>
      <c r="IS52" s="96">
        <f>SUM(IS9:IS51)</f>
        <v/>
      </c>
      <c r="IT52" s="89">
        <f>SUM(IT9:IT51)</f>
        <v/>
      </c>
      <c r="IU52" s="96">
        <f>SUM(IU9:IU51)</f>
        <v/>
      </c>
      <c r="IV52" s="89">
        <f>SUM(IV9:IV51)</f>
        <v/>
      </c>
      <c r="IW52" s="96">
        <f>SUM(IW9:IW51)</f>
        <v/>
      </c>
      <c r="IX52" s="89">
        <f>SUM(IX9:IX51)</f>
        <v/>
      </c>
      <c r="IY52" s="96">
        <f>SUM(IY9:IY51)</f>
        <v/>
      </c>
      <c r="IZ52" s="89">
        <f>SUM(IZ9:IZ51)</f>
        <v/>
      </c>
      <c r="JA52" s="96">
        <f>SUM(JA9:JA51)</f>
        <v/>
      </c>
      <c r="JB52" s="89">
        <f>SUM(JB9:JB51)</f>
        <v/>
      </c>
      <c r="JC52" s="96">
        <f>SUM(JC9:JC51)</f>
        <v/>
      </c>
      <c r="JD52" s="89">
        <f>SUM(JD9:JD51)</f>
        <v/>
      </c>
      <c r="JE52" s="96">
        <f>SUM(JE9:JE51)</f>
        <v/>
      </c>
      <c r="JF52" s="89">
        <f>SUM(JF9:JF51)</f>
        <v/>
      </c>
      <c r="JG52" s="96">
        <f>SUM(JG9:JG51)</f>
        <v/>
      </c>
      <c r="JH52" s="89">
        <f>SUM(JH9:JH51)</f>
        <v/>
      </c>
      <c r="JI52" s="96">
        <f>SUM(JI9:JI51)</f>
        <v/>
      </c>
      <c r="JJ52" s="89">
        <f>SUM(JJ9:JJ51)</f>
        <v/>
      </c>
      <c r="JK52" s="96">
        <f>SUM(JK9:JK51)</f>
        <v/>
      </c>
      <c r="JL52" s="89">
        <f>SUM(JL9:JL51)</f>
        <v/>
      </c>
      <c r="JM52" s="96">
        <f>SUM(JM9:JM51)</f>
        <v/>
      </c>
      <c r="JN52" s="89">
        <f>SUM(JN9:JN51)</f>
        <v/>
      </c>
      <c r="JO52" s="96">
        <f>SUM(JO9:JO51)</f>
        <v/>
      </c>
      <c r="JP52" s="89">
        <f>SUM(JP9:JP51)</f>
        <v/>
      </c>
      <c r="JQ52" s="96">
        <f>SUM(JQ9:JQ51)</f>
        <v/>
      </c>
      <c r="JR52" s="89">
        <f>SUM(JR9:JR51)</f>
        <v/>
      </c>
      <c r="JS52" s="96">
        <f>SUM(JS9:JS51)</f>
        <v/>
      </c>
      <c r="JT52" s="94">
        <f>SUM(JT9:JT51)</f>
        <v/>
      </c>
      <c r="JU52" s="102">
        <f>JT52*100/$E$22</f>
        <v/>
      </c>
      <c r="JV52" s="94">
        <f>SUM(JV9:JV51)</f>
        <v/>
      </c>
      <c r="JW52" s="102">
        <f>JV52*100/$E$22</f>
        <v/>
      </c>
      <c r="JX52" s="94">
        <f>SUM(JX9:JX51)</f>
        <v/>
      </c>
      <c r="JY52" s="102">
        <f>JX52*100/$E$22</f>
        <v/>
      </c>
      <c r="JZ52" s="102">
        <f>JN52+JP52+JR52+JT52+JV52+JX52</f>
        <v/>
      </c>
      <c r="KA52" s="106">
        <f>SUM(KA9:KA51)</f>
        <v/>
      </c>
      <c r="KB52" s="104">
        <f>H52+J52+L52+N52+P52+R52+T52+V52+X52+Z52+AB52+AD52+AF52+AH52+AJ52+AL52+AN52+AP52+AR52+AT52+AV52+AX52+AZ52+BB52+BD52+BF52+BH52+BJ52+BL52+BN52+BP52+BR52+BT52+BV52+BX52+BZ52+CB52+CD52+CF52+CH52+CZ52+DB52+DD52+DF52+DH52+DJ52+DL52+DN52+DP52+DR52+DT52+DV52+DX52+DZ52+EB52+ED52+EF52+EH52+EJ52+EL52+EN52+EP52+ER52+ET52+EV52+FN52+FP52+FR52+FT52+FV52+FX52+FZ52+GB52+GD52+GF52+GH52+GJ52+GL52+GN52+GP52+GR52+GT52+GV52+GX52+GZ52+HB52+HD52+HF52+HH52+HJ52+HL52+HN52+HP52+HR52+HT52+HV52+HX52+HZ52+IB52+ID52+IF52+IH52+IJ52+IL52+IN52+IP52+IR52+IT52+IV52+IX52+IZ52+JB52+JD52+JF52+JH52+JJ52+JL52+JZ52+CJ52+CL52+CN52+CP52+CR52+CT52+CV52+CX52+EX52+EZ52+FB52+FD52+FF52+FH52+FJ52+FL52</f>
        <v/>
      </c>
      <c r="KC52" s="116">
        <f>I52+K52+M52+O52+Q52+S52+U52+W52+Y52+AA52+AC52+AE52+AG52+AI52+AK52+AM52+AO52+AQ52+AS52+AU52+AW52+AY52+BA52+BC52+BE52+BG52+BI52+BK52+BM52+BO52+BQ52+BS52+BU52+BW52+BY52+CA52+CC52+CE52+CG52+CI52+DA52+DC52+DE52+DG52+DI52+DK52+DM52+DO52+DQ52+DS52+DU52+DW52+DY52+EA52+EC52+EE52+EG52+EI52+EK52+EM52+EO52+EQ52+ES52+EU52+EW52+FO52+FS52+FU52+FW52+FQ52+FY52+GA52+GC52+GE52+GG52+GI52+GK52+GM52+GO52+GQ52+GS52+GU52+GW52+GY52+HA52+HC52+HE52+HG52+HI52+HK52+HM52+HO52+HQ52+HS52+HU52+HW52+HY52+IA52+IC52+IE52+IG52+II52+IK52+IM52+IO52+IQ52+IS52+IU52+IW52+IY52+JA52+JC52+JE52+JG52+JI52+JK52+JM52+KA52+CK52+CM52+CO52+CQ52+CS52+CU52+CW52+CY52+EY52+FA52+FC52+FE52+FG52+FI52+FK52+FM52</f>
        <v/>
      </c>
      <c r="KD52" s="97" t="n"/>
      <c r="KE52" s="98" t="n"/>
      <c r="KF52" s="97" t="n"/>
      <c r="KG52" s="97" t="n"/>
      <c r="KH52" s="98" t="n"/>
      <c r="KI52" s="98" t="n"/>
      <c r="KJ52" s="98" t="n"/>
      <c r="KK52" s="98" t="n"/>
      <c r="KL52" s="98" t="n"/>
      <c r="KM52" s="98" t="n"/>
      <c r="KN52" s="99" t="n"/>
    </row>
    <row r="53" ht="29.25" customFormat="1" customHeight="1" s="292" thickBot="1">
      <c r="A53" s="111" t="n"/>
      <c r="B53" s="148" t="inlineStr">
        <is>
          <t>Плановая ЗП</t>
        </is>
      </c>
      <c r="C53" s="78" t="n"/>
      <c r="D53" s="112" t="n"/>
      <c r="E53" s="113" t="n"/>
      <c r="F53" s="250">
        <f>F52/D52</f>
        <v/>
      </c>
      <c r="G53" s="118" t="n"/>
      <c r="H53" s="276">
        <f>$F$53*H52</f>
        <v/>
      </c>
      <c r="I53" s="277" t="n"/>
      <c r="J53" s="245">
        <f>$F$53*J52</f>
        <v/>
      </c>
      <c r="K53" s="246" t="n"/>
      <c r="L53" s="245">
        <f>$F$53*L52</f>
        <v/>
      </c>
      <c r="M53" s="246" t="n"/>
      <c r="N53" s="254">
        <f>$F$53*N52</f>
        <v/>
      </c>
      <c r="O53" s="255" t="n"/>
      <c r="P53" s="245">
        <f>$F$53*P52</f>
        <v/>
      </c>
      <c r="Q53" s="246" t="n"/>
      <c r="R53" s="269">
        <f>$F$53*R52</f>
        <v/>
      </c>
      <c r="S53" s="246" t="n"/>
      <c r="T53" s="311">
        <f>$F$53*T52</f>
        <v/>
      </c>
      <c r="V53" s="291">
        <f>$F$53*V52</f>
        <v/>
      </c>
      <c r="X53" s="291">
        <f>$F$53*X52</f>
        <v/>
      </c>
      <c r="Z53" s="313">
        <f>$F$53*Z52</f>
        <v/>
      </c>
      <c r="AA53" s="306" t="n"/>
      <c r="AB53" s="245">
        <f>$F$53*AB52</f>
        <v/>
      </c>
      <c r="AC53" s="246" t="n"/>
      <c r="AD53" s="250">
        <f>$F$53*AD52</f>
        <v/>
      </c>
      <c r="AE53" s="251" t="n"/>
      <c r="AF53" s="245">
        <f>$F$53*AF52</f>
        <v/>
      </c>
      <c r="AG53" s="246" t="n"/>
      <c r="AH53" s="245">
        <f>$F$53*AH52</f>
        <v/>
      </c>
      <c r="AI53" s="246" t="n"/>
      <c r="AJ53" s="245">
        <f>$F$53*AJ52</f>
        <v/>
      </c>
      <c r="AK53" s="246" t="n"/>
      <c r="AL53" s="245">
        <f>$F$53*AL52</f>
        <v/>
      </c>
      <c r="AM53" s="246" t="n"/>
      <c r="AN53" s="250">
        <f>$F$53*AN52</f>
        <v/>
      </c>
      <c r="AO53" s="251" t="n"/>
      <c r="AP53" s="250">
        <f>$F$53*AP52</f>
        <v/>
      </c>
      <c r="AQ53" s="251" t="n"/>
      <c r="AR53" s="245">
        <f>$F$53*AR52</f>
        <v/>
      </c>
      <c r="AS53" s="246" t="n"/>
      <c r="AT53" s="250">
        <f>$F$53*AT52</f>
        <v/>
      </c>
      <c r="AU53" s="251" t="n"/>
      <c r="AV53" s="245">
        <f>$F$53*AV52</f>
        <v/>
      </c>
      <c r="AW53" s="246" t="n"/>
      <c r="AX53" s="250">
        <f>$F$53*AX52</f>
        <v/>
      </c>
      <c r="AY53" s="251" t="n"/>
      <c r="AZ53" s="245">
        <f>$F$53*AZ52</f>
        <v/>
      </c>
      <c r="BA53" s="246" t="n"/>
      <c r="BB53" s="250">
        <f>$F$53*BB52</f>
        <v/>
      </c>
      <c r="BC53" s="251" t="n"/>
      <c r="BD53" s="245">
        <f>$F$53*BD52</f>
        <v/>
      </c>
      <c r="BE53" s="246" t="n"/>
      <c r="BF53" s="250">
        <f>$F$53*BF52</f>
        <v/>
      </c>
      <c r="BG53" s="251" t="n"/>
      <c r="BH53" s="250">
        <f>$F$53*BH52</f>
        <v/>
      </c>
      <c r="BI53" s="251" t="n"/>
      <c r="BJ53" s="250">
        <f>$F$53*BJ52</f>
        <v/>
      </c>
      <c r="BK53" s="251" t="n"/>
      <c r="BL53" s="245">
        <f>$F$53*BL52</f>
        <v/>
      </c>
      <c r="BM53" s="246" t="n"/>
      <c r="BN53" s="245">
        <f>$F$53*BN52</f>
        <v/>
      </c>
      <c r="BO53" s="246" t="n"/>
      <c r="BP53" s="245">
        <f>$F$53*BP52</f>
        <v/>
      </c>
      <c r="BQ53" s="246" t="n"/>
      <c r="BR53" s="245">
        <f>$F$53*BR52</f>
        <v/>
      </c>
      <c r="BS53" s="246" t="n"/>
      <c r="BT53" s="245">
        <f>$F$53*BT52</f>
        <v/>
      </c>
      <c r="BU53" s="246" t="n"/>
      <c r="BV53" s="245">
        <f>$F$53*BV52</f>
        <v/>
      </c>
      <c r="BW53" s="246" t="n"/>
      <c r="BX53" s="245">
        <f>$F$53*BX52</f>
        <v/>
      </c>
      <c r="BY53" s="246" t="n"/>
      <c r="BZ53" s="245">
        <f>$F$53*BZ52</f>
        <v/>
      </c>
      <c r="CA53" s="246" t="n"/>
      <c r="CB53" s="250">
        <f>$F$53*CB52</f>
        <v/>
      </c>
      <c r="CC53" s="251" t="n"/>
      <c r="CD53" s="250">
        <f>$F$53*CD52</f>
        <v/>
      </c>
      <c r="CE53" s="251" t="n"/>
      <c r="CF53" s="250">
        <f>$F$53*CF52</f>
        <v/>
      </c>
      <c r="CG53" s="251" t="n"/>
      <c r="CH53" s="245">
        <f>$F$53*CH52</f>
        <v/>
      </c>
      <c r="CI53" s="246" t="n"/>
      <c r="CJ53" s="245">
        <f>$F$53*CJ52</f>
        <v/>
      </c>
      <c r="CK53" s="246" t="n"/>
      <c r="CL53" s="245">
        <f>$F$53*CL52</f>
        <v/>
      </c>
      <c r="CM53" s="246" t="n"/>
      <c r="CN53" s="245">
        <f>$F$53*CN52</f>
        <v/>
      </c>
      <c r="CO53" s="246" t="n"/>
      <c r="CP53" s="290">
        <f>$F$53*CP52</f>
        <v/>
      </c>
      <c r="CQ53" s="255" t="n"/>
      <c r="CR53" s="245">
        <f>$F$53*CR52</f>
        <v/>
      </c>
      <c r="CS53" s="246" t="n"/>
      <c r="CT53" s="245">
        <f>$F$53*CT52</f>
        <v/>
      </c>
      <c r="CU53" s="246" t="n"/>
      <c r="CV53" s="273">
        <f>$F$53*CV52</f>
        <v/>
      </c>
      <c r="CW53" s="251" t="n"/>
      <c r="CX53" s="245">
        <f>$F$53*CX52</f>
        <v/>
      </c>
      <c r="CY53" s="246" t="n"/>
      <c r="CZ53" s="245">
        <f>$F$53*CZ52</f>
        <v/>
      </c>
      <c r="DA53" s="246" t="n"/>
      <c r="DB53" s="273">
        <f>$F$53*DB52</f>
        <v/>
      </c>
      <c r="DC53" s="251" t="n"/>
      <c r="DD53" s="245">
        <f>$F$53*DD52</f>
        <v/>
      </c>
      <c r="DE53" s="246" t="n"/>
      <c r="DF53" s="250">
        <f>$F$53*DF52</f>
        <v/>
      </c>
      <c r="DG53" s="251" t="n"/>
      <c r="DH53" s="245">
        <f>$F$53*DH52</f>
        <v/>
      </c>
      <c r="DI53" s="246" t="n"/>
      <c r="DJ53" s="245">
        <f>$F$53*DJ52</f>
        <v/>
      </c>
      <c r="DK53" s="246" t="n"/>
      <c r="DL53" s="250">
        <f>$F$53*DL52</f>
        <v/>
      </c>
      <c r="DM53" s="251" t="n"/>
      <c r="DN53" s="254">
        <f>$F$53*DN52</f>
        <v/>
      </c>
      <c r="DO53" s="255" t="n"/>
      <c r="DP53" s="250">
        <f>$F$53*DP52</f>
        <v/>
      </c>
      <c r="DQ53" s="251" t="n"/>
      <c r="DR53" s="245">
        <f>$F$53*DR52</f>
        <v/>
      </c>
      <c r="DS53" s="246" t="n"/>
      <c r="DT53" s="250">
        <f>$F$53*DT52</f>
        <v/>
      </c>
      <c r="DU53" s="251" t="n"/>
      <c r="DV53" s="245">
        <f>$F$53*DV52</f>
        <v/>
      </c>
      <c r="DW53" s="246" t="n"/>
      <c r="DX53" s="254">
        <f>$F$53*DX52</f>
        <v/>
      </c>
      <c r="DY53" s="255" t="n"/>
      <c r="DZ53" s="245">
        <f>$F$53*DZ52</f>
        <v/>
      </c>
      <c r="EA53" s="246" t="n"/>
      <c r="EB53" s="245">
        <f>$F$53*EB52</f>
        <v/>
      </c>
      <c r="EC53" s="246" t="n"/>
      <c r="ED53" s="245">
        <f>$F$53*ED52</f>
        <v/>
      </c>
      <c r="EE53" s="246" t="n"/>
      <c r="EF53" s="290">
        <f>$F$53*EF52</f>
        <v/>
      </c>
      <c r="EG53" s="255" t="n"/>
      <c r="EH53" s="245">
        <f>$F$53*EH52</f>
        <v/>
      </c>
      <c r="EI53" s="246" t="n"/>
      <c r="EJ53" s="245">
        <f>$F$53*EJ52</f>
        <v/>
      </c>
      <c r="EK53" s="246" t="n"/>
      <c r="EL53" s="245">
        <f>$F$53*EL52</f>
        <v/>
      </c>
      <c r="EM53" s="246" t="n"/>
      <c r="EN53" s="245">
        <f>$F$53*EN52</f>
        <v/>
      </c>
      <c r="EO53" s="246" t="n"/>
      <c r="EP53" s="245">
        <f>$F$53*EP52</f>
        <v/>
      </c>
      <c r="EQ53" s="246" t="n"/>
      <c r="ER53" s="245">
        <f>$F$53*ER52</f>
        <v/>
      </c>
      <c r="ES53" s="246" t="n"/>
      <c r="ET53" s="245">
        <f>$F$53*ET52</f>
        <v/>
      </c>
      <c r="EU53" s="246" t="n"/>
      <c r="EV53" s="245">
        <f>$F$53*EV52</f>
        <v/>
      </c>
      <c r="EW53" s="246" t="n"/>
      <c r="EX53" s="275">
        <f>$F$53*EX52</f>
        <v/>
      </c>
      <c r="EY53" s="266" t="n"/>
      <c r="EZ53" s="245">
        <f>$F$53*EZ52</f>
        <v/>
      </c>
      <c r="FA53" s="246" t="n"/>
      <c r="FB53" s="245">
        <f>$F$53*FB52</f>
        <v/>
      </c>
      <c r="FC53" s="246" t="n"/>
      <c r="FD53" s="245">
        <f>$F$53*FD52</f>
        <v/>
      </c>
      <c r="FE53" s="246" t="n"/>
      <c r="FF53" s="245">
        <f>$F$53*FF52</f>
        <v/>
      </c>
      <c r="FG53" s="246" t="n"/>
      <c r="FH53" s="245">
        <f>$F$53*FH52</f>
        <v/>
      </c>
      <c r="FI53" s="246" t="n"/>
      <c r="FJ53" s="273">
        <f>$F$53*FJ52</f>
        <v/>
      </c>
      <c r="FK53" s="251" t="n"/>
      <c r="FL53" s="250">
        <f>$F$53*FL52</f>
        <v/>
      </c>
      <c r="FM53" s="251" t="n"/>
      <c r="FN53" s="245">
        <f>$F$53*FN52</f>
        <v/>
      </c>
      <c r="FO53" s="246" t="n"/>
      <c r="FP53" s="245">
        <f>$F$53*FP52</f>
        <v/>
      </c>
      <c r="FQ53" s="246" t="n"/>
      <c r="FR53" s="245">
        <f>$F$53*FR52</f>
        <v/>
      </c>
      <c r="FS53" s="246" t="n"/>
      <c r="FT53" s="245">
        <f>$F$53*FT52</f>
        <v/>
      </c>
      <c r="FU53" s="246" t="n"/>
      <c r="FV53" s="245">
        <f>$F$53*FV52</f>
        <v/>
      </c>
      <c r="FW53" s="246" t="n"/>
      <c r="FX53" s="254">
        <f>$F$53*FX52</f>
        <v/>
      </c>
      <c r="FY53" s="255" t="n"/>
      <c r="FZ53" s="254">
        <f>$F$53*FZ52</f>
        <v/>
      </c>
      <c r="GA53" s="255" t="n"/>
      <c r="GB53" s="254">
        <f>$F$53*GB52</f>
        <v/>
      </c>
      <c r="GC53" s="255" t="n"/>
      <c r="GD53" s="254">
        <f>$F$53*GD52</f>
        <v/>
      </c>
      <c r="GE53" s="255" t="n"/>
      <c r="GF53" s="245">
        <f>$F$53*GF52</f>
        <v/>
      </c>
      <c r="GG53" s="246" t="n"/>
      <c r="GH53" s="245">
        <f>$F$53*GH52</f>
        <v/>
      </c>
      <c r="GI53" s="246" t="n"/>
      <c r="GJ53" s="245">
        <f>$F$53*GJ52</f>
        <v/>
      </c>
      <c r="GK53" s="246" t="n"/>
      <c r="GL53" s="245">
        <f>$F$53*GL52</f>
        <v/>
      </c>
      <c r="GM53" s="246" t="n"/>
      <c r="GN53" s="262">
        <f>$F$53*GN52</f>
        <v/>
      </c>
      <c r="GO53" s="263" t="n"/>
      <c r="GP53" s="262">
        <f>$F$53*GP52</f>
        <v/>
      </c>
      <c r="GQ53" s="263" t="n"/>
      <c r="GR53" s="262">
        <f>$F$53*GR52</f>
        <v/>
      </c>
      <c r="GS53" s="263" t="n"/>
      <c r="GT53" s="262">
        <f>$F$53*GT52</f>
        <v/>
      </c>
      <c r="GU53" s="263" t="n"/>
      <c r="GV53" s="262">
        <f>$F$53*GV52</f>
        <v/>
      </c>
      <c r="GW53" s="263" t="n"/>
      <c r="GX53" s="262">
        <f>$F$53*GX52</f>
        <v/>
      </c>
      <c r="GY53" s="263" t="n"/>
      <c r="GZ53" s="262">
        <f>$F$53*GZ52</f>
        <v/>
      </c>
      <c r="HA53" s="263" t="n"/>
      <c r="HB53" s="262">
        <f>$F$53*HB52</f>
        <v/>
      </c>
      <c r="HC53" s="263" t="n"/>
      <c r="HD53" s="262">
        <f>$F$53*HD52</f>
        <v/>
      </c>
      <c r="HE53" s="263" t="n"/>
      <c r="HF53" s="262">
        <f>$F$53*HF52</f>
        <v/>
      </c>
      <c r="HG53" s="263" t="n"/>
      <c r="HH53" s="262">
        <f>$F$53*HH52</f>
        <v/>
      </c>
      <c r="HI53" s="263" t="n"/>
      <c r="HJ53" s="262">
        <f>$F$53*HJ52</f>
        <v/>
      </c>
      <c r="HK53" s="263" t="n"/>
      <c r="HL53" s="262">
        <f>$F$53*HL52</f>
        <v/>
      </c>
      <c r="HM53" s="263" t="n"/>
      <c r="HN53" s="262">
        <f>$F$53*HN52</f>
        <v/>
      </c>
      <c r="HO53" s="263" t="n"/>
      <c r="HP53" s="262">
        <f>$F$53*HP52</f>
        <v/>
      </c>
      <c r="HQ53" s="263" t="n"/>
      <c r="HR53" s="262">
        <f>$F$53*HR52</f>
        <v/>
      </c>
      <c r="HS53" s="263" t="n"/>
      <c r="HT53" s="262">
        <f>$F$53*HT52</f>
        <v/>
      </c>
      <c r="HU53" s="263" t="n"/>
      <c r="HV53" s="276">
        <f>$F$53*HV52</f>
        <v/>
      </c>
      <c r="HW53" s="277" t="n"/>
      <c r="HX53" s="314">
        <f>$F$53*HX52</f>
        <v/>
      </c>
      <c r="HY53" s="266" t="n"/>
      <c r="HZ53" s="314">
        <f>$F$53*HZ52</f>
        <v/>
      </c>
      <c r="IA53" s="266" t="n"/>
      <c r="IB53" s="262">
        <f>$F$53*IB52</f>
        <v/>
      </c>
      <c r="IC53" s="263" t="n"/>
      <c r="ID53" s="276">
        <f>$F$53*ID52</f>
        <v/>
      </c>
      <c r="IE53" s="277" t="n"/>
      <c r="IF53" s="245">
        <f>$F$53*IF52</f>
        <v/>
      </c>
      <c r="IG53" s="246" t="n"/>
      <c r="IH53" s="245">
        <f>$F$53*IH52</f>
        <v/>
      </c>
      <c r="II53" s="246" t="n"/>
      <c r="IJ53" s="245">
        <f>$F$53*IJ52</f>
        <v/>
      </c>
      <c r="IK53" s="246" t="n"/>
      <c r="IL53" s="245">
        <f>$F$53*IL52</f>
        <v/>
      </c>
      <c r="IM53" s="246" t="n"/>
      <c r="IN53" s="245">
        <f>$F$53*IN52</f>
        <v/>
      </c>
      <c r="IO53" s="246" t="n"/>
      <c r="IP53" s="245">
        <f>$F$53*IP52</f>
        <v/>
      </c>
      <c r="IQ53" s="246" t="n"/>
      <c r="IR53" s="245">
        <f>$F$53*IR52</f>
        <v/>
      </c>
      <c r="IS53" s="246" t="n"/>
      <c r="IT53" s="245">
        <f>$F$53*IT52</f>
        <v/>
      </c>
      <c r="IU53" s="246" t="n"/>
      <c r="IV53" s="245">
        <f>$F$53*IV52</f>
        <v/>
      </c>
      <c r="IW53" s="246" t="n"/>
      <c r="IX53" s="245">
        <f>$F$53*IX52</f>
        <v/>
      </c>
      <c r="IY53" s="246" t="n"/>
      <c r="IZ53" s="245">
        <f>$F$53*IZ52</f>
        <v/>
      </c>
      <c r="JA53" s="246" t="n"/>
      <c r="JB53" s="245">
        <f>$F$53*JB52</f>
        <v/>
      </c>
      <c r="JC53" s="246" t="n"/>
      <c r="JD53" s="245">
        <f>$F$53*JD52</f>
        <v/>
      </c>
      <c r="JE53" s="246" t="n"/>
      <c r="JF53" s="245">
        <f>$F$53*JF52</f>
        <v/>
      </c>
      <c r="JG53" s="246" t="n"/>
      <c r="JH53" s="245">
        <f>$F$53*JH52</f>
        <v/>
      </c>
      <c r="JI53" s="246" t="n"/>
      <c r="JJ53" s="262">
        <f>$F$53*JJ52</f>
        <v/>
      </c>
      <c r="JK53" s="263" t="n"/>
      <c r="JL53" s="245">
        <f>$F$53*JL52</f>
        <v/>
      </c>
      <c r="JM53" s="246" t="n"/>
      <c r="JN53" s="245">
        <f>$F$53*JN52</f>
        <v/>
      </c>
      <c r="JO53" s="246" t="n"/>
      <c r="JP53" s="245">
        <f>$F$53*JP52</f>
        <v/>
      </c>
      <c r="JQ53" s="246" t="n"/>
      <c r="JR53" s="245">
        <f>$F$53*JR52</f>
        <v/>
      </c>
      <c r="JS53" s="246" t="n"/>
      <c r="JT53" s="282">
        <f>$F$53*JT52</f>
        <v/>
      </c>
      <c r="JU53" s="277" t="n"/>
      <c r="JV53" s="282">
        <f>$F$53*JV52</f>
        <v/>
      </c>
      <c r="JW53" s="277" t="n"/>
      <c r="JX53" s="282">
        <f>$F$53*JX52</f>
        <v/>
      </c>
      <c r="JY53" s="277" t="n"/>
      <c r="JZ53" s="297">
        <f>JN53+JP53+JR53+JT53+JX53</f>
        <v/>
      </c>
      <c r="KA53" s="263" t="n"/>
      <c r="KB53" s="298">
        <f>SUM(H53:JY53)</f>
        <v/>
      </c>
      <c r="KC53" s="246" t="n"/>
      <c r="KD53" s="2" t="n"/>
      <c r="KE53" s="279" t="n"/>
      <c r="KF53" s="97">
        <f>J53+L53+N53+P53+R53+AB53+AD53+AF53+AH53+AJ53+AL53+AN53+AP53+AR53+AT53+AV53+AX53+AZ53+BB53+BD53+BF53+BH53+BJ53+BL53+BN53+BP53+BR53+BT53+BV53+BX53+BZ53+CB53+CD53+CF53+CH53+CJ53+CL53+CN53+CP53+CR53+CT53+CV53+CX53+CZ53+DB53+DD53+DF53+DH53+DJ53+DL53+DN53+DP53+DR53+DT53+DV53+DX53+DZ53+EB53+ED53+EF53+EH53+EJ53+EL53+EN53+EP53+ER53+ET53+EV53+EZ53+FB53+FD53+FF53+FH53+FJ53+FL53+FN53+FP53+FR53+FT53+FV53+FX53+FZ53+GB53+GD53+GF53+GH53+GJ53+GL53+IF53+IJ53+IL53+IN53+IP53+IR53+IT53+JB53+JD53+JL53</f>
        <v/>
      </c>
      <c r="KG53" s="279" t="n"/>
      <c r="KH53" s="279" t="n"/>
      <c r="KI53" s="279" t="n"/>
      <c r="KJ53" s="279" t="n"/>
      <c r="KK53" s="279" t="n"/>
      <c r="KL53" s="279" t="n"/>
      <c r="KM53" s="279" t="n"/>
      <c r="KN53" s="279" t="n"/>
    </row>
    <row r="54" ht="29.25" customHeight="1" thickBot="1">
      <c r="A54" s="111" t="n"/>
      <c r="B54" s="77" t="inlineStr">
        <is>
          <t>Фактическая ЗП</t>
        </is>
      </c>
      <c r="C54" s="78" t="n"/>
      <c r="D54" s="112" t="n"/>
      <c r="E54" s="113" t="n"/>
      <c r="F54" s="250">
        <f>KB54/E52</f>
        <v/>
      </c>
      <c r="G54" s="118" t="n"/>
      <c r="H54" s="332" t="n">
        <v>33196.19</v>
      </c>
      <c r="I54" s="251" t="n"/>
      <c r="J54" s="293" t="n">
        <v>5513.43</v>
      </c>
      <c r="K54" s="246" t="n"/>
      <c r="L54" s="293" t="n">
        <v>27330.12</v>
      </c>
      <c r="M54" s="246" t="n"/>
      <c r="N54" s="294" t="n"/>
      <c r="O54" s="255" t="n"/>
      <c r="P54" s="293" t="n"/>
      <c r="Q54" s="246" t="n"/>
      <c r="R54" s="315" t="n"/>
      <c r="S54" s="246" t="n"/>
      <c r="T54" s="315" t="n"/>
      <c r="U54" s="246" t="n"/>
      <c r="V54" s="253" t="n"/>
      <c r="W54" s="246" t="n"/>
      <c r="X54" s="300" t="n"/>
      <c r="Y54" s="255" t="n"/>
      <c r="Z54" s="253" t="n"/>
      <c r="AA54" s="246" t="n"/>
      <c r="AB54" s="253">
        <f>56511.64+1701.61</f>
        <v/>
      </c>
      <c r="AC54" s="246" t="n"/>
      <c r="AD54" s="261">
        <f>87439.83+1365.22</f>
        <v/>
      </c>
      <c r="AE54" s="251" t="n"/>
      <c r="AF54" s="253">
        <f>192172.28+10772.75</f>
        <v/>
      </c>
      <c r="AG54" s="246" t="n"/>
      <c r="AH54" s="253" t="n">
        <v>123224.72</v>
      </c>
      <c r="AI54" s="246" t="n"/>
      <c r="AJ54" s="253">
        <f>24262.61+135.93</f>
        <v/>
      </c>
      <c r="AK54" s="246" t="n"/>
      <c r="AL54" s="253" t="n">
        <v>61251.35</v>
      </c>
      <c r="AM54" s="246" t="n"/>
      <c r="AN54" s="261">
        <f>5147.14+153142.14</f>
        <v/>
      </c>
      <c r="AO54" s="251" t="n"/>
      <c r="AP54" s="261" t="n">
        <v>17647.31</v>
      </c>
      <c r="AQ54" s="251" t="n"/>
      <c r="AR54" s="253" t="n">
        <v>21619.25</v>
      </c>
      <c r="AS54" s="246" t="n"/>
      <c r="AT54" s="261">
        <f>15956.64+407.79</f>
        <v/>
      </c>
      <c r="AU54" s="251" t="n"/>
      <c r="AV54" s="253">
        <f>347633.88+435.78</f>
        <v/>
      </c>
      <c r="AW54" s="246" t="n"/>
      <c r="AX54" s="261">
        <f>82778.45+29.76</f>
        <v/>
      </c>
      <c r="AY54" s="251" t="n"/>
      <c r="AZ54" s="253">
        <f>7144.26+139067.38</f>
        <v/>
      </c>
      <c r="BA54" s="246" t="n"/>
      <c r="BB54" s="261" t="n">
        <v>40517.09</v>
      </c>
      <c r="BC54" s="251" t="n"/>
      <c r="BD54" s="253" t="n">
        <v>121230.79</v>
      </c>
      <c r="BE54" s="246" t="n"/>
      <c r="BF54" s="261" t="n">
        <v>16436.53</v>
      </c>
      <c r="BG54" s="251" t="n"/>
      <c r="BH54" s="261">
        <f>30134.74+340.33</f>
        <v/>
      </c>
      <c r="BI54" s="251" t="n"/>
      <c r="BJ54" s="261" t="n">
        <v>46829.73</v>
      </c>
      <c r="BK54" s="251" t="n"/>
      <c r="BL54" s="253" t="n">
        <v>10989.98</v>
      </c>
      <c r="BM54" s="246" t="n"/>
      <c r="BN54" s="253" t="n">
        <v>4328.92</v>
      </c>
      <c r="BO54" s="246" t="n"/>
      <c r="BP54" s="253">
        <f>33040.35+544.72</f>
        <v/>
      </c>
      <c r="BQ54" s="246" t="n"/>
      <c r="BR54" s="253" t="n">
        <v>13199.31</v>
      </c>
      <c r="BS54" s="246" t="n"/>
      <c r="BT54" s="253">
        <f>82437.45+238.07</f>
        <v/>
      </c>
      <c r="BU54" s="246" t="n"/>
      <c r="BV54" s="253">
        <f>95807.58+871.54</f>
        <v/>
      </c>
      <c r="BW54" s="246" t="n"/>
      <c r="BX54" s="253">
        <f>83873.1+1173.43</f>
        <v/>
      </c>
      <c r="BY54" s="246" t="n"/>
      <c r="BZ54" s="253">
        <f>7144.26+89898.2</f>
        <v/>
      </c>
      <c r="CA54" s="246" t="n"/>
      <c r="CB54" s="261">
        <f>56371.31+475.61</f>
        <v/>
      </c>
      <c r="CC54" s="251" t="n"/>
      <c r="CD54" s="261" t="n">
        <v>3096.36</v>
      </c>
      <c r="CE54" s="251" t="n"/>
      <c r="CF54" s="261" t="n">
        <v>1436.16</v>
      </c>
      <c r="CG54" s="251" t="n"/>
      <c r="CH54" s="253" t="n">
        <v>1436.16</v>
      </c>
      <c r="CI54" s="246" t="n"/>
      <c r="CJ54" s="253" t="n">
        <v>32364.14</v>
      </c>
      <c r="CK54" s="246" t="n"/>
      <c r="CL54" s="253" t="n">
        <v>5733.25</v>
      </c>
      <c r="CM54" s="246" t="n"/>
      <c r="CN54" s="253">
        <f>126311.19+884.04</f>
        <v/>
      </c>
      <c r="CO54" s="246" t="n"/>
      <c r="CP54" s="300" t="n">
        <v>27567.71</v>
      </c>
      <c r="CQ54" s="255" t="n"/>
      <c r="CR54" s="253">
        <f>37862.91+311477.66</f>
        <v/>
      </c>
      <c r="CS54" s="246" t="n"/>
      <c r="CT54" s="253" t="n">
        <v>47036.53</v>
      </c>
      <c r="CU54" s="246" t="n"/>
      <c r="CV54" s="300" t="n">
        <v>88499.11</v>
      </c>
      <c r="CW54" s="255" t="n"/>
      <c r="CX54" s="253" t="n">
        <v>20291.59</v>
      </c>
      <c r="CY54" s="246" t="n"/>
      <c r="CZ54" s="261" t="n">
        <v>32370.24</v>
      </c>
      <c r="DA54" s="251" t="n"/>
      <c r="DB54" s="261" t="n"/>
      <c r="DC54" s="251" t="n"/>
      <c r="DD54" s="253">
        <f>40558.62+135.93</f>
        <v/>
      </c>
      <c r="DE54" s="246" t="n"/>
      <c r="DF54" s="261" t="n">
        <v>6170.34</v>
      </c>
      <c r="DG54" s="251" t="n"/>
      <c r="DH54" s="253" t="n">
        <v>47526.33</v>
      </c>
      <c r="DI54" s="246" t="n"/>
      <c r="DJ54" s="253" t="n">
        <v>23467.82</v>
      </c>
      <c r="DK54" s="246" t="n"/>
      <c r="DL54" s="261" t="n">
        <v>40080.54</v>
      </c>
      <c r="DM54" s="251" t="n"/>
      <c r="DN54" s="274" t="n">
        <v>71745.83</v>
      </c>
      <c r="DO54" s="255" t="n"/>
      <c r="DP54" s="261" t="n">
        <v>37243.22</v>
      </c>
      <c r="DQ54" s="251" t="n"/>
      <c r="DR54" s="253">
        <f>2306.2+204.4</f>
        <v/>
      </c>
      <c r="DS54" s="246" t="n"/>
      <c r="DT54" s="261">
        <f>16002.34+1088.44</f>
        <v/>
      </c>
      <c r="DU54" s="251" t="n"/>
      <c r="DV54" s="253">
        <f>14987.08+884.04</f>
        <v/>
      </c>
      <c r="DW54" s="246" t="n"/>
      <c r="DX54" s="274" t="n">
        <v>7431.38</v>
      </c>
      <c r="DY54" s="255" t="n"/>
      <c r="DZ54" s="253" t="n">
        <v>5355.19</v>
      </c>
      <c r="EA54" s="246" t="n"/>
      <c r="EB54" s="253">
        <f>3234.88+95898.34</f>
        <v/>
      </c>
      <c r="EC54" s="246" t="n"/>
      <c r="ED54" s="253" t="n">
        <v>1411.48</v>
      </c>
      <c r="EE54" s="246" t="n"/>
      <c r="EF54" s="315">
        <f>44051.53+238.07</f>
        <v/>
      </c>
      <c r="EG54" s="246" t="n"/>
      <c r="EH54" s="253">
        <f>25880.63+446.12</f>
        <v/>
      </c>
      <c r="EI54" s="246" t="n"/>
      <c r="EJ54" s="253" t="n">
        <v>22906.65</v>
      </c>
      <c r="EK54" s="246" t="n"/>
      <c r="EL54" s="253">
        <f>7285.52+238.07</f>
        <v/>
      </c>
      <c r="EM54" s="246" t="n"/>
      <c r="EN54" s="253" t="n">
        <v>15430.06</v>
      </c>
      <c r="EO54" s="246" t="n"/>
      <c r="EP54" s="253" t="n">
        <v>25516.78</v>
      </c>
      <c r="EQ54" s="246" t="n"/>
      <c r="ER54" s="253" t="n">
        <v>4672.73</v>
      </c>
      <c r="ES54" s="246" t="n"/>
      <c r="ET54" s="253" t="n">
        <v>7703.04</v>
      </c>
      <c r="EU54" s="246" t="n"/>
      <c r="EV54" s="253">
        <f>772.98</f>
        <v/>
      </c>
      <c r="EW54" s="246" t="n"/>
      <c r="EX54" s="300" t="n">
        <v>1159.46</v>
      </c>
      <c r="EY54" s="255" t="n"/>
      <c r="EZ54" s="253" t="n">
        <v>772.98</v>
      </c>
      <c r="FA54" s="246" t="n"/>
      <c r="FB54" s="253" t="n">
        <v>1159.46</v>
      </c>
      <c r="FC54" s="246" t="n"/>
      <c r="FD54" s="253" t="n">
        <v>1478.22</v>
      </c>
      <c r="FE54" s="246" t="n"/>
      <c r="FF54" s="253">
        <f>6762.87+113022.12+435.78</f>
        <v/>
      </c>
      <c r="FG54" s="246" t="n"/>
      <c r="FH54" s="253" t="n">
        <v>15079.5</v>
      </c>
      <c r="FI54" s="246" t="n"/>
      <c r="FJ54" s="289" t="n">
        <v>31146.8</v>
      </c>
      <c r="FK54" s="251" t="n"/>
      <c r="FL54" s="320" t="n">
        <v>35639.33</v>
      </c>
      <c r="FM54" s="263" t="n"/>
      <c r="FN54" s="296" t="n">
        <v>4289.88</v>
      </c>
      <c r="FO54" s="263" t="n"/>
      <c r="FP54" s="253" t="n">
        <v>1189.96</v>
      </c>
      <c r="FQ54" s="246" t="n"/>
      <c r="FR54" s="253" t="n">
        <v>1909.99</v>
      </c>
      <c r="FS54" s="246" t="n"/>
      <c r="FT54" s="253" t="n">
        <v>1667.45</v>
      </c>
      <c r="FU54" s="246" t="n"/>
      <c r="FV54" s="253" t="n">
        <v>3812.39</v>
      </c>
      <c r="FW54" s="246" t="n"/>
      <c r="FX54" s="274" t="n">
        <v>2154.26</v>
      </c>
      <c r="FY54" s="255" t="n"/>
      <c r="FZ54" s="274" t="n"/>
      <c r="GA54" s="255" t="n"/>
      <c r="GB54" s="274" t="n"/>
      <c r="GC54" s="255" t="n"/>
      <c r="GD54" s="274" t="n"/>
      <c r="GE54" s="255" t="n"/>
      <c r="GF54" s="253" t="n"/>
      <c r="GG54" s="246" t="n"/>
      <c r="GH54" s="253" t="n"/>
      <c r="GI54" s="246" t="n"/>
      <c r="GJ54" s="253" t="n"/>
      <c r="GK54" s="246" t="n"/>
      <c r="GL54" s="253" t="n"/>
      <c r="GM54" s="246" t="n"/>
      <c r="GN54" s="253" t="n"/>
      <c r="GO54" s="246" t="n"/>
      <c r="GP54" s="253" t="n"/>
      <c r="GQ54" s="246" t="n"/>
      <c r="GR54" s="253" t="n"/>
      <c r="GS54" s="246" t="n"/>
      <c r="GT54" s="253" t="n"/>
      <c r="GU54" s="246" t="n"/>
      <c r="GV54" s="253" t="n"/>
      <c r="GW54" s="246" t="n"/>
      <c r="GX54" s="253" t="n"/>
      <c r="GY54" s="246" t="n"/>
      <c r="GZ54" s="253" t="n"/>
      <c r="HA54" s="246" t="n"/>
      <c r="HB54" s="253" t="n"/>
      <c r="HC54" s="246" t="n"/>
      <c r="HD54" s="253" t="n"/>
      <c r="HE54" s="246" t="n"/>
      <c r="HF54" s="253" t="n"/>
      <c r="HG54" s="246" t="n"/>
      <c r="HH54" s="253" t="n"/>
      <c r="HI54" s="246" t="n"/>
      <c r="HJ54" s="253" t="n"/>
      <c r="HK54" s="246" t="n"/>
      <c r="HL54" s="253" t="n"/>
      <c r="HM54" s="246" t="n"/>
      <c r="HN54" s="253" t="n"/>
      <c r="HO54" s="246" t="n"/>
      <c r="HP54" s="253" t="n"/>
      <c r="HQ54" s="246" t="n"/>
      <c r="HR54" s="253" t="n"/>
      <c r="HS54" s="246" t="n"/>
      <c r="HT54" s="253" t="n"/>
      <c r="HU54" s="246" t="n"/>
      <c r="HV54" s="289" t="n"/>
      <c r="HW54" s="251" t="n"/>
      <c r="HX54" s="274" t="n"/>
      <c r="HY54" s="255" t="n"/>
      <c r="HZ54" s="253" t="n"/>
      <c r="IA54" s="246" t="n"/>
      <c r="IB54" s="253" t="n"/>
      <c r="IC54" s="246" t="n"/>
      <c r="ID54" s="289" t="n"/>
      <c r="IE54" s="251" t="n"/>
      <c r="IF54" s="253" t="n"/>
      <c r="IG54" s="246" t="n"/>
      <c r="IH54" s="253" t="n"/>
      <c r="II54" s="246" t="n"/>
      <c r="IJ54" s="253" t="n"/>
      <c r="IK54" s="246" t="n"/>
      <c r="IL54" s="253" t="n"/>
      <c r="IM54" s="246" t="n"/>
      <c r="IN54" s="253" t="n"/>
      <c r="IO54" s="246" t="n"/>
      <c r="IP54" s="253" t="n"/>
      <c r="IQ54" s="246" t="n"/>
      <c r="IR54" s="253" t="n"/>
      <c r="IS54" s="246" t="n"/>
      <c r="IT54" s="253" t="n"/>
      <c r="IU54" s="246" t="n"/>
      <c r="IV54" s="253" t="n"/>
      <c r="IW54" s="246" t="n"/>
      <c r="IX54" s="253" t="n"/>
      <c r="IY54" s="246" t="n"/>
      <c r="IZ54" s="253" t="n"/>
      <c r="JA54" s="246" t="n"/>
      <c r="JB54" s="253" t="n"/>
      <c r="JC54" s="246" t="n"/>
      <c r="JD54" s="253" t="n"/>
      <c r="JE54" s="246" t="n"/>
      <c r="JF54" s="253" t="n"/>
      <c r="JG54" s="246" t="n"/>
      <c r="JH54" s="253" t="n">
        <v>20404.79</v>
      </c>
      <c r="JI54" s="246" t="n"/>
      <c r="JJ54" s="253" t="n">
        <v>3216.98</v>
      </c>
      <c r="JK54" s="246" t="n"/>
      <c r="JL54" s="253">
        <f>87877.69+21299.15+2425073.99+19102.86</f>
        <v/>
      </c>
      <c r="JM54" s="246" t="n"/>
      <c r="JN54" s="253">
        <f>24744.97+123445.06+435.78</f>
        <v/>
      </c>
      <c r="JO54" s="246" t="n"/>
      <c r="JP54" s="253">
        <f>10294.28+21164.87</f>
        <v/>
      </c>
      <c r="JQ54" s="246" t="n"/>
      <c r="JR54" s="253">
        <f>34817.01+177438.79+1307.32</f>
        <v/>
      </c>
      <c r="JS54" s="246" t="n"/>
      <c r="JT54" s="264" t="n"/>
      <c r="JU54" s="251" t="n"/>
      <c r="JV54" s="264" t="n"/>
      <c r="JW54" s="251" t="n"/>
      <c r="JX54" s="264" t="n"/>
      <c r="JY54" s="251" t="n"/>
      <c r="JZ54" s="302">
        <f>JN54+JP54+JR54+JT54+JV54+JX54</f>
        <v/>
      </c>
      <c r="KA54" s="246" t="n"/>
      <c r="KB54" s="303">
        <f>SUM(H54:JY54)</f>
        <v/>
      </c>
      <c r="KC54" s="246" t="n"/>
      <c r="KD54" s="2">
        <f>KB53-KB55</f>
        <v/>
      </c>
      <c r="KF54" s="97" t="n"/>
    </row>
    <row r="55" ht="29.25" customHeight="1" thickBot="1">
      <c r="A55" s="115" t="n"/>
      <c r="B55" s="76" t="inlineStr">
        <is>
          <t xml:space="preserve">Отклонение (+/-) к плану </t>
        </is>
      </c>
      <c r="C55" s="78" t="n"/>
      <c r="D55" s="112" t="n"/>
      <c r="E55" s="113" t="n"/>
      <c r="F55" s="250" t="n"/>
      <c r="G55" s="118" t="n"/>
      <c r="H55" s="273">
        <f>H53-H54</f>
        <v/>
      </c>
      <c r="I55" s="251" t="n"/>
      <c r="J55" s="245">
        <f>J53-J54</f>
        <v/>
      </c>
      <c r="K55" s="246" t="n"/>
      <c r="L55" s="245">
        <f>L53-L54</f>
        <v/>
      </c>
      <c r="M55" s="246" t="n"/>
      <c r="N55" s="254">
        <f>N53-N54</f>
        <v/>
      </c>
      <c r="O55" s="255" t="n"/>
      <c r="P55" s="245">
        <f>P53-P54</f>
        <v/>
      </c>
      <c r="Q55" s="246" t="n"/>
      <c r="R55" s="295">
        <f>R53-R54</f>
        <v/>
      </c>
      <c r="S55" s="263" t="n"/>
      <c r="T55" s="275">
        <f>T53-T54</f>
        <v/>
      </c>
      <c r="U55" s="266" t="n"/>
      <c r="V55" s="314">
        <f>V53-V54</f>
        <v/>
      </c>
      <c r="W55" s="266" t="n"/>
      <c r="X55" s="314">
        <f>X53-X54</f>
        <v/>
      </c>
      <c r="Y55" s="266" t="n"/>
      <c r="Z55" s="262">
        <f>Z53-Z54</f>
        <v/>
      </c>
      <c r="AA55" s="263" t="n"/>
      <c r="AB55" s="262">
        <f>AB53-AB54</f>
        <v/>
      </c>
      <c r="AC55" s="263" t="n"/>
      <c r="AD55" s="330">
        <f>AD53-AD54</f>
        <v/>
      </c>
      <c r="AE55" s="277" t="n"/>
      <c r="AF55" s="262">
        <f>AF53-AF54</f>
        <v/>
      </c>
      <c r="AG55" s="263" t="n"/>
      <c r="AH55" s="262">
        <f>AH53-AH54</f>
        <v/>
      </c>
      <c r="AI55" s="263" t="n"/>
      <c r="AJ55" s="262">
        <f>AJ53-AJ54</f>
        <v/>
      </c>
      <c r="AK55" s="263" t="n"/>
      <c r="AL55" s="245">
        <f>AL53-AL54</f>
        <v/>
      </c>
      <c r="AM55" s="246" t="n"/>
      <c r="AN55" s="250">
        <f>AN53-AN54</f>
        <v/>
      </c>
      <c r="AO55" s="251" t="n"/>
      <c r="AP55" s="250">
        <f>AP53-AP54</f>
        <v/>
      </c>
      <c r="AQ55" s="251" t="n"/>
      <c r="AR55" s="245">
        <f>AR53-AR54</f>
        <v/>
      </c>
      <c r="AS55" s="246" t="n"/>
      <c r="AT55" s="250">
        <f>AT53-AT54</f>
        <v/>
      </c>
      <c r="AU55" s="251" t="n"/>
      <c r="AV55" s="245">
        <f>AV53-AV54</f>
        <v/>
      </c>
      <c r="AW55" s="246" t="n"/>
      <c r="AX55" s="250">
        <f>AX53-AX54</f>
        <v/>
      </c>
      <c r="AY55" s="251" t="n"/>
      <c r="AZ55" s="245">
        <f>AZ53-AZ54</f>
        <v/>
      </c>
      <c r="BA55" s="246" t="n"/>
      <c r="BB55" s="250">
        <f>BB53-BB54</f>
        <v/>
      </c>
      <c r="BC55" s="251" t="n"/>
      <c r="BD55" s="245">
        <f>BD53-BD54</f>
        <v/>
      </c>
      <c r="BE55" s="246" t="n"/>
      <c r="BF55" s="250">
        <f>BF53-BF54</f>
        <v/>
      </c>
      <c r="BG55" s="251" t="n"/>
      <c r="BH55" s="250">
        <f>BH53-BH54</f>
        <v/>
      </c>
      <c r="BI55" s="251" t="n"/>
      <c r="BJ55" s="250">
        <f>BJ53-BJ54</f>
        <v/>
      </c>
      <c r="BK55" s="251" t="n"/>
      <c r="BL55" s="245">
        <f>BL53-BL54</f>
        <v/>
      </c>
      <c r="BM55" s="246" t="n"/>
      <c r="BN55" s="245">
        <f>BN53-BN54</f>
        <v/>
      </c>
      <c r="BO55" s="246" t="n"/>
      <c r="BP55" s="245">
        <f>BP53-BP54</f>
        <v/>
      </c>
      <c r="BQ55" s="246" t="n"/>
      <c r="BR55" s="245">
        <f>BR53-BR54</f>
        <v/>
      </c>
      <c r="BS55" s="246" t="n"/>
      <c r="BT55" s="245">
        <f>BT53-BT54</f>
        <v/>
      </c>
      <c r="BU55" s="246" t="n"/>
      <c r="BV55" s="245">
        <f>BV53-BV54</f>
        <v/>
      </c>
      <c r="BW55" s="246" t="n"/>
      <c r="BX55" s="245">
        <f>BX53-BX54</f>
        <v/>
      </c>
      <c r="BY55" s="246" t="n"/>
      <c r="BZ55" s="245">
        <f>BZ53-BZ54</f>
        <v/>
      </c>
      <c r="CA55" s="246" t="n"/>
      <c r="CB55" s="250">
        <f>CB53-CB54</f>
        <v/>
      </c>
      <c r="CC55" s="251" t="n"/>
      <c r="CD55" s="250">
        <f>CD53-CD54</f>
        <v/>
      </c>
      <c r="CE55" s="251" t="n"/>
      <c r="CF55" s="250">
        <f>CF53-CF54</f>
        <v/>
      </c>
      <c r="CG55" s="251" t="n"/>
      <c r="CH55" s="245">
        <f>CH53-CH54</f>
        <v/>
      </c>
      <c r="CI55" s="246" t="n"/>
      <c r="CJ55" s="245">
        <f>CJ53-CJ54</f>
        <v/>
      </c>
      <c r="CK55" s="246" t="n"/>
      <c r="CL55" s="245">
        <f>CL53-CL54</f>
        <v/>
      </c>
      <c r="CM55" s="246" t="n"/>
      <c r="CN55" s="245">
        <f>CN53-CN54</f>
        <v/>
      </c>
      <c r="CO55" s="246" t="n"/>
      <c r="CP55" s="290">
        <f>CP53-CP54</f>
        <v/>
      </c>
      <c r="CQ55" s="255" t="n"/>
      <c r="CR55" s="245">
        <f>CR53-CR54</f>
        <v/>
      </c>
      <c r="CS55" s="246" t="n"/>
      <c r="CT55" s="245">
        <f>CT53-CT54</f>
        <v/>
      </c>
      <c r="CU55" s="246" t="n"/>
      <c r="CV55" s="276">
        <f>CV53-CV54</f>
        <v/>
      </c>
      <c r="CW55" s="277" t="n"/>
      <c r="CX55" s="245">
        <f>CX53-CX54</f>
        <v/>
      </c>
      <c r="CY55" s="246" t="n"/>
      <c r="CZ55" s="250">
        <f>CZ53-CZ54</f>
        <v/>
      </c>
      <c r="DA55" s="251" t="n"/>
      <c r="DB55" s="250">
        <f>DB53-DB54</f>
        <v/>
      </c>
      <c r="DC55" s="251" t="n"/>
      <c r="DD55" s="245">
        <f>DD53-DD54</f>
        <v/>
      </c>
      <c r="DE55" s="246" t="n"/>
      <c r="DF55" s="250">
        <f>DF53-DF54</f>
        <v/>
      </c>
      <c r="DG55" s="251" t="n"/>
      <c r="DH55" s="245">
        <f>DH53-DH54</f>
        <v/>
      </c>
      <c r="DI55" s="246" t="n"/>
      <c r="DJ55" s="245">
        <f>DJ53-DJ54</f>
        <v/>
      </c>
      <c r="DK55" s="246" t="n"/>
      <c r="DL55" s="250">
        <f>DL53-DL54</f>
        <v/>
      </c>
      <c r="DM55" s="251" t="n"/>
      <c r="DN55" s="254">
        <f>DN53-DN54</f>
        <v/>
      </c>
      <c r="DO55" s="255" t="n"/>
      <c r="DP55" s="245">
        <f>DP53-DP54</f>
        <v/>
      </c>
      <c r="DQ55" s="246" t="n"/>
      <c r="DR55" s="245">
        <f>DR53-DR54</f>
        <v/>
      </c>
      <c r="DS55" s="246" t="n"/>
      <c r="DT55" s="250">
        <f>DT53-DT54</f>
        <v/>
      </c>
      <c r="DU55" s="251" t="n"/>
      <c r="DV55" s="245">
        <f>DV53-DV54</f>
        <v/>
      </c>
      <c r="DW55" s="246" t="n"/>
      <c r="DX55" s="254">
        <f>DX53-DX54</f>
        <v/>
      </c>
      <c r="DY55" s="255" t="n"/>
      <c r="DZ55" s="245">
        <f>DZ53-DZ54</f>
        <v/>
      </c>
      <c r="EA55" s="246" t="n"/>
      <c r="EB55" s="245">
        <f>EB53-EB54</f>
        <v/>
      </c>
      <c r="EC55" s="246" t="n"/>
      <c r="ED55" s="245">
        <f>ED53-ED54</f>
        <v/>
      </c>
      <c r="EE55" s="246" t="n"/>
      <c r="EF55" s="290">
        <f>EF53-EF54</f>
        <v/>
      </c>
      <c r="EG55" s="255" t="n"/>
      <c r="EH55" s="245">
        <f>EH53-EH54</f>
        <v/>
      </c>
      <c r="EI55" s="246" t="n"/>
      <c r="EJ55" s="245">
        <f>EJ53-EJ54</f>
        <v/>
      </c>
      <c r="EK55" s="246" t="n"/>
      <c r="EL55" s="245">
        <f>EL53-EL54</f>
        <v/>
      </c>
      <c r="EM55" s="246" t="n"/>
      <c r="EN55" s="245">
        <f>EN53-EN54</f>
        <v/>
      </c>
      <c r="EO55" s="246" t="n"/>
      <c r="EP55" s="245">
        <f>EP53-EP54</f>
        <v/>
      </c>
      <c r="EQ55" s="246" t="n"/>
      <c r="ER55" s="245">
        <f>ER53-ER54</f>
        <v/>
      </c>
      <c r="ES55" s="246" t="n"/>
      <c r="ET55" s="245">
        <f>ET53-ET54</f>
        <v/>
      </c>
      <c r="EU55" s="246" t="n"/>
      <c r="EV55" s="245">
        <f>EV53-EV54</f>
        <v/>
      </c>
      <c r="EW55" s="246" t="n"/>
      <c r="EX55" s="290">
        <f>EX53-EX54</f>
        <v/>
      </c>
      <c r="EY55" s="255" t="n"/>
      <c r="EZ55" s="245">
        <f>EZ53-EZ54</f>
        <v/>
      </c>
      <c r="FA55" s="246" t="n"/>
      <c r="FB55" s="245">
        <f>FB53-FB54</f>
        <v/>
      </c>
      <c r="FC55" s="246" t="n"/>
      <c r="FD55" s="245">
        <f>FD53-FD54</f>
        <v/>
      </c>
      <c r="FE55" s="246" t="n"/>
      <c r="FF55" s="245">
        <f>FF53-FF54</f>
        <v/>
      </c>
      <c r="FG55" s="246" t="n"/>
      <c r="FH55" s="245">
        <f>FH53-FH54</f>
        <v/>
      </c>
      <c r="FI55" s="246" t="n"/>
      <c r="FJ55" s="269">
        <f>FJ53-FJ54</f>
        <v/>
      </c>
      <c r="FK55" s="246" t="n"/>
      <c r="FL55" s="245">
        <f>FL53-FL54</f>
        <v/>
      </c>
      <c r="FM55" s="246" t="n"/>
      <c r="FN55" s="245">
        <f>FN53-FN54</f>
        <v/>
      </c>
      <c r="FO55" s="246" t="n"/>
      <c r="FP55" s="245">
        <f>FP53-FP54</f>
        <v/>
      </c>
      <c r="FQ55" s="246" t="n"/>
      <c r="FR55" s="245">
        <f>FR53-FR54</f>
        <v/>
      </c>
      <c r="FS55" s="246" t="n"/>
      <c r="FT55" s="245">
        <f>FT53-FT54</f>
        <v/>
      </c>
      <c r="FU55" s="246" t="n"/>
      <c r="FV55" s="245">
        <f>FV53-FV54</f>
        <v/>
      </c>
      <c r="FW55" s="246" t="n"/>
      <c r="FX55" s="254">
        <f>FX53-FX54</f>
        <v/>
      </c>
      <c r="FY55" s="255" t="n"/>
      <c r="FZ55" s="254">
        <f>FZ53-FZ54</f>
        <v/>
      </c>
      <c r="GA55" s="255" t="n"/>
      <c r="GB55" s="254">
        <f>GB53-GB54</f>
        <v/>
      </c>
      <c r="GC55" s="255" t="n"/>
      <c r="GD55" s="254">
        <f>GD53-GD54</f>
        <v/>
      </c>
      <c r="GE55" s="255" t="n"/>
      <c r="GF55" s="245">
        <f>GF53-GF54</f>
        <v/>
      </c>
      <c r="GG55" s="246" t="n"/>
      <c r="GH55" s="245">
        <f>GH53-GH54</f>
        <v/>
      </c>
      <c r="GI55" s="246" t="n"/>
      <c r="GJ55" s="245">
        <f>GJ53-GJ54</f>
        <v/>
      </c>
      <c r="GK55" s="246" t="n"/>
      <c r="GL55" s="245">
        <f>GL53-GL54</f>
        <v/>
      </c>
      <c r="GM55" s="246" t="n"/>
      <c r="GN55" s="245">
        <f>GN53-GN54</f>
        <v/>
      </c>
      <c r="GO55" s="246" t="n"/>
      <c r="GP55" s="245">
        <f>GP53-GP54</f>
        <v/>
      </c>
      <c r="GQ55" s="246" t="n"/>
      <c r="GR55" s="245">
        <f>GR53-GR54</f>
        <v/>
      </c>
      <c r="GS55" s="246" t="n"/>
      <c r="GT55" s="245">
        <f>GT53-GT54</f>
        <v/>
      </c>
      <c r="GU55" s="246" t="n"/>
      <c r="GV55" s="245">
        <f>GV53-GV54</f>
        <v/>
      </c>
      <c r="GW55" s="246" t="n"/>
      <c r="GX55" s="245">
        <f>GX53-GX54</f>
        <v/>
      </c>
      <c r="GY55" s="246" t="n"/>
      <c r="GZ55" s="245">
        <f>GZ53-GZ54</f>
        <v/>
      </c>
      <c r="HA55" s="246" t="n"/>
      <c r="HB55" s="245">
        <f>HB53-HB54</f>
        <v/>
      </c>
      <c r="HC55" s="246" t="n"/>
      <c r="HD55" s="245">
        <f>HD53-HD54</f>
        <v/>
      </c>
      <c r="HE55" s="246" t="n"/>
      <c r="HF55" s="245">
        <f>HF53-HF54</f>
        <v/>
      </c>
      <c r="HG55" s="246" t="n"/>
      <c r="HH55" s="245">
        <f>HH53-HH54</f>
        <v/>
      </c>
      <c r="HI55" s="246" t="n"/>
      <c r="HJ55" s="245">
        <f>HJ53-HJ54</f>
        <v/>
      </c>
      <c r="HK55" s="246" t="n"/>
      <c r="HL55" s="245">
        <f>HL53-HL54</f>
        <v/>
      </c>
      <c r="HM55" s="246" t="n"/>
      <c r="HN55" s="245">
        <f>HN53-HN54</f>
        <v/>
      </c>
      <c r="HO55" s="246" t="n"/>
      <c r="HP55" s="245">
        <f>HP53-HP54</f>
        <v/>
      </c>
      <c r="HQ55" s="246" t="n"/>
      <c r="HR55" s="245">
        <f>HR53-HR54</f>
        <v/>
      </c>
      <c r="HS55" s="246" t="n"/>
      <c r="HT55" s="245">
        <f>HT53-HT54</f>
        <v/>
      </c>
      <c r="HU55" s="246" t="n"/>
      <c r="HV55" s="273">
        <f>HV53-HV54</f>
        <v/>
      </c>
      <c r="HW55" s="251" t="n"/>
      <c r="HX55" s="254">
        <f>HX53-HX54</f>
        <v/>
      </c>
      <c r="HY55" s="255" t="n"/>
      <c r="HZ55" s="254">
        <f>HZ53-HZ54</f>
        <v/>
      </c>
      <c r="IA55" s="255" t="n"/>
      <c r="IB55" s="245">
        <f>IB53-IB54</f>
        <v/>
      </c>
      <c r="IC55" s="246" t="n"/>
      <c r="ID55" s="273">
        <f>ID53-ID54</f>
        <v/>
      </c>
      <c r="IE55" s="251" t="n"/>
      <c r="IF55" s="245">
        <f>IF53-IF54</f>
        <v/>
      </c>
      <c r="IG55" s="246" t="n"/>
      <c r="IH55" s="245">
        <f>IH53-IH54</f>
        <v/>
      </c>
      <c r="II55" s="246" t="n"/>
      <c r="IJ55" s="245">
        <f>IJ53-IJ54</f>
        <v/>
      </c>
      <c r="IK55" s="246" t="n"/>
      <c r="IL55" s="245">
        <f>IL53-IL54</f>
        <v/>
      </c>
      <c r="IM55" s="246" t="n"/>
      <c r="IN55" s="245">
        <f>IN53-IN54</f>
        <v/>
      </c>
      <c r="IO55" s="246" t="n"/>
      <c r="IP55" s="245">
        <f>IP53-IP54</f>
        <v/>
      </c>
      <c r="IQ55" s="246" t="n"/>
      <c r="IR55" s="245">
        <f>IR53-IR54</f>
        <v/>
      </c>
      <c r="IS55" s="246" t="n"/>
      <c r="IT55" s="245">
        <f>IT53-IT54</f>
        <v/>
      </c>
      <c r="IU55" s="246" t="n"/>
      <c r="IV55" s="245">
        <f>IV53-IV54</f>
        <v/>
      </c>
      <c r="IW55" s="246" t="n"/>
      <c r="IX55" s="245">
        <f>IX53-IX54</f>
        <v/>
      </c>
      <c r="IY55" s="246" t="n"/>
      <c r="IZ55" s="245">
        <f>IZ53-IZ54</f>
        <v/>
      </c>
      <c r="JA55" s="246" t="n"/>
      <c r="JB55" s="245">
        <f>JB53-JB54</f>
        <v/>
      </c>
      <c r="JC55" s="246" t="n"/>
      <c r="JD55" s="245">
        <f>JD53-JD54</f>
        <v/>
      </c>
      <c r="JE55" s="246" t="n"/>
      <c r="JF55" s="245">
        <f>JF53-JF54</f>
        <v/>
      </c>
      <c r="JG55" s="246" t="n"/>
      <c r="JH55" s="245">
        <f>JH53-JH54</f>
        <v/>
      </c>
      <c r="JI55" s="246" t="n"/>
      <c r="JJ55" s="245">
        <f>JJ53-JJ54</f>
        <v/>
      </c>
      <c r="JK55" s="246" t="n"/>
      <c r="JL55" s="245">
        <f>JL53-JL54</f>
        <v/>
      </c>
      <c r="JM55" s="246" t="n"/>
      <c r="JN55" s="245">
        <f>JN53-JN54</f>
        <v/>
      </c>
      <c r="JO55" s="246" t="n"/>
      <c r="JP55" s="245">
        <f>JP53-JP54</f>
        <v/>
      </c>
      <c r="JQ55" s="246" t="n"/>
      <c r="JR55" s="245">
        <f>JR53-JR54</f>
        <v/>
      </c>
      <c r="JS55" s="246" t="n"/>
      <c r="JT55" s="245">
        <f>JT53-JT54</f>
        <v/>
      </c>
      <c r="JU55" s="246" t="n"/>
      <c r="JV55" s="245">
        <f>JV53-JV54</f>
        <v/>
      </c>
      <c r="JW55" s="246" t="n"/>
      <c r="JX55" s="250">
        <f>JX53-JX54</f>
        <v/>
      </c>
      <c r="JY55" s="251" t="n"/>
      <c r="JZ55" s="245">
        <f>JZ53-JZ54</f>
        <v/>
      </c>
      <c r="KA55" s="246" t="n"/>
      <c r="KB55" s="298">
        <f>SUM(H55:JY55)</f>
        <v/>
      </c>
      <c r="KC55" s="246" t="n"/>
      <c r="KD55" s="2" t="n"/>
      <c r="KF55" s="97" t="n"/>
    </row>
    <row r="56" ht="11.25" customHeight="1">
      <c r="B56" s="32" t="n"/>
      <c r="D56" s="279" t="inlineStr">
        <is>
          <t>частично актован</t>
        </is>
      </c>
      <c r="M56" s="279" t="n"/>
      <c r="CT56" s="279" t="n"/>
      <c r="CU56" s="279" t="n"/>
      <c r="KB56" s="307" t="n"/>
      <c r="KC56" s="308" t="n"/>
    </row>
    <row r="57" ht="11.25" customHeight="1">
      <c r="B57" s="33" t="n"/>
      <c r="D57" s="279" t="inlineStr">
        <is>
          <t>НЗП</t>
        </is>
      </c>
      <c r="M57" s="279" t="n"/>
      <c r="CT57" s="279" t="n"/>
      <c r="CU57" s="279" t="n"/>
    </row>
    <row r="58" ht="11.25" customHeight="1">
      <c r="B58" s="34" t="n"/>
      <c r="D58" s="279" t="inlineStr">
        <is>
          <t>актовка</t>
        </is>
      </c>
      <c r="M58" s="279" t="n"/>
      <c r="CT58" s="279" t="n"/>
      <c r="CU58" s="279" t="n"/>
    </row>
    <row r="59" ht="11.25" customHeight="1">
      <c r="B59" s="35" t="n"/>
      <c r="D59" s="279" t="inlineStr">
        <is>
          <t>для заполнения данными бухгалтерии</t>
        </is>
      </c>
      <c r="M59" s="279" t="n"/>
      <c r="CT59" s="279" t="n"/>
      <c r="CU59" s="279" t="n"/>
    </row>
    <row r="60" ht="29.25" customHeight="1">
      <c r="CT60" s="279" t="n"/>
      <c r="CU60" s="279" t="n"/>
    </row>
    <row r="61" ht="14.25" customHeight="1">
      <c r="CT61" s="279" t="n"/>
      <c r="CU61" s="279" t="n"/>
    </row>
    <row r="62" ht="13.2" customHeight="1">
      <c r="BF62" s="88" t="n"/>
      <c r="CD62" s="88" t="n"/>
      <c r="CR62" s="88" t="n"/>
      <c r="CT62" s="88" t="n"/>
      <c r="CU62" s="279" t="n"/>
      <c r="DL62" s="88" t="n"/>
      <c r="DX62" s="88" t="n"/>
      <c r="EJ62" s="88" t="n"/>
      <c r="EP62" s="88" t="n"/>
      <c r="EX62" s="88" t="n"/>
      <c r="GX62" s="88" t="n"/>
      <c r="GZ62" s="88" t="n"/>
      <c r="HB62" s="88" t="n"/>
      <c r="HD62" s="88" t="n"/>
      <c r="HF62" s="88" t="n"/>
      <c r="HH62" s="88" t="n"/>
      <c r="HJ62" s="88" t="n"/>
      <c r="HL62" s="88" t="n"/>
      <c r="KF62" s="88" t="n"/>
    </row>
    <row r="63" ht="13.2" customHeight="1">
      <c r="CT63" s="279" t="n"/>
      <c r="CU63" s="279" t="n"/>
    </row>
    <row r="64" ht="13.2" customHeight="1">
      <c r="CT64" s="279" t="n"/>
      <c r="CU64" s="279" t="n"/>
    </row>
    <row r="65" ht="13.2" customHeight="1">
      <c r="CT65" s="279" t="n"/>
      <c r="CU65" s="279" t="n"/>
    </row>
    <row r="66" ht="13.2" customHeight="1">
      <c r="CT66" s="279" t="n"/>
      <c r="CU66" s="279" t="n"/>
    </row>
    <row r="67" ht="13.2" customHeight="1">
      <c r="CT67" s="279" t="n"/>
      <c r="CU67" s="279" t="n"/>
    </row>
    <row r="68" ht="13.2" customHeight="1">
      <c r="CT68" s="279" t="n"/>
      <c r="CU68" s="279" t="n"/>
    </row>
    <row r="69" ht="13.2" customHeight="1">
      <c r="CT69" s="279" t="n"/>
      <c r="CU69" s="279" t="n"/>
    </row>
    <row r="70" ht="13.2" customHeight="1">
      <c r="CT70" s="279" t="n"/>
      <c r="CU70" s="279" t="n"/>
      <c r="JE70" s="301" t="n"/>
    </row>
    <row r="71" ht="13.2" customHeight="1">
      <c r="CT71" s="279" t="n"/>
      <c r="CU71" s="279" t="n"/>
      <c r="JE71" s="278" t="n"/>
    </row>
    <row r="72" ht="13.2" customHeight="1">
      <c r="CT72" s="279" t="n"/>
      <c r="CU72" s="279" t="n"/>
    </row>
    <row r="73" ht="13.2" customHeight="1">
      <c r="CT73" s="279" t="n"/>
      <c r="CU73" s="279" t="n"/>
    </row>
    <row r="74" ht="13.2" customHeight="1">
      <c r="CT74" s="279" t="n"/>
      <c r="CU74" s="279" t="n"/>
    </row>
    <row r="75" ht="13.2" customHeight="1">
      <c r="CT75" s="279" t="n"/>
      <c r="CU75" s="279" t="n"/>
    </row>
    <row r="76" ht="13.2" customHeight="1">
      <c r="CT76" s="279" t="n"/>
      <c r="CU76" s="279" t="n"/>
    </row>
    <row r="77" ht="13.2" customHeight="1">
      <c r="CT77" s="279" t="n"/>
      <c r="CU77" s="279" t="n"/>
    </row>
    <row r="78" ht="13.2" customHeight="1">
      <c r="CT78" s="279" t="n"/>
      <c r="CU78" s="279" t="n"/>
    </row>
    <row r="79" ht="13.2" customHeight="1">
      <c r="CT79" s="279" t="n"/>
      <c r="CU79" s="279" t="n"/>
    </row>
    <row r="80" ht="13.2" customHeight="1">
      <c r="CT80" s="279" t="n"/>
      <c r="CU80" s="279" t="n"/>
    </row>
    <row r="81" ht="13.2" customHeight="1">
      <c r="CT81" s="279" t="n"/>
      <c r="CU81" s="279" t="n"/>
    </row>
    <row r="82" ht="13.2" customHeight="1">
      <c r="CT82" s="279" t="n"/>
      <c r="CU82" s="279" t="n"/>
    </row>
    <row r="83" ht="13.2" customHeight="1">
      <c r="CT83" s="279" t="n"/>
      <c r="CU83" s="279" t="n"/>
    </row>
    <row r="84" ht="13.2" customHeight="1">
      <c r="CT84" s="279" t="n"/>
      <c r="CU84" s="279" t="n"/>
    </row>
    <row r="85" ht="13.2" customHeight="1">
      <c r="CT85" s="279" t="n"/>
      <c r="CU85" s="279" t="n"/>
    </row>
    <row r="86" ht="13.2" customHeight="1">
      <c r="CT86" s="279" t="n"/>
      <c r="CU86" s="279" t="n"/>
    </row>
    <row r="87" ht="13.2" customHeight="1">
      <c r="CT87" s="279" t="n"/>
      <c r="CU87" s="279" t="n"/>
    </row>
    <row r="88" ht="13.2" customHeight="1">
      <c r="CT88" s="279" t="n"/>
      <c r="CU88" s="279" t="n"/>
    </row>
    <row r="89" ht="13.2" customHeight="1">
      <c r="CT89" s="279" t="n"/>
      <c r="CU89" s="279" t="n"/>
    </row>
    <row r="90" ht="13.2" customHeight="1">
      <c r="CT90" s="279" t="n"/>
      <c r="CU90" s="279" t="n"/>
    </row>
    <row r="91" ht="13.2" customHeight="1">
      <c r="CT91" s="279" t="n"/>
      <c r="CU91" s="279" t="n"/>
    </row>
    <row r="92" ht="13.2" customHeight="1">
      <c r="CT92" s="279" t="n"/>
      <c r="CU92" s="279" t="n"/>
    </row>
    <row r="93" ht="13.2" customHeight="1">
      <c r="CT93" s="279" t="n"/>
      <c r="CU93" s="279" t="n"/>
    </row>
    <row r="94" ht="13.2" customHeight="1">
      <c r="CT94" s="279" t="n"/>
      <c r="CU94" s="279" t="n"/>
    </row>
    <row r="95" ht="13.2" customHeight="1">
      <c r="CT95" s="279" t="n"/>
      <c r="CU95" s="279" t="n"/>
    </row>
    <row r="96" ht="13.2" customHeight="1">
      <c r="CT96" s="279" t="n"/>
      <c r="CU96" s="279" t="n"/>
    </row>
    <row r="97" ht="13.2" customHeight="1">
      <c r="CT97" s="279" t="n"/>
      <c r="CU97" s="279" t="n"/>
    </row>
    <row r="98" ht="13.2" customHeight="1">
      <c r="CT98" s="279" t="n"/>
      <c r="CU98" s="279" t="n"/>
    </row>
    <row r="99" ht="13.2" customHeight="1">
      <c r="CT99" s="279" t="n"/>
      <c r="CU99" s="279" t="n"/>
    </row>
    <row r="100" ht="13.2" customHeight="1">
      <c r="CT100" s="279" t="n"/>
      <c r="CU100" s="279" t="n"/>
    </row>
    <row r="101" ht="13.2" customHeight="1">
      <c r="CT101" s="279" t="n"/>
      <c r="CU101" s="279" t="n"/>
    </row>
    <row r="102" ht="13.2" customHeight="1">
      <c r="CT102" s="279" t="n"/>
      <c r="CU102" s="279" t="n"/>
    </row>
    <row r="103" ht="13.2" customHeight="1">
      <c r="CT103" s="279" t="n"/>
      <c r="CU103" s="279" t="n"/>
    </row>
    <row r="104" ht="13.2" customHeight="1">
      <c r="CT104" s="279" t="n"/>
      <c r="CU104" s="279" t="n"/>
    </row>
    <row r="105" ht="13.2" customHeight="1">
      <c r="CT105" s="279" t="n"/>
      <c r="CU105" s="279" t="n"/>
    </row>
    <row r="106" ht="13.2" customHeight="1">
      <c r="CT106" s="279" t="n"/>
      <c r="CU106" s="279" t="n"/>
    </row>
    <row r="107" ht="13.2" customHeight="1">
      <c r="CT107" s="279" t="n"/>
      <c r="CU107" s="279" t="n"/>
    </row>
    <row r="108" ht="13.2" customHeight="1">
      <c r="CT108" s="279" t="n"/>
      <c r="CU108" s="279" t="n"/>
    </row>
    <row r="109" ht="13.2" customHeight="1">
      <c r="CT109" s="279" t="n"/>
      <c r="CU109" s="279" t="n"/>
    </row>
    <row r="110" ht="13.2" customHeight="1">
      <c r="CT110" s="279" t="n"/>
      <c r="CU110" s="279" t="n"/>
    </row>
    <row r="111" ht="13.2" customHeight="1">
      <c r="CT111" s="279" t="n"/>
      <c r="CU111" s="279" t="n"/>
    </row>
    <row r="112" ht="13.2" customHeight="1">
      <c r="CT112" s="279" t="n"/>
      <c r="CU112" s="279" t="n"/>
    </row>
    <row r="113" ht="13.2" customHeight="1">
      <c r="CT113" s="279" t="n"/>
      <c r="CU113" s="279" t="n"/>
    </row>
    <row r="114" ht="13.2" customHeight="1">
      <c r="CT114" s="279" t="n"/>
      <c r="CU114" s="279" t="n"/>
    </row>
    <row r="115" ht="13.2" customHeight="1">
      <c r="CT115" s="279" t="n"/>
      <c r="CU115" s="279" t="n"/>
    </row>
    <row r="116" ht="13.2" customHeight="1">
      <c r="CT116" s="279" t="n"/>
      <c r="CU116" s="279" t="n"/>
    </row>
    <row r="117" ht="13.2" customHeight="1">
      <c r="CT117" s="279" t="n"/>
      <c r="CU117" s="279" t="n"/>
    </row>
    <row r="118" ht="13.2" customHeight="1">
      <c r="CT118" s="279" t="n"/>
      <c r="CU118" s="279" t="n"/>
    </row>
    <row r="119" ht="13.2" customHeight="1">
      <c r="CT119" s="279" t="n"/>
      <c r="CU119" s="279" t="n"/>
    </row>
    <row r="120" ht="13.2" customHeight="1">
      <c r="CT120" s="279" t="n"/>
      <c r="CU120" s="279" t="n"/>
    </row>
    <row r="121" ht="13.2" customHeight="1">
      <c r="CT121" s="279" t="n"/>
      <c r="CU121" s="279" t="n"/>
    </row>
    <row r="122" ht="13.2" customHeight="1">
      <c r="CT122" s="279" t="n"/>
      <c r="CU122" s="279" t="n"/>
    </row>
    <row r="123" ht="13.2" customHeight="1">
      <c r="CT123" s="279" t="n"/>
      <c r="CU123" s="279" t="n"/>
    </row>
    <row r="124" ht="13.2" customHeight="1">
      <c r="CT124" s="279" t="n"/>
      <c r="CU124" s="279" t="n"/>
    </row>
    <row r="125" ht="13.2" customHeight="1">
      <c r="CT125" s="279" t="n"/>
      <c r="CU125" s="279" t="n"/>
    </row>
    <row r="126" ht="13.2" customHeight="1">
      <c r="CT126" s="279" t="n"/>
      <c r="CU126" s="279" t="n"/>
    </row>
    <row r="127" ht="13.2" customHeight="1">
      <c r="CT127" s="279" t="n"/>
      <c r="CU127" s="279" t="n"/>
    </row>
    <row r="128" ht="13.2" customHeight="1">
      <c r="CT128" s="279" t="n"/>
      <c r="CU128" s="279" t="n"/>
    </row>
    <row r="129" ht="13.2" customHeight="1">
      <c r="CT129" s="279" t="n"/>
      <c r="CU129" s="279" t="n"/>
    </row>
    <row r="130" ht="13.2" customHeight="1">
      <c r="CT130" s="279" t="n"/>
      <c r="CU130" s="279" t="n"/>
    </row>
    <row r="131" ht="13.2" customHeight="1">
      <c r="CT131" s="279" t="n"/>
      <c r="CU131" s="279" t="n"/>
    </row>
    <row r="132" ht="13.2" customHeight="1">
      <c r="CT132" s="279" t="n"/>
      <c r="CU132" s="279" t="n"/>
    </row>
    <row r="133" ht="13.2" customHeight="1">
      <c r="CT133" s="279" t="n"/>
      <c r="CU133" s="279" t="n"/>
    </row>
    <row r="134" ht="13.2" customHeight="1">
      <c r="CT134" s="279" t="n"/>
      <c r="CU134" s="279" t="n"/>
    </row>
    <row r="135" ht="13.2" customHeight="1">
      <c r="CT135" s="279" t="n"/>
      <c r="CU135" s="279" t="n"/>
    </row>
    <row r="136" ht="13.2" customHeight="1">
      <c r="CT136" s="279" t="n"/>
      <c r="CU136" s="279" t="n"/>
    </row>
    <row r="137" ht="13.2" customHeight="1">
      <c r="CT137" s="279" t="n"/>
      <c r="CU137" s="279" t="n"/>
    </row>
    <row r="138" ht="13.2" customHeight="1">
      <c r="CT138" s="279" t="n"/>
      <c r="CU138" s="279" t="n"/>
    </row>
    <row r="139" ht="13.2" customHeight="1">
      <c r="CT139" s="279" t="n"/>
      <c r="CU139" s="279" t="n"/>
    </row>
    <row r="140" ht="13.2" customHeight="1">
      <c r="CT140" s="279" t="n"/>
      <c r="CU140" s="279" t="n"/>
    </row>
    <row r="141" ht="13.2" customHeight="1">
      <c r="CT141" s="279" t="n"/>
      <c r="CU141" s="279" t="n"/>
    </row>
    <row r="142" ht="13.2" customHeight="1">
      <c r="CT142" s="279" t="n"/>
      <c r="CU142" s="279" t="n"/>
    </row>
    <row r="143" ht="13.2" customHeight="1">
      <c r="CT143" s="279" t="n"/>
      <c r="CU143" s="279" t="n"/>
    </row>
    <row r="144" ht="13.2" customHeight="1">
      <c r="CT144" s="279" t="n"/>
      <c r="CU144" s="279" t="n"/>
    </row>
    <row r="145" ht="13.2" customHeight="1">
      <c r="CT145" s="279" t="n"/>
      <c r="CU145" s="279" t="n"/>
    </row>
    <row r="146" ht="13.2" customHeight="1">
      <c r="CT146" s="279" t="n"/>
      <c r="CU146" s="279" t="n"/>
    </row>
    <row r="147" ht="13.2" customHeight="1">
      <c r="CT147" s="279" t="n"/>
      <c r="CU147" s="279" t="n"/>
    </row>
    <row r="148" ht="13.2" customHeight="1">
      <c r="CT148" s="279" t="n"/>
      <c r="CU148" s="279" t="n"/>
    </row>
    <row r="149" ht="13.2" customHeight="1">
      <c r="CT149" s="279" t="n"/>
      <c r="CU149" s="279" t="n"/>
    </row>
    <row r="150" ht="13.2" customHeight="1">
      <c r="CT150" s="279" t="n"/>
      <c r="CU150" s="279" t="n"/>
    </row>
    <row r="151" ht="13.2" customHeight="1">
      <c r="CT151" s="279" t="n"/>
      <c r="CU151" s="279" t="n"/>
    </row>
    <row r="152" ht="13.2" customHeight="1">
      <c r="CT152" s="279" t="n"/>
      <c r="CU152" s="279" t="n"/>
    </row>
    <row r="153" ht="13.2" customHeight="1">
      <c r="CT153" s="279" t="n"/>
      <c r="CU153" s="279" t="n"/>
    </row>
    <row r="154" ht="13.2" customHeight="1">
      <c r="CT154" s="279" t="n"/>
      <c r="CU154" s="279" t="n"/>
    </row>
    <row r="155" ht="13.2" customHeight="1">
      <c r="CT155" s="279" t="n"/>
      <c r="CU155" s="279" t="n"/>
    </row>
    <row r="156" ht="13.2" customHeight="1">
      <c r="CT156" s="279" t="n"/>
      <c r="CU156" s="279" t="n"/>
    </row>
    <row r="157" ht="13.2" customHeight="1">
      <c r="CT157" s="279" t="n"/>
      <c r="CU157" s="279" t="n"/>
    </row>
    <row r="158" ht="13.2" customHeight="1">
      <c r="CT158" s="279" t="n"/>
      <c r="CU158" s="279" t="n"/>
    </row>
    <row r="159" ht="13.2" customHeight="1">
      <c r="CT159" s="279" t="n"/>
      <c r="CU159" s="279" t="n"/>
    </row>
    <row r="160" ht="13.2" customHeight="1">
      <c r="CT160" s="279" t="n"/>
      <c r="CU160" s="279" t="n"/>
    </row>
    <row r="161" ht="13.2" customHeight="1">
      <c r="CT161" s="279" t="n"/>
      <c r="CU161" s="279" t="n"/>
    </row>
    <row r="162" ht="13.2" customHeight="1">
      <c r="CT162" s="279" t="n"/>
      <c r="CU162" s="279" t="n"/>
    </row>
    <row r="163" ht="13.2" customHeight="1">
      <c r="CT163" s="279" t="n"/>
      <c r="CU163" s="279" t="n"/>
    </row>
    <row r="164" ht="13.2" customHeight="1">
      <c r="CT164" s="279" t="n"/>
      <c r="CU164" s="279" t="n"/>
    </row>
    <row r="165" ht="13.2" customHeight="1">
      <c r="CT165" s="279" t="n"/>
      <c r="CU165" s="279" t="n"/>
    </row>
    <row r="166" ht="13.2" customHeight="1">
      <c r="CT166" s="279" t="n"/>
      <c r="CU166" s="279" t="n"/>
    </row>
    <row r="167" ht="13.2" customHeight="1">
      <c r="CT167" s="279" t="n"/>
      <c r="CU167" s="279" t="n"/>
    </row>
    <row r="168" ht="13.2" customHeight="1">
      <c r="CT168" s="279" t="n"/>
      <c r="CU168" s="279" t="n"/>
    </row>
    <row r="169" ht="13.2" customHeight="1">
      <c r="CT169" s="279" t="n"/>
      <c r="CU169" s="279" t="n"/>
    </row>
    <row r="170" ht="13.2" customHeight="1">
      <c r="CT170" s="279" t="n"/>
      <c r="CU170" s="279" t="n"/>
    </row>
    <row r="171" ht="13.2" customHeight="1">
      <c r="CT171" s="279" t="n"/>
      <c r="CU171" s="279" t="n"/>
    </row>
    <row r="172" ht="13.2" customHeight="1">
      <c r="CT172" s="279" t="n"/>
      <c r="CU172" s="279" t="n"/>
    </row>
    <row r="173" ht="13.2" customHeight="1">
      <c r="CT173" s="279" t="n"/>
      <c r="CU173" s="279" t="n"/>
    </row>
    <row r="174" ht="13.2" customHeight="1">
      <c r="CT174" s="279" t="n"/>
      <c r="CU174" s="279" t="n"/>
    </row>
    <row r="175" ht="13.2" customHeight="1">
      <c r="CT175" s="279" t="n"/>
      <c r="CU175" s="279" t="n"/>
    </row>
    <row r="176" ht="13.2" customHeight="1">
      <c r="CT176" s="279" t="n"/>
      <c r="CU176" s="279" t="n"/>
    </row>
    <row r="177" ht="13.2" customHeight="1">
      <c r="CT177" s="279" t="n"/>
      <c r="CU177" s="279" t="n"/>
    </row>
    <row r="178" ht="13.2" customHeight="1">
      <c r="CT178" s="279" t="n"/>
      <c r="CU178" s="279" t="n"/>
    </row>
    <row r="179" ht="13.2" customHeight="1">
      <c r="CT179" s="279" t="n"/>
      <c r="CU179" s="279" t="n"/>
    </row>
    <row r="180" ht="13.2" customHeight="1">
      <c r="CT180" s="279" t="n"/>
      <c r="CU180" s="279" t="n"/>
    </row>
    <row r="181" ht="13.2" customHeight="1">
      <c r="CT181" s="279" t="n"/>
      <c r="CU181" s="279" t="n"/>
    </row>
    <row r="182" ht="13.2" customHeight="1">
      <c r="CT182" s="279" t="n"/>
      <c r="CU182" s="279" t="n"/>
    </row>
    <row r="183" ht="13.2" customHeight="1">
      <c r="CT183" s="279" t="n"/>
      <c r="CU183" s="279" t="n"/>
    </row>
    <row r="184" ht="13.2" customHeight="1">
      <c r="CT184" s="279" t="n"/>
      <c r="CU184" s="279" t="n"/>
    </row>
    <row r="185" ht="13.2" customHeight="1">
      <c r="CT185" s="279" t="n"/>
      <c r="CU185" s="279" t="n"/>
    </row>
    <row r="186" ht="13.2" customHeight="1">
      <c r="CT186" s="279" t="n"/>
      <c r="CU186" s="279" t="n"/>
    </row>
    <row r="187" ht="13.2" customHeight="1">
      <c r="CT187" s="279" t="n"/>
      <c r="CU187" s="279" t="n"/>
    </row>
    <row r="188" ht="13.2" customHeight="1">
      <c r="CT188" s="279" t="n"/>
      <c r="CU188" s="279" t="n"/>
    </row>
    <row r="189" ht="13.2" customHeight="1">
      <c r="CT189" s="279" t="n"/>
      <c r="CU189" s="279" t="n"/>
    </row>
    <row r="190" ht="13.2" customHeight="1">
      <c r="CT190" s="279" t="n"/>
      <c r="CU190" s="279" t="n"/>
    </row>
    <row r="191" ht="13.2" customHeight="1">
      <c r="CT191" s="279" t="n"/>
      <c r="CU191" s="279" t="n"/>
    </row>
    <row r="192" ht="13.2" customHeight="1">
      <c r="CT192" s="279" t="n"/>
      <c r="CU192" s="279" t="n"/>
    </row>
    <row r="193" ht="13.2" customHeight="1">
      <c r="CT193" s="279" t="n"/>
      <c r="CU193" s="279" t="n"/>
    </row>
    <row r="194" ht="13.2" customHeight="1">
      <c r="CT194" s="279" t="n"/>
      <c r="CU194" s="279" t="n"/>
    </row>
    <row r="195" ht="13.2" customHeight="1">
      <c r="CT195" s="279" t="n"/>
      <c r="CU195" s="279" t="n"/>
    </row>
    <row r="196" ht="13.2" customHeight="1">
      <c r="CT196" s="279" t="n"/>
      <c r="CU196" s="279" t="n"/>
    </row>
    <row r="197" ht="13.2" customHeight="1">
      <c r="CT197" s="279" t="n"/>
      <c r="CU197" s="279" t="n"/>
    </row>
    <row r="198" ht="13.2" customHeight="1">
      <c r="CT198" s="279" t="n"/>
      <c r="CU198" s="279" t="n"/>
    </row>
    <row r="199" ht="13.2" customHeight="1">
      <c r="CT199" s="279" t="n"/>
      <c r="CU199" s="279" t="n"/>
    </row>
    <row r="200" ht="13.2" customHeight="1">
      <c r="CT200" s="279" t="n"/>
      <c r="CU200" s="279" t="n"/>
    </row>
    <row r="201" ht="13.2" customHeight="1">
      <c r="CT201" s="279" t="n"/>
      <c r="CU201" s="279" t="n"/>
    </row>
    <row r="202" ht="13.2" customHeight="1">
      <c r="CT202" s="279" t="n"/>
      <c r="CU202" s="279" t="n"/>
    </row>
    <row r="203" ht="13.2" customHeight="1">
      <c r="CT203" s="279" t="n"/>
      <c r="CU203" s="279" t="n"/>
    </row>
    <row r="204" ht="13.2" customHeight="1">
      <c r="CT204" s="279" t="n"/>
      <c r="CU204" s="279" t="n"/>
    </row>
    <row r="205" ht="13.2" customHeight="1">
      <c r="CT205" s="279" t="n"/>
      <c r="CU205" s="279" t="n"/>
    </row>
    <row r="206" ht="13.2" customHeight="1">
      <c r="CT206" s="279" t="n"/>
      <c r="CU206" s="279" t="n"/>
    </row>
    <row r="207" ht="13.2" customHeight="1">
      <c r="CT207" s="279" t="n"/>
      <c r="CU207" s="279" t="n"/>
    </row>
    <row r="208" ht="13.2" customHeight="1">
      <c r="CT208" s="279" t="n"/>
      <c r="CU208" s="279" t="n"/>
    </row>
    <row r="209" ht="13.2" customHeight="1">
      <c r="CT209" s="279" t="n"/>
      <c r="CU209" s="279" t="n"/>
    </row>
    <row r="210" ht="13.2" customHeight="1">
      <c r="CT210" s="279" t="n"/>
      <c r="CU210" s="279" t="n"/>
    </row>
    <row r="211" ht="13.2" customHeight="1">
      <c r="CT211" s="279" t="n"/>
      <c r="CU211" s="279" t="n"/>
    </row>
    <row r="212" ht="13.2" customHeight="1">
      <c r="CT212" s="279" t="n"/>
      <c r="CU212" s="279" t="n"/>
    </row>
    <row r="213" ht="13.2" customHeight="1">
      <c r="CT213" s="279" t="n"/>
      <c r="CU213" s="279" t="n"/>
    </row>
    <row r="214" ht="13.2" customHeight="1">
      <c r="CT214" s="279" t="n"/>
      <c r="CU214" s="279" t="n"/>
    </row>
    <row r="215" ht="13.2" customHeight="1">
      <c r="CT215" s="279" t="n"/>
      <c r="CU215" s="279" t="n"/>
    </row>
    <row r="216" ht="13.2" customHeight="1">
      <c r="CT216" s="279" t="n"/>
      <c r="CU216" s="279" t="n"/>
    </row>
    <row r="217" ht="13.2" customHeight="1">
      <c r="CT217" s="279" t="n"/>
      <c r="CU217" s="279" t="n"/>
    </row>
    <row r="218" ht="13.2" customHeight="1">
      <c r="CT218" s="279" t="n"/>
      <c r="CU218" s="279" t="n"/>
    </row>
    <row r="219" ht="13.2" customHeight="1">
      <c r="CT219" s="279" t="n"/>
      <c r="CU219" s="279" t="n"/>
    </row>
    <row r="220" ht="13.2" customHeight="1">
      <c r="CT220" s="279" t="n"/>
      <c r="CU220" s="279" t="n"/>
    </row>
    <row r="221" ht="13.2" customHeight="1">
      <c r="CT221" s="279" t="n"/>
      <c r="CU221" s="279" t="n"/>
    </row>
    <row r="222" ht="13.2" customHeight="1">
      <c r="CT222" s="279" t="n"/>
      <c r="CU222" s="279" t="n"/>
    </row>
    <row r="223" ht="13.2" customHeight="1">
      <c r="CT223" s="279" t="n"/>
      <c r="CU223" s="279" t="n"/>
    </row>
    <row r="224" ht="13.2" customHeight="1">
      <c r="CT224" s="279" t="n"/>
      <c r="CU224" s="279" t="n"/>
    </row>
    <row r="225" ht="13.2" customHeight="1">
      <c r="CT225" s="279" t="n"/>
      <c r="CU225" s="279" t="n"/>
    </row>
    <row r="226" ht="13.2" customHeight="1">
      <c r="CT226" s="279" t="n"/>
      <c r="CU226" s="279" t="n"/>
    </row>
    <row r="227" ht="13.2" customHeight="1">
      <c r="CT227" s="279" t="n"/>
      <c r="CU227" s="279" t="n"/>
    </row>
    <row r="228" ht="13.2" customHeight="1">
      <c r="CT228" s="279" t="n"/>
      <c r="CU228" s="279" t="n"/>
    </row>
    <row r="229" ht="13.2" customHeight="1">
      <c r="CT229" s="279" t="n"/>
      <c r="CU229" s="279" t="n"/>
    </row>
    <row r="230" ht="13.2" customHeight="1">
      <c r="CT230" s="279" t="n"/>
      <c r="CU230" s="279" t="n"/>
    </row>
    <row r="231" ht="13.2" customHeight="1">
      <c r="CT231" s="279" t="n"/>
      <c r="CU231" s="279" t="n"/>
    </row>
    <row r="232" ht="13.2" customHeight="1">
      <c r="CT232" s="279" t="n"/>
      <c r="CU232" s="279" t="n"/>
    </row>
    <row r="233" ht="13.2" customHeight="1">
      <c r="CT233" s="279" t="n"/>
      <c r="CU233" s="279" t="n"/>
    </row>
    <row r="234" ht="13.2" customHeight="1">
      <c r="CT234" s="279" t="n"/>
      <c r="CU234" s="279" t="n"/>
    </row>
    <row r="235" ht="13.2" customHeight="1">
      <c r="CT235" s="279" t="n"/>
      <c r="CU235" s="279" t="n"/>
    </row>
    <row r="236" ht="13.2" customHeight="1">
      <c r="CT236" s="279" t="n"/>
      <c r="CU236" s="279" t="n"/>
    </row>
    <row r="237" ht="13.2" customHeight="1">
      <c r="CT237" s="279" t="n"/>
      <c r="CU237" s="279" t="n"/>
    </row>
    <row r="238" ht="13.2" customHeight="1">
      <c r="CT238" s="279" t="n"/>
      <c r="CU238" s="279" t="n"/>
    </row>
    <row r="239" ht="13.2" customHeight="1">
      <c r="CT239" s="279" t="n"/>
      <c r="CU239" s="279" t="n"/>
    </row>
    <row r="240" ht="13.2" customHeight="1">
      <c r="CT240" s="279" t="n"/>
      <c r="CU240" s="279" t="n"/>
    </row>
    <row r="241" ht="13.2" customHeight="1">
      <c r="CT241" s="279" t="n"/>
      <c r="CU241" s="279" t="n"/>
    </row>
    <row r="242" ht="13.2" customHeight="1">
      <c r="CT242" s="279" t="n"/>
      <c r="CU242" s="279" t="n"/>
    </row>
    <row r="243" ht="13.2" customHeight="1">
      <c r="CT243" s="279" t="n"/>
      <c r="CU243" s="279" t="n"/>
    </row>
    <row r="244" ht="13.2" customHeight="1">
      <c r="CT244" s="279" t="n"/>
      <c r="CU244" s="279" t="n"/>
    </row>
    <row r="245" ht="13.2" customHeight="1">
      <c r="CT245" s="279" t="n"/>
      <c r="CU245" s="279" t="n"/>
    </row>
    <row r="246" ht="13.2" customHeight="1">
      <c r="CT246" s="279" t="n"/>
      <c r="CU246" s="279" t="n"/>
    </row>
    <row r="247" ht="13.2" customHeight="1">
      <c r="CT247" s="279" t="n"/>
      <c r="CU247" s="279" t="n"/>
    </row>
    <row r="248" ht="13.2" customHeight="1">
      <c r="CT248" s="279" t="n"/>
      <c r="CU248" s="279" t="n"/>
    </row>
    <row r="249" ht="13.2" customHeight="1">
      <c r="CT249" s="279" t="n"/>
      <c r="CU249" s="279" t="n"/>
    </row>
    <row r="250" ht="13.2" customHeight="1">
      <c r="CT250" s="279" t="n"/>
      <c r="CU250" s="279" t="n"/>
    </row>
    <row r="251" ht="13.2" customHeight="1">
      <c r="CT251" s="279" t="n"/>
      <c r="CU251" s="279" t="n"/>
    </row>
    <row r="252" ht="13.2" customHeight="1">
      <c r="CT252" s="279" t="n"/>
      <c r="CU252" s="279" t="n"/>
    </row>
    <row r="253" ht="13.2" customHeight="1">
      <c r="CT253" s="279" t="n"/>
      <c r="CU253" s="279" t="n"/>
    </row>
    <row r="254" ht="13.2" customHeight="1">
      <c r="CT254" s="279" t="n"/>
      <c r="CU254" s="279" t="n"/>
    </row>
    <row r="255" ht="13.2" customHeight="1">
      <c r="CT255" s="279" t="n"/>
      <c r="CU255" s="279" t="n"/>
    </row>
    <row r="256" ht="13.2" customHeight="1">
      <c r="CT256" s="279" t="n"/>
      <c r="CU256" s="279" t="n"/>
    </row>
    <row r="257" ht="13.2" customHeight="1">
      <c r="CT257" s="279" t="n"/>
      <c r="CU257" s="279" t="n"/>
    </row>
    <row r="258" ht="13.2" customHeight="1">
      <c r="CT258" s="279" t="n"/>
      <c r="CU258" s="279" t="n"/>
    </row>
    <row r="259" ht="13.2" customHeight="1">
      <c r="CT259" s="279" t="n"/>
      <c r="CU259" s="279" t="n"/>
    </row>
    <row r="260" ht="13.2" customHeight="1">
      <c r="CT260" s="279" t="n"/>
      <c r="CU260" s="279" t="n"/>
    </row>
    <row r="261" ht="13.2" customHeight="1">
      <c r="CT261" s="279" t="n"/>
      <c r="CU261" s="279" t="n"/>
    </row>
    <row r="262" ht="13.2" customHeight="1">
      <c r="CT262" s="279" t="n"/>
      <c r="CU262" s="279" t="n"/>
    </row>
    <row r="263" ht="13.2" customHeight="1">
      <c r="CT263" s="279" t="n"/>
      <c r="CU263" s="279" t="n"/>
    </row>
    <row r="264" ht="13.2" customHeight="1">
      <c r="CT264" s="279" t="n"/>
      <c r="CU264" s="279" t="n"/>
    </row>
    <row r="265" ht="13.2" customHeight="1">
      <c r="CT265" s="279" t="n"/>
      <c r="CU265" s="279" t="n"/>
    </row>
    <row r="266" ht="13.2" customHeight="1">
      <c r="CT266" s="279" t="n"/>
      <c r="CU266" s="279" t="n"/>
    </row>
    <row r="267" ht="13.2" customHeight="1">
      <c r="CT267" s="279" t="n"/>
      <c r="CU267" s="279" t="n"/>
    </row>
    <row r="268" ht="13.2" customHeight="1">
      <c r="CT268" s="279" t="n"/>
      <c r="CU268" s="279" t="n"/>
    </row>
    <row r="269" ht="13.2" customHeight="1">
      <c r="CT269" s="279" t="n"/>
      <c r="CU269" s="279" t="n"/>
    </row>
    <row r="270" ht="13.2" customHeight="1">
      <c r="CT270" s="279" t="n"/>
      <c r="CU270" s="279" t="n"/>
    </row>
    <row r="271" ht="13.2" customHeight="1">
      <c r="CT271" s="279" t="n"/>
      <c r="CU271" s="279" t="n"/>
    </row>
    <row r="272" ht="13.2" customHeight="1">
      <c r="CT272" s="279" t="n"/>
      <c r="CU272" s="279" t="n"/>
    </row>
    <row r="273" ht="13.2" customHeight="1">
      <c r="CT273" s="279" t="n"/>
      <c r="CU273" s="279" t="n"/>
    </row>
    <row r="274" ht="13.2" customHeight="1">
      <c r="CT274" s="279" t="n"/>
      <c r="CU274" s="279" t="n"/>
    </row>
    <row r="275" ht="13.2" customHeight="1">
      <c r="CT275" s="279" t="n"/>
      <c r="CU275" s="279" t="n"/>
    </row>
    <row r="276" ht="13.2" customHeight="1">
      <c r="CT276" s="279" t="n"/>
      <c r="CU276" s="279" t="n"/>
    </row>
    <row r="277" ht="13.2" customHeight="1">
      <c r="CT277" s="279" t="n"/>
      <c r="CU277" s="279" t="n"/>
    </row>
    <row r="278" ht="13.2" customHeight="1">
      <c r="CT278" s="279" t="n"/>
      <c r="CU278" s="279" t="n"/>
    </row>
    <row r="279" ht="13.2" customHeight="1">
      <c r="CT279" s="279" t="n"/>
      <c r="CU279" s="279" t="n"/>
    </row>
    <row r="280" ht="13.2" customHeight="1">
      <c r="CT280" s="279" t="n"/>
      <c r="CU280" s="279" t="n"/>
    </row>
    <row r="281" ht="13.2" customHeight="1">
      <c r="CT281" s="279" t="n"/>
      <c r="CU281" s="279" t="n"/>
    </row>
    <row r="282" ht="13.2" customHeight="1">
      <c r="CT282" s="279" t="n"/>
      <c r="CU282" s="279" t="n"/>
    </row>
    <row r="283" ht="13.2" customHeight="1">
      <c r="CT283" s="279" t="n"/>
      <c r="CU283" s="279" t="n"/>
    </row>
    <row r="284" ht="13.2" customHeight="1">
      <c r="CT284" s="279" t="n"/>
      <c r="CU284" s="279" t="n"/>
    </row>
    <row r="285" ht="13.2" customHeight="1">
      <c r="CT285" s="279" t="n"/>
      <c r="CU285" s="279" t="n"/>
    </row>
    <row r="286" ht="13.2" customHeight="1">
      <c r="CT286" s="279" t="n"/>
      <c r="CU286" s="279" t="n"/>
    </row>
    <row r="287" ht="13.2" customHeight="1">
      <c r="CT287" s="279" t="n"/>
      <c r="CU287" s="279" t="n"/>
    </row>
    <row r="288" ht="13.2" customHeight="1">
      <c r="CT288" s="279" t="n"/>
      <c r="CU288" s="279" t="n"/>
    </row>
    <row r="289" ht="13.2" customHeight="1">
      <c r="CT289" s="279" t="n"/>
      <c r="CU289" s="279" t="n"/>
    </row>
    <row r="290" ht="13.2" customHeight="1">
      <c r="CT290" s="279" t="n"/>
      <c r="CU290" s="279" t="n"/>
    </row>
    <row r="291" ht="13.2" customHeight="1">
      <c r="CT291" s="279" t="n"/>
      <c r="CU291" s="279" t="n"/>
    </row>
    <row r="292" ht="13.2" customHeight="1">
      <c r="CT292" s="279" t="n"/>
      <c r="CU292" s="279" t="n"/>
    </row>
    <row r="293" ht="13.2" customHeight="1">
      <c r="CT293" s="279" t="n"/>
      <c r="CU293" s="279" t="n"/>
    </row>
    <row r="294" ht="13.2" customHeight="1">
      <c r="CT294" s="279" t="n"/>
      <c r="CU294" s="279" t="n"/>
    </row>
    <row r="295" ht="13.2" customHeight="1">
      <c r="CT295" s="279" t="n"/>
      <c r="CU295" s="279" t="n"/>
    </row>
    <row r="296" ht="13.2" customHeight="1">
      <c r="CT296" s="279" t="n"/>
      <c r="CU296" s="279" t="n"/>
    </row>
    <row r="297" ht="13.2" customHeight="1">
      <c r="CT297" s="279" t="n"/>
      <c r="CU297" s="279" t="n"/>
    </row>
    <row r="298" ht="13.2" customHeight="1">
      <c r="CT298" s="279" t="n"/>
      <c r="CU298" s="279" t="n"/>
    </row>
    <row r="299" ht="13.2" customHeight="1">
      <c r="CT299" s="279" t="n"/>
      <c r="CU299" s="279" t="n"/>
    </row>
    <row r="300" ht="13.2" customHeight="1">
      <c r="CT300" s="279" t="n"/>
      <c r="CU300" s="279" t="n"/>
    </row>
    <row r="301" ht="13.2" customHeight="1">
      <c r="CT301" s="279" t="n"/>
      <c r="CU301" s="279" t="n"/>
    </row>
    <row r="302" ht="13.2" customHeight="1">
      <c r="CT302" s="279" t="n"/>
      <c r="CU302" s="279" t="n"/>
    </row>
    <row r="303" ht="13.2" customHeight="1">
      <c r="CT303" s="279" t="n"/>
      <c r="CU303" s="279" t="n"/>
    </row>
    <row r="304" ht="13.2" customHeight="1">
      <c r="CT304" s="279" t="n"/>
      <c r="CU304" s="279" t="n"/>
    </row>
    <row r="305" ht="13.2" customHeight="1">
      <c r="CT305" s="279" t="n"/>
      <c r="CU305" s="279" t="n"/>
    </row>
    <row r="306" ht="13.2" customHeight="1">
      <c r="CT306" s="279" t="n"/>
      <c r="CU306" s="279" t="n"/>
    </row>
    <row r="307" ht="13.2" customHeight="1">
      <c r="CT307" s="279" t="n"/>
      <c r="CU307" s="279" t="n"/>
    </row>
    <row r="308" ht="13.2" customHeight="1">
      <c r="CT308" s="279" t="n"/>
      <c r="CU308" s="279" t="n"/>
    </row>
    <row r="309" ht="13.2" customHeight="1">
      <c r="CT309" s="279" t="n"/>
      <c r="CU309" s="279" t="n"/>
    </row>
    <row r="310" ht="13.2" customHeight="1">
      <c r="CT310" s="279" t="n"/>
      <c r="CU310" s="279" t="n"/>
    </row>
    <row r="311" ht="13.2" customHeight="1">
      <c r="CT311" s="279" t="n"/>
      <c r="CU311" s="279" t="n"/>
    </row>
    <row r="312" ht="13.2" customHeight="1">
      <c r="CT312" s="279" t="n"/>
      <c r="CU312" s="279" t="n"/>
    </row>
    <row r="313" ht="13.2" customHeight="1">
      <c r="CT313" s="279" t="n"/>
      <c r="CU313" s="279" t="n"/>
    </row>
    <row r="314" ht="13.2" customHeight="1">
      <c r="CT314" s="279" t="n"/>
      <c r="CU314" s="279" t="n"/>
    </row>
    <row r="315" ht="13.2" customHeight="1">
      <c r="CT315" s="279" t="n"/>
      <c r="CU315" s="279" t="n"/>
    </row>
    <row r="316" ht="13.2" customHeight="1">
      <c r="CT316" s="279" t="n"/>
      <c r="CU316" s="279" t="n"/>
    </row>
    <row r="317" ht="13.2" customHeight="1">
      <c r="CT317" s="279" t="n"/>
      <c r="CU317" s="279" t="n"/>
    </row>
    <row r="318" ht="13.2" customHeight="1">
      <c r="CT318" s="279" t="n"/>
      <c r="CU318" s="279" t="n"/>
    </row>
    <row r="319" ht="13.2" customHeight="1">
      <c r="CT319" s="279" t="n"/>
      <c r="CU319" s="279" t="n"/>
    </row>
    <row r="320" ht="13.2" customHeight="1">
      <c r="CT320" s="279" t="n"/>
      <c r="CU320" s="279" t="n"/>
    </row>
    <row r="321" ht="13.2" customHeight="1">
      <c r="CT321" s="279" t="n"/>
      <c r="CU321" s="279" t="n"/>
    </row>
    <row r="322" ht="13.2" customHeight="1">
      <c r="CT322" s="279" t="n"/>
      <c r="CU322" s="279" t="n"/>
    </row>
    <row r="323" ht="13.2" customHeight="1">
      <c r="CT323" s="279" t="n"/>
      <c r="CU323" s="279" t="n"/>
    </row>
    <row r="324" ht="13.2" customHeight="1">
      <c r="CT324" s="279" t="n"/>
      <c r="CU324" s="279" t="n"/>
    </row>
    <row r="325" ht="13.2" customHeight="1">
      <c r="CT325" s="279" t="n"/>
      <c r="CU325" s="279" t="n"/>
    </row>
    <row r="326" ht="13.2" customHeight="1">
      <c r="CT326" s="279" t="n"/>
      <c r="CU326" s="279" t="n"/>
    </row>
    <row r="327" ht="13.2" customHeight="1">
      <c r="CT327" s="279" t="n"/>
      <c r="CU327" s="279" t="n"/>
    </row>
    <row r="328" ht="13.2" customHeight="1">
      <c r="CT328" s="279" t="n"/>
      <c r="CU328" s="279" t="n"/>
    </row>
    <row r="329" ht="13.2" customHeight="1">
      <c r="CT329" s="279" t="n"/>
      <c r="CU329" s="279" t="n"/>
    </row>
    <row r="330" ht="13.2" customHeight="1">
      <c r="CT330" s="279" t="n"/>
      <c r="CU330" s="279" t="n"/>
    </row>
    <row r="331" ht="13.2" customHeight="1">
      <c r="CT331" s="279" t="n"/>
      <c r="CU331" s="279" t="n"/>
    </row>
    <row r="332" ht="13.2" customHeight="1">
      <c r="CT332" s="279" t="n"/>
      <c r="CU332" s="279" t="n"/>
    </row>
    <row r="333" ht="13.2" customHeight="1">
      <c r="CT333" s="279" t="n"/>
      <c r="CU333" s="279" t="n"/>
    </row>
    <row r="334" ht="13.2" customHeight="1">
      <c r="CT334" s="279" t="n"/>
      <c r="CU334" s="279" t="n"/>
    </row>
    <row r="335" ht="13.2" customHeight="1">
      <c r="CT335" s="279" t="n"/>
      <c r="CU335" s="279" t="n"/>
    </row>
    <row r="336" ht="13.2" customHeight="1">
      <c r="CT336" s="279" t="n"/>
      <c r="CU336" s="279" t="n"/>
    </row>
    <row r="337" ht="13.2" customHeight="1">
      <c r="CT337" s="279" t="n"/>
      <c r="CU337" s="279" t="n"/>
    </row>
    <row r="338" ht="13.2" customHeight="1">
      <c r="CT338" s="279" t="n"/>
      <c r="CU338" s="279" t="n"/>
    </row>
    <row r="339" ht="13.2" customHeight="1">
      <c r="CT339" s="279" t="n"/>
      <c r="CU339" s="279" t="n"/>
    </row>
    <row r="340" ht="13.2" customHeight="1">
      <c r="CT340" s="279" t="n"/>
      <c r="CU340" s="279" t="n"/>
    </row>
    <row r="341" ht="13.2" customHeight="1">
      <c r="CT341" s="279" t="n"/>
      <c r="CU341" s="279" t="n"/>
    </row>
    <row r="342" ht="13.2" customHeight="1">
      <c r="CT342" s="279" t="n"/>
      <c r="CU342" s="279" t="n"/>
    </row>
    <row r="343" ht="13.2" customHeight="1">
      <c r="CT343" s="279" t="n"/>
      <c r="CU343" s="279" t="n"/>
    </row>
    <row r="344" ht="13.2" customHeight="1">
      <c r="CT344" s="279" t="n"/>
      <c r="CU344" s="279" t="n"/>
    </row>
    <row r="345" ht="13.2" customHeight="1">
      <c r="CT345" s="279" t="n"/>
      <c r="CU345" s="279" t="n"/>
    </row>
    <row r="346" ht="13.2" customHeight="1">
      <c r="CT346" s="279" t="n"/>
      <c r="CU346" s="279" t="n"/>
    </row>
    <row r="347" ht="13.2" customHeight="1">
      <c r="CT347" s="279" t="n"/>
      <c r="CU347" s="279" t="n"/>
    </row>
    <row r="348" ht="13.2" customHeight="1">
      <c r="CT348" s="279" t="n"/>
      <c r="CU348" s="279" t="n"/>
    </row>
    <row r="349" ht="13.2" customHeight="1">
      <c r="CT349" s="279" t="n"/>
      <c r="CU349" s="279" t="n"/>
    </row>
    <row r="350" ht="13.2" customHeight="1">
      <c r="CT350" s="279" t="n"/>
      <c r="CU350" s="279" t="n"/>
    </row>
    <row r="351" ht="13.2" customHeight="1">
      <c r="CT351" s="279" t="n"/>
      <c r="CU351" s="279" t="n"/>
    </row>
    <row r="352" ht="13.2" customHeight="1">
      <c r="CT352" s="279" t="n"/>
      <c r="CU352" s="279" t="n"/>
    </row>
    <row r="353" ht="13.2" customHeight="1">
      <c r="CT353" s="279" t="n"/>
      <c r="CU353" s="279" t="n"/>
    </row>
    <row r="354" ht="13.2" customHeight="1">
      <c r="CT354" s="279" t="n"/>
      <c r="CU354" s="279" t="n"/>
    </row>
    <row r="355" ht="13.2" customHeight="1">
      <c r="CT355" s="279" t="n"/>
      <c r="CU355" s="279" t="n"/>
    </row>
    <row r="356" ht="13.2" customHeight="1">
      <c r="CT356" s="279" t="n"/>
      <c r="CU356" s="279" t="n"/>
    </row>
    <row r="357" ht="13.2" customHeight="1">
      <c r="CT357" s="279" t="n"/>
      <c r="CU357" s="279" t="n"/>
    </row>
    <row r="358" ht="13.2" customHeight="1">
      <c r="CT358" s="279" t="n"/>
      <c r="CU358" s="279" t="n"/>
    </row>
    <row r="359" ht="13.2" customHeight="1">
      <c r="CT359" s="279" t="n"/>
      <c r="CU359" s="279" t="n"/>
    </row>
    <row r="360" ht="13.2" customHeight="1">
      <c r="CT360" s="279" t="n"/>
      <c r="CU360" s="279" t="n"/>
    </row>
    <row r="361" ht="13.2" customHeight="1">
      <c r="CT361" s="279" t="n"/>
      <c r="CU361" s="279" t="n"/>
    </row>
    <row r="362" ht="13.2" customHeight="1">
      <c r="CT362" s="279" t="n"/>
      <c r="CU362" s="279" t="n"/>
    </row>
    <row r="363" ht="13.2" customHeight="1">
      <c r="CT363" s="279" t="n"/>
      <c r="CU363" s="279" t="n"/>
    </row>
    <row r="364" ht="13.2" customHeight="1">
      <c r="CT364" s="279" t="n"/>
      <c r="CU364" s="279" t="n"/>
    </row>
    <row r="365" ht="13.2" customHeight="1">
      <c r="CT365" s="279" t="n"/>
      <c r="CU365" s="279" t="n"/>
    </row>
    <row r="366" ht="13.2" customHeight="1">
      <c r="CT366" s="279" t="n"/>
      <c r="CU366" s="279" t="n"/>
    </row>
    <row r="367" ht="13.2" customHeight="1">
      <c r="CT367" s="279" t="n"/>
      <c r="CU367" s="279" t="n"/>
    </row>
    <row r="368" ht="13.2" customHeight="1">
      <c r="CT368" s="279" t="n"/>
      <c r="CU368" s="279" t="n"/>
    </row>
    <row r="369" ht="13.2" customHeight="1">
      <c r="CT369" s="279" t="n"/>
      <c r="CU369" s="279" t="n"/>
    </row>
    <row r="370" ht="13.2" customHeight="1">
      <c r="CT370" s="279" t="n"/>
      <c r="CU370" s="279" t="n"/>
    </row>
    <row r="371" ht="13.2" customHeight="1">
      <c r="CT371" s="279" t="n"/>
      <c r="CU371" s="279" t="n"/>
    </row>
    <row r="372" ht="13.2" customHeight="1">
      <c r="CT372" s="279" t="n"/>
      <c r="CU372" s="279" t="n"/>
    </row>
    <row r="373" ht="13.2" customHeight="1">
      <c r="CT373" s="279" t="n"/>
      <c r="CU373" s="279" t="n"/>
    </row>
    <row r="374" ht="13.2" customHeight="1">
      <c r="CT374" s="279" t="n"/>
      <c r="CU374" s="279" t="n"/>
    </row>
    <row r="375" ht="13.2" customHeight="1">
      <c r="CT375" s="279" t="n"/>
      <c r="CU375" s="279" t="n"/>
    </row>
    <row r="376" ht="13.2" customHeight="1">
      <c r="CT376" s="279" t="n"/>
      <c r="CU376" s="279" t="n"/>
    </row>
    <row r="377" ht="13.2" customHeight="1">
      <c r="CT377" s="279" t="n"/>
      <c r="CU377" s="279" t="n"/>
    </row>
    <row r="378" ht="13.2" customHeight="1">
      <c r="CT378" s="279" t="n"/>
      <c r="CU378" s="279" t="n"/>
    </row>
    <row r="379" ht="13.2" customHeight="1">
      <c r="CT379" s="279" t="n"/>
      <c r="CU379" s="279" t="n"/>
    </row>
    <row r="380" ht="13.2" customHeight="1">
      <c r="CT380" s="279" t="n"/>
      <c r="CU380" s="279" t="n"/>
    </row>
    <row r="381" ht="13.2" customHeight="1">
      <c r="CT381" s="279" t="n"/>
      <c r="CU381" s="279" t="n"/>
    </row>
    <row r="382" ht="13.2" customHeight="1">
      <c r="CT382" s="279" t="n"/>
      <c r="CU382" s="279" t="n"/>
    </row>
    <row r="383" ht="13.2" customHeight="1">
      <c r="CT383" s="279" t="n"/>
      <c r="CU383" s="279" t="n"/>
    </row>
    <row r="384" ht="13.2" customHeight="1">
      <c r="CT384" s="279" t="n"/>
      <c r="CU384" s="279" t="n"/>
    </row>
    <row r="385" ht="13.2" customHeight="1">
      <c r="CT385" s="279" t="n"/>
      <c r="CU385" s="279" t="n"/>
    </row>
    <row r="386" ht="13.2" customHeight="1">
      <c r="CT386" s="279" t="n"/>
      <c r="CU386" s="279" t="n"/>
    </row>
    <row r="387" ht="13.2" customHeight="1">
      <c r="CT387" s="279" t="n"/>
      <c r="CU387" s="279" t="n"/>
    </row>
    <row r="388" ht="13.2" customHeight="1">
      <c r="CT388" s="279" t="n"/>
      <c r="CU388" s="279" t="n"/>
    </row>
    <row r="389" ht="13.2" customHeight="1">
      <c r="CT389" s="279" t="n"/>
      <c r="CU389" s="279" t="n"/>
    </row>
    <row r="390" ht="13.2" customHeight="1">
      <c r="CT390" s="279" t="n"/>
      <c r="CU390" s="279" t="n"/>
    </row>
    <row r="391" ht="13.2" customHeight="1">
      <c r="CT391" s="279" t="n"/>
      <c r="CU391" s="279" t="n"/>
    </row>
    <row r="392" ht="13.2" customHeight="1">
      <c r="CT392" s="279" t="n"/>
      <c r="CU392" s="279" t="n"/>
    </row>
    <row r="393" ht="13.2" customHeight="1">
      <c r="CT393" s="279" t="n"/>
      <c r="CU393" s="279" t="n"/>
    </row>
    <row r="394" ht="13.2" customHeight="1">
      <c r="CT394" s="279" t="n"/>
      <c r="CU394" s="279" t="n"/>
    </row>
    <row r="395" ht="13.2" customHeight="1">
      <c r="CT395" s="279" t="n"/>
      <c r="CU395" s="279" t="n"/>
    </row>
    <row r="396" ht="13.2" customHeight="1">
      <c r="CT396" s="279" t="n"/>
      <c r="CU396" s="279" t="n"/>
    </row>
    <row r="397" ht="13.2" customHeight="1">
      <c r="CT397" s="279" t="n"/>
      <c r="CU397" s="279" t="n"/>
    </row>
    <row r="398" ht="13.2" customHeight="1">
      <c r="CT398" s="279" t="n"/>
      <c r="CU398" s="279" t="n"/>
    </row>
    <row r="399" ht="13.2" customHeight="1">
      <c r="CT399" s="279" t="n"/>
      <c r="CU399" s="279" t="n"/>
    </row>
    <row r="400" ht="13.2" customHeight="1">
      <c r="CT400" s="279" t="n"/>
      <c r="CU400" s="279" t="n"/>
    </row>
    <row r="401" ht="13.2" customHeight="1">
      <c r="CT401" s="279" t="n"/>
      <c r="CU401" s="279" t="n"/>
    </row>
    <row r="402" ht="13.2" customHeight="1">
      <c r="CT402" s="279" t="n"/>
      <c r="CU402" s="279" t="n"/>
    </row>
    <row r="403" ht="13.2" customHeight="1">
      <c r="CT403" s="279" t="n"/>
      <c r="CU403" s="279" t="n"/>
    </row>
    <row r="404" ht="13.2" customHeight="1">
      <c r="CT404" s="279" t="n"/>
      <c r="CU404" s="279" t="n"/>
    </row>
    <row r="405" ht="13.2" customHeight="1">
      <c r="CT405" s="279" t="n"/>
      <c r="CU405" s="279" t="n"/>
    </row>
    <row r="406" ht="13.2" customHeight="1">
      <c r="CT406" s="279" t="n"/>
      <c r="CU406" s="279" t="n"/>
    </row>
    <row r="407" ht="13.2" customHeight="1">
      <c r="CT407" s="279" t="n"/>
      <c r="CU407" s="279" t="n"/>
    </row>
    <row r="408" ht="13.2" customHeight="1">
      <c r="CT408" s="279" t="n"/>
      <c r="CU408" s="279" t="n"/>
    </row>
    <row r="409" ht="13.2" customHeight="1">
      <c r="CT409" s="279" t="n"/>
      <c r="CU409" s="279" t="n"/>
    </row>
    <row r="410" ht="13.2" customHeight="1">
      <c r="CT410" s="279" t="n"/>
      <c r="CU410" s="279" t="n"/>
    </row>
    <row r="411" ht="13.2" customHeight="1">
      <c r="CT411" s="279" t="n"/>
      <c r="CU411" s="279" t="n"/>
    </row>
    <row r="412" ht="13.2" customHeight="1">
      <c r="CT412" s="279" t="n"/>
      <c r="CU412" s="279" t="n"/>
    </row>
    <row r="413" ht="13.2" customHeight="1">
      <c r="CT413" s="279" t="n"/>
      <c r="CU413" s="279" t="n"/>
    </row>
    <row r="414" ht="13.2" customHeight="1">
      <c r="CT414" s="279" t="n"/>
      <c r="CU414" s="279" t="n"/>
    </row>
    <row r="415" ht="13.2" customHeight="1">
      <c r="CT415" s="279" t="n"/>
      <c r="CU415" s="279" t="n"/>
    </row>
    <row r="416" ht="13.2" customHeight="1">
      <c r="CT416" s="279" t="n"/>
      <c r="CU416" s="279" t="n"/>
    </row>
    <row r="417" ht="13.2" customHeight="1">
      <c r="CT417" s="279" t="n"/>
      <c r="CU417" s="279" t="n"/>
    </row>
    <row r="418" ht="13.2" customHeight="1">
      <c r="CT418" s="279" t="n"/>
      <c r="CU418" s="279" t="n"/>
    </row>
    <row r="419" ht="13.2" customHeight="1">
      <c r="CT419" s="279" t="n"/>
      <c r="CU419" s="279" t="n"/>
    </row>
    <row r="420" ht="13.2" customHeight="1">
      <c r="CT420" s="279" t="n"/>
      <c r="CU420" s="279" t="n"/>
    </row>
    <row r="421" ht="13.2" customHeight="1">
      <c r="CT421" s="279" t="n"/>
      <c r="CU421" s="279" t="n"/>
    </row>
    <row r="422" ht="13.2" customHeight="1">
      <c r="CT422" s="279" t="n"/>
      <c r="CU422" s="279" t="n"/>
    </row>
    <row r="423" ht="13.2" customHeight="1">
      <c r="CT423" s="279" t="n"/>
      <c r="CU423" s="279" t="n"/>
    </row>
    <row r="424" ht="13.2" customHeight="1">
      <c r="CT424" s="279" t="n"/>
      <c r="CU424" s="279" t="n"/>
    </row>
    <row r="425" ht="13.2" customHeight="1">
      <c r="CT425" s="279" t="n"/>
      <c r="CU425" s="279" t="n"/>
    </row>
    <row r="426" ht="13.2" customHeight="1">
      <c r="CT426" s="279" t="n"/>
      <c r="CU426" s="279" t="n"/>
    </row>
    <row r="427" ht="13.2" customHeight="1">
      <c r="CT427" s="279" t="n"/>
      <c r="CU427" s="279" t="n"/>
    </row>
    <row r="428" ht="13.2" customHeight="1">
      <c r="CT428" s="279" t="n"/>
      <c r="CU428" s="279" t="n"/>
    </row>
    <row r="429" ht="13.2" customHeight="1">
      <c r="CT429" s="279" t="n"/>
      <c r="CU429" s="279" t="n"/>
    </row>
    <row r="430" ht="13.2" customHeight="1">
      <c r="CT430" s="279" t="n"/>
      <c r="CU430" s="279" t="n"/>
    </row>
    <row r="431" ht="13.2" customHeight="1">
      <c r="CT431" s="279" t="n"/>
      <c r="CU431" s="279" t="n"/>
    </row>
    <row r="432" ht="13.2" customHeight="1">
      <c r="CT432" s="279" t="n"/>
      <c r="CU432" s="279" t="n"/>
    </row>
    <row r="433" ht="13.2" customHeight="1">
      <c r="CT433" s="279" t="n"/>
      <c r="CU433" s="279" t="n"/>
    </row>
    <row r="434" ht="13.2" customHeight="1">
      <c r="CT434" s="279" t="n"/>
      <c r="CU434" s="279" t="n"/>
    </row>
    <row r="435" ht="13.2" customHeight="1">
      <c r="CT435" s="279" t="n"/>
      <c r="CU435" s="279" t="n"/>
    </row>
    <row r="436" ht="13.2" customHeight="1">
      <c r="CT436" s="279" t="n"/>
      <c r="CU436" s="279" t="n"/>
    </row>
    <row r="437" ht="13.2" customHeight="1">
      <c r="CT437" s="279" t="n"/>
      <c r="CU437" s="279" t="n"/>
    </row>
    <row r="438" ht="13.2" customHeight="1">
      <c r="CT438" s="279" t="n"/>
      <c r="CU438" s="279" t="n"/>
    </row>
    <row r="439" ht="13.2" customHeight="1">
      <c r="CT439" s="279" t="n"/>
      <c r="CU439" s="279" t="n"/>
    </row>
    <row r="440" ht="13.2" customHeight="1">
      <c r="CT440" s="279" t="n"/>
      <c r="CU440" s="279" t="n"/>
    </row>
    <row r="441" ht="13.2" customHeight="1">
      <c r="CT441" s="279" t="n"/>
      <c r="CU441" s="279" t="n"/>
    </row>
    <row r="442" ht="13.2" customHeight="1">
      <c r="CT442" s="279" t="n"/>
      <c r="CU442" s="279" t="n"/>
    </row>
    <row r="443" ht="13.2" customHeight="1">
      <c r="CT443" s="279" t="n"/>
      <c r="CU443" s="279" t="n"/>
    </row>
    <row r="444" ht="13.2" customHeight="1">
      <c r="CT444" s="279" t="n"/>
      <c r="CU444" s="279" t="n"/>
    </row>
    <row r="445" ht="13.2" customHeight="1">
      <c r="CT445" s="279" t="n"/>
      <c r="CU445" s="279" t="n"/>
    </row>
    <row r="446" ht="13.2" customHeight="1">
      <c r="CT446" s="279" t="n"/>
      <c r="CU446" s="279" t="n"/>
    </row>
    <row r="447" ht="13.2" customHeight="1">
      <c r="CT447" s="279" t="n"/>
      <c r="CU447" s="279" t="n"/>
    </row>
    <row r="448" ht="13.2" customHeight="1">
      <c r="CT448" s="279" t="n"/>
      <c r="CU448" s="279" t="n"/>
    </row>
    <row r="449" ht="13.2" customHeight="1">
      <c r="CT449" s="279" t="n"/>
      <c r="CU449" s="279" t="n"/>
    </row>
    <row r="450" ht="13.2" customHeight="1">
      <c r="CT450" s="279" t="n"/>
      <c r="CU450" s="279" t="n"/>
    </row>
    <row r="451" ht="13.2" customHeight="1">
      <c r="CT451" s="279" t="n"/>
      <c r="CU451" s="279" t="n"/>
    </row>
    <row r="452" ht="13.2" customHeight="1">
      <c r="CT452" s="279" t="n"/>
      <c r="CU452" s="279" t="n"/>
    </row>
    <row r="453" ht="13.2" customHeight="1">
      <c r="CT453" s="279" t="n"/>
      <c r="CU453" s="279" t="n"/>
    </row>
    <row r="454" ht="13.2" customHeight="1">
      <c r="CT454" s="279" t="n"/>
      <c r="CU454" s="279" t="n"/>
    </row>
    <row r="455" ht="13.2" customHeight="1">
      <c r="CT455" s="279" t="n"/>
      <c r="CU455" s="279" t="n"/>
    </row>
    <row r="456" ht="13.2" customHeight="1">
      <c r="CT456" s="279" t="n"/>
      <c r="CU456" s="279" t="n"/>
    </row>
    <row r="457" ht="13.2" customHeight="1">
      <c r="CT457" s="279" t="n"/>
      <c r="CU457" s="279" t="n"/>
    </row>
    <row r="458" ht="13.2" customHeight="1">
      <c r="CT458" s="279" t="n"/>
      <c r="CU458" s="279" t="n"/>
    </row>
    <row r="459" ht="12.75" customHeight="1">
      <c r="CT459" s="279" t="n"/>
      <c r="CU459" s="279" t="n"/>
    </row>
    <row r="460" ht="12.75" customHeight="1">
      <c r="CT460" s="279" t="n"/>
      <c r="CU460" s="279" t="n"/>
    </row>
  </sheetData>
  <autoFilter ref="B8:C59"/>
  <mergeCells count="728">
    <mergeCell ref="FB54:FC54"/>
    <mergeCell ref="ER54:ES54"/>
    <mergeCell ref="ET54:EU54"/>
    <mergeCell ref="JJ55:JK55"/>
    <mergeCell ref="JL55:JM55"/>
    <mergeCell ref="IX54:IY54"/>
    <mergeCell ref="JJ5:JK5"/>
    <mergeCell ref="IX4:IY4"/>
    <mergeCell ref="CP5:CQ5"/>
    <mergeCell ref="Z53:AA53"/>
    <mergeCell ref="CR5:CS5"/>
    <mergeCell ref="GD54:GE54"/>
    <mergeCell ref="GF54:GG54"/>
    <mergeCell ref="AZ5:BA5"/>
    <mergeCell ref="BB5:BC5"/>
    <mergeCell ref="BD5:BE5"/>
    <mergeCell ref="BN53:BO53"/>
    <mergeCell ref="AT5:AU5"/>
    <mergeCell ref="JT4:JU5"/>
    <mergeCell ref="HR54:HS54"/>
    <mergeCell ref="J4:K4"/>
    <mergeCell ref="BT55:BU55"/>
    <mergeCell ref="L4:M4"/>
    <mergeCell ref="BL55:BM55"/>
    <mergeCell ref="BN55:BO55"/>
    <mergeCell ref="EB5:EC5"/>
    <mergeCell ref="ED5:EE5"/>
    <mergeCell ref="CX53:CY53"/>
    <mergeCell ref="CZ53:DA53"/>
    <mergeCell ref="BR4:BS4"/>
    <mergeCell ref="BT4:BU4"/>
    <mergeCell ref="JD54:JE54"/>
    <mergeCell ref="GJ5:GK5"/>
    <mergeCell ref="CX55:CY55"/>
    <mergeCell ref="CZ55:DA55"/>
    <mergeCell ref="CL54:CM54"/>
    <mergeCell ref="EZ4:FA4"/>
    <mergeCell ref="CN54:CO54"/>
    <mergeCell ref="HB55:HC55"/>
    <mergeCell ref="HD55:HE55"/>
    <mergeCell ref="EJ53:EK53"/>
    <mergeCell ref="EL53:EM53"/>
    <mergeCell ref="DD4:DE4"/>
    <mergeCell ref="IN53:IO53"/>
    <mergeCell ref="IF53:IG53"/>
    <mergeCell ref="IP53:IQ53"/>
    <mergeCell ref="IH53:II53"/>
    <mergeCell ref="IR53:IS53"/>
    <mergeCell ref="EJ55:EK55"/>
    <mergeCell ref="HJ4:HK4"/>
    <mergeCell ref="DV54:DW54"/>
    <mergeCell ref="HB4:HC4"/>
    <mergeCell ref="DX54:DY54"/>
    <mergeCell ref="IN55:IO55"/>
    <mergeCell ref="IP55:IQ55"/>
    <mergeCell ref="IH55:II55"/>
    <mergeCell ref="IB54:IC54"/>
    <mergeCell ref="JT53:JU53"/>
    <mergeCell ref="GR5:GS5"/>
    <mergeCell ref="A1:G1"/>
    <mergeCell ref="FH54:FI54"/>
    <mergeCell ref="GD4:GE4"/>
    <mergeCell ref="JL6:JM6"/>
    <mergeCell ref="FJ54:FK54"/>
    <mergeCell ref="JN3:KA3"/>
    <mergeCell ref="X5:Y5"/>
    <mergeCell ref="AR53:AS53"/>
    <mergeCell ref="Z5:AA5"/>
    <mergeCell ref="JT55:JU55"/>
    <mergeCell ref="JN54:JO54"/>
    <mergeCell ref="JF54:JG54"/>
    <mergeCell ref="BL53:BM53"/>
    <mergeCell ref="JF4:JG4"/>
    <mergeCell ref="AR55:AS55"/>
    <mergeCell ref="JH4:JI4"/>
    <mergeCell ref="HP4:HQ4"/>
    <mergeCell ref="HD5:HE5"/>
    <mergeCell ref="BJ5:BK5"/>
    <mergeCell ref="CD53:CE53"/>
    <mergeCell ref="BL5:BM5"/>
    <mergeCell ref="IV55:IW55"/>
    <mergeCell ref="AV4:AW4"/>
    <mergeCell ref="AX4:AY4"/>
    <mergeCell ref="FN5:FO5"/>
    <mergeCell ref="FP5:FQ5"/>
    <mergeCell ref="FF5:FG5"/>
    <mergeCell ref="FH5:FI5"/>
    <mergeCell ref="GB53:GC53"/>
    <mergeCell ref="CD55:CE55"/>
    <mergeCell ref="CF55:CG55"/>
    <mergeCell ref="BP54:BQ54"/>
    <mergeCell ref="BR54:BS54"/>
    <mergeCell ref="DX4:DY4"/>
    <mergeCell ref="FZ55:GA55"/>
    <mergeCell ref="IP5:IQ5"/>
    <mergeCell ref="GB55:GC55"/>
    <mergeCell ref="DP53:DQ53"/>
    <mergeCell ref="DR53:DS53"/>
    <mergeCell ref="T54:U54"/>
    <mergeCell ref="DH53:DI53"/>
    <mergeCell ref="DJ53:DK53"/>
    <mergeCell ref="CH4:CI4"/>
    <mergeCell ref="CJ4:CK4"/>
    <mergeCell ref="EL55:EM55"/>
    <mergeCell ref="HL53:HM53"/>
    <mergeCell ref="DN55:DO55"/>
    <mergeCell ref="HN53:HO53"/>
    <mergeCell ref="GT5:GU5"/>
    <mergeCell ref="DP55:DQ55"/>
    <mergeCell ref="GF4:GG4"/>
    <mergeCell ref="DB54:DC54"/>
    <mergeCell ref="CT54:CU54"/>
    <mergeCell ref="DD54:DE54"/>
    <mergeCell ref="CV54:CW54"/>
    <mergeCell ref="AT53:AU53"/>
    <mergeCell ref="HL55:HM55"/>
    <mergeCell ref="HN55:HO55"/>
    <mergeCell ref="GX54:GY54"/>
    <mergeCell ref="GZ54:HA54"/>
    <mergeCell ref="HL5:HM5"/>
    <mergeCell ref="BF54:BG54"/>
    <mergeCell ref="GX4:GY4"/>
    <mergeCell ref="AT55:AU55"/>
    <mergeCell ref="IX53:IY53"/>
    <mergeCell ref="IZ53:JA53"/>
    <mergeCell ref="HR4:HS4"/>
    <mergeCell ref="JE70:JH70"/>
    <mergeCell ref="CF53:CG53"/>
    <mergeCell ref="JR5:JS5"/>
    <mergeCell ref="D5:E5"/>
    <mergeCell ref="IX55:IY55"/>
    <mergeCell ref="IJ54:IK54"/>
    <mergeCell ref="IL54:IM54"/>
    <mergeCell ref="CZ5:DA5"/>
    <mergeCell ref="IJ4:IK4"/>
    <mergeCell ref="V55:W55"/>
    <mergeCell ref="DB5:DC5"/>
    <mergeCell ref="JE71:JH71"/>
    <mergeCell ref="AZ53:BA53"/>
    <mergeCell ref="AH5:AI5"/>
    <mergeCell ref="BB53:BC53"/>
    <mergeCell ref="AB4:AC4"/>
    <mergeCell ref="R4:S4"/>
    <mergeCell ref="T4:U4"/>
    <mergeCell ref="JX54:JY54"/>
    <mergeCell ref="V4:W4"/>
    <mergeCell ref="EJ5:EK5"/>
    <mergeCell ref="EL5:EM5"/>
    <mergeCell ref="FF53:FG53"/>
    <mergeCell ref="BH55:BI55"/>
    <mergeCell ref="AZ55:BA55"/>
    <mergeCell ref="DZ4:EA4"/>
    <mergeCell ref="BB55:BC55"/>
    <mergeCell ref="AN54:AO54"/>
    <mergeCell ref="DB4:DC4"/>
    <mergeCell ref="FD55:FE55"/>
    <mergeCell ref="J55:K55"/>
    <mergeCell ref="FF55:FG55"/>
    <mergeCell ref="L55:M55"/>
    <mergeCell ref="CL53:CM53"/>
    <mergeCell ref="CN53:CO53"/>
    <mergeCell ref="BD4:BE4"/>
    <mergeCell ref="BF4:BG4"/>
    <mergeCell ref="FV5:FW5"/>
    <mergeCell ref="GP53:GQ53"/>
    <mergeCell ref="FX5:FY5"/>
    <mergeCell ref="GR53:GS53"/>
    <mergeCell ref="A2:A7"/>
    <mergeCell ref="FJ4:FK4"/>
    <mergeCell ref="C2:C7"/>
    <mergeCell ref="FL4:FM4"/>
    <mergeCell ref="BP1:BQ1"/>
    <mergeCell ref="BX54:BY54"/>
    <mergeCell ref="BZ54:CA54"/>
    <mergeCell ref="GP55:GQ55"/>
    <mergeCell ref="ET53:EU53"/>
    <mergeCell ref="GR55:GS55"/>
    <mergeCell ref="IL4:IM4"/>
    <mergeCell ref="IB53:IC53"/>
    <mergeCell ref="HT53:HU53"/>
    <mergeCell ref="ID53:IE53"/>
    <mergeCell ref="EF54:EG54"/>
    <mergeCell ref="HV53:HW53"/>
    <mergeCell ref="EH54:EI54"/>
    <mergeCell ref="GV4:GW4"/>
    <mergeCell ref="IB55:IC55"/>
    <mergeCell ref="IX5:IY5"/>
    <mergeCell ref="HN54:HO54"/>
    <mergeCell ref="HP54:HQ54"/>
    <mergeCell ref="HF54:HG54"/>
    <mergeCell ref="HH54:HI54"/>
    <mergeCell ref="L53:M53"/>
    <mergeCell ref="CD5:CE5"/>
    <mergeCell ref="N53:O53"/>
    <mergeCell ref="CF5:CG5"/>
    <mergeCell ref="FR54:FS54"/>
    <mergeCell ref="JP54:JQ54"/>
    <mergeCell ref="L5:M5"/>
    <mergeCell ref="N5:O5"/>
    <mergeCell ref="JN4:JO4"/>
    <mergeCell ref="JP4:JQ4"/>
    <mergeCell ref="DP5:DQ5"/>
    <mergeCell ref="DR5:DS5"/>
    <mergeCell ref="AF55:AG55"/>
    <mergeCell ref="R54:S54"/>
    <mergeCell ref="HN5:HO5"/>
    <mergeCell ref="BT5:BU5"/>
    <mergeCell ref="IR54:IS54"/>
    <mergeCell ref="BR53:BS53"/>
    <mergeCell ref="AJ4:AK4"/>
    <mergeCell ref="AL4:AM4"/>
    <mergeCell ref="CL55:CM55"/>
    <mergeCell ref="CN55:CO55"/>
    <mergeCell ref="FB5:FC5"/>
    <mergeCell ref="FD5:FE5"/>
    <mergeCell ref="FN53:FO53"/>
    <mergeCell ref="ET5:EU5"/>
    <mergeCell ref="EV5:EW5"/>
    <mergeCell ref="FP53:FQ53"/>
    <mergeCell ref="EF4:EG4"/>
    <mergeCell ref="EN4:EO4"/>
    <mergeCell ref="EH4:EI4"/>
    <mergeCell ref="BD54:BE54"/>
    <mergeCell ref="JR53:JS53"/>
    <mergeCell ref="IZ5:JA5"/>
    <mergeCell ref="FL55:FM55"/>
    <mergeCell ref="DZ53:EA53"/>
    <mergeCell ref="FN55:FO55"/>
    <mergeCell ref="FP55:FQ55"/>
    <mergeCell ref="EZ54:FA54"/>
    <mergeCell ref="H54:I54"/>
    <mergeCell ref="JR55:JS55"/>
    <mergeCell ref="DX55:DY55"/>
    <mergeCell ref="DZ55:EA55"/>
    <mergeCell ref="DJ54:DK54"/>
    <mergeCell ref="GZ53:HA53"/>
    <mergeCell ref="DL54:DM54"/>
    <mergeCell ref="FR4:FS4"/>
    <mergeCell ref="FT4:FU4"/>
    <mergeCell ref="HV55:HW55"/>
    <mergeCell ref="AF53:AG53"/>
    <mergeCell ref="IB5:IC5"/>
    <mergeCell ref="AH53:AI53"/>
    <mergeCell ref="HT5:HU5"/>
    <mergeCell ref="HV5:HW5"/>
    <mergeCell ref="GL54:GM54"/>
    <mergeCell ref="B2:B7"/>
    <mergeCell ref="HH4:HI4"/>
    <mergeCell ref="GN54:GO54"/>
    <mergeCell ref="JF53:JG53"/>
    <mergeCell ref="JH53:JI53"/>
    <mergeCell ref="AH55:AI55"/>
    <mergeCell ref="JH55:JI55"/>
    <mergeCell ref="IT54:IU54"/>
    <mergeCell ref="JF5:JG5"/>
    <mergeCell ref="JH5:JI5"/>
    <mergeCell ref="IR4:IS4"/>
    <mergeCell ref="IT4:IU4"/>
    <mergeCell ref="CL5:CM5"/>
    <mergeCell ref="V53:W53"/>
    <mergeCell ref="CN5:CO5"/>
    <mergeCell ref="JZ55:KA55"/>
    <mergeCell ref="BZ4:CA4"/>
    <mergeCell ref="CB4:CC4"/>
    <mergeCell ref="JL54:JM54"/>
    <mergeCell ref="DF55:DG55"/>
    <mergeCell ref="BJ53:BK53"/>
    <mergeCell ref="DH55:DI55"/>
    <mergeCell ref="AD4:AE4"/>
    <mergeCell ref="N4:O4"/>
    <mergeCell ref="P4:Q4"/>
    <mergeCell ref="BP55:BQ55"/>
    <mergeCell ref="BR55:BS55"/>
    <mergeCell ref="BJ55:BK55"/>
    <mergeCell ref="ER53:ES53"/>
    <mergeCell ref="DX5:DY5"/>
    <mergeCell ref="DZ5:EA5"/>
    <mergeCell ref="DL4:DM4"/>
    <mergeCell ref="DN4:DO4"/>
    <mergeCell ref="Z54:AA54"/>
    <mergeCell ref="ID5:IE5"/>
    <mergeCell ref="AB54:AC54"/>
    <mergeCell ref="ER55:ES55"/>
    <mergeCell ref="CV53:CW53"/>
    <mergeCell ref="ET55:EU55"/>
    <mergeCell ref="BP4:BQ4"/>
    <mergeCell ref="GF5:GG5"/>
    <mergeCell ref="HB53:HC53"/>
    <mergeCell ref="CV55:CW55"/>
    <mergeCell ref="GD53:GE53"/>
    <mergeCell ref="CF54:CG54"/>
    <mergeCell ref="CH54:CI54"/>
    <mergeCell ref="EV4:EW4"/>
    <mergeCell ref="CJ54:CK54"/>
    <mergeCell ref="GX55:GY55"/>
    <mergeCell ref="EX4:EY4"/>
    <mergeCell ref="GZ55:HA55"/>
    <mergeCell ref="JZ53:KA53"/>
    <mergeCell ref="KB53:KC53"/>
    <mergeCell ref="JL3:JM4"/>
    <mergeCell ref="EH53:EI53"/>
    <mergeCell ref="FP54:FQ54"/>
    <mergeCell ref="IV4:IW4"/>
    <mergeCell ref="IL53:IM53"/>
    <mergeCell ref="AF5:AG5"/>
    <mergeCell ref="KB55:KC55"/>
    <mergeCell ref="HF4:HG4"/>
    <mergeCell ref="DR54:DS54"/>
    <mergeCell ref="DT54:DU54"/>
    <mergeCell ref="IJ55:IK55"/>
    <mergeCell ref="BT53:BU53"/>
    <mergeCell ref="IL55:IM55"/>
    <mergeCell ref="HX54:HY54"/>
    <mergeCell ref="IJ5:IK5"/>
    <mergeCell ref="HZ54:IA54"/>
    <mergeCell ref="IL5:IM5"/>
    <mergeCell ref="HX4:HY4"/>
    <mergeCell ref="BR5:BS5"/>
    <mergeCell ref="JH6:JI6"/>
    <mergeCell ref="FF54:FG54"/>
    <mergeCell ref="T5:U5"/>
    <mergeCell ref="AN53:AO53"/>
    <mergeCell ref="V5:W5"/>
    <mergeCell ref="H4:I4"/>
    <mergeCell ref="JJ4:JK4"/>
    <mergeCell ref="JB4:JC4"/>
    <mergeCell ref="AN55:AO55"/>
    <mergeCell ref="AP55:AQ55"/>
    <mergeCell ref="DD5:DE5"/>
    <mergeCell ref="CT5:CU5"/>
    <mergeCell ref="JV54:JW54"/>
    <mergeCell ref="GZ5:HA5"/>
    <mergeCell ref="BZ53:CA53"/>
    <mergeCell ref="HB5:HC5"/>
    <mergeCell ref="BH5:BI5"/>
    <mergeCell ref="CB53:CC53"/>
    <mergeCell ref="GL4:GM4"/>
    <mergeCell ref="GN4:GO4"/>
    <mergeCell ref="AR4:AS4"/>
    <mergeCell ref="AT4:AU4"/>
    <mergeCell ref="KB56:KC56"/>
    <mergeCell ref="GF53:GG53"/>
    <mergeCell ref="FV53:FW53"/>
    <mergeCell ref="HT55:HU55"/>
    <mergeCell ref="FX53:FY53"/>
    <mergeCell ref="BZ55:CA55"/>
    <mergeCell ref="EP4:EQ4"/>
    <mergeCell ref="CB55:CC55"/>
    <mergeCell ref="BL54:BM54"/>
    <mergeCell ref="BN54:BO54"/>
    <mergeCell ref="DT4:DU4"/>
    <mergeCell ref="GD55:GE55"/>
    <mergeCell ref="FV55:FW55"/>
    <mergeCell ref="GF55:GG55"/>
    <mergeCell ref="FX55:FY55"/>
    <mergeCell ref="HZ4:IA4"/>
    <mergeCell ref="DM1:DP1"/>
    <mergeCell ref="EN54:EO54"/>
    <mergeCell ref="EP54:EQ54"/>
    <mergeCell ref="HH53:HI53"/>
    <mergeCell ref="JF55:JG55"/>
    <mergeCell ref="HJ53:HK53"/>
    <mergeCell ref="GB4:GC4"/>
    <mergeCell ref="JJ6:JK6"/>
    <mergeCell ref="CX54:CY54"/>
    <mergeCell ref="CZ54:DA54"/>
    <mergeCell ref="CR54:CS54"/>
    <mergeCell ref="AP53:AQ53"/>
    <mergeCell ref="HH55:HI55"/>
    <mergeCell ref="HJ55:HK55"/>
    <mergeCell ref="GT54:GU54"/>
    <mergeCell ref="GV54:GW54"/>
    <mergeCell ref="GT4:GU4"/>
    <mergeCell ref="IT53:IU53"/>
    <mergeCell ref="AN5:AO5"/>
    <mergeCell ref="IV53:IW53"/>
    <mergeCell ref="AP5:AQ5"/>
    <mergeCell ref="ER5:ES5"/>
    <mergeCell ref="J53:K53"/>
    <mergeCell ref="IF54:IG54"/>
    <mergeCell ref="IH54:II54"/>
    <mergeCell ref="JD4:JE4"/>
    <mergeCell ref="CV5:CW5"/>
    <mergeCell ref="IF4:IG4"/>
    <mergeCell ref="R55:S55"/>
    <mergeCell ref="CT53:CU53"/>
    <mergeCell ref="BL4:BM4"/>
    <mergeCell ref="BN4:BO4"/>
    <mergeCell ref="GD5:GE5"/>
    <mergeCell ref="DR55:DS55"/>
    <mergeCell ref="AV53:AW53"/>
    <mergeCell ref="CT55:CU55"/>
    <mergeCell ref="AX53:AY53"/>
    <mergeCell ref="EF5:EG5"/>
    <mergeCell ref="EH5:EI5"/>
    <mergeCell ref="FB53:FC53"/>
    <mergeCell ref="FD53:FE53"/>
    <mergeCell ref="BF55:BG55"/>
    <mergeCell ref="DV4:DW4"/>
    <mergeCell ref="AX55:AY55"/>
    <mergeCell ref="AR54:AS54"/>
    <mergeCell ref="AH54:AI54"/>
    <mergeCell ref="AJ54:AK54"/>
    <mergeCell ref="IN5:IO5"/>
    <mergeCell ref="CX4:CY4"/>
    <mergeCell ref="AL54:AM54"/>
    <mergeCell ref="EZ55:FA55"/>
    <mergeCell ref="HP5:HQ5"/>
    <mergeCell ref="FB55:FC55"/>
    <mergeCell ref="CH53:CI53"/>
    <mergeCell ref="GL53:GM53"/>
    <mergeCell ref="FT5:FU5"/>
    <mergeCell ref="GN53:GO53"/>
    <mergeCell ref="FD4:FE4"/>
    <mergeCell ref="FF4:FG4"/>
    <mergeCell ref="BJ1:BK1"/>
    <mergeCell ref="FH4:FI4"/>
    <mergeCell ref="BT54:BU54"/>
    <mergeCell ref="BV54:BW54"/>
    <mergeCell ref="T53:U53"/>
    <mergeCell ref="GL55:GM55"/>
    <mergeCell ref="HH5:HI5"/>
    <mergeCell ref="GN55:GO55"/>
    <mergeCell ref="KB3:KC6"/>
    <mergeCell ref="FZ54:GA54"/>
    <mergeCell ref="GB54:GC54"/>
    <mergeCell ref="T55:U55"/>
    <mergeCell ref="IZ54:JA54"/>
    <mergeCell ref="JB54:JC54"/>
    <mergeCell ref="BF53:BG53"/>
    <mergeCell ref="IT5:IU5"/>
    <mergeCell ref="IV5:IW5"/>
    <mergeCell ref="HJ54:HK54"/>
    <mergeCell ref="HL54:HM54"/>
    <mergeCell ref="IH4:II4"/>
    <mergeCell ref="HD54:HE54"/>
    <mergeCell ref="BZ5:CA5"/>
    <mergeCell ref="CB5:CC5"/>
    <mergeCell ref="H5:I5"/>
    <mergeCell ref="DL5:DM5"/>
    <mergeCell ref="EF53:EG53"/>
    <mergeCell ref="JZ4:KA6"/>
    <mergeCell ref="DN5:DO5"/>
    <mergeCell ref="DX53:DY53"/>
    <mergeCell ref="Z55:AA55"/>
    <mergeCell ref="DF5:DG5"/>
    <mergeCell ref="CZ4:DA4"/>
    <mergeCell ref="AB55:AC55"/>
    <mergeCell ref="CP4:CQ4"/>
    <mergeCell ref="CR4:CS4"/>
    <mergeCell ref="N54:O54"/>
    <mergeCell ref="HJ5:HK5"/>
    <mergeCell ref="EF55:EG55"/>
    <mergeCell ref="CJ53:CK53"/>
    <mergeCell ref="EH55:EI55"/>
    <mergeCell ref="FZ4:GA4"/>
    <mergeCell ref="AF4:AG4"/>
    <mergeCell ref="AH4:AI4"/>
    <mergeCell ref="ID55:IE55"/>
    <mergeCell ref="CJ55:CK55"/>
    <mergeCell ref="HF55:HG55"/>
    <mergeCell ref="FJ53:FK53"/>
    <mergeCell ref="FL53:FM53"/>
    <mergeCell ref="EB4:EC4"/>
    <mergeCell ref="G6:G7"/>
    <mergeCell ref="ED4:EE4"/>
    <mergeCell ref="AZ54:BA54"/>
    <mergeCell ref="JN53:JO53"/>
    <mergeCell ref="BB54:BC54"/>
    <mergeCell ref="JP53:JQ53"/>
    <mergeCell ref="FR55:FS55"/>
    <mergeCell ref="FH55:FI55"/>
    <mergeCell ref="FJ55:FK55"/>
    <mergeCell ref="FT55:FU55"/>
    <mergeCell ref="FD54:FE54"/>
    <mergeCell ref="EV54:EW54"/>
    <mergeCell ref="EX54:EY54"/>
    <mergeCell ref="JN55:JO55"/>
    <mergeCell ref="JP55:JQ55"/>
    <mergeCell ref="GT53:GU53"/>
    <mergeCell ref="GV53:GW53"/>
    <mergeCell ref="DH54:DI54"/>
    <mergeCell ref="JN5:JO5"/>
    <mergeCell ref="JP5:JQ5"/>
    <mergeCell ref="FP4:FQ4"/>
    <mergeCell ref="AB53:AC53"/>
    <mergeCell ref="AD53:AE53"/>
    <mergeCell ref="HR5:HS5"/>
    <mergeCell ref="GH54:GI54"/>
    <mergeCell ref="HD4:HE4"/>
    <mergeCell ref="GJ54:GK54"/>
    <mergeCell ref="BF5:BG5"/>
    <mergeCell ref="AV5:AW5"/>
    <mergeCell ref="AX5:AY5"/>
    <mergeCell ref="D6:D7"/>
    <mergeCell ref="AD55:AE55"/>
    <mergeCell ref="JV4:JW5"/>
    <mergeCell ref="F6:F7"/>
    <mergeCell ref="JX4:JY5"/>
    <mergeCell ref="P54:Q54"/>
    <mergeCell ref="F2:G5"/>
    <mergeCell ref="J5:K5"/>
    <mergeCell ref="IN4:IO4"/>
    <mergeCell ref="IP4:IQ4"/>
    <mergeCell ref="CH5:CI5"/>
    <mergeCell ref="DB53:DC53"/>
    <mergeCell ref="CJ5:CK5"/>
    <mergeCell ref="DD53:DE53"/>
    <mergeCell ref="JV55:JW55"/>
    <mergeCell ref="DF53:DG53"/>
    <mergeCell ref="BV4:BW4"/>
    <mergeCell ref="BX4:BY4"/>
    <mergeCell ref="JH54:JI54"/>
    <mergeCell ref="GL5:GM5"/>
    <mergeCell ref="GN5:GO5"/>
    <mergeCell ref="GP5:GQ5"/>
    <mergeCell ref="H6:AA6"/>
    <mergeCell ref="DB55:DC55"/>
    <mergeCell ref="DD55:DE55"/>
    <mergeCell ref="BH53:BI53"/>
    <mergeCell ref="CP54:CQ54"/>
    <mergeCell ref="DT5:DU5"/>
    <mergeCell ref="EN53:EO53"/>
    <mergeCell ref="EP53:EQ53"/>
    <mergeCell ref="DF4:DG4"/>
    <mergeCell ref="AT54:AU54"/>
    <mergeCell ref="DH4:DI4"/>
    <mergeCell ref="AD54:AE54"/>
    <mergeCell ref="DJ4:DK4"/>
    <mergeCell ref="V54:W54"/>
    <mergeCell ref="HZ5:IA5"/>
    <mergeCell ref="IJ53:IK53"/>
    <mergeCell ref="HL4:HM4"/>
    <mergeCell ref="EN55:EO55"/>
    <mergeCell ref="EP55:EQ55"/>
    <mergeCell ref="DZ54:EA54"/>
    <mergeCell ref="EB54:EC54"/>
    <mergeCell ref="ED54:EE54"/>
    <mergeCell ref="IR55:IS55"/>
    <mergeCell ref="AC6:AD6"/>
    <mergeCell ref="GX53:GY53"/>
    <mergeCell ref="FZ53:GA53"/>
    <mergeCell ref="ER4:ES4"/>
    <mergeCell ref="ET4:EU4"/>
    <mergeCell ref="GV55:GW55"/>
    <mergeCell ref="JV53:JW53"/>
    <mergeCell ref="H53:I53"/>
    <mergeCell ref="JX53:JY53"/>
    <mergeCell ref="IZ4:JA4"/>
    <mergeCell ref="FL54:FM54"/>
    <mergeCell ref="FN54:FO54"/>
    <mergeCell ref="AB5:AC5"/>
    <mergeCell ref="JN6:JY6"/>
    <mergeCell ref="H55:I55"/>
    <mergeCell ref="JX55:JY55"/>
    <mergeCell ref="AD5:AE5"/>
    <mergeCell ref="JJ54:JK54"/>
    <mergeCell ref="BP53:BQ53"/>
    <mergeCell ref="AV55:AW55"/>
    <mergeCell ref="HT54:HU54"/>
    <mergeCell ref="IF5:IG5"/>
    <mergeCell ref="HV54:HW54"/>
    <mergeCell ref="IH5:II5"/>
    <mergeCell ref="HT4:HU4"/>
    <mergeCell ref="HN4:HO4"/>
    <mergeCell ref="BN5:BO5"/>
    <mergeCell ref="BP5:BQ5"/>
    <mergeCell ref="IZ55:JA55"/>
    <mergeCell ref="AZ4:BA4"/>
    <mergeCell ref="BB4:BC4"/>
    <mergeCell ref="FR5:FS5"/>
    <mergeCell ref="FJ5:FK5"/>
    <mergeCell ref="FL5:FM5"/>
    <mergeCell ref="AJ53:AK53"/>
    <mergeCell ref="CH55:CI55"/>
    <mergeCell ref="DV5:DW5"/>
    <mergeCell ref="AJ55:AK55"/>
    <mergeCell ref="CX5:CY5"/>
    <mergeCell ref="AL55:AM55"/>
    <mergeCell ref="DT53:DU53"/>
    <mergeCell ref="DL53:DM53"/>
    <mergeCell ref="X54:Y54"/>
    <mergeCell ref="CL4:CM4"/>
    <mergeCell ref="DN53:DO53"/>
    <mergeCell ref="CN4:CO4"/>
    <mergeCell ref="CD4:CE4"/>
    <mergeCell ref="CF4:CG4"/>
    <mergeCell ref="JR54:JS54"/>
    <mergeCell ref="HP53:HQ53"/>
    <mergeCell ref="GV5:GW5"/>
    <mergeCell ref="BV53:BW53"/>
    <mergeCell ref="HR53:HS53"/>
    <mergeCell ref="GX5:GY5"/>
    <mergeCell ref="DT55:DU55"/>
    <mergeCell ref="DJ55:DK55"/>
    <mergeCell ref="BX53:BY53"/>
    <mergeCell ref="GH4:GI4"/>
    <mergeCell ref="AP4:AQ4"/>
    <mergeCell ref="GJ4:GK4"/>
    <mergeCell ref="HP55:HQ55"/>
    <mergeCell ref="FT53:FU53"/>
    <mergeCell ref="BV55:BW55"/>
    <mergeCell ref="HR55:HS55"/>
    <mergeCell ref="BX55:BY55"/>
    <mergeCell ref="HB54:HC54"/>
    <mergeCell ref="BH54:BI54"/>
    <mergeCell ref="BJ54:BK54"/>
    <mergeCell ref="JB53:JC53"/>
    <mergeCell ref="JD53:JE53"/>
    <mergeCell ref="HV4:HW4"/>
    <mergeCell ref="EJ54:EK54"/>
    <mergeCell ref="JB55:JC55"/>
    <mergeCell ref="JD55:JE55"/>
    <mergeCell ref="IN54:IO54"/>
    <mergeCell ref="H2:BC2"/>
    <mergeCell ref="JF6:JG6"/>
    <mergeCell ref="IP54:IQ54"/>
    <mergeCell ref="AL53:AM53"/>
    <mergeCell ref="AL3:AM3"/>
    <mergeCell ref="GR54:GS54"/>
    <mergeCell ref="GP4:GQ4"/>
    <mergeCell ref="AR5:AS5"/>
    <mergeCell ref="AJ5:AK5"/>
    <mergeCell ref="BD53:BE53"/>
    <mergeCell ref="AL5:AM5"/>
    <mergeCell ref="JZ54:KA54"/>
    <mergeCell ref="X4:Y4"/>
    <mergeCell ref="KB54:KC54"/>
    <mergeCell ref="Z4:AA4"/>
    <mergeCell ref="EN5:EO5"/>
    <mergeCell ref="EP5:EQ5"/>
    <mergeCell ref="BD55:BE55"/>
    <mergeCell ref="ID54:IE54"/>
    <mergeCell ref="N55:O55"/>
    <mergeCell ref="P55:Q55"/>
    <mergeCell ref="CP53:CQ53"/>
    <mergeCell ref="CR53:CS53"/>
    <mergeCell ref="BH4:BI4"/>
    <mergeCell ref="BJ4:BK4"/>
    <mergeCell ref="DL55:DM55"/>
    <mergeCell ref="IV54:IW54"/>
    <mergeCell ref="FZ5:GA5"/>
    <mergeCell ref="GB5:GC5"/>
    <mergeCell ref="FN4:FO4"/>
    <mergeCell ref="CB54:CC54"/>
    <mergeCell ref="CD54:CE54"/>
    <mergeCell ref="EV53:EW53"/>
    <mergeCell ref="GT55:GU55"/>
    <mergeCell ref="EX53:EY53"/>
    <mergeCell ref="EZ53:FA53"/>
    <mergeCell ref="DP4:DQ4"/>
    <mergeCell ref="DR4:DS4"/>
    <mergeCell ref="D2:E4"/>
    <mergeCell ref="AF54:AG54"/>
    <mergeCell ref="EV55:EW55"/>
    <mergeCell ref="EX55:EY55"/>
    <mergeCell ref="HX53:HY53"/>
    <mergeCell ref="HZ53:IA53"/>
    <mergeCell ref="EL54:EM54"/>
    <mergeCell ref="GZ4:HA4"/>
    <mergeCell ref="GR4:GS4"/>
    <mergeCell ref="DN54:DO54"/>
    <mergeCell ref="IT55:IU55"/>
    <mergeCell ref="GH53:GI53"/>
    <mergeCell ref="JB5:JC5"/>
    <mergeCell ref="GJ53:GK53"/>
    <mergeCell ref="IF55:IG55"/>
    <mergeCell ref="FB4:FC4"/>
    <mergeCell ref="P53:Q53"/>
    <mergeCell ref="GH55:GI55"/>
    <mergeCell ref="R53:S53"/>
    <mergeCell ref="GJ55:GK55"/>
    <mergeCell ref="FT54:FU54"/>
    <mergeCell ref="FV54:FW54"/>
    <mergeCell ref="FX54:FY54"/>
    <mergeCell ref="H3:AA3"/>
    <mergeCell ref="P5:Q5"/>
    <mergeCell ref="JT54:JU54"/>
    <mergeCell ref="R5:S5"/>
    <mergeCell ref="JR4:JS4"/>
    <mergeCell ref="IR5:IS5"/>
    <mergeCell ref="IB4:IC4"/>
    <mergeCell ref="ID4:IE4"/>
    <mergeCell ref="BV5:BW5"/>
    <mergeCell ref="BX5:BY5"/>
    <mergeCell ref="AP54:AQ54"/>
    <mergeCell ref="AN4:AO4"/>
    <mergeCell ref="CP55:CQ55"/>
    <mergeCell ref="CR55:CS55"/>
    <mergeCell ref="EX5:EY5"/>
    <mergeCell ref="FR53:FS53"/>
    <mergeCell ref="X53:Y53"/>
    <mergeCell ref="EZ5:FA5"/>
    <mergeCell ref="EJ4:EK4"/>
    <mergeCell ref="E6:E7"/>
    <mergeCell ref="EL4:EM4"/>
    <mergeCell ref="DH5:DI5"/>
    <mergeCell ref="EB53:EC53"/>
    <mergeCell ref="JD5:JE5"/>
    <mergeCell ref="DJ5:DK5"/>
    <mergeCell ref="ED53:EE53"/>
    <mergeCell ref="CT4:CU4"/>
    <mergeCell ref="DV53:DW53"/>
    <mergeCell ref="CV4:CW4"/>
    <mergeCell ref="X55:Y55"/>
    <mergeCell ref="J54:K54"/>
    <mergeCell ref="L54:M54"/>
    <mergeCell ref="HF5:HG5"/>
    <mergeCell ref="EB55:EC55"/>
    <mergeCell ref="ED55:EE55"/>
    <mergeCell ref="DV55:DW55"/>
    <mergeCell ref="HD53:HE53"/>
    <mergeCell ref="DF54:DG54"/>
    <mergeCell ref="DP54:DQ54"/>
    <mergeCell ref="HF53:HG53"/>
    <mergeCell ref="FV4:FW4"/>
    <mergeCell ref="FX4:FY4"/>
    <mergeCell ref="HX55:HY55"/>
    <mergeCell ref="HZ55:IA55"/>
    <mergeCell ref="HX5:HY5"/>
    <mergeCell ref="FH53:FI53"/>
    <mergeCell ref="GP54:GQ54"/>
    <mergeCell ref="AV54:AW54"/>
    <mergeCell ref="JJ53:JK53"/>
    <mergeCell ref="AX54:AY54"/>
    <mergeCell ref="GH5:GI5"/>
    <mergeCell ref="JL53:JM53"/>
    <mergeCell ref="JJ3:JK3"/>
  </mergeCells>
  <pageMargins left="0.3937007874015748" right="0.1181102362204725" top="0.7874015748031497" bottom="0.1968503937007874" header="0.3149606299212598" footer="0.3149606299212598"/>
  <pageSetup orientation="landscape" paperSize="9" scale="66"/>
  <rowBreaks count="1" manualBreakCount="1">
    <brk id="32" min="0" max="288" man="1"/>
  </rowBreaks>
  <colBreaks count="5" manualBreakCount="5">
    <brk id="41" min="0" max="58" man="1"/>
    <brk id="67" min="0" max="59" man="1"/>
    <brk id="95" min="0" max="59" man="1"/>
    <brk id="151" min="0" max="1048575" man="1"/>
    <brk id="177" min="0" max="58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O461"/>
  <sheetViews>
    <sheetView showGridLines="0" tabSelected="1" view="pageBreakPreview" zoomScale="80" zoomScaleNormal="80" zoomScaleSheetLayoutView="80" workbookViewId="0">
      <pane xSplit="7" ySplit="8" topLeftCell="H42" activePane="bottomRight" state="frozen"/>
      <selection pane="topRight" activeCell="H1" sqref="H1"/>
      <selection pane="bottomLeft" activeCell="A9" sqref="A9"/>
      <selection pane="bottomRight" activeCell="B44" sqref="B44"/>
    </sheetView>
  </sheetViews>
  <sheetFormatPr baseColWidth="8" defaultColWidth="9.109375" defaultRowHeight="12.75" customHeight="1"/>
  <cols>
    <col width="4.33203125" customWidth="1" style="279" min="1" max="1"/>
    <col width="21.88671875" customWidth="1" style="279" min="2" max="2"/>
    <col width="12.44140625" customWidth="1" style="279" min="3" max="3"/>
    <col width="7.109375" customWidth="1" style="279" min="4" max="4"/>
    <col width="6.88671875" customWidth="1" style="279" min="5" max="5"/>
    <col width="9.5546875" customWidth="1" style="279" min="6" max="6"/>
    <col width="10.44140625" customWidth="1" style="279" min="7" max="7"/>
    <col width="6.5546875" customWidth="1" style="279" min="8" max="9"/>
    <col width="6" customWidth="1" style="279" min="10" max="12"/>
    <col width="6" customWidth="1" style="2" min="13" max="13"/>
    <col width="6" customWidth="1" style="279" min="14" max="15"/>
    <col hidden="1" outlineLevel="1" width="6" customWidth="1" style="279" min="16" max="17"/>
    <col hidden="1" outlineLevel="1" collapsed="1" width="6.33203125" customWidth="1" style="279" min="18" max="18"/>
    <col hidden="1" outlineLevel="1" width="6.33203125" customWidth="1" style="279" min="19" max="19"/>
    <col hidden="1" outlineLevel="1" width="7.33203125" customWidth="1" style="279" min="20" max="27"/>
    <col collapsed="1" width="6.6640625" customWidth="1" style="279" min="28" max="28"/>
    <col width="6.6640625" customWidth="1" style="279" min="29" max="29"/>
    <col width="6.88671875" customWidth="1" style="279" min="30" max="31"/>
    <col collapsed="1" width="6.44140625" customWidth="1" style="279" min="32" max="32"/>
    <col width="6.44140625" customWidth="1" style="279" min="33" max="33"/>
    <col width="6.88671875" customWidth="1" style="279" min="34" max="35"/>
    <col width="7" customWidth="1" style="279" min="36" max="36"/>
    <col width="7.109375" customWidth="1" style="279" min="37" max="37"/>
    <col width="6.44140625" customWidth="1" style="279" min="38" max="40"/>
    <col width="7.33203125" customWidth="1" style="279" min="41" max="41"/>
    <col hidden="1" collapsed="1" width="7.33203125" customWidth="1" style="279" min="42" max="42"/>
    <col hidden="1" width="7.33203125" customWidth="1" style="279" min="43" max="43"/>
    <col width="7.33203125" customWidth="1" style="279" min="44" max="45"/>
    <col width="6.88671875" customWidth="1" style="279" min="46" max="49"/>
    <col width="6.44140625" customWidth="1" style="279" min="50" max="51"/>
    <col hidden="1" width="6" customWidth="1" style="279" min="52" max="53"/>
    <col collapsed="1" width="6" customWidth="1" style="279" min="54" max="54"/>
    <col width="8.88671875" customWidth="1" style="279" min="55" max="55"/>
    <col width="6.88671875" customWidth="1" style="279" min="56" max="57"/>
    <col collapsed="1" width="6.88671875" customWidth="1" style="279" min="58" max="58"/>
    <col width="6.88671875" customWidth="1" style="279" min="59" max="61"/>
    <col width="6.44140625" customWidth="1" style="279" min="62" max="65"/>
    <col width="7.33203125" customWidth="1" style="279" min="66" max="69"/>
    <col width="6.6640625" customWidth="1" style="279" min="70" max="83"/>
    <col width="6.5546875" customWidth="1" style="279" min="84" max="93"/>
    <col width="7.33203125" customWidth="1" style="279" min="94" max="97"/>
    <col width="7.33203125" customWidth="1" style="3" min="98" max="99"/>
    <col width="7.33203125" customWidth="1" style="279" min="100" max="109"/>
    <col width="6.33203125" customWidth="1" style="279" min="110" max="110"/>
    <col width="6.88671875" customWidth="1" style="279" min="111" max="111"/>
    <col width="6.33203125" customWidth="1" style="279" min="112" max="117"/>
    <col collapsed="1" width="6.33203125" customWidth="1" style="279" min="118" max="118"/>
    <col width="6.33203125" customWidth="1" style="279" min="119" max="120"/>
    <col width="8.44140625" customWidth="1" style="279" min="121" max="121"/>
    <col width="6.33203125" customWidth="1" style="279" min="122" max="123"/>
    <col width="7.6640625" customWidth="1" style="279" min="124" max="125"/>
    <col width="6.33203125" customWidth="1" style="279" min="126" max="127"/>
    <col width="7.109375" customWidth="1" style="279" min="128" max="129"/>
    <col width="6.6640625" customWidth="1" style="279" min="130" max="133"/>
    <col collapsed="1" width="6.6640625" customWidth="1" style="279" min="134" max="134"/>
    <col width="6.6640625" customWidth="1" style="279" min="135" max="135"/>
    <col collapsed="1" width="7.33203125" customWidth="1" style="279" min="136" max="136"/>
    <col width="7.33203125" customWidth="1" style="279" min="137" max="139"/>
    <col width="6.6640625" customWidth="1" style="279" min="140" max="143"/>
    <col width="6.109375" customWidth="1" style="279" min="144" max="145"/>
    <col width="6.5546875" customWidth="1" style="279" min="146" max="147"/>
    <col collapsed="1" width="7.33203125" customWidth="1" style="279" min="148" max="148"/>
    <col width="6.33203125" customWidth="1" style="279" min="149" max="149"/>
    <col width="7.33203125" customWidth="1" style="279" min="150" max="165"/>
    <col collapsed="1" width="7.33203125" customWidth="1" style="279" min="166" max="166"/>
    <col width="7.33203125" customWidth="1" style="279" min="167" max="177"/>
    <col hidden="1" outlineLevel="1" width="7.33203125" customWidth="1" style="279" min="178" max="179"/>
    <col collapsed="1" width="7.33203125" customWidth="1" style="279" min="180" max="180"/>
    <col width="7.33203125" customWidth="1" style="279" min="181" max="191"/>
    <col collapsed="1" width="7.33203125" customWidth="1" style="279" min="192" max="192"/>
    <col width="7.33203125" customWidth="1" style="279" min="193" max="195"/>
    <col collapsed="1" width="7.33203125" customWidth="1" style="279" min="196" max="196"/>
    <col width="7.33203125" customWidth="1" style="279" min="197" max="231"/>
    <col hidden="1" outlineLevel="1" collapsed="1" width="7.33203125" customWidth="1" style="279" min="232" max="232"/>
    <col hidden="1" outlineLevel="1" width="7.33203125" customWidth="1" style="279" min="233" max="241"/>
    <col hidden="1" outlineLevel="1" collapsed="1" width="7.33203125" customWidth="1" style="279" min="242" max="242"/>
    <col hidden="1" outlineLevel="1" width="7.33203125" customWidth="1" style="279" min="243" max="259"/>
    <col outlineLevel="1" width="7" customWidth="1" style="279" min="260" max="260"/>
    <col outlineLevel="1" width="8.44140625" customWidth="1" style="279" min="261" max="261"/>
    <col width="7.33203125" customWidth="1" style="279" min="262" max="263"/>
    <col width="7" customWidth="1" style="279" min="264" max="264"/>
    <col width="7.33203125" customWidth="1" style="279" min="265" max="267"/>
    <col hidden="1" width="7.33203125" customWidth="1" style="279" min="268" max="271"/>
    <col width="6.88671875" customWidth="1" style="279" min="272" max="272"/>
    <col width="9.109375" customWidth="1" style="279" min="273" max="273"/>
    <col width="7.33203125" customWidth="1" style="279" min="274" max="275"/>
    <col width="7" customWidth="1" style="279" min="276" max="276"/>
    <col width="7.33203125" customWidth="1" style="279" min="277" max="277"/>
    <col hidden="1" outlineLevel="1" width="6.44140625" customWidth="1" style="279" min="278" max="279"/>
    <col hidden="1" outlineLevel="1" width="6" customWidth="1" style="279" min="280" max="280"/>
    <col hidden="1" outlineLevel="1" width="5.5546875" customWidth="1" style="279" min="281" max="281"/>
    <col hidden="1" outlineLevel="1" width="5.88671875" customWidth="1" style="279" min="282" max="282"/>
    <col hidden="1" outlineLevel="1" width="6.5546875" customWidth="1" style="279" min="283" max="283"/>
    <col hidden="1" outlineLevel="1" width="5.44140625" customWidth="1" style="279" min="284" max="284"/>
    <col hidden="1" outlineLevel="1" width="6" customWidth="1" style="279" min="285" max="285"/>
    <col collapsed="1" width="7.33203125" customWidth="1" style="279" min="286" max="286"/>
    <col width="9.88671875" customWidth="1" style="279" min="287" max="287"/>
    <col width="9.44140625" customWidth="1" style="279" min="288" max="289"/>
    <col width="17.5546875" customWidth="1" style="279" min="290" max="290"/>
    <col width="11" customWidth="1" style="279" min="291" max="291"/>
    <col width="15.44140625" customWidth="1" style="279" min="292" max="292"/>
    <col width="9.109375" customWidth="1" style="279" min="293" max="293"/>
    <col width="9.109375" customWidth="1" style="279" min="294" max="16384"/>
  </cols>
  <sheetData>
    <row r="1" ht="17.25" customFormat="1" customHeight="1" s="288" thickBot="1">
      <c r="A1" s="265" t="inlineStr">
        <is>
          <t>Расшифровка зарплаты рабочих за Март 2024 г</t>
        </is>
      </c>
      <c r="B1" s="266" t="n"/>
      <c r="C1" s="266" t="n"/>
      <c r="D1" s="266" t="n"/>
      <c r="E1" s="266" t="n"/>
      <c r="F1" s="266" t="n"/>
      <c r="G1" s="266" t="n"/>
      <c r="M1" s="5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V1" s="39" t="n"/>
      <c r="AW1" s="39" t="n"/>
      <c r="BB1" s="37" t="n"/>
      <c r="BC1" s="37" t="n"/>
      <c r="BD1" s="37" t="n"/>
      <c r="BE1" s="37" t="n"/>
      <c r="BJ1" s="287" t="n"/>
      <c r="BP1" s="287" t="n"/>
      <c r="CD1" s="36" t="n"/>
      <c r="DM1" s="310" t="n"/>
      <c r="DQ1" s="41" t="n"/>
      <c r="DR1" s="37" t="n"/>
      <c r="DS1" s="37" t="n"/>
      <c r="DT1" s="37" t="n"/>
      <c r="DU1" s="37" t="n"/>
      <c r="DV1" s="37" t="n"/>
      <c r="DW1" s="37" t="n"/>
      <c r="DX1" s="37" t="n"/>
      <c r="DY1" s="37" t="n"/>
      <c r="ER1" s="36" t="n"/>
      <c r="ES1" s="36" t="n"/>
      <c r="GZ1" s="39" t="n"/>
      <c r="HA1" s="39" t="n"/>
      <c r="HD1" s="37" t="n"/>
      <c r="HE1" s="37" t="n"/>
      <c r="HK1" s="39" t="n"/>
      <c r="HL1" s="39" t="n"/>
      <c r="HM1" s="40" t="n"/>
      <c r="HN1" s="39" t="n"/>
      <c r="HO1" s="39" t="n"/>
      <c r="HP1" s="39" t="n"/>
      <c r="HQ1" s="40" t="n"/>
      <c r="IO1" s="37" t="n"/>
      <c r="IQ1" s="37" t="n"/>
    </row>
    <row r="2" ht="11.25" customHeight="1" thickBot="1">
      <c r="A2" s="283" t="inlineStr">
        <is>
          <t>№ П/П</t>
        </is>
      </c>
      <c r="B2" s="299" t="inlineStr">
        <is>
          <t>Работники</t>
        </is>
      </c>
      <c r="C2" s="285" t="n"/>
      <c r="D2" s="337" t="inlineStr">
        <is>
          <t>Отработано часов</t>
        </is>
      </c>
      <c r="E2" s="305" t="n"/>
      <c r="F2" s="285" t="inlineStr">
        <is>
          <t>Оклад с РК</t>
        </is>
      </c>
      <c r="G2" s="308" t="n"/>
      <c r="H2" s="335" t="inlineStr">
        <is>
          <t>Распределение по заказам</t>
        </is>
      </c>
      <c r="I2" s="255" t="n"/>
      <c r="J2" s="255" t="n"/>
      <c r="K2" s="255" t="n"/>
      <c r="L2" s="255" t="n"/>
      <c r="M2" s="255" t="n"/>
      <c r="N2" s="255" t="n"/>
      <c r="O2" s="255" t="n"/>
      <c r="P2" s="255" t="n"/>
      <c r="Q2" s="255" t="n"/>
      <c r="R2" s="255" t="n"/>
      <c r="S2" s="255" t="n"/>
      <c r="T2" s="255" t="n"/>
      <c r="U2" s="255" t="n"/>
      <c r="V2" s="255" t="n"/>
      <c r="W2" s="255" t="n"/>
      <c r="X2" s="255" t="n"/>
      <c r="Y2" s="255" t="n"/>
      <c r="Z2" s="255" t="n"/>
      <c r="AA2" s="255" t="n"/>
      <c r="AB2" s="255" t="n"/>
      <c r="AC2" s="255" t="n"/>
      <c r="AD2" s="255" t="n"/>
      <c r="AE2" s="255" t="n"/>
      <c r="AF2" s="255" t="n"/>
      <c r="AG2" s="255" t="n"/>
      <c r="AH2" s="255" t="n"/>
      <c r="AI2" s="255" t="n"/>
      <c r="AJ2" s="255" t="n"/>
      <c r="AK2" s="255" t="n"/>
      <c r="AL2" s="255" t="n"/>
      <c r="AM2" s="255" t="n"/>
      <c r="AN2" s="255" t="n"/>
      <c r="AO2" s="255" t="n"/>
      <c r="AP2" s="255" t="n"/>
      <c r="AQ2" s="255" t="n"/>
      <c r="AR2" s="255" t="n"/>
      <c r="AS2" s="255" t="n"/>
      <c r="AT2" s="255" t="n"/>
      <c r="AU2" s="255" t="n"/>
      <c r="AV2" s="255" t="n"/>
      <c r="AW2" s="255" t="n"/>
      <c r="AX2" s="255" t="n"/>
      <c r="AY2" s="255" t="n"/>
      <c r="AZ2" s="255" t="n"/>
      <c r="BA2" s="255" t="n"/>
      <c r="BB2" s="255" t="n"/>
      <c r="BC2" s="255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  <c r="BN2" s="47" t="n"/>
      <c r="BO2" s="47" t="n"/>
      <c r="BP2" s="47" t="n"/>
      <c r="BQ2" s="47" t="n"/>
      <c r="BR2" s="47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  <c r="CO2" s="47" t="n"/>
      <c r="CP2" s="47" t="n"/>
      <c r="CQ2" s="47" t="n"/>
      <c r="CR2" s="47" t="n"/>
      <c r="CS2" s="47" t="n"/>
      <c r="CT2" s="47" t="n"/>
      <c r="CU2" s="47" t="n"/>
      <c r="CV2" s="47" t="n"/>
      <c r="CW2" s="47" t="n"/>
      <c r="CX2" s="47" t="n"/>
      <c r="CY2" s="47" t="n"/>
      <c r="CZ2" s="47" t="n"/>
      <c r="DA2" s="47" t="n"/>
      <c r="DB2" s="47" t="n"/>
      <c r="DC2" s="47" t="n"/>
      <c r="DD2" s="47" t="n"/>
      <c r="DE2" s="47" t="n"/>
      <c r="DF2" s="47" t="n"/>
      <c r="DG2" s="47" t="n"/>
      <c r="DH2" s="47" t="n"/>
      <c r="DI2" s="47" t="n"/>
      <c r="DJ2" s="47" t="n"/>
      <c r="DK2" s="47" t="n"/>
      <c r="DL2" s="47" t="n"/>
      <c r="DM2" s="47" t="n"/>
      <c r="DN2" s="47" t="n"/>
      <c r="DO2" s="47" t="n"/>
      <c r="DP2" s="47" t="n"/>
      <c r="DQ2" s="47" t="n"/>
      <c r="DR2" s="47" t="n"/>
      <c r="DS2" s="47" t="n"/>
      <c r="DT2" s="47" t="n"/>
      <c r="DU2" s="47" t="n"/>
      <c r="DV2" s="47" t="n"/>
      <c r="DW2" s="47" t="n"/>
      <c r="DX2" s="47" t="n"/>
      <c r="DY2" s="47" t="n"/>
      <c r="DZ2" s="47" t="n"/>
      <c r="EA2" s="47" t="n"/>
      <c r="EB2" s="47" t="n"/>
      <c r="EC2" s="47" t="n"/>
      <c r="ED2" s="47" t="n"/>
      <c r="EE2" s="47" t="n"/>
      <c r="EF2" s="47" t="n"/>
      <c r="EG2" s="47" t="n"/>
      <c r="EH2" s="47" t="n"/>
      <c r="EI2" s="47" t="n"/>
      <c r="EJ2" s="47" t="n"/>
      <c r="EK2" s="47" t="n"/>
      <c r="EL2" s="47" t="n"/>
      <c r="EM2" s="47" t="n"/>
      <c r="EN2" s="47" t="n"/>
      <c r="EO2" s="47" t="n"/>
      <c r="EP2" s="47" t="n"/>
      <c r="EQ2" s="47" t="n"/>
      <c r="ER2" s="47" t="n"/>
      <c r="ES2" s="47" t="n"/>
      <c r="ET2" s="47" t="n"/>
      <c r="EU2" s="47" t="n"/>
      <c r="EV2" s="47" t="n"/>
      <c r="EW2" s="47" t="n"/>
      <c r="EX2" s="47" t="n"/>
      <c r="EY2" s="47" t="n"/>
      <c r="EZ2" s="47" t="n"/>
      <c r="FA2" s="47" t="n"/>
      <c r="FB2" s="47" t="n"/>
      <c r="FC2" s="47" t="n"/>
      <c r="FD2" s="47" t="n"/>
      <c r="FE2" s="47" t="n"/>
      <c r="FF2" s="47" t="n"/>
      <c r="FG2" s="47" t="n"/>
      <c r="FH2" s="47" t="n"/>
      <c r="FI2" s="47" t="n"/>
      <c r="FJ2" s="47" t="n"/>
      <c r="FK2" s="47" t="n"/>
      <c r="FL2" s="47" t="n"/>
      <c r="FM2" s="47" t="n"/>
      <c r="FN2" s="47" t="n"/>
      <c r="FO2" s="47" t="n"/>
      <c r="FP2" s="47" t="n"/>
      <c r="FQ2" s="47" t="n"/>
      <c r="FR2" s="47" t="n"/>
      <c r="FS2" s="47" t="n"/>
      <c r="FT2" s="47" t="n"/>
      <c r="FU2" s="47" t="n"/>
      <c r="FV2" s="47" t="n"/>
      <c r="FW2" s="47" t="n"/>
      <c r="FX2" s="47" t="n"/>
      <c r="FY2" s="47" t="n"/>
      <c r="FZ2" s="47" t="n"/>
      <c r="GA2" s="47" t="n"/>
      <c r="GB2" s="47" t="n"/>
      <c r="GC2" s="47" t="n"/>
      <c r="GD2" s="47" t="n"/>
      <c r="GE2" s="47" t="n"/>
      <c r="GF2" s="47" t="n"/>
      <c r="GG2" s="47" t="n"/>
      <c r="GH2" s="47" t="n"/>
      <c r="GI2" s="47" t="n"/>
      <c r="GJ2" s="47" t="n"/>
      <c r="GK2" s="47" t="n"/>
      <c r="GL2" s="47" t="n"/>
      <c r="GM2" s="47" t="n"/>
      <c r="GN2" s="47" t="n"/>
      <c r="GO2" s="47" t="n"/>
      <c r="GP2" s="47" t="n"/>
      <c r="GQ2" s="47" t="n"/>
      <c r="GR2" s="47" t="n"/>
      <c r="GS2" s="47" t="n"/>
      <c r="GT2" s="47" t="n"/>
      <c r="GU2" s="47" t="n"/>
      <c r="GV2" s="47" t="n"/>
      <c r="GW2" s="47" t="n"/>
      <c r="GX2" s="47" t="n"/>
      <c r="GY2" s="47" t="n"/>
      <c r="GZ2" s="47" t="n"/>
      <c r="HA2" s="47" t="n"/>
      <c r="HB2" s="47" t="n"/>
      <c r="HC2" s="47" t="n"/>
      <c r="HD2" s="47" t="n"/>
      <c r="HE2" s="47" t="n"/>
      <c r="HF2" s="47" t="n"/>
      <c r="HG2" s="47" t="n"/>
      <c r="HH2" s="47" t="n"/>
      <c r="HI2" s="47" t="n"/>
      <c r="HJ2" s="47" t="n"/>
      <c r="HK2" s="47" t="n"/>
      <c r="HL2" s="47" t="n"/>
      <c r="HM2" s="47" t="n"/>
      <c r="HN2" s="47" t="n"/>
      <c r="HO2" s="47" t="n"/>
      <c r="HP2" s="47" t="n"/>
      <c r="HQ2" s="47" t="n"/>
      <c r="HR2" s="47" t="n"/>
      <c r="HS2" s="47" t="n"/>
      <c r="HT2" s="47" t="n"/>
      <c r="HU2" s="47" t="n"/>
      <c r="HV2" s="47" t="n"/>
      <c r="HW2" s="47" t="n"/>
      <c r="HX2" s="47" t="n"/>
      <c r="HY2" s="47" t="n"/>
      <c r="HZ2" s="47" t="n"/>
      <c r="IA2" s="47" t="n"/>
      <c r="IB2" s="47" t="n"/>
      <c r="IC2" s="47" t="n"/>
      <c r="ID2" s="47" t="n"/>
      <c r="IE2" s="47" t="n"/>
      <c r="IF2" s="47" t="n"/>
      <c r="IG2" s="47" t="n"/>
      <c r="IH2" s="47" t="n"/>
      <c r="II2" s="47" t="n"/>
      <c r="IJ2" s="47" t="n"/>
      <c r="IK2" s="47" t="n"/>
      <c r="IL2" s="47" t="n"/>
      <c r="IM2" s="47" t="n"/>
      <c r="IN2" s="47" t="n"/>
      <c r="IO2" s="47" t="n"/>
      <c r="IP2" s="47" t="n"/>
      <c r="IQ2" s="47" t="n"/>
      <c r="IR2" s="47" t="n"/>
      <c r="IS2" s="47" t="n"/>
      <c r="IT2" s="47" t="n"/>
      <c r="IU2" s="47" t="n"/>
      <c r="IV2" s="47" t="n"/>
      <c r="IW2" s="47" t="n"/>
      <c r="IX2" s="47" t="n"/>
      <c r="IY2" s="47" t="n"/>
      <c r="IZ2" s="47" t="n"/>
      <c r="JA2" s="47" t="n"/>
      <c r="JB2" s="47" t="n"/>
      <c r="JC2" s="47" t="n"/>
      <c r="JD2" s="47" t="n"/>
      <c r="JE2" s="47" t="n"/>
      <c r="JF2" s="47" t="n"/>
      <c r="JG2" s="47" t="n"/>
      <c r="JH2" s="47" t="n"/>
      <c r="JI2" s="47" t="n"/>
      <c r="JJ2" s="47" t="n"/>
      <c r="JK2" s="47" t="n"/>
      <c r="JL2" s="47" t="n"/>
      <c r="JM2" s="47" t="n"/>
      <c r="JN2" s="47" t="n"/>
      <c r="JO2" s="47" t="n"/>
      <c r="JP2" s="47" t="n"/>
      <c r="JQ2" s="47" t="n"/>
      <c r="JR2" s="47" t="n"/>
      <c r="JS2" s="47" t="n"/>
      <c r="JT2" s="47" t="n"/>
      <c r="JU2" s="47" t="n"/>
      <c r="JV2" s="47" t="n"/>
      <c r="JW2" s="47" t="n"/>
      <c r="JX2" s="47" t="n"/>
      <c r="JY2" s="47" t="n"/>
      <c r="JZ2" s="47" t="n"/>
      <c r="KA2" s="47" t="n"/>
      <c r="KB2" s="47" t="n"/>
      <c r="KC2" s="48" t="n"/>
    </row>
    <row r="3" ht="14.25" customHeight="1">
      <c r="A3" s="284" t="n"/>
      <c r="B3" s="284" t="n"/>
      <c r="C3" s="286" t="n"/>
      <c r="D3" s="286" t="n"/>
      <c r="E3" s="306" t="n"/>
      <c r="F3" s="286" t="n"/>
      <c r="H3" s="339" t="inlineStr">
        <is>
          <t>ОСНАСТКА</t>
        </is>
      </c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0" t="n"/>
      <c r="S3" s="340" t="n"/>
      <c r="T3" s="340" t="n"/>
      <c r="U3" s="340" t="n"/>
      <c r="V3" s="340" t="n"/>
      <c r="W3" s="340" t="n"/>
      <c r="X3" s="340" t="n"/>
      <c r="Y3" s="340" t="n"/>
      <c r="Z3" s="340" t="n"/>
      <c r="AA3" s="248" t="n"/>
      <c r="AB3" s="68" t="n"/>
      <c r="AC3" s="68" t="n"/>
      <c r="AD3" s="68" t="n"/>
      <c r="AE3" s="68" t="n"/>
      <c r="AF3" s="68" t="n"/>
      <c r="AG3" s="68" t="n"/>
      <c r="AH3" s="68" t="n"/>
      <c r="AI3" s="144" t="n"/>
      <c r="AJ3" s="145" t="n"/>
      <c r="AK3" s="145" t="n"/>
      <c r="AL3" s="336" t="n"/>
      <c r="AM3" s="271" t="n"/>
      <c r="AN3" s="68" t="n"/>
      <c r="AO3" s="68" t="n"/>
      <c r="AP3" s="68" t="n"/>
      <c r="AQ3" s="68" t="n"/>
      <c r="AR3" s="68" t="n"/>
      <c r="AS3" s="68" t="n"/>
      <c r="AT3" s="68" t="n"/>
      <c r="AU3" s="68" t="n"/>
      <c r="AV3" s="68" t="n"/>
      <c r="AW3" s="68" t="n"/>
      <c r="AX3" s="69" t="n"/>
      <c r="AY3" s="68" t="n"/>
      <c r="AZ3" s="68" t="n"/>
      <c r="BA3" s="68" t="n"/>
      <c r="BB3" s="68" t="n"/>
      <c r="BC3" s="68" t="n"/>
      <c r="BD3" s="43" t="n"/>
      <c r="BE3" s="43" t="n"/>
      <c r="BF3" s="43" t="n"/>
      <c r="BG3" s="43" t="n"/>
      <c r="BH3" s="43" t="n"/>
      <c r="BI3" s="43" t="n"/>
      <c r="BJ3" s="43" t="n"/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  <c r="CO3" s="43" t="n"/>
      <c r="CP3" s="43" t="n"/>
      <c r="CQ3" s="43" t="n"/>
      <c r="CR3" s="43" t="n"/>
      <c r="CS3" s="43" t="n"/>
      <c r="CT3" s="43" t="n"/>
      <c r="CU3" s="43" t="n"/>
      <c r="CV3" s="43" t="n"/>
      <c r="CW3" s="43" t="n"/>
      <c r="CX3" s="43" t="n"/>
      <c r="CY3" s="43" t="n"/>
      <c r="CZ3" s="43" t="n"/>
      <c r="DA3" s="43" t="n"/>
      <c r="DB3" s="43" t="n"/>
      <c r="DC3" s="43" t="n"/>
      <c r="DD3" s="43" t="n"/>
      <c r="DE3" s="43" t="n"/>
      <c r="DF3" s="43" t="n"/>
      <c r="DG3" s="43" t="n"/>
      <c r="DH3" s="43" t="n"/>
      <c r="DI3" s="43" t="n"/>
      <c r="DJ3" s="43" t="n"/>
      <c r="DK3" s="43" t="n"/>
      <c r="DL3" s="43" t="n"/>
      <c r="DM3" s="43" t="n"/>
      <c r="DN3" s="43" t="n"/>
      <c r="DO3" s="43" t="n"/>
      <c r="DP3" s="43" t="n"/>
      <c r="DQ3" s="43" t="n"/>
      <c r="DR3" s="43" t="n"/>
      <c r="DS3" s="43" t="n"/>
      <c r="DT3" s="43" t="n"/>
      <c r="DU3" s="43" t="n"/>
      <c r="DV3" s="43" t="n"/>
      <c r="DW3" s="43" t="n"/>
      <c r="DX3" s="43" t="n"/>
      <c r="DY3" s="43" t="n"/>
      <c r="DZ3" s="43" t="n"/>
      <c r="EA3" s="43" t="n"/>
      <c r="EB3" s="43" t="n"/>
      <c r="EC3" s="43" t="n"/>
      <c r="ED3" s="43" t="n"/>
      <c r="EE3" s="43" t="n"/>
      <c r="EF3" s="43" t="n"/>
      <c r="EG3" s="43" t="n"/>
      <c r="EH3" s="43" t="n"/>
      <c r="EI3" s="43" t="n"/>
      <c r="EJ3" s="43" t="n"/>
      <c r="EK3" s="43" t="n"/>
      <c r="EL3" s="43" t="n"/>
      <c r="EM3" s="43" t="n"/>
      <c r="EN3" s="43" t="n"/>
      <c r="EO3" s="43" t="n"/>
      <c r="EP3" s="43" t="n"/>
      <c r="EQ3" s="43" t="n"/>
      <c r="ER3" s="43" t="n"/>
      <c r="ES3" s="43" t="n"/>
      <c r="ET3" s="43" t="n"/>
      <c r="EU3" s="43" t="n"/>
      <c r="EV3" s="43" t="n"/>
      <c r="EW3" s="43" t="n"/>
      <c r="EX3" s="43" t="n"/>
      <c r="EY3" s="43" t="n"/>
      <c r="EZ3" s="43" t="n"/>
      <c r="FA3" s="62" t="n"/>
      <c r="FB3" s="63" t="n"/>
      <c r="FC3" s="62" t="n"/>
      <c r="FD3" s="63" t="n"/>
      <c r="FE3" s="62" t="n"/>
      <c r="FF3" s="63" t="n"/>
      <c r="FG3" s="62" t="n"/>
      <c r="FH3" s="43" t="n"/>
      <c r="FI3" s="62" t="n"/>
      <c r="FJ3" s="43" t="n"/>
      <c r="FK3" s="43" t="n"/>
      <c r="FL3" s="43" t="n"/>
      <c r="FM3" s="43" t="n"/>
      <c r="FN3" s="43" t="n"/>
      <c r="FO3" s="43" t="n"/>
      <c r="FP3" s="43" t="n"/>
      <c r="FQ3" s="43" t="n"/>
      <c r="FR3" s="43" t="n"/>
      <c r="FS3" s="43" t="n"/>
      <c r="FT3" s="43" t="n"/>
      <c r="FU3" s="43" t="n"/>
      <c r="FV3" s="43" t="n"/>
      <c r="FW3" s="43" t="n"/>
      <c r="FX3" s="43" t="n"/>
      <c r="FY3" s="43" t="n"/>
      <c r="FZ3" s="43" t="n"/>
      <c r="GA3" s="43" t="n"/>
      <c r="GB3" s="43" t="n"/>
      <c r="GC3" s="43" t="n"/>
      <c r="GD3" s="43" t="n"/>
      <c r="GE3" s="43" t="n"/>
      <c r="GF3" s="43" t="n"/>
      <c r="GG3" s="43" t="n"/>
      <c r="GH3" s="43" t="n"/>
      <c r="GI3" s="54" t="n"/>
      <c r="GJ3" s="43" t="n"/>
      <c r="GK3" s="43" t="n"/>
      <c r="GL3" s="43" t="n"/>
      <c r="GM3" s="43" t="n"/>
      <c r="GN3" s="43" t="n"/>
      <c r="GO3" s="43" t="n"/>
      <c r="GP3" s="43" t="n"/>
      <c r="GQ3" s="43" t="n"/>
      <c r="GR3" s="43" t="n"/>
      <c r="GS3" s="43" t="n"/>
      <c r="GT3" s="43" t="n"/>
      <c r="GU3" s="43" t="n"/>
      <c r="GV3" s="50" t="n"/>
      <c r="GW3" s="50" t="n"/>
      <c r="GX3" s="50" t="n"/>
      <c r="GY3" s="50" t="n"/>
      <c r="GZ3" s="50" t="n"/>
      <c r="HA3" s="50" t="n"/>
      <c r="HB3" s="43" t="n"/>
      <c r="HC3" s="43" t="n"/>
      <c r="HD3" s="43" t="n"/>
      <c r="HE3" s="43" t="n"/>
      <c r="HF3" s="49" t="n"/>
      <c r="HG3" s="43" t="n"/>
      <c r="HH3" s="43" t="n"/>
      <c r="HI3" s="43" t="n"/>
      <c r="HJ3" s="43" t="n"/>
      <c r="HK3" s="43" t="n"/>
      <c r="HL3" s="43" t="n"/>
      <c r="HM3" s="43" t="n"/>
      <c r="HN3" s="43" t="n"/>
      <c r="HO3" s="43" t="n"/>
      <c r="HP3" s="43" t="n"/>
      <c r="HQ3" s="43" t="n"/>
      <c r="HR3" s="43" t="n"/>
      <c r="HS3" s="43" t="n"/>
      <c r="HT3" s="43" t="n"/>
      <c r="HU3" s="43" t="n"/>
      <c r="HV3" s="43" t="n"/>
      <c r="HW3" s="43" t="n"/>
      <c r="HX3" s="43" t="n"/>
      <c r="HY3" s="43" t="n"/>
      <c r="HZ3" s="43" t="n"/>
      <c r="IA3" s="43" t="n"/>
      <c r="IB3" s="43" t="n"/>
      <c r="IC3" s="43" t="n"/>
      <c r="ID3" s="43" t="n"/>
      <c r="IE3" s="43" t="n"/>
      <c r="IF3" s="43" t="n"/>
      <c r="IG3" s="43" t="n"/>
      <c r="IH3" s="43" t="n"/>
      <c r="II3" s="43" t="n"/>
      <c r="IJ3" s="43" t="n"/>
      <c r="IK3" s="43" t="n"/>
      <c r="IL3" s="43" t="n"/>
      <c r="IM3" s="43" t="n"/>
      <c r="IN3" s="43" t="n"/>
      <c r="IO3" s="43" t="n"/>
      <c r="IP3" s="43" t="n"/>
      <c r="IQ3" s="43" t="n"/>
      <c r="IR3" s="43" t="n"/>
      <c r="IS3" s="43" t="n"/>
      <c r="IT3" s="43" t="n"/>
      <c r="IU3" s="43" t="n"/>
      <c r="IV3" s="43" t="n"/>
      <c r="IW3" s="43" t="n"/>
      <c r="IX3" s="43" t="n"/>
      <c r="IY3" s="43" t="n"/>
      <c r="IZ3" s="50" t="n"/>
      <c r="JA3" s="50" t="n"/>
      <c r="JB3" s="50" t="n"/>
      <c r="JC3" s="50" t="n"/>
      <c r="JD3" s="50" t="n"/>
      <c r="JE3" s="50" t="n"/>
      <c r="JF3" s="42" t="n"/>
      <c r="JG3" s="42" t="n"/>
      <c r="JH3" s="42" t="n"/>
      <c r="JI3" s="42" t="n"/>
      <c r="JJ3" s="342" t="n"/>
      <c r="JK3" s="340" t="n"/>
      <c r="JL3" s="304" t="inlineStr">
        <is>
          <t>Работы с обслуживанием цеха и оборудования</t>
        </is>
      </c>
      <c r="JM3" s="305" t="n"/>
      <c r="JN3" s="270" t="inlineStr">
        <is>
          <t>Подготовительные работы по ОС</t>
        </is>
      </c>
      <c r="JO3" s="271" t="n"/>
      <c r="JP3" s="271" t="n"/>
      <c r="JQ3" s="271" t="n"/>
      <c r="JR3" s="271" t="n"/>
      <c r="JS3" s="271" t="n"/>
      <c r="JT3" s="271" t="n"/>
      <c r="JU3" s="271" t="n"/>
      <c r="JV3" s="271" t="n"/>
      <c r="JW3" s="271" t="n"/>
      <c r="JX3" s="271" t="n"/>
      <c r="JY3" s="271" t="n"/>
      <c r="JZ3" s="271" t="n"/>
      <c r="KA3" s="272" t="n"/>
      <c r="KB3" s="316" t="inlineStr">
        <is>
          <t>ВСЕГО</t>
        </is>
      </c>
      <c r="KC3" s="306" t="n"/>
    </row>
    <row r="4" ht="104.25" customHeight="1">
      <c r="A4" s="284" t="n"/>
      <c r="B4" s="284" t="n"/>
      <c r="C4" s="286" t="n"/>
      <c r="D4" s="338" t="n"/>
      <c r="E4" s="281" t="n"/>
      <c r="F4" s="286" t="n"/>
      <c r="H4" s="260" t="inlineStr">
        <is>
          <t>Станочная остастка для токарной группы, кмт</t>
        </is>
      </c>
      <c r="I4" s="248" t="n"/>
      <c r="J4" s="260" t="inlineStr">
        <is>
          <t>Ремонт токарного станка ДИП500-165</t>
        </is>
      </c>
      <c r="K4" s="248" t="n"/>
      <c r="L4" s="260" t="inlineStr">
        <is>
          <t>Ограждение боковое и переднее на фрезерный станок, кмт</t>
        </is>
      </c>
      <c r="M4" s="248" t="n"/>
      <c r="N4" s="260" t="inlineStr">
        <is>
          <t>Прошивка ротационная ТК.142.000</t>
        </is>
      </c>
      <c r="O4" s="248" t="n"/>
      <c r="P4" s="260" t="n"/>
      <c r="Q4" s="248" t="n"/>
      <c r="R4" s="260" t="n"/>
      <c r="S4" s="248" t="n"/>
      <c r="T4" s="260" t="n"/>
      <c r="U4" s="248" t="n"/>
      <c r="V4" s="260" t="n"/>
      <c r="W4" s="248" t="n"/>
      <c r="X4" s="260" t="n"/>
      <c r="Y4" s="248" t="n"/>
      <c r="Z4" s="260" t="n"/>
      <c r="AA4" s="248" t="n"/>
      <c r="AB4" s="260" t="inlineStr">
        <is>
          <t>УЗЕЛ ПРИВОДА MR65-1100 5320018 КОНВЕЙЕР PF6/1142</t>
        </is>
      </c>
      <c r="AC4" s="248" t="n"/>
      <c r="AD4" s="260" t="inlineStr">
        <is>
          <t>УЗЕЛ ПРИВОДА MR65-1100 BE672455 КОНВЕЙЕР PF6/1142 СОСТАВЛЯЮЩИЕ УЗЛА ПРИВОДА: ВАЛ, ПОДШИПНИКИ, ЗВЕЗДА, БУКСЫ ПЛИТА МОНТАЖНАЯ</t>
        </is>
      </c>
      <c r="AE4" s="248" t="n"/>
      <c r="AF4" s="260" t="inlineStr">
        <is>
          <t>Нож 22434/2 W02 к дробилке SCORPION 3000P</t>
        </is>
      </c>
      <c r="AG4" s="248" t="n"/>
      <c r="AH4" s="260" t="inlineStr">
        <is>
          <t>Валок ведущий Ø11,125 GН31190</t>
        </is>
      </c>
      <c r="AI4" s="248" t="n"/>
      <c r="AJ4" s="260" t="inlineStr">
        <is>
          <t>Валок Ø7,125 WXGHLB7-L</t>
        </is>
      </c>
      <c r="AK4" s="248" t="n"/>
      <c r="AL4" s="260" t="inlineStr">
        <is>
          <t>Вал ведущий D11,25 GH31190</t>
        </is>
      </c>
      <c r="AM4" s="248" t="n"/>
      <c r="AN4" s="260" t="inlineStr">
        <is>
          <t>КМП угололков Р6 для MRHS 5325486 конвейер PF6/1142</t>
        </is>
      </c>
      <c r="AO4" s="248" t="n"/>
      <c r="AP4" s="260" t="inlineStr">
        <is>
          <t>УЗЕЛ ПРИВОДА MR65-1100 5320018 КОНВЕЙЕР PF6/1142</t>
        </is>
      </c>
      <c r="AQ4" s="248" t="n"/>
      <c r="AR4" s="260" t="inlineStr">
        <is>
          <t>КМП угололков Р6 для MRHS 5325486 конвейер PF6/1142</t>
        </is>
      </c>
      <c r="AS4" s="248" t="n"/>
      <c r="AT4" s="260" t="inlineStr">
        <is>
          <t>КМП УГОЛКОВ Р6 ДЛЯ MRHS 5325486 КОНВЕЙЕР PF6/1142</t>
        </is>
      </c>
      <c r="AU4" s="248" t="n"/>
      <c r="AV4" s="260" t="inlineStr">
        <is>
          <t>Ремонт редуктора внешнего барабана режущего органа МВ-670 зав.295 инв.№СО54558</t>
        </is>
      </c>
      <c r="AW4" s="248" t="n"/>
      <c r="AX4" s="260" t="inlineStr">
        <is>
          <t>Ремонт вибровозбудителя HAVER NIAGARA YD55 поз.62</t>
        </is>
      </c>
      <c r="AY4" s="248" t="n"/>
      <c r="AZ4" s="260" t="inlineStr">
        <is>
          <t>Ремонт редуктора внешнего барабана режущего органа МВ-670 зав.295 инв.№СО54558</t>
        </is>
      </c>
      <c r="BA4" s="248" t="n"/>
      <c r="BB4" s="260" t="inlineStr">
        <is>
          <t>Ремонт редуктора внешнего барабана режущего органа комбайна проходческого МБ-1670 инв.№СО54570</t>
        </is>
      </c>
      <c r="BC4" s="248" t="n"/>
      <c r="BD4" s="260" t="inlineStr">
        <is>
          <t>Третьяковка</t>
        </is>
      </c>
      <c r="BE4" s="248" t="n"/>
      <c r="BF4" s="260" t="inlineStr">
        <is>
          <t>Соединитель рештаков 763-7020-Y2 конвейер скребковый JOY AFC</t>
        </is>
      </c>
      <c r="BG4" s="248" t="n"/>
      <c r="BH4" s="260" t="inlineStr">
        <is>
          <t>ЦЕПЕСЪЕМНИК 5408101 КОНВЕЙЕР PF6/1342</t>
        </is>
      </c>
      <c r="BI4" s="248" t="n"/>
      <c r="BJ4" s="260" t="inlineStr">
        <is>
          <t>ЦЕПЕСЪЕМНИК DKB48*144/160-7-250 BE4863293 КОНВЕЙЕР CAT PF6/1142</t>
        </is>
      </c>
      <c r="BK4" s="248" t="n"/>
      <c r="BL4" s="260" t="inlineStr">
        <is>
          <t>Колесо цевочное S289335Z комбайн SL-900</t>
        </is>
      </c>
      <c r="BM4" s="248" t="n"/>
      <c r="BN4" s="260" t="inlineStr">
        <is>
          <t>ЦЕПЕСЪЕМНИК CAT 5410007 КОНВЕЙЕР PF6/1142</t>
        </is>
      </c>
      <c r="BO4" s="248" t="n"/>
      <c r="BP4" s="260" t="inlineStr">
        <is>
          <t>НАПРАВЛЯЮЩАЯ ЦЕПИ ЛВ SCC MP BS00178197</t>
        </is>
      </c>
      <c r="BQ4" s="248" t="n"/>
      <c r="BR4" s="260" t="inlineStr">
        <is>
          <t>НАПРАВЛЯЮЩАЯ ЦЕПИ ПР SCC 65698419000</t>
        </is>
      </c>
      <c r="BS4" s="248" t="n"/>
      <c r="BT4" s="260" t="inlineStr">
        <is>
          <t>НАПРАВЛЯЮЩАЯ ЦЕПИ ЛВ SCC 65698420000</t>
        </is>
      </c>
      <c r="BU4" s="248" t="n"/>
      <c r="BV4" s="260" t="inlineStr">
        <is>
          <t>Штифт стопорный 100543179 JOY 15/35</t>
        </is>
      </c>
      <c r="BW4" s="248" t="n"/>
      <c r="BX4" s="260" t="inlineStr">
        <is>
          <t>ВАННА ВЕРХНЕЙ ВЕТВИ 685833</t>
        </is>
      </c>
      <c r="BY4" s="248" t="n"/>
      <c r="BZ4" s="260" t="inlineStr">
        <is>
          <t>Распорка SNO77258 MB432</t>
        </is>
      </c>
      <c r="CA4" s="248" t="n"/>
      <c r="CB4" s="260" t="inlineStr">
        <is>
          <t>Цепесъемник САТ5410007 конвейер PF6/1142</t>
        </is>
      </c>
      <c r="CC4" s="248" t="n"/>
      <c r="CD4" s="260" t="inlineStr">
        <is>
          <t>Ремонт лыжи для балки передвижки</t>
        </is>
      </c>
      <c r="CE4" s="248" t="n"/>
      <c r="CF4" s="260" t="inlineStr">
        <is>
          <t>Колесо зубчатое Z10 m46, 791 (G-1914.01), ZZM</t>
        </is>
      </c>
      <c r="CG4" s="248" t="n"/>
      <c r="CH4" s="260" t="inlineStr">
        <is>
          <t>Барабан цепной 2*34*126*Z5*24.659.000.000</t>
        </is>
      </c>
      <c r="CI4" s="248" t="n"/>
      <c r="CJ4" s="260" t="inlineStr">
        <is>
          <t>Барабан цепной 2х34х126 Z-5 хвостовой рамы скребкового перегружателя GROT 950</t>
        </is>
      </c>
      <c r="CK4" s="248" t="n"/>
      <c r="CL4" s="260" t="inlineStr">
        <is>
          <t>Уголок упорный для MPHS35 для PF4/1132, кмт</t>
        </is>
      </c>
      <c r="CM4" s="248" t="n"/>
      <c r="CN4" s="260" t="inlineStr">
        <is>
          <t>Валок Ø9,125 WXGH-9</t>
        </is>
      </c>
      <c r="CO4" s="248" t="n"/>
      <c r="CP4" s="260" t="inlineStr">
        <is>
          <t>Валок Ø24,5 GH30-24</t>
        </is>
      </c>
      <c r="CQ4" s="248" t="n"/>
      <c r="CR4" s="260" t="inlineStr">
        <is>
          <t>Валок Ø13,25 GH30-13</t>
        </is>
      </c>
      <c r="CS4" s="248" t="n"/>
      <c r="CT4" s="260" t="inlineStr">
        <is>
          <t>НАПРАВЛЯЮЩАЯ ЦЕПИ ПР SCC MP BS00178210</t>
        </is>
      </c>
      <c r="CU4" s="248" t="n"/>
      <c r="CV4" s="260" t="inlineStr">
        <is>
          <t>Ремонт рамы крестовой MRKR 35-1100/1300</t>
        </is>
      </c>
      <c r="CW4" s="248" t="n"/>
      <c r="CX4" s="260" t="inlineStr">
        <is>
          <t>Ремонт рамы приводной MRKR 35-1100/1300</t>
        </is>
      </c>
      <c r="CY4" s="248" t="n"/>
      <c r="CZ4" s="260" t="inlineStr">
        <is>
          <t>Ремонт рамы приводной SPR3/1000</t>
        </is>
      </c>
      <c r="DA4" s="248" t="n"/>
      <c r="DB4" s="260" t="inlineStr">
        <is>
          <t>Нож 22434/2 W02 к дробилке Scorpion 3000Р</t>
        </is>
      </c>
      <c r="DC4" s="248" t="n"/>
      <c r="DD4" s="260" t="inlineStr">
        <is>
          <t>Нож воздушный СИТК.501.100.00.000</t>
        </is>
      </c>
      <c r="DE4" s="248" t="n"/>
      <c r="DF4" s="260" t="inlineStr">
        <is>
          <t>Вал S262640 комбайн SL-300</t>
        </is>
      </c>
      <c r="DG4" s="248" t="n"/>
      <c r="DH4" s="260" t="inlineStr">
        <is>
          <t>Вал срезной S254290 SL900</t>
        </is>
      </c>
      <c r="DI4" s="248" t="n"/>
      <c r="DJ4" s="260" t="inlineStr">
        <is>
          <t>Вал двигателя JOY MINING MACHINERY 100265287</t>
        </is>
      </c>
      <c r="DK4" s="248" t="n"/>
      <c r="DL4" s="260" t="inlineStr">
        <is>
          <t>Вал двигателя JOY MINING MACHINERY 100265287</t>
        </is>
      </c>
      <c r="DM4" s="248" t="n"/>
      <c r="DN4" s="260" t="inlineStr">
        <is>
          <t>Фланец промежуточный S252666 SL-300</t>
        </is>
      </c>
      <c r="DO4" s="248" t="n"/>
      <c r="DP4" s="260" t="inlineStr">
        <is>
          <t>Колесо цевочное S239573ZA комбайн SL300/500/900</t>
        </is>
      </c>
      <c r="DQ4" s="248" t="n"/>
      <c r="DR4" s="260" t="inlineStr">
        <is>
          <t>Гантели 760-0670-Y7 конвейер JOY AFC</t>
        </is>
      </c>
      <c r="DS4" s="248" t="n"/>
      <c r="DT4" s="260" t="inlineStr">
        <is>
          <t>Вал с подшипниковой опорой 5408099 BSW220*10 конвейер PF6/1142</t>
        </is>
      </c>
      <c r="DU4" s="248" t="n"/>
      <c r="DV4" s="260" t="inlineStr">
        <is>
          <t>Звездочка DKB 34*126-7-330 BE668500 PF6</t>
        </is>
      </c>
      <c r="DW4" s="248" t="n"/>
      <c r="DX4" s="260" t="inlineStr">
        <is>
          <t>ЦЕПЕСЪЕМНИК BE668510 КОНВЕЙЕР PF6/1142</t>
        </is>
      </c>
      <c r="DY4" s="248" t="n"/>
      <c r="DZ4" s="260" t="inlineStr">
        <is>
          <t>Вал срезной S254290 SL900</t>
        </is>
      </c>
      <c r="EA4" s="248" t="n"/>
      <c r="EB4" s="260" t="inlineStr">
        <is>
          <t>Вал регулировочный 185 ФППЗ.МЧ.52 ФПП-3000МЧ</t>
        </is>
      </c>
      <c r="EC4" s="248" t="n"/>
      <c r="ED4" s="260" t="inlineStr">
        <is>
          <t>Валок WXGHLB7</t>
        </is>
      </c>
      <c r="EE4" s="248" t="n"/>
      <c r="EF4" s="260" t="inlineStr">
        <is>
          <t>Вал предохранительный 01069528-0529</t>
        </is>
      </c>
      <c r="EG4" s="248" t="n"/>
      <c r="EH4" s="260" t="inlineStr">
        <is>
          <t>РЕМКОМПЛЕКТ S289671Y КОМБАЙН SL-500</t>
        </is>
      </c>
      <c r="EI4" s="248" t="n"/>
      <c r="EJ4" s="260" t="inlineStr">
        <is>
          <t>Палец цилиндрический 01069432-1058  комбайн 4LS-20 (СИБ/503/00018132)</t>
        </is>
      </c>
      <c r="EK4" s="248" t="n"/>
      <c r="EL4" s="260" t="inlineStr">
        <is>
          <t>Колесо зубчатое Z6 m40, 791 (G-1914.024)</t>
        </is>
      </c>
      <c r="EM4" s="248" t="n"/>
      <c r="EN4" s="260" t="inlineStr">
        <is>
          <t>Валок Ø11,25 GH30-11</t>
        </is>
      </c>
      <c r="EO4" s="248" t="n"/>
      <c r="EP4" s="260" t="inlineStr">
        <is>
          <t>Вал приводной 286 ФППЗ.МЧ.40. ФППЗ-3000МЧ</t>
        </is>
      </c>
      <c r="EQ4" s="248" t="n"/>
      <c r="ER4" s="349" t="inlineStr">
        <is>
          <t>Звезда хода 100168053</t>
        </is>
      </c>
      <c r="ES4" s="248" t="n"/>
      <c r="ET4" s="260" t="inlineStr">
        <is>
          <t>Вал срезной S254290 SL900</t>
        </is>
      </c>
      <c r="EU4" s="248" t="n"/>
      <c r="EV4" s="260" t="inlineStr">
        <is>
          <t>ЦЕПЕСЪЕМНИК CAT 5410007 КОНВЕЙЕР PF6/1142</t>
        </is>
      </c>
      <c r="EW4" s="248" t="n"/>
      <c r="EX4" s="260" t="inlineStr">
        <is>
          <t>Болт специальный ДУ910.38.003</t>
        </is>
      </c>
      <c r="EY4" s="248" t="n"/>
      <c r="EZ4" s="260" t="inlineStr">
        <is>
          <t>Боек ДУ910.38.011А в сборе</t>
        </is>
      </c>
      <c r="FA4" s="248" t="n"/>
      <c r="FB4" s="260" t="inlineStr">
        <is>
          <t>Боек ДУ910.38.011А в сборе</t>
        </is>
      </c>
      <c r="FC4" s="248" t="n"/>
      <c r="FD4" s="260" t="inlineStr">
        <is>
          <t>Вал S252748 для комбайна SL-300 срезной</t>
        </is>
      </c>
      <c r="FE4" s="248" t="n"/>
      <c r="FF4" s="260" t="inlineStr">
        <is>
          <t>Узел привода MR65-1100 5320018 конвейер PF6/1142</t>
        </is>
      </c>
      <c r="FG4" s="248" t="n"/>
      <c r="FH4" s="260" t="inlineStr">
        <is>
          <t>КОНСОЛЬ СЪЕМНИКА ДЛЯ КОНЦЕВОЙ СЕКЦИИ В СБОРЕ СИТК BE 1503201 КОНВЕЙЕР PF6</t>
        </is>
      </c>
      <c r="FI4" s="248" t="n"/>
      <c r="FJ4" s="260" t="inlineStr">
        <is>
          <t>Барабан цепной 2х34х126 Z-7 25/2хW220 разгрузочного привода скребкового перегружателя GROT 950</t>
        </is>
      </c>
      <c r="FK4" s="248" t="n"/>
      <c r="FL4" s="260" t="inlineStr">
        <is>
          <t>Ремонт вибровозбудителя ГИСЛ 62 поз.81</t>
        </is>
      </c>
      <c r="FM4" s="248" t="n"/>
      <c r="FN4" s="260" t="inlineStr">
        <is>
          <t>Цевочное колесо sprocket парт№ 100026187(00571157-0062) (СИБ/503/00011292)</t>
        </is>
      </c>
      <c r="FO4" s="248" t="n"/>
      <c r="FP4" s="260" t="inlineStr">
        <is>
          <t>Деталь муфты N220*10/W220*10667721 PF4/1132</t>
        </is>
      </c>
      <c r="FQ4" s="248" t="n"/>
      <c r="FR4" s="260" t="inlineStr">
        <is>
          <t>ЗВЕЗДОЧКА DKB 34*126-7-330 ВЕ668500 PF6</t>
        </is>
      </c>
      <c r="FS4" s="248" t="n"/>
      <c r="FT4" s="260" t="inlineStr">
        <is>
          <t>Втулка вала 36102940</t>
        </is>
      </c>
      <c r="FU4" s="248" t="n"/>
      <c r="FV4" s="349" t="n"/>
      <c r="FW4" s="248" t="n"/>
      <c r="FX4" s="260" t="inlineStr">
        <is>
          <t>Ремонт блока звезды лавного конвейера</t>
        </is>
      </c>
      <c r="FY4" s="248" t="n"/>
      <c r="FZ4" s="260" t="inlineStr">
        <is>
          <t>Втулка BUSHING, STRAIGHT, OD 114.00000 MM, НАПРАВЛЯЮШАЯ СТАЛЬ 10051104 ОЧИСТНОЙ КОМБАЙН 4LS20 (СИБ/503/00091512)</t>
        </is>
      </c>
      <c r="GA4" s="248" t="n"/>
      <c r="GB4" s="260" t="inlineStr">
        <is>
          <t>ремонт вентилятора УВЦГ-9</t>
        </is>
      </c>
      <c r="GC4" s="248" t="n"/>
      <c r="GD4" s="260" t="inlineStr">
        <is>
          <t>Ремонт вибровозбудителя HAVER NIAGARA YD55 поз.701</t>
        </is>
      </c>
      <c r="GE4" s="248" t="n"/>
      <c r="GF4" s="260" t="inlineStr">
        <is>
          <t>Ремонт вибровозбудителя ГИСЛ 62 поз.81/1</t>
        </is>
      </c>
      <c r="GG4" s="248" t="n"/>
      <c r="GH4" s="260" t="inlineStr">
        <is>
          <t>Червячная пара в комплекте с подшипниками</t>
        </is>
      </c>
      <c r="GI4" s="248" t="n"/>
      <c r="GJ4" s="260" t="inlineStr">
        <is>
          <t>Шкив 40ХН 230х80 СИТК.433.00.01.001-01 для прямой скобы под канат D32мм</t>
        </is>
      </c>
      <c r="GK4" s="248" t="n"/>
      <c r="GL4" s="260" t="inlineStr">
        <is>
          <t>Гайка специальная ДУ910М.08.002</t>
        </is>
      </c>
      <c r="GM4" s="248" t="n"/>
      <c r="GN4" s="260" t="inlineStr">
        <is>
          <t>Колесо ведущее 03039850-2007 (Колесо ведущее 03069850-2007)</t>
        </is>
      </c>
      <c r="GO4" s="248" t="n"/>
      <c r="GP4" s="260" t="inlineStr">
        <is>
          <t>Звездочка 100134501 конвейер JOY AFC</t>
        </is>
      </c>
      <c r="GQ4" s="248" t="n"/>
      <c r="GR4" s="260" t="inlineStr">
        <is>
          <t>Головка ударная 5325488</t>
        </is>
      </c>
      <c r="GS4" s="248" t="n"/>
      <c r="GT4" s="260" t="inlineStr">
        <is>
          <t>Звездочка 100041230 конвейер JOY AFC</t>
        </is>
      </c>
      <c r="GU4" s="248" t="n"/>
      <c r="GV4" s="260" t="inlineStr">
        <is>
          <t>Боек ДУ910.38.011А в сборе</t>
        </is>
      </c>
      <c r="GW4" s="248" t="n"/>
      <c r="GX4" s="260" t="inlineStr">
        <is>
          <t>Боек дробилки SK1111</t>
        </is>
      </c>
      <c r="GY4" s="248" t="n"/>
      <c r="GZ4" s="260" t="inlineStr">
        <is>
          <t>Вал S-ой зоны S7 185 ФППЗ.МЧ.47 ФПП-3000МЧ</t>
        </is>
      </c>
      <c r="HA4" s="248" t="n"/>
      <c r="HB4" s="260" t="inlineStr">
        <is>
          <t>Втулка BUSHING, FLANGED, OD 590.43 MM, ID 565.42 РАЗРЕЗНАЯ С БУРТОМ СТАЛЬ 100400330 ОЧИСТНОЙ КОМБАЙН 4LS20 (СИБ/503/00091509)</t>
        </is>
      </c>
      <c r="HC4" s="248" t="n"/>
      <c r="HD4" s="260" t="inlineStr">
        <is>
          <t>ЗВЕЗДОЧКА GEAR, SPUR, 3-1/2DP ПРИВОДНАЯ 01069718-0061 ОЧИСТНОЙ КОМБАЙН 4LS20 (СИБ/503/00091511)</t>
        </is>
      </c>
      <c r="HE4" s="248" t="n"/>
      <c r="HF4" s="260" t="inlineStr">
        <is>
          <t>Ремонт цепного барабана вспомогатильного привода скребкового конвейера Rybnil850</t>
        </is>
      </c>
      <c r="HG4" s="248" t="n"/>
      <c r="HH4" s="260" t="inlineStr">
        <is>
          <t>ОПОРА САМОУСТАНАВЛИВАЮЩАЯ СЯ S287324 SL900</t>
        </is>
      </c>
      <c r="HI4" s="248" t="n"/>
      <c r="HJ4" s="260" t="inlineStr">
        <is>
          <t>Боек ДУ910.438.011 с крепежом (СИБ/507/00000989)</t>
        </is>
      </c>
      <c r="HK4" s="248" t="n"/>
      <c r="HL4" s="260" t="inlineStr">
        <is>
          <t>Лыжа забойная S253003 SL-300</t>
        </is>
      </c>
      <c r="HM4" s="248" t="n"/>
      <c r="HN4" s="260" t="inlineStr">
        <is>
          <t>МУФТА 5114307 КОНВЕЙЕР PF6/1142</t>
        </is>
      </c>
      <c r="HO4" s="248" t="n"/>
      <c r="HP4" s="260" t="inlineStr">
        <is>
          <t>Закалка заготовки буровой штанги БГА2В L=0.6м</t>
        </is>
      </c>
      <c r="HQ4" s="248" t="n"/>
      <c r="HR4" s="260" t="inlineStr">
        <is>
          <t>Шайба 1543130-01</t>
        </is>
      </c>
      <c r="HS4" s="248" t="n"/>
      <c r="HT4" s="260" t="inlineStr">
        <is>
          <t>Направляющая захвата EICKHOFF S 291897Y комбайна SL-900</t>
        </is>
      </c>
      <c r="HU4" s="248" t="n"/>
      <c r="HV4" s="260" t="inlineStr">
        <is>
          <t>Вал приводной BSW260-D280 ВЕ668730 КР15</t>
        </is>
      </c>
      <c r="HW4" s="248" t="n"/>
      <c r="HX4" s="260" t="n"/>
      <c r="HY4" s="248" t="n"/>
      <c r="HZ4" s="260" t="n"/>
      <c r="IA4" s="248" t="n"/>
      <c r="IB4" s="260" t="n"/>
      <c r="IC4" s="248" t="n"/>
      <c r="ID4" s="260" t="n"/>
      <c r="IE4" s="248" t="n"/>
      <c r="IF4" s="260" t="n"/>
      <c r="IG4" s="248" t="n"/>
      <c r="IH4" s="260" t="n"/>
      <c r="II4" s="248" t="n"/>
      <c r="IJ4" s="260" t="n"/>
      <c r="IK4" s="248" t="n"/>
      <c r="IL4" s="260" t="n"/>
      <c r="IM4" s="248" t="n"/>
      <c r="IN4" s="260" t="n"/>
      <c r="IO4" s="248" t="n"/>
      <c r="IP4" s="260" t="n"/>
      <c r="IQ4" s="248" t="n"/>
      <c r="IR4" s="260" t="n"/>
      <c r="IS4" s="248" t="n"/>
      <c r="IT4" s="260" t="n"/>
      <c r="IU4" s="248" t="n"/>
      <c r="IV4" s="260" t="n"/>
      <c r="IW4" s="248" t="n"/>
      <c r="IX4" s="260" t="n"/>
      <c r="IY4" s="248" t="n"/>
      <c r="IZ4" s="260" t="inlineStr">
        <is>
          <t>Барабан дробильный 3000 в комплекте с ременным колесом для дробилки SCORPION 3000Р</t>
        </is>
      </c>
      <c r="JA4" s="248" t="n"/>
      <c r="JB4" s="260" t="inlineStr">
        <is>
          <t>Вал соединительный СИТК.00.117 комбайн SANDVIK МВ670-1</t>
        </is>
      </c>
      <c r="JC4" s="248" t="n"/>
      <c r="JD4" s="260" t="inlineStr">
        <is>
          <t>Вал соединительный СИТК.00.117 комбайн SANDVIK МВ670-1</t>
        </is>
      </c>
      <c r="JE4" s="248" t="n"/>
      <c r="JF4" s="260" t="inlineStr">
        <is>
          <t>Ремонт Осадительно-фильтрующей центрифуги "Декантер 44*132"</t>
        </is>
      </c>
      <c r="JG4" s="248" t="n"/>
      <c r="JH4" s="260" t="n"/>
      <c r="JI4" s="248" t="n"/>
      <c r="JJ4" s="260" t="n"/>
      <c r="JK4" s="248" t="n"/>
      <c r="JL4" s="286" t="n"/>
      <c r="JM4" s="306" t="n"/>
      <c r="JN4" s="260" t="inlineStr">
        <is>
          <t>Фрезерный станок</t>
        </is>
      </c>
      <c r="JO4" s="248" t="n"/>
      <c r="JP4" s="260" t="inlineStr">
        <is>
          <t>Гараж</t>
        </is>
      </c>
      <c r="JQ4" s="248" t="n"/>
      <c r="JR4" s="256" t="n"/>
      <c r="JS4" s="257" t="n"/>
      <c r="JT4" s="256" t="n"/>
      <c r="JU4" s="257" t="n"/>
      <c r="JV4" s="256" t="n"/>
      <c r="JW4" s="257" t="n"/>
      <c r="JX4" s="256" t="n"/>
      <c r="JY4" s="257" t="n"/>
      <c r="JZ4" s="317" t="inlineStr">
        <is>
          <t>Итого сч. 08</t>
        </is>
      </c>
      <c r="KA4" s="268" t="n"/>
      <c r="KC4" s="306" t="n"/>
      <c r="KF4" s="6" t="n"/>
    </row>
    <row r="5" ht="30.75" customHeight="1" thickBot="1">
      <c r="A5" s="284" t="n"/>
      <c r="B5" s="284" t="n"/>
      <c r="C5" s="286" t="n"/>
      <c r="D5" s="280" t="n">
        <v>159</v>
      </c>
      <c r="E5" s="281" t="n"/>
      <c r="F5" s="286" t="n"/>
      <c r="H5" s="247" t="inlineStr">
        <is>
          <t>00 07 2 187</t>
        </is>
      </c>
      <c r="I5" s="248" t="n"/>
      <c r="J5" s="247" t="inlineStr">
        <is>
          <t>00 07 4 365</t>
        </is>
      </c>
      <c r="K5" s="248" t="n"/>
      <c r="L5" s="247" t="inlineStr">
        <is>
          <t>00 07 1 005</t>
        </is>
      </c>
      <c r="M5" s="248" t="n"/>
      <c r="N5" s="247" t="inlineStr">
        <is>
          <t>00 07 2 176</t>
        </is>
      </c>
      <c r="O5" s="248" t="n"/>
      <c r="P5" s="247" t="n"/>
      <c r="Q5" s="248" t="n"/>
      <c r="R5" s="247" t="n"/>
      <c r="S5" s="248" t="n"/>
      <c r="T5" s="247" t="n"/>
      <c r="U5" s="248" t="n"/>
      <c r="V5" s="247" t="n"/>
      <c r="W5" s="248" t="n"/>
      <c r="X5" s="247" t="n"/>
      <c r="Y5" s="248" t="n"/>
      <c r="Z5" s="247" t="n"/>
      <c r="AA5" s="248" t="n"/>
      <c r="AB5" s="247" t="inlineStr">
        <is>
          <t>01 01 3 327</t>
        </is>
      </c>
      <c r="AC5" s="248" t="n"/>
      <c r="AD5" s="247" t="inlineStr">
        <is>
          <t>01 01 3 336</t>
        </is>
      </c>
      <c r="AE5" s="248" t="n"/>
      <c r="AF5" s="247" t="inlineStr">
        <is>
          <t>36 01 1 051</t>
        </is>
      </c>
      <c r="AG5" s="248" t="n"/>
      <c r="AH5" s="247" t="inlineStr">
        <is>
          <t>51 01 1 037</t>
        </is>
      </c>
      <c r="AI5" s="248" t="n"/>
      <c r="AJ5" s="247" t="inlineStr">
        <is>
          <t>51 01 1 038</t>
        </is>
      </c>
      <c r="AK5" s="248" t="n"/>
      <c r="AL5" s="247" t="inlineStr">
        <is>
          <t>51 01 4 391</t>
        </is>
      </c>
      <c r="AM5" s="248" t="n"/>
      <c r="AN5" s="247" t="inlineStr">
        <is>
          <t>01 01 3 295</t>
        </is>
      </c>
      <c r="AO5" s="248" t="n"/>
      <c r="AP5" s="247" t="inlineStr">
        <is>
          <t>01 01 3 327</t>
        </is>
      </c>
      <c r="AQ5" s="248" t="n"/>
      <c r="AR5" s="247" t="inlineStr">
        <is>
          <t>01 01 3 329</t>
        </is>
      </c>
      <c r="AS5" s="248" t="n"/>
      <c r="AT5" s="247" t="inlineStr">
        <is>
          <t>01 01 4 368</t>
        </is>
      </c>
      <c r="AU5" s="248" t="n"/>
      <c r="AV5" s="247" t="inlineStr">
        <is>
          <t>01 03 4 376</t>
        </is>
      </c>
      <c r="AW5" s="248" t="n"/>
      <c r="AX5" s="247" t="inlineStr">
        <is>
          <t>47 03 2 175</t>
        </is>
      </c>
      <c r="AY5" s="248" t="n"/>
      <c r="AZ5" s="247" t="inlineStr">
        <is>
          <t>01 03 4 376</t>
        </is>
      </c>
      <c r="BA5" s="248" t="n"/>
      <c r="BB5" s="247" t="inlineStr">
        <is>
          <t>01 04 4 406</t>
        </is>
      </c>
      <c r="BC5" s="248" t="n"/>
      <c r="BD5" s="247" t="inlineStr">
        <is>
          <t>20сч</t>
        </is>
      </c>
      <c r="BE5" s="248" t="n"/>
      <c r="BF5" s="247" t="inlineStr">
        <is>
          <t>01 01 3 268</t>
        </is>
      </c>
      <c r="BG5" s="248" t="n"/>
      <c r="BH5" s="247" t="inlineStr">
        <is>
          <t>01 01 3 331</t>
        </is>
      </c>
      <c r="BI5" s="248" t="n"/>
      <c r="BJ5" s="247" t="inlineStr">
        <is>
          <t>01 01 3 334</t>
        </is>
      </c>
      <c r="BK5" s="248" t="n"/>
      <c r="BL5" s="247" t="inlineStr">
        <is>
          <t>01 01 4 360</t>
        </is>
      </c>
      <c r="BM5" s="248" t="n"/>
      <c r="BN5" s="247" t="inlineStr">
        <is>
          <t>01 01 4 369</t>
        </is>
      </c>
      <c r="BO5" s="248" t="n"/>
      <c r="BP5" s="247" t="inlineStr">
        <is>
          <t>01 01 4 575</t>
        </is>
      </c>
      <c r="BQ5" s="248" t="n"/>
      <c r="BR5" s="247" t="inlineStr">
        <is>
          <t>01 01 4 577</t>
        </is>
      </c>
      <c r="BS5" s="248" t="n"/>
      <c r="BT5" s="247" t="inlineStr">
        <is>
          <t>01 01 4 578</t>
        </is>
      </c>
      <c r="BU5" s="248" t="n"/>
      <c r="BV5" s="247" t="inlineStr">
        <is>
          <t>10 01 1 007</t>
        </is>
      </c>
      <c r="BW5" s="248" t="n"/>
      <c r="BX5" s="247" t="inlineStr">
        <is>
          <t>10 01 1 042</t>
        </is>
      </c>
      <c r="BY5" s="248" t="n"/>
      <c r="BZ5" s="247" t="inlineStr">
        <is>
          <t>10 01 4 403</t>
        </is>
      </c>
      <c r="CA5" s="248" t="n"/>
      <c r="CB5" s="247" t="inlineStr">
        <is>
          <t>10 01 4 410</t>
        </is>
      </c>
      <c r="CC5" s="248" t="n"/>
      <c r="CD5" s="247" t="inlineStr">
        <is>
          <t>12 03 1 040</t>
        </is>
      </c>
      <c r="CE5" s="248" t="n"/>
      <c r="CF5" s="247" t="inlineStr">
        <is>
          <t>23 01 4 350</t>
        </is>
      </c>
      <c r="CG5" s="248" t="n"/>
      <c r="CH5" s="247" t="inlineStr">
        <is>
          <t>24 01 1 016</t>
        </is>
      </c>
      <c r="CI5" s="248" t="n"/>
      <c r="CJ5" s="247" t="inlineStr">
        <is>
          <t>36 01 3 269</t>
        </is>
      </c>
      <c r="CK5" s="248" t="n"/>
      <c r="CL5" s="247" t="inlineStr">
        <is>
          <t>49 01 4 426</t>
        </is>
      </c>
      <c r="CM5" s="248" t="n"/>
      <c r="CN5" s="247" t="inlineStr">
        <is>
          <t>51 01 1 034</t>
        </is>
      </c>
      <c r="CO5" s="248" t="n"/>
      <c r="CP5" s="247" t="inlineStr">
        <is>
          <t>51 01 1 035</t>
        </is>
      </c>
      <c r="CQ5" s="248" t="n"/>
      <c r="CR5" s="247" t="inlineStr">
        <is>
          <t>51 01 1 036</t>
        </is>
      </c>
      <c r="CS5" s="248" t="n"/>
      <c r="CT5" s="247" t="inlineStr">
        <is>
          <t>01 01 4 576</t>
        </is>
      </c>
      <c r="CU5" s="248" t="n"/>
      <c r="CV5" s="247" t="inlineStr">
        <is>
          <t>52 03 2 074</t>
        </is>
      </c>
      <c r="CW5" s="248" t="n"/>
      <c r="CX5" s="247" t="inlineStr">
        <is>
          <t>52 03 2 075</t>
        </is>
      </c>
      <c r="CY5" s="248" t="n"/>
      <c r="CZ5" s="247" t="inlineStr">
        <is>
          <t>52 03 2 076</t>
        </is>
      </c>
      <c r="DA5" s="248" t="n"/>
      <c r="DB5" s="247" t="inlineStr">
        <is>
          <t>00 01 1 025</t>
        </is>
      </c>
      <c r="DC5" s="248" t="n"/>
      <c r="DD5" s="247" t="inlineStr">
        <is>
          <t>00 05 1 017</t>
        </is>
      </c>
      <c r="DE5" s="248" t="n"/>
      <c r="DF5" s="247" t="inlineStr">
        <is>
          <t>01 01 1 012</t>
        </is>
      </c>
      <c r="DG5" s="248" t="n"/>
      <c r="DH5" s="247" t="inlineStr">
        <is>
          <t>01 01 1 022</t>
        </is>
      </c>
      <c r="DI5" s="248" t="n"/>
      <c r="DJ5" s="247" t="inlineStr">
        <is>
          <t>01 01 1 031</t>
        </is>
      </c>
      <c r="DK5" s="248" t="n"/>
      <c r="DL5" s="247" t="inlineStr">
        <is>
          <t>01 01 1 059</t>
        </is>
      </c>
      <c r="DM5" s="248" t="n"/>
      <c r="DN5" s="247" t="inlineStr">
        <is>
          <t>01 01 3 252</t>
        </is>
      </c>
      <c r="DO5" s="248" t="n"/>
      <c r="DP5" s="247" t="inlineStr">
        <is>
          <t>01 01 3 260</t>
        </is>
      </c>
      <c r="DQ5" s="248" t="n"/>
      <c r="DR5" s="247" t="inlineStr">
        <is>
          <t>01 01 3 267</t>
        </is>
      </c>
      <c r="DS5" s="248" t="n"/>
      <c r="DT5" s="247" t="inlineStr">
        <is>
          <t>01 01 3 292</t>
        </is>
      </c>
      <c r="DU5" s="248" t="n"/>
      <c r="DV5" s="247" t="inlineStr">
        <is>
          <t>01 01 3 293</t>
        </is>
      </c>
      <c r="DW5" s="248" t="n"/>
      <c r="DX5" s="247" t="inlineStr">
        <is>
          <t>01 01 3 333</t>
        </is>
      </c>
      <c r="DY5" s="248" t="n"/>
      <c r="DZ5" s="247" t="inlineStr">
        <is>
          <t>01 01 4 361</t>
        </is>
      </c>
      <c r="EA5" s="248" t="n"/>
      <c r="EB5" s="247" t="inlineStr">
        <is>
          <t>01 01 4 373</t>
        </is>
      </c>
      <c r="EC5" s="248" t="n"/>
      <c r="ED5" s="247" t="inlineStr">
        <is>
          <t>01 01 4 375</t>
        </is>
      </c>
      <c r="EE5" s="248" t="n"/>
      <c r="EF5" s="247" t="inlineStr">
        <is>
          <t>07 01 3 284</t>
        </is>
      </c>
      <c r="EG5" s="248" t="n"/>
      <c r="EH5" s="247" t="inlineStr">
        <is>
          <t>10 01 3 306</t>
        </is>
      </c>
      <c r="EI5" s="248" t="n"/>
      <c r="EJ5" s="247" t="inlineStr">
        <is>
          <t>12 01 4 435</t>
        </is>
      </c>
      <c r="EK5" s="248" t="n"/>
      <c r="EL5" s="247" t="inlineStr">
        <is>
          <t>23  01 4 349</t>
        </is>
      </c>
      <c r="EM5" s="248" t="n"/>
      <c r="EN5" s="247" t="inlineStr">
        <is>
          <t>51 01 1 033</t>
        </is>
      </c>
      <c r="EO5" s="248" t="n"/>
      <c r="EP5" s="247" t="inlineStr">
        <is>
          <t>01 01 4 409</t>
        </is>
      </c>
      <c r="EQ5" s="248" t="n"/>
      <c r="ER5" s="343" t="inlineStr">
        <is>
          <t>36 01 4 448</t>
        </is>
      </c>
      <c r="ES5" s="248" t="n"/>
      <c r="ET5" s="247" t="inlineStr">
        <is>
          <t>01 01 1 028</t>
        </is>
      </c>
      <c r="EU5" s="248" t="n"/>
      <c r="EV5" s="247" t="inlineStr">
        <is>
          <t>01 01 3 332</t>
        </is>
      </c>
      <c r="EW5" s="248" t="n"/>
      <c r="EX5" s="247" t="inlineStr">
        <is>
          <t>11 01 4 419</t>
        </is>
      </c>
      <c r="EY5" s="248" t="n"/>
      <c r="EZ5" s="247" t="inlineStr">
        <is>
          <t>12 01 2 208</t>
        </is>
      </c>
      <c r="FA5" s="248" t="n"/>
      <c r="FB5" s="247" t="inlineStr">
        <is>
          <t>12 01 4 385</t>
        </is>
      </c>
      <c r="FC5" s="248" t="n"/>
      <c r="FD5" s="247" t="inlineStr">
        <is>
          <t>12 01 4 427</t>
        </is>
      </c>
      <c r="FE5" s="248" t="n"/>
      <c r="FF5" s="247" t="inlineStr">
        <is>
          <t>01 01 1 009</t>
        </is>
      </c>
      <c r="FG5" s="248" t="n"/>
      <c r="FH5" s="247" t="inlineStr">
        <is>
          <t>01 01 3 330</t>
        </is>
      </c>
      <c r="FI5" s="248" t="n"/>
      <c r="FJ5" s="247" t="inlineStr">
        <is>
          <t>36 01 3 270</t>
        </is>
      </c>
      <c r="FK5" s="248" t="n"/>
      <c r="FL5" s="247" t="inlineStr">
        <is>
          <t>47 03 4 398</t>
        </is>
      </c>
      <c r="FM5" s="248" t="n"/>
      <c r="FN5" s="247" t="inlineStr">
        <is>
          <t>00 01 4 405</t>
        </is>
      </c>
      <c r="FO5" s="248" t="n"/>
      <c r="FP5" s="247" t="inlineStr">
        <is>
          <t>01 01 1 062</t>
        </is>
      </c>
      <c r="FQ5" s="248" t="n"/>
      <c r="FR5" s="247" t="inlineStr">
        <is>
          <t>01 01 3 254</t>
        </is>
      </c>
      <c r="FS5" s="248" t="n"/>
      <c r="FT5" s="247" t="inlineStr">
        <is>
          <t>10 01 1 039</t>
        </is>
      </c>
      <c r="FU5" s="248" t="n"/>
      <c r="FV5" s="343" t="n"/>
      <c r="FW5" s="248" t="n"/>
      <c r="FX5" s="247" t="inlineStr">
        <is>
          <t>00 03 4 424</t>
        </is>
      </c>
      <c r="FY5" s="248" t="n"/>
      <c r="FZ5" s="247" t="inlineStr">
        <is>
          <t>12 01 4 415</t>
        </is>
      </c>
      <c r="GA5" s="248" t="n"/>
      <c r="GB5" s="247" t="inlineStr">
        <is>
          <t>12 03 1 054</t>
        </is>
      </c>
      <c r="GC5" s="248" t="n"/>
      <c r="GD5" s="247" t="inlineStr">
        <is>
          <t>47 03 3 311</t>
        </is>
      </c>
      <c r="GE5" s="248" t="n"/>
      <c r="GF5" s="247" t="inlineStr">
        <is>
          <t>47 03 4 399</t>
        </is>
      </c>
      <c r="GG5" s="248" t="n"/>
      <c r="GH5" s="247" t="inlineStr">
        <is>
          <t>51 01 2 071</t>
        </is>
      </c>
      <c r="GI5" s="248" t="n"/>
      <c r="GJ5" s="247" t="inlineStr">
        <is>
          <t>01 01 1 020</t>
        </is>
      </c>
      <c r="GK5" s="248" t="n"/>
      <c r="GL5" s="247" t="inlineStr">
        <is>
          <t>11 01 4 420</t>
        </is>
      </c>
      <c r="GM5" s="248" t="n"/>
      <c r="GN5" s="247" t="inlineStr">
        <is>
          <t>07 01 2 126</t>
        </is>
      </c>
      <c r="GO5" s="248" t="n"/>
      <c r="GP5" s="247" t="inlineStr">
        <is>
          <t>01 01 3 281</t>
        </is>
      </c>
      <c r="GQ5" s="248" t="n"/>
      <c r="GR5" s="247" t="inlineStr">
        <is>
          <t>01 01 3 266</t>
        </is>
      </c>
      <c r="GS5" s="248" t="n"/>
      <c r="GT5" s="247" t="inlineStr">
        <is>
          <t>01 01 3 280</t>
        </is>
      </c>
      <c r="GU5" s="248" t="n"/>
      <c r="GV5" s="247" t="inlineStr">
        <is>
          <t>12 01 4 380</t>
        </is>
      </c>
      <c r="GW5" s="248" t="n"/>
      <c r="GX5" s="247" t="inlineStr">
        <is>
          <t>01 01 1 075</t>
        </is>
      </c>
      <c r="GY5" s="248" t="n"/>
      <c r="GZ5" s="247" t="inlineStr">
        <is>
          <t>01 01 4 372</t>
        </is>
      </c>
      <c r="HA5" s="248" t="n"/>
      <c r="HB5" s="247" t="inlineStr">
        <is>
          <t>12 01 4 414</t>
        </is>
      </c>
      <c r="HC5" s="248" t="n"/>
      <c r="HD5" s="247" t="inlineStr">
        <is>
          <t>12 01 4 416</t>
        </is>
      </c>
      <c r="HE5" s="248" t="n"/>
      <c r="HF5" s="247" t="inlineStr">
        <is>
          <t>04 03 3 313</t>
        </is>
      </c>
      <c r="HG5" s="248" t="n"/>
      <c r="HH5" s="247" t="inlineStr">
        <is>
          <t>10 01 1 049</t>
        </is>
      </c>
      <c r="HI5" s="248" t="n"/>
      <c r="HJ5" s="247" t="inlineStr">
        <is>
          <t>12 01 4 413</t>
        </is>
      </c>
      <c r="HK5" s="248" t="n"/>
      <c r="HL5" s="247" t="inlineStr">
        <is>
          <t>10 01 4 388</t>
        </is>
      </c>
      <c r="HM5" s="248" t="n"/>
      <c r="HN5" s="247" t="inlineStr">
        <is>
          <t>01 01 3 324</t>
        </is>
      </c>
      <c r="HO5" s="248" t="n"/>
      <c r="HP5" s="247" t="inlineStr">
        <is>
          <t>00 05 2 159</t>
        </is>
      </c>
      <c r="HQ5" s="248" t="n"/>
      <c r="HR5" s="247" t="inlineStr">
        <is>
          <t>44 01 1 046</t>
        </is>
      </c>
      <c r="HS5" s="248" t="n"/>
      <c r="HT5" s="247" t="inlineStr">
        <is>
          <t>01 01 4 393</t>
        </is>
      </c>
      <c r="HU5" s="248" t="n"/>
      <c r="HV5" s="247" t="inlineStr">
        <is>
          <t>10 01 2 209</t>
        </is>
      </c>
      <c r="HW5" s="248" t="n"/>
      <c r="HX5" s="247" t="n"/>
      <c r="HY5" s="248" t="n"/>
      <c r="HZ5" s="247" t="n"/>
      <c r="IA5" s="248" t="n"/>
      <c r="IB5" s="247" t="n"/>
      <c r="IC5" s="248" t="n"/>
      <c r="ID5" s="247" t="n"/>
      <c r="IE5" s="248" t="n"/>
      <c r="IF5" s="247" t="n"/>
      <c r="IG5" s="248" t="n"/>
      <c r="IH5" s="247" t="n"/>
      <c r="II5" s="248" t="n"/>
      <c r="IJ5" s="247" t="n"/>
      <c r="IK5" s="248" t="n"/>
      <c r="IL5" s="247" t="n"/>
      <c r="IM5" s="248" t="n"/>
      <c r="IN5" s="247" t="n"/>
      <c r="IO5" s="248" t="n"/>
      <c r="IP5" s="247" t="n"/>
      <c r="IQ5" s="248" t="n"/>
      <c r="IR5" s="247" t="n"/>
      <c r="IS5" s="248" t="n"/>
      <c r="IT5" s="247" t="n"/>
      <c r="IU5" s="248" t="n"/>
      <c r="IV5" s="247" t="n"/>
      <c r="IW5" s="248" t="n"/>
      <c r="IX5" s="247" t="n"/>
      <c r="IY5" s="248" t="n"/>
      <c r="IZ5" s="247" t="inlineStr">
        <is>
          <t>04 01 2 220</t>
        </is>
      </c>
      <c r="JA5" s="248" t="n"/>
      <c r="JB5" s="351" t="inlineStr">
        <is>
          <t>01 01 4 511</t>
        </is>
      </c>
      <c r="JC5" s="257" t="n"/>
      <c r="JD5" s="351" t="inlineStr">
        <is>
          <t>01 01 4 514</t>
        </is>
      </c>
      <c r="JE5" s="257" t="n"/>
      <c r="JF5" s="247" t="inlineStr">
        <is>
          <t>00 03 4 355</t>
        </is>
      </c>
      <c r="JG5" s="248" t="n"/>
      <c r="JH5" s="247" t="n"/>
      <c r="JI5" s="248" t="n"/>
      <c r="JJ5" s="247" t="n"/>
      <c r="JK5" s="248" t="n"/>
      <c r="JL5" s="173" t="n"/>
      <c r="JM5" s="109" t="n"/>
      <c r="JN5" s="351" t="n"/>
      <c r="JO5" s="257" t="n"/>
      <c r="JP5" s="351" t="n"/>
      <c r="JQ5" s="257" t="n"/>
      <c r="JR5" s="258" t="n"/>
      <c r="JS5" s="259" t="n"/>
      <c r="JT5" s="258" t="n"/>
      <c r="JU5" s="259" t="n"/>
      <c r="JV5" s="258" t="n"/>
      <c r="JW5" s="259" t="n"/>
      <c r="JX5" s="258" t="n"/>
      <c r="JY5" s="259" t="n"/>
      <c r="JZ5" s="318" t="n"/>
      <c r="KA5" s="306" t="n"/>
      <c r="KC5" s="306" t="n"/>
      <c r="KF5" s="7" t="n"/>
    </row>
    <row r="6" ht="17.25" customHeight="1" thickBot="1">
      <c r="A6" s="284" t="n"/>
      <c r="B6" s="284" t="n"/>
      <c r="C6" s="286" t="n"/>
      <c r="D6" s="324" t="inlineStr">
        <is>
          <t>План</t>
        </is>
      </c>
      <c r="E6" s="341" t="inlineStr">
        <is>
          <t>Факт</t>
        </is>
      </c>
      <c r="F6" s="326" t="inlineStr">
        <is>
          <t>Месяц</t>
        </is>
      </c>
      <c r="G6" s="321" t="inlineStr">
        <is>
          <t>Часовая ставка</t>
        </is>
      </c>
      <c r="H6" s="329" t="inlineStr">
        <is>
          <t>23 счет</t>
        </is>
      </c>
      <c r="I6" s="328" t="n"/>
      <c r="J6" s="328" t="n"/>
      <c r="K6" s="328" t="n"/>
      <c r="L6" s="328" t="n"/>
      <c r="M6" s="328" t="n"/>
      <c r="N6" s="328" t="n"/>
      <c r="O6" s="328" t="n"/>
      <c r="P6" s="328" t="n"/>
      <c r="Q6" s="328" t="n"/>
      <c r="R6" s="328" t="n"/>
      <c r="S6" s="328" t="n"/>
      <c r="T6" s="328" t="n"/>
      <c r="U6" s="328" t="n"/>
      <c r="V6" s="328" t="n"/>
      <c r="W6" s="328" t="n"/>
      <c r="X6" s="328" t="n"/>
      <c r="Y6" s="328" t="n"/>
      <c r="Z6" s="328" t="n"/>
      <c r="AA6" s="259" t="n"/>
      <c r="AB6" s="134" t="n"/>
      <c r="AC6" s="331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34" t="n"/>
      <c r="CC6" s="134" t="n"/>
      <c r="CD6" s="134" t="n"/>
      <c r="CE6" s="134" t="n"/>
      <c r="CF6" s="134" t="n"/>
      <c r="CG6" s="134" t="n"/>
      <c r="CH6" s="134" t="n"/>
      <c r="CI6" s="134" t="n"/>
      <c r="CJ6" s="134" t="n"/>
      <c r="CK6" s="134" t="n"/>
      <c r="CL6" s="134" t="n"/>
      <c r="CM6" s="134" t="n"/>
      <c r="CN6" s="134" t="n"/>
      <c r="CO6" s="134" t="n"/>
      <c r="CP6" s="134" t="n"/>
      <c r="CQ6" s="134" t="n"/>
      <c r="CR6" s="134" t="n"/>
      <c r="CS6" s="134" t="n"/>
      <c r="CT6" s="134" t="n"/>
      <c r="CU6" s="134" t="n"/>
      <c r="CV6" s="134" t="n"/>
      <c r="CW6" s="134" t="n"/>
      <c r="CX6" s="134" t="n"/>
      <c r="CY6" s="134" t="n"/>
      <c r="CZ6" s="134" t="n"/>
      <c r="DA6" s="134" t="n"/>
      <c r="DB6" s="134" t="n"/>
      <c r="DC6" s="134" t="n"/>
      <c r="DD6" s="134" t="n"/>
      <c r="DE6" s="134" t="n"/>
      <c r="DF6" s="134" t="n"/>
      <c r="DG6" s="134" t="n"/>
      <c r="DH6" s="134" t="n"/>
      <c r="DI6" s="134" t="n"/>
      <c r="DJ6" s="134" t="n"/>
      <c r="DK6" s="134" t="n"/>
      <c r="DL6" s="134" t="n"/>
      <c r="DM6" s="134" t="n"/>
      <c r="DN6" s="134" t="n"/>
      <c r="DO6" s="134" t="n"/>
      <c r="DP6" s="134" t="n"/>
      <c r="DQ6" s="134" t="n"/>
      <c r="DR6" s="134" t="n"/>
      <c r="DS6" s="134" t="n"/>
      <c r="DT6" s="134" t="n"/>
      <c r="DU6" s="134" t="n"/>
      <c r="DV6" s="134" t="n"/>
      <c r="DW6" s="134" t="n"/>
      <c r="DX6" s="134" t="n"/>
      <c r="DY6" s="134" t="n"/>
      <c r="DZ6" s="134" t="n"/>
      <c r="EA6" s="134" t="n"/>
      <c r="EB6" s="134" t="n"/>
      <c r="EC6" s="134" t="n"/>
      <c r="ED6" s="134" t="n"/>
      <c r="EE6" s="134" t="n"/>
      <c r="EF6" s="134" t="n"/>
      <c r="EG6" s="134" t="n"/>
      <c r="EH6" s="134" t="n"/>
      <c r="EI6" s="134" t="n"/>
      <c r="EJ6" s="134" t="n"/>
      <c r="EK6" s="134" t="n"/>
      <c r="EL6" s="134" t="n"/>
      <c r="EM6" s="134" t="n"/>
      <c r="EN6" s="134" t="n"/>
      <c r="EO6" s="134" t="n"/>
      <c r="EP6" s="134" t="n"/>
      <c r="EQ6" s="134" t="n"/>
      <c r="ER6" s="243" t="inlineStr">
        <is>
          <t>сч</t>
        </is>
      </c>
      <c r="ES6" s="243" t="n">
        <v>28</v>
      </c>
      <c r="ET6" s="134" t="n"/>
      <c r="EU6" s="134" t="n"/>
      <c r="EV6" s="134" t="n"/>
      <c r="EW6" s="174" t="n"/>
      <c r="EX6" s="174" t="n"/>
      <c r="EY6" s="174" t="n"/>
      <c r="EZ6" s="174" t="n"/>
      <c r="FA6" s="174" t="n"/>
      <c r="FB6" s="174" t="n"/>
      <c r="FC6" s="174" t="n"/>
      <c r="FD6" s="134" t="n"/>
      <c r="FE6" s="134" t="n"/>
      <c r="FF6" s="134" t="n"/>
      <c r="FG6" s="134" t="n"/>
      <c r="FH6" s="134" t="n"/>
      <c r="FI6" s="134" t="n"/>
      <c r="FJ6" s="134" t="n"/>
      <c r="FK6" s="134" t="n"/>
      <c r="FL6" s="134" t="n"/>
      <c r="FM6" s="134" t="n"/>
      <c r="FN6" s="134" t="n"/>
      <c r="FO6" s="134" t="n"/>
      <c r="FP6" s="134" t="n"/>
      <c r="FQ6" s="134" t="n"/>
      <c r="FR6" s="134" t="n"/>
      <c r="FS6" s="134" t="n"/>
      <c r="FT6" s="134" t="n"/>
      <c r="FU6" s="134" t="n"/>
      <c r="FV6" s="134" t="n"/>
      <c r="FW6" s="134" t="n"/>
      <c r="FX6" s="134" t="n"/>
      <c r="FY6" s="134" t="n"/>
      <c r="FZ6" s="134" t="n"/>
      <c r="GA6" s="134" t="n"/>
      <c r="GB6" s="134" t="n"/>
      <c r="GC6" s="134" t="n"/>
      <c r="GD6" s="134" t="n"/>
      <c r="GE6" s="134" t="n"/>
      <c r="GF6" s="134" t="n"/>
      <c r="GG6" s="134" t="n"/>
      <c r="GH6" s="134" t="n"/>
      <c r="GI6" s="134" t="n"/>
      <c r="GJ6" s="134" t="n"/>
      <c r="GK6" s="134" t="n"/>
      <c r="GL6" s="134" t="n"/>
      <c r="GM6" s="134" t="n"/>
      <c r="GN6" s="134" t="n"/>
      <c r="GO6" s="134" t="n"/>
      <c r="GP6" s="134" t="n"/>
      <c r="GQ6" s="134" t="n"/>
      <c r="GR6" s="134" t="n"/>
      <c r="GS6" s="134" t="n"/>
      <c r="GT6" s="134" t="n"/>
      <c r="GU6" s="134" t="n"/>
      <c r="GV6" s="134" t="n"/>
      <c r="GW6" s="134" t="n"/>
      <c r="GX6" s="134" t="n"/>
      <c r="GY6" s="134" t="n"/>
      <c r="GZ6" s="134" t="n"/>
      <c r="HA6" s="134" t="n"/>
      <c r="HB6" s="134" t="n"/>
      <c r="HC6" s="134" t="n"/>
      <c r="HD6" s="134" t="n"/>
      <c r="HE6" s="134" t="n"/>
      <c r="HF6" s="134" t="n"/>
      <c r="HG6" s="134" t="n"/>
      <c r="HH6" s="134" t="n"/>
      <c r="HI6" s="134" t="n"/>
      <c r="HJ6" s="134" t="n"/>
      <c r="HK6" s="134" t="n"/>
      <c r="HL6" s="134" t="n"/>
      <c r="HM6" s="134" t="n"/>
      <c r="HN6" s="134" t="n"/>
      <c r="HO6" s="134" t="n"/>
      <c r="HP6" s="134" t="n"/>
      <c r="HQ6" s="134" t="n"/>
      <c r="HR6" s="134" t="n"/>
      <c r="HS6" s="134" t="n"/>
      <c r="HT6" s="134" t="n"/>
      <c r="HU6" s="134" t="n"/>
      <c r="HV6" s="134" t="n"/>
      <c r="HW6" s="134" t="n"/>
      <c r="HX6" s="134" t="n"/>
      <c r="HY6" s="134" t="n"/>
      <c r="HZ6" s="134" t="n"/>
      <c r="IA6" s="134" t="n"/>
      <c r="IB6" s="134" t="n"/>
      <c r="IC6" s="134" t="n"/>
      <c r="ID6" s="134" t="n"/>
      <c r="IE6" s="134" t="n"/>
      <c r="IF6" s="134" t="n"/>
      <c r="IG6" s="134" t="n"/>
      <c r="IH6" s="134" t="n"/>
      <c r="II6" s="134" t="n"/>
      <c r="IJ6" s="134" t="n"/>
      <c r="IK6" s="134" t="n"/>
      <c r="IL6" s="134" t="n"/>
      <c r="IM6" s="134" t="n"/>
      <c r="IN6" s="134" t="n"/>
      <c r="IO6" s="134" t="n"/>
      <c r="IP6" s="134" t="n"/>
      <c r="IQ6" s="134" t="n"/>
      <c r="IR6" s="134" t="n"/>
      <c r="IS6" s="134" t="n"/>
      <c r="IT6" s="134" t="n"/>
      <c r="IU6" s="134" t="n"/>
      <c r="IV6" s="134" t="n"/>
      <c r="IW6" s="134" t="n"/>
      <c r="IX6" s="134" t="n"/>
      <c r="IY6" s="134" t="n"/>
      <c r="IZ6" s="134" t="n"/>
      <c r="JA6" s="134" t="n"/>
      <c r="JB6" s="350" t="n"/>
      <c r="JC6" s="246" t="n"/>
      <c r="JD6" s="350" t="n"/>
      <c r="JE6" s="246" t="n"/>
      <c r="JF6" s="309" t="inlineStr">
        <is>
          <t>28 сч</t>
        </is>
      </c>
      <c r="JG6" s="263" t="n"/>
      <c r="JH6" s="309" t="inlineStr">
        <is>
          <t>28 сч</t>
        </is>
      </c>
      <c r="JI6" s="263" t="n"/>
      <c r="JJ6" s="312" t="n"/>
      <c r="JK6" s="306" t="n"/>
      <c r="JL6" s="267" t="inlineStr">
        <is>
          <t>25 счет</t>
        </is>
      </c>
      <c r="JM6" s="268" t="n"/>
      <c r="JN6" s="333" t="inlineStr">
        <is>
          <t>08 cч</t>
        </is>
      </c>
      <c r="JO6" s="334" t="n"/>
      <c r="JP6" s="334" t="n"/>
      <c r="JQ6" s="334" t="n"/>
      <c r="JR6" s="334" t="n"/>
      <c r="JS6" s="334" t="n"/>
      <c r="JT6" s="334" t="n"/>
      <c r="JU6" s="334" t="n"/>
      <c r="JV6" s="334" t="n"/>
      <c r="JW6" s="334" t="n"/>
      <c r="JX6" s="334" t="n"/>
      <c r="JY6" s="257" t="n"/>
      <c r="JZ6" s="319" t="n"/>
      <c r="KA6" s="263" t="n"/>
      <c r="KC6" s="306" t="n"/>
      <c r="KE6" s="2" t="n"/>
    </row>
    <row r="7" ht="18.75" customHeight="1" thickBot="1">
      <c r="A7" s="284" t="n"/>
      <c r="B7" s="284" t="n"/>
      <c r="C7" s="286" t="n"/>
      <c r="D7" s="325" t="n"/>
      <c r="E7" s="322" t="n"/>
      <c r="F7" s="325" t="n"/>
      <c r="G7" s="322" t="n"/>
      <c r="H7" s="149" t="inlineStr">
        <is>
          <t>часы</t>
        </is>
      </c>
      <c r="I7" s="150" t="inlineStr">
        <is>
          <t>доля</t>
        </is>
      </c>
      <c r="J7" s="149" t="inlineStr">
        <is>
          <t>часы</t>
        </is>
      </c>
      <c r="K7" s="150" t="inlineStr">
        <is>
          <t>доля</t>
        </is>
      </c>
      <c r="L7" s="149" t="inlineStr">
        <is>
          <t>часы</t>
        </is>
      </c>
      <c r="M7" s="151" t="inlineStr">
        <is>
          <t>доля</t>
        </is>
      </c>
      <c r="N7" s="152" t="inlineStr">
        <is>
          <t>часы</t>
        </is>
      </c>
      <c r="O7" s="151" t="inlineStr">
        <is>
          <t>доля</t>
        </is>
      </c>
      <c r="P7" s="153" t="inlineStr">
        <is>
          <t>часы</t>
        </is>
      </c>
      <c r="Q7" s="154" t="inlineStr">
        <is>
          <t>доля</t>
        </is>
      </c>
      <c r="R7" s="155" t="inlineStr">
        <is>
          <t>часы</t>
        </is>
      </c>
      <c r="S7" s="156" t="inlineStr">
        <is>
          <t>доля</t>
        </is>
      </c>
      <c r="T7" s="156" t="inlineStr">
        <is>
          <t>часы</t>
        </is>
      </c>
      <c r="U7" s="156" t="inlineStr">
        <is>
          <t>доля</t>
        </is>
      </c>
      <c r="V7" s="156" t="inlineStr">
        <is>
          <t>часы</t>
        </is>
      </c>
      <c r="W7" s="156" t="inlineStr">
        <is>
          <t>доля</t>
        </is>
      </c>
      <c r="X7" s="156" t="inlineStr">
        <is>
          <t>часы</t>
        </is>
      </c>
      <c r="Y7" s="156" t="inlineStr">
        <is>
          <t>доля</t>
        </is>
      </c>
      <c r="Z7" s="156" t="inlineStr">
        <is>
          <t>часы</t>
        </is>
      </c>
      <c r="AA7" s="157" t="inlineStr">
        <is>
          <t>доля</t>
        </is>
      </c>
      <c r="AB7" s="158" t="inlineStr">
        <is>
          <t>часы</t>
        </is>
      </c>
      <c r="AC7" s="154" t="inlineStr">
        <is>
          <t>доля</t>
        </is>
      </c>
      <c r="AD7" s="159" t="inlineStr">
        <is>
          <t>часы</t>
        </is>
      </c>
      <c r="AE7" s="160" t="inlineStr">
        <is>
          <t>доля</t>
        </is>
      </c>
      <c r="AF7" s="161" t="inlineStr">
        <is>
          <t>часы</t>
        </is>
      </c>
      <c r="AG7" s="162" t="inlineStr">
        <is>
          <t>доля</t>
        </is>
      </c>
      <c r="AH7" s="161" t="inlineStr">
        <is>
          <t>часы</t>
        </is>
      </c>
      <c r="AI7" s="162" t="inlineStr">
        <is>
          <t>доля</t>
        </is>
      </c>
      <c r="AJ7" s="161" t="inlineStr">
        <is>
          <t>часы</t>
        </is>
      </c>
      <c r="AK7" s="162" t="inlineStr">
        <is>
          <t>доля</t>
        </is>
      </c>
      <c r="AL7" s="161" t="inlineStr">
        <is>
          <t>часы</t>
        </is>
      </c>
      <c r="AM7" s="162" t="inlineStr">
        <is>
          <t>доля</t>
        </is>
      </c>
      <c r="AN7" s="161" t="inlineStr">
        <is>
          <t>часы</t>
        </is>
      </c>
      <c r="AO7" s="162" t="inlineStr">
        <is>
          <t>доля</t>
        </is>
      </c>
      <c r="AP7" s="161" t="inlineStr">
        <is>
          <t>часы</t>
        </is>
      </c>
      <c r="AQ7" s="162" t="inlineStr">
        <is>
          <t>доля</t>
        </is>
      </c>
      <c r="AR7" s="161" t="inlineStr">
        <is>
          <t>часы</t>
        </is>
      </c>
      <c r="AS7" s="162" t="inlineStr">
        <is>
          <t>доля</t>
        </is>
      </c>
      <c r="AT7" s="161" t="inlineStr">
        <is>
          <t>часы</t>
        </is>
      </c>
      <c r="AU7" s="162" t="inlineStr">
        <is>
          <t>доля</t>
        </is>
      </c>
      <c r="AV7" s="161" t="inlineStr">
        <is>
          <t>часы</t>
        </is>
      </c>
      <c r="AW7" s="162" t="inlineStr">
        <is>
          <t>доля</t>
        </is>
      </c>
      <c r="AX7" s="161" t="inlineStr">
        <is>
          <t>часы</t>
        </is>
      </c>
      <c r="AY7" s="162" t="inlineStr">
        <is>
          <t>доля</t>
        </is>
      </c>
      <c r="AZ7" s="161" t="inlineStr">
        <is>
          <t>часы</t>
        </is>
      </c>
      <c r="BA7" s="162" t="inlineStr">
        <is>
          <t>доля</t>
        </is>
      </c>
      <c r="BB7" s="161" t="inlineStr">
        <is>
          <t>часы</t>
        </is>
      </c>
      <c r="BC7" s="162" t="inlineStr">
        <is>
          <t>доля</t>
        </is>
      </c>
      <c r="BD7" s="161" t="inlineStr">
        <is>
          <t>часы</t>
        </is>
      </c>
      <c r="BE7" s="162" t="inlineStr">
        <is>
          <t>доля</t>
        </is>
      </c>
      <c r="BF7" s="161" t="inlineStr">
        <is>
          <t>часы</t>
        </is>
      </c>
      <c r="BG7" s="162" t="inlineStr">
        <is>
          <t>доля</t>
        </is>
      </c>
      <c r="BH7" s="161" t="inlineStr">
        <is>
          <t>часы</t>
        </is>
      </c>
      <c r="BI7" s="162" t="inlineStr">
        <is>
          <t>доля</t>
        </is>
      </c>
      <c r="BJ7" s="161" t="inlineStr">
        <is>
          <t>часы</t>
        </is>
      </c>
      <c r="BK7" s="162" t="inlineStr">
        <is>
          <t>доля</t>
        </is>
      </c>
      <c r="BL7" s="161" t="inlineStr">
        <is>
          <t>часы</t>
        </is>
      </c>
      <c r="BM7" s="163" t="inlineStr">
        <is>
          <t>доля</t>
        </is>
      </c>
      <c r="BN7" s="161" t="inlineStr">
        <is>
          <t>часы</t>
        </is>
      </c>
      <c r="BO7" s="163" t="inlineStr">
        <is>
          <t>доля</t>
        </is>
      </c>
      <c r="BP7" s="161" t="inlineStr">
        <is>
          <t>часы</t>
        </is>
      </c>
      <c r="BQ7" s="163" t="inlineStr">
        <is>
          <t>доля</t>
        </is>
      </c>
      <c r="BR7" s="161" t="inlineStr">
        <is>
          <t>часы</t>
        </is>
      </c>
      <c r="BS7" s="163" t="inlineStr">
        <is>
          <t>доля</t>
        </is>
      </c>
      <c r="BT7" s="161" t="inlineStr">
        <is>
          <t>часы</t>
        </is>
      </c>
      <c r="BU7" s="163" t="inlineStr">
        <is>
          <t>доля</t>
        </is>
      </c>
      <c r="BV7" s="161" t="inlineStr">
        <is>
          <t>часы</t>
        </is>
      </c>
      <c r="BW7" s="163" t="inlineStr">
        <is>
          <t>доля</t>
        </is>
      </c>
      <c r="BX7" s="161" t="inlineStr">
        <is>
          <t>часы</t>
        </is>
      </c>
      <c r="BY7" s="163" t="inlineStr">
        <is>
          <t>доля</t>
        </is>
      </c>
      <c r="BZ7" s="161" t="inlineStr">
        <is>
          <t>часы</t>
        </is>
      </c>
      <c r="CA7" s="163" t="inlineStr">
        <is>
          <t>доля</t>
        </is>
      </c>
      <c r="CB7" s="161" t="inlineStr">
        <is>
          <t>часы</t>
        </is>
      </c>
      <c r="CC7" s="162" t="inlineStr">
        <is>
          <t>доля</t>
        </is>
      </c>
      <c r="CD7" s="161" t="inlineStr">
        <is>
          <t>часы</t>
        </is>
      </c>
      <c r="CE7" s="162" t="inlineStr">
        <is>
          <t>доля</t>
        </is>
      </c>
      <c r="CF7" s="161" t="inlineStr">
        <is>
          <t>часы</t>
        </is>
      </c>
      <c r="CG7" s="163" t="inlineStr">
        <is>
          <t>доля</t>
        </is>
      </c>
      <c r="CH7" s="161" t="inlineStr">
        <is>
          <t>часы</t>
        </is>
      </c>
      <c r="CI7" s="163" t="inlineStr">
        <is>
          <t>доля</t>
        </is>
      </c>
      <c r="CJ7" s="161" t="inlineStr">
        <is>
          <t>часы</t>
        </is>
      </c>
      <c r="CK7" s="163" t="inlineStr">
        <is>
          <t>доля</t>
        </is>
      </c>
      <c r="CL7" s="161" t="inlineStr">
        <is>
          <t>часы</t>
        </is>
      </c>
      <c r="CM7" s="163" t="inlineStr">
        <is>
          <t>доля</t>
        </is>
      </c>
      <c r="CN7" s="153" t="inlineStr">
        <is>
          <t>часы</t>
        </is>
      </c>
      <c r="CO7" s="164" t="inlineStr">
        <is>
          <t>доля</t>
        </is>
      </c>
      <c r="CP7" s="165" t="inlineStr">
        <is>
          <t>часы</t>
        </is>
      </c>
      <c r="CQ7" s="166" t="inlineStr">
        <is>
          <t>доля</t>
        </is>
      </c>
      <c r="CR7" s="161" t="inlineStr">
        <is>
          <t>часы</t>
        </is>
      </c>
      <c r="CS7" s="163" t="inlineStr">
        <is>
          <t>доля</t>
        </is>
      </c>
      <c r="CT7" s="161" t="inlineStr">
        <is>
          <t>часы</t>
        </is>
      </c>
      <c r="CU7" s="163" t="inlineStr">
        <is>
          <t>доля</t>
        </is>
      </c>
      <c r="CV7" s="165" t="inlineStr">
        <is>
          <t>часы</t>
        </is>
      </c>
      <c r="CW7" s="166" t="inlineStr">
        <is>
          <t>доля</t>
        </is>
      </c>
      <c r="CX7" s="161" t="inlineStr">
        <is>
          <t>часы</t>
        </is>
      </c>
      <c r="CY7" s="163" t="inlineStr">
        <is>
          <t>доля</t>
        </is>
      </c>
      <c r="CZ7" s="161" t="inlineStr">
        <is>
          <t>часы</t>
        </is>
      </c>
      <c r="DA7" s="163" t="inlineStr">
        <is>
          <t>доля</t>
        </is>
      </c>
      <c r="DB7" s="165" t="inlineStr">
        <is>
          <t>часы</t>
        </is>
      </c>
      <c r="DC7" s="163" t="inlineStr">
        <is>
          <t>доля</t>
        </is>
      </c>
      <c r="DD7" s="161" t="inlineStr">
        <is>
          <t>часы</t>
        </is>
      </c>
      <c r="DE7" s="163" t="inlineStr">
        <is>
          <t>доля</t>
        </is>
      </c>
      <c r="DF7" s="161" t="inlineStr">
        <is>
          <t>часы</t>
        </is>
      </c>
      <c r="DG7" s="162" t="inlineStr">
        <is>
          <t>доля</t>
        </is>
      </c>
      <c r="DH7" s="161" t="inlineStr">
        <is>
          <t>часы</t>
        </is>
      </c>
      <c r="DI7" s="163" t="inlineStr">
        <is>
          <t>доля</t>
        </is>
      </c>
      <c r="DJ7" s="161" t="inlineStr">
        <is>
          <t>часы</t>
        </is>
      </c>
      <c r="DK7" s="163" t="inlineStr">
        <is>
          <t>доля</t>
        </is>
      </c>
      <c r="DL7" s="161" t="inlineStr">
        <is>
          <t>часы</t>
        </is>
      </c>
      <c r="DM7" s="162" t="inlineStr">
        <is>
          <t>доля</t>
        </is>
      </c>
      <c r="DN7" s="161" t="inlineStr">
        <is>
          <t>часы</t>
        </is>
      </c>
      <c r="DO7" s="166" t="inlineStr">
        <is>
          <t>доля</t>
        </is>
      </c>
      <c r="DP7" s="161" t="inlineStr">
        <is>
          <t>часы</t>
        </is>
      </c>
      <c r="DQ7" s="163" t="inlineStr">
        <is>
          <t>доля</t>
        </is>
      </c>
      <c r="DR7" s="161" t="inlineStr">
        <is>
          <t>доля</t>
        </is>
      </c>
      <c r="DS7" s="163" t="inlineStr">
        <is>
          <t>доля</t>
        </is>
      </c>
      <c r="DT7" s="161" t="inlineStr">
        <is>
          <t>часы</t>
        </is>
      </c>
      <c r="DU7" s="162" t="inlineStr">
        <is>
          <t>доля</t>
        </is>
      </c>
      <c r="DV7" s="161" t="inlineStr">
        <is>
          <t>часы</t>
        </is>
      </c>
      <c r="DW7" s="163" t="inlineStr">
        <is>
          <t>доля</t>
        </is>
      </c>
      <c r="DX7" s="153" t="inlineStr">
        <is>
          <t>часы</t>
        </is>
      </c>
      <c r="DY7" s="167" t="inlineStr">
        <is>
          <t>доля</t>
        </is>
      </c>
      <c r="DZ7" s="153" t="inlineStr">
        <is>
          <t>часы</t>
        </is>
      </c>
      <c r="EA7" s="167" t="inlineStr">
        <is>
          <t>доля</t>
        </is>
      </c>
      <c r="EB7" s="153" t="inlineStr">
        <is>
          <t>часы</t>
        </is>
      </c>
      <c r="EC7" s="167" t="inlineStr">
        <is>
          <t>доля</t>
        </is>
      </c>
      <c r="ED7" s="153" t="inlineStr">
        <is>
          <t>часы</t>
        </is>
      </c>
      <c r="EE7" s="167" t="inlineStr">
        <is>
          <t>доля</t>
        </is>
      </c>
      <c r="EF7" s="159" t="inlineStr">
        <is>
          <t>часы</t>
        </is>
      </c>
      <c r="EG7" s="168" t="inlineStr">
        <is>
          <t>доля</t>
        </is>
      </c>
      <c r="EH7" s="153" t="inlineStr">
        <is>
          <t>часы</t>
        </is>
      </c>
      <c r="EI7" s="167" t="inlineStr">
        <is>
          <t>доля</t>
        </is>
      </c>
      <c r="EJ7" s="153" t="inlineStr">
        <is>
          <t>часы</t>
        </is>
      </c>
      <c r="EK7" s="167" t="inlineStr">
        <is>
          <t>доля</t>
        </is>
      </c>
      <c r="EL7" s="153" t="inlineStr">
        <is>
          <t>часы</t>
        </is>
      </c>
      <c r="EM7" s="167" t="inlineStr">
        <is>
          <t>доля</t>
        </is>
      </c>
      <c r="EN7" s="153" t="inlineStr">
        <is>
          <t>часы</t>
        </is>
      </c>
      <c r="EO7" s="167" t="inlineStr">
        <is>
          <t>доля</t>
        </is>
      </c>
      <c r="EP7" s="153" t="inlineStr">
        <is>
          <t>часы</t>
        </is>
      </c>
      <c r="EQ7" s="167" t="inlineStr">
        <is>
          <t>доля</t>
        </is>
      </c>
      <c r="ER7" s="153" t="inlineStr">
        <is>
          <t>часы</t>
        </is>
      </c>
      <c r="ES7" s="167" t="inlineStr">
        <is>
          <t>доля</t>
        </is>
      </c>
      <c r="ET7" s="153" t="inlineStr">
        <is>
          <t>часы</t>
        </is>
      </c>
      <c r="EU7" s="167" t="inlineStr">
        <is>
          <t>доля</t>
        </is>
      </c>
      <c r="EV7" s="153" t="inlineStr">
        <is>
          <t>часы</t>
        </is>
      </c>
      <c r="EW7" s="167" t="inlineStr">
        <is>
          <t>доля</t>
        </is>
      </c>
      <c r="EX7" s="159" t="inlineStr">
        <is>
          <t>часы</t>
        </is>
      </c>
      <c r="EY7" s="169" t="inlineStr">
        <is>
          <t>доля</t>
        </is>
      </c>
      <c r="EZ7" s="153" t="inlineStr">
        <is>
          <t>часы</t>
        </is>
      </c>
      <c r="FA7" s="170" t="inlineStr">
        <is>
          <t>доля</t>
        </is>
      </c>
      <c r="FB7" s="153" t="inlineStr">
        <is>
          <t>часы</t>
        </is>
      </c>
      <c r="FC7" s="170" t="inlineStr">
        <is>
          <t>доля</t>
        </is>
      </c>
      <c r="FD7" s="153" t="inlineStr">
        <is>
          <t>часы</t>
        </is>
      </c>
      <c r="FE7" s="170" t="inlineStr">
        <is>
          <t>доля</t>
        </is>
      </c>
      <c r="FF7" s="153" t="inlineStr">
        <is>
          <t>часы</t>
        </is>
      </c>
      <c r="FG7" s="170" t="inlineStr">
        <is>
          <t>доля</t>
        </is>
      </c>
      <c r="FH7" s="153" t="inlineStr">
        <is>
          <t>часы</t>
        </is>
      </c>
      <c r="FI7" s="170" t="inlineStr">
        <is>
          <t>доля</t>
        </is>
      </c>
      <c r="FJ7" s="159" t="inlineStr">
        <is>
          <t>часы</t>
        </is>
      </c>
      <c r="FK7" s="171" t="inlineStr">
        <is>
          <t>доля</t>
        </is>
      </c>
      <c r="FL7" s="172" t="inlineStr">
        <is>
          <t>часы</t>
        </is>
      </c>
      <c r="FM7" s="170" t="inlineStr">
        <is>
          <t>доля</t>
        </is>
      </c>
      <c r="FN7" s="153" t="inlineStr">
        <is>
          <t>часы</t>
        </is>
      </c>
      <c r="FO7" s="167" t="inlineStr">
        <is>
          <t>доля</t>
        </is>
      </c>
      <c r="FP7" s="153" t="inlineStr">
        <is>
          <t>часы</t>
        </is>
      </c>
      <c r="FQ7" s="167" t="inlineStr">
        <is>
          <t>доля</t>
        </is>
      </c>
      <c r="FR7" s="153" t="inlineStr">
        <is>
          <t>часы</t>
        </is>
      </c>
      <c r="FS7" s="167" t="inlineStr">
        <is>
          <t>доля</t>
        </is>
      </c>
      <c r="FT7" s="153" t="inlineStr">
        <is>
          <t>часы</t>
        </is>
      </c>
      <c r="FU7" s="167" t="inlineStr">
        <is>
          <t>доля</t>
        </is>
      </c>
      <c r="FV7" s="153" t="inlineStr">
        <is>
          <t>часы</t>
        </is>
      </c>
      <c r="FW7" s="167" t="inlineStr">
        <is>
          <t>доля</t>
        </is>
      </c>
      <c r="FX7" s="153" t="inlineStr">
        <is>
          <t>часы</t>
        </is>
      </c>
      <c r="FY7" s="168" t="inlineStr">
        <is>
          <t>доля</t>
        </is>
      </c>
      <c r="FZ7" s="153" t="inlineStr">
        <is>
          <t>часы</t>
        </is>
      </c>
      <c r="GA7" s="168" t="inlineStr">
        <is>
          <t>доля</t>
        </is>
      </c>
      <c r="GB7" s="153" t="inlineStr">
        <is>
          <t>часы</t>
        </is>
      </c>
      <c r="GC7" s="168" t="inlineStr">
        <is>
          <t>доля</t>
        </is>
      </c>
      <c r="GD7" s="153" t="inlineStr">
        <is>
          <t>часы</t>
        </is>
      </c>
      <c r="GE7" s="168" t="inlineStr">
        <is>
          <t>доля</t>
        </is>
      </c>
      <c r="GF7" s="153" t="inlineStr">
        <is>
          <t>часы</t>
        </is>
      </c>
      <c r="GG7" s="167" t="inlineStr">
        <is>
          <t>доля</t>
        </is>
      </c>
      <c r="GH7" s="153" t="inlineStr">
        <is>
          <t>часы</t>
        </is>
      </c>
      <c r="GI7" s="170" t="inlineStr">
        <is>
          <t>доля</t>
        </is>
      </c>
      <c r="GJ7" s="153" t="inlineStr">
        <is>
          <t>часы</t>
        </is>
      </c>
      <c r="GK7" s="167" t="inlineStr">
        <is>
          <t>доля</t>
        </is>
      </c>
      <c r="GL7" s="153" t="inlineStr">
        <is>
          <t>часы</t>
        </is>
      </c>
      <c r="GM7" s="167" t="inlineStr">
        <is>
          <t>доля</t>
        </is>
      </c>
      <c r="GN7" s="153" t="inlineStr">
        <is>
          <t>часы</t>
        </is>
      </c>
      <c r="GO7" s="167" t="inlineStr">
        <is>
          <t>доля</t>
        </is>
      </c>
      <c r="GP7" s="153" t="inlineStr">
        <is>
          <t>часы</t>
        </is>
      </c>
      <c r="GQ7" s="167" t="inlineStr">
        <is>
          <t>доля</t>
        </is>
      </c>
      <c r="GR7" s="153" t="inlineStr">
        <is>
          <t>часы</t>
        </is>
      </c>
      <c r="GS7" s="167" t="inlineStr">
        <is>
          <t>доля</t>
        </is>
      </c>
      <c r="GT7" s="153" t="inlineStr">
        <is>
          <t>часы</t>
        </is>
      </c>
      <c r="GU7" s="167" t="inlineStr">
        <is>
          <t>доля</t>
        </is>
      </c>
      <c r="GV7" s="153" t="inlineStr">
        <is>
          <t>часы</t>
        </is>
      </c>
      <c r="GW7" s="167" t="inlineStr">
        <is>
          <t>доля</t>
        </is>
      </c>
      <c r="GX7" s="153" t="inlineStr">
        <is>
          <t>часы</t>
        </is>
      </c>
      <c r="GY7" s="167" t="inlineStr">
        <is>
          <t>доля</t>
        </is>
      </c>
      <c r="GZ7" s="153" t="inlineStr">
        <is>
          <t>часы</t>
        </is>
      </c>
      <c r="HA7" s="167" t="inlineStr">
        <is>
          <t>доля</t>
        </is>
      </c>
      <c r="HB7" s="153" t="inlineStr">
        <is>
          <t>часы</t>
        </is>
      </c>
      <c r="HC7" s="167" t="inlineStr">
        <is>
          <t>доля</t>
        </is>
      </c>
      <c r="HD7" s="153" t="inlineStr">
        <is>
          <t>часы</t>
        </is>
      </c>
      <c r="HE7" s="167" t="inlineStr">
        <is>
          <t>доля</t>
        </is>
      </c>
      <c r="HF7" s="153" t="inlineStr">
        <is>
          <t>часы</t>
        </is>
      </c>
      <c r="HG7" s="167" t="inlineStr">
        <is>
          <t>доля</t>
        </is>
      </c>
      <c r="HH7" s="153" t="inlineStr">
        <is>
          <t>часы</t>
        </is>
      </c>
      <c r="HI7" s="167" t="inlineStr">
        <is>
          <t>доля</t>
        </is>
      </c>
      <c r="HJ7" s="153" t="inlineStr">
        <is>
          <t>часы</t>
        </is>
      </c>
      <c r="HK7" s="167" t="inlineStr">
        <is>
          <t>доля</t>
        </is>
      </c>
      <c r="HL7" s="153" t="inlineStr">
        <is>
          <t>часы</t>
        </is>
      </c>
      <c r="HM7" s="167" t="inlineStr">
        <is>
          <t>доля</t>
        </is>
      </c>
      <c r="HN7" s="153" t="inlineStr">
        <is>
          <t>часы</t>
        </is>
      </c>
      <c r="HO7" s="167" t="inlineStr">
        <is>
          <t>доля</t>
        </is>
      </c>
      <c r="HP7" s="153" t="inlineStr">
        <is>
          <t>часы</t>
        </is>
      </c>
      <c r="HQ7" s="167" t="inlineStr">
        <is>
          <t>доля</t>
        </is>
      </c>
      <c r="HR7" s="153" t="inlineStr">
        <is>
          <t>часы</t>
        </is>
      </c>
      <c r="HS7" s="167" t="inlineStr">
        <is>
          <t>доля</t>
        </is>
      </c>
      <c r="HT7" s="153" t="inlineStr">
        <is>
          <t>часы</t>
        </is>
      </c>
      <c r="HU7" s="168" t="inlineStr">
        <is>
          <t>доля</t>
        </is>
      </c>
      <c r="HV7" s="153" t="inlineStr">
        <is>
          <t>часы</t>
        </is>
      </c>
      <c r="HW7" s="167" t="inlineStr">
        <is>
          <t>доля</t>
        </is>
      </c>
      <c r="HX7" s="153" t="inlineStr">
        <is>
          <t>часы</t>
        </is>
      </c>
      <c r="HY7" s="168" t="inlineStr">
        <is>
          <t>доля</t>
        </is>
      </c>
      <c r="HZ7" s="153" t="inlineStr">
        <is>
          <t>часы</t>
        </is>
      </c>
      <c r="IA7" s="168" t="inlineStr">
        <is>
          <t>доля</t>
        </is>
      </c>
      <c r="IB7" s="153" t="inlineStr">
        <is>
          <t>часы</t>
        </is>
      </c>
      <c r="IC7" s="167" t="inlineStr">
        <is>
          <t>доля</t>
        </is>
      </c>
      <c r="ID7" s="159" t="inlineStr">
        <is>
          <t>часы</t>
        </is>
      </c>
      <c r="IE7" s="167" t="inlineStr">
        <is>
          <t>доля</t>
        </is>
      </c>
      <c r="IF7" s="153" t="inlineStr">
        <is>
          <t>часы</t>
        </is>
      </c>
      <c r="IG7" s="167" t="inlineStr">
        <is>
          <t>доля</t>
        </is>
      </c>
      <c r="IH7" s="153" t="inlineStr">
        <is>
          <t>часы</t>
        </is>
      </c>
      <c r="II7" s="167" t="inlineStr">
        <is>
          <t>доля</t>
        </is>
      </c>
      <c r="IJ7" s="153" t="inlineStr">
        <is>
          <t>часы</t>
        </is>
      </c>
      <c r="IK7" s="167" t="inlineStr">
        <is>
          <t>доля</t>
        </is>
      </c>
      <c r="IL7" s="153" t="inlineStr">
        <is>
          <t>часы</t>
        </is>
      </c>
      <c r="IM7" s="167" t="inlineStr">
        <is>
          <t>доля</t>
        </is>
      </c>
      <c r="IN7" s="153" t="inlineStr">
        <is>
          <t>часы</t>
        </is>
      </c>
      <c r="IO7" s="167" t="inlineStr">
        <is>
          <t>доля</t>
        </is>
      </c>
      <c r="IP7" s="153" t="inlineStr">
        <is>
          <t>часы</t>
        </is>
      </c>
      <c r="IQ7" s="167" t="inlineStr">
        <is>
          <t>доля</t>
        </is>
      </c>
      <c r="IR7" s="153" t="inlineStr">
        <is>
          <t>часы</t>
        </is>
      </c>
      <c r="IS7" s="167" t="inlineStr">
        <is>
          <t>доля</t>
        </is>
      </c>
      <c r="IT7" s="153" t="inlineStr">
        <is>
          <t>часы</t>
        </is>
      </c>
      <c r="IU7" s="167" t="inlineStr">
        <is>
          <t>доля</t>
        </is>
      </c>
      <c r="IV7" s="153" t="inlineStr">
        <is>
          <t>часы</t>
        </is>
      </c>
      <c r="IW7" s="167" t="inlineStr">
        <is>
          <t>доля</t>
        </is>
      </c>
      <c r="IX7" s="153" t="inlineStr">
        <is>
          <t>часы</t>
        </is>
      </c>
      <c r="IY7" s="167" t="inlineStr">
        <is>
          <t>доля</t>
        </is>
      </c>
      <c r="IZ7" s="153" t="inlineStr">
        <is>
          <t>часы</t>
        </is>
      </c>
      <c r="JA7" s="167" t="inlineStr">
        <is>
          <t>доля</t>
        </is>
      </c>
      <c r="JB7" s="153" t="inlineStr">
        <is>
          <t>часы</t>
        </is>
      </c>
      <c r="JC7" s="167" t="inlineStr">
        <is>
          <t>доля</t>
        </is>
      </c>
      <c r="JD7" s="153" t="inlineStr">
        <is>
          <t>часы</t>
        </is>
      </c>
      <c r="JE7" s="167" t="inlineStr">
        <is>
          <t>доля</t>
        </is>
      </c>
      <c r="JF7" s="72" t="inlineStr">
        <is>
          <t>часы</t>
        </is>
      </c>
      <c r="JG7" s="146" t="inlineStr">
        <is>
          <t>доля</t>
        </is>
      </c>
      <c r="JH7" s="70" t="inlineStr">
        <is>
          <t>часы</t>
        </is>
      </c>
      <c r="JI7" s="147" t="inlineStr">
        <is>
          <t>доля</t>
        </is>
      </c>
      <c r="JJ7" s="72" t="inlineStr">
        <is>
          <t>часы</t>
        </is>
      </c>
      <c r="JK7" s="73" t="inlineStr">
        <is>
          <t>доля</t>
        </is>
      </c>
      <c r="JL7" s="72" t="inlineStr">
        <is>
          <t>часы</t>
        </is>
      </c>
      <c r="JM7" s="73" t="inlineStr">
        <is>
          <t>доля</t>
        </is>
      </c>
      <c r="JN7" s="153" t="inlineStr">
        <is>
          <t>часы</t>
        </is>
      </c>
      <c r="JO7" s="167" t="inlineStr">
        <is>
          <t>доля</t>
        </is>
      </c>
      <c r="JP7" s="153" t="inlineStr">
        <is>
          <t>часы</t>
        </is>
      </c>
      <c r="JQ7" s="167" t="inlineStr">
        <is>
          <t>доля</t>
        </is>
      </c>
      <c r="JR7" s="71" t="inlineStr">
        <is>
          <t>часы</t>
        </is>
      </c>
      <c r="JS7" s="71" t="inlineStr">
        <is>
          <t>доля</t>
        </is>
      </c>
      <c r="JT7" s="71" t="inlineStr">
        <is>
          <t>часы</t>
        </is>
      </c>
      <c r="JU7" s="71" t="inlineStr">
        <is>
          <t>доля</t>
        </is>
      </c>
      <c r="JV7" s="71" t="inlineStr">
        <is>
          <t>часы</t>
        </is>
      </c>
      <c r="JW7" s="71" t="inlineStr">
        <is>
          <t>доля</t>
        </is>
      </c>
      <c r="JX7" s="71" t="inlineStr">
        <is>
          <t>часы</t>
        </is>
      </c>
      <c r="JY7" s="73" t="inlineStr">
        <is>
          <t>доля</t>
        </is>
      </c>
      <c r="JZ7" s="72" t="inlineStr">
        <is>
          <t>часы</t>
        </is>
      </c>
      <c r="KA7" s="73" t="inlineStr">
        <is>
          <t>доля</t>
        </is>
      </c>
      <c r="KB7" s="74" t="inlineStr">
        <is>
          <t>часы</t>
        </is>
      </c>
      <c r="KC7" s="75" t="inlineStr">
        <is>
          <t>доля</t>
        </is>
      </c>
      <c r="KE7" s="279" t="inlineStr">
        <is>
          <t>проверка</t>
        </is>
      </c>
    </row>
    <row r="8" ht="16.5" customHeight="1" thickBot="1">
      <c r="A8" s="283" t="n"/>
      <c r="B8" s="299" t="n"/>
      <c r="C8" s="285" t="n"/>
      <c r="D8" s="127" t="n"/>
      <c r="E8" s="128" t="n"/>
      <c r="F8" s="80" t="n"/>
      <c r="G8" s="79" t="n"/>
      <c r="H8" s="56" t="n"/>
      <c r="I8" s="61" t="n"/>
      <c r="J8" s="56" t="n"/>
      <c r="K8" s="61" t="n"/>
      <c r="L8" s="56" t="n"/>
      <c r="M8" s="81" t="n"/>
      <c r="N8" s="8" t="n"/>
      <c r="O8" s="82" t="n"/>
      <c r="P8" s="8" t="n"/>
      <c r="Q8" s="85" t="n"/>
      <c r="R8" s="84" t="n"/>
      <c r="S8" s="83" t="n"/>
      <c r="T8" s="83" t="n"/>
      <c r="U8" s="83" t="n"/>
      <c r="V8" s="84" t="n"/>
      <c r="W8" s="83" t="n"/>
      <c r="X8" s="83" t="n"/>
      <c r="Y8" s="83" t="n"/>
      <c r="Z8" s="83" t="n"/>
      <c r="AA8" s="85" t="n"/>
      <c r="AB8" s="84" t="n"/>
      <c r="AC8" s="85" t="n"/>
      <c r="AD8" s="56" t="n"/>
      <c r="AE8" s="82" t="n"/>
      <c r="AF8" s="38" t="n"/>
      <c r="AG8" s="84" t="n"/>
      <c r="AH8" s="38" t="n"/>
      <c r="AI8" s="84" t="n"/>
      <c r="AJ8" s="38" t="n"/>
      <c r="AK8" s="84" t="n"/>
      <c r="AL8" s="38" t="n"/>
      <c r="AM8" s="84" t="n"/>
      <c r="AN8" s="38" t="n"/>
      <c r="AO8" s="84" t="n"/>
      <c r="AP8" s="38" t="n"/>
      <c r="AQ8" s="84" t="n"/>
      <c r="AR8" s="38" t="n"/>
      <c r="AS8" s="84" t="n"/>
      <c r="AT8" s="38" t="n"/>
      <c r="AU8" s="84" t="n"/>
      <c r="AV8" s="38" t="n"/>
      <c r="AW8" s="84" t="n"/>
      <c r="AX8" s="38" t="n"/>
      <c r="AY8" s="84" t="n"/>
      <c r="AZ8" s="38" t="n"/>
      <c r="BA8" s="84" t="n"/>
      <c r="BB8" s="38" t="n"/>
      <c r="BC8" s="84" t="n"/>
      <c r="BD8" s="38" t="n"/>
      <c r="BE8" s="84" t="n"/>
      <c r="BF8" s="38" t="n"/>
      <c r="BG8" s="84" t="n"/>
      <c r="BH8" s="38" t="n"/>
      <c r="BI8" s="84" t="n"/>
      <c r="BJ8" s="38" t="n"/>
      <c r="BK8" s="84" t="n"/>
      <c r="BL8" s="38" t="n"/>
      <c r="BM8" s="86" t="n"/>
      <c r="BN8" s="38" t="n"/>
      <c r="BO8" s="86" t="n"/>
      <c r="BP8" s="38" t="n"/>
      <c r="BQ8" s="86" t="n"/>
      <c r="BR8" s="38" t="n"/>
      <c r="BS8" s="86" t="n"/>
      <c r="BT8" s="38" t="n"/>
      <c r="BU8" s="58" t="n"/>
      <c r="BV8" s="38" t="n"/>
      <c r="BW8" s="86" t="n"/>
      <c r="BX8" s="38" t="n"/>
      <c r="BY8" s="86" t="n"/>
      <c r="BZ8" s="38" t="n"/>
      <c r="CA8" s="86" t="n"/>
      <c r="CB8" s="38" t="n"/>
      <c r="CC8" s="84" t="n"/>
      <c r="CD8" s="38" t="n"/>
      <c r="CE8" s="84" t="n"/>
      <c r="CF8" s="38" t="n"/>
      <c r="CG8" s="86" t="n"/>
      <c r="CH8" s="38" t="n"/>
      <c r="CI8" s="86" t="n"/>
      <c r="CJ8" s="136" t="n"/>
      <c r="CK8" s="86" t="n"/>
      <c r="CL8" s="136" t="n"/>
      <c r="CM8" s="86" t="n"/>
      <c r="CN8" s="8" t="n"/>
      <c r="CO8" s="86" t="n"/>
      <c r="CP8" s="60" t="n"/>
      <c r="CQ8" s="81" t="n"/>
      <c r="CR8" s="136" t="n"/>
      <c r="CS8" s="86" t="n"/>
      <c r="CT8" s="136" t="n"/>
      <c r="CU8" s="86" t="n"/>
      <c r="CV8" s="60" t="n"/>
      <c r="CW8" s="81" t="n"/>
      <c r="CX8" s="136" t="n"/>
      <c r="CY8" s="86" t="n"/>
      <c r="CZ8" s="38" t="n"/>
      <c r="DA8" s="86" t="n"/>
      <c r="DB8" s="59" t="n"/>
      <c r="DC8" s="81" t="n"/>
      <c r="DD8" s="38" t="n"/>
      <c r="DE8" s="86" t="n"/>
      <c r="DF8" s="38" t="n"/>
      <c r="DG8" s="84" t="n"/>
      <c r="DH8" s="38" t="n"/>
      <c r="DI8" s="86" t="n"/>
      <c r="DJ8" s="38" t="n"/>
      <c r="DK8" s="86" t="n"/>
      <c r="DL8" s="38" t="n"/>
      <c r="DM8" s="84" t="n"/>
      <c r="DN8" s="38" t="n"/>
      <c r="DO8" s="81" t="n"/>
      <c r="DP8" s="38" t="n"/>
      <c r="DQ8" s="58" t="n"/>
      <c r="DR8" s="136" t="n"/>
      <c r="DS8" s="86" t="n"/>
      <c r="DT8" s="38" t="n"/>
      <c r="DU8" s="57" t="n"/>
      <c r="DV8" s="38" t="n"/>
      <c r="DW8" s="58" t="n"/>
      <c r="DX8" s="136" t="n"/>
      <c r="DY8" s="60" t="n"/>
      <c r="DZ8" s="136" t="n"/>
      <c r="EA8" s="137" t="n"/>
      <c r="EB8" s="136" t="n"/>
      <c r="EC8" s="137" t="n"/>
      <c r="ED8" s="8" t="n"/>
      <c r="EE8" s="10" t="n"/>
      <c r="EF8" s="56" t="n"/>
      <c r="EG8" s="9" t="n"/>
      <c r="EH8" s="8" t="n"/>
      <c r="EI8" s="10" t="n"/>
      <c r="EJ8" s="8" t="n"/>
      <c r="EK8" s="10" t="n"/>
      <c r="EL8" s="8" t="n"/>
      <c r="EM8" s="10" t="n"/>
      <c r="EN8" s="136" t="n"/>
      <c r="EO8" s="137" t="n"/>
      <c r="EP8" s="136" t="n"/>
      <c r="EQ8" s="137" t="n"/>
      <c r="ER8" s="136" t="n"/>
      <c r="ES8" s="137" t="n"/>
      <c r="ET8" s="136" t="n"/>
      <c r="EU8" s="137" t="n"/>
      <c r="EV8" s="136" t="n"/>
      <c r="EW8" s="137" t="n"/>
      <c r="EX8" s="56" t="n"/>
      <c r="EY8" s="60" t="n"/>
      <c r="EZ8" s="8" t="n"/>
      <c r="FA8" s="137" t="n"/>
      <c r="FB8" s="8" t="n"/>
      <c r="FC8" s="137" t="n"/>
      <c r="FD8" s="8" t="n"/>
      <c r="FE8" s="137" t="n"/>
      <c r="FF8" s="8" t="n"/>
      <c r="FG8" s="137" t="n"/>
      <c r="FH8" s="8" t="n"/>
      <c r="FI8" s="137" t="n"/>
      <c r="FJ8" s="56" t="n"/>
      <c r="FK8" s="56" t="n"/>
      <c r="FL8" s="61" t="n"/>
      <c r="FM8" s="60" t="n"/>
      <c r="FN8" s="136" t="n"/>
      <c r="FO8" s="137" t="n"/>
      <c r="FP8" s="136" t="n"/>
      <c r="FQ8" s="137" t="n"/>
      <c r="FR8" s="136" t="n"/>
      <c r="FS8" s="137" t="n"/>
      <c r="FT8" s="136" t="n"/>
      <c r="FU8" s="137" t="n"/>
      <c r="FV8" s="136" t="n"/>
      <c r="FW8" s="137" t="n"/>
      <c r="FX8" s="136" t="n"/>
      <c r="FY8" s="60" t="n"/>
      <c r="FZ8" s="136" t="n"/>
      <c r="GA8" s="60" t="n"/>
      <c r="GB8" s="136" t="n"/>
      <c r="GC8" s="60" t="n"/>
      <c r="GD8" s="136" t="n"/>
      <c r="GE8" s="60" t="n"/>
      <c r="GF8" s="136" t="n"/>
      <c r="GG8" s="60" t="n"/>
      <c r="GH8" s="8" t="n"/>
      <c r="GI8" s="60" t="n"/>
      <c r="GJ8" s="8" t="n"/>
      <c r="GK8" s="60" t="n"/>
      <c r="GL8" s="136" t="n"/>
      <c r="GM8" s="60" t="n"/>
      <c r="GN8" s="136" t="n"/>
      <c r="GO8" s="137" t="n"/>
      <c r="GP8" s="136" t="n"/>
      <c r="GQ8" s="60" t="n"/>
      <c r="GR8" s="136" t="n"/>
      <c r="GS8" s="60" t="n"/>
      <c r="GT8" s="136" t="n"/>
      <c r="GU8" s="60" t="n"/>
      <c r="GV8" s="136" t="n"/>
      <c r="GW8" s="137" t="n"/>
      <c r="GX8" s="136" t="n"/>
      <c r="GY8" s="60" t="n"/>
      <c r="GZ8" s="136" t="n"/>
      <c r="HA8" s="60" t="n"/>
      <c r="HB8" s="136" t="n"/>
      <c r="HC8" s="60" t="n"/>
      <c r="HD8" s="136" t="n"/>
      <c r="HE8" s="60" t="n"/>
      <c r="HF8" s="136" t="n"/>
      <c r="HG8" s="60" t="n"/>
      <c r="HH8" s="136" t="n"/>
      <c r="HI8" s="60" t="n"/>
      <c r="HJ8" s="136" t="n"/>
      <c r="HK8" s="60" t="n"/>
      <c r="HL8" s="136" t="n"/>
      <c r="HM8" s="60" t="n"/>
      <c r="HN8" s="136" t="n"/>
      <c r="HO8" s="60" t="n"/>
      <c r="HP8" s="136" t="n"/>
      <c r="HQ8" s="60" t="n"/>
      <c r="HR8" s="136" t="n"/>
      <c r="HS8" s="60" t="n"/>
      <c r="HT8" s="136" t="n"/>
      <c r="HU8" s="60" t="n"/>
      <c r="HV8" s="8" t="n"/>
      <c r="HW8" s="137" t="n"/>
      <c r="HX8" s="136" t="n"/>
      <c r="HY8" s="60" t="n"/>
      <c r="HZ8" s="8" t="n"/>
      <c r="IA8" s="60" t="n"/>
      <c r="IB8" s="8" t="n"/>
      <c r="IC8" s="137" t="n"/>
      <c r="ID8" s="56" t="n"/>
      <c r="IE8" s="60" t="n"/>
      <c r="IF8" s="136" t="n"/>
      <c r="IG8" s="60" t="n"/>
      <c r="IH8" s="136" t="n"/>
      <c r="II8" s="60" t="n"/>
      <c r="IJ8" s="136" t="n"/>
      <c r="IK8" s="60" t="n"/>
      <c r="IL8" s="136" t="n"/>
      <c r="IM8" s="60" t="n"/>
      <c r="IN8" s="136" t="n"/>
      <c r="IO8" s="60" t="n"/>
      <c r="IP8" s="8" t="n"/>
      <c r="IQ8" s="137" t="n"/>
      <c r="IR8" s="8" t="n"/>
      <c r="IS8" s="60" t="n"/>
      <c r="IT8" s="136" t="n"/>
      <c r="IU8" s="137" t="n"/>
      <c r="IV8" s="136" t="n"/>
      <c r="IW8" s="137" t="n"/>
      <c r="IX8" s="8" t="n"/>
      <c r="IY8" s="137" t="n"/>
      <c r="IZ8" s="136" t="n"/>
      <c r="JA8" s="137" t="n"/>
      <c r="JB8" s="136" t="n"/>
      <c r="JC8" s="137" t="n"/>
      <c r="JD8" s="8" t="n"/>
      <c r="JE8" s="60" t="n"/>
      <c r="JF8" s="136" t="n"/>
      <c r="JG8" s="137" t="n"/>
      <c r="JH8" s="110" t="n"/>
      <c r="JI8" s="137" t="n"/>
      <c r="JJ8" s="8" t="n"/>
      <c r="JK8" s="10" t="n"/>
      <c r="JL8" s="136" t="n"/>
      <c r="JM8" s="137" t="n"/>
      <c r="JN8" s="136" t="n"/>
      <c r="JO8" s="137" t="n"/>
      <c r="JP8" s="8" t="n"/>
      <c r="JQ8" s="60" t="n"/>
      <c r="JR8" s="61" t="n"/>
      <c r="JS8" s="61" t="n"/>
      <c r="JT8" s="61" t="n"/>
      <c r="JU8" s="61" t="n"/>
      <c r="JV8" s="61" t="n"/>
      <c r="JW8" s="61" t="n"/>
      <c r="JX8" s="61" t="n"/>
      <c r="JY8" s="10" t="n"/>
      <c r="JZ8" s="8" t="n"/>
      <c r="KA8" s="10" t="n"/>
      <c r="KB8" s="65" t="n"/>
      <c r="KC8" s="87" t="n"/>
    </row>
    <row r="9" ht="21.75" customFormat="1" customHeight="1" s="210">
      <c r="A9" s="126" t="n">
        <v>1</v>
      </c>
      <c r="B9" s="175" t="inlineStr">
        <is>
          <t>Батурин А.Ю.</t>
        </is>
      </c>
      <c r="C9" s="176" t="inlineStr">
        <is>
          <t>термист</t>
        </is>
      </c>
      <c r="D9" s="177">
        <f>$D$5</f>
        <v/>
      </c>
      <c r="E9" s="202" t="n">
        <v>165</v>
      </c>
      <c r="F9" s="197" t="n">
        <v>75793.16</v>
      </c>
      <c r="G9" s="217">
        <f>F9/D9</f>
        <v/>
      </c>
      <c r="H9" s="224" t="n"/>
      <c r="I9" s="181">
        <f>H9*100/$E$9</f>
        <v/>
      </c>
      <c r="J9" s="225" t="n"/>
      <c r="K9" s="181">
        <f>J9*100/$E$9</f>
        <v/>
      </c>
      <c r="L9" s="225" t="n"/>
      <c r="M9" s="181">
        <f>L9*100/$E$9</f>
        <v/>
      </c>
      <c r="N9" s="225" t="n"/>
      <c r="O9" s="181">
        <f>N9*100/$E$9</f>
        <v/>
      </c>
      <c r="P9" s="225" t="n"/>
      <c r="Q9" s="182">
        <f>P9*100/$E$9</f>
        <v/>
      </c>
      <c r="R9" s="225" t="n"/>
      <c r="S9" s="226">
        <f>R9*100/$E$9</f>
        <v/>
      </c>
      <c r="T9" s="225" t="n"/>
      <c r="U9" s="181">
        <f>T9*100/$E$9</f>
        <v/>
      </c>
      <c r="V9" s="225" t="n"/>
      <c r="W9" s="181">
        <f>V9*100/$E$9</f>
        <v/>
      </c>
      <c r="X9" s="225" t="n"/>
      <c r="Y9" s="181">
        <f>X9*100/$E$9</f>
        <v/>
      </c>
      <c r="Z9" s="225" t="n"/>
      <c r="AA9" s="181">
        <f>Z9*100/$E$9</f>
        <v/>
      </c>
      <c r="AB9" s="225">
        <f>4+4+3</f>
        <v/>
      </c>
      <c r="AC9" s="181">
        <f>AB9*100/$E$9</f>
        <v/>
      </c>
      <c r="AD9" s="225" t="n"/>
      <c r="AE9" s="226">
        <f>AD9*100/$E$9</f>
        <v/>
      </c>
      <c r="AF9" s="225" t="n"/>
      <c r="AG9" s="226">
        <f>AF9*100/$E$9</f>
        <v/>
      </c>
      <c r="AH9" s="225" t="n"/>
      <c r="AI9" s="181">
        <f>AH9*100/$E$9</f>
        <v/>
      </c>
      <c r="AJ9" s="225" t="n"/>
      <c r="AK9" s="181">
        <f>AJ9*100/$E$9</f>
        <v/>
      </c>
      <c r="AL9" s="225" t="n"/>
      <c r="AM9" s="181">
        <f>AL9*100/$E$9</f>
        <v/>
      </c>
      <c r="AN9" s="225" t="n">
        <v>2</v>
      </c>
      <c r="AO9" s="181">
        <f>AN9*100/$E$9</f>
        <v/>
      </c>
      <c r="AP9" s="225" t="n"/>
      <c r="AQ9" s="181">
        <f>AP9*100/$E$9</f>
        <v/>
      </c>
      <c r="AR9" s="225" t="n">
        <v>2</v>
      </c>
      <c r="AS9" s="181">
        <f>AR9*100/$E$9</f>
        <v/>
      </c>
      <c r="AT9" s="225" t="n"/>
      <c r="AU9" s="181">
        <f>AT9*100/$E$9</f>
        <v/>
      </c>
      <c r="AV9" s="225">
        <f>6+2</f>
        <v/>
      </c>
      <c r="AW9" s="181">
        <f>AV9*100/$E$9</f>
        <v/>
      </c>
      <c r="AX9" s="225" t="n"/>
      <c r="AY9" s="181">
        <f>AX9*100/$E$9</f>
        <v/>
      </c>
      <c r="AZ9" s="225" t="n"/>
      <c r="BA9" s="181">
        <f>AZ9*100/$E$9</f>
        <v/>
      </c>
      <c r="BB9" s="225" t="n"/>
      <c r="BC9" s="181">
        <f>BB9*100/$E$9</f>
        <v/>
      </c>
      <c r="BD9" s="225" t="n"/>
      <c r="BE9" s="181">
        <f>BD9*100/$E$9</f>
        <v/>
      </c>
      <c r="BF9" s="225" t="n"/>
      <c r="BG9" s="181">
        <f>BF9*100/$E$9</f>
        <v/>
      </c>
      <c r="BH9" s="225" t="n"/>
      <c r="BI9" s="181">
        <f>BH9*100/$E$9</f>
        <v/>
      </c>
      <c r="BJ9" s="225" t="n">
        <v>2</v>
      </c>
      <c r="BK9" s="181">
        <f>BJ9*100/$E$9</f>
        <v/>
      </c>
      <c r="BL9" s="225" t="n"/>
      <c r="BM9" s="181">
        <f>BL9*100/$E$9</f>
        <v/>
      </c>
      <c r="BN9" s="225" t="n"/>
      <c r="BO9" s="181">
        <f>BN9*100/$E$9</f>
        <v/>
      </c>
      <c r="BP9" s="225" t="n"/>
      <c r="BQ9" s="181">
        <f>BP9*100/$E$9</f>
        <v/>
      </c>
      <c r="BR9" s="225" t="n"/>
      <c r="BS9" s="181">
        <f>BR9*100/$E$9</f>
        <v/>
      </c>
      <c r="BT9" s="225" t="n"/>
      <c r="BU9" s="181">
        <f>BT9*100/$E$9</f>
        <v/>
      </c>
      <c r="BV9" s="225" t="n">
        <v>8</v>
      </c>
      <c r="BW9" s="181">
        <f>BV9*100/$E$9</f>
        <v/>
      </c>
      <c r="BX9" s="225" t="n"/>
      <c r="BY9" s="181">
        <f>BX9*100/$E$9</f>
        <v/>
      </c>
      <c r="BZ9" s="225" t="n"/>
      <c r="CA9" s="181">
        <f>BZ9*100/$E$9</f>
        <v/>
      </c>
      <c r="CB9" s="225" t="n"/>
      <c r="CC9" s="181">
        <f>CB9*100/$E$9</f>
        <v/>
      </c>
      <c r="CD9" s="225" t="n"/>
      <c r="CE9" s="227">
        <f>CD9*100/$E$9</f>
        <v/>
      </c>
      <c r="CF9" s="225">
        <f>4+1+4+2</f>
        <v/>
      </c>
      <c r="CG9" s="181">
        <f>CF9*100/$E$9</f>
        <v/>
      </c>
      <c r="CH9" s="225" t="n"/>
      <c r="CI9" s="181">
        <f>CH9*100/$E$9</f>
        <v/>
      </c>
      <c r="CJ9" s="225" t="n"/>
      <c r="CK9" s="181">
        <f>CJ9*100/$E$9</f>
        <v/>
      </c>
      <c r="CL9" s="225" t="n"/>
      <c r="CM9" s="181">
        <f>CL9*100/$E$9</f>
        <v/>
      </c>
      <c r="CN9" s="225">
        <f>4+4</f>
        <v/>
      </c>
      <c r="CO9" s="139">
        <f>CN9*100/$E$9</f>
        <v/>
      </c>
      <c r="CP9" s="225" t="n"/>
      <c r="CQ9" s="181">
        <f>CP9*100/$E$9</f>
        <v/>
      </c>
      <c r="CR9" s="225" t="n"/>
      <c r="CS9" s="182">
        <f>CR9*100/$E$9</f>
        <v/>
      </c>
      <c r="CT9" s="225" t="n"/>
      <c r="CU9" s="182">
        <f>CT9*100/$E$9</f>
        <v/>
      </c>
      <c r="CV9" s="225" t="n"/>
      <c r="CW9" s="182">
        <f>CV9*100/$E$9</f>
        <v/>
      </c>
      <c r="CX9" s="225" t="n"/>
      <c r="CY9" s="182">
        <f>CX9*100/$E$9</f>
        <v/>
      </c>
      <c r="CZ9" s="225" t="n"/>
      <c r="DA9" s="182">
        <f>CZ9*100/$E$9</f>
        <v/>
      </c>
      <c r="DB9" s="225">
        <f>4+3</f>
        <v/>
      </c>
      <c r="DC9" s="182">
        <f>DB9*100/$E$9</f>
        <v/>
      </c>
      <c r="DD9" s="225" t="n">
        <v>2</v>
      </c>
      <c r="DE9" s="182">
        <f>DD9*100/$E$9</f>
        <v/>
      </c>
      <c r="DF9" s="225">
        <f>4+4+2</f>
        <v/>
      </c>
      <c r="DG9" s="182">
        <f>DF9*100/$E$9</f>
        <v/>
      </c>
      <c r="DH9" s="225">
        <f>2+6+4</f>
        <v/>
      </c>
      <c r="DI9" s="182">
        <f>DH9*100/$E$9</f>
        <v/>
      </c>
      <c r="DJ9" s="225" t="n">
        <v>2</v>
      </c>
      <c r="DK9" s="182">
        <f>DJ9*100/$E$9</f>
        <v/>
      </c>
      <c r="DL9" s="225" t="n">
        <v>3</v>
      </c>
      <c r="DM9" s="182">
        <f>DL9*100/$E$9</f>
        <v/>
      </c>
      <c r="DN9" s="225">
        <f>2+3</f>
        <v/>
      </c>
      <c r="DO9" s="182">
        <f>DN9*100/$E$9</f>
        <v/>
      </c>
      <c r="DP9" s="225">
        <f>1+2</f>
        <v/>
      </c>
      <c r="DQ9" s="182">
        <f>DP9*100/$E$9</f>
        <v/>
      </c>
      <c r="DR9" s="225" t="n">
        <v>2</v>
      </c>
      <c r="DS9" s="182">
        <f>DR9*100/$E$9</f>
        <v/>
      </c>
      <c r="DT9" s="225" t="n">
        <v>2</v>
      </c>
      <c r="DU9" s="182">
        <f>DT9*100/$E$9</f>
        <v/>
      </c>
      <c r="DV9" s="225" t="n">
        <v>2</v>
      </c>
      <c r="DW9" s="182">
        <f>DV9*100/$E$9</f>
        <v/>
      </c>
      <c r="DX9" s="225" t="n">
        <v>2</v>
      </c>
      <c r="DY9" s="182">
        <f>DX9*100/$E$9</f>
        <v/>
      </c>
      <c r="DZ9" s="225">
        <f>5+4+6+8</f>
        <v/>
      </c>
      <c r="EA9" s="182">
        <f>DZ9*100/$E$9</f>
        <v/>
      </c>
      <c r="EB9" s="225" t="n">
        <v>3</v>
      </c>
      <c r="EC9" s="182">
        <f>EB9*100/$E$9</f>
        <v/>
      </c>
      <c r="ED9" s="225">
        <f>3+3</f>
        <v/>
      </c>
      <c r="EE9" s="182">
        <f>ED9*100/$E$9</f>
        <v/>
      </c>
      <c r="EF9" s="225">
        <f>2+2</f>
        <v/>
      </c>
      <c r="EG9" s="182">
        <f>EF9*100/$E$9</f>
        <v/>
      </c>
      <c r="EH9" s="225">
        <f>1+1+2+4</f>
        <v/>
      </c>
      <c r="EI9" s="182">
        <f>EH9*100/$E$9</f>
        <v/>
      </c>
      <c r="EJ9" s="225">
        <f>1+2</f>
        <v/>
      </c>
      <c r="EK9" s="182">
        <f>EJ9*100/$E$9</f>
        <v/>
      </c>
      <c r="EL9" s="225">
        <f>4+1</f>
        <v/>
      </c>
      <c r="EM9" s="182">
        <f>EL9*100/$E$9</f>
        <v/>
      </c>
      <c r="EN9" s="225" t="n">
        <v>1</v>
      </c>
      <c r="EO9" s="182">
        <f>EN9*100/$E$9</f>
        <v/>
      </c>
      <c r="EP9" s="225" t="n"/>
      <c r="EQ9" s="182">
        <f>EP9*100/$E$9</f>
        <v/>
      </c>
      <c r="ER9" s="225" t="n"/>
      <c r="ES9" s="182">
        <f>ER9*100/$E$9</f>
        <v/>
      </c>
      <c r="ET9" s="225" t="n"/>
      <c r="EU9" s="182">
        <f>ET9*100/$E$9</f>
        <v/>
      </c>
      <c r="EV9" s="225" t="n"/>
      <c r="EW9" s="182">
        <f>EV9*100/$E$9</f>
        <v/>
      </c>
      <c r="EX9" s="225" t="n"/>
      <c r="EY9" s="182">
        <f>EX9*100/$E$9</f>
        <v/>
      </c>
      <c r="EZ9" s="225" t="n"/>
      <c r="FA9" s="182">
        <f>EZ9*100/$E$9</f>
        <v/>
      </c>
      <c r="FB9" s="225" t="n"/>
      <c r="FC9" s="182">
        <f>FB9*100/$E$9</f>
        <v/>
      </c>
      <c r="FD9" s="225" t="n"/>
      <c r="FE9" s="182">
        <f>FD9*100/$E$9</f>
        <v/>
      </c>
      <c r="FF9" s="225" t="n"/>
      <c r="FG9" s="182">
        <f>FF9*100/$E$9</f>
        <v/>
      </c>
      <c r="FH9" s="225" t="n"/>
      <c r="FI9" s="182">
        <f>FH9*100/$E$9</f>
        <v/>
      </c>
      <c r="FJ9" s="225" t="n"/>
      <c r="FK9" s="182">
        <f>FJ9*100/$E$9</f>
        <v/>
      </c>
      <c r="FL9" s="225" t="n"/>
      <c r="FM9" s="182">
        <f>FL9*100/$E$9</f>
        <v/>
      </c>
      <c r="FN9" s="225" t="n"/>
      <c r="FO9" s="182">
        <f>FN9*100/$E$9</f>
        <v/>
      </c>
      <c r="FP9" s="225" t="n"/>
      <c r="FQ9" s="182">
        <f>FP9*100/$E$9</f>
        <v/>
      </c>
      <c r="FR9" s="225" t="n"/>
      <c r="FS9" s="182">
        <f>FR9*100/$E$9</f>
        <v/>
      </c>
      <c r="FT9" s="225" t="n"/>
      <c r="FU9" s="182">
        <f>FT9*100/$E$9</f>
        <v/>
      </c>
      <c r="FV9" s="225" t="n"/>
      <c r="FW9" s="182">
        <f>FV9*100/$E$9</f>
        <v/>
      </c>
      <c r="FX9" s="225" t="n"/>
      <c r="FY9" s="181">
        <f>FX9*100/$E$9</f>
        <v/>
      </c>
      <c r="FZ9" s="225" t="n"/>
      <c r="GA9" s="181">
        <f>FZ9*100/$E$9</f>
        <v/>
      </c>
      <c r="GB9" s="225" t="n"/>
      <c r="GC9" s="181">
        <f>GB9*100/$E$9</f>
        <v/>
      </c>
      <c r="GD9" s="225" t="n"/>
      <c r="GE9" s="181">
        <f>GD9*100/$E$9</f>
        <v/>
      </c>
      <c r="GF9" s="225" t="n"/>
      <c r="GG9" s="181">
        <f>GF9*100/$E$9</f>
        <v/>
      </c>
      <c r="GH9" s="225" t="n"/>
      <c r="GI9" s="181">
        <f>GH9*100/$E$9</f>
        <v/>
      </c>
      <c r="GJ9" s="225" t="n"/>
      <c r="GK9" s="182">
        <f>GJ9*100/$E$9</f>
        <v/>
      </c>
      <c r="GL9" s="225" t="n"/>
      <c r="GM9" s="181">
        <f>GL9*100/$E$9</f>
        <v/>
      </c>
      <c r="GN9" s="225" t="n"/>
      <c r="GO9" s="182">
        <f>GN9*100/$E$9</f>
        <v/>
      </c>
      <c r="GP9" s="225" t="n"/>
      <c r="GQ9" s="181">
        <f>GP9*100/$E$9</f>
        <v/>
      </c>
      <c r="GR9" s="225" t="n"/>
      <c r="GS9" s="182">
        <f>GR9*100/$E$9</f>
        <v/>
      </c>
      <c r="GT9" s="225" t="n"/>
      <c r="GU9" s="182">
        <f>GT9*100/$E$9</f>
        <v/>
      </c>
      <c r="GV9" s="225" t="n"/>
      <c r="GW9" s="182">
        <f>GV9*100/$E$9</f>
        <v/>
      </c>
      <c r="GX9" s="225" t="n"/>
      <c r="GY9" s="181">
        <f>GX9*100/$E$9</f>
        <v/>
      </c>
      <c r="GZ9" s="225" t="n"/>
      <c r="HA9" s="181">
        <f>GZ9*100/$E$9</f>
        <v/>
      </c>
      <c r="HB9" s="225" t="n"/>
      <c r="HC9" s="181">
        <f>HB9*100/$E$9</f>
        <v/>
      </c>
      <c r="HD9" s="225" t="n"/>
      <c r="HE9" s="181">
        <f>HD9*100/$E$9</f>
        <v/>
      </c>
      <c r="HF9" s="225" t="n"/>
      <c r="HG9" s="181">
        <f>HF9*100/$E$9</f>
        <v/>
      </c>
      <c r="HH9" s="225" t="n"/>
      <c r="HI9" s="181">
        <f>HH9*100/$E$9</f>
        <v/>
      </c>
      <c r="HJ9" s="225" t="n"/>
      <c r="HK9" s="181">
        <f>HJ9*100/$E$9</f>
        <v/>
      </c>
      <c r="HL9" s="225" t="n"/>
      <c r="HM9" s="181">
        <f>HL9*100/$E$9</f>
        <v/>
      </c>
      <c r="HN9" s="225" t="n"/>
      <c r="HO9" s="181">
        <f>HN9*100/$E$9</f>
        <v/>
      </c>
      <c r="HP9" s="225">
        <f>2+4</f>
        <v/>
      </c>
      <c r="HQ9" s="181">
        <f>HP9*100/$E$9</f>
        <v/>
      </c>
      <c r="HR9" s="225" t="n"/>
      <c r="HS9" s="181">
        <f>HR9*100/$E$9</f>
        <v/>
      </c>
      <c r="HT9" s="225" t="n"/>
      <c r="HU9" s="181">
        <f>HT9*100/$E$9</f>
        <v/>
      </c>
      <c r="HV9" s="225" t="n"/>
      <c r="HW9" s="181">
        <f>HV9*100/$E$9</f>
        <v/>
      </c>
      <c r="HX9" s="225" t="n"/>
      <c r="HY9" s="181">
        <f>HX9*100/$E$9</f>
        <v/>
      </c>
      <c r="HZ9" s="225" t="n"/>
      <c r="IA9" s="182">
        <f>HZ9*100/$E$9</f>
        <v/>
      </c>
      <c r="IB9" s="225" t="n"/>
      <c r="IC9" s="182">
        <f>IB9*100/$E$9</f>
        <v/>
      </c>
      <c r="ID9" s="225" t="n"/>
      <c r="IE9" s="182">
        <f>ID9*100/$E$9</f>
        <v/>
      </c>
      <c r="IF9" s="225" t="n"/>
      <c r="IG9" s="182">
        <f>IF9*100/$E$9</f>
        <v/>
      </c>
      <c r="IH9" s="225" t="n"/>
      <c r="II9" s="182">
        <f>IH9*100/$E$9</f>
        <v/>
      </c>
      <c r="IJ9" s="225" t="n"/>
      <c r="IK9" s="182">
        <f>IJ9*100/$E$9</f>
        <v/>
      </c>
      <c r="IL9" s="225" t="n"/>
      <c r="IM9" s="181">
        <f>IL9*100/$E$9</f>
        <v/>
      </c>
      <c r="IN9" s="225" t="n"/>
      <c r="IO9" s="181">
        <f>IN9*100/$E$9</f>
        <v/>
      </c>
      <c r="IP9" s="225" t="n"/>
      <c r="IQ9" s="182">
        <f>IP9*100/$E$9</f>
        <v/>
      </c>
      <c r="IR9" s="225" t="n"/>
      <c r="IS9" s="182">
        <f>IR9*100/$E$9</f>
        <v/>
      </c>
      <c r="IT9" s="225" t="n"/>
      <c r="IU9" s="182">
        <f>IT9*100/$E$9</f>
        <v/>
      </c>
      <c r="IV9" s="225" t="n"/>
      <c r="IW9" s="182">
        <f>IV9*100/$E$9</f>
        <v/>
      </c>
      <c r="IX9" s="225" t="n"/>
      <c r="IY9" s="182">
        <f>IX9*100/$E$9</f>
        <v/>
      </c>
      <c r="IZ9" s="225" t="n"/>
      <c r="JA9" s="182">
        <f>IZ9*100/$E$9</f>
        <v/>
      </c>
      <c r="JB9" s="225" t="n"/>
      <c r="JC9" s="182">
        <f>JB9*100/$E$9</f>
        <v/>
      </c>
      <c r="JD9" s="225" t="n"/>
      <c r="JE9" s="182">
        <f>JD9*100/$E$9</f>
        <v/>
      </c>
      <c r="JF9" s="228" t="n"/>
      <c r="JG9" s="182">
        <f>JF9*100/$E$9</f>
        <v/>
      </c>
      <c r="JH9" s="225" t="n"/>
      <c r="JI9" s="182">
        <f>JH9*100/$E$9</f>
        <v/>
      </c>
      <c r="JJ9" s="225" t="n"/>
      <c r="JK9" s="182">
        <f>JJ9*100/$E$9</f>
        <v/>
      </c>
      <c r="JL9" s="225" t="n">
        <v>2</v>
      </c>
      <c r="JM9" s="182">
        <f>JL9*100/$E$9</f>
        <v/>
      </c>
      <c r="JN9" s="225" t="n"/>
      <c r="JO9" s="182">
        <f>JN9*100/$E$9</f>
        <v/>
      </c>
      <c r="JP9" s="225" t="n"/>
      <c r="JQ9" s="182">
        <f>JP9*100/$E$9</f>
        <v/>
      </c>
      <c r="JR9" s="225" t="n"/>
      <c r="JS9" s="139">
        <f>JR9*100/$E$9</f>
        <v/>
      </c>
      <c r="JT9" s="225" t="n"/>
      <c r="JU9" s="139">
        <f>JT9*100/$E$9</f>
        <v/>
      </c>
      <c r="JV9" s="133" t="n"/>
      <c r="JW9" s="139">
        <f>JV9*100/$E$9</f>
        <v/>
      </c>
      <c r="JX9" s="133" t="n"/>
      <c r="JY9" s="139">
        <f>JX9*100/$E$9</f>
        <v/>
      </c>
      <c r="JZ9" s="183">
        <f>JN9+JP9+JR9+JT9+JV9+JX9</f>
        <v/>
      </c>
      <c r="KA9" s="184">
        <f>JO9+JQ9+JS9+JU9+JW9+JY9</f>
        <v/>
      </c>
      <c r="KB9" s="185">
        <f>H9+J9+L9+N9+P9+R9+T9+V9+X9+Z9+AB9+AD9+AF9+AH9+AJ9+AL9+AN9+AP9+AR9+AT9+AV9+AX9+AZ9+BB9+BD9+BF9+BH9+BJ9+BL9+BN9+BP9+BR9+BT9+BV9+BX9+BZ9+CB9+CD9+CF9+CH9+CZ9+DB9+DD9+DF9+DH9+DJ9+DL9+DN9+DP9+DR9+DT9+DV9+DX9+DZ9+EB9+ED9+EF9+EH9+EJ9+EL9+EN9+EP9+ER9+ET9+EV9+FN9+FP9+FR9+FT9+FV9+FX9+FZ9+GB9+GD9+GF9+GH9+GJ9+GL9+GN9+GP9+GR9+GT9+GV9+GX9+GZ9+HB9+HD9+HF9+HH9+HJ9+HL9+HN9+HP9+HR9+HT9+HV9+HX9+HZ9+IB9+ID9+IF9+IH9+IJ9+IL9+IN9+IP9+IR9+IT9+IV9+IX9+IZ9+JB9+JD9+JF9+JH9+JJ9+JL9+JZ9+CJ9+CL9+CN9+CP9+CR9+CT9+CV9+CX9+EX9+EZ9+FB9+FD9+FF9+FH9+FJ9+FL9</f>
        <v/>
      </c>
      <c r="KC9" s="186">
        <f>I9+K9+M9+O9+Q9+S9+U9+W9+Y9+AA9+AC9+AE9+AG9+AI9+AK9+AM9+AO9+AQ9+AS9+AU9+AW9+AY9+BA9+BC9+BE9+BG9+BI9+BK9+BM9+BO9+BQ9+BS9+BU9+BW9+BY9+CA9+CC9+CE9+CG9+CI9+DA9+DC9+DE9+DG9+DI9+DK9+DM9+DO9+DQ9+DS9+DU9+DW9+DY9+EA9+EC9+EE9+EG9+EI9+EK9+EM9+EO9+EQ9+ES9+EU9+EW9+FO9+FS9+FU9+FW9+FQ9+FY9+GA9+GC9+GE9+GG9+GI9+GK9+GM9+GO9+GQ9+GS9+GU9+GW9+GY9+HA9+HC9+HE9+HG9+HI9+HK9+HM9+HO9+HQ9+HS9+HU9+HW9+HY9+IA9+IC9+IE9+IG9+II9+IK9+IM9+IO9+IQ9+IS9+IU9+IW9+IY9+JA9+JC9+JE9+JG9+JI9+JK9+JM9+KA9+CK9+CM9+CO9+CQ9+CS9+CU9+CW9+CY9+EY9+FA9+FC9+FE9+FG9+FI9+FK9+FM9</f>
        <v/>
      </c>
      <c r="KD9" s="187">
        <f>JO9+JQ9+JS9+JU9+JW9+JY9</f>
        <v/>
      </c>
      <c r="KE9" s="188">
        <f>KB9=E9</f>
        <v/>
      </c>
      <c r="KF9" s="189">
        <f>E9-KB9</f>
        <v/>
      </c>
    </row>
    <row r="10" ht="21.75" customFormat="1" customHeight="1" s="229">
      <c r="A10" s="126">
        <f>A9+1</f>
        <v/>
      </c>
      <c r="B10" s="175" t="inlineStr">
        <is>
          <t>Блощинский С.В.</t>
        </is>
      </c>
      <c r="C10" s="176" t="inlineStr">
        <is>
          <t>слесарь</t>
        </is>
      </c>
      <c r="D10" s="177">
        <f>$D$5</f>
        <v/>
      </c>
      <c r="E10" s="202" t="n">
        <v>136</v>
      </c>
      <c r="F10" s="178" t="n">
        <v>75793.14999999999</v>
      </c>
      <c r="G10" s="179">
        <f>F10/D10</f>
        <v/>
      </c>
      <c r="H10" s="180" t="n"/>
      <c r="I10" s="181">
        <f>H10*100/$E$10</f>
        <v/>
      </c>
      <c r="J10" s="133" t="n"/>
      <c r="K10" s="181">
        <f>J10*100/$E$10</f>
        <v/>
      </c>
      <c r="L10" s="133" t="n"/>
      <c r="M10" s="181">
        <f>L10*100/$E$10</f>
        <v/>
      </c>
      <c r="N10" s="133" t="n"/>
      <c r="O10" s="181">
        <f>N10*100/$E$10</f>
        <v/>
      </c>
      <c r="P10" s="133" t="n"/>
      <c r="Q10" s="182">
        <f>P10*100/$E$10</f>
        <v/>
      </c>
      <c r="R10" s="133" t="n"/>
      <c r="S10" s="182">
        <f>R10*100/$E$10</f>
        <v/>
      </c>
      <c r="T10" s="133" t="n"/>
      <c r="U10" s="181">
        <f>T10*100/$E$10</f>
        <v/>
      </c>
      <c r="V10" s="133" t="n"/>
      <c r="W10" s="181">
        <f>V10*100/$E$10</f>
        <v/>
      </c>
      <c r="X10" s="133" t="n"/>
      <c r="Y10" s="181">
        <f>X10*100/$E$10</f>
        <v/>
      </c>
      <c r="Z10" s="133" t="n"/>
      <c r="AA10" s="181">
        <f>Z10*100/$E$10</f>
        <v/>
      </c>
      <c r="AB10" s="133">
        <f>8</f>
        <v/>
      </c>
      <c r="AC10" s="181">
        <f>AB10*100/$E$10</f>
        <v/>
      </c>
      <c r="AD10" s="133">
        <f>8</f>
        <v/>
      </c>
      <c r="AE10" s="182">
        <f>AD10*100/$E$10</f>
        <v/>
      </c>
      <c r="AF10" s="133">
        <f>8+8</f>
        <v/>
      </c>
      <c r="AG10" s="182">
        <f>AF10*100/$E$10</f>
        <v/>
      </c>
      <c r="AH10" s="133">
        <f>8+8</f>
        <v/>
      </c>
      <c r="AI10" s="181">
        <f>AH10*100/$E$10</f>
        <v/>
      </c>
      <c r="AJ10" s="133">
        <f>16+8+8+16+8+8</f>
        <v/>
      </c>
      <c r="AK10" s="181">
        <f>AJ10*100/$E$10</f>
        <v/>
      </c>
      <c r="AL10" s="133">
        <f>8+8+8</f>
        <v/>
      </c>
      <c r="AM10" s="181">
        <f>AL10*100/$E$10</f>
        <v/>
      </c>
      <c r="AN10" s="133" t="n"/>
      <c r="AO10" s="181">
        <f>AN10*100/$E$10</f>
        <v/>
      </c>
      <c r="AP10" s="133" t="n"/>
      <c r="AQ10" s="181">
        <f>AP10*100/$E$10</f>
        <v/>
      </c>
      <c r="AR10" s="133" t="n"/>
      <c r="AS10" s="181">
        <f>AR10*100/$E$10</f>
        <v/>
      </c>
      <c r="AT10" s="133" t="n"/>
      <c r="AU10" s="181">
        <f>AT10*100/$E$10</f>
        <v/>
      </c>
      <c r="AV10" s="133" t="n"/>
      <c r="AW10" s="181">
        <f>AV10*100/$E$10</f>
        <v/>
      </c>
      <c r="AX10" s="133" t="n"/>
      <c r="AY10" s="181">
        <f>AX10*100/$E$10</f>
        <v/>
      </c>
      <c r="AZ10" s="133" t="n"/>
      <c r="BA10" s="181">
        <f>AZ10*100/$E$10</f>
        <v/>
      </c>
      <c r="BB10" s="133" t="n"/>
      <c r="BC10" s="181">
        <f>BB10*100/$E$10</f>
        <v/>
      </c>
      <c r="BD10" s="133" t="n"/>
      <c r="BE10" s="181">
        <f>BD10*100/$E$10</f>
        <v/>
      </c>
      <c r="BF10" s="133" t="n"/>
      <c r="BG10" s="181">
        <f>BF10*100/$E$10</f>
        <v/>
      </c>
      <c r="BH10" s="133" t="n"/>
      <c r="BI10" s="181">
        <f>BH10*100/$E$10</f>
        <v/>
      </c>
      <c r="BJ10" s="133" t="n"/>
      <c r="BK10" s="181">
        <f>BJ10*100/$E$10</f>
        <v/>
      </c>
      <c r="BL10" s="133" t="n"/>
      <c r="BM10" s="181">
        <f>BL10*100/$E$10</f>
        <v/>
      </c>
      <c r="BN10" s="133" t="n"/>
      <c r="BO10" s="181">
        <f>BN10*100/$E$10</f>
        <v/>
      </c>
      <c r="BP10" s="133" t="n"/>
      <c r="BQ10" s="181">
        <f>BP10*100/$E$10</f>
        <v/>
      </c>
      <c r="BR10" s="133" t="n"/>
      <c r="BS10" s="181">
        <f>BR10*100/$E$10</f>
        <v/>
      </c>
      <c r="BT10" s="133" t="n"/>
      <c r="BU10" s="181">
        <f>BT10*100/$E$10</f>
        <v/>
      </c>
      <c r="BV10" s="133" t="n"/>
      <c r="BW10" s="181">
        <f>BV10*100/$E$10</f>
        <v/>
      </c>
      <c r="BX10" s="133" t="n"/>
      <c r="BY10" s="181">
        <f>BX10*100/$E$10</f>
        <v/>
      </c>
      <c r="BZ10" s="133" t="n"/>
      <c r="CA10" s="181">
        <f>BZ10*100/$E$10</f>
        <v/>
      </c>
      <c r="CB10" s="133" t="n"/>
      <c r="CC10" s="181">
        <f>CB10*100/$E$10</f>
        <v/>
      </c>
      <c r="CD10" s="133" t="n"/>
      <c r="CE10" s="181">
        <f>CD10*100/$E$10</f>
        <v/>
      </c>
      <c r="CF10" s="133" t="n"/>
      <c r="CG10" s="181">
        <f>CF10*100/$E$10</f>
        <v/>
      </c>
      <c r="CH10" s="133" t="n"/>
      <c r="CI10" s="181">
        <f>CH10*100/$E$10</f>
        <v/>
      </c>
      <c r="CJ10" s="133" t="n"/>
      <c r="CK10" s="181">
        <f>CJ10*100/$E$10</f>
        <v/>
      </c>
      <c r="CL10" s="133" t="n"/>
      <c r="CM10" s="181">
        <f>CL10*100/$E$10</f>
        <v/>
      </c>
      <c r="CN10" s="133" t="n"/>
      <c r="CO10" s="139">
        <f>CN10*100/$E$10</f>
        <v/>
      </c>
      <c r="CP10" s="133" t="n"/>
      <c r="CQ10" s="181">
        <f>CP10*100/$E$10</f>
        <v/>
      </c>
      <c r="CR10" s="133" t="n"/>
      <c r="CS10" s="182">
        <f>CR10*100/$E$10</f>
        <v/>
      </c>
      <c r="CT10" s="133" t="n"/>
      <c r="CU10" s="182">
        <f>CT10*100/$E$10</f>
        <v/>
      </c>
      <c r="CV10" s="133" t="n"/>
      <c r="CW10" s="182">
        <f>CV10*100/$E$10</f>
        <v/>
      </c>
      <c r="CX10" s="133" t="n"/>
      <c r="CY10" s="182">
        <f>CX10*100/$E$10</f>
        <v/>
      </c>
      <c r="CZ10" s="133" t="n"/>
      <c r="DA10" s="182">
        <f>CZ10*100/$E$10</f>
        <v/>
      </c>
      <c r="DB10" s="133" t="n"/>
      <c r="DC10" s="182">
        <f>DB10*100/$E$10</f>
        <v/>
      </c>
      <c r="DD10" s="133" t="n"/>
      <c r="DE10" s="182">
        <f>DD10*100/$E$10</f>
        <v/>
      </c>
      <c r="DF10" s="133" t="n"/>
      <c r="DG10" s="182">
        <f>DF10*100/$E$10</f>
        <v/>
      </c>
      <c r="DH10" s="133" t="n"/>
      <c r="DI10" s="182">
        <f>DH10*100/$E$10</f>
        <v/>
      </c>
      <c r="DJ10" s="133" t="n"/>
      <c r="DK10" s="182">
        <f>DJ10*100/$E$10</f>
        <v/>
      </c>
      <c r="DL10" s="133" t="n"/>
      <c r="DM10" s="182">
        <f>DL10*100/$E$10</f>
        <v/>
      </c>
      <c r="DN10" s="133" t="n"/>
      <c r="DO10" s="182">
        <f>DN10*100/$E$10</f>
        <v/>
      </c>
      <c r="DP10" s="133" t="n"/>
      <c r="DQ10" s="182">
        <f>DP10*100/$E$10</f>
        <v/>
      </c>
      <c r="DR10" s="133" t="n"/>
      <c r="DS10" s="182">
        <f>DR10*100/$E$10</f>
        <v/>
      </c>
      <c r="DT10" s="133" t="n"/>
      <c r="DU10" s="182">
        <f>DT10*100/$E$10</f>
        <v/>
      </c>
      <c r="DV10" s="133" t="n"/>
      <c r="DW10" s="182">
        <f>DV10*100/$E$10</f>
        <v/>
      </c>
      <c r="DX10" s="133" t="n"/>
      <c r="DY10" s="182">
        <f>DX10*100/$E$10</f>
        <v/>
      </c>
      <c r="DZ10" s="133" t="n"/>
      <c r="EA10" s="182">
        <f>DZ10*100/$E$10</f>
        <v/>
      </c>
      <c r="EB10" s="133" t="n"/>
      <c r="EC10" s="182">
        <f>EB10*100/$E$10</f>
        <v/>
      </c>
      <c r="ED10" s="133" t="n"/>
      <c r="EE10" s="182">
        <f>ED10*100/$E$10</f>
        <v/>
      </c>
      <c r="EF10" s="133" t="n"/>
      <c r="EG10" s="182">
        <f>EF10*100/$E$10</f>
        <v/>
      </c>
      <c r="EH10" s="133" t="n"/>
      <c r="EI10" s="182">
        <f>EH10*100/$E$10</f>
        <v/>
      </c>
      <c r="EJ10" s="133" t="n"/>
      <c r="EK10" s="182">
        <f>EJ10*100/$E$10</f>
        <v/>
      </c>
      <c r="EL10" s="133" t="n"/>
      <c r="EM10" s="182">
        <f>EL10*100/$E$10</f>
        <v/>
      </c>
      <c r="EN10" s="133" t="n"/>
      <c r="EO10" s="182">
        <f>EN10*100/$E$10</f>
        <v/>
      </c>
      <c r="EP10" s="133" t="n"/>
      <c r="EQ10" s="182">
        <f>EP10*100/$E$10</f>
        <v/>
      </c>
      <c r="ER10" s="133" t="n"/>
      <c r="ES10" s="182">
        <f>ER10*100/$E$10</f>
        <v/>
      </c>
      <c r="ET10" s="133" t="n"/>
      <c r="EU10" s="182">
        <f>ET10*100/$E$10</f>
        <v/>
      </c>
      <c r="EV10" s="133" t="n"/>
      <c r="EW10" s="182">
        <f>EV10*100/$E$10</f>
        <v/>
      </c>
      <c r="EX10" s="133" t="n"/>
      <c r="EY10" s="182">
        <f>EX10*100/$E$10</f>
        <v/>
      </c>
      <c r="EZ10" s="133" t="n"/>
      <c r="FA10" s="182">
        <f>EZ10*100/$E$10</f>
        <v/>
      </c>
      <c r="FB10" s="133" t="n"/>
      <c r="FC10" s="182">
        <f>FB10*100/$E$10</f>
        <v/>
      </c>
      <c r="FD10" s="133" t="n"/>
      <c r="FE10" s="182">
        <f>FD10*100/$E$10</f>
        <v/>
      </c>
      <c r="FF10" s="133" t="n"/>
      <c r="FG10" s="182">
        <f>FF10*100/$E$10</f>
        <v/>
      </c>
      <c r="FH10" s="133" t="n"/>
      <c r="FI10" s="182">
        <f>FH10*100/$E$10</f>
        <v/>
      </c>
      <c r="FJ10" s="133" t="n"/>
      <c r="FK10" s="182">
        <f>FJ10*100/$E$10</f>
        <v/>
      </c>
      <c r="FL10" s="133" t="n"/>
      <c r="FM10" s="182">
        <f>FL10*100/$E$10</f>
        <v/>
      </c>
      <c r="FN10" s="133" t="n"/>
      <c r="FO10" s="182">
        <f>FN10*100/$E$10</f>
        <v/>
      </c>
      <c r="FP10" s="133" t="n"/>
      <c r="FQ10" s="182">
        <f>FP10*100/$E$10</f>
        <v/>
      </c>
      <c r="FR10" s="133" t="n"/>
      <c r="FS10" s="182">
        <f>FR10*100/$E$10</f>
        <v/>
      </c>
      <c r="FT10" s="133" t="n"/>
      <c r="FU10" s="182">
        <f>FT10*100/$E$10</f>
        <v/>
      </c>
      <c r="FV10" s="133" t="n"/>
      <c r="FW10" s="182">
        <f>FV10*100/$E$10</f>
        <v/>
      </c>
      <c r="FX10" s="133" t="n"/>
      <c r="FY10" s="181">
        <f>FX10*100/$E$10</f>
        <v/>
      </c>
      <c r="FZ10" s="133" t="n"/>
      <c r="GA10" s="181">
        <f>FZ10*100/$E$10</f>
        <v/>
      </c>
      <c r="GB10" s="133" t="n"/>
      <c r="GC10" s="181">
        <f>GB10*100/$E$10</f>
        <v/>
      </c>
      <c r="GD10" s="133" t="n"/>
      <c r="GE10" s="181">
        <f>GD10*100/$E$10</f>
        <v/>
      </c>
      <c r="GF10" s="133" t="n"/>
      <c r="GG10" s="181">
        <f>GF10*100/$E$10</f>
        <v/>
      </c>
      <c r="GH10" s="133" t="n"/>
      <c r="GI10" s="181">
        <f>GH10*100/$E$10</f>
        <v/>
      </c>
      <c r="GJ10" s="133" t="n"/>
      <c r="GK10" s="182">
        <f>GJ10*100/$E$10</f>
        <v/>
      </c>
      <c r="GL10" s="133" t="n"/>
      <c r="GM10" s="181">
        <f>GL10*100/$E$10</f>
        <v/>
      </c>
      <c r="GN10" s="133" t="n"/>
      <c r="GO10" s="182">
        <f>GN10*100/$E$10</f>
        <v/>
      </c>
      <c r="GP10" s="133" t="n"/>
      <c r="GQ10" s="181">
        <f>GP10*100/$E$10</f>
        <v/>
      </c>
      <c r="GR10" s="133" t="n"/>
      <c r="GS10" s="182">
        <f>GR10*100/$E$10</f>
        <v/>
      </c>
      <c r="GT10" s="133" t="n"/>
      <c r="GU10" s="182">
        <f>GT10*100/$E$10</f>
        <v/>
      </c>
      <c r="GV10" s="133" t="n"/>
      <c r="GW10" s="182">
        <f>GV10*100/$E$10</f>
        <v/>
      </c>
      <c r="GX10" s="133" t="n"/>
      <c r="GY10" s="181">
        <f>GX10*100/$E$10</f>
        <v/>
      </c>
      <c r="GZ10" s="133" t="n"/>
      <c r="HA10" s="181">
        <f>GZ10*100/$E$10</f>
        <v/>
      </c>
      <c r="HB10" s="133" t="n"/>
      <c r="HC10" s="181">
        <f>HB10*100/$E$10</f>
        <v/>
      </c>
      <c r="HD10" s="133" t="n"/>
      <c r="HE10" s="181">
        <f>HD10*100/$E$10</f>
        <v/>
      </c>
      <c r="HF10" s="133" t="n"/>
      <c r="HG10" s="181">
        <f>HF10*100/$E$10</f>
        <v/>
      </c>
      <c r="HH10" s="133" t="n"/>
      <c r="HI10" s="181">
        <f>HH10*100/$E$10</f>
        <v/>
      </c>
      <c r="HJ10" s="133" t="n"/>
      <c r="HK10" s="181">
        <f>HJ10*100/$E$10</f>
        <v/>
      </c>
      <c r="HL10" s="133" t="n"/>
      <c r="HM10" s="181">
        <f>HL10*100/$E$10</f>
        <v/>
      </c>
      <c r="HN10" s="133" t="n"/>
      <c r="HO10" s="181">
        <f>HN10*100/$E$10</f>
        <v/>
      </c>
      <c r="HP10" s="133" t="n"/>
      <c r="HQ10" s="181">
        <f>HP10*100/$E$10</f>
        <v/>
      </c>
      <c r="HR10" s="133" t="n"/>
      <c r="HS10" s="181">
        <f>HR10*100/$E$10</f>
        <v/>
      </c>
      <c r="HT10" s="133" t="n"/>
      <c r="HU10" s="181">
        <f>HT10*100/$E$10</f>
        <v/>
      </c>
      <c r="HV10" s="133" t="n"/>
      <c r="HW10" s="181">
        <f>HV10*100/$E$10</f>
        <v/>
      </c>
      <c r="HX10" s="133" t="n"/>
      <c r="HY10" s="181">
        <f>HX10*100/$E$10</f>
        <v/>
      </c>
      <c r="HZ10" s="133" t="n"/>
      <c r="IA10" s="182">
        <f>HZ10*100/$E$10</f>
        <v/>
      </c>
      <c r="IB10" s="133" t="n"/>
      <c r="IC10" s="182">
        <f>IB10*100/$E$10</f>
        <v/>
      </c>
      <c r="ID10" s="133" t="n"/>
      <c r="IE10" s="182">
        <f>ID10*100/$E$10</f>
        <v/>
      </c>
      <c r="IF10" s="133" t="n"/>
      <c r="IG10" s="182">
        <f>IF10*100/$E$10</f>
        <v/>
      </c>
      <c r="IH10" s="133" t="n"/>
      <c r="II10" s="182">
        <f>IH10*100/$E$10</f>
        <v/>
      </c>
      <c r="IJ10" s="133" t="n"/>
      <c r="IK10" s="182">
        <f>IJ10*100/$E$10</f>
        <v/>
      </c>
      <c r="IL10" s="133" t="n"/>
      <c r="IM10" s="181">
        <f>IL10*100/$E$10</f>
        <v/>
      </c>
      <c r="IN10" s="133" t="n"/>
      <c r="IO10" s="181">
        <f>IN10*100/$E$10</f>
        <v/>
      </c>
      <c r="IP10" s="133" t="n"/>
      <c r="IQ10" s="182">
        <f>IP10*100/$E$10</f>
        <v/>
      </c>
      <c r="IR10" s="133" t="n"/>
      <c r="IS10" s="182">
        <f>IR10*100/$E$10</f>
        <v/>
      </c>
      <c r="IT10" s="133" t="n"/>
      <c r="IU10" s="182">
        <f>IT10*100/$E$10</f>
        <v/>
      </c>
      <c r="IV10" s="133" t="n"/>
      <c r="IW10" s="182">
        <f>IV10*100/$E$10</f>
        <v/>
      </c>
      <c r="IX10" s="133" t="n"/>
      <c r="IY10" s="182">
        <f>IX10*100/$E$10</f>
        <v/>
      </c>
      <c r="IZ10" s="133" t="n"/>
      <c r="JA10" s="182">
        <f>IZ10*100/$E$10</f>
        <v/>
      </c>
      <c r="JB10" s="133" t="n"/>
      <c r="JC10" s="182">
        <f>JB10*100/$E$10</f>
        <v/>
      </c>
      <c r="JD10" s="133" t="n"/>
      <c r="JE10" s="182">
        <f>JD10*100/$E$10</f>
        <v/>
      </c>
      <c r="JF10" s="133" t="n"/>
      <c r="JG10" s="182">
        <f>JF10*100/$E$10</f>
        <v/>
      </c>
      <c r="JH10" s="133" t="n"/>
      <c r="JI10" s="182">
        <f>JH10*100/$E$10</f>
        <v/>
      </c>
      <c r="JJ10" s="133" t="n"/>
      <c r="JK10" s="182">
        <f>JJ10*100/$E$10</f>
        <v/>
      </c>
      <c r="JL10" s="133" t="n"/>
      <c r="JM10" s="182">
        <f>JL10*100/$E$10</f>
        <v/>
      </c>
      <c r="JN10" s="133" t="n"/>
      <c r="JO10" s="182">
        <f>JN10*100/$E$10</f>
        <v/>
      </c>
      <c r="JP10" s="133" t="n"/>
      <c r="JQ10" s="182">
        <f>JP10*100/$E$10</f>
        <v/>
      </c>
      <c r="JR10" s="133" t="n"/>
      <c r="JS10" s="139">
        <f>JR10*100/$E$10</f>
        <v/>
      </c>
      <c r="JT10" s="133" t="n"/>
      <c r="JU10" s="139">
        <f>JT10*100/$E$10</f>
        <v/>
      </c>
      <c r="JV10" s="133" t="n"/>
      <c r="JW10" s="139">
        <f>JV10*100/$E$10</f>
        <v/>
      </c>
      <c r="JX10" s="133" t="n"/>
      <c r="JY10" s="139">
        <f>JX10*100/$E$10</f>
        <v/>
      </c>
      <c r="JZ10" s="183">
        <f>JN10+JP10+JR10+JT10+JV10+JX10</f>
        <v/>
      </c>
      <c r="KA10" s="184">
        <f>JO10+JQ10+JS10+JU10+JW10+JY10</f>
        <v/>
      </c>
      <c r="KB10" s="185">
        <f>H10+J10+L10+N10+P10+R10+T10+V10+X10+Z10+AB10+AD10+AF10+AH10+AJ10+AL10+AN10+AP10+AR10+AT10+AV10+AX10+AZ10+BB10+BD10+BF10+BH10+BJ10+BL10+BN10+BP10+BR10+BT10+BV10+BX10+BZ10+CB10+CD10+CF10+CH10+CZ10+DB10+DD10+DF10+DH10+DJ10+DL10+DN10+DP10+DR10+DT10+DV10+DX10+DZ10+EB10+ED10+EF10+EH10+EJ10+EL10+EN10+EP10+ER10+ET10+EV10+FN10+FP10+FR10+FT10+FV10+FX10+FZ10+GB10+GD10+GF10+GH10+GJ10+GL10+GN10+GP10+GR10+GT10+GV10+GX10+GZ10+HB10+HD10+HF10+HH10+HJ10+HL10+HN10+HP10+HR10+HT10+HV10+HX10+HZ10+IB10+ID10+IF10+IH10+IJ10+IL10+IN10+IP10+IR10+IT10+IV10+IX10+IZ10+JB10+JD10+JF10+JH10+JJ10+JL10+JZ10+CJ10+CL10+CN10+CP10+CR10+CT10+CV10+CX10+EX10+EZ10+FB10+FD10+FF10+FH10+FJ10+FL10</f>
        <v/>
      </c>
      <c r="KC10" s="186">
        <f>I10+K10+M10+O10+Q10+S10+U10+W10+Y10+AA10+AC10+AE10+AG10+AI10+AK10+AM10+AO10+AQ10+AS10+AU10+AW10+AY10+BA10+BC10+BE10+BG10+BI10+BK10+BM10+BO10+BQ10+BS10+BU10+BW10+BY10+CA10+CC10+CE10+CG10+CI10+DA10+DC10+DE10+DG10+DI10+DK10+DM10+DO10+DQ10+DS10+DU10+DW10+DY10+EA10+EC10+EE10+EG10+EI10+EK10+EM10+EO10+EQ10+ES10+EU10+EW10+FO10+FS10+FU10+FW10+FQ10+FY10+GA10+GC10+GE10+GG10+GI10+GK10+GM10+GO10+GQ10+GS10+GU10+GW10+GY10+HA10+HC10+HE10+HG10+HI10+HK10+HM10+HO10+HQ10+HS10+HU10+HW10+HY10+IA10+IC10+IE10+IG10+II10+IK10+IM10+IO10+IQ10+IS10+IU10+IW10+IY10+JA10+JC10+JE10+JG10+JI10+JK10+JM10+KA10+CK10+CM10+CO10+CQ10+CS10+CU10+CW10+CY10+EY10+FA10+FC10+FE10+FG10+FI10+FK10+FM10</f>
        <v/>
      </c>
      <c r="KD10" s="187">
        <f>JO10+JQ10+JS10+JU10+JW10+JY10</f>
        <v/>
      </c>
      <c r="KE10" s="188">
        <f>KB10=E10</f>
        <v/>
      </c>
      <c r="KF10" s="189">
        <f>E10-KB10</f>
        <v/>
      </c>
    </row>
    <row r="11" ht="21.75" customFormat="1" customHeight="1" s="215">
      <c r="A11" s="126">
        <f>A10+1</f>
        <v/>
      </c>
      <c r="B11" s="175" t="inlineStr">
        <is>
          <t>Бреев И.И.</t>
        </is>
      </c>
      <c r="C11" s="194" t="inlineStr">
        <is>
          <t>токарь</t>
        </is>
      </c>
      <c r="D11" s="177">
        <f>$D$5</f>
        <v/>
      </c>
      <c r="E11" s="202" t="n">
        <v>162</v>
      </c>
      <c r="F11" s="191" t="n">
        <v>111265.49</v>
      </c>
      <c r="G11" s="179">
        <f>F11/D11</f>
        <v/>
      </c>
      <c r="H11" s="180" t="n"/>
      <c r="I11" s="181">
        <f>H11*100/$E$11</f>
        <v/>
      </c>
      <c r="J11" s="133" t="n"/>
      <c r="K11" s="181">
        <f>J11*100/$E$10</f>
        <v/>
      </c>
      <c r="L11" s="133" t="n"/>
      <c r="M11" s="181">
        <f>L11*100/$E$10</f>
        <v/>
      </c>
      <c r="N11" s="133" t="n"/>
      <c r="O11" s="181">
        <f>N11*100/$E$10</f>
        <v/>
      </c>
      <c r="P11" s="133" t="n"/>
      <c r="Q11" s="182">
        <f>P11*100/$E$10</f>
        <v/>
      </c>
      <c r="R11" s="133" t="n"/>
      <c r="S11" s="182">
        <f>R11*100/$E$10</f>
        <v/>
      </c>
      <c r="T11" s="133" t="n"/>
      <c r="U11" s="181">
        <f>T11*100/$E$11</f>
        <v/>
      </c>
      <c r="V11" s="133" t="n"/>
      <c r="W11" s="181">
        <f>V11*100/$E$10</f>
        <v/>
      </c>
      <c r="X11" s="133" t="n"/>
      <c r="Y11" s="181">
        <f>X11*100/$E$11</f>
        <v/>
      </c>
      <c r="Z11" s="133" t="n"/>
      <c r="AA11" s="181">
        <f>Z11*100/$E$11</f>
        <v/>
      </c>
      <c r="AB11" s="133" t="n"/>
      <c r="AC11" s="181">
        <f>AB11*100/$E$11</f>
        <v/>
      </c>
      <c r="AD11" s="133" t="n"/>
      <c r="AE11" s="182">
        <f>AD11*100/$E$11</f>
        <v/>
      </c>
      <c r="AF11" s="133" t="n"/>
      <c r="AG11" s="182">
        <f>AF11*100/$E$11</f>
        <v/>
      </c>
      <c r="AH11" s="133" t="n">
        <v>3</v>
      </c>
      <c r="AI11" s="181">
        <f>AH11*100/$E$11</f>
        <v/>
      </c>
      <c r="AJ11" s="133">
        <f>8+8</f>
        <v/>
      </c>
      <c r="AK11" s="181">
        <f>AJ11*100/$E$11</f>
        <v/>
      </c>
      <c r="AL11" s="133" t="n">
        <v>1</v>
      </c>
      <c r="AM11" s="181">
        <f>AL11*100/$E$11</f>
        <v/>
      </c>
      <c r="AN11" s="133" t="n"/>
      <c r="AO11" s="181">
        <f>AN11*100/$E$11</f>
        <v/>
      </c>
      <c r="AP11" s="133" t="n"/>
      <c r="AQ11" s="181">
        <f>AP11*100/$E$11</f>
        <v/>
      </c>
      <c r="AR11" s="133" t="n"/>
      <c r="AS11" s="181">
        <f>AR11*100/$E$11</f>
        <v/>
      </c>
      <c r="AT11" s="133" t="n"/>
      <c r="AU11" s="181">
        <f>AT11*100/$E$11</f>
        <v/>
      </c>
      <c r="AV11" s="133" t="n"/>
      <c r="AW11" s="181">
        <f>AV11*100/$E$11</f>
        <v/>
      </c>
      <c r="AX11" s="133" t="n"/>
      <c r="AY11" s="181">
        <f>AX11*100/$E$11</f>
        <v/>
      </c>
      <c r="AZ11" s="133" t="n"/>
      <c r="BA11" s="181">
        <f>AZ11*100/$E$11</f>
        <v/>
      </c>
      <c r="BB11" s="133" t="n"/>
      <c r="BC11" s="181">
        <f>BB11*100/$E$11</f>
        <v/>
      </c>
      <c r="BD11" s="133" t="n"/>
      <c r="BE11" s="181">
        <f>BD11*100/$E$11</f>
        <v/>
      </c>
      <c r="BF11" s="133">
        <f>8+8+8</f>
        <v/>
      </c>
      <c r="BG11" s="181">
        <f>BF11*100/$E$11</f>
        <v/>
      </c>
      <c r="BH11" s="133" t="n"/>
      <c r="BI11" s="181">
        <f>BH11*100/$E$11</f>
        <v/>
      </c>
      <c r="BJ11" s="133" t="n"/>
      <c r="BK11" s="181">
        <f>BJ11*100/$E$11</f>
        <v/>
      </c>
      <c r="BL11" s="133" t="n"/>
      <c r="BM11" s="181">
        <f>BL11*100/$E$11</f>
        <v/>
      </c>
      <c r="BN11" s="133" t="n"/>
      <c r="BO11" s="181">
        <f>BN11*100/$E$11</f>
        <v/>
      </c>
      <c r="BP11" s="133" t="n"/>
      <c r="BQ11" s="181">
        <f>BP11*100/$E$11</f>
        <v/>
      </c>
      <c r="BR11" s="133" t="n"/>
      <c r="BS11" s="181">
        <f>BR11*100/$E$11</f>
        <v/>
      </c>
      <c r="BT11" s="133" t="n"/>
      <c r="BU11" s="181">
        <f>BT11*100/$E$11</f>
        <v/>
      </c>
      <c r="BV11" s="133" t="n"/>
      <c r="BW11" s="181">
        <f>BV11*100/$E$11</f>
        <v/>
      </c>
      <c r="BX11" s="133" t="n"/>
      <c r="BY11" s="181">
        <f>BX11*100/$E$11</f>
        <v/>
      </c>
      <c r="BZ11" s="133" t="n"/>
      <c r="CA11" s="181">
        <f>BZ11*100/$E$11</f>
        <v/>
      </c>
      <c r="CB11" s="133" t="n"/>
      <c r="CC11" s="181">
        <f>CB11*100/$E$11</f>
        <v/>
      </c>
      <c r="CD11" s="133" t="n"/>
      <c r="CE11" s="181">
        <f>CD11*100/$E$10</f>
        <v/>
      </c>
      <c r="CF11" s="133">
        <f>8+8</f>
        <v/>
      </c>
      <c r="CG11" s="181">
        <f>CF11*100/$E$11</f>
        <v/>
      </c>
      <c r="CH11" s="133" t="n"/>
      <c r="CI11" s="181">
        <f>CH11*100/$E$11</f>
        <v/>
      </c>
      <c r="CJ11" s="133">
        <f>8+4</f>
        <v/>
      </c>
      <c r="CK11" s="181">
        <f>CJ11*100/$E$11</f>
        <v/>
      </c>
      <c r="CL11" s="133" t="n"/>
      <c r="CM11" s="181">
        <f>CL11*100/$E$11</f>
        <v/>
      </c>
      <c r="CN11" s="133">
        <f>8+3+8</f>
        <v/>
      </c>
      <c r="CO11" s="139">
        <f>CN11*100/$E$11</f>
        <v/>
      </c>
      <c r="CP11" s="133" t="n"/>
      <c r="CQ11" s="181">
        <f>CP11*100/$E$11</f>
        <v/>
      </c>
      <c r="CR11" s="133" t="n"/>
      <c r="CS11" s="182">
        <f>CR11*100/$E$11</f>
        <v/>
      </c>
      <c r="CT11" s="133" t="n"/>
      <c r="CU11" s="182">
        <f>CT11*100/$E$11</f>
        <v/>
      </c>
      <c r="CV11" s="133" t="n"/>
      <c r="CW11" s="182">
        <f>CV11*100/$E$11</f>
        <v/>
      </c>
      <c r="CX11" s="133" t="n"/>
      <c r="CY11" s="182">
        <f>CX11*100/$E$11</f>
        <v/>
      </c>
      <c r="CZ11" s="133" t="n"/>
      <c r="DA11" s="182">
        <f>CZ11*100/$E$11</f>
        <v/>
      </c>
      <c r="DB11" s="133" t="n"/>
      <c r="DC11" s="182">
        <f>DB11*100/$E$11</f>
        <v/>
      </c>
      <c r="DD11" s="133" t="n"/>
      <c r="DE11" s="182">
        <f>DD11*100/$E$11</f>
        <v/>
      </c>
      <c r="DF11" s="133" t="n"/>
      <c r="DG11" s="182">
        <f>DF11*100/$E$11</f>
        <v/>
      </c>
      <c r="DH11" s="133" t="n"/>
      <c r="DI11" s="182">
        <f>DH11*100/$E$11</f>
        <v/>
      </c>
      <c r="DJ11" s="133" t="n"/>
      <c r="DK11" s="182">
        <f>DJ11*100/$E$11</f>
        <v/>
      </c>
      <c r="DL11" s="133" t="n"/>
      <c r="DM11" s="182">
        <f>DL11*100/$E$11</f>
        <v/>
      </c>
      <c r="DN11" s="133" t="n"/>
      <c r="DO11" s="182">
        <f>DN11*100/$E$11</f>
        <v/>
      </c>
      <c r="DP11" s="133">
        <f>4+5</f>
        <v/>
      </c>
      <c r="DQ11" s="182">
        <f>DP11*100/$E$11</f>
        <v/>
      </c>
      <c r="DR11" s="133">
        <f>4+8</f>
        <v/>
      </c>
      <c r="DS11" s="182">
        <f>DR11*100/$E$11</f>
        <v/>
      </c>
      <c r="DT11" s="133" t="n"/>
      <c r="DU11" s="182">
        <f>DT11*100/$E$11</f>
        <v/>
      </c>
      <c r="DV11" s="133" t="n"/>
      <c r="DW11" s="182">
        <f>DV11*100/$E$11</f>
        <v/>
      </c>
      <c r="DX11" s="133" t="n"/>
      <c r="DY11" s="182">
        <f>DX11*100/$E$11</f>
        <v/>
      </c>
      <c r="DZ11" s="133" t="n"/>
      <c r="EA11" s="182">
        <f>DZ11*100/$E$11</f>
        <v/>
      </c>
      <c r="EB11" s="133" t="n"/>
      <c r="EC11" s="182">
        <f>EB11*100/$E$11</f>
        <v/>
      </c>
      <c r="ED11" s="133" t="n">
        <v>3</v>
      </c>
      <c r="EE11" s="182">
        <f>ED11*100/$E$11</f>
        <v/>
      </c>
      <c r="EF11" s="133" t="n"/>
      <c r="EG11" s="182">
        <f>EF11*100/$E$11</f>
        <v/>
      </c>
      <c r="EH11" s="133" t="n"/>
      <c r="EI11" s="182">
        <f>EH11*100/$E$11</f>
        <v/>
      </c>
      <c r="EJ11" s="133">
        <f>4+4+5</f>
        <v/>
      </c>
      <c r="EK11" s="182">
        <f>EJ11*100/$E$10</f>
        <v/>
      </c>
      <c r="EL11" s="133" t="n"/>
      <c r="EM11" s="182">
        <f>EL11*100/$E$11</f>
        <v/>
      </c>
      <c r="EN11" s="133" t="n"/>
      <c r="EO11" s="182">
        <f>EN11*100/$E$11</f>
        <v/>
      </c>
      <c r="EP11" s="133" t="n">
        <v>4</v>
      </c>
      <c r="EQ11" s="182">
        <f>EP11*100/$E$11</f>
        <v/>
      </c>
      <c r="ER11" s="133" t="n">
        <v>3</v>
      </c>
      <c r="ES11" s="182">
        <f>ER11*100/$E$11</f>
        <v/>
      </c>
      <c r="ET11" s="133" t="n"/>
      <c r="EU11" s="182">
        <f>ET11*100/$E$11</f>
        <v/>
      </c>
      <c r="EV11" s="133" t="n"/>
      <c r="EW11" s="182">
        <f>EV11*100/$E$11</f>
        <v/>
      </c>
      <c r="EX11" s="133" t="n"/>
      <c r="EY11" s="182">
        <f>EX11*100/$E$11</f>
        <v/>
      </c>
      <c r="EZ11" s="133" t="n"/>
      <c r="FA11" s="182">
        <f>EZ11*100/$E$11</f>
        <v/>
      </c>
      <c r="FB11" s="133" t="n"/>
      <c r="FC11" s="182">
        <f>FB11*100/$E$11</f>
        <v/>
      </c>
      <c r="FD11" s="133" t="n"/>
      <c r="FE11" s="182">
        <f>FD11*100/$E$11</f>
        <v/>
      </c>
      <c r="FF11" s="133" t="n"/>
      <c r="FG11" s="182">
        <f>FF11*100/$E$11</f>
        <v/>
      </c>
      <c r="FH11" s="133" t="n"/>
      <c r="FI11" s="182">
        <f>FH11*100/$E$11</f>
        <v/>
      </c>
      <c r="FJ11" s="133" t="n"/>
      <c r="FK11" s="182">
        <f>FJ11*100/$E$11</f>
        <v/>
      </c>
      <c r="FL11" s="133" t="n"/>
      <c r="FM11" s="182">
        <f>FL11*100/$E$11</f>
        <v/>
      </c>
      <c r="FN11" s="133" t="n"/>
      <c r="FO11" s="182">
        <f>FN11*100/$E$11</f>
        <v/>
      </c>
      <c r="FP11" s="133" t="n"/>
      <c r="FQ11" s="182">
        <f>FP11*100/$E$11</f>
        <v/>
      </c>
      <c r="FR11" s="133" t="n"/>
      <c r="FS11" s="182">
        <f>FR11*100/$E$11</f>
        <v/>
      </c>
      <c r="FT11" s="133" t="n"/>
      <c r="FU11" s="182">
        <f>FT11*100/$E$11</f>
        <v/>
      </c>
      <c r="FV11" s="133" t="n"/>
      <c r="FW11" s="182">
        <f>FV11*100/$E$11</f>
        <v/>
      </c>
      <c r="FX11" s="133" t="n"/>
      <c r="FY11" s="182">
        <f>FX11*100/$E$11</f>
        <v/>
      </c>
      <c r="FZ11" s="133" t="n"/>
      <c r="GA11" s="182">
        <f>FZ11*100/$E$11</f>
        <v/>
      </c>
      <c r="GB11" s="133" t="n"/>
      <c r="GC11" s="182">
        <f>GB11*100/$E$11</f>
        <v/>
      </c>
      <c r="GD11" s="133" t="n"/>
      <c r="GE11" s="182">
        <f>GD11*100/$E$11</f>
        <v/>
      </c>
      <c r="GF11" s="133" t="n"/>
      <c r="GG11" s="182">
        <f>GF11*100/$E$11</f>
        <v/>
      </c>
      <c r="GH11" s="133" t="n"/>
      <c r="GI11" s="182">
        <f>GH11*100/$E$11</f>
        <v/>
      </c>
      <c r="GJ11" s="133" t="n"/>
      <c r="GK11" s="182">
        <f>GJ11*100/$E$11</f>
        <v/>
      </c>
      <c r="GL11" s="133" t="n"/>
      <c r="GM11" s="182">
        <f>GL11*100/$E$11</f>
        <v/>
      </c>
      <c r="GN11" s="133" t="n"/>
      <c r="GO11" s="182">
        <f>GN11*100/$E$11</f>
        <v/>
      </c>
      <c r="GP11" s="133" t="n"/>
      <c r="GQ11" s="182">
        <f>GP11*100/$E$11</f>
        <v/>
      </c>
      <c r="GR11" s="133" t="n"/>
      <c r="GS11" s="182">
        <f>GR11*100/$E$11</f>
        <v/>
      </c>
      <c r="GT11" s="133" t="n"/>
      <c r="GU11" s="182">
        <f>GT11*100/$E$11</f>
        <v/>
      </c>
      <c r="GV11" s="133" t="n"/>
      <c r="GW11" s="182">
        <f>GV11*100/$E$11</f>
        <v/>
      </c>
      <c r="GX11" s="133" t="n"/>
      <c r="GY11" s="182">
        <f>GX11*100/$E$11</f>
        <v/>
      </c>
      <c r="GZ11" s="133" t="n"/>
      <c r="HA11" s="182">
        <f>GZ11*100/$E$11</f>
        <v/>
      </c>
      <c r="HB11" s="133" t="n"/>
      <c r="HC11" s="182">
        <f>HB11*100/$E$11</f>
        <v/>
      </c>
      <c r="HD11" s="133" t="n"/>
      <c r="HE11" s="182">
        <f>HD11*100/$E$11</f>
        <v/>
      </c>
      <c r="HF11" s="133" t="n"/>
      <c r="HG11" s="182">
        <f>HF11*100/$E$11</f>
        <v/>
      </c>
      <c r="HH11" s="133" t="n"/>
      <c r="HI11" s="182">
        <f>HH11*100/$E$11</f>
        <v/>
      </c>
      <c r="HJ11" s="133" t="n"/>
      <c r="HK11" s="182">
        <f>HJ11*100/$E$11</f>
        <v/>
      </c>
      <c r="HL11" s="133" t="n"/>
      <c r="HM11" s="182">
        <f>HL11*100/$E$11</f>
        <v/>
      </c>
      <c r="HN11" s="133" t="n"/>
      <c r="HO11" s="182">
        <f>HN11*100/$E$11</f>
        <v/>
      </c>
      <c r="HP11" s="133" t="n"/>
      <c r="HQ11" s="182">
        <f>HP11*100/$E$11</f>
        <v/>
      </c>
      <c r="HR11" s="133" t="n"/>
      <c r="HS11" s="182">
        <f>HR11*100/$E$11</f>
        <v/>
      </c>
      <c r="HT11" s="133" t="n"/>
      <c r="HU11" s="182">
        <f>HT11*100/$E$11</f>
        <v/>
      </c>
      <c r="HV11" s="133" t="n"/>
      <c r="HW11" s="182">
        <f>HV11*100/$E$11</f>
        <v/>
      </c>
      <c r="HX11" s="133" t="n"/>
      <c r="HY11" s="182">
        <f>HX11*100/$E$11</f>
        <v/>
      </c>
      <c r="HZ11" s="133" t="n"/>
      <c r="IA11" s="182">
        <f>HZ11*100/$E$11</f>
        <v/>
      </c>
      <c r="IB11" s="133" t="n"/>
      <c r="IC11" s="182">
        <f>IB11*100/$E$11</f>
        <v/>
      </c>
      <c r="ID11" s="133" t="n"/>
      <c r="IE11" s="182">
        <f>ID11*100/$E$11</f>
        <v/>
      </c>
      <c r="IF11" s="133" t="n"/>
      <c r="IG11" s="182">
        <f>IF11*100/$E$11</f>
        <v/>
      </c>
      <c r="IH11" s="133" t="n"/>
      <c r="II11" s="182">
        <f>IH11*100/$E$11</f>
        <v/>
      </c>
      <c r="IJ11" s="133" t="n"/>
      <c r="IK11" s="182">
        <f>IJ11*100/$E$11</f>
        <v/>
      </c>
      <c r="IL11" s="133" t="n"/>
      <c r="IM11" s="182">
        <f>IL11*100/$E$11</f>
        <v/>
      </c>
      <c r="IN11" s="133" t="n"/>
      <c r="IO11" s="182">
        <f>IN11*100/$E$11</f>
        <v/>
      </c>
      <c r="IP11" s="133" t="n"/>
      <c r="IQ11" s="182">
        <f>IP11*100/$E$11</f>
        <v/>
      </c>
      <c r="IR11" s="133" t="n"/>
      <c r="IS11" s="182">
        <f>IR11*100/$E$11</f>
        <v/>
      </c>
      <c r="IT11" s="133" t="n"/>
      <c r="IU11" s="182">
        <f>IT11*100/$E$11</f>
        <v/>
      </c>
      <c r="IV11" s="133" t="n"/>
      <c r="IW11" s="182">
        <f>IV11*100/$E$11</f>
        <v/>
      </c>
      <c r="IX11" s="133" t="n"/>
      <c r="IY11" s="182">
        <f>IX11*100/$E$11</f>
        <v/>
      </c>
      <c r="IZ11" s="133" t="n"/>
      <c r="JA11" s="182">
        <f>IZ11*100/$E$11</f>
        <v/>
      </c>
      <c r="JB11" s="133" t="n">
        <v>15</v>
      </c>
      <c r="JC11" s="182">
        <f>JB11*100/$E$11</f>
        <v/>
      </c>
      <c r="JD11" s="133" t="n"/>
      <c r="JE11" s="182">
        <f>JD11*100/$E$11</f>
        <v/>
      </c>
      <c r="JF11" s="133" t="n"/>
      <c r="JG11" s="182">
        <f>JF11*100/$E$11</f>
        <v/>
      </c>
      <c r="JH11" s="133" t="n"/>
      <c r="JI11" s="182">
        <f>JH11*100/$E$11</f>
        <v/>
      </c>
      <c r="JJ11" s="133" t="n"/>
      <c r="JK11" s="182">
        <f>JJ11*100/$E$11</f>
        <v/>
      </c>
      <c r="JL11" s="133">
        <f>4+4+8+8+3-15</f>
        <v/>
      </c>
      <c r="JM11" s="182">
        <f>JL11*100/$E$11</f>
        <v/>
      </c>
      <c r="JN11" s="133" t="n"/>
      <c r="JO11" s="182">
        <f>JN11*100/$E$11</f>
        <v/>
      </c>
      <c r="JP11" s="133" t="n"/>
      <c r="JQ11" s="182">
        <f>JP11*100/$E$11</f>
        <v/>
      </c>
      <c r="JR11" s="133" t="n"/>
      <c r="JS11" s="139">
        <f>JR11*100/$E$11</f>
        <v/>
      </c>
      <c r="JT11" s="133" t="n"/>
      <c r="JU11" s="139">
        <f>JT11*100/$E$11</f>
        <v/>
      </c>
      <c r="JV11" s="133" t="n"/>
      <c r="JW11" s="139">
        <f>JV11*100/$E$11</f>
        <v/>
      </c>
      <c r="JX11" s="133" t="n"/>
      <c r="JY11" s="139">
        <f>JX11*100/$E$11</f>
        <v/>
      </c>
      <c r="JZ11" s="183">
        <f>JN11+JP11+JR11+JT11+JV11+JX11</f>
        <v/>
      </c>
      <c r="KA11" s="184">
        <f>JO11+JQ11+JS11+JU11+JW11+JY11</f>
        <v/>
      </c>
      <c r="KB11" s="185">
        <f>H11+J11+L11+N11+P11+R11+T11+V11+X11+Z11+AB11+AD11+AF11+AH11+AJ11+AL11+AN11+AP11+AR11+AT11+AV11+AX11+AZ11+BB11+BD11+BF11+BH11+BJ11+BL11+BN11+BP11+BR11+BT11+BV11+BX11+BZ11+CB11+CD11+CF11+CH11+CZ11+DB11+DD11+DF11+DH11+DJ11+DL11+DN11+DP11+DR11+DT11+DV11+DX11+DZ11+EB11+ED11+EF11+EH11+EJ11+EL11+EN11+EP11+ER11+ET11+EV11+FN11+FP11+FR11+FT11+FV11+FX11+FZ11+GB11+GD11+GF11+GH11+GJ11+GL11+GN11+GP11+GR11+GT11+GV11+GX11+GZ11+HB11+HD11+HF11+HH11+HJ11+HL11+HN11+HP11+HR11+HT11+HV11+HX11+HZ11+IB11+ID11+IF11+IH11+IJ11+IL11+IN11+IP11+IR11+IT11+IV11+IX11+IZ11+JB11+JD11+JF11+JH11+JJ11+JL11+JZ11+CJ11+CL11+CN11+CP11+CR11+CT11+CV11+CX11+EX11+EZ11+FB11+FD11+FF11+FH11+FJ11+FL11</f>
        <v/>
      </c>
      <c r="KC11" s="186">
        <f>I11+K11+M11+O11+Q11+S11+U11+W11+Y11+AA11+AC11+AE11+AG11+AI11+AK11+AM11+AO11+AQ11+AS11+AU11+AW11+AY11+BA11+BC11+BE11+BG11+BI11+BK11+BM11+BO11+BQ11+BS11+BU11+BW11+BY11+CA11+CC11+CE11+CG11+CI11+DA11+DC11+DE11+DG11+DI11+DK11+DM11+DO11+DQ11+DS11+DU11+DW11+DY11+EA11+EC11+EE11+EG11+EI11+EK11+EM11+EO11+EQ11+ES11+EU11+EW11+FO11+FS11+FU11+FW11+FQ11+FY11+GA11+GC11+GE11+GG11+GI11+GK11+GM11+GO11+GQ11+GS11+GU11+GW11+GY11+HA11+HC11+HE11+HG11+HI11+HK11+HM11+HO11+HQ11+HS11+HU11+HW11+HY11+IA11+IC11+IE11+IG11+II11+IK11+IM11+IO11+IQ11+IS11+IU11+IW11+IY11+JA11+JC11+JE11+JG11+JI11+JK11+JM11+KA11+CK11+CM11+CO11+CQ11+CS11+CU11+CW11+CY11+EY11+FA11+FC11+FE11+FG11+FI11+FK11+FM11</f>
        <v/>
      </c>
      <c r="KD11" s="187">
        <f>JO11+JQ11+JS11+JU11+JW11+JY11</f>
        <v/>
      </c>
      <c r="KE11" s="188">
        <f>KB11=E11</f>
        <v/>
      </c>
      <c r="KF11" s="189">
        <f>E11-KB11</f>
        <v/>
      </c>
    </row>
    <row r="12" ht="21.75" customFormat="1" customHeight="1" s="210">
      <c r="A12" s="126">
        <f>A11+1</f>
        <v/>
      </c>
      <c r="B12" s="175" t="inlineStr">
        <is>
          <t>Войко А.Л.</t>
        </is>
      </c>
      <c r="C12" s="194" t="inlineStr">
        <is>
          <t>Фрезеровщик</t>
        </is>
      </c>
      <c r="D12" s="177">
        <f>$D$5</f>
        <v/>
      </c>
      <c r="E12" s="202" t="n">
        <v>180</v>
      </c>
      <c r="F12" s="191" t="n">
        <v>111265.05</v>
      </c>
      <c r="G12" s="179">
        <f>F12/D12</f>
        <v/>
      </c>
      <c r="H12" s="180" t="n"/>
      <c r="I12" s="181">
        <f>H12*100/$E$12</f>
        <v/>
      </c>
      <c r="J12" s="133" t="n"/>
      <c r="K12" s="181">
        <f>J12*100/$E$12</f>
        <v/>
      </c>
      <c r="L12" s="133" t="n"/>
      <c r="M12" s="181">
        <f>L12*100/$E$12</f>
        <v/>
      </c>
      <c r="N12" s="133" t="n"/>
      <c r="O12" s="181">
        <f>N12*100/$E$12</f>
        <v/>
      </c>
      <c r="P12" s="133" t="n"/>
      <c r="Q12" s="182">
        <f>P12*100/$E$12</f>
        <v/>
      </c>
      <c r="R12" s="133" t="n"/>
      <c r="S12" s="182">
        <f>R12*100/$E$12</f>
        <v/>
      </c>
      <c r="T12" s="133" t="n"/>
      <c r="U12" s="181">
        <f>T12*100/$E$12</f>
        <v/>
      </c>
      <c r="V12" s="133" t="n"/>
      <c r="W12" s="181">
        <f>V12*100/$E$12</f>
        <v/>
      </c>
      <c r="X12" s="133" t="n"/>
      <c r="Y12" s="181">
        <f>X12*100/$E$12</f>
        <v/>
      </c>
      <c r="Z12" s="133" t="n"/>
      <c r="AA12" s="181">
        <f>Z12*100/$E$12</f>
        <v/>
      </c>
      <c r="AB12" s="133" t="n"/>
      <c r="AC12" s="181">
        <f>AB12*100/$E$12</f>
        <v/>
      </c>
      <c r="AD12" s="133" t="n"/>
      <c r="AE12" s="182">
        <f>AD12*100/$E$12</f>
        <v/>
      </c>
      <c r="AF12" s="133" t="n"/>
      <c r="AG12" s="182">
        <f>AF12*100/$E$12</f>
        <v/>
      </c>
      <c r="AH12" s="133" t="n"/>
      <c r="AI12" s="181">
        <f>AH12*100/$E$12</f>
        <v/>
      </c>
      <c r="AJ12" s="133" t="n"/>
      <c r="AK12" s="181">
        <f>AJ12*100/$E$12</f>
        <v/>
      </c>
      <c r="AL12" s="133" t="n"/>
      <c r="AM12" s="181">
        <f>AL12*100/$E$12</f>
        <v/>
      </c>
      <c r="AN12" s="133" t="n"/>
      <c r="AO12" s="181">
        <f>AN12*100/$E$12</f>
        <v/>
      </c>
      <c r="AP12" s="133" t="n"/>
      <c r="AQ12" s="181">
        <f>AP12*100/$E$12</f>
        <v/>
      </c>
      <c r="AR12" s="133" t="n"/>
      <c r="AS12" s="181">
        <f>AR12*100/$E$12</f>
        <v/>
      </c>
      <c r="AT12" s="133" t="n"/>
      <c r="AU12" s="181">
        <f>AT12*100/$E$12</f>
        <v/>
      </c>
      <c r="AV12" s="133" t="n"/>
      <c r="AW12" s="181">
        <f>AV12*100/$E$12</f>
        <v/>
      </c>
      <c r="AX12" s="133" t="n"/>
      <c r="AY12" s="181">
        <f>AX12*100/$E$12</f>
        <v/>
      </c>
      <c r="AZ12" s="133" t="n"/>
      <c r="BA12" s="181">
        <f>AZ12*100/$E$12</f>
        <v/>
      </c>
      <c r="BB12" s="133" t="n"/>
      <c r="BC12" s="181">
        <f>BB12*100/$E$12</f>
        <v/>
      </c>
      <c r="BD12" s="133" t="n"/>
      <c r="BE12" s="181">
        <f>BD12*100/$E$12</f>
        <v/>
      </c>
      <c r="BF12" s="133" t="n"/>
      <c r="BG12" s="181">
        <f>BF12*100/$E$12</f>
        <v/>
      </c>
      <c r="BH12" s="133" t="n"/>
      <c r="BI12" s="181">
        <f>BH12*100/$E$12</f>
        <v/>
      </c>
      <c r="BJ12" s="133" t="n"/>
      <c r="BK12" s="181">
        <f>BJ12*100/$E$12</f>
        <v/>
      </c>
      <c r="BL12" s="133" t="n"/>
      <c r="BM12" s="181">
        <f>BL12*100/$E$12</f>
        <v/>
      </c>
      <c r="BN12" s="133" t="n"/>
      <c r="BO12" s="181">
        <f>BN12*100/$E$12</f>
        <v/>
      </c>
      <c r="BP12" s="133" t="n"/>
      <c r="BQ12" s="181">
        <f>BP12*100/$E$12</f>
        <v/>
      </c>
      <c r="BR12" s="133" t="n"/>
      <c r="BS12" s="181">
        <f>BR12*100/$E$12</f>
        <v/>
      </c>
      <c r="BT12" s="133" t="n"/>
      <c r="BU12" s="181">
        <f>BT12*100/$E$12</f>
        <v/>
      </c>
      <c r="BV12" s="133" t="n">
        <v>9</v>
      </c>
      <c r="BW12" s="181">
        <f>BV12*100/$E$12</f>
        <v/>
      </c>
      <c r="BX12" s="133" t="n"/>
      <c r="BY12" s="181">
        <f>BX12*100/$E$12</f>
        <v/>
      </c>
      <c r="BZ12" s="133" t="n"/>
      <c r="CA12" s="181">
        <f>BZ12*100/$E$12</f>
        <v/>
      </c>
      <c r="CB12" s="133" t="n"/>
      <c r="CC12" s="181">
        <f>CB12*100/$E$12</f>
        <v/>
      </c>
      <c r="CD12" s="133" t="n"/>
      <c r="CE12" s="181">
        <f>CD12*100/$E$12</f>
        <v/>
      </c>
      <c r="CF12" s="133" t="n"/>
      <c r="CG12" s="181">
        <f>CF12*100/$E$12</f>
        <v/>
      </c>
      <c r="CH12" s="133">
        <f>12+10+4+9</f>
        <v/>
      </c>
      <c r="CI12" s="181">
        <f>CH12*100/$E$12</f>
        <v/>
      </c>
      <c r="CJ12" s="133" t="n"/>
      <c r="CK12" s="181">
        <f>CJ12*100/$E$12</f>
        <v/>
      </c>
      <c r="CL12" s="133" t="n"/>
      <c r="CM12" s="181">
        <f>CL12*100/$E$12</f>
        <v/>
      </c>
      <c r="CN12" s="133" t="n"/>
      <c r="CO12" s="139">
        <f>CN12*100/$E$12</f>
        <v/>
      </c>
      <c r="CP12" s="133" t="n"/>
      <c r="CQ12" s="181">
        <f>CP12*100/$E$12</f>
        <v/>
      </c>
      <c r="CR12" s="133" t="n"/>
      <c r="CS12" s="182">
        <f>CR12*100/$E$12</f>
        <v/>
      </c>
      <c r="CT12" s="133" t="n"/>
      <c r="CU12" s="182">
        <f>CT12*100/$E$12</f>
        <v/>
      </c>
      <c r="CV12" s="133" t="n"/>
      <c r="CW12" s="182">
        <f>CV12*100/$E$12</f>
        <v/>
      </c>
      <c r="CX12" s="133" t="n"/>
      <c r="CY12" s="182">
        <f>CX12*100/$E$12</f>
        <v/>
      </c>
      <c r="CZ12" s="133" t="n"/>
      <c r="DA12" s="182">
        <f>CZ12*100/$E$12</f>
        <v/>
      </c>
      <c r="DB12" s="133" t="n"/>
      <c r="DC12" s="182">
        <f>DB12*100/$E$12</f>
        <v/>
      </c>
      <c r="DD12" s="133" t="n">
        <v>2</v>
      </c>
      <c r="DE12" s="182">
        <f>DD12*100/$E$12</f>
        <v/>
      </c>
      <c r="DF12" s="133">
        <f>4+5</f>
        <v/>
      </c>
      <c r="DG12" s="182">
        <f>DF12*100/$E$12</f>
        <v/>
      </c>
      <c r="DH12" s="133">
        <f>5+4+12+2</f>
        <v/>
      </c>
      <c r="DI12" s="182">
        <f>DH12*100/$E$12</f>
        <v/>
      </c>
      <c r="DJ12" s="133" t="n">
        <v>8</v>
      </c>
      <c r="DK12" s="182">
        <f>DJ12*100/$E$12</f>
        <v/>
      </c>
      <c r="DL12" s="133" t="n"/>
      <c r="DM12" s="182">
        <f>DL12*100/$E$12</f>
        <v/>
      </c>
      <c r="DN12" s="133" t="n"/>
      <c r="DO12" s="182">
        <f>DN12*100/$E$12</f>
        <v/>
      </c>
      <c r="DP12" s="133" t="n"/>
      <c r="DQ12" s="182">
        <f>DP12*100/$E$12</f>
        <v/>
      </c>
      <c r="DR12" s="133" t="n"/>
      <c r="DS12" s="182">
        <f>DR12*100/$E$12</f>
        <v/>
      </c>
      <c r="DT12" s="133" t="n"/>
      <c r="DU12" s="182">
        <f>DT12*100/$E$12</f>
        <v/>
      </c>
      <c r="DV12" s="133" t="n">
        <v>5</v>
      </c>
      <c r="DW12" s="182">
        <f>DV12*100/$E$12</f>
        <v/>
      </c>
      <c r="DX12" s="133" t="n"/>
      <c r="DY12" s="182">
        <f>DX12*100/$E$12</f>
        <v/>
      </c>
      <c r="DZ12" s="133">
        <f>12+3</f>
        <v/>
      </c>
      <c r="EA12" s="182">
        <f>DZ12*100/$E$12</f>
        <v/>
      </c>
      <c r="EB12" s="133" t="n"/>
      <c r="EC12" s="182">
        <f>EB12*100/$E$12</f>
        <v/>
      </c>
      <c r="ED12" s="133" t="n"/>
      <c r="EE12" s="182">
        <f>ED12*100/$E$12</f>
        <v/>
      </c>
      <c r="EF12" s="133" t="n">
        <v>8</v>
      </c>
      <c r="EG12" s="182">
        <f>EF12*100/$E$12</f>
        <v/>
      </c>
      <c r="EH12" s="133" t="n"/>
      <c r="EI12" s="182">
        <f>EH12*100/$E$12</f>
        <v/>
      </c>
      <c r="EJ12" s="133" t="n"/>
      <c r="EK12" s="182">
        <f>EJ12*100/$E$12</f>
        <v/>
      </c>
      <c r="EL12" s="133" t="n">
        <v>12</v>
      </c>
      <c r="EM12" s="182">
        <f>EL12*100/$E$12</f>
        <v/>
      </c>
      <c r="EN12" s="133" t="n"/>
      <c r="EO12" s="182">
        <f>EN12*100/$E$12</f>
        <v/>
      </c>
      <c r="EP12" s="133" t="n"/>
      <c r="EQ12" s="182">
        <f>EP12*100/$E$12</f>
        <v/>
      </c>
      <c r="ER12" s="133" t="n"/>
      <c r="ES12" s="182">
        <f>ER12*100/$E$12</f>
        <v/>
      </c>
      <c r="ET12" s="133" t="n">
        <v>2</v>
      </c>
      <c r="EU12" s="182">
        <f>ET12*100/$E$12</f>
        <v/>
      </c>
      <c r="EV12" s="133" t="n">
        <v>7</v>
      </c>
      <c r="EW12" s="182">
        <f>EV12*100/$E$12</f>
        <v/>
      </c>
      <c r="EX12" s="133" t="n">
        <v>3</v>
      </c>
      <c r="EY12" s="182">
        <f>EX12*100/$E$12</f>
        <v/>
      </c>
      <c r="EZ12" s="133" t="n">
        <v>2</v>
      </c>
      <c r="FA12" s="182">
        <f>EZ12*100/$E$12</f>
        <v/>
      </c>
      <c r="FB12" s="133">
        <f>4+5</f>
        <v/>
      </c>
      <c r="FC12" s="182">
        <f>FB12*100/$E$12</f>
        <v/>
      </c>
      <c r="FD12" s="133">
        <f>6+3</f>
        <v/>
      </c>
      <c r="FE12" s="182">
        <f>FD12*100/$E$12</f>
        <v/>
      </c>
      <c r="FF12" s="133" t="n"/>
      <c r="FG12" s="182">
        <f>FF12*100/$E$12</f>
        <v/>
      </c>
      <c r="FH12" s="133" t="n"/>
      <c r="FI12" s="182">
        <f>FH12*100/$E$12</f>
        <v/>
      </c>
      <c r="FJ12" s="133" t="n"/>
      <c r="FK12" s="182">
        <f>FJ12*100/$E$12</f>
        <v/>
      </c>
      <c r="FL12" s="133" t="n"/>
      <c r="FM12" s="182">
        <f>FL12*100/$E$12</f>
        <v/>
      </c>
      <c r="FN12" s="133" t="n"/>
      <c r="FO12" s="182">
        <f>FN12*100/$E$12</f>
        <v/>
      </c>
      <c r="FP12" s="133" t="n"/>
      <c r="FQ12" s="182">
        <f>FP12*100/$E$12</f>
        <v/>
      </c>
      <c r="FR12" s="133" t="n"/>
      <c r="FS12" s="182">
        <f>FR12*100/$E$12</f>
        <v/>
      </c>
      <c r="FT12" s="133" t="n"/>
      <c r="FU12" s="182">
        <f>FT12*100/$E$12</f>
        <v/>
      </c>
      <c r="FV12" s="133" t="n"/>
      <c r="FW12" s="182">
        <f>FV12*100/$E$12</f>
        <v/>
      </c>
      <c r="FX12" s="133" t="n"/>
      <c r="FY12" s="181">
        <f>FX12*100/$E$12</f>
        <v/>
      </c>
      <c r="FZ12" s="133" t="n"/>
      <c r="GA12" s="181">
        <f>FZ12*100/$E$12</f>
        <v/>
      </c>
      <c r="GB12" s="133" t="n"/>
      <c r="GC12" s="181">
        <f>GB12*100/$E$12</f>
        <v/>
      </c>
      <c r="GD12" s="133" t="n"/>
      <c r="GE12" s="181">
        <f>GD12*100/$E$12</f>
        <v/>
      </c>
      <c r="GF12" s="133" t="n"/>
      <c r="GG12" s="181">
        <f>GF12*100/$E$12</f>
        <v/>
      </c>
      <c r="GH12" s="133" t="n"/>
      <c r="GI12" s="181">
        <f>GH12*100/$E$12</f>
        <v/>
      </c>
      <c r="GJ12" s="133" t="n"/>
      <c r="GK12" s="182">
        <f>GJ12*100/$E$12</f>
        <v/>
      </c>
      <c r="GL12" s="133" t="n"/>
      <c r="GM12" s="181">
        <f>GL12*100/$E$12</f>
        <v/>
      </c>
      <c r="GN12" s="133" t="n"/>
      <c r="GO12" s="182">
        <f>GN12*100/$E$12</f>
        <v/>
      </c>
      <c r="GP12" s="133" t="n"/>
      <c r="GQ12" s="181">
        <f>GP12*100/$E$12</f>
        <v/>
      </c>
      <c r="GR12" s="133" t="n"/>
      <c r="GS12" s="182">
        <f>GR12*100/$E$12</f>
        <v/>
      </c>
      <c r="GT12" s="133" t="n"/>
      <c r="GU12" s="182">
        <f>GT12*100/$E$12</f>
        <v/>
      </c>
      <c r="GV12" s="133" t="n"/>
      <c r="GW12" s="182">
        <f>GV12*100/$E$12</f>
        <v/>
      </c>
      <c r="GX12" s="133" t="n"/>
      <c r="GY12" s="181">
        <f>GX12*100/$E$12</f>
        <v/>
      </c>
      <c r="GZ12" s="133" t="n"/>
      <c r="HA12" s="181">
        <f>GZ12*100/$E$12</f>
        <v/>
      </c>
      <c r="HB12" s="133" t="n"/>
      <c r="HC12" s="181">
        <f>HB12*100/$E$12</f>
        <v/>
      </c>
      <c r="HD12" s="133" t="n"/>
      <c r="HE12" s="181">
        <f>HD12*100/$E$12</f>
        <v/>
      </c>
      <c r="HF12" s="133" t="n"/>
      <c r="HG12" s="181">
        <f>HF12*100/$E$12</f>
        <v/>
      </c>
      <c r="HH12" s="133" t="n"/>
      <c r="HI12" s="181">
        <f>HH12*100/$E$12</f>
        <v/>
      </c>
      <c r="HJ12" s="133" t="n"/>
      <c r="HK12" s="181">
        <f>HJ12*100/$E$12</f>
        <v/>
      </c>
      <c r="HL12" s="133" t="n"/>
      <c r="HM12" s="181">
        <f>HL12*100/$E$12</f>
        <v/>
      </c>
      <c r="HN12" s="133" t="n"/>
      <c r="HO12" s="181">
        <f>HN12*100/$E$12</f>
        <v/>
      </c>
      <c r="HP12" s="133" t="n"/>
      <c r="HQ12" s="181">
        <f>HP12*100/$E$12</f>
        <v/>
      </c>
      <c r="HR12" s="133" t="n"/>
      <c r="HS12" s="181">
        <f>HR12*100/$E$12</f>
        <v/>
      </c>
      <c r="HT12" s="133" t="n"/>
      <c r="HU12" s="181">
        <f>HT12*100/$E$12</f>
        <v/>
      </c>
      <c r="HV12" s="133" t="n"/>
      <c r="HW12" s="181">
        <f>HV12*100/$E$12</f>
        <v/>
      </c>
      <c r="HX12" s="133" t="n"/>
      <c r="HY12" s="181">
        <f>HX12*100/$E$12</f>
        <v/>
      </c>
      <c r="HZ12" s="133" t="n"/>
      <c r="IA12" s="182">
        <f>HZ12*100/$E$12</f>
        <v/>
      </c>
      <c r="IB12" s="133" t="n"/>
      <c r="IC12" s="182">
        <f>IB12*100/$E$12</f>
        <v/>
      </c>
      <c r="ID12" s="133" t="n"/>
      <c r="IE12" s="182">
        <f>ID12*100/$E$12</f>
        <v/>
      </c>
      <c r="IF12" s="133" t="n"/>
      <c r="IG12" s="182">
        <f>IF12*100/$E$12</f>
        <v/>
      </c>
      <c r="IH12" s="133" t="n"/>
      <c r="II12" s="182">
        <f>IH12*100/$E$12</f>
        <v/>
      </c>
      <c r="IJ12" s="133" t="n"/>
      <c r="IK12" s="182">
        <f>IJ12*100/$E$12</f>
        <v/>
      </c>
      <c r="IL12" s="133" t="n"/>
      <c r="IM12" s="181">
        <f>IL12*100/$E$12</f>
        <v/>
      </c>
      <c r="IN12" s="133" t="n"/>
      <c r="IO12" s="181">
        <f>IN12*100/$E$12</f>
        <v/>
      </c>
      <c r="IP12" s="133" t="n"/>
      <c r="IQ12" s="182">
        <f>IP12*100/$E$12</f>
        <v/>
      </c>
      <c r="IR12" s="133" t="n"/>
      <c r="IS12" s="182">
        <f>IR12*100/$E$12</f>
        <v/>
      </c>
      <c r="IT12" s="133" t="n"/>
      <c r="IU12" s="182">
        <f>IT12*100/$E$12</f>
        <v/>
      </c>
      <c r="IV12" s="133" t="n"/>
      <c r="IW12" s="182">
        <f>IV12*100/$E$12</f>
        <v/>
      </c>
      <c r="IX12" s="133" t="n"/>
      <c r="IY12" s="182">
        <f>IX12*100/$E$12</f>
        <v/>
      </c>
      <c r="IZ12" s="133" t="n"/>
      <c r="JA12" s="182">
        <f>IZ12*100/$E$12</f>
        <v/>
      </c>
      <c r="JB12" s="133" t="n">
        <v>10</v>
      </c>
      <c r="JC12" s="182">
        <f>JB12*100/$E$12</f>
        <v/>
      </c>
      <c r="JD12" s="133" t="n">
        <v>6.5</v>
      </c>
      <c r="JE12" s="182">
        <f>JD12*100/$E$12</f>
        <v/>
      </c>
      <c r="JF12" s="133" t="n"/>
      <c r="JG12" s="182">
        <f>JF12*100/$E$12</f>
        <v/>
      </c>
      <c r="JH12" s="133" t="n"/>
      <c r="JI12" s="182">
        <f>JH12*100/$E$12</f>
        <v/>
      </c>
      <c r="JJ12" s="133" t="n"/>
      <c r="JK12" s="182">
        <f>JJ12*100/$E$12</f>
        <v/>
      </c>
      <c r="JL12" s="133">
        <f>3+12+7-10-6.5</f>
        <v/>
      </c>
      <c r="JM12" s="182">
        <f>JL12*100/$E$12</f>
        <v/>
      </c>
      <c r="JN12" s="133" t="n"/>
      <c r="JO12" s="182">
        <f>JN12*100/$E$12</f>
        <v/>
      </c>
      <c r="JP12" s="133" t="n"/>
      <c r="JQ12" s="182">
        <f>JP12*100/$E$12</f>
        <v/>
      </c>
      <c r="JR12" s="133" t="n"/>
      <c r="JS12" s="139">
        <f>JR12*100/$E$12</f>
        <v/>
      </c>
      <c r="JT12" s="133" t="n"/>
      <c r="JU12" s="139">
        <f>JT12*100/$E$12</f>
        <v/>
      </c>
      <c r="JV12" s="133" t="n"/>
      <c r="JW12" s="139">
        <f>JV12*100/$E$12</f>
        <v/>
      </c>
      <c r="JX12" s="133" t="n"/>
      <c r="JY12" s="139">
        <f>JX12*100/$E$12</f>
        <v/>
      </c>
      <c r="JZ12" s="183">
        <f>JN12+JP12+JR12+JT12+JV12+JX12</f>
        <v/>
      </c>
      <c r="KA12" s="184">
        <f>JO12+JQ12+JS12+JU12+JW12+JY12</f>
        <v/>
      </c>
      <c r="KB12" s="185">
        <f>H12+J12+L12+N12+P12+R12+T12+V12+X12+Z12+AB12+AD12+AF12+AH12+AJ12+AL12+AN12+AP12+AR12+AT12+AV12+AX12+AZ12+BB12+BD12+BF12+BH12+BJ12+BL12+BN12+BP12+BR12+BT12+BV12+BX12+BZ12+CB12+CD12+CF12+CH12+CZ12+DB12+DD12+DF12+DH12+DJ12+DL12+DN12+DP12+DR12+DT12+DV12+DX12+DZ12+EB12+ED12+EF12+EH12+EJ12+EL12+EN12+EP12+ER12+ET12+EV12+FN12+FP12+FR12+FT12+FV12+FX12+FZ12+GB12+GD12+GF12+GH12+GJ12+GL12+GN12+GP12+GR12+GT12+GV12+GX12+GZ12+HB12+HD12+HF12+HH12+HJ12+HL12+HN12+HP12+HR12+HT12+HV12+HX12+HZ12+IB12+ID12+IF12+IH12+IJ12+IL12+IN12+IP12+IR12+IT12+IV12+IX12+IZ12+JB12+JD12+JF12+JH12+JJ12+JL12+JZ12+CJ12+CL12+CN12+CP12+CR12+CT12+CV12+CX12+EX12+EZ12+FB12+FD12+FF12+FH12+FJ12+FL12</f>
        <v/>
      </c>
      <c r="KC12" s="186">
        <f>I12+K12+M12+O12+Q12+S12+U12+W12+Y12+AA12+AC12+AE12+AG12+AI12+AK12+AM12+AO12+AQ12+AS12+AU12+AW12+AY12+BA12+BC12+BE12+BG12+BI12+BK12+BM12+BO12+BQ12+BS12+BU12+BW12+BY12+CA12+CC12+CE12+CG12+CI12+DA12+DC12+DE12+DG12+DI12+DK12+DM12+DO12+DQ12+DS12+DU12+DW12+DY12+EA12+EC12+EE12+EG12+EI12+EK12+EM12+EO12+EQ12+ES12+EU12+EW12+FO12+FS12+FU12+FW12+FQ12+FY12+GA12+GC12+GE12+GG12+GI12+GK12+GM12+GO12+GQ12+GS12+GU12+GW12+GY12+HA12+HC12+HE12+HG12+HI12+HK12+HM12+HO12+HQ12+HS12+HU12+HW12+HY12+IA12+IC12+IE12+IG12+II12+IK12+IM12+IO12+IQ12+IS12+IU12+IW12+IY12+JA12+JC12+JE12+JG12+JI12+JK12+JM12+KA12+CK12+CM12+CO12+CQ12+CS12+CU12+CW12+CY12+EY12+FA12+FC12+FE12+FG12+FI12+FK12+FM12</f>
        <v/>
      </c>
      <c r="KD12" s="187">
        <f>JO12+JQ12+JS12+JU12+JW12+JY12</f>
        <v/>
      </c>
      <c r="KE12" s="188">
        <f>KB12=E12</f>
        <v/>
      </c>
      <c r="KF12" s="189">
        <f>E12-KB12</f>
        <v/>
      </c>
    </row>
    <row r="13" ht="21.75" customFormat="1" customHeight="1" s="241">
      <c r="A13" s="126">
        <f>A12+1</f>
        <v/>
      </c>
      <c r="B13" s="175" t="inlineStr">
        <is>
          <t>Дорофеев Н.В.</t>
        </is>
      </c>
      <c r="C13" s="176" t="inlineStr">
        <is>
          <t>Эл.сварщик</t>
        </is>
      </c>
      <c r="D13" s="177">
        <f>$D$5</f>
        <v/>
      </c>
      <c r="E13" s="202" t="n">
        <v>167</v>
      </c>
      <c r="F13" s="190" t="n">
        <v>61196.9</v>
      </c>
      <c r="G13" s="179">
        <f>F13/D13</f>
        <v/>
      </c>
      <c r="H13" s="180" t="n"/>
      <c r="I13" s="140">
        <f>H13*100/$E$13</f>
        <v/>
      </c>
      <c r="J13" s="133" t="n"/>
      <c r="K13" s="140">
        <f>J13*100/$E$13</f>
        <v/>
      </c>
      <c r="L13" s="133" t="n"/>
      <c r="M13" s="140">
        <f>L13*100/$E$13</f>
        <v/>
      </c>
      <c r="N13" s="133" t="n"/>
      <c r="O13" s="140">
        <f>N13*100/$E$13</f>
        <v/>
      </c>
      <c r="P13" s="133" t="n"/>
      <c r="Q13" s="139">
        <f>P13*100/$E$13</f>
        <v/>
      </c>
      <c r="R13" s="133" t="n"/>
      <c r="S13" s="139">
        <f>R13*100/$E$13</f>
        <v/>
      </c>
      <c r="T13" s="133" t="n"/>
      <c r="U13" s="140">
        <f>T13*100/$E$13</f>
        <v/>
      </c>
      <c r="V13" s="133" t="n"/>
      <c r="W13" s="140">
        <f>V13*100/$E$13</f>
        <v/>
      </c>
      <c r="X13" s="133" t="n"/>
      <c r="Y13" s="140">
        <f>X13*100/$E$13</f>
        <v/>
      </c>
      <c r="Z13" s="133" t="n"/>
      <c r="AA13" s="140">
        <f>Z13*100/$E$13</f>
        <v/>
      </c>
      <c r="AB13" s="133" t="n"/>
      <c r="AC13" s="140">
        <f>AB13*100/$E$13</f>
        <v/>
      </c>
      <c r="AD13" s="133" t="n"/>
      <c r="AE13" s="139">
        <f>AD13*100/$E$13</f>
        <v/>
      </c>
      <c r="AF13" s="133" t="n"/>
      <c r="AG13" s="139">
        <f>AF13*100/$E$13</f>
        <v/>
      </c>
      <c r="AH13" s="133" t="n"/>
      <c r="AI13" s="140">
        <f>AH13*100/$E$13</f>
        <v/>
      </c>
      <c r="AJ13" s="133" t="n"/>
      <c r="AK13" s="140">
        <f>AJ13*100/$E$13</f>
        <v/>
      </c>
      <c r="AL13" s="133" t="n">
        <v>8</v>
      </c>
      <c r="AM13" s="140">
        <f>AL13*100/$E$13</f>
        <v/>
      </c>
      <c r="AN13" s="133">
        <f>3+3+4.5</f>
        <v/>
      </c>
      <c r="AO13" s="140">
        <f>AN13*100/$E$13</f>
        <v/>
      </c>
      <c r="AP13" s="133" t="n"/>
      <c r="AQ13" s="140">
        <f>AP13*100/$E$13</f>
        <v/>
      </c>
      <c r="AR13" s="133">
        <f>3+3</f>
        <v/>
      </c>
      <c r="AS13" s="140">
        <f>AR13*100/$E$13</f>
        <v/>
      </c>
      <c r="AT13" s="133">
        <f>2+2</f>
        <v/>
      </c>
      <c r="AU13" s="181">
        <f>AT13*100/$E$13</f>
        <v/>
      </c>
      <c r="AV13" s="133">
        <f>8+8+8+6</f>
        <v/>
      </c>
      <c r="AW13" s="140">
        <f>AV13*100/$E$13</f>
        <v/>
      </c>
      <c r="AX13" s="133" t="n"/>
      <c r="AY13" s="140">
        <f>AX13*100/$E$13</f>
        <v/>
      </c>
      <c r="AZ13" s="133" t="n"/>
      <c r="BA13" s="140">
        <f>AZ13*100/$E$13</f>
        <v/>
      </c>
      <c r="BB13" s="133">
        <f>6+1.5</f>
        <v/>
      </c>
      <c r="BC13" s="140">
        <f>BB13*100/$E$13</f>
        <v/>
      </c>
      <c r="BD13" s="133" t="n"/>
      <c r="BE13" s="140">
        <f>BD13*100/$E$13</f>
        <v/>
      </c>
      <c r="BF13" s="133" t="n"/>
      <c r="BG13" s="140">
        <f>BF13*100/$E$13</f>
        <v/>
      </c>
      <c r="BH13" s="133" t="n"/>
      <c r="BI13" s="140">
        <f>BH13*100/$E$13</f>
        <v/>
      </c>
      <c r="BJ13" s="133" t="n"/>
      <c r="BK13" s="140">
        <f>BJ13*100/$E$13</f>
        <v/>
      </c>
      <c r="BL13" s="133" t="n"/>
      <c r="BM13" s="140">
        <f>BL13*100/$E$13</f>
        <v/>
      </c>
      <c r="BN13" s="133" t="n"/>
      <c r="BO13" s="140">
        <f>BN13*100/$E$13</f>
        <v/>
      </c>
      <c r="BP13" s="133" t="n"/>
      <c r="BQ13" s="140">
        <f>BP13*100/$E$13</f>
        <v/>
      </c>
      <c r="BR13" s="133" t="n"/>
      <c r="BS13" s="140">
        <f>BR13*100/$E$13</f>
        <v/>
      </c>
      <c r="BT13" s="133" t="n"/>
      <c r="BU13" s="140">
        <f>BT13*100/$E$13</f>
        <v/>
      </c>
      <c r="BV13" s="133" t="n"/>
      <c r="BW13" s="140">
        <f>BV13*100/$E$13</f>
        <v/>
      </c>
      <c r="BX13" s="133" t="n"/>
      <c r="BY13" s="140">
        <f>BX13*100/$E$13</f>
        <v/>
      </c>
      <c r="BZ13" s="133" t="n"/>
      <c r="CA13" s="140">
        <f>BZ13*100/$E$13</f>
        <v/>
      </c>
      <c r="CB13" s="133" t="n"/>
      <c r="CC13" s="140">
        <f>CB13*100/$E$13</f>
        <v/>
      </c>
      <c r="CD13" s="133">
        <f>2+8+2+8</f>
        <v/>
      </c>
      <c r="CE13" s="140">
        <f>CD13*100/$E$13</f>
        <v/>
      </c>
      <c r="CF13" s="133" t="n"/>
      <c r="CG13" s="140">
        <f>CF13*100/$E$13</f>
        <v/>
      </c>
      <c r="CH13" s="133" t="n"/>
      <c r="CI13" s="140">
        <f>CH13*100/$E$13</f>
        <v/>
      </c>
      <c r="CJ13" s="133" t="n"/>
      <c r="CK13" s="140">
        <f>CJ13*100/$E$13</f>
        <v/>
      </c>
      <c r="CL13" s="133" t="n"/>
      <c r="CM13" s="140">
        <f>CL13*100/$E$13</f>
        <v/>
      </c>
      <c r="CN13" s="133" t="n"/>
      <c r="CO13" s="139">
        <f>CN13*100/$E$13</f>
        <v/>
      </c>
      <c r="CP13" s="133" t="n"/>
      <c r="CQ13" s="140">
        <f>CP13*100/$E$13</f>
        <v/>
      </c>
      <c r="CR13" s="133" t="n"/>
      <c r="CS13" s="139">
        <f>CR13*100/$E$13</f>
        <v/>
      </c>
      <c r="CT13" s="133" t="n">
        <v>2</v>
      </c>
      <c r="CU13" s="139">
        <f>CT13*100/$E$13</f>
        <v/>
      </c>
      <c r="CV13" s="133" t="n">
        <v>8</v>
      </c>
      <c r="CW13" s="139">
        <f>CV13*100/$E$13</f>
        <v/>
      </c>
      <c r="CX13" s="133" t="n">
        <v>3</v>
      </c>
      <c r="CY13" s="139">
        <f>CX13*100/$E$13</f>
        <v/>
      </c>
      <c r="CZ13" s="133" t="n">
        <v>3</v>
      </c>
      <c r="DA13" s="139">
        <f>CZ13*100/$E$13</f>
        <v/>
      </c>
      <c r="DB13" s="133" t="n"/>
      <c r="DC13" s="139">
        <f>DB13*100/$E$13</f>
        <v/>
      </c>
      <c r="DD13" s="133" t="n"/>
      <c r="DE13" s="139">
        <f>DD13*100/$E$13</f>
        <v/>
      </c>
      <c r="DF13" s="133" t="n"/>
      <c r="DG13" s="139">
        <f>DF13*100/$E$13</f>
        <v/>
      </c>
      <c r="DH13" s="133" t="n"/>
      <c r="DI13" s="139">
        <f>DH13*100/$E$13</f>
        <v/>
      </c>
      <c r="DJ13" s="133" t="n"/>
      <c r="DK13" s="139">
        <f>DJ13*100/$E$13</f>
        <v/>
      </c>
      <c r="DL13" s="133" t="n"/>
      <c r="DM13" s="139">
        <f>DL13*100/$E$13</f>
        <v/>
      </c>
      <c r="DN13" s="133" t="n"/>
      <c r="DO13" s="139">
        <f>DN13*100/$E$13</f>
        <v/>
      </c>
      <c r="DP13" s="133" t="n"/>
      <c r="DQ13" s="139">
        <f>DP13*100/$E$13</f>
        <v/>
      </c>
      <c r="DR13" s="133" t="n"/>
      <c r="DS13" s="139">
        <f>DR13*100/$E$13</f>
        <v/>
      </c>
      <c r="DT13" s="133" t="n"/>
      <c r="DU13" s="139">
        <f>DT13*100/$E$13</f>
        <v/>
      </c>
      <c r="DV13" s="133" t="n"/>
      <c r="DW13" s="139">
        <f>DV13*100/$E$13</f>
        <v/>
      </c>
      <c r="DX13" s="133" t="n"/>
      <c r="DY13" s="139">
        <f>DX13*100/$E$13</f>
        <v/>
      </c>
      <c r="DZ13" s="133" t="n"/>
      <c r="EA13" s="139">
        <f>DZ13*100/$E$13</f>
        <v/>
      </c>
      <c r="EB13" s="133" t="n"/>
      <c r="EC13" s="139">
        <f>EB13*100/$E$13</f>
        <v/>
      </c>
      <c r="ED13" s="133" t="n"/>
      <c r="EE13" s="139">
        <f>ED13*100/$E$13</f>
        <v/>
      </c>
      <c r="EF13" s="133" t="n"/>
      <c r="EG13" s="139">
        <f>EF13*100/$E$13</f>
        <v/>
      </c>
      <c r="EH13" s="133" t="n"/>
      <c r="EI13" s="139">
        <f>EH13*100/$E$13</f>
        <v/>
      </c>
      <c r="EJ13" s="133" t="n"/>
      <c r="EK13" s="139">
        <f>EJ13*100/$E$13</f>
        <v/>
      </c>
      <c r="EL13" s="133" t="n"/>
      <c r="EM13" s="139">
        <f>EL13*100/$E$13</f>
        <v/>
      </c>
      <c r="EN13" s="133" t="n"/>
      <c r="EO13" s="139">
        <f>EN13*100/$E$13</f>
        <v/>
      </c>
      <c r="EP13" s="133" t="n"/>
      <c r="EQ13" s="139">
        <f>EP13*100/$E$13</f>
        <v/>
      </c>
      <c r="ER13" s="133" t="n"/>
      <c r="ES13" s="139">
        <f>ER13*100/$E$13</f>
        <v/>
      </c>
      <c r="ET13" s="133" t="n"/>
      <c r="EU13" s="139">
        <f>ET13*100/$E$13</f>
        <v/>
      </c>
      <c r="EV13" s="133" t="n"/>
      <c r="EW13" s="139">
        <f>EV13*100/$E$13</f>
        <v/>
      </c>
      <c r="EX13" s="133" t="n"/>
      <c r="EY13" s="139">
        <f>EX13*100/$E$13</f>
        <v/>
      </c>
      <c r="EZ13" s="133" t="n"/>
      <c r="FA13" s="139">
        <f>EZ13*100/$E$13</f>
        <v/>
      </c>
      <c r="FB13" s="133" t="n"/>
      <c r="FC13" s="139">
        <f>FB13*100/$E$13</f>
        <v/>
      </c>
      <c r="FD13" s="133" t="n"/>
      <c r="FE13" s="139">
        <f>FD13*100/$E$13</f>
        <v/>
      </c>
      <c r="FF13" s="133" t="n"/>
      <c r="FG13" s="139">
        <f>FF13*100/$E$13</f>
        <v/>
      </c>
      <c r="FH13" s="133" t="n"/>
      <c r="FI13" s="139">
        <f>FH13*100/$E$13</f>
        <v/>
      </c>
      <c r="FJ13" s="133" t="n"/>
      <c r="FK13" s="139">
        <f>FJ13*100/$E$13</f>
        <v/>
      </c>
      <c r="FL13" s="133" t="n"/>
      <c r="FM13" s="139">
        <f>FL13*100/$E$13</f>
        <v/>
      </c>
      <c r="FN13" s="133" t="n"/>
      <c r="FO13" s="139">
        <f>FN13*100/$E$13</f>
        <v/>
      </c>
      <c r="FP13" s="133" t="n"/>
      <c r="FQ13" s="139">
        <f>FP13*100/$E$13</f>
        <v/>
      </c>
      <c r="FR13" s="133" t="n"/>
      <c r="FS13" s="139">
        <f>FR13*100/$E$13</f>
        <v/>
      </c>
      <c r="FT13" s="133" t="n"/>
      <c r="FU13" s="139">
        <f>FT13*100/$E$13</f>
        <v/>
      </c>
      <c r="FV13" s="133" t="n"/>
      <c r="FW13" s="139">
        <f>FV13*100/$E$13</f>
        <v/>
      </c>
      <c r="FX13" s="133" t="n"/>
      <c r="FY13" s="140">
        <f>FX13*100/$E$13</f>
        <v/>
      </c>
      <c r="FZ13" s="133" t="n"/>
      <c r="GA13" s="140">
        <f>FZ13*100/$E$13</f>
        <v/>
      </c>
      <c r="GB13" s="133" t="n"/>
      <c r="GC13" s="140">
        <f>GB13*100/$E$13</f>
        <v/>
      </c>
      <c r="GD13" s="133" t="n"/>
      <c r="GE13" s="140">
        <f>GD13*100/$E$13</f>
        <v/>
      </c>
      <c r="GF13" s="133" t="n"/>
      <c r="GG13" s="140">
        <f>GF13*100/$E$13</f>
        <v/>
      </c>
      <c r="GH13" s="133" t="n"/>
      <c r="GI13" s="140">
        <f>GH13*100/$E$13</f>
        <v/>
      </c>
      <c r="GJ13" s="133" t="n"/>
      <c r="GK13" s="139">
        <f>GJ13*100/$E$13</f>
        <v/>
      </c>
      <c r="GL13" s="133" t="n"/>
      <c r="GM13" s="140">
        <f>GL13*100/$E$13</f>
        <v/>
      </c>
      <c r="GN13" s="133" t="n"/>
      <c r="GO13" s="139">
        <f>GN13*100/$E$13</f>
        <v/>
      </c>
      <c r="GP13" s="133" t="n"/>
      <c r="GQ13" s="140">
        <f>GP13*100/$E$13</f>
        <v/>
      </c>
      <c r="GR13" s="133" t="n"/>
      <c r="GS13" s="139">
        <f>GR13*100/$E$13</f>
        <v/>
      </c>
      <c r="GT13" s="133" t="n"/>
      <c r="GU13" s="139">
        <f>GT13*100/$E$13</f>
        <v/>
      </c>
      <c r="GV13" s="133" t="n"/>
      <c r="GW13" s="139">
        <f>GV13*100/$E$13</f>
        <v/>
      </c>
      <c r="GX13" s="133" t="n"/>
      <c r="GY13" s="140">
        <f>GX13*100/$E$13</f>
        <v/>
      </c>
      <c r="GZ13" s="133" t="n"/>
      <c r="HA13" s="140">
        <f>GZ13*100/$E$13</f>
        <v/>
      </c>
      <c r="HB13" s="133" t="n"/>
      <c r="HC13" s="140">
        <f>HB13*100/$E$13</f>
        <v/>
      </c>
      <c r="HD13" s="133" t="n"/>
      <c r="HE13" s="140">
        <f>HD13*100/$E$13</f>
        <v/>
      </c>
      <c r="HF13" s="133" t="n"/>
      <c r="HG13" s="140">
        <f>HF13*100/$E$13</f>
        <v/>
      </c>
      <c r="HH13" s="133" t="n"/>
      <c r="HI13" s="140">
        <f>HH13*100/$E$13</f>
        <v/>
      </c>
      <c r="HJ13" s="133" t="n"/>
      <c r="HK13" s="140">
        <f>HJ13*100/$E$13</f>
        <v/>
      </c>
      <c r="HL13" s="133" t="n"/>
      <c r="HM13" s="140">
        <f>HL13*100/$E$13</f>
        <v/>
      </c>
      <c r="HN13" s="133" t="n"/>
      <c r="HO13" s="140">
        <f>HN13*100/$E$13</f>
        <v/>
      </c>
      <c r="HP13" s="133" t="n"/>
      <c r="HQ13" s="140">
        <f>HP13*100/$E$13</f>
        <v/>
      </c>
      <c r="HR13" s="133" t="n"/>
      <c r="HS13" s="140">
        <f>HR13*100/$E$13</f>
        <v/>
      </c>
      <c r="HT13" s="133" t="n"/>
      <c r="HU13" s="140">
        <f>HT13*100/$E$13</f>
        <v/>
      </c>
      <c r="HV13" s="133" t="n"/>
      <c r="HW13" s="140">
        <f>HV13*100/$E$13</f>
        <v/>
      </c>
      <c r="HX13" s="133" t="n"/>
      <c r="HY13" s="140">
        <f>HX13*100/$E$13</f>
        <v/>
      </c>
      <c r="HZ13" s="133" t="n"/>
      <c r="IA13" s="139">
        <f>HZ13*100/$E$13</f>
        <v/>
      </c>
      <c r="IB13" s="133" t="n"/>
      <c r="IC13" s="139">
        <f>IB13*100/$E$13</f>
        <v/>
      </c>
      <c r="ID13" s="133" t="n"/>
      <c r="IE13" s="139">
        <f>ID13*100/$E$13</f>
        <v/>
      </c>
      <c r="IF13" s="133" t="n"/>
      <c r="IG13" s="139">
        <f>IF13*100/$E$13</f>
        <v/>
      </c>
      <c r="IH13" s="133" t="n"/>
      <c r="II13" s="139">
        <f>IH13*100/$E$13</f>
        <v/>
      </c>
      <c r="IJ13" s="133" t="n"/>
      <c r="IK13" s="139">
        <f>IJ13*100/$E$13</f>
        <v/>
      </c>
      <c r="IL13" s="133" t="n"/>
      <c r="IM13" s="140">
        <f>IL13*100/$E$13</f>
        <v/>
      </c>
      <c r="IN13" s="133" t="n"/>
      <c r="IO13" s="140">
        <f>IN13*100/$E$13</f>
        <v/>
      </c>
      <c r="IP13" s="133" t="n"/>
      <c r="IQ13" s="139">
        <f>IP13*100/$E$13</f>
        <v/>
      </c>
      <c r="IR13" s="133" t="n"/>
      <c r="IS13" s="139">
        <f>IR13*100/$E$13</f>
        <v/>
      </c>
      <c r="IT13" s="133" t="n"/>
      <c r="IU13" s="139">
        <f>IT13*100/$E$13</f>
        <v/>
      </c>
      <c r="IV13" s="133" t="n"/>
      <c r="IW13" s="139">
        <f>IV13*100/$E$13</f>
        <v/>
      </c>
      <c r="IX13" s="133" t="n"/>
      <c r="IY13" s="139">
        <f>IX13*100/$E$13</f>
        <v/>
      </c>
      <c r="IZ13" s="133" t="n"/>
      <c r="JA13" s="139">
        <f>IZ13*100/$E$13</f>
        <v/>
      </c>
      <c r="JB13" s="133" t="n"/>
      <c r="JC13" s="139">
        <f>JB13*100/$E$13</f>
        <v/>
      </c>
      <c r="JD13" s="133" t="n"/>
      <c r="JE13" s="139">
        <f>JD13*100/$E$13</f>
        <v/>
      </c>
      <c r="JF13" s="133" t="n"/>
      <c r="JG13" s="139">
        <f>JF13*100/$E$13</f>
        <v/>
      </c>
      <c r="JH13" s="133" t="n"/>
      <c r="JI13" s="139">
        <f>JH13*100/$E$13</f>
        <v/>
      </c>
      <c r="JJ13" s="133" t="n"/>
      <c r="JK13" s="139">
        <f>JJ13*100/$E$13</f>
        <v/>
      </c>
      <c r="JL13" s="133">
        <f>16+8</f>
        <v/>
      </c>
      <c r="JM13" s="139">
        <f>JL13*100/$E$13</f>
        <v/>
      </c>
      <c r="JN13" s="133">
        <f>17+16</f>
        <v/>
      </c>
      <c r="JO13" s="139">
        <f>JN13*100/$E$13</f>
        <v/>
      </c>
      <c r="JP13" s="133" t="n">
        <v>8</v>
      </c>
      <c r="JQ13" s="139">
        <f>JP13*100/$E$13</f>
        <v/>
      </c>
      <c r="JR13" s="133" t="n"/>
      <c r="JS13" s="139">
        <f>JR13*100/$E$13</f>
        <v/>
      </c>
      <c r="JT13" s="133" t="n"/>
      <c r="JU13" s="139">
        <f>JT13*100/$E$13</f>
        <v/>
      </c>
      <c r="JV13" s="133" t="n"/>
      <c r="JW13" s="139">
        <f>JV13*100/$E$13</f>
        <v/>
      </c>
      <c r="JX13" s="133" t="n"/>
      <c r="JY13" s="139">
        <f>JX13*100/$E$13</f>
        <v/>
      </c>
      <c r="JZ13" s="183">
        <f>JN13+JP13+JR13+JT13+JV13+JX13</f>
        <v/>
      </c>
      <c r="KA13" s="184">
        <f>JO13+JQ13+JS13+JU13+JW13+JY13</f>
        <v/>
      </c>
      <c r="KB13" s="185">
        <f>H13+J13+L13+N13+P13+R13+T13+V13+X13+Z13+AB13+AD13+AF13+AH13+AJ13+AL13+AN13+AP13+AR13+AT13+AV13+AX13+AZ13+BB13+BD13+BF13+BH13+BJ13+BL13+BN13+BP13+BR13+BT13+BV13+BX13+BZ13+CB13+CD13+CF13+CH13+CZ13+DB13+DD13+DF13+DH13+DJ13+DL13+DN13+DP13+DR13+DT13+DV13+DX13+DZ13+EB13+ED13+EF13+EH13+EJ13+EL13+EN13+EP13+ER13+ET13+EV13+FN13+FP13+FR13+FT13+FV13+FX13+FZ13+GB13+GD13+GF13+GH13+GJ13+GL13+GN13+GP13+GR13+GT13+GV13+GX13+GZ13+HB13+HD13+HF13+HH13+HJ13+HL13+HN13+HP13+HR13+HT13+HV13+HX13+HZ13+IB13+ID13+IF13+IH13+IJ13+IL13+IN13+IP13+IR13+IT13+IV13+IX13+IZ13+JB13+JD13+JF13+JH13+JJ13+JL13+JZ13+CJ13+CL13+CN13+CP13+CR13+CT13+CV13+CX13+EX13+EZ13+FB13+FD13+FF13+FH13+FJ13+FL13</f>
        <v/>
      </c>
      <c r="KC13" s="186">
        <f>I13+K13+M13+O13+Q13+S13+U13+W13+Y13+AA13+AC13+AE13+AG13+AI13+AK13+AM13+AO13+AQ13+AS13+AU13+AW13+AY13+BA13+BC13+BE13+BG13+BI13+BK13+BM13+BO13+BQ13+BS13+BU13+BW13+BY13+CA13+CC13+CE13+CG13+CI13+DA13+DC13+DE13+DG13+DI13+DK13+DM13+DO13+DQ13+DS13+DU13+DW13+DY13+EA13+EC13+EE13+EG13+EI13+EK13+EM13+EO13+EQ13+ES13+EU13+EW13+FO13+FS13+FU13+FW13+FQ13+FY13+GA13+GC13+GE13+GG13+GI13+GK13+GM13+GO13+GQ13+GS13+GU13+GW13+GY13+HA13+HC13+HE13+HG13+HI13+HK13+HM13+HO13+HQ13+HS13+HU13+HW13+HY13+IA13+IC13+IE13+IG13+II13+IK13+IM13+IO13+IQ13+IS13+IU13+IW13+IY13+JA13+JC13+JE13+JG13+JI13+JK13+JM13+KA13+CK13+CM13+CO13+CQ13+CS13+CU13+CW13+CY13+EY13+FA13+FC13+FE13+FG13+FI13+FK13+FM13</f>
        <v/>
      </c>
      <c r="KD13" s="187">
        <f>JO13+JQ13+JS13+JU13+JW13+JY13</f>
        <v/>
      </c>
      <c r="KE13" s="188">
        <f>KB13=E13</f>
        <v/>
      </c>
      <c r="KF13" s="189">
        <f>E13-KB13</f>
        <v/>
      </c>
      <c r="KG13" s="229" t="n"/>
      <c r="KH13" s="209" t="n"/>
      <c r="KI13" s="209" t="n"/>
      <c r="KJ13" s="209" t="n"/>
      <c r="KK13" s="209" t="n"/>
      <c r="KL13" s="209" t="n"/>
      <c r="KM13" s="209" t="n"/>
      <c r="KN13" s="209" t="n"/>
      <c r="KO13" s="209" t="n"/>
    </row>
    <row r="14" ht="21.75" customFormat="1" customHeight="1" s="209">
      <c r="A14" s="126">
        <f>A13+1</f>
        <v/>
      </c>
      <c r="B14" s="175" t="inlineStr">
        <is>
          <t>Гринев В.Н.</t>
        </is>
      </c>
      <c r="C14" s="176" t="inlineStr">
        <is>
          <t>сварщик</t>
        </is>
      </c>
      <c r="D14" s="177">
        <f>$D$5</f>
        <v/>
      </c>
      <c r="E14" s="202" t="n">
        <v>104</v>
      </c>
      <c r="F14" s="190" t="n">
        <v>67377.96000000001</v>
      </c>
      <c r="G14" s="179">
        <f>F14/D14</f>
        <v/>
      </c>
      <c r="H14" s="180" t="n"/>
      <c r="I14" s="140">
        <f>H14*100/$E$14</f>
        <v/>
      </c>
      <c r="J14" s="133" t="n"/>
      <c r="K14" s="140">
        <f>J14*100/$E$14</f>
        <v/>
      </c>
      <c r="L14" s="133" t="n"/>
      <c r="M14" s="140">
        <f>L14*100/$E$14</f>
        <v/>
      </c>
      <c r="N14" s="133" t="n"/>
      <c r="O14" s="140">
        <f>N14*100/$E$14</f>
        <v/>
      </c>
      <c r="P14" s="133" t="n"/>
      <c r="Q14" s="139">
        <f>P14*100/$E$14</f>
        <v/>
      </c>
      <c r="R14" s="133" t="n"/>
      <c r="S14" s="140">
        <f>R14*100/$E$14</f>
        <v/>
      </c>
      <c r="T14" s="133" t="n"/>
      <c r="U14" s="140">
        <f>T14*100/$E$14</f>
        <v/>
      </c>
      <c r="V14" s="133" t="n"/>
      <c r="W14" s="140">
        <f>V14*100/$E$14</f>
        <v/>
      </c>
      <c r="X14" s="133" t="n"/>
      <c r="Y14" s="140">
        <f>X14*100/$E$14</f>
        <v/>
      </c>
      <c r="Z14" s="133" t="n"/>
      <c r="AA14" s="140">
        <f>Z14*100/$E$14</f>
        <v/>
      </c>
      <c r="AB14" s="133" t="n">
        <v>15.5</v>
      </c>
      <c r="AC14" s="140">
        <f>AB14*100/$E$14</f>
        <v/>
      </c>
      <c r="AD14" s="133" t="n"/>
      <c r="AE14" s="140">
        <f>AD14*100/$E$14</f>
        <v/>
      </c>
      <c r="AF14" s="133" t="n"/>
      <c r="AG14" s="140">
        <f>AF14*100/$E$14</f>
        <v/>
      </c>
      <c r="AH14" s="133" t="n"/>
      <c r="AI14" s="140">
        <f>AH14*100/$E$14</f>
        <v/>
      </c>
      <c r="AJ14" s="133" t="n">
        <v>5.5</v>
      </c>
      <c r="AK14" s="140">
        <f>AJ14*100/$E$14</f>
        <v/>
      </c>
      <c r="AL14" s="133" t="n"/>
      <c r="AM14" s="140">
        <f>AL14*100/$E$14</f>
        <v/>
      </c>
      <c r="AN14" s="133" t="n">
        <v>3</v>
      </c>
      <c r="AO14" s="140">
        <f>AN14*100/$E$14</f>
        <v/>
      </c>
      <c r="AP14" s="133" t="n"/>
      <c r="AQ14" s="140">
        <f>AP14*100/$E$14</f>
        <v/>
      </c>
      <c r="AR14" s="133" t="n">
        <v>3</v>
      </c>
      <c r="AS14" s="140">
        <f>AR14*100/$E$14</f>
        <v/>
      </c>
      <c r="AT14" s="133" t="n">
        <v>2</v>
      </c>
      <c r="AU14" s="181">
        <f>AT14*100/$E$14</f>
        <v/>
      </c>
      <c r="AV14" s="133" t="n">
        <v>10</v>
      </c>
      <c r="AW14" s="140">
        <f>AV14*100/$E$14</f>
        <v/>
      </c>
      <c r="AX14" s="133" t="n">
        <v>7</v>
      </c>
      <c r="AY14" s="140">
        <f>AX14*100/$E$14</f>
        <v/>
      </c>
      <c r="AZ14" s="133" t="n"/>
      <c r="BA14" s="140">
        <f>AZ14*100/$E$14</f>
        <v/>
      </c>
      <c r="BB14" s="133" t="n"/>
      <c r="BC14" s="140">
        <f>BB14*100/$E$14</f>
        <v/>
      </c>
      <c r="BD14" s="133" t="n"/>
      <c r="BE14" s="140">
        <f>BD14*100/$E$14</f>
        <v/>
      </c>
      <c r="BF14" s="133" t="n"/>
      <c r="BG14" s="140">
        <f>BF14*100/$E$14</f>
        <v/>
      </c>
      <c r="BH14" s="133" t="n"/>
      <c r="BI14" s="140">
        <f>BH14*100/$E$14</f>
        <v/>
      </c>
      <c r="BJ14" s="133" t="n"/>
      <c r="BK14" s="140">
        <f>BJ14*100/$E$14</f>
        <v/>
      </c>
      <c r="BL14" s="133" t="n"/>
      <c r="BM14" s="140">
        <f>BL14*100/$E$14</f>
        <v/>
      </c>
      <c r="BN14" s="133" t="n"/>
      <c r="BO14" s="140">
        <f>BN14*100/$E$14</f>
        <v/>
      </c>
      <c r="BP14" s="133" t="n"/>
      <c r="BQ14" s="140">
        <f>BP14*100/$E$14</f>
        <v/>
      </c>
      <c r="BR14" s="133" t="n"/>
      <c r="BS14" s="140">
        <f>BR14*100/$E$14</f>
        <v/>
      </c>
      <c r="BT14" s="133" t="n"/>
      <c r="BU14" s="140">
        <f>BT14*100/$E$14</f>
        <v/>
      </c>
      <c r="BV14" s="133" t="n"/>
      <c r="BW14" s="140">
        <f>BV14*100/$E$14</f>
        <v/>
      </c>
      <c r="BX14" s="133" t="n"/>
      <c r="BY14" s="140">
        <f>BX14*100/$E$14</f>
        <v/>
      </c>
      <c r="BZ14" s="133" t="n"/>
      <c r="CA14" s="140">
        <f>BZ14*100/$E$14</f>
        <v/>
      </c>
      <c r="CB14" s="133" t="n"/>
      <c r="CC14" s="140">
        <f>CB14*100/$E$14</f>
        <v/>
      </c>
      <c r="CD14" s="133" t="n"/>
      <c r="CE14" s="140">
        <f>CD14*100/$E$14</f>
        <v/>
      </c>
      <c r="CF14" s="133" t="n"/>
      <c r="CG14" s="140">
        <f>CF14*100/$E$14</f>
        <v/>
      </c>
      <c r="CH14" s="133" t="n"/>
      <c r="CI14" s="140">
        <f>CH14*100/$E$14</f>
        <v/>
      </c>
      <c r="CJ14" s="133" t="n"/>
      <c r="CK14" s="140">
        <f>CJ14*100/$E$14</f>
        <v/>
      </c>
      <c r="CL14" s="133" t="n"/>
      <c r="CM14" s="140">
        <f>CL14*100/$E$14</f>
        <v/>
      </c>
      <c r="CN14" s="133" t="n"/>
      <c r="CO14" s="139">
        <f>CN14*100/$E$14</f>
        <v/>
      </c>
      <c r="CP14" s="133" t="n"/>
      <c r="CQ14" s="140">
        <f>CP14*100/$E$14</f>
        <v/>
      </c>
      <c r="CR14" s="133" t="n"/>
      <c r="CS14" s="139">
        <f>CR14*100/$E$14</f>
        <v/>
      </c>
      <c r="CT14" s="133" t="n"/>
      <c r="CU14" s="139">
        <f>CT14*100/$E$14</f>
        <v/>
      </c>
      <c r="CV14" s="133" t="n">
        <v>11</v>
      </c>
      <c r="CW14" s="139">
        <f>CV14*100/$E$14</f>
        <v/>
      </c>
      <c r="CX14" s="133" t="n">
        <v>11</v>
      </c>
      <c r="CY14" s="139">
        <f>CX14*100/$E$14</f>
        <v/>
      </c>
      <c r="CZ14" s="133">
        <f>8+1+3</f>
        <v/>
      </c>
      <c r="DA14" s="139">
        <f>CZ14*100/$E$14</f>
        <v/>
      </c>
      <c r="DB14" s="133" t="n"/>
      <c r="DC14" s="139">
        <f>DB14*100/$E$14</f>
        <v/>
      </c>
      <c r="DD14" s="133" t="n"/>
      <c r="DE14" s="139">
        <f>DD14*100/$E$14</f>
        <v/>
      </c>
      <c r="DF14" s="133" t="n"/>
      <c r="DG14" s="139">
        <f>DF14*100/$E$14</f>
        <v/>
      </c>
      <c r="DH14" s="133" t="n"/>
      <c r="DI14" s="139">
        <f>DH14*100/$E$14</f>
        <v/>
      </c>
      <c r="DJ14" s="133" t="n"/>
      <c r="DK14" s="139">
        <f>DJ14*100/$E$14</f>
        <v/>
      </c>
      <c r="DL14" s="133" t="n"/>
      <c r="DM14" s="139">
        <f>DL14*100/$E$14</f>
        <v/>
      </c>
      <c r="DN14" s="133" t="n"/>
      <c r="DO14" s="139">
        <f>DN14*100/$E$14</f>
        <v/>
      </c>
      <c r="DP14" s="133" t="n"/>
      <c r="DQ14" s="139">
        <f>DP14*100/$E$14</f>
        <v/>
      </c>
      <c r="DR14" s="133" t="n"/>
      <c r="DS14" s="140">
        <f>DR14*100/$E$14</f>
        <v/>
      </c>
      <c r="DT14" s="133" t="n"/>
      <c r="DU14" s="139">
        <f>DT14*100/$E$14</f>
        <v/>
      </c>
      <c r="DV14" s="133" t="n"/>
      <c r="DW14" s="139">
        <f>DV14*100/$E$14</f>
        <v/>
      </c>
      <c r="DX14" s="133" t="n"/>
      <c r="DY14" s="139">
        <f>DX14*100/$E$14</f>
        <v/>
      </c>
      <c r="DZ14" s="133" t="n"/>
      <c r="EA14" s="139">
        <f>DZ14*100/$E$14</f>
        <v/>
      </c>
      <c r="EB14" s="133" t="n"/>
      <c r="EC14" s="139">
        <f>EB14*100/$E$14</f>
        <v/>
      </c>
      <c r="ED14" s="133" t="n"/>
      <c r="EE14" s="139">
        <f>ED14*100/$E$14</f>
        <v/>
      </c>
      <c r="EF14" s="133" t="n"/>
      <c r="EG14" s="139">
        <f>EF14*100/$E$14</f>
        <v/>
      </c>
      <c r="EH14" s="133" t="n"/>
      <c r="EI14" s="140">
        <f>EH14*100/$E$14</f>
        <v/>
      </c>
      <c r="EJ14" s="133" t="n"/>
      <c r="EK14" s="140">
        <f>EJ14*100/$E$14</f>
        <v/>
      </c>
      <c r="EL14" s="133" t="n"/>
      <c r="EM14" s="140">
        <f>EL14*100/$E$14</f>
        <v/>
      </c>
      <c r="EN14" s="133" t="n"/>
      <c r="EO14" s="140">
        <f>EN14*100/$E$14</f>
        <v/>
      </c>
      <c r="EP14" s="133" t="n"/>
      <c r="EQ14" s="140">
        <f>EP14*100/$E$14</f>
        <v/>
      </c>
      <c r="ER14" s="133" t="n"/>
      <c r="ES14" s="140">
        <f>ER14*100/$E$14</f>
        <v/>
      </c>
      <c r="ET14" s="133" t="n"/>
      <c r="EU14" s="140">
        <f>ET14*100/$E$14</f>
        <v/>
      </c>
      <c r="EV14" s="133" t="n"/>
      <c r="EW14" s="139">
        <f>EV14*100/$E$14</f>
        <v/>
      </c>
      <c r="EX14" s="133" t="n"/>
      <c r="EY14" s="139">
        <f>EX14*100/$E$14</f>
        <v/>
      </c>
      <c r="EZ14" s="133" t="n"/>
      <c r="FA14" s="139">
        <f>EZ14*100/$E$14</f>
        <v/>
      </c>
      <c r="FB14" s="133" t="n"/>
      <c r="FC14" s="139">
        <f>FB14*100/$E$14</f>
        <v/>
      </c>
      <c r="FD14" s="133" t="n"/>
      <c r="FE14" s="139">
        <f>FD14*100/$E$14</f>
        <v/>
      </c>
      <c r="FF14" s="133" t="n"/>
      <c r="FG14" s="139">
        <f>FF14*100/$E$14</f>
        <v/>
      </c>
      <c r="FH14" s="133" t="n"/>
      <c r="FI14" s="139">
        <f>FH14*100/$E$14</f>
        <v/>
      </c>
      <c r="FJ14" s="133" t="n"/>
      <c r="FK14" s="139">
        <f>FJ14*100/$E$14</f>
        <v/>
      </c>
      <c r="FL14" s="133" t="n"/>
      <c r="FM14" s="139">
        <f>FL14*100/$E$14</f>
        <v/>
      </c>
      <c r="FN14" s="133" t="n"/>
      <c r="FO14" s="139">
        <f>FN14*100/$E$14</f>
        <v/>
      </c>
      <c r="FP14" s="133" t="n"/>
      <c r="FQ14" s="140">
        <f>FP14*100/$E$14</f>
        <v/>
      </c>
      <c r="FR14" s="133" t="n"/>
      <c r="FS14" s="140">
        <f>FR14*100/$E$14</f>
        <v/>
      </c>
      <c r="FT14" s="133" t="n"/>
      <c r="FU14" s="140">
        <f>FT14*100/$E$14</f>
        <v/>
      </c>
      <c r="FV14" s="133" t="n"/>
      <c r="FW14" s="140">
        <f>FV14*100/$E$14</f>
        <v/>
      </c>
      <c r="FX14" s="133" t="n"/>
      <c r="FY14" s="140">
        <f>FX14*100/$E$14</f>
        <v/>
      </c>
      <c r="FZ14" s="133" t="n"/>
      <c r="GA14" s="140">
        <f>FZ14*100/$E$14</f>
        <v/>
      </c>
      <c r="GB14" s="133" t="n"/>
      <c r="GC14" s="140">
        <f>GB14*100/$E$14</f>
        <v/>
      </c>
      <c r="GD14" s="133" t="n"/>
      <c r="GE14" s="140">
        <f>GD14*100/$E$14</f>
        <v/>
      </c>
      <c r="GF14" s="133" t="n"/>
      <c r="GG14" s="140">
        <f>GF14*100/$E$14</f>
        <v/>
      </c>
      <c r="GH14" s="133" t="n"/>
      <c r="GI14" s="140">
        <f>GH14*100/$E$14</f>
        <v/>
      </c>
      <c r="GJ14" s="133" t="n"/>
      <c r="GK14" s="139">
        <f>GJ14*100/$E$14</f>
        <v/>
      </c>
      <c r="GL14" s="133" t="n"/>
      <c r="GM14" s="140">
        <f>GL14*100/$E$14</f>
        <v/>
      </c>
      <c r="GN14" s="133" t="n"/>
      <c r="GO14" s="139">
        <f>GN14*100/$E$14</f>
        <v/>
      </c>
      <c r="GP14" s="133" t="n"/>
      <c r="GQ14" s="140">
        <f>GP14*100/$E$14</f>
        <v/>
      </c>
      <c r="GR14" s="133" t="n"/>
      <c r="GS14" s="139">
        <f>GR14*100/$E$14</f>
        <v/>
      </c>
      <c r="GT14" s="133" t="n"/>
      <c r="GU14" s="139">
        <f>GT14*100/$E$14</f>
        <v/>
      </c>
      <c r="GV14" s="133" t="n"/>
      <c r="GW14" s="140">
        <f>GV14*100/$E$14</f>
        <v/>
      </c>
      <c r="GX14" s="133" t="n"/>
      <c r="GY14" s="140">
        <f>GX14*100/$E$14</f>
        <v/>
      </c>
      <c r="GZ14" s="133" t="n"/>
      <c r="HA14" s="140">
        <f>GZ14*100/$E$14</f>
        <v/>
      </c>
      <c r="HB14" s="133" t="n"/>
      <c r="HC14" s="140">
        <f>HB14*100/$E$14</f>
        <v/>
      </c>
      <c r="HD14" s="133" t="n"/>
      <c r="HE14" s="140">
        <f>HD14*100/$E$14</f>
        <v/>
      </c>
      <c r="HF14" s="133" t="n"/>
      <c r="HG14" s="140">
        <f>HF14*100/$E$14</f>
        <v/>
      </c>
      <c r="HH14" s="133" t="n"/>
      <c r="HI14" s="140">
        <f>HH14*100/$E$14</f>
        <v/>
      </c>
      <c r="HJ14" s="133" t="n"/>
      <c r="HK14" s="140">
        <f>HJ14*100/$E$14</f>
        <v/>
      </c>
      <c r="HL14" s="133" t="n"/>
      <c r="HM14" s="140">
        <f>HL14*100/$E$14</f>
        <v/>
      </c>
      <c r="HN14" s="133" t="n"/>
      <c r="HO14" s="140">
        <f>HN14*100/$E$14</f>
        <v/>
      </c>
      <c r="HP14" s="133" t="n"/>
      <c r="HQ14" s="140">
        <f>HP14*100/$E$14</f>
        <v/>
      </c>
      <c r="HR14" s="133" t="n"/>
      <c r="HS14" s="140">
        <f>HR14*100/$E$14</f>
        <v/>
      </c>
      <c r="HT14" s="133" t="n"/>
      <c r="HU14" s="140">
        <f>HT14*100/$E$14</f>
        <v/>
      </c>
      <c r="HV14" s="133" t="n"/>
      <c r="HW14" s="140">
        <f>HV14*100/$E$14</f>
        <v/>
      </c>
      <c r="HX14" s="133" t="n"/>
      <c r="HY14" s="140">
        <f>HX14*100/$E$14</f>
        <v/>
      </c>
      <c r="HZ14" s="133" t="n"/>
      <c r="IA14" s="139">
        <f>HZ14*100/$E$14</f>
        <v/>
      </c>
      <c r="IB14" s="133" t="n"/>
      <c r="IC14" s="139">
        <f>IB14*100/$E$14</f>
        <v/>
      </c>
      <c r="ID14" s="133" t="n"/>
      <c r="IE14" s="139">
        <f>ID14*100/$E$14</f>
        <v/>
      </c>
      <c r="IF14" s="133" t="n"/>
      <c r="IG14" s="139">
        <f>IF14*100/$E$14</f>
        <v/>
      </c>
      <c r="IH14" s="133" t="n"/>
      <c r="II14" s="139">
        <f>IH14*100/$E$14</f>
        <v/>
      </c>
      <c r="IJ14" s="133" t="n"/>
      <c r="IK14" s="139">
        <f>IJ14*100/$E$14</f>
        <v/>
      </c>
      <c r="IL14" s="133" t="n"/>
      <c r="IM14" s="140">
        <f>IL14*100/$E$14</f>
        <v/>
      </c>
      <c r="IN14" s="133" t="n"/>
      <c r="IO14" s="140">
        <f>IN14*100/$E$14</f>
        <v/>
      </c>
      <c r="IP14" s="133" t="n"/>
      <c r="IQ14" s="139">
        <f>IP14*100/$E$14</f>
        <v/>
      </c>
      <c r="IR14" s="133" t="n"/>
      <c r="IS14" s="139">
        <f>IR14*100/$E$14</f>
        <v/>
      </c>
      <c r="IT14" s="133" t="n"/>
      <c r="IU14" s="139">
        <f>IT14*100/$E$14</f>
        <v/>
      </c>
      <c r="IV14" s="133" t="n"/>
      <c r="IW14" s="139">
        <f>IV14*100/$E$14</f>
        <v/>
      </c>
      <c r="IX14" s="133" t="n"/>
      <c r="IY14" s="139">
        <f>IX14*100/$E$14</f>
        <v/>
      </c>
      <c r="IZ14" s="133" t="n"/>
      <c r="JA14" s="139">
        <f>IZ14*100/$E$14</f>
        <v/>
      </c>
      <c r="JB14" s="133" t="n"/>
      <c r="JC14" s="139">
        <f>JB14*100/$E$14</f>
        <v/>
      </c>
      <c r="JD14" s="133" t="n"/>
      <c r="JE14" s="139">
        <f>JD14*100/$E$14</f>
        <v/>
      </c>
      <c r="JF14" s="133" t="n"/>
      <c r="JG14" s="140">
        <f>JF14*100/$E$14</f>
        <v/>
      </c>
      <c r="JH14" s="133" t="n"/>
      <c r="JI14" s="139">
        <f>JH14*100/$E$14</f>
        <v/>
      </c>
      <c r="JJ14" s="133" t="n"/>
      <c r="JK14" s="140">
        <f>JJ14*100/$E$14</f>
        <v/>
      </c>
      <c r="JL14" s="133">
        <f>8+8+8</f>
        <v/>
      </c>
      <c r="JM14" s="139">
        <f>JL14*100/$E$14</f>
        <v/>
      </c>
      <c r="JN14" s="133" t="n"/>
      <c r="JO14" s="139">
        <f>JN14*100/$E$14</f>
        <v/>
      </c>
      <c r="JP14" s="133" t="n"/>
      <c r="JQ14" s="139">
        <f>JP14*100/$E$14</f>
        <v/>
      </c>
      <c r="JR14" s="133" t="n"/>
      <c r="JS14" s="139">
        <f>JR14*100/$E$14</f>
        <v/>
      </c>
      <c r="JT14" s="133" t="n"/>
      <c r="JU14" s="139">
        <f>JT14*100/$E$14</f>
        <v/>
      </c>
      <c r="JV14" s="133" t="n"/>
      <c r="JW14" s="139">
        <f>JV14*100/$E$14</f>
        <v/>
      </c>
      <c r="JX14" s="133" t="n"/>
      <c r="JY14" s="139">
        <f>JX14*100/$E$14</f>
        <v/>
      </c>
      <c r="JZ14" s="183">
        <f>JN14+JP14+JR14+JT14+JV14+JX14</f>
        <v/>
      </c>
      <c r="KA14" s="184">
        <f>JO14+JQ14+JS14+JU14+JW14+JY14</f>
        <v/>
      </c>
      <c r="KB14" s="185">
        <f>H14+J14+L14+N14+P14+R14+T14+V14+X14+Z14+AB14+AD14+AF14+AH14+AJ14+AL14+AN14+AP14+AR14+AT14+AV14+AX14+AZ14+BB14+BD14+BF14+BH14+BJ14+BL14+BN14+BP14+BR14+BT14+BV14+BX14+BZ14+CB14+CD14+CF14+CH14+CZ14+DB14+DD14+DF14+DH14+DJ14+DL14+DN14+DP14+DR14+DT14+DV14+DX14+DZ14+EB14+ED14+EF14+EH14+EJ14+EL14+EN14+EP14+ER14+ET14+EV14+FN14+FP14+FR14+FT14+FV14+FX14+FZ14+GB14+GD14+GF14+GH14+GJ14+GL14+GN14+GP14+GR14+GT14+GV14+GX14+GZ14+HB14+HD14+HF14+HH14+HJ14+HL14+HN14+HP14+HR14+HT14+HV14+HX14+HZ14+IB14+ID14+IF14+IH14+IJ14+IL14+IN14+IP14+IR14+IT14+IV14+IX14+IZ14+JB14+JD14+JF14+JH14+JJ14+JL14+JZ14+CJ14+CL14+CN14+CP14+CR14+CT14+CV14+CX14+EX14+EZ14+FB14+FD14+FF14+FH14+FJ14+FL14</f>
        <v/>
      </c>
      <c r="KC14" s="186">
        <f>I14+K14+M14+O14+Q14+S14+U14+W14+Y14+AA14+AC14+AE14+AG14+AI14+AK14+AM14+AO14+AQ14+AS14+AU14+AW14+AY14+BA14+BC14+BE14+BG14+BI14+BK14+BM14+BO14+BQ14+BS14+BU14+BW14+BY14+CA14+CC14+CE14+CG14+CI14+DA14+DC14+DE14+DG14+DI14+DK14+DM14+DO14+DQ14+DS14+DU14+DW14+DY14+EA14+EC14+EE14+EG14+EI14+EK14+EM14+EO14+EQ14+ES14+EU14+EW14+FO14+FS14+FU14+FW14+FQ14+FY14+GA14+GC14+GE14+GG14+GI14+GK14+GM14+GO14+GQ14+GS14+GU14+GW14+GY14+HA14+HC14+HE14+HG14+HI14+HK14+HM14+HO14+HQ14+HS14+HU14+HW14+HY14+IA14+IC14+IE14+IG14+II14+IK14+IM14+IO14+IQ14+IS14+IU14+IW14+IY14+JA14+JC14+JE14+JG14+JI14+JK14+JM14+KA14+CK14+CM14+CO14+CQ14+CS14+CU14+CW14+CY14+EY14+FA14+FC14+FE14+FG14+FI14+FK14+FM14</f>
        <v/>
      </c>
      <c r="KD14" s="187">
        <f>JO14+JQ14+JS14+JU14+JW14+JY14</f>
        <v/>
      </c>
      <c r="KE14" s="188">
        <f>KB14=E14</f>
        <v/>
      </c>
      <c r="KF14" s="189">
        <f>E14-KB14</f>
        <v/>
      </c>
      <c r="KG14" s="229" t="n"/>
    </row>
    <row r="15" ht="21.75" customFormat="1" customHeight="1" s="229">
      <c r="A15" s="126">
        <f>A14+1</f>
        <v/>
      </c>
      <c r="B15" s="175" t="inlineStr">
        <is>
          <t>Гулиев Б.Н</t>
        </is>
      </c>
      <c r="C15" s="176" t="inlineStr">
        <is>
          <t>сварщик</t>
        </is>
      </c>
      <c r="D15" s="177">
        <f>$D$5</f>
        <v/>
      </c>
      <c r="E15" s="202" t="n">
        <v>179</v>
      </c>
      <c r="F15" s="190" t="n">
        <v>80377.96000000001</v>
      </c>
      <c r="G15" s="179">
        <f>F15/D15</f>
        <v/>
      </c>
      <c r="H15" s="180" t="n"/>
      <c r="I15" s="140">
        <f>H15*100/$E$15</f>
        <v/>
      </c>
      <c r="J15" s="133" t="n"/>
      <c r="K15" s="140">
        <f>J15*100/$E$15</f>
        <v/>
      </c>
      <c r="L15" s="133" t="n"/>
      <c r="M15" s="140">
        <f>L15*100/$E$15</f>
        <v/>
      </c>
      <c r="N15" s="133" t="n"/>
      <c r="O15" s="140">
        <f>N15*100/$E$15</f>
        <v/>
      </c>
      <c r="P15" s="133" t="n"/>
      <c r="Q15" s="139">
        <f>P15*100/$E$15</f>
        <v/>
      </c>
      <c r="R15" s="133" t="n"/>
      <c r="S15" s="139">
        <f>R15*100/$E$15</f>
        <v/>
      </c>
      <c r="T15" s="133" t="n"/>
      <c r="U15" s="140">
        <f>T15*100/$E$15</f>
        <v/>
      </c>
      <c r="V15" s="133" t="n"/>
      <c r="W15" s="140">
        <f>V15*100/$E$15</f>
        <v/>
      </c>
      <c r="X15" s="133" t="n"/>
      <c r="Y15" s="140">
        <f>X15*100/$E$15</f>
        <v/>
      </c>
      <c r="Z15" s="133" t="n"/>
      <c r="AA15" s="140">
        <f>Z15*100/$E$15</f>
        <v/>
      </c>
      <c r="AB15" s="133" t="n"/>
      <c r="AC15" s="140">
        <f>AB15*100/$E$15</f>
        <v/>
      </c>
      <c r="AD15" s="133" t="n"/>
      <c r="AE15" s="139">
        <f>AD15*100/$E$15</f>
        <v/>
      </c>
      <c r="AF15" s="133" t="n"/>
      <c r="AG15" s="139">
        <f>AF15*100/$E$15</f>
        <v/>
      </c>
      <c r="AH15" s="133">
        <f>5+6</f>
        <v/>
      </c>
      <c r="AI15" s="140">
        <f>AH15*100/$E$15</f>
        <v/>
      </c>
      <c r="AJ15" s="133" t="n"/>
      <c r="AK15" s="140">
        <f>AJ15*100/$E$15</f>
        <v/>
      </c>
      <c r="AL15" s="133">
        <f>2+2+4</f>
        <v/>
      </c>
      <c r="AM15" s="140">
        <f>AL15*100/$E$15</f>
        <v/>
      </c>
      <c r="AN15" s="133" t="n"/>
      <c r="AO15" s="140">
        <f>AN15*100/$E$15</f>
        <v/>
      </c>
      <c r="AP15" s="133" t="n"/>
      <c r="AQ15" s="140">
        <f>AP15*100/$E$15</f>
        <v/>
      </c>
      <c r="AR15" s="133" t="n"/>
      <c r="AS15" s="140">
        <f>AR15*100/$E$15</f>
        <v/>
      </c>
      <c r="AT15" s="133" t="n"/>
      <c r="AU15" s="181">
        <f>AT15*100/$E$15</f>
        <v/>
      </c>
      <c r="AV15" s="133" t="n">
        <v>5</v>
      </c>
      <c r="AW15" s="140">
        <f>AV15*100/$E$15</f>
        <v/>
      </c>
      <c r="AX15" s="133" t="n"/>
      <c r="AY15" s="140">
        <f>AX15*100/$E$15</f>
        <v/>
      </c>
      <c r="AZ15" s="133" t="n"/>
      <c r="BA15" s="140">
        <f>AZ15*100/$E$15</f>
        <v/>
      </c>
      <c r="BB15" s="133" t="n"/>
      <c r="BC15" s="140">
        <f>BB15*100/$E$15</f>
        <v/>
      </c>
      <c r="BD15" s="133" t="n"/>
      <c r="BE15" s="140">
        <f>BD15*100/$E$15</f>
        <v/>
      </c>
      <c r="BF15" s="133" t="n"/>
      <c r="BG15" s="140">
        <f>BF15*100/$E$15</f>
        <v/>
      </c>
      <c r="BH15" s="133" t="n">
        <v>4</v>
      </c>
      <c r="BI15" s="140">
        <f>BH15*100/$E$15</f>
        <v/>
      </c>
      <c r="BJ15" s="133" t="n">
        <v>2</v>
      </c>
      <c r="BK15" s="140">
        <f>BJ15*100/$E$15</f>
        <v/>
      </c>
      <c r="BL15" s="133" t="n"/>
      <c r="BM15" s="140">
        <f>BL15*100/$E$15</f>
        <v/>
      </c>
      <c r="BN15" s="133" t="n"/>
      <c r="BO15" s="140">
        <f>BN15*100/$E$15</f>
        <v/>
      </c>
      <c r="BP15" s="133" t="n"/>
      <c r="BQ15" s="140">
        <f>BP15*100/$E$15</f>
        <v/>
      </c>
      <c r="BR15" s="133" t="n"/>
      <c r="BS15" s="140">
        <f>BR15*100/$E$15</f>
        <v/>
      </c>
      <c r="BT15" s="133" t="n"/>
      <c r="BU15" s="140">
        <f>BT15*100/$E$15</f>
        <v/>
      </c>
      <c r="BV15" s="133" t="n"/>
      <c r="BW15" s="140">
        <f>BV15*100/$E$15</f>
        <v/>
      </c>
      <c r="BX15" s="133" t="n"/>
      <c r="BY15" s="140">
        <f>BX15*100/$E$15</f>
        <v/>
      </c>
      <c r="BZ15" s="133" t="n"/>
      <c r="CA15" s="140">
        <f>BZ15*100/$E$15</f>
        <v/>
      </c>
      <c r="CB15" s="133">
        <f>6+6+4+3</f>
        <v/>
      </c>
      <c r="CC15" s="140">
        <f>CB15*100/$E$15</f>
        <v/>
      </c>
      <c r="CD15" s="133" t="n"/>
      <c r="CE15" s="140">
        <f>CD15*100/$E$15</f>
        <v/>
      </c>
      <c r="CF15" s="133" t="n"/>
      <c r="CG15" s="140">
        <f>CF15*100/$E$15</f>
        <v/>
      </c>
      <c r="CH15" s="133" t="n"/>
      <c r="CI15" s="140">
        <f>CH15*100/$E$15</f>
        <v/>
      </c>
      <c r="CJ15" s="133" t="n"/>
      <c r="CK15" s="140">
        <f>CJ15*100/$E$15</f>
        <v/>
      </c>
      <c r="CL15" s="133" t="n"/>
      <c r="CM15" s="140">
        <f>CL15*100/$E$15</f>
        <v/>
      </c>
      <c r="CN15" s="133" t="n"/>
      <c r="CO15" s="139">
        <f>CN15*100/$E$15</f>
        <v/>
      </c>
      <c r="CP15" s="133" t="n"/>
      <c r="CQ15" s="140">
        <f>CP15*100/$E$15</f>
        <v/>
      </c>
      <c r="CR15" s="133" t="n">
        <v>8</v>
      </c>
      <c r="CS15" s="139">
        <f>CR15*100/$E$15</f>
        <v/>
      </c>
      <c r="CT15" s="133" t="n"/>
      <c r="CU15" s="139">
        <f>CT15*100/$E$15</f>
        <v/>
      </c>
      <c r="CV15" s="133" t="n"/>
      <c r="CW15" s="139">
        <f>CV15*100/$E$15</f>
        <v/>
      </c>
      <c r="CX15" s="133" t="n"/>
      <c r="CY15" s="139">
        <f>CX15*100/$E$15</f>
        <v/>
      </c>
      <c r="CZ15" s="133" t="n"/>
      <c r="DA15" s="139">
        <f>CZ15*100/$E$15</f>
        <v/>
      </c>
      <c r="DB15" s="133">
        <f>6+12+6</f>
        <v/>
      </c>
      <c r="DC15" s="139">
        <f>DB15*100/$E$15</f>
        <v/>
      </c>
      <c r="DD15" s="133" t="n">
        <v>2</v>
      </c>
      <c r="DE15" s="139">
        <f>DD15*100/$E$15</f>
        <v/>
      </c>
      <c r="DF15" s="133" t="n"/>
      <c r="DG15" s="139">
        <f>DF15*100/$E$15</f>
        <v/>
      </c>
      <c r="DH15" s="133" t="n">
        <v>1</v>
      </c>
      <c r="DI15" s="139">
        <f>DH15*100/$E$15</f>
        <v/>
      </c>
      <c r="DJ15" s="133" t="n"/>
      <c r="DK15" s="139">
        <f>DJ15*100/$E$15</f>
        <v/>
      </c>
      <c r="DL15" s="133" t="n"/>
      <c r="DM15" s="139">
        <f>DL15*100/$E$15</f>
        <v/>
      </c>
      <c r="DN15" s="133" t="n"/>
      <c r="DO15" s="139">
        <f>DN15*100/$E$15</f>
        <v/>
      </c>
      <c r="DP15" s="133" t="n"/>
      <c r="DQ15" s="139">
        <f>DP15*100/$E$15</f>
        <v/>
      </c>
      <c r="DR15" s="133" t="n"/>
      <c r="DS15" s="139">
        <f>DR15*100/$E$15</f>
        <v/>
      </c>
      <c r="DT15" s="133" t="n"/>
      <c r="DU15" s="139">
        <f>DT15*100/$E$15</f>
        <v/>
      </c>
      <c r="DV15" s="133" t="n"/>
      <c r="DW15" s="139">
        <f>DV15*100/$E$15</f>
        <v/>
      </c>
      <c r="DX15" s="133">
        <f>5+6</f>
        <v/>
      </c>
      <c r="DY15" s="139">
        <f>DX15*100/$E$15</f>
        <v/>
      </c>
      <c r="DZ15" s="133" t="n"/>
      <c r="EA15" s="139">
        <f>DZ15*100/$E$15</f>
        <v/>
      </c>
      <c r="EB15" s="133" t="n"/>
      <c r="EC15" s="139">
        <f>EB15*100/$E$15</f>
        <v/>
      </c>
      <c r="ED15" s="133" t="n"/>
      <c r="EE15" s="139">
        <f>ED15*100/$E$15</f>
        <v/>
      </c>
      <c r="EF15" s="133" t="n"/>
      <c r="EG15" s="139">
        <f>EF15*100/$E$15</f>
        <v/>
      </c>
      <c r="EH15" s="133" t="n"/>
      <c r="EI15" s="139">
        <f>EH15*100/$E$15</f>
        <v/>
      </c>
      <c r="EJ15" s="133" t="n"/>
      <c r="EK15" s="139">
        <f>EJ15*100/$E$15</f>
        <v/>
      </c>
      <c r="EL15" s="133" t="n"/>
      <c r="EM15" s="139">
        <f>EL15*100/$E$15</f>
        <v/>
      </c>
      <c r="EN15" s="133">
        <f>6+4</f>
        <v/>
      </c>
      <c r="EO15" s="139">
        <f>EN15*100/$E$15</f>
        <v/>
      </c>
      <c r="EP15" s="133" t="n">
        <v>5</v>
      </c>
      <c r="EQ15" s="139">
        <f>EP15*100/$E$15</f>
        <v/>
      </c>
      <c r="ER15" s="133" t="n"/>
      <c r="ES15" s="139">
        <f>ER15*100/$E$15</f>
        <v/>
      </c>
      <c r="ET15" s="133" t="n"/>
      <c r="EU15" s="139">
        <f>ET15*100/$E$15</f>
        <v/>
      </c>
      <c r="EV15" s="133" t="n">
        <v>2</v>
      </c>
      <c r="EW15" s="139">
        <f>EV15*100/$E$15</f>
        <v/>
      </c>
      <c r="EX15" s="133" t="n"/>
      <c r="EY15" s="139">
        <f>EX15*100/$E$15</f>
        <v/>
      </c>
      <c r="EZ15" s="133" t="n"/>
      <c r="FA15" s="139">
        <f>EZ15*100/$E$15</f>
        <v/>
      </c>
      <c r="FB15" s="133">
        <f>5+2+1</f>
        <v/>
      </c>
      <c r="FC15" s="139">
        <f>FB15*100/$E$15</f>
        <v/>
      </c>
      <c r="FD15" s="133" t="n"/>
      <c r="FE15" s="139">
        <f>FD15*100/$E$15</f>
        <v/>
      </c>
      <c r="FF15" s="133">
        <f>6+10</f>
        <v/>
      </c>
      <c r="FG15" s="139">
        <f>FF15*100/$E$15</f>
        <v/>
      </c>
      <c r="FH15" s="133">
        <f>6+5</f>
        <v/>
      </c>
      <c r="FI15" s="139">
        <f>FH15*100/$E$15</f>
        <v/>
      </c>
      <c r="FJ15" s="133" t="n">
        <v>6</v>
      </c>
      <c r="FK15" s="139">
        <f>FJ15*100/$E$15</f>
        <v/>
      </c>
      <c r="FL15" s="133" t="n">
        <v>2</v>
      </c>
      <c r="FM15" s="139">
        <f>FL15*100/$E$15</f>
        <v/>
      </c>
      <c r="FN15" s="133" t="n"/>
      <c r="FO15" s="139">
        <f>FN15*100/$E$15</f>
        <v/>
      </c>
      <c r="FP15" s="133" t="n"/>
      <c r="FQ15" s="139">
        <f>FP15*100/$E$15</f>
        <v/>
      </c>
      <c r="FR15" s="133" t="n"/>
      <c r="FS15" s="139">
        <f>FR15*100/$E$15</f>
        <v/>
      </c>
      <c r="FT15" s="133" t="n"/>
      <c r="FU15" s="139">
        <f>FT15*100/$E$15</f>
        <v/>
      </c>
      <c r="FV15" s="133" t="n"/>
      <c r="FW15" s="139">
        <f>FV15*100/$E$15</f>
        <v/>
      </c>
      <c r="FX15" s="133" t="n"/>
      <c r="FY15" s="140">
        <f>FX15*100/$E$15</f>
        <v/>
      </c>
      <c r="FZ15" s="133" t="n"/>
      <c r="GA15" s="140">
        <f>FZ15*100/$E$15</f>
        <v/>
      </c>
      <c r="GB15" s="133" t="n"/>
      <c r="GC15" s="140">
        <f>GB15*100/$E$15</f>
        <v/>
      </c>
      <c r="GD15" s="133" t="n"/>
      <c r="GE15" s="140">
        <f>GD15*100/$E$15</f>
        <v/>
      </c>
      <c r="GF15" s="133" t="n"/>
      <c r="GG15" s="140">
        <f>GF15*100/$E$15</f>
        <v/>
      </c>
      <c r="GH15" s="133" t="n"/>
      <c r="GI15" s="140">
        <f>GH15*100/$E$15</f>
        <v/>
      </c>
      <c r="GJ15" s="133" t="n"/>
      <c r="GK15" s="139">
        <f>GJ15*100/$E$15</f>
        <v/>
      </c>
      <c r="GL15" s="133" t="n"/>
      <c r="GM15" s="140">
        <f>GL15*100/$E$15</f>
        <v/>
      </c>
      <c r="GN15" s="133" t="n"/>
      <c r="GO15" s="139">
        <f>GN15*100/$E$15</f>
        <v/>
      </c>
      <c r="GP15" s="133" t="n"/>
      <c r="GQ15" s="140">
        <f>GP15*100/$E$15</f>
        <v/>
      </c>
      <c r="GR15" s="133" t="n"/>
      <c r="GS15" s="139">
        <f>GR15*100/$E$15</f>
        <v/>
      </c>
      <c r="GT15" s="133" t="n"/>
      <c r="GU15" s="139">
        <f>GT15*100/$E$15</f>
        <v/>
      </c>
      <c r="GV15" s="133" t="n"/>
      <c r="GW15" s="139">
        <f>GV15*100/$E$15</f>
        <v/>
      </c>
      <c r="GX15" s="133" t="n"/>
      <c r="GY15" s="140">
        <f>GX15*100/$E$15</f>
        <v/>
      </c>
      <c r="GZ15" s="133" t="n"/>
      <c r="HA15" s="140">
        <f>GZ15*100/$E$15</f>
        <v/>
      </c>
      <c r="HB15" s="133" t="n"/>
      <c r="HC15" s="140">
        <f>HB15*100/$E$15</f>
        <v/>
      </c>
      <c r="HD15" s="133" t="n"/>
      <c r="HE15" s="140">
        <f>HD15*100/$E$15</f>
        <v/>
      </c>
      <c r="HF15" s="133" t="n"/>
      <c r="HG15" s="140">
        <f>HF15*100/$E$15</f>
        <v/>
      </c>
      <c r="HH15" s="133" t="n"/>
      <c r="HI15" s="140">
        <f>HH15*100/$E$15</f>
        <v/>
      </c>
      <c r="HJ15" s="133" t="n"/>
      <c r="HK15" s="140">
        <f>HJ15*100/$E$15</f>
        <v/>
      </c>
      <c r="HL15" s="133" t="n"/>
      <c r="HM15" s="140">
        <f>HL15*100/$E$15</f>
        <v/>
      </c>
      <c r="HN15" s="133" t="n"/>
      <c r="HO15" s="140">
        <f>HN15*100/$E$15</f>
        <v/>
      </c>
      <c r="HP15" s="133" t="n"/>
      <c r="HQ15" s="140">
        <f>HP15*100/$E$15</f>
        <v/>
      </c>
      <c r="HR15" s="133" t="n"/>
      <c r="HS15" s="140">
        <f>HR15*100/$E$15</f>
        <v/>
      </c>
      <c r="HT15" s="133">
        <f>3+5</f>
        <v/>
      </c>
      <c r="HU15" s="140">
        <f>HT15*100/$E$15</f>
        <v/>
      </c>
      <c r="HV15" s="133" t="n"/>
      <c r="HW15" s="140">
        <f>HV15*100/$E$15</f>
        <v/>
      </c>
      <c r="HX15" s="133" t="n"/>
      <c r="HY15" s="140">
        <f>HX15*100/$E$15</f>
        <v/>
      </c>
      <c r="HZ15" s="133" t="n"/>
      <c r="IA15" s="139">
        <f>HZ15*100/$E$15</f>
        <v/>
      </c>
      <c r="IB15" s="133" t="n"/>
      <c r="IC15" s="139">
        <f>IB15*100/$E$15</f>
        <v/>
      </c>
      <c r="ID15" s="133" t="n"/>
      <c r="IE15" s="139">
        <f>ID15*100/$E$15</f>
        <v/>
      </c>
      <c r="IF15" s="133" t="n"/>
      <c r="IG15" s="139">
        <f>IF15*100/$E$15</f>
        <v/>
      </c>
      <c r="IH15" s="133" t="n"/>
      <c r="II15" s="139">
        <f>IH15*100/$E$15</f>
        <v/>
      </c>
      <c r="IJ15" s="133" t="n"/>
      <c r="IK15" s="139">
        <f>IJ15*100/$E$15</f>
        <v/>
      </c>
      <c r="IL15" s="133" t="n"/>
      <c r="IM15" s="140">
        <f>IL15*100/$E$15</f>
        <v/>
      </c>
      <c r="IN15" s="133" t="n"/>
      <c r="IO15" s="140">
        <f>IN15*100/$E$15</f>
        <v/>
      </c>
      <c r="IP15" s="133" t="n"/>
      <c r="IQ15" s="139">
        <f>IP15*100/$E$15</f>
        <v/>
      </c>
      <c r="IR15" s="133" t="n"/>
      <c r="IS15" s="139">
        <f>IR15*100/$E$15</f>
        <v/>
      </c>
      <c r="IT15" s="133" t="n"/>
      <c r="IU15" s="139">
        <f>IT15*100/$E$15</f>
        <v/>
      </c>
      <c r="IV15" s="133" t="n"/>
      <c r="IW15" s="139">
        <f>IV15*100/$E$15</f>
        <v/>
      </c>
      <c r="IX15" s="133" t="n"/>
      <c r="IY15" s="139">
        <f>IX15*100/$E$15</f>
        <v/>
      </c>
      <c r="IZ15" s="133" t="n"/>
      <c r="JA15" s="139">
        <f>IZ15*100/$E$15</f>
        <v/>
      </c>
      <c r="JB15" s="133" t="n"/>
      <c r="JC15" s="139">
        <f>JB15*100/$E$15</f>
        <v/>
      </c>
      <c r="JD15" s="133" t="n"/>
      <c r="JE15" s="139">
        <f>JD15*100/$E$15</f>
        <v/>
      </c>
      <c r="JF15" s="133" t="n">
        <v>7</v>
      </c>
      <c r="JG15" s="139">
        <f>JF15*100/$E$15</f>
        <v/>
      </c>
      <c r="JH15" s="133" t="n"/>
      <c r="JI15" s="139">
        <f>JH15*100/$E$15</f>
        <v/>
      </c>
      <c r="JJ15" s="133" t="n"/>
      <c r="JK15" s="139">
        <f>JJ15*100/$E$15</f>
        <v/>
      </c>
      <c r="JL15" s="133">
        <f>4+5</f>
        <v/>
      </c>
      <c r="JM15" s="139">
        <f>JL15*100/$E$15</f>
        <v/>
      </c>
      <c r="JN15" s="133" t="n"/>
      <c r="JO15" s="139">
        <f>JN15*100/$E$15</f>
        <v/>
      </c>
      <c r="JP15" s="133" t="n"/>
      <c r="JQ15" s="139">
        <f>JP15*100/$E$15</f>
        <v/>
      </c>
      <c r="JR15" s="133" t="n"/>
      <c r="JS15" s="139">
        <f>JR15*100/$E$15</f>
        <v/>
      </c>
      <c r="JT15" s="133" t="n"/>
      <c r="JU15" s="139">
        <f>JT15*100/$E$15</f>
        <v/>
      </c>
      <c r="JV15" s="223" t="n"/>
      <c r="JW15" s="139">
        <f>JV15*100/$E$15</f>
        <v/>
      </c>
      <c r="JX15" s="223" t="n"/>
      <c r="JY15" s="139">
        <f>JX15*100/$E$15</f>
        <v/>
      </c>
      <c r="JZ15" s="183">
        <f>JN15+JP15+JR15+JT15+JV15+JX15</f>
        <v/>
      </c>
      <c r="KA15" s="184">
        <f>JO15+JQ15+JS15+JU15+JW15+JY15</f>
        <v/>
      </c>
      <c r="KB15" s="185">
        <f>H15+J15+L15+N15+P15+R15+T15+V15+X15+Z15+AB15+AD15+AF15+AH15+AJ15+AL15+AN15+AP15+AR15+AT15+AV15+AX15+AZ15+BB15+BD15+BF15+BH15+BJ15+BL15+BN15+BP15+BR15+BT15+BV15+BX15+BZ15+CB15+CD15+CF15+CH15+CZ15+DB15+DD15+DF15+DH15+DJ15+DL15+DN15+DP15+DR15+DT15+DV15+DX15+DZ15+EB15+ED15+EF15+EH15+EJ15+EL15+EN15+EP15+ER15+ET15+EV15+FN15+FP15+FR15+FT15+FV15+FX15+FZ15+GB15+GD15+GF15+GH15+GJ15+GL15+GN15+GP15+GR15+GT15+GV15+GX15+GZ15+HB15+HD15+HF15+HH15+HJ15+HL15+HN15+HP15+HR15+HT15+HV15+HX15+HZ15+IB15+ID15+IF15+IH15+IJ15+IL15+IN15+IP15+IR15+IT15+IV15+IX15+IZ15+JB15+JD15+JF15+JH15+JJ15+JL15+JZ15+CJ15+CL15+CN15+CP15+CR15+CT15+CV15+CX15+EX15+EZ15+FB15+FD15+FF15+FH15+FJ15+FL15</f>
        <v/>
      </c>
      <c r="KC15" s="186">
        <f>I15+K15+M15+O15+Q15+S15+U15+W15+Y15+AA15+AC15+AE15+AG15+AI15+AK15+AM15+AO15+AQ15+AS15+AU15+AW15+AY15+BA15+BC15+BE15+BG15+BI15+BK15+BM15+BO15+BQ15+BS15+BU15+BW15+BY15+CA15+CC15+CE15+CG15+CI15+DA15+DC15+DE15+DG15+DI15+DK15+DM15+DO15+DQ15+DS15+DU15+DW15+DY15+EA15+EC15+EE15+EG15+EI15+EK15+EM15+EO15+EQ15+ES15+EU15+EW15+FO15+FS15+FU15+FW15+FQ15+FY15+GA15+GC15+GE15+GG15+GI15+GK15+GM15+GO15+GQ15+GS15+GU15+GW15+GY15+HA15+HC15+HE15+HG15+HI15+HK15+HM15+HO15+HQ15+HS15+HU15+HW15+HY15+IA15+IC15+IE15+IG15+II15+IK15+IM15+IO15+IQ15+IS15+IU15+IW15+IY15+JA15+JC15+JE15+JG15+JI15+JK15+JM15+KA15+CK15+CM15+CO15+CQ15+CS15+CU15+CW15+CY15+EY15+FA15+FC15+FE15+FG15+FI15+FK15+FM15</f>
        <v/>
      </c>
      <c r="KD15" s="187">
        <f>JO15+JQ15+JS15+JU15+JW15+JY15</f>
        <v/>
      </c>
      <c r="KE15" s="188">
        <f>KB15=E15</f>
        <v/>
      </c>
      <c r="KF15" s="189">
        <f>E15-KB15</f>
        <v/>
      </c>
      <c r="KG15" s="230" t="n"/>
    </row>
    <row r="16" ht="21.75" customFormat="1" customHeight="1" s="229">
      <c r="A16" s="126">
        <f>A15+1</f>
        <v/>
      </c>
      <c r="B16" s="175" t="inlineStr">
        <is>
          <t>Демин С.С.</t>
        </is>
      </c>
      <c r="C16" s="176" t="inlineStr">
        <is>
          <t>слесарь МСР</t>
        </is>
      </c>
      <c r="D16" s="177">
        <f>$D$5</f>
        <v/>
      </c>
      <c r="E16" s="202" t="n">
        <v>175</v>
      </c>
      <c r="F16" s="190" t="n">
        <v>75793.14999999999</v>
      </c>
      <c r="G16" s="179">
        <f>F16/D16</f>
        <v/>
      </c>
      <c r="H16" s="180" t="n"/>
      <c r="I16" s="140">
        <f>H16*100/$E$16</f>
        <v/>
      </c>
      <c r="J16" s="133" t="n"/>
      <c r="K16" s="140">
        <f>J16*100/$E$16</f>
        <v/>
      </c>
      <c r="L16" s="133" t="n"/>
      <c r="M16" s="140">
        <f>L16*100/$E$16</f>
        <v/>
      </c>
      <c r="N16" s="133" t="n"/>
      <c r="O16" s="140">
        <f>N16*100/$E$16</f>
        <v/>
      </c>
      <c r="P16" s="133" t="n"/>
      <c r="Q16" s="139">
        <f>P16*100/$E$16</f>
        <v/>
      </c>
      <c r="R16" s="133" t="n"/>
      <c r="S16" s="140">
        <f>R16*100/$E$16</f>
        <v/>
      </c>
      <c r="T16" s="133" t="n"/>
      <c r="U16" s="140">
        <f>T16*100/$E$16</f>
        <v/>
      </c>
      <c r="V16" s="133" t="n"/>
      <c r="W16" s="140">
        <f>V16*100/$E$16</f>
        <v/>
      </c>
      <c r="X16" s="133" t="n"/>
      <c r="Y16" s="140">
        <f>X16*100/$E$16</f>
        <v/>
      </c>
      <c r="Z16" s="133" t="n"/>
      <c r="AA16" s="140">
        <f>Z16*100/$E$16</f>
        <v/>
      </c>
      <c r="AB16" s="133" t="n"/>
      <c r="AC16" s="140">
        <f>AB16*100/$E$16</f>
        <v/>
      </c>
      <c r="AD16" s="133" t="n"/>
      <c r="AE16" s="140">
        <f>AD16*100/$E$16</f>
        <v/>
      </c>
      <c r="AF16" s="133" t="n"/>
      <c r="AG16" s="140">
        <f>AF16*100/$E$16</f>
        <v/>
      </c>
      <c r="AH16" s="133" t="n"/>
      <c r="AI16" s="140">
        <f>AH16*100/$E$16</f>
        <v/>
      </c>
      <c r="AJ16" s="133" t="n"/>
      <c r="AK16" s="140">
        <f>AJ16*100/$E$16</f>
        <v/>
      </c>
      <c r="AL16" s="133" t="n"/>
      <c r="AM16" s="140">
        <f>AL16*100/$E$16</f>
        <v/>
      </c>
      <c r="AN16" s="133" t="n"/>
      <c r="AO16" s="140">
        <f>AN16*100/$E$16</f>
        <v/>
      </c>
      <c r="AP16" s="133" t="n"/>
      <c r="AQ16" s="140">
        <f>AP16*100/$E$16</f>
        <v/>
      </c>
      <c r="AR16" s="133" t="n"/>
      <c r="AS16" s="140">
        <f>AR16*100/$E$16</f>
        <v/>
      </c>
      <c r="AT16" s="133" t="n"/>
      <c r="AU16" s="181">
        <f>AT16*100/$E$16</f>
        <v/>
      </c>
      <c r="AV16" s="133" t="n">
        <v>16</v>
      </c>
      <c r="AW16" s="140">
        <f>AV16*100/$E$16</f>
        <v/>
      </c>
      <c r="AX16" s="133">
        <f>8+3</f>
        <v/>
      </c>
      <c r="AY16" s="140">
        <f>AX16*100/$E$16</f>
        <v/>
      </c>
      <c r="AZ16" s="133" t="n"/>
      <c r="BA16" s="140">
        <f>AZ16*100/$E$16</f>
        <v/>
      </c>
      <c r="BB16" s="133">
        <f>8+8+8+8+8</f>
        <v/>
      </c>
      <c r="BC16" s="140">
        <f>BB16*100/$E$16</f>
        <v/>
      </c>
      <c r="BD16" s="133" t="n">
        <v>20</v>
      </c>
      <c r="BE16" s="140">
        <f>BD16*100/$E$16</f>
        <v/>
      </c>
      <c r="BF16" s="133" t="n"/>
      <c r="BG16" s="140">
        <f>BF16*100/$E$16</f>
        <v/>
      </c>
      <c r="BH16" s="133" t="n"/>
      <c r="BI16" s="140">
        <f>BH16*100/$E$16</f>
        <v/>
      </c>
      <c r="BJ16" s="133" t="n"/>
      <c r="BK16" s="140">
        <f>BJ16*100/$E$16</f>
        <v/>
      </c>
      <c r="BL16" s="133" t="n"/>
      <c r="BM16" s="140">
        <f>BL16*100/$E$16</f>
        <v/>
      </c>
      <c r="BN16" s="133" t="n"/>
      <c r="BO16" s="140">
        <f>BN16*100/$E$16</f>
        <v/>
      </c>
      <c r="BP16" s="133" t="n"/>
      <c r="BQ16" s="140">
        <f>BP16*100/$E$16</f>
        <v/>
      </c>
      <c r="BR16" s="133" t="n"/>
      <c r="BS16" s="140">
        <f>BR16*100/$E$16</f>
        <v/>
      </c>
      <c r="BT16" s="133" t="n"/>
      <c r="BU16" s="140">
        <f>BT16*100/$E$16</f>
        <v/>
      </c>
      <c r="BV16" s="133" t="n"/>
      <c r="BW16" s="140">
        <f>BV16*100/$E$16</f>
        <v/>
      </c>
      <c r="BX16" s="133" t="n"/>
      <c r="BY16" s="140">
        <f>BX16*100/$E$16</f>
        <v/>
      </c>
      <c r="BZ16" s="133" t="n"/>
      <c r="CA16" s="140">
        <f>BZ16*100/$E$16</f>
        <v/>
      </c>
      <c r="CB16" s="133" t="n"/>
      <c r="CC16" s="140">
        <f>CB16*100/$E$16</f>
        <v/>
      </c>
      <c r="CD16" s="133" t="n"/>
      <c r="CE16" s="140">
        <f>CD16*100/$E$16</f>
        <v/>
      </c>
      <c r="CF16" s="133" t="n"/>
      <c r="CG16" s="140">
        <f>CF16*100/$E$16</f>
        <v/>
      </c>
      <c r="CH16" s="133" t="n"/>
      <c r="CI16" s="140">
        <f>CH16*100/$E$16</f>
        <v/>
      </c>
      <c r="CJ16" s="133" t="n"/>
      <c r="CK16" s="140">
        <f>CJ16*100/$E$16</f>
        <v/>
      </c>
      <c r="CL16" s="133" t="n"/>
      <c r="CM16" s="140">
        <f>CL16*100/$E$16</f>
        <v/>
      </c>
      <c r="CN16" s="133" t="n"/>
      <c r="CO16" s="139">
        <f>CN16*100/$E$16</f>
        <v/>
      </c>
      <c r="CP16" s="133" t="n"/>
      <c r="CQ16" s="140">
        <f>CP16*100/$E$16</f>
        <v/>
      </c>
      <c r="CR16" s="133" t="n"/>
      <c r="CS16" s="139">
        <f>CR16*100/$E$16</f>
        <v/>
      </c>
      <c r="CT16" s="133" t="n"/>
      <c r="CU16" s="139">
        <f>CT16*100/$E$16</f>
        <v/>
      </c>
      <c r="CV16" s="133">
        <f>9+9</f>
        <v/>
      </c>
      <c r="CW16" s="139">
        <f>CV16*100/$E$16</f>
        <v/>
      </c>
      <c r="CX16" s="133">
        <f>9+9+2</f>
        <v/>
      </c>
      <c r="CY16" s="139">
        <f>CX16*100/$E$16</f>
        <v/>
      </c>
      <c r="CZ16" s="133">
        <f>9+9</f>
        <v/>
      </c>
      <c r="DA16" s="139">
        <f>CZ16*100/$E$16</f>
        <v/>
      </c>
      <c r="DB16" s="133" t="n"/>
      <c r="DC16" s="139">
        <f>DB16*100/$E$16</f>
        <v/>
      </c>
      <c r="DD16" s="133" t="n"/>
      <c r="DE16" s="139">
        <f>DD16*100/$E$16</f>
        <v/>
      </c>
      <c r="DF16" s="133" t="n"/>
      <c r="DG16" s="139">
        <f>DF16*100/$E$16</f>
        <v/>
      </c>
      <c r="DH16" s="133" t="n"/>
      <c r="DI16" s="139">
        <f>DH16*100/$E$16</f>
        <v/>
      </c>
      <c r="DJ16" s="133" t="n"/>
      <c r="DK16" s="139">
        <f>DJ16*100/$E$16</f>
        <v/>
      </c>
      <c r="DL16" s="133" t="n"/>
      <c r="DM16" s="139">
        <f>DL16*100/$E$16</f>
        <v/>
      </c>
      <c r="DN16" s="133" t="n"/>
      <c r="DO16" s="139">
        <f>DN16*100/$E$16</f>
        <v/>
      </c>
      <c r="DP16" s="133" t="n"/>
      <c r="DQ16" s="139">
        <f>DP16*100/$E$16</f>
        <v/>
      </c>
      <c r="DR16" s="133" t="n"/>
      <c r="DS16" s="140">
        <f>DR16*100/$E$16</f>
        <v/>
      </c>
      <c r="DT16" s="133" t="n"/>
      <c r="DU16" s="139">
        <f>DT16*100/$E$16</f>
        <v/>
      </c>
      <c r="DV16" s="133" t="n"/>
      <c r="DW16" s="139">
        <f>DV16*100/$E$16</f>
        <v/>
      </c>
      <c r="DX16" s="133" t="n"/>
      <c r="DY16" s="139">
        <f>DX16*100/$E$16</f>
        <v/>
      </c>
      <c r="DZ16" s="133" t="n"/>
      <c r="EA16" s="139">
        <f>DZ16*100/$E$16</f>
        <v/>
      </c>
      <c r="EB16" s="133" t="n"/>
      <c r="EC16" s="139">
        <f>EB16*100/$E$16</f>
        <v/>
      </c>
      <c r="ED16" s="133" t="n"/>
      <c r="EE16" s="139">
        <f>ED16*100/$E$16</f>
        <v/>
      </c>
      <c r="EF16" s="133" t="n"/>
      <c r="EG16" s="139">
        <f>EF16*100/$E$16</f>
        <v/>
      </c>
      <c r="EH16" s="133" t="n"/>
      <c r="EI16" s="140">
        <f>EH16*100/$E$16</f>
        <v/>
      </c>
      <c r="EJ16" s="133" t="n"/>
      <c r="EK16" s="140">
        <f>EJ16*100/$E$16</f>
        <v/>
      </c>
      <c r="EL16" s="133" t="n"/>
      <c r="EM16" s="140">
        <f>EL16*100/$E$16</f>
        <v/>
      </c>
      <c r="EN16" s="133" t="n"/>
      <c r="EO16" s="140">
        <f>EN16*100/$E$16</f>
        <v/>
      </c>
      <c r="EP16" s="133" t="n"/>
      <c r="EQ16" s="140">
        <f>EP16*100/$E$16</f>
        <v/>
      </c>
      <c r="ER16" s="133" t="n"/>
      <c r="ES16" s="140">
        <f>ER16*100/$E$16</f>
        <v/>
      </c>
      <c r="ET16" s="133" t="n"/>
      <c r="EU16" s="140">
        <f>ET16*100/$E$16</f>
        <v/>
      </c>
      <c r="EV16" s="133" t="n"/>
      <c r="EW16" s="139">
        <f>EV16*100/$E$16</f>
        <v/>
      </c>
      <c r="EX16" s="133" t="n"/>
      <c r="EY16" s="139">
        <f>EX16*100/$E$16</f>
        <v/>
      </c>
      <c r="EZ16" s="133" t="n"/>
      <c r="FA16" s="139">
        <f>EZ16*100/$E$16</f>
        <v/>
      </c>
      <c r="FB16" s="133" t="n"/>
      <c r="FC16" s="139">
        <f>FB16*100/$E$16</f>
        <v/>
      </c>
      <c r="FD16" s="133" t="n"/>
      <c r="FE16" s="139">
        <f>FD16*100/$E$16</f>
        <v/>
      </c>
      <c r="FF16" s="133" t="n"/>
      <c r="FG16" s="139">
        <f>FF16*100/$E$16</f>
        <v/>
      </c>
      <c r="FH16" s="133" t="n"/>
      <c r="FI16" s="139">
        <f>FH16*100/$E$16</f>
        <v/>
      </c>
      <c r="FJ16" s="133" t="n"/>
      <c r="FK16" s="139">
        <f>FJ16*100/$E$16</f>
        <v/>
      </c>
      <c r="FL16" s="133" t="n"/>
      <c r="FM16" s="139">
        <f>FL16*100/$E$16</f>
        <v/>
      </c>
      <c r="FN16" s="133" t="n"/>
      <c r="FO16" s="139">
        <f>FN16*100/$E$16</f>
        <v/>
      </c>
      <c r="FP16" s="133" t="n"/>
      <c r="FQ16" s="140">
        <f>FP16*100/$E$16</f>
        <v/>
      </c>
      <c r="FR16" s="133" t="n"/>
      <c r="FS16" s="140">
        <f>FR16*100/$E$16</f>
        <v/>
      </c>
      <c r="FT16" s="133" t="n"/>
      <c r="FU16" s="140">
        <f>FT16*100/$E$16</f>
        <v/>
      </c>
      <c r="FV16" s="133" t="n"/>
      <c r="FW16" s="140">
        <f>FV16*100/$E$16</f>
        <v/>
      </c>
      <c r="FX16" s="133" t="n"/>
      <c r="FY16" s="140">
        <f>FX16*100/$E$16</f>
        <v/>
      </c>
      <c r="FZ16" s="133" t="n"/>
      <c r="GA16" s="140">
        <f>FZ16*100/$E$16</f>
        <v/>
      </c>
      <c r="GB16" s="133" t="n"/>
      <c r="GC16" s="140">
        <f>GB16*100/$E$16</f>
        <v/>
      </c>
      <c r="GD16" s="133" t="n"/>
      <c r="GE16" s="140">
        <f>GD16*100/$E$16</f>
        <v/>
      </c>
      <c r="GF16" s="133" t="n"/>
      <c r="GG16" s="140">
        <f>GF16*100/$E$16</f>
        <v/>
      </c>
      <c r="GH16" s="133" t="n"/>
      <c r="GI16" s="140">
        <f>GH16*100/$E$16</f>
        <v/>
      </c>
      <c r="GJ16" s="133" t="n"/>
      <c r="GK16" s="139">
        <f>GJ16*100/$E$16</f>
        <v/>
      </c>
      <c r="GL16" s="133" t="n"/>
      <c r="GM16" s="140">
        <f>GL16*100/$E$16</f>
        <v/>
      </c>
      <c r="GN16" s="133" t="n"/>
      <c r="GO16" s="139">
        <f>GN16*100/$E$16</f>
        <v/>
      </c>
      <c r="GP16" s="133" t="n"/>
      <c r="GQ16" s="140">
        <f>GP16*100/$E$16</f>
        <v/>
      </c>
      <c r="GR16" s="133" t="n"/>
      <c r="GS16" s="139">
        <f>GR16*100/$E$16</f>
        <v/>
      </c>
      <c r="GT16" s="133" t="n"/>
      <c r="GU16" s="139">
        <f>GT16*100/$E$16</f>
        <v/>
      </c>
      <c r="GV16" s="133" t="n"/>
      <c r="GW16" s="139">
        <f>GV16*100/$E$16</f>
        <v/>
      </c>
      <c r="GX16" s="133" t="n"/>
      <c r="GY16" s="140">
        <f>GX16*100/$E$16</f>
        <v/>
      </c>
      <c r="GZ16" s="133" t="n"/>
      <c r="HA16" s="140">
        <f>GZ16*100/$E$16</f>
        <v/>
      </c>
      <c r="HB16" s="133" t="n"/>
      <c r="HC16" s="140">
        <f>HB16*100/$E$16</f>
        <v/>
      </c>
      <c r="HD16" s="133" t="n"/>
      <c r="HE16" s="140">
        <f>HD16*100/$E$16</f>
        <v/>
      </c>
      <c r="HF16" s="133" t="n"/>
      <c r="HG16" s="140">
        <f>HF16*100/$E$16</f>
        <v/>
      </c>
      <c r="HH16" s="133" t="n"/>
      <c r="HI16" s="140">
        <f>HH16*100/$E$16</f>
        <v/>
      </c>
      <c r="HJ16" s="133" t="n"/>
      <c r="HK16" s="140">
        <f>HJ16*100/$E$16</f>
        <v/>
      </c>
      <c r="HL16" s="133" t="n"/>
      <c r="HM16" s="140">
        <f>HL16*100/$E$16</f>
        <v/>
      </c>
      <c r="HN16" s="133" t="n"/>
      <c r="HO16" s="140">
        <f>HN16*100/$E$16</f>
        <v/>
      </c>
      <c r="HP16" s="133" t="n"/>
      <c r="HQ16" s="140">
        <f>HP16*100/$E$16</f>
        <v/>
      </c>
      <c r="HR16" s="133" t="n"/>
      <c r="HS16" s="140">
        <f>HR16*100/$E$16</f>
        <v/>
      </c>
      <c r="HT16" s="133" t="n"/>
      <c r="HU16" s="140">
        <f>HT16*100/$E$16</f>
        <v/>
      </c>
      <c r="HV16" s="133" t="n"/>
      <c r="HW16" s="140">
        <f>HV16*100/$E$16</f>
        <v/>
      </c>
      <c r="HX16" s="133" t="n"/>
      <c r="HY16" s="140">
        <f>HX16*100/$E$16</f>
        <v/>
      </c>
      <c r="HZ16" s="133" t="n"/>
      <c r="IA16" s="139">
        <f>HZ16*100/$E$16</f>
        <v/>
      </c>
      <c r="IB16" s="133" t="n"/>
      <c r="IC16" s="139">
        <f>IB16*100/$E$16</f>
        <v/>
      </c>
      <c r="ID16" s="133" t="n"/>
      <c r="IE16" s="139">
        <f>ID16*100/$E$16</f>
        <v/>
      </c>
      <c r="IF16" s="133" t="n"/>
      <c r="IG16" s="139">
        <f>IF16*100/$E$16</f>
        <v/>
      </c>
      <c r="IH16" s="133" t="n"/>
      <c r="II16" s="139">
        <f>IH16*100/$E$16</f>
        <v/>
      </c>
      <c r="IJ16" s="133" t="n"/>
      <c r="IK16" s="139">
        <f>IJ16*100/$E$16</f>
        <v/>
      </c>
      <c r="IL16" s="133" t="n"/>
      <c r="IM16" s="140">
        <f>IL16*100/$E$16</f>
        <v/>
      </c>
      <c r="IN16" s="133" t="n"/>
      <c r="IO16" s="140">
        <f>IN16*100/$E$16</f>
        <v/>
      </c>
      <c r="IP16" s="133" t="n"/>
      <c r="IQ16" s="139">
        <f>IP16*100/$E$16</f>
        <v/>
      </c>
      <c r="IR16" s="133" t="n"/>
      <c r="IS16" s="139">
        <f>IR16*100/$E$16</f>
        <v/>
      </c>
      <c r="IT16" s="133" t="n"/>
      <c r="IU16" s="139">
        <f>IT16*100/$E$16</f>
        <v/>
      </c>
      <c r="IV16" s="133" t="n"/>
      <c r="IW16" s="139">
        <f>IV16*100/$E$16</f>
        <v/>
      </c>
      <c r="IX16" s="133" t="n"/>
      <c r="IY16" s="139">
        <f>IX16*100/$E$16</f>
        <v/>
      </c>
      <c r="IZ16" s="133" t="n"/>
      <c r="JA16" s="139">
        <f>IZ16*100/$E$16</f>
        <v/>
      </c>
      <c r="JB16" s="133" t="n"/>
      <c r="JC16" s="139">
        <f>JB16*100/$E$16</f>
        <v/>
      </c>
      <c r="JD16" s="133" t="n"/>
      <c r="JE16" s="139">
        <f>JD16*100/$E$16</f>
        <v/>
      </c>
      <c r="JF16" s="133" t="n"/>
      <c r="JG16" s="139">
        <f>JF16*100/$E$16</f>
        <v/>
      </c>
      <c r="JH16" s="133" t="n"/>
      <c r="JI16" s="139">
        <f>JH16*100/$E$16</f>
        <v/>
      </c>
      <c r="JJ16" s="133" t="n"/>
      <c r="JK16" s="139">
        <f>JJ16*100/$E$16</f>
        <v/>
      </c>
      <c r="JL16" s="133">
        <f>8+16+8</f>
        <v/>
      </c>
      <c r="JM16" s="139">
        <f>JL16*100/$E$16</f>
        <v/>
      </c>
      <c r="JN16" s="133" t="n"/>
      <c r="JO16" s="139">
        <f>JN16*100/$E$16</f>
        <v/>
      </c>
      <c r="JP16" s="133" t="n"/>
      <c r="JQ16" s="139">
        <f>JP16*100/$E$16</f>
        <v/>
      </c>
      <c r="JR16" s="133" t="n"/>
      <c r="JS16" s="182">
        <f>JR16*100/$E$16</f>
        <v/>
      </c>
      <c r="JT16" s="133" t="n"/>
      <c r="JU16" s="182">
        <f>JT16*100/$E$16</f>
        <v/>
      </c>
      <c r="JV16" s="133" t="n"/>
      <c r="JW16" s="182">
        <f>JV16*100/$E$16</f>
        <v/>
      </c>
      <c r="JX16" s="133" t="n"/>
      <c r="JY16" s="182">
        <f>JX16*100/$E$16</f>
        <v/>
      </c>
      <c r="JZ16" s="183">
        <f>JN16+JP16+JR16+JT16+JV16+JX16</f>
        <v/>
      </c>
      <c r="KA16" s="184">
        <f>JO16+JQ16+JS16+JU16+JW16+JY16</f>
        <v/>
      </c>
      <c r="KB16" s="185">
        <f>H16+J16+L16+N16+P16+R16+T16+V16+X16+Z16+AB16+AD16+AF16+AH16+AJ16+AL16+AN16+AP16+AR16+AT16+AV16+AX16+AZ16+BB16+BD16+BF16+BH16+BJ16+BL16+BN16+BP16+BR16+BT16+BV16+BX16+BZ16+CB16+CD16+CF16+CH16+CZ16+DB16+DD16+DF16+DH16+DJ16+DL16+DN16+DP16+DR16+DT16+DV16+DX16+DZ16+EB16+ED16+EF16+EH16+EJ16+EL16+EN16+EP16+ER16+ET16+EV16+FN16+FP16+FR16+FT16+FV16+FX16+FZ16+GB16+GD16+GF16+GH16+GJ16+GL16+GN16+GP16+GR16+GT16+GV16+GX16+GZ16+HB16+HD16+HF16+HH16+HJ16+HL16+HN16+HP16+HR16+HT16+HV16+HX16+HZ16+IB16+ID16+IF16+IH16+IJ16+IL16+IN16+IP16+IR16+IT16+IV16+IX16+IZ16+JB16+JD16+JF16+JH16+JJ16+JL16+JZ16+CJ16+CL16+CN16+CP16+CR16+CT16+CV16+CX16+EX16+EZ16+FB16+FD16+FF16+FH16+FJ16+FL16</f>
        <v/>
      </c>
      <c r="KC16" s="186">
        <f>I16+K16+M16+O16+Q16+S16+U16+W16+Y16+AA16+AC16+AE16+AG16+AI16+AK16+AM16+AO16+AQ16+AS16+AU16+AW16+AY16+BA16+BC16+BE16+BG16+BI16+BK16+BM16+BO16+BQ16+BS16+BU16+BW16+BY16+CA16+CC16+CE16+CG16+CI16+DA16+DC16+DE16+DG16+DI16+DK16+DM16+DO16+DQ16+DS16+DU16+DW16+DY16+EA16+EC16+EE16+EG16+EI16+EK16+EM16+EO16+EQ16+ES16+EU16+EW16+FO16+FS16+FU16+FW16+FQ16+FY16+GA16+GC16+GE16+GG16+GI16+GK16+GM16+GO16+GQ16+GS16+GU16+GW16+GY16+HA16+HC16+HE16+HG16+HI16+HK16+HM16+HO16+HQ16+HS16+HU16+HW16+HY16+IA16+IC16+IE16+IG16+II16+IK16+IM16+IO16+IQ16+IS16+IU16+IW16+IY16+JA16+JC16+JE16+JG16+JI16+JK16+JM16+KA16+CK16+CM16+CO16+CQ16+CS16+CU16+CW16+CY16+EY16+FA16+FC16+FE16+FG16+FI16+FK16+FM16</f>
        <v/>
      </c>
      <c r="KD16" s="187">
        <f>JO16+JQ16+JS16+JU16+JW16+JY16</f>
        <v/>
      </c>
      <c r="KE16" s="188">
        <f>KB16=E16</f>
        <v/>
      </c>
      <c r="KF16" s="189">
        <f>E16-KB16</f>
        <v/>
      </c>
      <c r="KG16" s="231" t="n"/>
    </row>
    <row r="17" ht="21.75" customFormat="1" customHeight="1" s="230">
      <c r="A17" s="126">
        <f>A16+1</f>
        <v/>
      </c>
      <c r="B17" s="175" t="inlineStr">
        <is>
          <t>Евстратов Е.В.</t>
        </is>
      </c>
      <c r="C17" s="176" t="inlineStr">
        <is>
          <t>слесарь</t>
        </is>
      </c>
      <c r="D17" s="177">
        <f>$D$5</f>
        <v/>
      </c>
      <c r="E17" s="202" t="n">
        <v>192</v>
      </c>
      <c r="F17" s="190" t="n">
        <v>75793.14999999999</v>
      </c>
      <c r="G17" s="179">
        <f>F17/D17</f>
        <v/>
      </c>
      <c r="H17" s="180" t="n"/>
      <c r="I17" s="140">
        <f>H17*100/$E$17</f>
        <v/>
      </c>
      <c r="J17" s="133" t="n"/>
      <c r="K17" s="140">
        <f>J17*100/$E$17</f>
        <v/>
      </c>
      <c r="L17" s="133" t="n"/>
      <c r="M17" s="140">
        <f>L17*100/$E$17</f>
        <v/>
      </c>
      <c r="N17" s="133" t="n"/>
      <c r="O17" s="140">
        <f>N17*100/$E$17</f>
        <v/>
      </c>
      <c r="P17" s="133" t="n"/>
      <c r="Q17" s="139">
        <f>P17*100/$E$17</f>
        <v/>
      </c>
      <c r="R17" s="133" t="n"/>
      <c r="S17" s="139">
        <f>R17*100/$E$17</f>
        <v/>
      </c>
      <c r="T17" s="133" t="n"/>
      <c r="U17" s="140">
        <f>T17*100/$E$17</f>
        <v/>
      </c>
      <c r="V17" s="133" t="n"/>
      <c r="W17" s="140">
        <f>V17*100/$E$17</f>
        <v/>
      </c>
      <c r="X17" s="133" t="n"/>
      <c r="Y17" s="140">
        <f>X17*100/$E$17</f>
        <v/>
      </c>
      <c r="Z17" s="133" t="n"/>
      <c r="AA17" s="140">
        <f>Z17*100/$E$17</f>
        <v/>
      </c>
      <c r="AB17" s="133" t="n"/>
      <c r="AC17" s="140">
        <f>AB17*100/$E$17</f>
        <v/>
      </c>
      <c r="AD17" s="133" t="n"/>
      <c r="AE17" s="139">
        <f>AD17*100/$E$17</f>
        <v/>
      </c>
      <c r="AF17" s="133" t="n"/>
      <c r="AG17" s="139">
        <f>AF17*100/$E$17</f>
        <v/>
      </c>
      <c r="AH17" s="133" t="n"/>
      <c r="AI17" s="140">
        <f>AH17*100/$E$17</f>
        <v/>
      </c>
      <c r="AJ17" s="133" t="n"/>
      <c r="AK17" s="140">
        <f>AJ17*100/$E$17</f>
        <v/>
      </c>
      <c r="AL17" s="133" t="n"/>
      <c r="AM17" s="140">
        <f>AL17*100/$E$17</f>
        <v/>
      </c>
      <c r="AN17" s="133" t="n"/>
      <c r="AO17" s="140">
        <f>AN17*100/$E$17</f>
        <v/>
      </c>
      <c r="AP17" s="133" t="n"/>
      <c r="AQ17" s="140">
        <f>AP17*100/$E$17</f>
        <v/>
      </c>
      <c r="AR17" s="133" t="n"/>
      <c r="AS17" s="140">
        <f>AR17*100/$E$17</f>
        <v/>
      </c>
      <c r="AT17" s="133" t="n"/>
      <c r="AU17" s="181">
        <f>AT17*100/$E$17</f>
        <v/>
      </c>
      <c r="AV17" s="133" t="n"/>
      <c r="AW17" s="140">
        <f>AV17*100/$E$17</f>
        <v/>
      </c>
      <c r="AX17" s="133" t="n"/>
      <c r="AY17" s="140">
        <f>AX17*100/$E$17</f>
        <v/>
      </c>
      <c r="AZ17" s="133" t="n"/>
      <c r="BA17" s="140">
        <f>AZ17*100/$E$17</f>
        <v/>
      </c>
      <c r="BB17" s="133" t="n"/>
      <c r="BC17" s="140">
        <f>BB17*100/$E$17</f>
        <v/>
      </c>
      <c r="BD17" s="133" t="n"/>
      <c r="BE17" s="140">
        <f>BD17*100/$E$17</f>
        <v/>
      </c>
      <c r="BF17" s="133" t="n"/>
      <c r="BG17" s="140">
        <f>BF17*100/$E$17</f>
        <v/>
      </c>
      <c r="BH17" s="133" t="n">
        <v>4</v>
      </c>
      <c r="BI17" s="140">
        <f>BH17*100/$E$17</f>
        <v/>
      </c>
      <c r="BJ17" s="133" t="n"/>
      <c r="BK17" s="140">
        <f>BJ17*100/$E$17</f>
        <v/>
      </c>
      <c r="BL17" s="133" t="n"/>
      <c r="BM17" s="140">
        <f>BL17*100/$E$17</f>
        <v/>
      </c>
      <c r="BN17" s="133" t="n"/>
      <c r="BO17" s="140">
        <f>BN17*100/$E$17</f>
        <v/>
      </c>
      <c r="BP17" s="133" t="n"/>
      <c r="BQ17" s="140">
        <f>BP17*100/$E$17</f>
        <v/>
      </c>
      <c r="BR17" s="133" t="n"/>
      <c r="BS17" s="140">
        <f>BR17*100/$E$17</f>
        <v/>
      </c>
      <c r="BT17" s="133" t="n"/>
      <c r="BU17" s="140">
        <f>BT17*100/$E$17</f>
        <v/>
      </c>
      <c r="BV17" s="133" t="n"/>
      <c r="BW17" s="140">
        <f>BV17*100/$E$17</f>
        <v/>
      </c>
      <c r="BX17" s="133" t="n"/>
      <c r="BY17" s="140">
        <f>BX17*100/$E$17</f>
        <v/>
      </c>
      <c r="BZ17" s="133" t="n"/>
      <c r="CA17" s="140">
        <f>BZ17*100/$E$17</f>
        <v/>
      </c>
      <c r="CB17" s="133" t="n">
        <v>6</v>
      </c>
      <c r="CC17" s="140">
        <f>CB17*100/$E$17</f>
        <v/>
      </c>
      <c r="CD17" s="133" t="n"/>
      <c r="CE17" s="140">
        <f>CD17*100/$E$17</f>
        <v/>
      </c>
      <c r="CF17" s="133">
        <f>4+12+6</f>
        <v/>
      </c>
      <c r="CG17" s="140">
        <f>CF17*100/$E$17</f>
        <v/>
      </c>
      <c r="CH17" s="133" t="n">
        <v>19</v>
      </c>
      <c r="CI17" s="140">
        <f>CH17*100/$E$17</f>
        <v/>
      </c>
      <c r="CJ17" s="133" t="n"/>
      <c r="CK17" s="140">
        <f>CJ17*100/$E$17</f>
        <v/>
      </c>
      <c r="CL17" s="133" t="n"/>
      <c r="CM17" s="140">
        <f>CL17*100/$E$17</f>
        <v/>
      </c>
      <c r="CN17" s="133" t="n"/>
      <c r="CO17" s="139">
        <f>CN17*100/$E$17</f>
        <v/>
      </c>
      <c r="CP17" s="133" t="n"/>
      <c r="CQ17" s="140">
        <f>CP17*100/$E$17</f>
        <v/>
      </c>
      <c r="CR17" s="133" t="n"/>
      <c r="CS17" s="139">
        <f>CR17*100/$E$17</f>
        <v/>
      </c>
      <c r="CT17" s="133" t="n"/>
      <c r="CU17" s="139">
        <f>CT17*100/$E$17</f>
        <v/>
      </c>
      <c r="CV17" s="133" t="n"/>
      <c r="CW17" s="139">
        <f>CV17*100/$E$17</f>
        <v/>
      </c>
      <c r="CX17" s="133" t="n"/>
      <c r="CY17" s="139">
        <f>CX17*100/$E$17</f>
        <v/>
      </c>
      <c r="CZ17" s="133" t="n"/>
      <c r="DA17" s="139">
        <f>CZ17*100/$E$17</f>
        <v/>
      </c>
      <c r="DB17" s="133" t="n"/>
      <c r="DC17" s="139">
        <f>DB17*100/$E$17</f>
        <v/>
      </c>
      <c r="DD17" s="133" t="n"/>
      <c r="DE17" s="139">
        <f>DD17*100/$E$17</f>
        <v/>
      </c>
      <c r="DF17" s="133" t="n"/>
      <c r="DG17" s="139">
        <f>DF17*100/$E$17</f>
        <v/>
      </c>
      <c r="DH17" s="133" t="n"/>
      <c r="DI17" s="139">
        <f>DH17*100/$E$17</f>
        <v/>
      </c>
      <c r="DJ17" s="133" t="n"/>
      <c r="DK17" s="139">
        <f>DJ17*100/$E$17</f>
        <v/>
      </c>
      <c r="DL17" s="133" t="n"/>
      <c r="DM17" s="139">
        <f>DL17*100/$E$17</f>
        <v/>
      </c>
      <c r="DN17" s="133" t="n">
        <v>12</v>
      </c>
      <c r="DO17" s="139">
        <f>DN17*100/$E$17</f>
        <v/>
      </c>
      <c r="DP17" s="133">
        <f>8+12</f>
        <v/>
      </c>
      <c r="DQ17" s="139">
        <f>DP17*100/$E$17</f>
        <v/>
      </c>
      <c r="DR17" s="133" t="n">
        <v>4</v>
      </c>
      <c r="DS17" s="139">
        <f>DR17*100/$E$17</f>
        <v/>
      </c>
      <c r="DT17" s="133" t="n"/>
      <c r="DU17" s="139">
        <f>DT17*100/$E$17</f>
        <v/>
      </c>
      <c r="DV17" s="133" t="n"/>
      <c r="DW17" s="139">
        <f>DV17*100/$E$17</f>
        <v/>
      </c>
      <c r="DX17" s="133" t="n"/>
      <c r="DY17" s="139">
        <f>DX17*100/$E$17</f>
        <v/>
      </c>
      <c r="DZ17" s="133" t="n"/>
      <c r="EA17" s="139">
        <f>DZ17*100/$E$17</f>
        <v/>
      </c>
      <c r="EB17" s="133" t="n"/>
      <c r="EC17" s="139">
        <f>EB17*100/$E$17</f>
        <v/>
      </c>
      <c r="ED17" s="133" t="n"/>
      <c r="EE17" s="139">
        <f>ED17*100/$E$17</f>
        <v/>
      </c>
      <c r="EF17" s="133" t="n"/>
      <c r="EG17" s="139">
        <f>EF17*100/$E$17</f>
        <v/>
      </c>
      <c r="EH17" s="133">
        <f>12+4</f>
        <v/>
      </c>
      <c r="EI17" s="139">
        <f>EH17*100/$E$17</f>
        <v/>
      </c>
      <c r="EJ17" s="133" t="n"/>
      <c r="EK17" s="139">
        <f>EJ17*100/$E$17</f>
        <v/>
      </c>
      <c r="EL17" s="133" t="n"/>
      <c r="EM17" s="139">
        <f>EL17*100/$E$17</f>
        <v/>
      </c>
      <c r="EN17" s="133" t="n"/>
      <c r="EO17" s="139">
        <f>EN17*100/$E$17</f>
        <v/>
      </c>
      <c r="EP17" s="133" t="n"/>
      <c r="EQ17" s="139">
        <f>EP17*100/$E$17</f>
        <v/>
      </c>
      <c r="ER17" s="133" t="n"/>
      <c r="ES17" s="139">
        <f>ER17*100/$E$17</f>
        <v/>
      </c>
      <c r="ET17" s="133" t="n"/>
      <c r="EU17" s="139">
        <f>ET17*100/$E$17</f>
        <v/>
      </c>
      <c r="EV17" s="133" t="n"/>
      <c r="EW17" s="139">
        <f>EV17*100/$E$17</f>
        <v/>
      </c>
      <c r="EX17" s="133" t="n"/>
      <c r="EY17" s="139">
        <f>EX17*100/$E$17</f>
        <v/>
      </c>
      <c r="EZ17" s="133" t="n"/>
      <c r="FA17" s="139">
        <f>EZ17*100/$E$17</f>
        <v/>
      </c>
      <c r="FB17" s="133" t="n"/>
      <c r="FC17" s="139">
        <f>FB17*100/$E$17</f>
        <v/>
      </c>
      <c r="FD17" s="133" t="n"/>
      <c r="FE17" s="139">
        <f>FD17*100/$E$17</f>
        <v/>
      </c>
      <c r="FF17" s="133" t="n"/>
      <c r="FG17" s="139">
        <f>FF17*100/$E$17</f>
        <v/>
      </c>
      <c r="FH17" s="133">
        <f>2+6</f>
        <v/>
      </c>
      <c r="FI17" s="139">
        <f>FH17*100/$E$17</f>
        <v/>
      </c>
      <c r="FJ17" s="133" t="n">
        <v>3</v>
      </c>
      <c r="FK17" s="139">
        <f>FJ17*100/$E$17</f>
        <v/>
      </c>
      <c r="FL17" s="133" t="n"/>
      <c r="FM17" s="139">
        <f>FL17*100/$E$17</f>
        <v/>
      </c>
      <c r="FN17" s="133" t="n">
        <v>4</v>
      </c>
      <c r="FO17" s="139">
        <f>FN17*100/$E$17</f>
        <v/>
      </c>
      <c r="FP17" s="133" t="n">
        <v>1</v>
      </c>
      <c r="FQ17" s="139">
        <f>FP17*100/$E$17</f>
        <v/>
      </c>
      <c r="FR17" s="133">
        <f>4+4</f>
        <v/>
      </c>
      <c r="FS17" s="139">
        <f>FR17*100/$E$17</f>
        <v/>
      </c>
      <c r="FT17" s="133" t="n">
        <v>4</v>
      </c>
      <c r="FU17" s="139">
        <f>FT17*100/$E$17</f>
        <v/>
      </c>
      <c r="FV17" s="133" t="n"/>
      <c r="FW17" s="139">
        <f>FV17*100/$E$17</f>
        <v/>
      </c>
      <c r="FX17" s="133" t="n"/>
      <c r="FY17" s="140">
        <f>FX17*100/$E$17</f>
        <v/>
      </c>
      <c r="FZ17" s="133" t="n"/>
      <c r="GA17" s="140">
        <f>FZ17*100/$E$17</f>
        <v/>
      </c>
      <c r="GB17" s="133" t="n"/>
      <c r="GC17" s="140">
        <f>GB17*100/$E$17</f>
        <v/>
      </c>
      <c r="GD17" s="133" t="n"/>
      <c r="GE17" s="140">
        <f>GD17*100/$E$17</f>
        <v/>
      </c>
      <c r="GF17" s="133" t="n"/>
      <c r="GG17" s="140">
        <f>GF17*100/$E$17</f>
        <v/>
      </c>
      <c r="GH17" s="133" t="n"/>
      <c r="GI17" s="140">
        <f>GH17*100/$E$17</f>
        <v/>
      </c>
      <c r="GJ17" s="133" t="n"/>
      <c r="GK17" s="139">
        <f>GJ17*100/$E$17</f>
        <v/>
      </c>
      <c r="GL17" s="133" t="n"/>
      <c r="GM17" s="140">
        <f>GL17*100/$E$17</f>
        <v/>
      </c>
      <c r="GN17" s="133" t="n"/>
      <c r="GO17" s="139">
        <f>GN17*100/$E$17</f>
        <v/>
      </c>
      <c r="GP17" s="133" t="n"/>
      <c r="GQ17" s="140">
        <f>GP17*100/$E$17</f>
        <v/>
      </c>
      <c r="GR17" s="133" t="n"/>
      <c r="GS17" s="139">
        <f>GR17*100/$E$17</f>
        <v/>
      </c>
      <c r="GT17" s="133" t="n"/>
      <c r="GU17" s="139">
        <f>GT17*100/$E$17</f>
        <v/>
      </c>
      <c r="GV17" s="133" t="n"/>
      <c r="GW17" s="139">
        <f>GV17*100/$E$17</f>
        <v/>
      </c>
      <c r="GX17" s="133" t="n"/>
      <c r="GY17" s="140">
        <f>GX17*100/$E$17</f>
        <v/>
      </c>
      <c r="GZ17" s="133" t="n"/>
      <c r="HA17" s="140">
        <f>GZ17*100/$E$17</f>
        <v/>
      </c>
      <c r="HB17" s="133" t="n"/>
      <c r="HC17" s="140">
        <f>HB17*100/$E$17</f>
        <v/>
      </c>
      <c r="HD17" s="133" t="n"/>
      <c r="HE17" s="140">
        <f>HD17*100/$E$17</f>
        <v/>
      </c>
      <c r="HF17" s="133" t="n"/>
      <c r="HG17" s="140">
        <f>HF17*100/$E$17</f>
        <v/>
      </c>
      <c r="HH17" s="133" t="n"/>
      <c r="HI17" s="140">
        <f>HH17*100/$E$17</f>
        <v/>
      </c>
      <c r="HJ17" s="133" t="n"/>
      <c r="HK17" s="140">
        <f>HJ17*100/$E$17</f>
        <v/>
      </c>
      <c r="HL17" s="133" t="n"/>
      <c r="HM17" s="140">
        <f>HL17*100/$E$17</f>
        <v/>
      </c>
      <c r="HN17" s="133" t="n"/>
      <c r="HO17" s="140">
        <f>HN17*100/$E$17</f>
        <v/>
      </c>
      <c r="HP17" s="133" t="n"/>
      <c r="HQ17" s="140">
        <f>HP17*100/$E$17</f>
        <v/>
      </c>
      <c r="HR17" s="133" t="n"/>
      <c r="HS17" s="140">
        <f>HR17*100/$E$17</f>
        <v/>
      </c>
      <c r="HT17" s="133">
        <f>2+4</f>
        <v/>
      </c>
      <c r="HU17" s="140">
        <f>HT17*100/$E$17</f>
        <v/>
      </c>
      <c r="HV17" s="133" t="n"/>
      <c r="HW17" s="140">
        <f>HV17*100/$E$17</f>
        <v/>
      </c>
      <c r="HX17" s="133" t="n"/>
      <c r="HY17" s="140">
        <f>HX17*100/$E$17</f>
        <v/>
      </c>
      <c r="HZ17" s="133" t="n"/>
      <c r="IA17" s="139">
        <f>HZ17*100/$E$17</f>
        <v/>
      </c>
      <c r="IB17" s="133" t="n"/>
      <c r="IC17" s="139">
        <f>IB17*100/$E$17</f>
        <v/>
      </c>
      <c r="ID17" s="133" t="n"/>
      <c r="IE17" s="139">
        <f>ID17*100/$E$17</f>
        <v/>
      </c>
      <c r="IF17" s="133" t="n"/>
      <c r="IG17" s="139">
        <f>IF17*100/$E$17</f>
        <v/>
      </c>
      <c r="IH17" s="133" t="n"/>
      <c r="II17" s="139">
        <f>IH17*100/$E$17</f>
        <v/>
      </c>
      <c r="IJ17" s="133" t="n"/>
      <c r="IK17" s="139">
        <f>IJ17*100/$E$17</f>
        <v/>
      </c>
      <c r="IL17" s="133" t="n"/>
      <c r="IM17" s="140">
        <f>IL17*100/E17</f>
        <v/>
      </c>
      <c r="IN17" s="133" t="n"/>
      <c r="IO17" s="140">
        <f>IN17*100/$E$17</f>
        <v/>
      </c>
      <c r="IP17" s="133" t="n"/>
      <c r="IQ17" s="139">
        <f>IP17*100/$E$17</f>
        <v/>
      </c>
      <c r="IR17" s="133" t="n"/>
      <c r="IS17" s="139">
        <f>IR17*100/$E$17</f>
        <v/>
      </c>
      <c r="IT17" s="133" t="n"/>
      <c r="IU17" s="139">
        <f>IT17*100/$E$17</f>
        <v/>
      </c>
      <c r="IV17" s="133" t="n"/>
      <c r="IW17" s="139">
        <f>IV17*100/$E$17</f>
        <v/>
      </c>
      <c r="IX17" s="133" t="n"/>
      <c r="IY17" s="139">
        <f>IX17*100/$E$17</f>
        <v/>
      </c>
      <c r="IZ17" s="133" t="n"/>
      <c r="JA17" s="139">
        <f>IZ17*100/$E$17</f>
        <v/>
      </c>
      <c r="JB17" s="133" t="n"/>
      <c r="JC17" s="139">
        <f>JB17*100/$E$17</f>
        <v/>
      </c>
      <c r="JD17" s="133" t="n"/>
      <c r="JE17" s="139">
        <f>JD17*100/$E$17</f>
        <v/>
      </c>
      <c r="JF17" s="133">
        <f>12+8</f>
        <v/>
      </c>
      <c r="JG17" s="139">
        <f>JF17*100/$E$17</f>
        <v/>
      </c>
      <c r="JH17" s="133" t="n"/>
      <c r="JI17" s="139">
        <f>JH17*100/$E$17</f>
        <v/>
      </c>
      <c r="JJ17" s="133" t="n"/>
      <c r="JK17" s="139">
        <f>JJ17*100/$E$17</f>
        <v/>
      </c>
      <c r="JL17" s="133">
        <f>12+8+4+3+8</f>
        <v/>
      </c>
      <c r="JM17" s="139">
        <f>JL17*100/$E$17</f>
        <v/>
      </c>
      <c r="JN17" s="133" t="n"/>
      <c r="JO17" s="139">
        <f>JN17*100/$E$17</f>
        <v/>
      </c>
      <c r="JP17" s="133" t="n"/>
      <c r="JQ17" s="139">
        <f>JP17*100/$E$17</f>
        <v/>
      </c>
      <c r="JR17" s="133" t="n"/>
      <c r="JS17" s="182">
        <f>JR17*100/$E$17</f>
        <v/>
      </c>
      <c r="JT17" s="133" t="n"/>
      <c r="JU17" s="182">
        <f>JT17*100/$E$17</f>
        <v/>
      </c>
      <c r="JV17" s="133" t="n"/>
      <c r="JW17" s="182">
        <f>JV17*100/$E$17</f>
        <v/>
      </c>
      <c r="JX17" s="133" t="n"/>
      <c r="JY17" s="182">
        <f>JX17*100/$E$17</f>
        <v/>
      </c>
      <c r="JZ17" s="183">
        <f>JN17+JP17+JR17+JT17+JV17+JX17</f>
        <v/>
      </c>
      <c r="KA17" s="184">
        <f>JO17+JQ17+JS17+JU17+JW17+JY17</f>
        <v/>
      </c>
      <c r="KB17" s="185">
        <f>H17+J17+L17+N17+P17+R17+T17+V17+X17+Z17+AB17+AD17+AF17+AH17+AJ17+AL17+AN17+AP17+AR17+AT17+AV17+AX17+AZ17+BB17+BD17+BF17+BH17+BJ17+BL17+BN17+BP17+BR17+BT17+BV17+BX17+BZ17+CB17+CD17+CF17+CH17+CZ17+DB17+DD17+DF17+DH17+DJ17+DL17+DN17+DP17+DR17+DT17+DV17+DX17+DZ17+EB17+ED17+EF17+EH17+EJ17+EL17+EN17+EP17+ER17+ET17+EV17+FN17+FP17+FR17+FT17+FV17+FX17+FZ17+GB17+GD17+GF17+GH17+GJ17+GL17+GN17+GP17+GR17+GT17+GV17+GX17+GZ17+HB17+HD17+HF17+HH17+HJ17+HL17+HN17+HP17+HR17+HT17+HV17+HX17+HZ17+IB17+ID17+IF17+IH17+IJ17+IL17+IN17+IP17+IR17+IT17+IV17+IX17+IZ17+JB17+JD17+JF17+JH17+JJ17+JL17+JZ17+CJ17+CL17+CN17+CP17+CR17+CT17+CV17+CX17+EX17+EZ17+FB17+FD17+FF17+FH17+FJ17+FL17</f>
        <v/>
      </c>
      <c r="KC17" s="186">
        <f>I17+K17+M17+O17+Q17+S17+U17+W17+Y17+AA17+AC17+AE17+AG17+AI17+AK17+AM17+AO17+AQ17+AS17+AU17+AW17+AY17+BA17+BC17+BE17+BG17+BI17+BK17+BM17+BO17+BQ17+BS17+BU17+BW17+BY17+CA17+CC17+CE17+CG17+CI17+DA17+DC17+DE17+DG17+DI17+DK17+DM17+DO17+DQ17+DS17+DU17+DW17+DY17+EA17+EC17+EE17+EG17+EI17+EK17+EM17+EO17+EQ17+ES17+EU17+EW17+FO17+FS17+FU17+FW17+FQ17+FY17+GA17+GC17+GE17+GG17+GI17+GK17+GM17+GO17+GQ17+GS17+GU17+GW17+GY17+HA17+HC17+HE17+HG17+HI17+HK17+HM17+HO17+HQ17+HS17+HU17+HW17+HY17+IA17+IC17+IE17+IG17+II17+IK17+IM17+IO17+IQ17+IS17+IU17+IW17+IY17+JA17+JC17+JE17+JG17+JI17+JK17+JM17+KA17+CK17+CM17+CO17+CQ17+CS17+CU17+CW17+CY17+EY17+FA17+FC17+FE17+FG17+FI17+FK17+FM17</f>
        <v/>
      </c>
      <c r="KD17" s="187">
        <f>JO17+JQ17+JS17+JU17+JW17+JY17</f>
        <v/>
      </c>
      <c r="KE17" s="188">
        <f>KB17=E17</f>
        <v/>
      </c>
      <c r="KF17" s="189">
        <f>E17-KB17</f>
        <v/>
      </c>
      <c r="KG17" s="214" t="n"/>
    </row>
    <row r="18" ht="21.75" customFormat="1" customHeight="1" s="214">
      <c r="A18" s="126">
        <f>A17+1</f>
        <v/>
      </c>
      <c r="B18" s="175" t="inlineStr">
        <is>
          <t>Еналов А.Д.</t>
        </is>
      </c>
      <c r="C18" s="176" t="inlineStr">
        <is>
          <t>слесарь</t>
        </is>
      </c>
      <c r="D18" s="177">
        <f>$D$5</f>
        <v/>
      </c>
      <c r="E18" s="202" t="n">
        <v>112</v>
      </c>
      <c r="F18" s="191" t="n">
        <v>75793.14999999999</v>
      </c>
      <c r="G18" s="179">
        <f>F18/D18</f>
        <v/>
      </c>
      <c r="H18" s="180" t="n"/>
      <c r="I18" s="140">
        <f>H18*100/$E$18</f>
        <v/>
      </c>
      <c r="J18" s="133" t="n"/>
      <c r="K18" s="140">
        <f>J18*100/$E$18</f>
        <v/>
      </c>
      <c r="L18" s="133" t="n"/>
      <c r="M18" s="140">
        <f>L18*100/$E$18</f>
        <v/>
      </c>
      <c r="N18" s="133" t="n"/>
      <c r="O18" s="140">
        <f>N18*100/$E$18</f>
        <v/>
      </c>
      <c r="P18" s="133" t="n"/>
      <c r="Q18" s="139">
        <f>P18*100/$E$18</f>
        <v/>
      </c>
      <c r="R18" s="133" t="n"/>
      <c r="S18" s="139">
        <f>R18*100/$E$18</f>
        <v/>
      </c>
      <c r="T18" s="133" t="n"/>
      <c r="U18" s="140">
        <f>T18*100/$E$18</f>
        <v/>
      </c>
      <c r="V18" s="133" t="n"/>
      <c r="W18" s="140">
        <f>V18*100/$E$18</f>
        <v/>
      </c>
      <c r="X18" s="133" t="n"/>
      <c r="Y18" s="140">
        <f>X18*100/$E$18</f>
        <v/>
      </c>
      <c r="Z18" s="133" t="n"/>
      <c r="AA18" s="140">
        <f>Z18*100/$E$18</f>
        <v/>
      </c>
      <c r="AB18" s="133" t="n"/>
      <c r="AC18" s="140">
        <f>AB18*100/$E$18</f>
        <v/>
      </c>
      <c r="AD18" s="133" t="n"/>
      <c r="AE18" s="139">
        <f>AD18*100/$E$18</f>
        <v/>
      </c>
      <c r="AF18" s="133" t="n"/>
      <c r="AG18" s="139">
        <f>AF18*100/$E$18</f>
        <v/>
      </c>
      <c r="AH18" s="133" t="n"/>
      <c r="AI18" s="140">
        <f>AH18*100/$E$18</f>
        <v/>
      </c>
      <c r="AJ18" s="133" t="n"/>
      <c r="AK18" s="140">
        <f>AJ18*100/$E$18</f>
        <v/>
      </c>
      <c r="AL18" s="133" t="n"/>
      <c r="AM18" s="140">
        <f>AL18*100/$E$18</f>
        <v/>
      </c>
      <c r="AN18" s="133" t="n"/>
      <c r="AO18" s="140">
        <f>AN18*100/$E$18</f>
        <v/>
      </c>
      <c r="AP18" s="133" t="n"/>
      <c r="AQ18" s="140">
        <f>AP18*100/$E$18</f>
        <v/>
      </c>
      <c r="AR18" s="133" t="n"/>
      <c r="AS18" s="140">
        <f>AR18*100/$E$18</f>
        <v/>
      </c>
      <c r="AT18" s="133" t="n"/>
      <c r="AU18" s="181">
        <f>AT18*100/$E$18</f>
        <v/>
      </c>
      <c r="AV18" s="133">
        <f>8+8+8+8+7</f>
        <v/>
      </c>
      <c r="AW18" s="140">
        <f>AV18*100/$E$18</f>
        <v/>
      </c>
      <c r="AX18" s="133" t="n"/>
      <c r="AY18" s="140">
        <f>AX18*100/$E$18</f>
        <v/>
      </c>
      <c r="AZ18" s="133" t="n"/>
      <c r="BA18" s="140">
        <f>AZ18*100/$E$18</f>
        <v/>
      </c>
      <c r="BB18" s="133">
        <f>8+8+8+8+8+8+8+17</f>
        <v/>
      </c>
      <c r="BC18" s="140">
        <f>BB18*100/$E$18</f>
        <v/>
      </c>
      <c r="BD18" s="133" t="n"/>
      <c r="BE18" s="140">
        <f>BD18*100/$E$18</f>
        <v/>
      </c>
      <c r="BF18" s="133" t="n"/>
      <c r="BG18" s="140">
        <f>BF18*100/$E$18</f>
        <v/>
      </c>
      <c r="BH18" s="133" t="n"/>
      <c r="BI18" s="140">
        <f>BH18*100/$E$18</f>
        <v/>
      </c>
      <c r="BJ18" s="133" t="n"/>
      <c r="BK18" s="140">
        <f>BJ18*100/$E$18</f>
        <v/>
      </c>
      <c r="BL18" s="133" t="n"/>
      <c r="BM18" s="140">
        <f>BL18*100/$E$18</f>
        <v/>
      </c>
      <c r="BN18" s="133" t="n"/>
      <c r="BO18" s="140">
        <f>BN18*100/$E$18</f>
        <v/>
      </c>
      <c r="BP18" s="133" t="n"/>
      <c r="BQ18" s="140">
        <f>BP18*100/$E$18</f>
        <v/>
      </c>
      <c r="BR18" s="133" t="n"/>
      <c r="BS18" s="140">
        <f>BR18*100/$E$18</f>
        <v/>
      </c>
      <c r="BT18" s="133" t="n"/>
      <c r="BU18" s="140">
        <f>BT18*100/$E$18</f>
        <v/>
      </c>
      <c r="BV18" s="133" t="n"/>
      <c r="BW18" s="140">
        <f>BV18*100/$E$18</f>
        <v/>
      </c>
      <c r="BX18" s="133" t="n"/>
      <c r="BY18" s="140">
        <f>BX18*100/$E$18</f>
        <v/>
      </c>
      <c r="BZ18" s="133" t="n"/>
      <c r="CA18" s="140">
        <f>BZ18*100/$E$18</f>
        <v/>
      </c>
      <c r="CB18" s="133" t="n"/>
      <c r="CC18" s="140">
        <f>CB18*100/$E$18</f>
        <v/>
      </c>
      <c r="CD18" s="133" t="n"/>
      <c r="CE18" s="140">
        <f>CD18*100/$E$18</f>
        <v/>
      </c>
      <c r="CF18" s="133" t="n"/>
      <c r="CG18" s="140">
        <f>CF18*100/$E$18</f>
        <v/>
      </c>
      <c r="CH18" s="133" t="n"/>
      <c r="CI18" s="140">
        <f>CH18*100/$E$18</f>
        <v/>
      </c>
      <c r="CJ18" s="133" t="n"/>
      <c r="CK18" s="140">
        <f>CJ18*100/$E$18</f>
        <v/>
      </c>
      <c r="CL18" s="133" t="n"/>
      <c r="CM18" s="140">
        <f>CL18*100/$E$18</f>
        <v/>
      </c>
      <c r="CN18" s="133" t="n"/>
      <c r="CO18" s="139">
        <f>CN18*100/$E$18</f>
        <v/>
      </c>
      <c r="CP18" s="133" t="n"/>
      <c r="CQ18" s="140">
        <f>CP18*100/$E$18</f>
        <v/>
      </c>
      <c r="CR18" s="133" t="n"/>
      <c r="CS18" s="139">
        <f>CR18*100/$E$18</f>
        <v/>
      </c>
      <c r="CT18" s="133" t="n"/>
      <c r="CU18" s="139">
        <f>CT18*100/$E$18</f>
        <v/>
      </c>
      <c r="CV18" s="133" t="n"/>
      <c r="CW18" s="139">
        <f>CV18*100/$E$18</f>
        <v/>
      </c>
      <c r="CX18" s="133" t="n"/>
      <c r="CY18" s="139">
        <f>CX18*100/$E$18</f>
        <v/>
      </c>
      <c r="CZ18" s="133" t="n"/>
      <c r="DA18" s="139">
        <f>CZ18*100/$E$18</f>
        <v/>
      </c>
      <c r="DB18" s="133" t="n"/>
      <c r="DC18" s="139">
        <f>DB18*100/$E$18</f>
        <v/>
      </c>
      <c r="DD18" s="133" t="n"/>
      <c r="DE18" s="139">
        <f>DD18*100/$E$18</f>
        <v/>
      </c>
      <c r="DF18" s="133" t="n"/>
      <c r="DG18" s="139">
        <f>DF18*100/$E$18</f>
        <v/>
      </c>
      <c r="DH18" s="133" t="n"/>
      <c r="DI18" s="139">
        <f>DH18*100/$E$18</f>
        <v/>
      </c>
      <c r="DJ18" s="133" t="n"/>
      <c r="DK18" s="139">
        <f>DJ18*100/$E$18</f>
        <v/>
      </c>
      <c r="DL18" s="133" t="n"/>
      <c r="DM18" s="139">
        <f>DL18*100/$E$18</f>
        <v/>
      </c>
      <c r="DN18" s="133" t="n"/>
      <c r="DO18" s="139">
        <f>DN18*100/$E$18</f>
        <v/>
      </c>
      <c r="DP18" s="133" t="n"/>
      <c r="DQ18" s="139">
        <f>DP18*100/$E$18</f>
        <v/>
      </c>
      <c r="DR18" s="133" t="n"/>
      <c r="DS18" s="139">
        <f>DR18*100/$E$18</f>
        <v/>
      </c>
      <c r="DT18" s="133" t="n"/>
      <c r="DU18" s="139">
        <f>DT18*100/$E$18</f>
        <v/>
      </c>
      <c r="DV18" s="133" t="n"/>
      <c r="DW18" s="139">
        <f>DV18*100/$E$18</f>
        <v/>
      </c>
      <c r="DX18" s="133" t="n"/>
      <c r="DY18" s="139">
        <f>DX18*100/$E$18</f>
        <v/>
      </c>
      <c r="DZ18" s="133" t="n"/>
      <c r="EA18" s="139">
        <f>DZ18*100/$E$18</f>
        <v/>
      </c>
      <c r="EB18" s="133" t="n"/>
      <c r="EC18" s="139">
        <f>EB18*100/$E$18</f>
        <v/>
      </c>
      <c r="ED18" s="133" t="n"/>
      <c r="EE18" s="139">
        <f>ED18*100/$E$18</f>
        <v/>
      </c>
      <c r="EF18" s="133" t="n"/>
      <c r="EG18" s="139">
        <f>EF18*100/$E$18</f>
        <v/>
      </c>
      <c r="EH18" s="133" t="n"/>
      <c r="EI18" s="139">
        <f>EH18*100/$E$18</f>
        <v/>
      </c>
      <c r="EJ18" s="133" t="n"/>
      <c r="EK18" s="139">
        <f>EJ18*100/$E$18</f>
        <v/>
      </c>
      <c r="EL18" s="133" t="n"/>
      <c r="EM18" s="139">
        <f>EL18*100/$E$18</f>
        <v/>
      </c>
      <c r="EN18" s="133" t="n"/>
      <c r="EO18" s="139">
        <f>EN18*100/$E$18</f>
        <v/>
      </c>
      <c r="EP18" s="133" t="n"/>
      <c r="EQ18" s="139">
        <f>EP18*100/$E$18</f>
        <v/>
      </c>
      <c r="ER18" s="133" t="n"/>
      <c r="ES18" s="139">
        <f>ER18*100/$E$18</f>
        <v/>
      </c>
      <c r="ET18" s="133" t="n"/>
      <c r="EU18" s="139">
        <f>ET18*100/$E$18</f>
        <v/>
      </c>
      <c r="EV18" s="133" t="n"/>
      <c r="EW18" s="139">
        <f>EV18*100/$E$18</f>
        <v/>
      </c>
      <c r="EX18" s="133" t="n"/>
      <c r="EY18" s="139">
        <f>EX18*100/$E$18</f>
        <v/>
      </c>
      <c r="EZ18" s="133" t="n"/>
      <c r="FA18" s="139">
        <f>EZ18*100/$E$18</f>
        <v/>
      </c>
      <c r="FB18" s="133" t="n"/>
      <c r="FC18" s="139">
        <f>FB18*100/$E$18</f>
        <v/>
      </c>
      <c r="FD18" s="133" t="n"/>
      <c r="FE18" s="139">
        <f>FD18*100/$E$18</f>
        <v/>
      </c>
      <c r="FF18" s="133" t="n"/>
      <c r="FG18" s="139">
        <f>FF18*100/$E$18</f>
        <v/>
      </c>
      <c r="FH18" s="133" t="n"/>
      <c r="FI18" s="139">
        <f>FH18*100/$E$18</f>
        <v/>
      </c>
      <c r="FJ18" s="133" t="n"/>
      <c r="FK18" s="139">
        <f>FJ18*100/$E$18</f>
        <v/>
      </c>
      <c r="FL18" s="133" t="n"/>
      <c r="FM18" s="139">
        <f>FL18*100/$E$18</f>
        <v/>
      </c>
      <c r="FN18" s="133" t="n"/>
      <c r="FO18" s="139">
        <f>FN18*100/$E$18</f>
        <v/>
      </c>
      <c r="FP18" s="133" t="n"/>
      <c r="FQ18" s="139">
        <f>FP18*100/$E$18</f>
        <v/>
      </c>
      <c r="FR18" s="133" t="n"/>
      <c r="FS18" s="139">
        <f>FR18*100/$E$18</f>
        <v/>
      </c>
      <c r="FT18" s="133" t="n"/>
      <c r="FU18" s="139">
        <f>FT18*100/$E$18</f>
        <v/>
      </c>
      <c r="FV18" s="133" t="n"/>
      <c r="FW18" s="139">
        <f>FV18*100/$E$18</f>
        <v/>
      </c>
      <c r="FX18" s="133" t="n"/>
      <c r="FY18" s="140">
        <f>FX18*100/$E$18</f>
        <v/>
      </c>
      <c r="FZ18" s="133" t="n"/>
      <c r="GA18" s="140">
        <f>FZ18*100/$E$18</f>
        <v/>
      </c>
      <c r="GB18" s="133" t="n"/>
      <c r="GC18" s="140">
        <f>GB18*100/$E$18</f>
        <v/>
      </c>
      <c r="GD18" s="133" t="n"/>
      <c r="GE18" s="140">
        <f>GD18*100/$E$18</f>
        <v/>
      </c>
      <c r="GF18" s="133" t="n"/>
      <c r="GG18" s="140">
        <f>GF18*100/$E$18</f>
        <v/>
      </c>
      <c r="GH18" s="133" t="n"/>
      <c r="GI18" s="140">
        <f>GH18*100/$E$18</f>
        <v/>
      </c>
      <c r="GJ18" s="133" t="n"/>
      <c r="GK18" s="139">
        <f>GJ18*100/$E$18</f>
        <v/>
      </c>
      <c r="GL18" s="133" t="n"/>
      <c r="GM18" s="140">
        <f>GL18*100/$E$18</f>
        <v/>
      </c>
      <c r="GN18" s="133" t="n"/>
      <c r="GO18" s="139">
        <f>GN18*100/$E$18</f>
        <v/>
      </c>
      <c r="GP18" s="133" t="n"/>
      <c r="GQ18" s="140">
        <f>GP18*100/$E$18</f>
        <v/>
      </c>
      <c r="GR18" s="133" t="n"/>
      <c r="GS18" s="139">
        <f>GR18*100/$E$18</f>
        <v/>
      </c>
      <c r="GT18" s="133" t="n"/>
      <c r="GU18" s="139">
        <f>GT18*100/$E$18</f>
        <v/>
      </c>
      <c r="GV18" s="133" t="n"/>
      <c r="GW18" s="139">
        <f>GV18*100/$E$18</f>
        <v/>
      </c>
      <c r="GX18" s="133" t="n"/>
      <c r="GY18" s="140">
        <f>GX18*100/$E$18</f>
        <v/>
      </c>
      <c r="GZ18" s="133" t="n"/>
      <c r="HA18" s="140">
        <f>GZ18*100/$E$18</f>
        <v/>
      </c>
      <c r="HB18" s="133" t="n"/>
      <c r="HC18" s="140">
        <f>HB18*100/$E$18</f>
        <v/>
      </c>
      <c r="HD18" s="133" t="n"/>
      <c r="HE18" s="140">
        <f>HD18*100/$E$18</f>
        <v/>
      </c>
      <c r="HF18" s="133" t="n"/>
      <c r="HG18" s="140">
        <f>HF18*100/$E$18</f>
        <v/>
      </c>
      <c r="HH18" s="133" t="n"/>
      <c r="HI18" s="140">
        <f>HH18*100/$E$18</f>
        <v/>
      </c>
      <c r="HJ18" s="133" t="n"/>
      <c r="HK18" s="140">
        <f>HJ18*100/$E$18</f>
        <v/>
      </c>
      <c r="HL18" s="133" t="n"/>
      <c r="HM18" s="140">
        <f>HL18*100/$E$18</f>
        <v/>
      </c>
      <c r="HN18" s="133" t="n"/>
      <c r="HO18" s="140">
        <f>HN18*100/$E$18</f>
        <v/>
      </c>
      <c r="HP18" s="133" t="n"/>
      <c r="HQ18" s="140">
        <f>HP18*100/$E$18</f>
        <v/>
      </c>
      <c r="HR18" s="133" t="n"/>
      <c r="HS18" s="140">
        <f>HR18*100/$E$18</f>
        <v/>
      </c>
      <c r="HT18" s="133" t="n"/>
      <c r="HU18" s="140">
        <f>HT18*100/$E$18</f>
        <v/>
      </c>
      <c r="HV18" s="133" t="n"/>
      <c r="HW18" s="140">
        <f>HV18*100/$E$18</f>
        <v/>
      </c>
      <c r="HX18" s="133" t="n"/>
      <c r="HY18" s="140">
        <f>HX18*100/$E$18</f>
        <v/>
      </c>
      <c r="HZ18" s="133" t="n"/>
      <c r="IA18" s="139">
        <f>HZ18*100/$E$18</f>
        <v/>
      </c>
      <c r="IB18" s="133" t="n"/>
      <c r="IC18" s="139">
        <f>IB18*100/$E$18</f>
        <v/>
      </c>
      <c r="ID18" s="133" t="n"/>
      <c r="IE18" s="139">
        <f>ID18*100/$E$18</f>
        <v/>
      </c>
      <c r="IF18" s="133" t="n"/>
      <c r="IG18" s="139">
        <f>IF18*100/$E$18</f>
        <v/>
      </c>
      <c r="IH18" s="133" t="n"/>
      <c r="II18" s="139">
        <f>IH18*100/$E$18</f>
        <v/>
      </c>
      <c r="IJ18" s="133" t="n"/>
      <c r="IK18" s="139">
        <f>IJ18*100/$E$18</f>
        <v/>
      </c>
      <c r="IL18" s="133" t="n"/>
      <c r="IM18" s="140">
        <f>IL18*100/E18</f>
        <v/>
      </c>
      <c r="IN18" s="133" t="n"/>
      <c r="IO18" s="140">
        <f>IN18*100/$E$18</f>
        <v/>
      </c>
      <c r="IP18" s="133" t="n"/>
      <c r="IQ18" s="139">
        <f>IP18*100/$E$18</f>
        <v/>
      </c>
      <c r="IR18" s="133" t="n"/>
      <c r="IS18" s="139">
        <f>IR18*100/$E$18</f>
        <v/>
      </c>
      <c r="IT18" s="133" t="n"/>
      <c r="IU18" s="139">
        <f>IT18*100/$E$18</f>
        <v/>
      </c>
      <c r="IV18" s="133" t="n"/>
      <c r="IW18" s="139">
        <f>IV18*100/$E$18</f>
        <v/>
      </c>
      <c r="IX18" s="133" t="n"/>
      <c r="IY18" s="139">
        <f>IX18*100/$E$18</f>
        <v/>
      </c>
      <c r="IZ18" s="133" t="n"/>
      <c r="JA18" s="139">
        <f>IZ18*100/$E$18</f>
        <v/>
      </c>
      <c r="JB18" s="133" t="n"/>
      <c r="JC18" s="139">
        <f>JB18*100/$E$18</f>
        <v/>
      </c>
      <c r="JD18" s="133" t="n"/>
      <c r="JE18" s="139">
        <f>JD18*100/$E$18</f>
        <v/>
      </c>
      <c r="JF18" s="133" t="n"/>
      <c r="JG18" s="139">
        <f>JF18*100/$E$18</f>
        <v/>
      </c>
      <c r="JH18" s="133" t="n"/>
      <c r="JI18" s="139">
        <f>JH18*100/$E$18</f>
        <v/>
      </c>
      <c r="JJ18" s="133" t="n"/>
      <c r="JK18" s="139">
        <f>JJ18*100/$E$18</f>
        <v/>
      </c>
      <c r="JL18" s="133" t="n"/>
      <c r="JM18" s="139">
        <f>JL18*100/$E$18</f>
        <v/>
      </c>
      <c r="JN18" s="133" t="n"/>
      <c r="JO18" s="139">
        <f>JN18*100/$E$18</f>
        <v/>
      </c>
      <c r="JP18" s="133" t="n"/>
      <c r="JQ18" s="139">
        <f>JP18*100/$E$18</f>
        <v/>
      </c>
      <c r="JR18" s="133" t="n"/>
      <c r="JS18" s="139">
        <f>JR18*100/$E$18</f>
        <v/>
      </c>
      <c r="JT18" s="133" t="n"/>
      <c r="JU18" s="139">
        <f>JT18*100/$E$18</f>
        <v/>
      </c>
      <c r="JV18" s="133" t="n"/>
      <c r="JW18" s="139">
        <f>JV18*100/$E$18</f>
        <v/>
      </c>
      <c r="JX18" s="133" t="n"/>
      <c r="JY18" s="139">
        <f>JX18*100/$E$18</f>
        <v/>
      </c>
      <c r="JZ18" s="183">
        <f>JN18+JP18+JR18+JT18+JV18+JX18</f>
        <v/>
      </c>
      <c r="KA18" s="184">
        <f>JO18+JQ18+JS18+JU18+JW18+JY18</f>
        <v/>
      </c>
      <c r="KB18" s="185">
        <f>H18+J18+L18+N18+P18+R18+T18+V18+X18+Z18+AB18+AD18+AF18+AH18+AJ18+AL18+AN18+AP18+AR18+AT18+AV18+AX18+AZ18+BB18+BD18+BF18+BH18+BJ18+BL18+BN18+BP18+BR18+BT18+BV18+BX18+BZ18+CB18+CD18+CF18+CH18+CZ18+DB18+DD18+DF18+DH18+DJ18+DL18+DN18+DP18+DR18+DT18+DV18+DX18+DZ18+EB18+ED18+EF18+EH18+EJ18+EL18+EN18+EP18+ER18+ET18+EV18+FN18+FP18+FR18+FT18+FV18+FX18+FZ18+GB18+GD18+GF18+GH18+GJ18+GL18+GN18+GP18+GR18+GT18+GV18+GX18+GZ18+HB18+HD18+HF18+HH18+HJ18+HL18+HN18+HP18+HR18+HT18+HV18+HX18+HZ18+IB18+ID18+IF18+IH18+IJ18+IL18+IN18+IP18+IR18+IT18+IV18+IX18+IZ18+JB18+JD18+JF18+JH18+JJ18+JL18+JZ18+CJ18+CL18+CN18+CP18+CR18+CT18+CV18+CX18+EX18+EZ18+FB18+FD18+FF18+FH18+FJ18+FL18</f>
        <v/>
      </c>
      <c r="KC18" s="186">
        <f>I18+K18+M18+O18+Q18+S18+U18+W18+Y18+AA18+AC18+AE18+AG18+AI18+AK18+AM18+AO18+AQ18+AS18+AU18+AW18+AY18+BA18+BC18+BE18+BG18+BI18+BK18+BM18+BO18+BQ18+BS18+BU18+BW18+BY18+CA18+CC18+CE18+CG18+CI18+DA18+DC18+DE18+DG18+DI18+DK18+DM18+DO18+DQ18+DS18+DU18+DW18+DY18+EA18+EC18+EE18+EG18+EI18+EK18+EM18+EO18+EQ18+ES18+EU18+EW18+FO18+FS18+FU18+FW18+FQ18+FY18+GA18+GC18+GE18+GG18+GI18+GK18+GM18+GO18+GQ18+GS18+GU18+GW18+GY18+HA18+HC18+HE18+HG18+HI18+HK18+HM18+HO18+HQ18+HS18+HU18+HW18+HY18+IA18+IC18+IE18+IG18+II18+IK18+IM18+IO18+IQ18+IS18+IU18+IW18+IY18+JA18+JC18+JE18+JG18+JI18+JK18+JM18+KA18+CK18+CM18+CO18+CQ18+CS18+CU18+CW18+CY18+EY18+FA18+FC18+FE18+FG18+FI18+FK18+FM18</f>
        <v/>
      </c>
      <c r="KD18" s="187">
        <f>JO18+JQ18+JS18+JU18+JW18+JY18</f>
        <v/>
      </c>
      <c r="KE18" s="188">
        <f>KB18=E18</f>
        <v/>
      </c>
      <c r="KF18" s="189">
        <f>E18-KB18</f>
        <v/>
      </c>
      <c r="KG18" s="230" t="n"/>
    </row>
    <row r="19" ht="21.75" customFormat="1" customHeight="1" s="233">
      <c r="A19" s="126">
        <f>A18+1</f>
        <v/>
      </c>
      <c r="B19" s="175" t="inlineStr">
        <is>
          <t>Еналов Д.А.</t>
        </is>
      </c>
      <c r="C19" s="176" t="inlineStr">
        <is>
          <t>слесарь</t>
        </is>
      </c>
      <c r="D19" s="177">
        <f>$D$5</f>
        <v/>
      </c>
      <c r="E19" s="202" t="n">
        <v>160</v>
      </c>
      <c r="F19" s="191" t="n">
        <v>104472.51</v>
      </c>
      <c r="G19" s="179">
        <f>F19/D19</f>
        <v/>
      </c>
      <c r="H19" s="180" t="n"/>
      <c r="I19" s="140">
        <f>H19*100/$E$19</f>
        <v/>
      </c>
      <c r="J19" s="133" t="n"/>
      <c r="K19" s="140">
        <f>J19*100/$E$19</f>
        <v/>
      </c>
      <c r="L19" s="133" t="n"/>
      <c r="M19" s="140">
        <f>L19*100/$E$19</f>
        <v/>
      </c>
      <c r="N19" s="133" t="n"/>
      <c r="O19" s="140">
        <f>N19*100/$E$19</f>
        <v/>
      </c>
      <c r="P19" s="133" t="n"/>
      <c r="Q19" s="139">
        <f>P19*100/$E$19</f>
        <v/>
      </c>
      <c r="R19" s="133" t="n"/>
      <c r="S19" s="139">
        <f>R19*100/$E$19</f>
        <v/>
      </c>
      <c r="T19" s="133" t="n"/>
      <c r="U19" s="140">
        <f>T19*100/$E$19</f>
        <v/>
      </c>
      <c r="V19" s="133" t="n"/>
      <c r="W19" s="140">
        <f>V19*100/$E$19</f>
        <v/>
      </c>
      <c r="X19" s="133" t="n"/>
      <c r="Y19" s="140">
        <f>X19*100/$E$19</f>
        <v/>
      </c>
      <c r="Z19" s="133" t="n"/>
      <c r="AA19" s="140">
        <f>Z19*100/$E$19</f>
        <v/>
      </c>
      <c r="AB19" s="133" t="n">
        <v>2</v>
      </c>
      <c r="AC19" s="140">
        <f>AB19*100/$E$19</f>
        <v/>
      </c>
      <c r="AD19" s="133" t="n"/>
      <c r="AE19" s="139">
        <f>AD19*100/$E$19</f>
        <v/>
      </c>
      <c r="AF19" s="133" t="n"/>
      <c r="AG19" s="139">
        <f>AF19*100/$E$19</f>
        <v/>
      </c>
      <c r="AH19" s="133" t="n"/>
      <c r="AI19" s="140">
        <f>AH19*100/$E$19</f>
        <v/>
      </c>
      <c r="AJ19" s="133" t="n"/>
      <c r="AK19" s="140">
        <f>AJ19*100/$E$19</f>
        <v/>
      </c>
      <c r="AL19" s="133" t="n"/>
      <c r="AM19" s="139">
        <f>AL19*100/$E$19</f>
        <v/>
      </c>
      <c r="AN19" s="133" t="n"/>
      <c r="AO19" s="140">
        <f>AN19*100/$E$19</f>
        <v/>
      </c>
      <c r="AP19" s="133" t="n"/>
      <c r="AQ19" s="140">
        <f>AP19*100/$E$19</f>
        <v/>
      </c>
      <c r="AR19" s="133" t="n"/>
      <c r="AS19" s="140">
        <f>AR19*100/$E$19</f>
        <v/>
      </c>
      <c r="AT19" s="133" t="n"/>
      <c r="AU19" s="181">
        <f>AT19*100/$E$19</f>
        <v/>
      </c>
      <c r="AV19" s="133" t="n"/>
      <c r="AW19" s="140">
        <f>AV19*100/$E$19</f>
        <v/>
      </c>
      <c r="AX19" s="133" t="n">
        <v>8</v>
      </c>
      <c r="AY19" s="140">
        <f>AX19*100/$E$19</f>
        <v/>
      </c>
      <c r="AZ19" s="133" t="n"/>
      <c r="BA19" s="140">
        <f>AZ19*100/$E$19</f>
        <v/>
      </c>
      <c r="BB19" s="133" t="n"/>
      <c r="BC19" s="140">
        <f>BB19*100/$E$19</f>
        <v/>
      </c>
      <c r="BD19" s="133" t="n"/>
      <c r="BE19" s="140">
        <f>BD19*100/$E$19</f>
        <v/>
      </c>
      <c r="BF19" s="133" t="n"/>
      <c r="BG19" s="140">
        <f>BF19*100/$E$19</f>
        <v/>
      </c>
      <c r="BH19" s="133" t="n"/>
      <c r="BI19" s="140">
        <f>BH19*100/$E$19</f>
        <v/>
      </c>
      <c r="BJ19" s="133" t="n"/>
      <c r="BK19" s="140">
        <f>BJ19*100/$E$19</f>
        <v/>
      </c>
      <c r="BL19" s="133" t="n"/>
      <c r="BM19" s="140">
        <f>BL19*100/$E$19</f>
        <v/>
      </c>
      <c r="BN19" s="133" t="n"/>
      <c r="BO19" s="140">
        <f>BN19*100/$E$19</f>
        <v/>
      </c>
      <c r="BP19" s="133">
        <f>3</f>
        <v/>
      </c>
      <c r="BQ19" s="140">
        <f>BP19*100/$E$19</f>
        <v/>
      </c>
      <c r="BR19" s="133" t="n"/>
      <c r="BS19" s="140">
        <f>BR19*100/$E$19</f>
        <v/>
      </c>
      <c r="BT19" s="133" t="n"/>
      <c r="BU19" s="140">
        <f>BT19*100/$E$19</f>
        <v/>
      </c>
      <c r="BV19" s="133" t="n"/>
      <c r="BW19" s="140">
        <f>BV19*100/$E$19</f>
        <v/>
      </c>
      <c r="BX19" s="133" t="n"/>
      <c r="BY19" s="140">
        <f>BX19*100/$E$19</f>
        <v/>
      </c>
      <c r="BZ19" s="133" t="n"/>
      <c r="CA19" s="140">
        <f>BZ19*100/$E$19</f>
        <v/>
      </c>
      <c r="CB19" s="133" t="n"/>
      <c r="CC19" s="140">
        <f>CB19*100/$E$19</f>
        <v/>
      </c>
      <c r="CD19" s="133" t="n"/>
      <c r="CE19" s="140">
        <f>CD19*100/$E$19</f>
        <v/>
      </c>
      <c r="CF19" s="133" t="n"/>
      <c r="CG19" s="140">
        <f>CF19*100/$E$19</f>
        <v/>
      </c>
      <c r="CH19" s="133" t="n"/>
      <c r="CI19" s="140">
        <f>CH19*100/$E$19</f>
        <v/>
      </c>
      <c r="CJ19" s="133" t="n"/>
      <c r="CK19" s="140">
        <f>CJ19*100/$E$19</f>
        <v/>
      </c>
      <c r="CL19" s="133" t="n"/>
      <c r="CM19" s="140">
        <f>CL19*100/$E$19</f>
        <v/>
      </c>
      <c r="CN19" s="133" t="n"/>
      <c r="CO19" s="139">
        <f>CN19*100/$E$19</f>
        <v/>
      </c>
      <c r="CP19" s="133" t="n"/>
      <c r="CQ19" s="140">
        <f>CP19*100/$E$19</f>
        <v/>
      </c>
      <c r="CR19" s="133" t="n"/>
      <c r="CS19" s="139">
        <f>CR19*100/$E$19</f>
        <v/>
      </c>
      <c r="CT19" s="133" t="n"/>
      <c r="CU19" s="139">
        <f>CT19*100/$E$19</f>
        <v/>
      </c>
      <c r="CV19" s="133" t="n"/>
      <c r="CW19" s="139">
        <f>CV19*100/$E$19</f>
        <v/>
      </c>
      <c r="CX19" s="133" t="n"/>
      <c r="CY19" s="139">
        <f>CX19*100/$E$19</f>
        <v/>
      </c>
      <c r="CZ19" s="133" t="n"/>
      <c r="DA19" s="139">
        <f>CZ19*100/$E$19</f>
        <v/>
      </c>
      <c r="DB19" s="133" t="n"/>
      <c r="DC19" s="139">
        <f>DB19*100/$E$19</f>
        <v/>
      </c>
      <c r="DD19" s="133">
        <f>2+8+1</f>
        <v/>
      </c>
      <c r="DE19" s="139">
        <f>DD19*100/$E$19</f>
        <v/>
      </c>
      <c r="DF19" s="133" t="n"/>
      <c r="DG19" s="139">
        <f>DF19*100/$E$19</f>
        <v/>
      </c>
      <c r="DH19" s="133" t="n">
        <v>4</v>
      </c>
      <c r="DI19" s="139">
        <f>DH19*100/$E$19</f>
        <v/>
      </c>
      <c r="DJ19" s="133" t="n"/>
      <c r="DK19" s="139">
        <f>DJ19*100/$E$19</f>
        <v/>
      </c>
      <c r="DL19" s="133" t="n"/>
      <c r="DM19" s="139">
        <f>DL19*100/$E$19</f>
        <v/>
      </c>
      <c r="DN19" s="133" t="n"/>
      <c r="DO19" s="139">
        <f>DN19*100/$E$19</f>
        <v/>
      </c>
      <c r="DP19" s="133">
        <f>4+3+1</f>
        <v/>
      </c>
      <c r="DQ19" s="139">
        <f>DP19*100/$E$19</f>
        <v/>
      </c>
      <c r="DR19" s="133" t="n"/>
      <c r="DS19" s="139">
        <f>DR19*100/$E$19</f>
        <v/>
      </c>
      <c r="DT19" s="133" t="n"/>
      <c r="DU19" s="139">
        <f>DT19*100/$E$19</f>
        <v/>
      </c>
      <c r="DV19" s="133" t="n"/>
      <c r="DW19" s="139">
        <f>DV19*100/$E$19</f>
        <v/>
      </c>
      <c r="DX19" s="133" t="n"/>
      <c r="DY19" s="139">
        <f>DX19*100/$E$19</f>
        <v/>
      </c>
      <c r="DZ19" s="133" t="n"/>
      <c r="EA19" s="139">
        <f>DZ19*100/$E$19</f>
        <v/>
      </c>
      <c r="EB19" s="133" t="n"/>
      <c r="EC19" s="139">
        <f>EB19*100/$E$19</f>
        <v/>
      </c>
      <c r="ED19" s="133" t="n"/>
      <c r="EE19" s="139">
        <f>ED19*100/$E$19</f>
        <v/>
      </c>
      <c r="EF19" s="133" t="n"/>
      <c r="EG19" s="139">
        <f>EF19*100/$E$19</f>
        <v/>
      </c>
      <c r="EH19" s="133" t="n"/>
      <c r="EI19" s="139">
        <f>EH19*100/$E$19</f>
        <v/>
      </c>
      <c r="EJ19" s="133" t="n"/>
      <c r="EK19" s="139">
        <f>EJ19*100/$E$19</f>
        <v/>
      </c>
      <c r="EL19" s="133" t="n"/>
      <c r="EM19" s="139">
        <f>EL19*100/$E$19</f>
        <v/>
      </c>
      <c r="EN19" s="133" t="n"/>
      <c r="EO19" s="139">
        <f>EN19*100/$E$19</f>
        <v/>
      </c>
      <c r="EP19" s="133" t="n"/>
      <c r="EQ19" s="139">
        <f>EP19*100/$E$19</f>
        <v/>
      </c>
      <c r="ER19" s="133">
        <f>2+4</f>
        <v/>
      </c>
      <c r="ES19" s="139">
        <f>ER19*100/$E$19</f>
        <v/>
      </c>
      <c r="ET19" s="133" t="n"/>
      <c r="EU19" s="139">
        <f>ET19*100/$E$19</f>
        <v/>
      </c>
      <c r="EV19" s="133" t="n"/>
      <c r="EW19" s="139">
        <f>EV19*100/$E$19</f>
        <v/>
      </c>
      <c r="EX19" s="133" t="n"/>
      <c r="EY19" s="139">
        <f>EX19*100/$E$19</f>
        <v/>
      </c>
      <c r="EZ19" s="133" t="n"/>
      <c r="FA19" s="139">
        <f>EZ19*100/$E$19</f>
        <v/>
      </c>
      <c r="FB19" s="133" t="n"/>
      <c r="FC19" s="139">
        <f>FB19*100/$E$19</f>
        <v/>
      </c>
      <c r="FD19" s="133" t="n"/>
      <c r="FE19" s="139">
        <f>FD19*100/$E$19</f>
        <v/>
      </c>
      <c r="FF19" s="133" t="n"/>
      <c r="FG19" s="139">
        <f>FF19*100/$E$19</f>
        <v/>
      </c>
      <c r="FH19" s="133" t="n"/>
      <c r="FI19" s="139">
        <f>FH19*100/$E$19</f>
        <v/>
      </c>
      <c r="FJ19" s="133">
        <f>2+6+8+4</f>
        <v/>
      </c>
      <c r="FK19" s="139">
        <f>FJ19*100/$E$19</f>
        <v/>
      </c>
      <c r="FL19" s="133">
        <f>8+5+4</f>
        <v/>
      </c>
      <c r="FM19" s="139">
        <f>FL19*100/$E$19</f>
        <v/>
      </c>
      <c r="FN19" s="133">
        <f>4+3</f>
        <v/>
      </c>
      <c r="FO19" s="139">
        <f>FN19*100/$E$19</f>
        <v/>
      </c>
      <c r="FP19" s="133" t="n"/>
      <c r="FQ19" s="139">
        <f>FP19*100/$E$19</f>
        <v/>
      </c>
      <c r="FR19" s="133" t="n">
        <v>8</v>
      </c>
      <c r="FS19" s="139">
        <f>FR19*100/$E$19</f>
        <v/>
      </c>
      <c r="FT19" s="133" t="n"/>
      <c r="FU19" s="139">
        <f>FT19*100/$E$19</f>
        <v/>
      </c>
      <c r="FV19" s="133" t="n"/>
      <c r="FW19" s="139">
        <f>FV19*100/$E$19</f>
        <v/>
      </c>
      <c r="FX19" s="133">
        <f>5+5</f>
        <v/>
      </c>
      <c r="FY19" s="140">
        <f>FX19*100/$E$19</f>
        <v/>
      </c>
      <c r="FZ19" s="133" t="n">
        <v>2</v>
      </c>
      <c r="GA19" s="140">
        <f>FZ19*100/$E$19</f>
        <v/>
      </c>
      <c r="GB19" s="133">
        <f>4+2+5</f>
        <v/>
      </c>
      <c r="GC19" s="140">
        <f>GB19*100/$E$19</f>
        <v/>
      </c>
      <c r="GD19" s="133">
        <f>8+3</f>
        <v/>
      </c>
      <c r="GE19" s="140">
        <f>GD19*100/$E$19</f>
        <v/>
      </c>
      <c r="GF19" s="133">
        <f>6+6</f>
        <v/>
      </c>
      <c r="GG19" s="140">
        <f>GF19*100/$E$19</f>
        <v/>
      </c>
      <c r="GH19" s="133" t="n">
        <v>2</v>
      </c>
      <c r="GI19" s="140">
        <f>GH19*100/$E$19</f>
        <v/>
      </c>
      <c r="GJ19" s="133" t="n"/>
      <c r="GK19" s="139">
        <f>GJ19*100/$E$19</f>
        <v/>
      </c>
      <c r="GL19" s="133" t="n"/>
      <c r="GM19" s="140">
        <f>GL19*100/$E$19</f>
        <v/>
      </c>
      <c r="GN19" s="133" t="n"/>
      <c r="GO19" s="139">
        <f>GN19*100/$E$19</f>
        <v/>
      </c>
      <c r="GP19" s="133" t="n"/>
      <c r="GQ19" s="140">
        <f>GP19*100/$E$19</f>
        <v/>
      </c>
      <c r="GR19" s="133" t="n"/>
      <c r="GS19" s="139">
        <f>GR19*100/$E$19</f>
        <v/>
      </c>
      <c r="GT19" s="133" t="n"/>
      <c r="GU19" s="139">
        <f>GT19*100/$E$19</f>
        <v/>
      </c>
      <c r="GV19" s="133" t="n"/>
      <c r="GW19" s="139">
        <f>GV19*100/$E$19</f>
        <v/>
      </c>
      <c r="GX19" s="133" t="n"/>
      <c r="GY19" s="140">
        <f>GX19*100/$E$19</f>
        <v/>
      </c>
      <c r="GZ19" s="133" t="n"/>
      <c r="HA19" s="140">
        <f>GZ19*100/$E$19</f>
        <v/>
      </c>
      <c r="HB19" s="133" t="n"/>
      <c r="HC19" s="140">
        <f>HB19*100/$E$19</f>
        <v/>
      </c>
      <c r="HD19" s="133" t="n"/>
      <c r="HE19" s="140">
        <f>HD19*100/$E$19</f>
        <v/>
      </c>
      <c r="HF19" s="133" t="n"/>
      <c r="HG19" s="140">
        <f>HF19*100/$E$19</f>
        <v/>
      </c>
      <c r="HH19" s="133" t="n"/>
      <c r="HI19" s="140">
        <f>HH19*100/$E$19</f>
        <v/>
      </c>
      <c r="HJ19" s="133" t="n"/>
      <c r="HK19" s="140">
        <f>HJ19*100/$E$19</f>
        <v/>
      </c>
      <c r="HL19" s="133" t="n"/>
      <c r="HM19" s="140">
        <f>HL19*100/$E$19</f>
        <v/>
      </c>
      <c r="HN19" s="133" t="n"/>
      <c r="HO19" s="140">
        <f>HN19*100/$E$19</f>
        <v/>
      </c>
      <c r="HP19" s="133" t="n"/>
      <c r="HQ19" s="140">
        <f>HP19*100/$E$19</f>
        <v/>
      </c>
      <c r="HR19" s="133" t="n"/>
      <c r="HS19" s="140">
        <f>HR19*100/$E$19</f>
        <v/>
      </c>
      <c r="HT19" s="133" t="n"/>
      <c r="HU19" s="140">
        <f>HT19*100/$E$19</f>
        <v/>
      </c>
      <c r="HV19" s="133" t="n">
        <v>4</v>
      </c>
      <c r="HW19" s="140">
        <f>HV19*100/$E$19</f>
        <v/>
      </c>
      <c r="HX19" s="133" t="n"/>
      <c r="HY19" s="140">
        <f>HX19*100/$E$19</f>
        <v/>
      </c>
      <c r="HZ19" s="133" t="n"/>
      <c r="IA19" s="139">
        <f>HZ19*100/$E$19</f>
        <v/>
      </c>
      <c r="IB19" s="133" t="n"/>
      <c r="IC19" s="139">
        <f>IB19*100/$E$19</f>
        <v/>
      </c>
      <c r="ID19" s="133" t="n"/>
      <c r="IE19" s="139">
        <f>ID19*100/$E$19</f>
        <v/>
      </c>
      <c r="IF19" s="133" t="n"/>
      <c r="IG19" s="139">
        <f>IF19*100/$E$19</f>
        <v/>
      </c>
      <c r="IH19" s="133" t="n"/>
      <c r="II19" s="139">
        <f>IH19*100/$E$19</f>
        <v/>
      </c>
      <c r="IJ19" s="133" t="n"/>
      <c r="IK19" s="139">
        <f>IJ19*100/$E$19</f>
        <v/>
      </c>
      <c r="IL19" s="133" t="n"/>
      <c r="IM19" s="140">
        <f>IL19*100/$E$19</f>
        <v/>
      </c>
      <c r="IN19" s="133" t="n"/>
      <c r="IO19" s="140">
        <f>IN19*100/$E$19</f>
        <v/>
      </c>
      <c r="IP19" s="133" t="n"/>
      <c r="IQ19" s="139">
        <f>IP19*100/$E$19</f>
        <v/>
      </c>
      <c r="IR19" s="133" t="n"/>
      <c r="IS19" s="139">
        <f>IR19*100/$E$19</f>
        <v/>
      </c>
      <c r="IT19" s="133" t="n"/>
      <c r="IU19" s="139">
        <f>IT19*100/$E$19</f>
        <v/>
      </c>
      <c r="IV19" s="133" t="n"/>
      <c r="IW19" s="139">
        <f>IV19*100/$E$19</f>
        <v/>
      </c>
      <c r="IX19" s="133" t="n"/>
      <c r="IY19" s="139">
        <f>IX19*100/$E$19</f>
        <v/>
      </c>
      <c r="IZ19" s="133" t="n"/>
      <c r="JA19" s="139">
        <f>IZ19*100/$E$19</f>
        <v/>
      </c>
      <c r="JB19" s="133" t="n"/>
      <c r="JC19" s="139">
        <f>JB19*100/$E$19</f>
        <v/>
      </c>
      <c r="JD19" s="133" t="n"/>
      <c r="JE19" s="139">
        <f>JD19*100/$E$19</f>
        <v/>
      </c>
      <c r="JF19" s="133">
        <f>4+8</f>
        <v/>
      </c>
      <c r="JG19" s="139">
        <f>JF19*100/$E$19</f>
        <v/>
      </c>
      <c r="JH19" s="133" t="n"/>
      <c r="JI19" s="139">
        <f>JH19*100/$E$19</f>
        <v/>
      </c>
      <c r="JJ19" s="133" t="n"/>
      <c r="JK19" s="139">
        <f>JJ19*100/$E$19</f>
        <v/>
      </c>
      <c r="JL19" s="133" t="n">
        <v>2</v>
      </c>
      <c r="JM19" s="139">
        <f>JL19*100/$E$19</f>
        <v/>
      </c>
      <c r="JN19" s="133" t="n"/>
      <c r="JO19" s="139">
        <f>JN19*100/$E$19</f>
        <v/>
      </c>
      <c r="JP19" s="133" t="n"/>
      <c r="JQ19" s="139">
        <f>JP19*100/$E$19</f>
        <v/>
      </c>
      <c r="JR19" s="133" t="n"/>
      <c r="JS19" s="139">
        <f>JR19*100/$E$19</f>
        <v/>
      </c>
      <c r="JT19" s="133" t="n"/>
      <c r="JU19" s="139">
        <f>JT19*100/$E$19</f>
        <v/>
      </c>
      <c r="JV19" s="133" t="n"/>
      <c r="JW19" s="139">
        <f>JV19*100/$E$19</f>
        <v/>
      </c>
      <c r="JX19" s="133" t="n"/>
      <c r="JY19" s="139">
        <f>JX19*100/$E$19</f>
        <v/>
      </c>
      <c r="JZ19" s="183">
        <f>JN19+JP19+JR19+JT19+JV19+JX19</f>
        <v/>
      </c>
      <c r="KA19" s="184">
        <f>JO19+JQ19+JS19+JU19+JW19+JY19</f>
        <v/>
      </c>
      <c r="KB19" s="185">
        <f>H19+J19+L19+N19+P19+R19+T19+V19+X19+Z19+AB19+AD19+AF19+AH19+AJ19+AL19+AN19+AP19+AR19+AT19+AV19+AX19+AZ19+BB19+BD19+BF19+BH19+BJ19+BL19+BN19+BP19+BR19+BT19+BV19+BX19+BZ19+CB19+CD19+CF19+CH19+CZ19+DB19+DD19+DF19+DH19+DJ19+DL19+DN19+DP19+DR19+DT19+DV19+DX19+DZ19+EB19+ED19+EF19+EH19+EJ19+EL19+EN19+EP19+ER19+ET19+EV19+FN19+FP19+FR19+FT19+FV19+FX19+FZ19+GB19+GD19+GF19+GH19+GJ19+GL19+GN19+GP19+GR19+GT19+GV19+GX19+GZ19+HB19+HD19+HF19+HH19+HJ19+HL19+HN19+HP19+HR19+HT19+HV19+HX19+HZ19+IB19+ID19+IF19+IH19+IJ19+IL19+IN19+IP19+IR19+IT19+IV19+IX19+IZ19+JB19+JD19+JF19+JH19+JJ19+JL19+JZ19+CJ19+CL19+CN19+CP19+CR19+CT19+CV19+CX19+EX19+EZ19+FB19+FD19+FF19+FH19+FJ19+FL19</f>
        <v/>
      </c>
      <c r="KC19" s="186">
        <f>I19+K19+M19+O19+Q19+S19+U19+W19+Y19+AA19+AC19+AE19+AG19+AI19+AK19+AM19+AO19+AQ19+AS19+AU19+AW19+AY19+BA19+BC19+BE19+BG19+BI19+BK19+BM19+BO19+BQ19+BS19+BU19+BW19+BY19+CA19+CC19+CE19+CG19+CI19+DA19+DC19+DE19+DG19+DI19+DK19+DM19+DO19+DQ19+DS19+DU19+DW19+DY19+EA19+EC19+EE19+EG19+EI19+EK19+EM19+EO19+EQ19+ES19+EU19+EW19+FO19+FS19+FU19+FW19+FQ19+FY19+GA19+GC19+GE19+GG19+GI19+GK19+GM19+GO19+GQ19+GS19+GU19+GW19+GY19+HA19+HC19+HE19+HG19+HI19+HK19+HM19+HO19+HQ19+HS19+HU19+HW19+HY19+IA19+IC19+IE19+IG19+II19+IK19+IM19+IO19+IQ19+IS19+IU19+IW19+IY19+JA19+JC19+JE19+JG19+JI19+JK19+JM19+KA19+CK19+CM19+CO19+CQ19+CS19+CU19+CW19+CY19+EY19+FA19+FC19+FE19+FG19+FI19+FK19+FM19</f>
        <v/>
      </c>
      <c r="KD19" s="187">
        <f>JO19+JQ19+JS19+JU19+JW19+JY19</f>
        <v/>
      </c>
      <c r="KE19" s="188">
        <f>KB19=E19</f>
        <v/>
      </c>
      <c r="KF19" s="189">
        <f>E19-KB19</f>
        <v/>
      </c>
      <c r="KG19" s="230" t="n"/>
    </row>
    <row r="20" ht="21.75" customFormat="1" customHeight="1" s="230">
      <c r="A20" s="126">
        <f>A19+1</f>
        <v/>
      </c>
      <c r="B20" s="199" t="inlineStr">
        <is>
          <t>Енин К.С.</t>
        </is>
      </c>
      <c r="C20" s="200" t="inlineStr">
        <is>
          <t>токарь</t>
        </is>
      </c>
      <c r="D20" s="177">
        <f>$D$5</f>
        <v/>
      </c>
      <c r="E20" s="203" t="n">
        <v>190</v>
      </c>
      <c r="F20" s="178" t="n">
        <v>111265.49</v>
      </c>
      <c r="G20" s="179">
        <f>F20/D20</f>
        <v/>
      </c>
      <c r="H20" s="180" t="n"/>
      <c r="I20" s="140">
        <f>H20*100/$E$20</f>
        <v/>
      </c>
      <c r="J20" s="133" t="n"/>
      <c r="K20" s="140">
        <f>J20*100/$E$20</f>
        <v/>
      </c>
      <c r="L20" s="133" t="n"/>
      <c r="M20" s="140">
        <f>L20*100/$E$20</f>
        <v/>
      </c>
      <c r="N20" s="133" t="n"/>
      <c r="O20" s="140">
        <f>N20*100/$E$20</f>
        <v/>
      </c>
      <c r="P20" s="133" t="n"/>
      <c r="Q20" s="139">
        <f>P20*100/$E$20</f>
        <v/>
      </c>
      <c r="R20" s="133" t="n"/>
      <c r="S20" s="139">
        <f>R20*100/$E$20</f>
        <v/>
      </c>
      <c r="T20" s="133" t="n"/>
      <c r="U20" s="140">
        <f>T20*100/$E$20</f>
        <v/>
      </c>
      <c r="V20" s="133" t="n"/>
      <c r="W20" s="140">
        <f>V20*100/$E$20</f>
        <v/>
      </c>
      <c r="X20" s="133" t="n"/>
      <c r="Y20" s="140">
        <f>X20*100/$E$20</f>
        <v/>
      </c>
      <c r="Z20" s="133" t="n"/>
      <c r="AA20" s="140">
        <f>Z20*100/$E$20</f>
        <v/>
      </c>
      <c r="AB20" s="133" t="n"/>
      <c r="AC20" s="140">
        <f>AB20*100/$E$20</f>
        <v/>
      </c>
      <c r="AD20" s="133" t="n"/>
      <c r="AE20" s="139">
        <f>AD20*100/$E$20</f>
        <v/>
      </c>
      <c r="AF20" s="133" t="n"/>
      <c r="AG20" s="139">
        <f>AF20*100/$E$20</f>
        <v/>
      </c>
      <c r="AH20" s="133" t="n"/>
      <c r="AI20" s="140">
        <f>AH20*100/$E$20</f>
        <v/>
      </c>
      <c r="AJ20" s="133" t="n"/>
      <c r="AK20" s="140">
        <f>AJ20*100/$E$20</f>
        <v/>
      </c>
      <c r="AL20" s="133" t="n"/>
      <c r="AM20" s="140">
        <f>AL20*100/$E$20</f>
        <v/>
      </c>
      <c r="AN20" s="133" t="n"/>
      <c r="AO20" s="140">
        <f>AN20*100/$E$20</f>
        <v/>
      </c>
      <c r="AP20" s="133" t="n"/>
      <c r="AQ20" s="140">
        <f>AP20*100/$E$20</f>
        <v/>
      </c>
      <c r="AR20" s="133" t="n"/>
      <c r="AS20" s="140">
        <f>AR20*100/$E$20</f>
        <v/>
      </c>
      <c r="AT20" s="133" t="n"/>
      <c r="AU20" s="181">
        <f>AT20*100/$E$20</f>
        <v/>
      </c>
      <c r="AV20" s="133" t="n"/>
      <c r="AW20" s="140">
        <f>AV20*100/$E$20</f>
        <v/>
      </c>
      <c r="AX20" s="133" t="n"/>
      <c r="AY20" s="140">
        <f>AX20*100/$E$20</f>
        <v/>
      </c>
      <c r="AZ20" s="133" t="n"/>
      <c r="BA20" s="140">
        <f>AZ20*100/$E$20</f>
        <v/>
      </c>
      <c r="BB20" s="133" t="n"/>
      <c r="BC20" s="140">
        <f>BB20*100/$E$20</f>
        <v/>
      </c>
      <c r="BD20" s="133" t="n"/>
      <c r="BE20" s="140">
        <f>BD20*100/$E$20</f>
        <v/>
      </c>
      <c r="BF20" s="133" t="n"/>
      <c r="BG20" s="140">
        <f>BF20*100/$E$20</f>
        <v/>
      </c>
      <c r="BH20" s="133" t="n"/>
      <c r="BI20" s="140">
        <f>BH20*100/$E$20</f>
        <v/>
      </c>
      <c r="BJ20" s="133" t="n"/>
      <c r="BK20" s="140">
        <f>BJ20*100/$E$20</f>
        <v/>
      </c>
      <c r="BL20" s="133" t="n"/>
      <c r="BM20" s="140">
        <f>BL20*100/$E$20</f>
        <v/>
      </c>
      <c r="BN20" s="133" t="n"/>
      <c r="BO20" s="140">
        <f>BN20*100/$E$20</f>
        <v/>
      </c>
      <c r="BP20" s="133" t="n"/>
      <c r="BQ20" s="140">
        <f>BP20*100/$E$20</f>
        <v/>
      </c>
      <c r="BR20" s="133" t="n"/>
      <c r="BS20" s="140">
        <f>BR20*100/$E$20</f>
        <v/>
      </c>
      <c r="BT20" s="133" t="n"/>
      <c r="BU20" s="140">
        <f>BT20*100/$E$20</f>
        <v/>
      </c>
      <c r="BV20" s="133" t="n"/>
      <c r="BW20" s="140">
        <f>BV20*100/$E$20</f>
        <v/>
      </c>
      <c r="BX20" s="133" t="n"/>
      <c r="BY20" s="140">
        <f>BX20*100/$E$20</f>
        <v/>
      </c>
      <c r="BZ20" s="133" t="n"/>
      <c r="CA20" s="140">
        <f>BZ20*100/$E$20</f>
        <v/>
      </c>
      <c r="CB20" s="133" t="n"/>
      <c r="CC20" s="140">
        <f>CB20*100/$E$20</f>
        <v/>
      </c>
      <c r="CD20" s="133" t="n"/>
      <c r="CE20" s="140">
        <f>CD20*100/$E$20</f>
        <v/>
      </c>
      <c r="CF20" s="133">
        <f>12+12</f>
        <v/>
      </c>
      <c r="CG20" s="140">
        <f>CF20*100/$E$20</f>
        <v/>
      </c>
      <c r="CH20" s="133" t="n"/>
      <c r="CI20" s="140">
        <f>CH20*100/$E$20</f>
        <v/>
      </c>
      <c r="CJ20" s="133" t="n"/>
      <c r="CK20" s="140">
        <f>CJ20*100/$E$20</f>
        <v/>
      </c>
      <c r="CL20" s="133" t="n"/>
      <c r="CM20" s="140">
        <f>CL20*100/$E$20</f>
        <v/>
      </c>
      <c r="CN20" s="133" t="n"/>
      <c r="CO20" s="139">
        <f>CN20*100/$E$20</f>
        <v/>
      </c>
      <c r="CP20" s="133" t="n"/>
      <c r="CQ20" s="140">
        <f>CP20*100/$E$20</f>
        <v/>
      </c>
      <c r="CR20" s="133" t="n"/>
      <c r="CS20" s="139">
        <f>CR20*100/$E$20</f>
        <v/>
      </c>
      <c r="CT20" s="133" t="n"/>
      <c r="CU20" s="139">
        <f>CT20*100/$E$20</f>
        <v/>
      </c>
      <c r="CV20" s="133" t="n"/>
      <c r="CW20" s="139">
        <f>CV20*100/$E$20</f>
        <v/>
      </c>
      <c r="CX20" s="133" t="n"/>
      <c r="CY20" s="139">
        <f>CX20*100/$E$20</f>
        <v/>
      </c>
      <c r="CZ20" s="133" t="n"/>
      <c r="DA20" s="139">
        <f>CZ20*100/$E$20</f>
        <v/>
      </c>
      <c r="DB20" s="133" t="n"/>
      <c r="DC20" s="139">
        <f>DB20*100/$E$20</f>
        <v/>
      </c>
      <c r="DD20" s="133" t="n"/>
      <c r="DE20" s="139">
        <f>DD20*100/$E$20</f>
        <v/>
      </c>
      <c r="DF20" s="133" t="n"/>
      <c r="DG20" s="139">
        <f>DF20*100/$E$20</f>
        <v/>
      </c>
      <c r="DH20" s="133" t="n"/>
      <c r="DI20" s="139">
        <f>DH20*100/$E$20</f>
        <v/>
      </c>
      <c r="DJ20" s="133" t="n"/>
      <c r="DK20" s="139">
        <f>DJ20*100/$E$20</f>
        <v/>
      </c>
      <c r="DL20" s="133" t="n"/>
      <c r="DM20" s="139">
        <f>DL20*100/$E$20</f>
        <v/>
      </c>
      <c r="DN20" s="133" t="n"/>
      <c r="DO20" s="139">
        <f>DN20*100/$E$20</f>
        <v/>
      </c>
      <c r="DP20" s="133">
        <f>12+2</f>
        <v/>
      </c>
      <c r="DQ20" s="139">
        <f>DP20*100/$E$20</f>
        <v/>
      </c>
      <c r="DR20" s="133" t="n"/>
      <c r="DS20" s="139">
        <f>DR20*100/$E$20</f>
        <v/>
      </c>
      <c r="DT20" s="133" t="n"/>
      <c r="DU20" s="139">
        <f>DT20*100/$E$20</f>
        <v/>
      </c>
      <c r="DV20" s="133" t="n"/>
      <c r="DW20" s="139">
        <f>DV20*100/$E$20</f>
        <v/>
      </c>
      <c r="DX20" s="133" t="n"/>
      <c r="DY20" s="139">
        <f>DX20*100/$E$20</f>
        <v/>
      </c>
      <c r="DZ20" s="133" t="n"/>
      <c r="EA20" s="139">
        <f>DZ20*100/$E$20</f>
        <v/>
      </c>
      <c r="EB20" s="133" t="n"/>
      <c r="EC20" s="139">
        <f>EB20*100/$E$20</f>
        <v/>
      </c>
      <c r="ED20" s="133" t="n"/>
      <c r="EE20" s="139">
        <f>ED20*100/$E$20</f>
        <v/>
      </c>
      <c r="EF20" s="133" t="n"/>
      <c r="EG20" s="139">
        <f>EF20*100/$E$20</f>
        <v/>
      </c>
      <c r="EH20" s="133">
        <f>12+12+12+6</f>
        <v/>
      </c>
      <c r="EI20" s="139">
        <f>EH20*100/$E$20</f>
        <v/>
      </c>
      <c r="EJ20" s="133" t="n"/>
      <c r="EK20" s="139">
        <f>EJ20*100/$E$20</f>
        <v/>
      </c>
      <c r="EL20" s="133">
        <f>4+12+11</f>
        <v/>
      </c>
      <c r="EM20" s="139">
        <f>EL20*100/$E$20</f>
        <v/>
      </c>
      <c r="EN20" s="133" t="n"/>
      <c r="EO20" s="139">
        <f>EN20*100/$E$20</f>
        <v/>
      </c>
      <c r="EP20" s="133" t="n"/>
      <c r="EQ20" s="139">
        <f>EP20*100/$E$20</f>
        <v/>
      </c>
      <c r="ER20" s="133">
        <f>8+8</f>
        <v/>
      </c>
      <c r="ES20" s="139">
        <f>ER20*100/$E$20</f>
        <v/>
      </c>
      <c r="ET20" s="133" t="n"/>
      <c r="EU20" s="139">
        <f>ET20*100/$E$20</f>
        <v/>
      </c>
      <c r="EV20" s="133" t="n"/>
      <c r="EW20" s="139">
        <f>EV20*100/$E$20</f>
        <v/>
      </c>
      <c r="EX20" s="133" t="n"/>
      <c r="EY20" s="139">
        <f>EX20*100/$E$20</f>
        <v/>
      </c>
      <c r="EZ20" s="133" t="n"/>
      <c r="FA20" s="139">
        <f>EZ20*100/$E$20</f>
        <v/>
      </c>
      <c r="FB20" s="133" t="n"/>
      <c r="FC20" s="139">
        <f>FB20*100/$E$20</f>
        <v/>
      </c>
      <c r="FD20" s="133" t="n"/>
      <c r="FE20" s="139">
        <f>FD20*100/$E$20</f>
        <v/>
      </c>
      <c r="FF20" s="133" t="n"/>
      <c r="FG20" s="139">
        <f>FF20*100/$E$20</f>
        <v/>
      </c>
      <c r="FH20" s="133" t="n"/>
      <c r="FI20" s="139">
        <f>FH20*100/$E$20</f>
        <v/>
      </c>
      <c r="FJ20" s="133" t="n">
        <v>4</v>
      </c>
      <c r="FK20" s="139">
        <f>FJ20*100/$E$20</f>
        <v/>
      </c>
      <c r="FL20" s="133" t="n"/>
      <c r="FM20" s="139">
        <f>FL20*100/$E$20</f>
        <v/>
      </c>
      <c r="FN20" s="133" t="n"/>
      <c r="FO20" s="139">
        <f>FN20*100/$E$20</f>
        <v/>
      </c>
      <c r="FP20" s="133" t="n"/>
      <c r="FQ20" s="139">
        <f>FP20*100/$E$20</f>
        <v/>
      </c>
      <c r="FR20" s="133" t="n"/>
      <c r="FS20" s="139">
        <f>FR20*100/$E$20</f>
        <v/>
      </c>
      <c r="FT20" s="133">
        <f>12+12+12+12+10</f>
        <v/>
      </c>
      <c r="FU20" s="139">
        <f>FT20*100/$E$20</f>
        <v/>
      </c>
      <c r="FV20" s="133" t="n"/>
      <c r="FW20" s="139">
        <f>FV20*100/$E$20</f>
        <v/>
      </c>
      <c r="FX20" s="133" t="n"/>
      <c r="FY20" s="140">
        <f>FX20*100/$E$20</f>
        <v/>
      </c>
      <c r="FZ20" s="133" t="n"/>
      <c r="GA20" s="140">
        <f>FZ20*100/$E$20</f>
        <v/>
      </c>
      <c r="GB20" s="133" t="n"/>
      <c r="GC20" s="140">
        <f>GB20*100/$E$20</f>
        <v/>
      </c>
      <c r="GD20" s="133" t="n"/>
      <c r="GE20" s="140">
        <f>GD20*100/$E$20</f>
        <v/>
      </c>
      <c r="GF20" s="133" t="n"/>
      <c r="GG20" s="140">
        <f>GF20*100/$E$20</f>
        <v/>
      </c>
      <c r="GH20" s="133" t="n"/>
      <c r="GI20" s="140">
        <f>GH20*100/$E$20</f>
        <v/>
      </c>
      <c r="GJ20" s="133" t="n"/>
      <c r="GK20" s="139">
        <f>GJ20*100/$E$20</f>
        <v/>
      </c>
      <c r="GL20" s="133" t="n"/>
      <c r="GM20" s="140">
        <f>GL20*100/$E$20</f>
        <v/>
      </c>
      <c r="GN20" s="133" t="n"/>
      <c r="GO20" s="139">
        <f>GN20*100/$E$20</f>
        <v/>
      </c>
      <c r="GP20" s="133" t="n"/>
      <c r="GQ20" s="140">
        <f>GP20*100/$E$20</f>
        <v/>
      </c>
      <c r="GR20" s="133" t="n"/>
      <c r="GS20" s="139">
        <f>GR20*100/$E$20</f>
        <v/>
      </c>
      <c r="GT20" s="133" t="n"/>
      <c r="GU20" s="139">
        <f>GT20*100/$E$20</f>
        <v/>
      </c>
      <c r="GV20" s="133" t="n"/>
      <c r="GW20" s="139">
        <f>GV20*100/$E$20</f>
        <v/>
      </c>
      <c r="GX20" s="133" t="n"/>
      <c r="GY20" s="140">
        <f>GX20*100/$E$20</f>
        <v/>
      </c>
      <c r="GZ20" s="133" t="n"/>
      <c r="HA20" s="140">
        <f>GZ20*100/$E$20</f>
        <v/>
      </c>
      <c r="HB20" s="133" t="n"/>
      <c r="HC20" s="140">
        <f>HB20*100/$E$20</f>
        <v/>
      </c>
      <c r="HD20" s="133" t="n"/>
      <c r="HE20" s="140">
        <f>HD20*100/$E$20</f>
        <v/>
      </c>
      <c r="HF20" s="133" t="n"/>
      <c r="HG20" s="140">
        <f>HF20*100/$E$20</f>
        <v/>
      </c>
      <c r="HH20" s="133" t="n"/>
      <c r="HI20" s="140">
        <f>HH20*100/$E$20</f>
        <v/>
      </c>
      <c r="HJ20" s="133" t="n"/>
      <c r="HK20" s="140">
        <f>HJ20*100/$E$20</f>
        <v/>
      </c>
      <c r="HL20" s="133" t="n"/>
      <c r="HM20" s="140">
        <f>HL20*100/$E$20</f>
        <v/>
      </c>
      <c r="HN20" s="133" t="n"/>
      <c r="HO20" s="140">
        <f>HN20*100/$E$20</f>
        <v/>
      </c>
      <c r="HP20" s="133" t="n"/>
      <c r="HQ20" s="140">
        <f>HP20*100/$E$20</f>
        <v/>
      </c>
      <c r="HR20" s="133" t="n"/>
      <c r="HS20" s="140">
        <f>HR20*100/$E$20</f>
        <v/>
      </c>
      <c r="HT20" s="133" t="n"/>
      <c r="HU20" s="140">
        <f>HT20*100/$E$20</f>
        <v/>
      </c>
      <c r="HV20" s="133" t="n"/>
      <c r="HW20" s="140">
        <f>HV20*100/$E$20</f>
        <v/>
      </c>
      <c r="HX20" s="133" t="n"/>
      <c r="HY20" s="140">
        <f>HX20*100/$E$20</f>
        <v/>
      </c>
      <c r="HZ20" s="133" t="n"/>
      <c r="IA20" s="139">
        <f>HZ20*100/$E$20</f>
        <v/>
      </c>
      <c r="IB20" s="133" t="n"/>
      <c r="IC20" s="139">
        <f>IB20*100/$E$20</f>
        <v/>
      </c>
      <c r="ID20" s="133" t="n"/>
      <c r="IE20" s="139">
        <f>ID20*100/$E$20</f>
        <v/>
      </c>
      <c r="IF20" s="133" t="n"/>
      <c r="IG20" s="139">
        <f>IF20*100/$E$20</f>
        <v/>
      </c>
      <c r="IH20" s="133" t="n"/>
      <c r="II20" s="139">
        <f>IH20*100/$E$20</f>
        <v/>
      </c>
      <c r="IJ20" s="133" t="n"/>
      <c r="IK20" s="139">
        <f>IJ20*100/$E$20</f>
        <v/>
      </c>
      <c r="IL20" s="133" t="n"/>
      <c r="IM20" s="140">
        <f>IL20*100/$E$20</f>
        <v/>
      </c>
      <c r="IN20" s="133" t="n"/>
      <c r="IO20" s="140">
        <f>IN20*100/$E$20</f>
        <v/>
      </c>
      <c r="IP20" s="133" t="n"/>
      <c r="IQ20" s="139">
        <f>IP20*100/$E$20</f>
        <v/>
      </c>
      <c r="IR20" s="133" t="n"/>
      <c r="IS20" s="139">
        <f>IR20*100/$E$20</f>
        <v/>
      </c>
      <c r="IT20" s="133" t="n"/>
      <c r="IU20" s="139">
        <f>IT20*100/$E$20</f>
        <v/>
      </c>
      <c r="IV20" s="133" t="n"/>
      <c r="IW20" s="139">
        <f>IV20*100/$E$20</f>
        <v/>
      </c>
      <c r="IX20" s="133" t="n"/>
      <c r="IY20" s="139">
        <f>IX20*100/$E$20</f>
        <v/>
      </c>
      <c r="IZ20" s="133" t="n"/>
      <c r="JA20" s="139">
        <f>IZ20*100/$E$20</f>
        <v/>
      </c>
      <c r="JB20" s="133" t="n"/>
      <c r="JC20" s="139">
        <f>JB20*100/$E$20</f>
        <v/>
      </c>
      <c r="JD20" s="133" t="n"/>
      <c r="JE20" s="139">
        <f>JD20*100/$E$20</f>
        <v/>
      </c>
      <c r="JF20" s="133" t="n"/>
      <c r="JG20" s="139">
        <f>JF20*100/$E$20</f>
        <v/>
      </c>
      <c r="JH20" s="133" t="n"/>
      <c r="JI20" s="139">
        <f>JH20*100/$E$20</f>
        <v/>
      </c>
      <c r="JJ20" s="133" t="n"/>
      <c r="JK20" s="139">
        <f>JJ20*100/$E$20</f>
        <v/>
      </c>
      <c r="JL20" s="133" t="n">
        <v>5</v>
      </c>
      <c r="JM20" s="139">
        <f>JL20*100/$E$20</f>
        <v/>
      </c>
      <c r="JN20" s="133" t="n"/>
      <c r="JO20" s="139">
        <f>JN20*100/$E$20</f>
        <v/>
      </c>
      <c r="JP20" s="133" t="n"/>
      <c r="JQ20" s="139">
        <f>JP20*100/$E$20</f>
        <v/>
      </c>
      <c r="JR20" s="133" t="n"/>
      <c r="JS20" s="139">
        <f>JR20*100/$E$20</f>
        <v/>
      </c>
      <c r="JT20" s="133" t="n"/>
      <c r="JU20" s="139">
        <f>JT20*100/$E$20</f>
        <v/>
      </c>
      <c r="JV20" s="133" t="n"/>
      <c r="JW20" s="139">
        <f>JV20*100/$E$20</f>
        <v/>
      </c>
      <c r="JX20" s="133" t="n"/>
      <c r="JY20" s="139">
        <f>JX20*100/$E$20</f>
        <v/>
      </c>
      <c r="JZ20" s="183">
        <f>JN20+JP20+JR20+JT20+JV20+JX20</f>
        <v/>
      </c>
      <c r="KA20" s="184">
        <f>JO20+JQ20+JS20+JU20+JW20+JY20</f>
        <v/>
      </c>
      <c r="KB20" s="185">
        <f>H20+J20+L20+N20+P20+R20+T20+V20+X20+Z20+AB20+AD20+AF20+AH20+AJ20+AL20+AN20+AP20+AR20+AT20+AV20+AX20+AZ20+BB20+BD20+BF20+BH20+BJ20+BL20+BN20+BP20+BR20+BT20+BV20+BX20+BZ20+CB20+CD20+CF20+CH20+CZ20+DB20+DD20+DF20+DH20+DJ20+DL20+DN20+DP20+DR20+DT20+DV20+DX20+DZ20+EB20+ED20+EF20+EH20+EJ20+EL20+EN20+EP20+ER20+ET20+EV20+FN20+FP20+FR20+FT20+FV20+FX20+FZ20+GB20+GD20+GF20+GH20+GJ20+GL20+GN20+GP20+GR20+GT20+GV20+GX20+GZ20+HB20+HD20+HF20+HH20+HJ20+HL20+HN20+HP20+HR20+HT20+HV20+HX20+HZ20+IB20+ID20+IF20+IH20+IJ20+IL20+IN20+IP20+IR20+IT20+IV20+IX20+IZ20+JB20+JD20+JF20+JH20+JJ20+JL20+JZ20+CJ20+CL20+CN20+CP20+CR20+CT20+CV20+CX20+EX20+EZ20+FB20+FD20+FF20+FH20+FJ20+FL20</f>
        <v/>
      </c>
      <c r="KC20" s="186">
        <f>I20+K20+M20+O20+Q20+S20+U20+W20+Y20+AA20+AC20+AE20+AG20+AI20+AK20+AM20+AO20+AQ20+AS20+AU20+AW20+AY20+BA20+BC20+BE20+BG20+BI20+BK20+BM20+BO20+BQ20+BS20+BU20+BW20+BY20+CA20+CC20+CE20+CG20+CI20+DA20+DC20+DE20+DG20+DI20+DK20+DM20+DO20+DQ20+DS20+DU20+DW20+DY20+EA20+EC20+EE20+EG20+EI20+EK20+EM20+EO20+EQ20+ES20+EU20+EW20+FO20+FS20+FU20+FW20+FQ20+FY20+GA20+GC20+GE20+GG20+GI20+GK20+GM20+GO20+GQ20+GS20+GU20+GW20+GY20+HA20+HC20+HE20+HG20+HI20+HK20+HM20+HO20+HQ20+HS20+HU20+HW20+HY20+IA20+IC20+IE20+IG20+II20+IK20+IM20+IO20+IQ20+IS20+IU20+IW20+IY20+JA20+JC20+JE20+JG20+JI20+JK20+JM20+KA20+CK20+CM20+CO20+CQ20+CS20+CU20+CW20+CY20+EY20+FA20+FC20+FE20+FG20+FI20+FK20+FM20</f>
        <v/>
      </c>
      <c r="KD20" s="187">
        <f>JO20+JQ20+JS20+JU20+JW20+JY20</f>
        <v/>
      </c>
      <c r="KE20" s="188">
        <f>KB20=E20</f>
        <v/>
      </c>
      <c r="KF20" s="189">
        <f>E20-KB20</f>
        <v/>
      </c>
      <c r="KG20" s="215" t="n"/>
    </row>
    <row r="21" ht="21.75" customFormat="1" customHeight="1" s="231">
      <c r="A21" s="130">
        <f>A20+1</f>
        <v/>
      </c>
      <c r="B21" s="199" t="inlineStr">
        <is>
          <t>Иванов А.И.</t>
        </is>
      </c>
      <c r="C21" s="200" t="inlineStr">
        <is>
          <t>токарь</t>
        </is>
      </c>
      <c r="D21" s="177">
        <f>$D$5</f>
        <v/>
      </c>
      <c r="E21" s="203" t="n">
        <v>167</v>
      </c>
      <c r="F21" s="178" t="n">
        <v>111265.49</v>
      </c>
      <c r="G21" s="179">
        <f>F21/D21</f>
        <v/>
      </c>
      <c r="H21" s="180" t="n">
        <v>8</v>
      </c>
      <c r="I21" s="140">
        <f>H21*100/$E$21</f>
        <v/>
      </c>
      <c r="J21" s="133" t="n"/>
      <c r="K21" s="140">
        <f>J21*100/$E$21</f>
        <v/>
      </c>
      <c r="L21" s="133" t="n"/>
      <c r="M21" s="140">
        <f>L21*100/$E$21</f>
        <v/>
      </c>
      <c r="N21" s="133" t="n"/>
      <c r="O21" s="140">
        <f>N21*100/$E$21</f>
        <v/>
      </c>
      <c r="P21" s="133" t="n"/>
      <c r="Q21" s="139">
        <f>P21*100/$E$21</f>
        <v/>
      </c>
      <c r="R21" s="133" t="n"/>
      <c r="S21" s="139">
        <f>R21*100/$E$21</f>
        <v/>
      </c>
      <c r="T21" s="133" t="n"/>
      <c r="U21" s="139">
        <f>T21*100/$E$21</f>
        <v/>
      </c>
      <c r="V21" s="133" t="n"/>
      <c r="W21" s="139">
        <f>V21*100/$E$21</f>
        <v/>
      </c>
      <c r="X21" s="133" t="n"/>
      <c r="Y21" s="139">
        <f>X21*100/$E$21</f>
        <v/>
      </c>
      <c r="Z21" s="133" t="n"/>
      <c r="AA21" s="139">
        <f>Z21*100/$E$21</f>
        <v/>
      </c>
      <c r="AB21" s="133" t="n"/>
      <c r="AC21" s="139">
        <f>AB21*100/$E$21</f>
        <v/>
      </c>
      <c r="AD21" s="133" t="n"/>
      <c r="AE21" s="139">
        <f>AD21*100/$E$21</f>
        <v/>
      </c>
      <c r="AF21" s="133" t="n"/>
      <c r="AG21" s="139">
        <f>AF21*100/$E$21</f>
        <v/>
      </c>
      <c r="AH21" s="133" t="n"/>
      <c r="AI21" s="139">
        <f>AH21*100/$E$21</f>
        <v/>
      </c>
      <c r="AJ21" s="133" t="n">
        <v>4</v>
      </c>
      <c r="AK21" s="139">
        <f>AJ21*100/$E$21</f>
        <v/>
      </c>
      <c r="AL21" s="133" t="n"/>
      <c r="AM21" s="139">
        <f>AL21*100/$E$21</f>
        <v/>
      </c>
      <c r="AN21" s="133" t="n"/>
      <c r="AO21" s="139">
        <f>AN21*100/$E$21</f>
        <v/>
      </c>
      <c r="AP21" s="133" t="n"/>
      <c r="AQ21" s="139">
        <f>AP21*100/$E$21</f>
        <v/>
      </c>
      <c r="AR21" s="133" t="n"/>
      <c r="AS21" s="139">
        <f>AR21*100/$E$21</f>
        <v/>
      </c>
      <c r="AT21" s="133" t="n"/>
      <c r="AU21" s="181">
        <f>AT21*100/$E$21</f>
        <v/>
      </c>
      <c r="AV21" s="133" t="n"/>
      <c r="AW21" s="139">
        <f>AV21*100/$E$21</f>
        <v/>
      </c>
      <c r="AX21" s="133" t="n"/>
      <c r="AY21" s="139">
        <f>AX21*100/$E$21</f>
        <v/>
      </c>
      <c r="AZ21" s="133" t="n"/>
      <c r="BA21" s="139">
        <f>AZ21*100/$E$21</f>
        <v/>
      </c>
      <c r="BB21" s="133" t="n"/>
      <c r="BC21" s="139">
        <f>BB21*100/$E$21</f>
        <v/>
      </c>
      <c r="BD21" s="133" t="n"/>
      <c r="BE21" s="139">
        <f>BD21*100/$E$21</f>
        <v/>
      </c>
      <c r="BF21" s="133" t="n"/>
      <c r="BG21" s="139">
        <f>BF21*100/$E$21</f>
        <v/>
      </c>
      <c r="BH21" s="133" t="n"/>
      <c r="BI21" s="139">
        <f>BH21*100/$E$21</f>
        <v/>
      </c>
      <c r="BJ21" s="133" t="n"/>
      <c r="BK21" s="139">
        <f>BJ21*100/$E$21</f>
        <v/>
      </c>
      <c r="BL21" s="133" t="n"/>
      <c r="BM21" s="139">
        <f>BL21*100/$E$21</f>
        <v/>
      </c>
      <c r="BN21" s="133" t="n"/>
      <c r="BO21" s="139">
        <f>BN21*100/$E$21</f>
        <v/>
      </c>
      <c r="BP21" s="133" t="n"/>
      <c r="BQ21" s="139">
        <f>BP21*100/$E$21</f>
        <v/>
      </c>
      <c r="BR21" s="133" t="n"/>
      <c r="BS21" s="139">
        <f>BR21*100/$E$21</f>
        <v/>
      </c>
      <c r="BT21" s="133" t="n"/>
      <c r="BU21" s="139">
        <f>BT21*100/$E$21</f>
        <v/>
      </c>
      <c r="BV21" s="133" t="n"/>
      <c r="BW21" s="139">
        <f>BV21*100/$E$21</f>
        <v/>
      </c>
      <c r="BX21" s="133" t="n"/>
      <c r="BY21" s="139">
        <f>BX21*100/$E$21</f>
        <v/>
      </c>
      <c r="BZ21" s="133" t="n"/>
      <c r="CA21" s="139">
        <f>BZ21*100/$E$21</f>
        <v/>
      </c>
      <c r="CB21" s="133" t="n">
        <v>2</v>
      </c>
      <c r="CC21" s="139">
        <f>CB21*100/$E$21</f>
        <v/>
      </c>
      <c r="CD21" s="133" t="n"/>
      <c r="CE21" s="139">
        <f>CD21*100/$E$21</f>
        <v/>
      </c>
      <c r="CF21" s="133">
        <f>8+4</f>
        <v/>
      </c>
      <c r="CG21" s="139">
        <f>CF21*100/$E$21</f>
        <v/>
      </c>
      <c r="CH21" s="133" t="n"/>
      <c r="CI21" s="139">
        <f>CH21*100/$E$21</f>
        <v/>
      </c>
      <c r="CJ21" s="133">
        <f>2+2</f>
        <v/>
      </c>
      <c r="CK21" s="139">
        <f>CJ21*100/$E$21</f>
        <v/>
      </c>
      <c r="CL21" s="133" t="n"/>
      <c r="CM21" s="139">
        <f>CL21*100/$E$21</f>
        <v/>
      </c>
      <c r="CN21" s="133" t="n"/>
      <c r="CO21" s="139">
        <f>CN21*100/$E$21</f>
        <v/>
      </c>
      <c r="CP21" s="133" t="n"/>
      <c r="CQ21" s="139">
        <f>CP21*100/$E$21</f>
        <v/>
      </c>
      <c r="CR21" s="133">
        <f>6+4+2+3</f>
        <v/>
      </c>
      <c r="CS21" s="139">
        <f>CR21*100/$E$21</f>
        <v/>
      </c>
      <c r="CT21" s="133" t="n"/>
      <c r="CU21" s="139">
        <f>CT21*100/$E$21</f>
        <v/>
      </c>
      <c r="CV21" s="133" t="n"/>
      <c r="CW21" s="139">
        <f>CV21*100/$E$21</f>
        <v/>
      </c>
      <c r="CX21" s="133" t="n"/>
      <c r="CY21" s="139">
        <f>CX21*100/$E$21</f>
        <v/>
      </c>
      <c r="CZ21" s="133" t="n"/>
      <c r="DA21" s="139">
        <f>CZ21*100/$E$21</f>
        <v/>
      </c>
      <c r="DB21" s="133" t="n"/>
      <c r="DC21" s="139">
        <f>DB21*100/$E$21</f>
        <v/>
      </c>
      <c r="DD21" s="133" t="n"/>
      <c r="DE21" s="139">
        <f>DD21*100/$E$21</f>
        <v/>
      </c>
      <c r="DF21" s="133" t="n">
        <v>4</v>
      </c>
      <c r="DG21" s="139">
        <f>DF21*100/$E$21</f>
        <v/>
      </c>
      <c r="DH21" s="133" t="n"/>
      <c r="DI21" s="139">
        <f>DH21*100/$E$21</f>
        <v/>
      </c>
      <c r="DJ21" s="133" t="n">
        <v>7</v>
      </c>
      <c r="DK21" s="139">
        <f>DJ21*100/$E$21</f>
        <v/>
      </c>
      <c r="DL21" s="133">
        <f>5+3</f>
        <v/>
      </c>
      <c r="DM21" s="139">
        <f>DL21*100/$E$21</f>
        <v/>
      </c>
      <c r="DN21" s="133" t="n"/>
      <c r="DO21" s="139">
        <f>DN21*100/$E$21</f>
        <v/>
      </c>
      <c r="DP21" s="133">
        <f>8+4+6</f>
        <v/>
      </c>
      <c r="DQ21" s="139">
        <f>DP21*100/$E$21</f>
        <v/>
      </c>
      <c r="DR21" s="133" t="n"/>
      <c r="DS21" s="139">
        <f>DR21*100/$E$21</f>
        <v/>
      </c>
      <c r="DT21" s="133" t="n"/>
      <c r="DU21" s="139">
        <f>DT21*100/$E$21</f>
        <v/>
      </c>
      <c r="DV21" s="133" t="n"/>
      <c r="DW21" s="139">
        <f>DV21*100/$E$21</f>
        <v/>
      </c>
      <c r="DX21" s="133" t="n"/>
      <c r="DY21" s="139">
        <f>DX21*100/$E$21</f>
        <v/>
      </c>
      <c r="DZ21" s="133" t="n"/>
      <c r="EA21" s="139">
        <f>DZ21*100/$E$21</f>
        <v/>
      </c>
      <c r="EB21" s="133" t="n"/>
      <c r="EC21" s="139">
        <f>EB21*100/$E$21</f>
        <v/>
      </c>
      <c r="ED21" s="133" t="n"/>
      <c r="EE21" s="139">
        <f>ED21*100/$E$21</f>
        <v/>
      </c>
      <c r="EF21" s="133" t="n"/>
      <c r="EG21" s="139">
        <f>EF21*100/$E$21</f>
        <v/>
      </c>
      <c r="EH21" s="133" t="n">
        <v>8</v>
      </c>
      <c r="EI21" s="139">
        <f>EH21*100/$E$21</f>
        <v/>
      </c>
      <c r="EJ21" s="133" t="n"/>
      <c r="EK21" s="139">
        <f>EJ21*100/$E$21</f>
        <v/>
      </c>
      <c r="EL21" s="133" t="n"/>
      <c r="EM21" s="139">
        <f>EL21*100/$E$21</f>
        <v/>
      </c>
      <c r="EN21" s="133" t="n"/>
      <c r="EO21" s="139">
        <f>EN21*100/$E$21</f>
        <v/>
      </c>
      <c r="EP21" s="133" t="n">
        <v>5</v>
      </c>
      <c r="EQ21" s="139">
        <f>EP21*100/$E$21</f>
        <v/>
      </c>
      <c r="ER21" s="133" t="n"/>
      <c r="ES21" s="139">
        <f>ER21*100/$E$21</f>
        <v/>
      </c>
      <c r="ET21" s="133" t="n"/>
      <c r="EU21" s="139">
        <f>ET21*100/$E$21</f>
        <v/>
      </c>
      <c r="EV21" s="133" t="n"/>
      <c r="EW21" s="139">
        <f>EV21*100/$E$21</f>
        <v/>
      </c>
      <c r="EX21" s="133" t="n"/>
      <c r="EY21" s="139">
        <f>EX21*100/$E$21</f>
        <v/>
      </c>
      <c r="EZ21" s="133" t="n"/>
      <c r="FA21" s="139">
        <f>EZ21*100/$E$21</f>
        <v/>
      </c>
      <c r="FB21" s="133" t="n"/>
      <c r="FC21" s="139">
        <f>FB21*100/$E$21</f>
        <v/>
      </c>
      <c r="FD21" s="133" t="n">
        <v>3</v>
      </c>
      <c r="FE21" s="139">
        <f>FD21*100/$E$21</f>
        <v/>
      </c>
      <c r="FF21" s="133" t="n"/>
      <c r="FG21" s="139">
        <f>FF21*100/$E$21</f>
        <v/>
      </c>
      <c r="FH21" s="133" t="n"/>
      <c r="FI21" s="139">
        <f>FH21*100/$E$21</f>
        <v/>
      </c>
      <c r="FJ21" s="133" t="n"/>
      <c r="FK21" s="139">
        <f>FJ21*100/$E$21</f>
        <v/>
      </c>
      <c r="FL21" s="133" t="n"/>
      <c r="FM21" s="139">
        <f>FL21*100/$E$21</f>
        <v/>
      </c>
      <c r="FN21" s="133" t="n">
        <v>8</v>
      </c>
      <c r="FO21" s="139">
        <f>FN21*100/$E$21</f>
        <v/>
      </c>
      <c r="FP21" s="133" t="n"/>
      <c r="FQ21" s="139">
        <f>FP21*100/$E$21</f>
        <v/>
      </c>
      <c r="FR21" s="133">
        <f>2+3+1+8</f>
        <v/>
      </c>
      <c r="FS21" s="139">
        <f>FR21*100/$E$21</f>
        <v/>
      </c>
      <c r="FT21" s="133" t="n"/>
      <c r="FU21" s="139">
        <f>FT21*100/$E$21</f>
        <v/>
      </c>
      <c r="FV21" s="133" t="n"/>
      <c r="FW21" s="139">
        <f>FV21*100/$E$21</f>
        <v/>
      </c>
      <c r="FX21" s="133" t="n"/>
      <c r="FY21" s="139">
        <f>FX21*100/$E$21</f>
        <v/>
      </c>
      <c r="FZ21" s="133" t="n">
        <v>1</v>
      </c>
      <c r="GA21" s="139">
        <f>FZ21*100/$E$21</f>
        <v/>
      </c>
      <c r="GB21" s="133" t="n"/>
      <c r="GC21" s="139">
        <f>GB21*100/$E$21</f>
        <v/>
      </c>
      <c r="GD21" s="133" t="n"/>
      <c r="GE21" s="139">
        <f>GD21*100/$E$21</f>
        <v/>
      </c>
      <c r="GF21" s="133" t="n"/>
      <c r="GG21" s="139">
        <f>GF21*100/$E$21</f>
        <v/>
      </c>
      <c r="GH21" s="133" t="n"/>
      <c r="GI21" s="139">
        <f>GH21*100/$E$21</f>
        <v/>
      </c>
      <c r="GJ21" s="133" t="n">
        <v>5</v>
      </c>
      <c r="GK21" s="139">
        <f>GJ21*100/$E$21</f>
        <v/>
      </c>
      <c r="GL21" s="133" t="n">
        <v>3</v>
      </c>
      <c r="GM21" s="139">
        <f>GL21*100/$E$21</f>
        <v/>
      </c>
      <c r="GN21" s="133" t="n">
        <v>8</v>
      </c>
      <c r="GO21" s="139">
        <f>GN21*100/$E$21</f>
        <v/>
      </c>
      <c r="GP21" s="133" t="n"/>
      <c r="GQ21" s="139">
        <f>GP21*100/$E$21</f>
        <v/>
      </c>
      <c r="GR21" s="133" t="n"/>
      <c r="GS21" s="139">
        <f>GR21*100/$E$21</f>
        <v/>
      </c>
      <c r="GT21" s="133" t="n"/>
      <c r="GU21" s="139">
        <f>GT21*100/$E$21</f>
        <v/>
      </c>
      <c r="GV21" s="133" t="n"/>
      <c r="GW21" s="139">
        <f>GV21*100/$E$21</f>
        <v/>
      </c>
      <c r="GX21" s="133" t="n"/>
      <c r="GY21" s="139">
        <f>GX21*100/$E$21</f>
        <v/>
      </c>
      <c r="GZ21" s="133" t="n"/>
      <c r="HA21" s="139">
        <f>GZ21*100/$E$21</f>
        <v/>
      </c>
      <c r="HB21" s="133" t="n"/>
      <c r="HC21" s="139">
        <f>HB21*100/$E$21</f>
        <v/>
      </c>
      <c r="HD21" s="133" t="n"/>
      <c r="HE21" s="139">
        <f>HD21*100/$E$21</f>
        <v/>
      </c>
      <c r="HF21" s="133" t="n"/>
      <c r="HG21" s="139">
        <f>HF21*100/$E$21</f>
        <v/>
      </c>
      <c r="HH21" s="133" t="n"/>
      <c r="HI21" s="139">
        <f>HH21*100/$E$21</f>
        <v/>
      </c>
      <c r="HJ21" s="133" t="n"/>
      <c r="HK21" s="139">
        <f>HJ21*100/$E$21</f>
        <v/>
      </c>
      <c r="HL21" s="133" t="n"/>
      <c r="HM21" s="139">
        <f>HL21*100/$E$21</f>
        <v/>
      </c>
      <c r="HN21" s="133" t="n"/>
      <c r="HO21" s="139">
        <f>HN21*100/$E$21</f>
        <v/>
      </c>
      <c r="HP21" s="133" t="n"/>
      <c r="HQ21" s="139">
        <f>HP21*100/$E$21</f>
        <v/>
      </c>
      <c r="HR21" s="133" t="n"/>
      <c r="HS21" s="139">
        <f>HR21*100/$E$21</f>
        <v/>
      </c>
      <c r="HT21" s="133" t="n"/>
      <c r="HU21" s="139">
        <f>HT21*100/$E$21</f>
        <v/>
      </c>
      <c r="HV21" s="133" t="n"/>
      <c r="HW21" s="139">
        <f>HV21*100/$E$21</f>
        <v/>
      </c>
      <c r="HX21" s="133" t="n"/>
      <c r="HY21" s="139">
        <f>HX21*100/$E$21</f>
        <v/>
      </c>
      <c r="HZ21" s="133" t="n"/>
      <c r="IA21" s="139">
        <f>HZ21*100/$E$21</f>
        <v/>
      </c>
      <c r="IB21" s="133" t="n"/>
      <c r="IC21" s="139">
        <f>IB21*100/$E$21</f>
        <v/>
      </c>
      <c r="ID21" s="133" t="n"/>
      <c r="IE21" s="139">
        <f>ID21*100/$E$21</f>
        <v/>
      </c>
      <c r="IF21" s="133" t="n"/>
      <c r="IG21" s="139">
        <f>IF21*100/$E$21</f>
        <v/>
      </c>
      <c r="IH21" s="133" t="n"/>
      <c r="II21" s="139">
        <f>IH21*100/$E$21</f>
        <v/>
      </c>
      <c r="IJ21" s="133" t="n"/>
      <c r="IK21" s="139">
        <f>IJ21*100/$E$21</f>
        <v/>
      </c>
      <c r="IL21" s="133" t="n"/>
      <c r="IM21" s="139">
        <f>IL21*100/$E$21</f>
        <v/>
      </c>
      <c r="IN21" s="133" t="n"/>
      <c r="IO21" s="139">
        <f>IN21*100/$E$21</f>
        <v/>
      </c>
      <c r="IP21" s="133" t="n"/>
      <c r="IQ21" s="139">
        <f>IP21*100/$E$21</f>
        <v/>
      </c>
      <c r="IR21" s="133" t="n"/>
      <c r="IS21" s="139">
        <f>IR21*100/$E$21</f>
        <v/>
      </c>
      <c r="IT21" s="133" t="n"/>
      <c r="IU21" s="139">
        <f>IT21*100/$E$21</f>
        <v/>
      </c>
      <c r="IV21" s="133" t="n"/>
      <c r="IW21" s="139">
        <f>IV21*100/$E$21</f>
        <v/>
      </c>
      <c r="IX21" s="133" t="n"/>
      <c r="IY21" s="139">
        <f>IX21*100/$E$21</f>
        <v/>
      </c>
      <c r="IZ21" s="133" t="n"/>
      <c r="JA21" s="139">
        <f>IZ21*100/$E$21</f>
        <v/>
      </c>
      <c r="JB21" s="133" t="n"/>
      <c r="JC21" s="139">
        <f>JB21*100/$E$21</f>
        <v/>
      </c>
      <c r="JD21" s="133" t="n">
        <v>6</v>
      </c>
      <c r="JE21" s="139">
        <f>JD21*100/$E$21</f>
        <v/>
      </c>
      <c r="JF21" s="133" t="n"/>
      <c r="JG21" s="139">
        <f>JF21*100/$E$21</f>
        <v/>
      </c>
      <c r="JH21" s="133" t="n"/>
      <c r="JI21" s="139">
        <f>JH21*100/$E$21</f>
        <v/>
      </c>
      <c r="JJ21" s="133" t="n"/>
      <c r="JK21" s="139">
        <f>JJ21*100/$E$21</f>
        <v/>
      </c>
      <c r="JL21" s="133">
        <f>3+2+8+4+5+8-6</f>
        <v/>
      </c>
      <c r="JM21" s="139">
        <f>JL21*100/$E$21</f>
        <v/>
      </c>
      <c r="JN21" s="133" t="n"/>
      <c r="JO21" s="139">
        <f>JN21*100/$E$21</f>
        <v/>
      </c>
      <c r="JP21" s="133" t="n"/>
      <c r="JQ21" s="139">
        <f>JP21*100/$E$21</f>
        <v/>
      </c>
      <c r="JR21" s="133" t="n"/>
      <c r="JS21" s="139">
        <f>JR21*100/$E$21</f>
        <v/>
      </c>
      <c r="JT21" s="133" t="n"/>
      <c r="JU21" s="139">
        <f>JT21*100/$E$21</f>
        <v/>
      </c>
      <c r="JV21" s="133" t="n"/>
      <c r="JW21" s="139">
        <f>JV21*100/$E$21</f>
        <v/>
      </c>
      <c r="JX21" s="133" t="n"/>
      <c r="JY21" s="139">
        <f>JX21*100/$E$21</f>
        <v/>
      </c>
      <c r="JZ21" s="183">
        <f>JN21+JP21+JR21+JT21+JV21+JX21</f>
        <v/>
      </c>
      <c r="KA21" s="184">
        <f>JO21+JQ21+JS21+JU21+JW21+JY21</f>
        <v/>
      </c>
      <c r="KB21" s="185">
        <f>H21+J21+L21+N21+P21+R21+T21+V21+X21+Z21+AB21+AD21+AF21+AH21+AJ21+AL21+AN21+AP21+AR21+AT21+AV21+AX21+AZ21+BB21+BD21+BF21+BH21+BJ21+BL21+BN21+BP21+BR21+BT21+BV21+BX21+BZ21+CB21+CD21+CF21+CH21+CZ21+DB21+DD21+DF21+DH21+DJ21+DL21+DN21+DP21+DR21+DT21+DV21+DX21+DZ21+EB21+ED21+EF21+EH21+EJ21+EL21+EN21+EP21+ER21+ET21+EV21+FN21+FP21+FR21+FT21+FV21+FX21+FZ21+GB21+GD21+GF21+GH21+GJ21+GL21+GN21+GP21+GR21+GT21+GV21+GX21+GZ21+HB21+HD21+HF21+HH21+HJ21+HL21+HN21+HP21+HR21+HT21+HV21+HX21+HZ21+IB21+ID21+IF21+IH21+IJ21+IL21+IN21+IP21+IR21+IT21+IV21+IX21+IZ21+JB21+JD21+JF21+JH21+JJ21+JL21+JZ21+CJ21+CL21+CN21+CP21+CR21+CT21+CV21+CX21+EX21+EZ21+FB21+FD21+FF21+FH21+FJ21+FL21</f>
        <v/>
      </c>
      <c r="KC21" s="186">
        <f>I21+K21+M21+O21+Q21+S21+U21+W21+Y21+AA21+AC21+AE21+AG21+AI21+AK21+AM21+AO21+AQ21+AS21+AU21+AW21+AY21+BA21+BC21+BE21+BG21+BI21+BK21+BM21+BO21+BQ21+BS21+BU21+BW21+BY21+CA21+CC21+CE21+CG21+CI21+DA21+DC21+DE21+DG21+DI21+DK21+DM21+DO21+DQ21+DS21+DU21+DW21+DY21+EA21+EC21+EE21+EG21+EI21+EK21+EM21+EO21+EQ21+ES21+EU21+EW21+FO21+FS21+FU21+FW21+FQ21+FY21+GA21+GC21+GE21+GG21+GI21+GK21+GM21+GO21+GQ21+GS21+GU21+GW21+GY21+HA21+HC21+HE21+HG21+HI21+HK21+HM21+HO21+HQ21+HS21+HU21+HW21+HY21+IA21+IC21+IE21+IG21+II21+IK21+IM21+IO21+IQ21+IS21+IU21+IW21+IY21+JA21+JC21+JE21+JG21+JI21+JK21+JM21+KA21+CK21+CM21+CO21+CQ21+CS21+CU21+CW21+CY21+EY21+FA21+FC21+FE21+FG21+FI21+FK21+FM21</f>
        <v/>
      </c>
      <c r="KD21" s="187">
        <f>JO21+JQ21+JS21+JU21+JW21+JY21</f>
        <v/>
      </c>
      <c r="KE21" s="188">
        <f>KB21=E21</f>
        <v/>
      </c>
      <c r="KF21" s="189">
        <f>E21-KB21</f>
        <v/>
      </c>
      <c r="KG21" s="215" t="n"/>
    </row>
    <row r="22" ht="21.75" customFormat="1" customHeight="1" s="231">
      <c r="A22" s="130">
        <f>A21+1</f>
        <v/>
      </c>
      <c r="B22" s="199" t="inlineStr">
        <is>
          <t>Ившин К.С.</t>
        </is>
      </c>
      <c r="C22" s="176" t="inlineStr">
        <is>
          <t>сварщик</t>
        </is>
      </c>
      <c r="D22" s="177">
        <f>$D$5</f>
        <v/>
      </c>
      <c r="E22" s="202" t="n">
        <v>159</v>
      </c>
      <c r="F22" s="178" t="n">
        <v>67377.96000000001</v>
      </c>
      <c r="G22" s="179">
        <f>F22/D22</f>
        <v/>
      </c>
      <c r="H22" s="180" t="n"/>
      <c r="I22" s="140">
        <f>H22*100/$E$22</f>
        <v/>
      </c>
      <c r="J22" s="133" t="n"/>
      <c r="K22" s="140">
        <f>J22*100/$E$22</f>
        <v/>
      </c>
      <c r="L22" s="133" t="n"/>
      <c r="M22" s="140">
        <f>L22*100/$E$22</f>
        <v/>
      </c>
      <c r="N22" s="133" t="n"/>
      <c r="O22" s="140">
        <f>N22*100/$E$22</f>
        <v/>
      </c>
      <c r="P22" s="133" t="n"/>
      <c r="Q22" s="139">
        <f>P22*100/$E$22</f>
        <v/>
      </c>
      <c r="R22" s="133" t="n"/>
      <c r="S22" s="140">
        <f>R22*100/$E$22</f>
        <v/>
      </c>
      <c r="T22" s="133" t="n"/>
      <c r="U22" s="140">
        <f>T22*100/$E$22</f>
        <v/>
      </c>
      <c r="V22" s="133" t="n"/>
      <c r="W22" s="140">
        <f>V22*100/$E$22</f>
        <v/>
      </c>
      <c r="X22" s="133" t="n"/>
      <c r="Y22" s="140">
        <f>X22*100/$E$22</f>
        <v/>
      </c>
      <c r="Z22" s="133" t="n"/>
      <c r="AA22" s="140">
        <f>Z22*100/$E$22</f>
        <v/>
      </c>
      <c r="AB22" s="133" t="n"/>
      <c r="AC22" s="140">
        <f>AB22*100/$E$22</f>
        <v/>
      </c>
      <c r="AD22" s="133" t="n"/>
      <c r="AE22" s="140">
        <f>AD22*100/$E$22</f>
        <v/>
      </c>
      <c r="AF22" s="133" t="n"/>
      <c r="AG22" s="140">
        <f>AF22*100/$E$22</f>
        <v/>
      </c>
      <c r="AH22" s="133" t="n"/>
      <c r="AI22" s="140">
        <f>AH22*100/$E$22</f>
        <v/>
      </c>
      <c r="AJ22" s="133" t="n"/>
      <c r="AK22" s="140">
        <f>AJ22*100/$E$22</f>
        <v/>
      </c>
      <c r="AL22" s="133" t="n"/>
      <c r="AM22" s="140">
        <f>AL22*100/$E$22</f>
        <v/>
      </c>
      <c r="AN22" s="133" t="n">
        <v>3</v>
      </c>
      <c r="AO22" s="140">
        <f>AN22*100/$E$22</f>
        <v/>
      </c>
      <c r="AP22" s="133" t="n"/>
      <c r="AQ22" s="140">
        <f>AP22*100/$E$22</f>
        <v/>
      </c>
      <c r="AR22" s="133" t="n">
        <v>8</v>
      </c>
      <c r="AS22" s="140">
        <f>AR22*100/$E$22</f>
        <v/>
      </c>
      <c r="AT22" s="133" t="n">
        <v>2</v>
      </c>
      <c r="AU22" s="181">
        <f>AT22*100/$E$22</f>
        <v/>
      </c>
      <c r="AV22" s="133" t="n"/>
      <c r="AW22" s="140">
        <f>AV22*100/$E$22</f>
        <v/>
      </c>
      <c r="AX22" s="133" t="n"/>
      <c r="AY22" s="140">
        <f>AX22*100/$E$22</f>
        <v/>
      </c>
      <c r="AZ22" s="133" t="n"/>
      <c r="BA22" s="140">
        <f>AZ22*100/$E$22</f>
        <v/>
      </c>
      <c r="BB22" s="133" t="n"/>
      <c r="BC22" s="140">
        <f>BB22*100/$E$22</f>
        <v/>
      </c>
      <c r="BD22" s="133" t="n">
        <v>18</v>
      </c>
      <c r="BE22" s="140">
        <f>BD22*100/$E$22</f>
        <v/>
      </c>
      <c r="BF22" s="133" t="n"/>
      <c r="BG22" s="140">
        <f>BF22*100/$E$22</f>
        <v/>
      </c>
      <c r="BH22" s="133" t="n"/>
      <c r="BI22" s="140">
        <f>BH22*100/$E$22</f>
        <v/>
      </c>
      <c r="BJ22" s="133" t="n"/>
      <c r="BK22" s="140">
        <f>BJ22*100/$E$22</f>
        <v/>
      </c>
      <c r="BL22" s="133" t="n"/>
      <c r="BM22" s="140">
        <f>BL22*100/$E$22</f>
        <v/>
      </c>
      <c r="BN22" s="133" t="n"/>
      <c r="BO22" s="140">
        <f>BN22*100/$E$22</f>
        <v/>
      </c>
      <c r="BP22" s="133" t="n"/>
      <c r="BQ22" s="140">
        <f>BP22*100/$E$22</f>
        <v/>
      </c>
      <c r="BR22" s="133" t="n"/>
      <c r="BS22" s="140">
        <f>BR22*100/$E$22</f>
        <v/>
      </c>
      <c r="BT22" s="133" t="n"/>
      <c r="BU22" s="140">
        <f>BT22*100/$E$22</f>
        <v/>
      </c>
      <c r="BV22" s="133" t="n"/>
      <c r="BW22" s="140">
        <f>BV22*100/$E$22</f>
        <v/>
      </c>
      <c r="BX22" s="133" t="n"/>
      <c r="BY22" s="140">
        <f>BX22*100/$E$22</f>
        <v/>
      </c>
      <c r="BZ22" s="133" t="n"/>
      <c r="CA22" s="140">
        <f>BZ22*100/$E$22</f>
        <v/>
      </c>
      <c r="CB22" s="133" t="n"/>
      <c r="CC22" s="140">
        <f>CB22*100/$E$22</f>
        <v/>
      </c>
      <c r="CD22" s="133" t="n"/>
      <c r="CE22" s="140">
        <f>CD22*100/$E$22</f>
        <v/>
      </c>
      <c r="CF22" s="133" t="n"/>
      <c r="CG22" s="140">
        <f>CF22*100/$E$22</f>
        <v/>
      </c>
      <c r="CH22" s="133" t="n"/>
      <c r="CI22" s="140">
        <f>CH22*100/$E$22</f>
        <v/>
      </c>
      <c r="CJ22" s="133" t="n"/>
      <c r="CK22" s="140">
        <f>CJ22*100/$E$22</f>
        <v/>
      </c>
      <c r="CL22" s="133" t="n"/>
      <c r="CM22" s="140">
        <f>CL22*100/$E$22</f>
        <v/>
      </c>
      <c r="CN22" s="133" t="n"/>
      <c r="CO22" s="139">
        <f>CN22*100/$E$22</f>
        <v/>
      </c>
      <c r="CP22" s="133" t="n"/>
      <c r="CQ22" s="140">
        <f>CP22*100/$E$22</f>
        <v/>
      </c>
      <c r="CR22" s="133" t="n"/>
      <c r="CS22" s="139">
        <f>CR22*100/$E$22</f>
        <v/>
      </c>
      <c r="CT22" s="133" t="n"/>
      <c r="CU22" s="139">
        <f>CT22*100/$E$22</f>
        <v/>
      </c>
      <c r="CV22" s="133" t="n"/>
      <c r="CW22" s="139">
        <f>CV22*100/$E$22</f>
        <v/>
      </c>
      <c r="CX22" s="133" t="n"/>
      <c r="CY22" s="139">
        <f>CX22*100/$E$22</f>
        <v/>
      </c>
      <c r="CZ22" s="133" t="n"/>
      <c r="DA22" s="139">
        <f>CZ22*100/$E$22</f>
        <v/>
      </c>
      <c r="DB22" s="133" t="n"/>
      <c r="DC22" s="139">
        <f>DB22*100/$E$22</f>
        <v/>
      </c>
      <c r="DD22" s="133" t="n"/>
      <c r="DE22" s="139">
        <f>DD22*100/$E$22</f>
        <v/>
      </c>
      <c r="DF22" s="133" t="n"/>
      <c r="DG22" s="139">
        <f>DF22*100/$E$22</f>
        <v/>
      </c>
      <c r="DH22" s="133" t="n"/>
      <c r="DI22" s="139">
        <f>DH22*100/$E$22</f>
        <v/>
      </c>
      <c r="DJ22" s="133" t="n"/>
      <c r="DK22" s="139">
        <f>DJ22*100/$E$22</f>
        <v/>
      </c>
      <c r="DL22" s="133" t="n"/>
      <c r="DM22" s="139">
        <f>DL22*100/$E$22</f>
        <v/>
      </c>
      <c r="DN22" s="133" t="n"/>
      <c r="DO22" s="139">
        <f>DN22*100/$E$22</f>
        <v/>
      </c>
      <c r="DP22" s="133" t="n"/>
      <c r="DQ22" s="139">
        <f>DP22*100/$E$22</f>
        <v/>
      </c>
      <c r="DR22" s="133" t="n"/>
      <c r="DS22" s="140">
        <f>DR22*100/$E$22</f>
        <v/>
      </c>
      <c r="DT22" s="133" t="n"/>
      <c r="DU22" s="139">
        <f>DT22*100/$E$22</f>
        <v/>
      </c>
      <c r="DV22" s="133" t="n"/>
      <c r="DW22" s="139">
        <f>DV22*100/$E$22</f>
        <v/>
      </c>
      <c r="DX22" s="133" t="n"/>
      <c r="DY22" s="139">
        <f>DX22*100/$E$22</f>
        <v/>
      </c>
      <c r="DZ22" s="133" t="n"/>
      <c r="EA22" s="139">
        <f>DZ22*100/$E$22</f>
        <v/>
      </c>
      <c r="EB22" s="133" t="n"/>
      <c r="EC22" s="139">
        <f>EB22*100/$E$22</f>
        <v/>
      </c>
      <c r="ED22" s="133" t="n"/>
      <c r="EE22" s="139">
        <f>ED22*100/$E$22</f>
        <v/>
      </c>
      <c r="EF22" s="133" t="n"/>
      <c r="EG22" s="139">
        <f>EF22*100/$E$22</f>
        <v/>
      </c>
      <c r="EH22" s="133" t="n"/>
      <c r="EI22" s="140">
        <f>EH22*100/$E$22</f>
        <v/>
      </c>
      <c r="EJ22" s="133" t="n"/>
      <c r="EK22" s="140">
        <f>EJ22*100/$E$22</f>
        <v/>
      </c>
      <c r="EL22" s="133" t="n"/>
      <c r="EM22" s="140">
        <f>EL22*100/$E$22</f>
        <v/>
      </c>
      <c r="EN22" s="133" t="n"/>
      <c r="EO22" s="140">
        <f>EN22*100/$E$22</f>
        <v/>
      </c>
      <c r="EP22" s="133" t="n"/>
      <c r="EQ22" s="140">
        <f>EP22*100/$E$22</f>
        <v/>
      </c>
      <c r="ER22" s="133" t="n"/>
      <c r="ES22" s="140">
        <f>ER22*100/$E$22</f>
        <v/>
      </c>
      <c r="ET22" s="133" t="n"/>
      <c r="EU22" s="140">
        <f>ET22*100/$E$22</f>
        <v/>
      </c>
      <c r="EV22" s="133" t="n"/>
      <c r="EW22" s="139">
        <f>EV22*100/$E$22</f>
        <v/>
      </c>
      <c r="EX22" s="133" t="n"/>
      <c r="EY22" s="139">
        <f>EX22*100/$E$22</f>
        <v/>
      </c>
      <c r="EZ22" s="133" t="n"/>
      <c r="FA22" s="139">
        <f>EZ22*100/$E$22</f>
        <v/>
      </c>
      <c r="FB22" s="133" t="n"/>
      <c r="FC22" s="139">
        <f>FB22*100/$E$22</f>
        <v/>
      </c>
      <c r="FD22" s="133" t="n"/>
      <c r="FE22" s="139">
        <f>FD22*100/$E$22</f>
        <v/>
      </c>
      <c r="FF22" s="133" t="n"/>
      <c r="FG22" s="139">
        <f>FF22*100/$E$22</f>
        <v/>
      </c>
      <c r="FH22" s="133" t="n"/>
      <c r="FI22" s="139">
        <f>FH22*100/$E$22</f>
        <v/>
      </c>
      <c r="FJ22" s="133" t="n"/>
      <c r="FK22" s="139">
        <f>FJ22*100/$E$22</f>
        <v/>
      </c>
      <c r="FL22" s="133" t="n"/>
      <c r="FM22" s="139">
        <f>FL22*100/$E$22</f>
        <v/>
      </c>
      <c r="FN22" s="133" t="n"/>
      <c r="FO22" s="139">
        <f>FN22*100/$E$22</f>
        <v/>
      </c>
      <c r="FP22" s="133" t="n"/>
      <c r="FQ22" s="140">
        <f>FP22*100/$E$22</f>
        <v/>
      </c>
      <c r="FR22" s="133" t="n"/>
      <c r="FS22" s="140">
        <f>FR22*100/$E$22</f>
        <v/>
      </c>
      <c r="FT22" s="133" t="n"/>
      <c r="FU22" s="140">
        <f>FT22*100/$E$22</f>
        <v/>
      </c>
      <c r="FV22" s="133" t="n"/>
      <c r="FW22" s="140">
        <f>FV22*100/$E$22</f>
        <v/>
      </c>
      <c r="FX22" s="133" t="n"/>
      <c r="FY22" s="140">
        <f>FX22*100/$E$22</f>
        <v/>
      </c>
      <c r="FZ22" s="133" t="n"/>
      <c r="GA22" s="140">
        <f>FZ22*100/$E$22</f>
        <v/>
      </c>
      <c r="GB22" s="133" t="n"/>
      <c r="GC22" s="140">
        <f>GB22*100/$E$22</f>
        <v/>
      </c>
      <c r="GD22" s="133" t="n"/>
      <c r="GE22" s="140">
        <f>GD22*100/$E$22</f>
        <v/>
      </c>
      <c r="GF22" s="133" t="n"/>
      <c r="GG22" s="140">
        <f>GF22*100/$E$22</f>
        <v/>
      </c>
      <c r="GH22" s="133" t="n"/>
      <c r="GI22" s="140">
        <f>GH22*100/$E$22</f>
        <v/>
      </c>
      <c r="GJ22" s="133" t="n"/>
      <c r="GK22" s="139">
        <f>GJ22*100/$E$22</f>
        <v/>
      </c>
      <c r="GL22" s="133" t="n"/>
      <c r="GM22" s="140">
        <f>GL22*100/$E$22</f>
        <v/>
      </c>
      <c r="GN22" s="133" t="n"/>
      <c r="GO22" s="139">
        <f>GN22*100/$E$22</f>
        <v/>
      </c>
      <c r="GP22" s="133" t="n"/>
      <c r="GQ22" s="140">
        <f>GP22*100/$E$22</f>
        <v/>
      </c>
      <c r="GR22" s="133" t="n"/>
      <c r="GS22" s="139">
        <f>GR22*100/$E$22</f>
        <v/>
      </c>
      <c r="GT22" s="133" t="n"/>
      <c r="GU22" s="139">
        <f>GT22*100/$E$22</f>
        <v/>
      </c>
      <c r="GV22" s="133" t="n"/>
      <c r="GW22" s="140">
        <f>GV22*100/$E$22</f>
        <v/>
      </c>
      <c r="GX22" s="133" t="n"/>
      <c r="GY22" s="140">
        <f>GX22*100/$E$22</f>
        <v/>
      </c>
      <c r="GZ22" s="133" t="n"/>
      <c r="HA22" s="140">
        <f>GZ22*100/$E$22</f>
        <v/>
      </c>
      <c r="HB22" s="133" t="n"/>
      <c r="HC22" s="140">
        <f>HB22*100/$E$22</f>
        <v/>
      </c>
      <c r="HD22" s="133" t="n"/>
      <c r="HE22" s="140">
        <f>HD22*100/$E$22</f>
        <v/>
      </c>
      <c r="HF22" s="133" t="n"/>
      <c r="HG22" s="140">
        <f>HF22*100/$E$22</f>
        <v/>
      </c>
      <c r="HH22" s="133" t="n"/>
      <c r="HI22" s="140">
        <f>HH22*100/$E$22</f>
        <v/>
      </c>
      <c r="HJ22" s="133" t="n"/>
      <c r="HK22" s="140">
        <f>HJ22*100/$E$22</f>
        <v/>
      </c>
      <c r="HL22" s="133" t="n"/>
      <c r="HM22" s="140">
        <f>HL22*100/$E$22</f>
        <v/>
      </c>
      <c r="HN22" s="133" t="n"/>
      <c r="HO22" s="140">
        <f>HN22*100/$E$22</f>
        <v/>
      </c>
      <c r="HP22" s="133" t="n"/>
      <c r="HQ22" s="140">
        <f>HP22*100/$E$22</f>
        <v/>
      </c>
      <c r="HR22" s="133" t="n"/>
      <c r="HS22" s="140">
        <f>HR22*100/$E$22</f>
        <v/>
      </c>
      <c r="HT22" s="133" t="n"/>
      <c r="HU22" s="140">
        <f>HT22*100/$E$22</f>
        <v/>
      </c>
      <c r="HV22" s="133" t="n"/>
      <c r="HW22" s="140">
        <f>HV22*100/$E$22</f>
        <v/>
      </c>
      <c r="HX22" s="133" t="n"/>
      <c r="HY22" s="140">
        <f>HX22*100/$E$22</f>
        <v/>
      </c>
      <c r="HZ22" s="133" t="n"/>
      <c r="IA22" s="139">
        <f>HZ22*100/$E$22</f>
        <v/>
      </c>
      <c r="IB22" s="133" t="n"/>
      <c r="IC22" s="139">
        <f>IB22*100/$E$22</f>
        <v/>
      </c>
      <c r="ID22" s="133" t="n"/>
      <c r="IE22" s="139">
        <f>ID22*100/$E$22</f>
        <v/>
      </c>
      <c r="IF22" s="133" t="n"/>
      <c r="IG22" s="139">
        <f>IF22*100/$E$22</f>
        <v/>
      </c>
      <c r="IH22" s="133" t="n"/>
      <c r="II22" s="139">
        <f>IH22*100/$E$22</f>
        <v/>
      </c>
      <c r="IJ22" s="133" t="n"/>
      <c r="IK22" s="139">
        <f>IJ22*100/$E$22</f>
        <v/>
      </c>
      <c r="IL22" s="133" t="n"/>
      <c r="IM22" s="140">
        <f>IL22*100/$E$22</f>
        <v/>
      </c>
      <c r="IN22" s="133" t="n"/>
      <c r="IO22" s="140">
        <f>IN22*100/$E$22</f>
        <v/>
      </c>
      <c r="IP22" s="133" t="n"/>
      <c r="IQ22" s="139">
        <f>IP22*100/$E$22</f>
        <v/>
      </c>
      <c r="IR22" s="133" t="n"/>
      <c r="IS22" s="139">
        <f>IR22*100/$E$22</f>
        <v/>
      </c>
      <c r="IT22" s="133" t="n"/>
      <c r="IU22" s="139">
        <f>IT22*100/$E$22</f>
        <v/>
      </c>
      <c r="IV22" s="133" t="n"/>
      <c r="IW22" s="139">
        <f>IV22*100/$E$22</f>
        <v/>
      </c>
      <c r="IX22" s="133" t="n"/>
      <c r="IY22" s="139">
        <f>IX22*100/$E$22</f>
        <v/>
      </c>
      <c r="IZ22" s="133" t="n"/>
      <c r="JA22" s="139">
        <f>IZ22*100/$E$22</f>
        <v/>
      </c>
      <c r="JB22" s="133" t="n">
        <v>16</v>
      </c>
      <c r="JC22" s="139">
        <f>JB22*100/$E$22</f>
        <v/>
      </c>
      <c r="JD22" s="133" t="n">
        <v>4</v>
      </c>
      <c r="JE22" s="139">
        <f>JD22*100/$E$22</f>
        <v/>
      </c>
      <c r="JF22" s="133" t="n"/>
      <c r="JG22" s="140">
        <f>JF22*100/$E$22</f>
        <v/>
      </c>
      <c r="JH22" s="133" t="n"/>
      <c r="JI22" s="139">
        <f>JH22*100/$E$22</f>
        <v/>
      </c>
      <c r="JJ22" s="133" t="n"/>
      <c r="JK22" s="140">
        <f>JJ22*100/$E$22</f>
        <v/>
      </c>
      <c r="JL22" s="133">
        <f>8+8+8+8+8+8+8+8+8+16+16-16-4</f>
        <v/>
      </c>
      <c r="JM22" s="139">
        <f>JL22*100/$E$22</f>
        <v/>
      </c>
      <c r="JN22" s="133" t="n"/>
      <c r="JO22" s="139">
        <f>JN22*100/$E$22</f>
        <v/>
      </c>
      <c r="JP22" s="133">
        <f>8+8+8</f>
        <v/>
      </c>
      <c r="JQ22" s="139">
        <f>JP22*100/$E$22</f>
        <v/>
      </c>
      <c r="JR22" s="133" t="n"/>
      <c r="JS22" s="140">
        <f>JR22*100/$E$22</f>
        <v/>
      </c>
      <c r="JT22" s="133" t="n"/>
      <c r="JU22" s="140">
        <f>JT22*100/$E$22</f>
        <v/>
      </c>
      <c r="JV22" s="133" t="n"/>
      <c r="JW22" s="140">
        <f>JV22*100/$E$22</f>
        <v/>
      </c>
      <c r="JX22" s="133" t="n"/>
      <c r="JY22" s="140">
        <f>JX22*100/$E$22</f>
        <v/>
      </c>
      <c r="JZ22" s="183">
        <f>JN22+JP22+JR22+JT22+JV22+JX22</f>
        <v/>
      </c>
      <c r="KA22" s="184">
        <f>JO22+JQ22+JS22+JU22+JW22+JY22</f>
        <v/>
      </c>
      <c r="KB22" s="185">
        <f>H22+J22+L22+N22+P22+R22+T22+V22+X22+Z22+AB22+AD22+AF22+AH22+AJ22+AL22+AN22+AP22+AR22+AT22+AV22+AX22+AZ22+BB22+BD22+BF22+BH22+BJ22+BL22+BN22+BP22+BR22+BT22+BV22+BX22+BZ22+CB22+CD22+CF22+CH22+CZ22+DB22+DD22+DF22+DH22+DJ22+DL22+DN22+DP22+DR22+DT22+DV22+DX22+DZ22+EB22+ED22+EF22+EH22+EJ22+EL22+EN22+EP22+ER22+ET22+EV22+FN22+FP22+FR22+FT22+FV22+FX22+FZ22+GB22+GD22+GF22+GH22+GJ22+GL22+GN22+GP22+GR22+GT22+GV22+GX22+GZ22+HB22+HD22+HF22+HH22+HJ22+HL22+HN22+HP22+HR22+HT22+HV22+HX22+HZ22+IB22+ID22+IF22+IH22+IJ22+IL22+IN22+IP22+IR22+IT22+IV22+IX22+IZ22+JB22+JD22+JF22+JH22+JJ22+JL22+JZ22+CJ22+CL22+CN22+CP22+CR22+CT22+CV22+CX22+EX22+EZ22+FB22+FD22+FF22+FH22+FJ22+FL22</f>
        <v/>
      </c>
      <c r="KC22" s="186">
        <f>I22+K22+M22+O22+Q22+S22+U22+W22+Y22+AA22+AC22+AE22+AG22+AI22+AK22+AM22+AO22+AQ22+AS22+AU22+AW22+AY22+BA22+BC22+BE22+BG22+BI22+BK22+BM22+BO22+BQ22+BS22+BU22+BW22+BY22+CA22+CC22+CE22+CG22+CI22+DA22+DC22+DE22+DG22+DI22+DK22+DM22+DO22+DQ22+DS22+DU22+DW22+DY22+EA22+EC22+EE22+EG22+EI22+EK22+EM22+EO22+EQ22+ES22+EU22+EW22+FO22+FS22+FU22+FW22+FQ22+FY22+GA22+GC22+GE22+GG22+GI22+GK22+GM22+GO22+GQ22+GS22+GU22+GW22+GY22+HA22+HC22+HE22+HG22+HI22+HK22+HM22+HO22+HQ22+HS22+HU22+HW22+HY22+IA22+IC22+IE22+IG22+II22+IK22+IM22+IO22+IQ22+IS22+IU22+IW22+IY22+JA22+JC22+JE22+JG22+JI22+JK22+JM22+KA22+CK22+CM22+CO22+CQ22+CS22+CU22+CW22+CY22+EY22+FA22+FC22+FE22+FG22+FI22+FK22+FM22</f>
        <v/>
      </c>
      <c r="KD22" s="187">
        <f>JO22+JQ22+JS22+JU22+JW22+JY22</f>
        <v/>
      </c>
      <c r="KE22" s="188">
        <f>KB22=E22</f>
        <v/>
      </c>
      <c r="KF22" s="189">
        <f>E22-KB22</f>
        <v/>
      </c>
      <c r="KG22" s="215" t="n"/>
    </row>
    <row r="23" ht="21.75" customFormat="1" customHeight="1" s="215">
      <c r="A23" s="130">
        <f>A22+1</f>
        <v/>
      </c>
      <c r="B23" s="192" t="inlineStr">
        <is>
          <t>Капичников А.С.</t>
        </is>
      </c>
      <c r="C23" s="176" t="inlineStr">
        <is>
          <t>слесарь</t>
        </is>
      </c>
      <c r="D23" s="177">
        <f>$D$5</f>
        <v/>
      </c>
      <c r="E23" s="202" t="n">
        <v>163</v>
      </c>
      <c r="F23" s="178" t="n">
        <v>92564.64</v>
      </c>
      <c r="G23" s="179">
        <f>F23/D23</f>
        <v/>
      </c>
      <c r="H23" s="180" t="n"/>
      <c r="I23" s="140">
        <f>H23*100/$E$23</f>
        <v/>
      </c>
      <c r="J23" s="133" t="n"/>
      <c r="K23" s="140">
        <f>J23*100/$E$23</f>
        <v/>
      </c>
      <c r="L23" s="133" t="n"/>
      <c r="M23" s="140">
        <f>L23*100/$E$23</f>
        <v/>
      </c>
      <c r="N23" s="133" t="n"/>
      <c r="O23" s="140">
        <f>N23*100/$E$23</f>
        <v/>
      </c>
      <c r="P23" s="133" t="n"/>
      <c r="Q23" s="139">
        <f>P23*100/$E$23</f>
        <v/>
      </c>
      <c r="R23" s="133" t="n"/>
      <c r="S23" s="139">
        <f>R23*100/$E$23</f>
        <v/>
      </c>
      <c r="T23" s="133" t="n"/>
      <c r="U23" s="140">
        <f>T23*100/$E$23</f>
        <v/>
      </c>
      <c r="V23" s="133" t="n"/>
      <c r="W23" s="140">
        <f>V23*100/$E$23</f>
        <v/>
      </c>
      <c r="X23" s="133" t="n"/>
      <c r="Y23" s="140">
        <f>X23*100/$E$23</f>
        <v/>
      </c>
      <c r="Z23" s="133" t="n"/>
      <c r="AA23" s="140">
        <f>Z23*100/$E$23</f>
        <v/>
      </c>
      <c r="AB23" s="133" t="n"/>
      <c r="AC23" s="140">
        <f>AB23*100/$E$23</f>
        <v/>
      </c>
      <c r="AD23" s="133" t="n"/>
      <c r="AE23" s="139">
        <f>AD23*100/$E$23</f>
        <v/>
      </c>
      <c r="AF23" s="133" t="n"/>
      <c r="AG23" s="139">
        <f>AF23*100/$E$23</f>
        <v/>
      </c>
      <c r="AH23" s="133" t="n"/>
      <c r="AI23" s="140">
        <f>AH23*100/$E$23</f>
        <v/>
      </c>
      <c r="AJ23" s="133" t="n"/>
      <c r="AK23" s="140">
        <f>AJ23*100/$E$23</f>
        <v/>
      </c>
      <c r="AL23" s="133" t="n"/>
      <c r="AM23" s="140">
        <f>AL23*100/$E$23</f>
        <v/>
      </c>
      <c r="AN23" s="133" t="n"/>
      <c r="AO23" s="140">
        <f>AN23*100/$E$23</f>
        <v/>
      </c>
      <c r="AP23" s="133" t="n"/>
      <c r="AQ23" s="140">
        <f>AP23*100/$E$23</f>
        <v/>
      </c>
      <c r="AR23" s="133" t="n"/>
      <c r="AS23" s="140">
        <f>AR23*100/$E$23</f>
        <v/>
      </c>
      <c r="AT23" s="133" t="n"/>
      <c r="AU23" s="181">
        <f>AT23*100/$E$23</f>
        <v/>
      </c>
      <c r="AV23" s="133">
        <f>8+8+8+8+8+8+8+8+8+8</f>
        <v/>
      </c>
      <c r="AW23" s="140">
        <f>AV23*100/$E$23</f>
        <v/>
      </c>
      <c r="AX23" s="133" t="n"/>
      <c r="AY23" s="140">
        <f>AX23*100/$E$23</f>
        <v/>
      </c>
      <c r="AZ23" s="133" t="n"/>
      <c r="BA23" s="140">
        <f>AZ23*100/$E$23</f>
        <v/>
      </c>
      <c r="BB23" s="133">
        <f>8+8+8+8+8+8+8+8+8+11</f>
        <v/>
      </c>
      <c r="BC23" s="140">
        <f>BB23*100/$E$23</f>
        <v/>
      </c>
      <c r="BD23" s="133" t="n"/>
      <c r="BE23" s="140">
        <f>BD23*100/$E$23</f>
        <v/>
      </c>
      <c r="BF23" s="133" t="n"/>
      <c r="BG23" s="140">
        <f>BF23*100/$E$23</f>
        <v/>
      </c>
      <c r="BH23" s="133" t="n"/>
      <c r="BI23" s="140">
        <f>BH23*100/$E$23</f>
        <v/>
      </c>
      <c r="BJ23" s="133" t="n"/>
      <c r="BK23" s="140">
        <f>BJ23*100/$E$23</f>
        <v/>
      </c>
      <c r="BL23" s="133" t="n"/>
      <c r="BM23" s="140">
        <f>BL23*100/$E$23</f>
        <v/>
      </c>
      <c r="BN23" s="133" t="n"/>
      <c r="BO23" s="140">
        <f>BN23*100/$E$23</f>
        <v/>
      </c>
      <c r="BP23" s="133" t="n"/>
      <c r="BQ23" s="140">
        <f>BP23*100/$E$23</f>
        <v/>
      </c>
      <c r="BR23" s="133" t="n"/>
      <c r="BS23" s="140">
        <f>BR23*100/$E$23</f>
        <v/>
      </c>
      <c r="BT23" s="133" t="n"/>
      <c r="BU23" s="140">
        <f>BT23*100/$E$23</f>
        <v/>
      </c>
      <c r="BV23" s="133" t="n"/>
      <c r="BW23" s="140">
        <f>BV23*100/$E$23</f>
        <v/>
      </c>
      <c r="BX23" s="133" t="n"/>
      <c r="BY23" s="140">
        <f>BX23*100/$E$23</f>
        <v/>
      </c>
      <c r="BZ23" s="133" t="n"/>
      <c r="CA23" s="140">
        <f>BZ23*100/$E$23</f>
        <v/>
      </c>
      <c r="CB23" s="133" t="n"/>
      <c r="CC23" s="140">
        <f>CB23*100/$E$23</f>
        <v/>
      </c>
      <c r="CD23" s="133" t="n"/>
      <c r="CE23" s="140">
        <f>CD23*100/$E$23</f>
        <v/>
      </c>
      <c r="CF23" s="133" t="n"/>
      <c r="CG23" s="140">
        <f>CF23*100/$E$23</f>
        <v/>
      </c>
      <c r="CH23" s="133" t="n"/>
      <c r="CI23" s="140">
        <f>CH23*100/$E$23</f>
        <v/>
      </c>
      <c r="CJ23" s="133" t="n"/>
      <c r="CK23" s="140">
        <f>CJ23*100/$E$23</f>
        <v/>
      </c>
      <c r="CL23" s="133" t="n"/>
      <c r="CM23" s="140">
        <f>CL23*100/$E$23</f>
        <v/>
      </c>
      <c r="CN23" s="133" t="n"/>
      <c r="CO23" s="139">
        <f>CN23*100/$E$23</f>
        <v/>
      </c>
      <c r="CP23" s="133" t="n"/>
      <c r="CQ23" s="140">
        <f>CP23*100/$E$23</f>
        <v/>
      </c>
      <c r="CR23" s="133" t="n"/>
      <c r="CS23" s="139">
        <f>CR23*100/$E$23</f>
        <v/>
      </c>
      <c r="CT23" s="133" t="n"/>
      <c r="CU23" s="139">
        <f>CT23*100/$E$23</f>
        <v/>
      </c>
      <c r="CV23" s="133" t="n"/>
      <c r="CW23" s="139">
        <f>CV23*100/$E$23</f>
        <v/>
      </c>
      <c r="CX23" s="133" t="n"/>
      <c r="CY23" s="139">
        <f>CX23*100/$E$23</f>
        <v/>
      </c>
      <c r="CZ23" s="133" t="n"/>
      <c r="DA23" s="139">
        <f>CZ23*100/$E$23</f>
        <v/>
      </c>
      <c r="DB23" s="133" t="n"/>
      <c r="DC23" s="139">
        <f>DB23*100/$E$23</f>
        <v/>
      </c>
      <c r="DD23" s="133" t="n"/>
      <c r="DE23" s="139">
        <f>DD23*100/$E$23</f>
        <v/>
      </c>
      <c r="DF23" s="133" t="n"/>
      <c r="DG23" s="139">
        <f>DF23*100/$E$23</f>
        <v/>
      </c>
      <c r="DH23" s="133" t="n"/>
      <c r="DI23" s="139">
        <f>DH23*100/$E$23</f>
        <v/>
      </c>
      <c r="DJ23" s="133" t="n"/>
      <c r="DK23" s="139">
        <f>DJ23*100/$E$23</f>
        <v/>
      </c>
      <c r="DL23" s="133" t="n"/>
      <c r="DM23" s="139">
        <f>DL23*100/$E$23</f>
        <v/>
      </c>
      <c r="DN23" s="133" t="n"/>
      <c r="DO23" s="139">
        <f>DN23*100/$E$23</f>
        <v/>
      </c>
      <c r="DP23" s="133" t="n"/>
      <c r="DQ23" s="139">
        <f>DP23*100/$E$23</f>
        <v/>
      </c>
      <c r="DR23" s="133" t="n"/>
      <c r="DS23" s="139">
        <f>DR23*100/$E$23</f>
        <v/>
      </c>
      <c r="DT23" s="133" t="n"/>
      <c r="DU23" s="139">
        <f>DT23*100/$E$23</f>
        <v/>
      </c>
      <c r="DV23" s="133" t="n"/>
      <c r="DW23" s="139">
        <f>DV23*100/$E$23</f>
        <v/>
      </c>
      <c r="DX23" s="133" t="n"/>
      <c r="DY23" s="139">
        <f>DX23*100/$E$23</f>
        <v/>
      </c>
      <c r="DZ23" s="133" t="n"/>
      <c r="EA23" s="139">
        <f>DZ23*100/$E$23</f>
        <v/>
      </c>
      <c r="EB23" s="133" t="n"/>
      <c r="EC23" s="139">
        <f>EB23*100/$E$23</f>
        <v/>
      </c>
      <c r="ED23" s="133" t="n"/>
      <c r="EE23" s="139">
        <f>ED23*100/$E$23</f>
        <v/>
      </c>
      <c r="EF23" s="133" t="n"/>
      <c r="EG23" s="139">
        <f>EF23*100/$E$23</f>
        <v/>
      </c>
      <c r="EH23" s="133" t="n"/>
      <c r="EI23" s="139">
        <f>EH23*100/$E$23</f>
        <v/>
      </c>
      <c r="EJ23" s="133" t="n"/>
      <c r="EK23" s="139">
        <f>EJ23*100/$E$23</f>
        <v/>
      </c>
      <c r="EL23" s="133" t="n"/>
      <c r="EM23" s="139">
        <f>EL23*100/$E$23</f>
        <v/>
      </c>
      <c r="EN23" s="133" t="n"/>
      <c r="EO23" s="139">
        <f>EN23*100/$E$23</f>
        <v/>
      </c>
      <c r="EP23" s="133" t="n"/>
      <c r="EQ23" s="139">
        <f>EP23*100/$E$23</f>
        <v/>
      </c>
      <c r="ER23" s="133" t="n"/>
      <c r="ES23" s="139">
        <f>ER23*100/$E$23</f>
        <v/>
      </c>
      <c r="ET23" s="133" t="n"/>
      <c r="EU23" s="139">
        <f>ET23*100/$E$23</f>
        <v/>
      </c>
      <c r="EV23" s="133" t="n"/>
      <c r="EW23" s="139">
        <f>EV23*100/$E$23</f>
        <v/>
      </c>
      <c r="EX23" s="133" t="n"/>
      <c r="EY23" s="139">
        <f>EX23*100/$E$23</f>
        <v/>
      </c>
      <c r="EZ23" s="133" t="n"/>
      <c r="FA23" s="139">
        <f>EZ23*100/$E$23</f>
        <v/>
      </c>
      <c r="FB23" s="133" t="n"/>
      <c r="FC23" s="139">
        <f>FB23*100/$E$23</f>
        <v/>
      </c>
      <c r="FD23" s="133" t="n"/>
      <c r="FE23" s="139">
        <f>FD23*100/$E$23</f>
        <v/>
      </c>
      <c r="FF23" s="133" t="n"/>
      <c r="FG23" s="139">
        <f>FF23*100/$E$23</f>
        <v/>
      </c>
      <c r="FH23" s="133" t="n"/>
      <c r="FI23" s="139">
        <f>FH23*100/$E$23</f>
        <v/>
      </c>
      <c r="FJ23" s="133" t="n"/>
      <c r="FK23" s="139">
        <f>FJ23*100/$E$23</f>
        <v/>
      </c>
      <c r="FL23" s="133" t="n"/>
      <c r="FM23" s="139">
        <f>FL23*100/$E$23</f>
        <v/>
      </c>
      <c r="FN23" s="133" t="n"/>
      <c r="FO23" s="139">
        <f>FN23*100/$E$23</f>
        <v/>
      </c>
      <c r="FP23" s="133" t="n"/>
      <c r="FQ23" s="139">
        <f>FP23*100/$E$23</f>
        <v/>
      </c>
      <c r="FR23" s="133" t="n"/>
      <c r="FS23" s="139">
        <f>FR23*100/$E$23</f>
        <v/>
      </c>
      <c r="FT23" s="133" t="n"/>
      <c r="FU23" s="139">
        <f>FT23*100/$E$23</f>
        <v/>
      </c>
      <c r="FV23" s="133" t="n"/>
      <c r="FW23" s="139">
        <f>FV23*100/$E$23</f>
        <v/>
      </c>
      <c r="FX23" s="133" t="n"/>
      <c r="FY23" s="140">
        <f>FX23*100/$E$23</f>
        <v/>
      </c>
      <c r="FZ23" s="133" t="n"/>
      <c r="GA23" s="140">
        <f>FZ23*100/$E$23</f>
        <v/>
      </c>
      <c r="GB23" s="133" t="n"/>
      <c r="GC23" s="140">
        <f>GB23*100/$E$23</f>
        <v/>
      </c>
      <c r="GD23" s="133" t="n"/>
      <c r="GE23" s="140">
        <f>GD23*100/$E$23</f>
        <v/>
      </c>
      <c r="GF23" s="133" t="n"/>
      <c r="GG23" s="140">
        <f>GF23*100/$E$23</f>
        <v/>
      </c>
      <c r="GH23" s="133" t="n"/>
      <c r="GI23" s="140">
        <f>GH23*100/$E$23</f>
        <v/>
      </c>
      <c r="GJ23" s="133" t="n"/>
      <c r="GK23" s="139">
        <f>GJ23*100/$E$23</f>
        <v/>
      </c>
      <c r="GL23" s="133" t="n"/>
      <c r="GM23" s="140">
        <f>GL23*100/$E$23</f>
        <v/>
      </c>
      <c r="GN23" s="133" t="n"/>
      <c r="GO23" s="139">
        <f>GN23*100/$E$23</f>
        <v/>
      </c>
      <c r="GP23" s="133" t="n"/>
      <c r="GQ23" s="140">
        <f>GP23*100/$E$23</f>
        <v/>
      </c>
      <c r="GR23" s="133" t="n"/>
      <c r="GS23" s="139">
        <f>GR23*100/$E$23</f>
        <v/>
      </c>
      <c r="GT23" s="133" t="n"/>
      <c r="GU23" s="139">
        <f>GT23*100/$E$23</f>
        <v/>
      </c>
      <c r="GV23" s="133" t="n"/>
      <c r="GW23" s="139">
        <f>GV23*100/$E$23</f>
        <v/>
      </c>
      <c r="GX23" s="133" t="n"/>
      <c r="GY23" s="140">
        <f>GX23*100/$E$23</f>
        <v/>
      </c>
      <c r="GZ23" s="133" t="n"/>
      <c r="HA23" s="140">
        <f>GZ23*100/$E$23</f>
        <v/>
      </c>
      <c r="HB23" s="133" t="n"/>
      <c r="HC23" s="140">
        <f>HB23*100/$E$23</f>
        <v/>
      </c>
      <c r="HD23" s="133" t="n"/>
      <c r="HE23" s="140">
        <f>HD23*100/$E$23</f>
        <v/>
      </c>
      <c r="HF23" s="133" t="n"/>
      <c r="HG23" s="140">
        <f>HF23*100/$E$23</f>
        <v/>
      </c>
      <c r="HH23" s="133" t="n"/>
      <c r="HI23" s="140">
        <f>HH23*100/$E$23</f>
        <v/>
      </c>
      <c r="HJ23" s="133" t="n"/>
      <c r="HK23" s="140">
        <f>HJ23*100/$E$23</f>
        <v/>
      </c>
      <c r="HL23" s="133" t="n"/>
      <c r="HM23" s="140">
        <f>HL23*100/$E$23</f>
        <v/>
      </c>
      <c r="HN23" s="133" t="n"/>
      <c r="HO23" s="140">
        <f>HN23*100/$E$23</f>
        <v/>
      </c>
      <c r="HP23" s="133" t="n"/>
      <c r="HQ23" s="140">
        <f>HP23*100/$E$23</f>
        <v/>
      </c>
      <c r="HR23" s="133" t="n"/>
      <c r="HS23" s="140">
        <f>HR23*100/$E$23</f>
        <v/>
      </c>
      <c r="HT23" s="133" t="n"/>
      <c r="HU23" s="140">
        <f>HT23*100/$E$23</f>
        <v/>
      </c>
      <c r="HV23" s="133" t="n"/>
      <c r="HW23" s="140">
        <f>HV23*100/$E$23</f>
        <v/>
      </c>
      <c r="HX23" s="133" t="n"/>
      <c r="HY23" s="140">
        <f>HX23*100/$E$23</f>
        <v/>
      </c>
      <c r="HZ23" s="133" t="n"/>
      <c r="IA23" s="139">
        <f>HZ23*100/$E$23</f>
        <v/>
      </c>
      <c r="IB23" s="133" t="n"/>
      <c r="IC23" s="139">
        <f>IB23*100/$E$23</f>
        <v/>
      </c>
      <c r="ID23" s="133" t="n"/>
      <c r="IE23" s="139">
        <f>ID23*100/$E$23</f>
        <v/>
      </c>
      <c r="IF23" s="133" t="n"/>
      <c r="IG23" s="139">
        <f>IF23*100/$E$23</f>
        <v/>
      </c>
      <c r="IH23" s="133" t="n"/>
      <c r="II23" s="139">
        <f>IH23*100/$E$23</f>
        <v/>
      </c>
      <c r="IJ23" s="133" t="n"/>
      <c r="IK23" s="139">
        <f>IJ23*100/$E$23</f>
        <v/>
      </c>
      <c r="IL23" s="133" t="n"/>
      <c r="IM23" s="140">
        <f>IL23*100/$E$23</f>
        <v/>
      </c>
      <c r="IN23" s="133" t="n"/>
      <c r="IO23" s="140">
        <f>IN23*100/$E$23</f>
        <v/>
      </c>
      <c r="IP23" s="133" t="n"/>
      <c r="IQ23" s="139">
        <f>IP23*100/$E$23</f>
        <v/>
      </c>
      <c r="IR23" s="133" t="n"/>
      <c r="IS23" s="139">
        <f>IR23*100/$E$23</f>
        <v/>
      </c>
      <c r="IT23" s="133" t="n"/>
      <c r="IU23" s="139">
        <f>IT23*100/$E$23</f>
        <v/>
      </c>
      <c r="IV23" s="133" t="n"/>
      <c r="IW23" s="139">
        <f>IV23*100/$E$23</f>
        <v/>
      </c>
      <c r="IX23" s="133" t="n"/>
      <c r="IY23" s="139">
        <f>IX23*100/$E$23</f>
        <v/>
      </c>
      <c r="IZ23" s="133" t="n"/>
      <c r="JA23" s="139">
        <f>IZ23*100/$E$23</f>
        <v/>
      </c>
      <c r="JB23" s="133" t="n"/>
      <c r="JC23" s="139">
        <f>JB23*100/$E$23</f>
        <v/>
      </c>
      <c r="JD23" s="133" t="n"/>
      <c r="JE23" s="139">
        <f>JD23*100/$E$23</f>
        <v/>
      </c>
      <c r="JF23" s="133" t="n"/>
      <c r="JG23" s="139">
        <f>JF23*100/$E$23</f>
        <v/>
      </c>
      <c r="JH23" s="133" t="n"/>
      <c r="JI23" s="139">
        <f>JH23*100/$E$23</f>
        <v/>
      </c>
      <c r="JJ23" s="133" t="n"/>
      <c r="JK23" s="139">
        <f>JJ23*100/$E$23</f>
        <v/>
      </c>
      <c r="JL23" s="133" t="n"/>
      <c r="JM23" s="139">
        <f>JL23*100/$E$23</f>
        <v/>
      </c>
      <c r="JN23" s="133" t="n"/>
      <c r="JO23" s="139">
        <f>JN23*100/$E$23</f>
        <v/>
      </c>
      <c r="JP23" s="133" t="n"/>
      <c r="JQ23" s="139">
        <f>JP23*100/$E$23</f>
        <v/>
      </c>
      <c r="JR23" s="133" t="n"/>
      <c r="JS23" s="139">
        <f>JR23*100/$E$23</f>
        <v/>
      </c>
      <c r="JT23" s="133" t="n"/>
      <c r="JU23" s="139">
        <f>JT23*100/$E$23</f>
        <v/>
      </c>
      <c r="JV23" s="133" t="n"/>
      <c r="JW23" s="139">
        <f>JV23*100/$E$23</f>
        <v/>
      </c>
      <c r="JX23" s="133" t="n"/>
      <c r="JY23" s="139">
        <f>JX23*100/$E$23</f>
        <v/>
      </c>
      <c r="JZ23" s="183">
        <f>JN23+JP23+JR23+JT23+JV23+JX23</f>
        <v/>
      </c>
      <c r="KA23" s="184">
        <f>JO23+JQ23+JS23+JU23+JW23+JY23</f>
        <v/>
      </c>
      <c r="KB23" s="185">
        <f>H23+J23+L23+N23+P23+R23+T23+V23+X23+Z23+AB23+AD23+AF23+AH23+AJ23+AL23+AN23+AP23+AR23+AT23+AV23+AX23+AZ23+BB23+BD23+BF23+BH23+BJ23+BL23+BN23+BP23+BR23+BT23+BV23+BX23+BZ23+CB23+CD23+CF23+CH23+CZ23+DB23+DD23+DF23+DH23+DJ23+DL23+DN23+DP23+DR23+DT23+DV23+DX23+DZ23+EB23+ED23+EF23+EH23+EJ23+EL23+EN23+EP23+ER23+ET23+EV23+FN23+FP23+FR23+FT23+FV23+FX23+FZ23+GB23+GD23+GF23+GH23+GJ23+GL23+GN23+GP23+GR23+GT23+GV23+GX23+GZ23+HB23+HD23+HF23+HH23+HJ23+HL23+HN23+HP23+HR23+HT23+HV23+HX23+HZ23+IB23+ID23+IF23+IH23+IJ23+IL23+IN23+IP23+IR23+IT23+IV23+IX23+IZ23+JB23+JD23+JF23+JH23+JJ23+JL23+JZ23+CJ23+CL23+CN23+CP23+CR23+CT23+CV23+CX23+EX23+EZ23+FB23+FD23+FF23+FH23+FJ23+FL23</f>
        <v/>
      </c>
      <c r="KC23" s="186">
        <f>I23+K23+M23+O23+Q23+S23+U23+W23+Y23+AA23+AC23+AE23+AG23+AI23+AK23+AM23+AO23+AQ23+AS23+AU23+AW23+AY23+BA23+BC23+BE23+BG23+BI23+BK23+BM23+BO23+BQ23+BS23+BU23+BW23+BY23+CA23+CC23+CE23+CG23+CI23+DA23+DC23+DE23+DG23+DI23+DK23+DM23+DO23+DQ23+DS23+DU23+DW23+DY23+EA23+EC23+EE23+EG23+EI23+EK23+EM23+EO23+EQ23+ES23+EU23+EW23+FO23+FS23+FU23+FW23+FQ23+FY23+GA23+GC23+GE23+GG23+GI23+GK23+GM23+GO23+GQ23+GS23+GU23+GW23+GY23+HA23+HC23+HE23+HG23+HI23+HK23+HM23+HO23+HQ23+HS23+HU23+HW23+HY23+IA23+IC23+IE23+IG23+II23+IK23+IM23+IO23+IQ23+IS23+IU23+IW23+IY23+JA23+JC23+JE23+JG23+JI23+JK23+JM23+KA23+CK23+CM23+CO23+CQ23+CS23+CU23+CW23+CY23+EY23+FA23+FC23+FE23+FG23+FI23+FK23+FM23</f>
        <v/>
      </c>
      <c r="KD23" s="187">
        <f>JO23+JQ23+JS23+JU23+JW23+JY23</f>
        <v/>
      </c>
      <c r="KE23" s="188">
        <f>KB23=E23</f>
        <v/>
      </c>
      <c r="KF23" s="189">
        <f>E23-KB23</f>
        <v/>
      </c>
      <c r="KG23" s="230" t="n"/>
    </row>
    <row r="24" ht="21.75" customFormat="1" customHeight="1" s="215">
      <c r="A24" s="130">
        <f>A23+1</f>
        <v/>
      </c>
      <c r="B24" s="192" t="inlineStr">
        <is>
          <t>Кожемякин Е.А.</t>
        </is>
      </c>
      <c r="C24" s="176" t="inlineStr">
        <is>
          <t>сварщик</t>
        </is>
      </c>
      <c r="D24" s="177">
        <f>$D$5</f>
        <v/>
      </c>
      <c r="E24" s="202" t="n">
        <v>18</v>
      </c>
      <c r="F24" s="193" t="n">
        <v>67377.96000000001</v>
      </c>
      <c r="G24" s="179">
        <f>F24/D24</f>
        <v/>
      </c>
      <c r="H24" s="180" t="n"/>
      <c r="I24" s="139">
        <f>H24*100/$E$24</f>
        <v/>
      </c>
      <c r="J24" s="133" t="n"/>
      <c r="K24" s="139">
        <f>J24*100/$E$24</f>
        <v/>
      </c>
      <c r="L24" s="133" t="n"/>
      <c r="M24" s="139">
        <f>L24*100/$E$24</f>
        <v/>
      </c>
      <c r="N24" s="133" t="n"/>
      <c r="O24" s="139">
        <f>N24*100/$E$24</f>
        <v/>
      </c>
      <c r="P24" s="133" t="n"/>
      <c r="Q24" s="139">
        <f>P24*100/$E$24</f>
        <v/>
      </c>
      <c r="R24" s="133" t="n"/>
      <c r="S24" s="139">
        <f>R24*100/$E$24</f>
        <v/>
      </c>
      <c r="T24" s="133" t="n"/>
      <c r="U24" s="139">
        <f>T24*100/$E$24</f>
        <v/>
      </c>
      <c r="V24" s="133" t="n"/>
      <c r="W24" s="139">
        <f>V24*100/$E$24</f>
        <v/>
      </c>
      <c r="X24" s="133" t="n"/>
      <c r="Y24" s="139">
        <f>X24*100/$E$24</f>
        <v/>
      </c>
      <c r="Z24" s="133" t="n"/>
      <c r="AA24" s="139">
        <f>Z24*100/$E$24</f>
        <v/>
      </c>
      <c r="AB24" s="133" t="n"/>
      <c r="AC24" s="139">
        <f>AB24*100/$E$24</f>
        <v/>
      </c>
      <c r="AD24" s="133" t="n"/>
      <c r="AE24" s="139">
        <f>AD24*100/$E$24</f>
        <v/>
      </c>
      <c r="AF24" s="133" t="n"/>
      <c r="AG24" s="139">
        <f>AF24*100/$E$24</f>
        <v/>
      </c>
      <c r="AH24" s="133" t="n"/>
      <c r="AI24" s="139">
        <f>AH24*100/$E$24</f>
        <v/>
      </c>
      <c r="AJ24" s="133" t="n"/>
      <c r="AK24" s="139">
        <f>AJ24*100/$E$24</f>
        <v/>
      </c>
      <c r="AL24" s="133" t="n"/>
      <c r="AM24" s="139">
        <f>AL24*100/$E$24</f>
        <v/>
      </c>
      <c r="AN24" s="133" t="n"/>
      <c r="AO24" s="139">
        <f>AN24*100/$E$24</f>
        <v/>
      </c>
      <c r="AP24" s="133" t="n"/>
      <c r="AQ24" s="139">
        <f>AP24*100/$E$24</f>
        <v/>
      </c>
      <c r="AR24" s="133" t="n"/>
      <c r="AS24" s="139">
        <f>AR24*100/$E$24</f>
        <v/>
      </c>
      <c r="AT24" s="133" t="n"/>
      <c r="AU24" s="181">
        <f>AT24*100/$E$24</f>
        <v/>
      </c>
      <c r="AV24" s="133" t="n"/>
      <c r="AW24" s="139">
        <f>AV24*100/$E$24</f>
        <v/>
      </c>
      <c r="AX24" s="133" t="n"/>
      <c r="AY24" s="139">
        <f>AX24*100/$E$24</f>
        <v/>
      </c>
      <c r="AZ24" s="133" t="n"/>
      <c r="BA24" s="139">
        <f>AZ24*100/$E$24</f>
        <v/>
      </c>
      <c r="BB24" s="133" t="n"/>
      <c r="BC24" s="139">
        <f>BB24*100/$E$24</f>
        <v/>
      </c>
      <c r="BD24" s="133" t="n">
        <v>10</v>
      </c>
      <c r="BE24" s="139">
        <f>BD24*100/$E$24</f>
        <v/>
      </c>
      <c r="BF24" s="133" t="n"/>
      <c r="BG24" s="139">
        <f>BF24*100/$E$24</f>
        <v/>
      </c>
      <c r="BH24" s="133" t="n"/>
      <c r="BI24" s="139">
        <f>BH24*100/$E$24</f>
        <v/>
      </c>
      <c r="BJ24" s="133" t="n"/>
      <c r="BK24" s="139">
        <f>BJ24*100/$E$24</f>
        <v/>
      </c>
      <c r="BL24" s="133" t="n"/>
      <c r="BM24" s="139">
        <f>BL24*100/$E$24</f>
        <v/>
      </c>
      <c r="BN24" s="133" t="n"/>
      <c r="BO24" s="139">
        <f>BN24*100/$E$24</f>
        <v/>
      </c>
      <c r="BP24" s="133" t="n"/>
      <c r="BQ24" s="139">
        <f>BP24*100/$E$24</f>
        <v/>
      </c>
      <c r="BR24" s="133" t="n"/>
      <c r="BS24" s="139">
        <f>BR24*100/$E$24</f>
        <v/>
      </c>
      <c r="BT24" s="133" t="n"/>
      <c r="BU24" s="139">
        <f>BT24*100/$E$24</f>
        <v/>
      </c>
      <c r="BV24" s="133" t="n"/>
      <c r="BW24" s="139">
        <f>BV24*100/$E$24</f>
        <v/>
      </c>
      <c r="BX24" s="133" t="n"/>
      <c r="BY24" s="139">
        <f>BX24*100/$E$24</f>
        <v/>
      </c>
      <c r="BZ24" s="133" t="n"/>
      <c r="CA24" s="139">
        <f>BZ24*100/$E$24</f>
        <v/>
      </c>
      <c r="CB24" s="133" t="n"/>
      <c r="CC24" s="139">
        <f>CB24*100/$E$24</f>
        <v/>
      </c>
      <c r="CD24" s="133" t="n"/>
      <c r="CE24" s="139">
        <f>CD24*100/$E$24</f>
        <v/>
      </c>
      <c r="CF24" s="133" t="n"/>
      <c r="CG24" s="139">
        <f>CF24*100/$E$24</f>
        <v/>
      </c>
      <c r="CH24" s="133" t="n"/>
      <c r="CI24" s="139">
        <f>CH24*100/$E$24</f>
        <v/>
      </c>
      <c r="CJ24" s="133" t="n"/>
      <c r="CK24" s="139">
        <f>CJ24*100/$E$24</f>
        <v/>
      </c>
      <c r="CL24" s="133" t="n"/>
      <c r="CM24" s="139">
        <f>CL24*100/$E$24</f>
        <v/>
      </c>
      <c r="CN24" s="133" t="n"/>
      <c r="CO24" s="139">
        <f>CN24*100/$E$24</f>
        <v/>
      </c>
      <c r="CP24" s="133" t="n"/>
      <c r="CQ24" s="139">
        <f>CP24*100/$E$24</f>
        <v/>
      </c>
      <c r="CR24" s="133" t="n"/>
      <c r="CS24" s="139">
        <f>CR24*100/$E$24</f>
        <v/>
      </c>
      <c r="CT24" s="133" t="n"/>
      <c r="CU24" s="139">
        <f>CT24*100/$E$24</f>
        <v/>
      </c>
      <c r="CV24" s="133" t="n"/>
      <c r="CW24" s="139">
        <f>CV24*100/$E$24</f>
        <v/>
      </c>
      <c r="CX24" s="133" t="n"/>
      <c r="CY24" s="139">
        <f>CX24*100/$E$24</f>
        <v/>
      </c>
      <c r="CZ24" s="133" t="n"/>
      <c r="DA24" s="139">
        <f>CZ24*100/$E$24</f>
        <v/>
      </c>
      <c r="DB24" s="133" t="n"/>
      <c r="DC24" s="139">
        <f>DB24*100/$E$24</f>
        <v/>
      </c>
      <c r="DD24" s="133" t="n"/>
      <c r="DE24" s="139">
        <f>DD24*100/$E$24</f>
        <v/>
      </c>
      <c r="DF24" s="133" t="n"/>
      <c r="DG24" s="139">
        <f>DF24*100/$E$24</f>
        <v/>
      </c>
      <c r="DH24" s="133" t="n"/>
      <c r="DI24" s="139">
        <f>DH24*100/$E$24</f>
        <v/>
      </c>
      <c r="DJ24" s="133" t="n"/>
      <c r="DK24" s="139">
        <f>DJ24*100/$E$24</f>
        <v/>
      </c>
      <c r="DL24" s="133" t="n"/>
      <c r="DM24" s="139">
        <f>DL24*100/$E$24</f>
        <v/>
      </c>
      <c r="DN24" s="133" t="n"/>
      <c r="DO24" s="139">
        <f>DN24*100/$E$24</f>
        <v/>
      </c>
      <c r="DP24" s="133" t="n"/>
      <c r="DQ24" s="139">
        <f>DP24*100/$E$24</f>
        <v/>
      </c>
      <c r="DR24" s="133" t="n"/>
      <c r="DS24" s="139">
        <f>DR24*100/$E$24</f>
        <v/>
      </c>
      <c r="DT24" s="133" t="n"/>
      <c r="DU24" s="139">
        <f>DT24*100/$E$24</f>
        <v/>
      </c>
      <c r="DV24" s="133" t="n"/>
      <c r="DW24" s="139">
        <f>DV24*100/$E$24</f>
        <v/>
      </c>
      <c r="DX24" s="133" t="n"/>
      <c r="DY24" s="139">
        <f>DX24*100/$E$24</f>
        <v/>
      </c>
      <c r="DZ24" s="133" t="n"/>
      <c r="EA24" s="139">
        <f>DZ24*100/$E$24</f>
        <v/>
      </c>
      <c r="EB24" s="133" t="n"/>
      <c r="EC24" s="139">
        <f>EB24*100/$E$24</f>
        <v/>
      </c>
      <c r="ED24" s="133" t="n"/>
      <c r="EE24" s="139">
        <f>ED24*100/$E$24</f>
        <v/>
      </c>
      <c r="EF24" s="133" t="n"/>
      <c r="EG24" s="139">
        <f>EF24*100/$E$24</f>
        <v/>
      </c>
      <c r="EH24" s="133" t="n"/>
      <c r="EI24" s="139">
        <f>EH24*100/$E$24</f>
        <v/>
      </c>
      <c r="EJ24" s="133" t="n"/>
      <c r="EK24" s="139">
        <f>EJ24*100/$E$24</f>
        <v/>
      </c>
      <c r="EL24" s="133" t="n"/>
      <c r="EM24" s="139">
        <f>EL24*100/$E$24</f>
        <v/>
      </c>
      <c r="EN24" s="133" t="n"/>
      <c r="EO24" s="139">
        <f>EN24*100/$E$24</f>
        <v/>
      </c>
      <c r="EP24" s="133" t="n"/>
      <c r="EQ24" s="139">
        <f>EP24*100/$E$24</f>
        <v/>
      </c>
      <c r="ER24" s="133" t="n"/>
      <c r="ES24" s="139">
        <f>ER24*100/$E$24</f>
        <v/>
      </c>
      <c r="ET24" s="133" t="n"/>
      <c r="EU24" s="139">
        <f>ET24*100/$E$24</f>
        <v/>
      </c>
      <c r="EV24" s="133" t="n"/>
      <c r="EW24" s="139">
        <f>EV24*100/$E$24</f>
        <v/>
      </c>
      <c r="EX24" s="133" t="n"/>
      <c r="EY24" s="139">
        <f>EX24*100/$E$24</f>
        <v/>
      </c>
      <c r="EZ24" s="133" t="n"/>
      <c r="FA24" s="139">
        <f>EZ24*100/$E$24</f>
        <v/>
      </c>
      <c r="FB24" s="133" t="n"/>
      <c r="FC24" s="139">
        <f>FB24*100/$E$24</f>
        <v/>
      </c>
      <c r="FD24" s="133" t="n"/>
      <c r="FE24" s="139">
        <f>FD24*100/$E$24</f>
        <v/>
      </c>
      <c r="FF24" s="133" t="n"/>
      <c r="FG24" s="139">
        <f>FF24*100/$E$24</f>
        <v/>
      </c>
      <c r="FH24" s="133" t="n"/>
      <c r="FI24" s="139">
        <f>FH24*100/$E$24</f>
        <v/>
      </c>
      <c r="FJ24" s="133" t="n"/>
      <c r="FK24" s="139">
        <f>FJ24*100/$E$24</f>
        <v/>
      </c>
      <c r="FL24" s="133" t="n"/>
      <c r="FM24" s="139">
        <f>FL24*100/$E$24</f>
        <v/>
      </c>
      <c r="FN24" s="133" t="n"/>
      <c r="FO24" s="139">
        <f>FN24*100/$E$24</f>
        <v/>
      </c>
      <c r="FP24" s="133" t="n"/>
      <c r="FQ24" s="139">
        <f>FP24*100/$E$24</f>
        <v/>
      </c>
      <c r="FR24" s="133" t="n"/>
      <c r="FS24" s="139">
        <f>FR24*100/$E$24</f>
        <v/>
      </c>
      <c r="FT24" s="133" t="n"/>
      <c r="FU24" s="139">
        <f>FT24*100/$E$24</f>
        <v/>
      </c>
      <c r="FV24" s="133" t="n"/>
      <c r="FW24" s="139">
        <f>FV24*100/$E$24</f>
        <v/>
      </c>
      <c r="FX24" s="133" t="n"/>
      <c r="FY24" s="139">
        <f>FX24*100/$E$24</f>
        <v/>
      </c>
      <c r="FZ24" s="133" t="n"/>
      <c r="GA24" s="139">
        <f>FZ24*100/$E$24</f>
        <v/>
      </c>
      <c r="GB24" s="133" t="n"/>
      <c r="GC24" s="139">
        <f>GB24*100/$E$24</f>
        <v/>
      </c>
      <c r="GD24" s="133" t="n"/>
      <c r="GE24" s="139">
        <f>GD24*100/$E$24</f>
        <v/>
      </c>
      <c r="GF24" s="133" t="n"/>
      <c r="GG24" s="139">
        <f>GF24*100/$E$24</f>
        <v/>
      </c>
      <c r="GH24" s="133" t="n"/>
      <c r="GI24" s="139">
        <f>GH24*100/$E$24</f>
        <v/>
      </c>
      <c r="GJ24" s="133" t="n"/>
      <c r="GK24" s="139">
        <f>GJ24*100/$E$24</f>
        <v/>
      </c>
      <c r="GL24" s="133" t="n"/>
      <c r="GM24" s="139">
        <f>GL24*100/$E$24</f>
        <v/>
      </c>
      <c r="GN24" s="133" t="n"/>
      <c r="GO24" s="139">
        <f>GN24*100/$E$24</f>
        <v/>
      </c>
      <c r="GP24" s="133" t="n"/>
      <c r="GQ24" s="139">
        <f>GP24*100/$E$24</f>
        <v/>
      </c>
      <c r="GR24" s="133" t="n"/>
      <c r="GS24" s="139">
        <f>GR24*100/$E$24</f>
        <v/>
      </c>
      <c r="GT24" s="133" t="n"/>
      <c r="GU24" s="139">
        <f>GT24*100/$E$24</f>
        <v/>
      </c>
      <c r="GV24" s="133" t="n"/>
      <c r="GW24" s="139">
        <f>GV24*100/$E$24</f>
        <v/>
      </c>
      <c r="GX24" s="133" t="n"/>
      <c r="GY24" s="139">
        <f>GX24*100/$E$24</f>
        <v/>
      </c>
      <c r="GZ24" s="133" t="n"/>
      <c r="HA24" s="139">
        <f>GZ24*100/$E$24</f>
        <v/>
      </c>
      <c r="HB24" s="133" t="n"/>
      <c r="HC24" s="139">
        <f>HB24*100/$E$24</f>
        <v/>
      </c>
      <c r="HD24" s="133" t="n"/>
      <c r="HE24" s="139">
        <f>HD24*100/$E$24</f>
        <v/>
      </c>
      <c r="HF24" s="133" t="n"/>
      <c r="HG24" s="139">
        <f>HF24*100/$E$24</f>
        <v/>
      </c>
      <c r="HH24" s="133" t="n"/>
      <c r="HI24" s="139">
        <f>HH24*100/$E$24</f>
        <v/>
      </c>
      <c r="HJ24" s="133" t="n"/>
      <c r="HK24" s="139">
        <f>HJ24*100/$E$24</f>
        <v/>
      </c>
      <c r="HL24" s="133" t="n"/>
      <c r="HM24" s="139">
        <f>HL24*100/$E$24</f>
        <v/>
      </c>
      <c r="HN24" s="133" t="n"/>
      <c r="HO24" s="139">
        <f>HN24*100/$E$24</f>
        <v/>
      </c>
      <c r="HP24" s="133" t="n"/>
      <c r="HQ24" s="139">
        <f>HP24*100/$E$24</f>
        <v/>
      </c>
      <c r="HR24" s="133" t="n"/>
      <c r="HS24" s="139">
        <f>HR24*100/$E$24</f>
        <v/>
      </c>
      <c r="HT24" s="133" t="n"/>
      <c r="HU24" s="139">
        <f>HT24*100/$E$24</f>
        <v/>
      </c>
      <c r="HV24" s="133" t="n"/>
      <c r="HW24" s="139">
        <f>HV24*100/$E$24</f>
        <v/>
      </c>
      <c r="HX24" s="133" t="n"/>
      <c r="HY24" s="139">
        <f>HX24*100/$E$24</f>
        <v/>
      </c>
      <c r="HZ24" s="133" t="n"/>
      <c r="IA24" s="139">
        <f>HZ24*100/$E$24</f>
        <v/>
      </c>
      <c r="IB24" s="133" t="n"/>
      <c r="IC24" s="139">
        <f>IB24*100/$E$24</f>
        <v/>
      </c>
      <c r="ID24" s="133" t="n"/>
      <c r="IE24" s="139">
        <f>ID24*100/$E$24</f>
        <v/>
      </c>
      <c r="IF24" s="133" t="n"/>
      <c r="IG24" s="139">
        <f>IF24*100/$E$24</f>
        <v/>
      </c>
      <c r="IH24" s="133" t="n"/>
      <c r="II24" s="139">
        <f>IH24*100/$E$24</f>
        <v/>
      </c>
      <c r="IJ24" s="133" t="n"/>
      <c r="IK24" s="139">
        <f>IJ24*100/$E$24</f>
        <v/>
      </c>
      <c r="IL24" s="133" t="n"/>
      <c r="IM24" s="139">
        <f>IL24*100/$E$24</f>
        <v/>
      </c>
      <c r="IN24" s="133" t="n"/>
      <c r="IO24" s="139">
        <f>IN24*100/$E$24</f>
        <v/>
      </c>
      <c r="IP24" s="133" t="n"/>
      <c r="IQ24" s="139">
        <f>IP24*100/$E$24</f>
        <v/>
      </c>
      <c r="IR24" s="133" t="n"/>
      <c r="IS24" s="139">
        <f>IR24*100/$E$24</f>
        <v/>
      </c>
      <c r="IT24" s="133" t="n"/>
      <c r="IU24" s="139">
        <f>IT24*100/$E$24</f>
        <v/>
      </c>
      <c r="IV24" s="133" t="n"/>
      <c r="IW24" s="139">
        <f>IV24*100/$E$24</f>
        <v/>
      </c>
      <c r="IX24" s="133" t="n"/>
      <c r="IY24" s="139">
        <f>IX24*100/$E$24</f>
        <v/>
      </c>
      <c r="IZ24" s="133" t="n"/>
      <c r="JA24" s="139">
        <f>IZ24*100/$E$24</f>
        <v/>
      </c>
      <c r="JB24" s="133" t="n"/>
      <c r="JC24" s="139">
        <f>JB24*100/$E$24</f>
        <v/>
      </c>
      <c r="JD24" s="133" t="n"/>
      <c r="JE24" s="139">
        <f>JD24*100/$E$24</f>
        <v/>
      </c>
      <c r="JF24" s="133" t="n"/>
      <c r="JG24" s="139">
        <f>JF24*100/$E$24</f>
        <v/>
      </c>
      <c r="JH24" s="133" t="n"/>
      <c r="JI24" s="139">
        <f>JH24*100/$E$24</f>
        <v/>
      </c>
      <c r="JJ24" s="133" t="n"/>
      <c r="JK24" s="139">
        <f>JJ24*100/$E$24</f>
        <v/>
      </c>
      <c r="JL24" s="133" t="n"/>
      <c r="JM24" s="139">
        <f>JL24*100/$E$24</f>
        <v/>
      </c>
      <c r="JN24" s="133" t="n">
        <v>8</v>
      </c>
      <c r="JO24" s="139">
        <f>JN24*100/$E$24</f>
        <v/>
      </c>
      <c r="JP24" s="133" t="n"/>
      <c r="JQ24" s="139">
        <f>JP24*100/$E$24</f>
        <v/>
      </c>
      <c r="JR24" s="133" t="n"/>
      <c r="JS24" s="139">
        <f>JR24*100/$E$24</f>
        <v/>
      </c>
      <c r="JT24" s="133" t="n"/>
      <c r="JU24" s="139">
        <f>JT24*100/$E$24</f>
        <v/>
      </c>
      <c r="JV24" s="133" t="n"/>
      <c r="JW24" s="139">
        <f>JV24*100/$E$24</f>
        <v/>
      </c>
      <c r="JX24" s="133" t="n"/>
      <c r="JY24" s="139">
        <f>JX24*100/$E$24</f>
        <v/>
      </c>
      <c r="JZ24" s="183">
        <f>JN24+JP24+JR24+JT24+JV24+JX24</f>
        <v/>
      </c>
      <c r="KA24" s="184">
        <f>JO24+JQ24+JS24+JU24+JW24+JY24</f>
        <v/>
      </c>
      <c r="KB24" s="185">
        <f>H24+J24+L24+N24+P24+R24+T24+V24+X24+Z24+AB24+AD24+AF24+AH24+AJ24+AL24+AN24+AP24+AR24+AT24+AV24+AX24+AZ24+BB24+BD24+BF24+BH24+BJ24+BL24+BN24+BP24+BR24+BT24+BV24+BX24+BZ24+CB24+CD24+CF24+CH24+CZ24+DB24+DD24+DF24+DH24+DJ24+DL24+DN24+DP24+DR24+DT24+DV24+DX24+DZ24+EB24+ED24+EF24+EH24+EJ24+EL24+EN24+EP24+ER24+ET24+EV24+FN24+FP24+FR24+FT24+FV24+FX24+FZ24+GB24+GD24+GF24+GH24+GJ24+GL24+GN24+GP24+GR24+GT24+GV24+GX24+GZ24+HB24+HD24+HF24+HH24+HJ24+HL24+HN24+HP24+HR24+HT24+HV24+HX24+HZ24+IB24+ID24+IF24+IH24+IJ24+IL24+IN24+IP24+IR24+IT24+IV24+IX24+IZ24+JB24+JD24+JF24+JH24+JJ24+JL24+JZ24+CJ24+CL24+CN24+CP24+CR24+CT24+CV24+CX24+EX24+EZ24+FB24+FD24+FF24+FH24+FJ24+FL24</f>
        <v/>
      </c>
      <c r="KC24" s="186">
        <f>I24+K24+M24+O24+Q24+S24+U24+W24+Y24+AA24+AC24+AE24+AG24+AI24+AK24+AM24+AO24+AQ24+AS24+AU24+AW24+AY24+BA24+BC24+BE24+BG24+BI24+BK24+BM24+BO24+BQ24+BS24+BU24+BW24+BY24+CA24+CC24+CE24+CG24+CI24+DA24+DC24+DE24+DG24+DI24+DK24+DM24+DO24+DQ24+DS24+DU24+DW24+DY24+EA24+EC24+EE24+EG24+EI24+EK24+EM24+EO24+EQ24+ES24+EU24+EW24+FO24+FS24+FU24+FW24+FQ24+FY24+GA24+GC24+GE24+GG24+GI24+GK24+GM24+GO24+GQ24+GS24+GU24+GW24+GY24+HA24+HC24+HE24+HG24+HI24+HK24+HM24+HO24+HQ24+HS24+HU24+HW24+HY24+IA24+IC24+IE24+IG24+II24+IK24+IM24+IO24+IQ24+IS24+IU24+IW24+IY24+JA24+JC24+JE24+JG24+JI24+JK24+JM24+KA24+CK24+CM24+CO24+CQ24+CS24+CU24+CW24+CY24+EY24+FA24+FC24+FE24+FG24+FI24+FK24+FM24</f>
        <v/>
      </c>
      <c r="KD24" s="187">
        <f>JO24+JQ24+JS24+JU24+JW24+JY24</f>
        <v/>
      </c>
      <c r="KE24" s="188">
        <f>KB24=E24</f>
        <v/>
      </c>
      <c r="KF24" s="189">
        <f>E24-KB24</f>
        <v/>
      </c>
      <c r="KG24" s="231" t="n"/>
    </row>
    <row r="25" ht="21.75" customFormat="1" customHeight="1" s="236">
      <c r="A25" s="130">
        <f>A24+1</f>
        <v/>
      </c>
      <c r="B25" s="175" t="inlineStr">
        <is>
          <t>Корюков А.А.</t>
        </is>
      </c>
      <c r="C25" s="176" t="inlineStr">
        <is>
          <t>токарь</t>
        </is>
      </c>
      <c r="D25" s="177">
        <f>$D$5</f>
        <v/>
      </c>
      <c r="E25" s="202" t="n">
        <v>188</v>
      </c>
      <c r="F25" s="193" t="n">
        <v>172414.02</v>
      </c>
      <c r="G25" s="179">
        <f>F25/D25</f>
        <v/>
      </c>
      <c r="H25" s="180" t="n"/>
      <c r="I25" s="140">
        <f>H25*100/$E$25</f>
        <v/>
      </c>
      <c r="J25" s="133" t="n"/>
      <c r="K25" s="140">
        <f>J25*100/$E$25</f>
        <v/>
      </c>
      <c r="L25" s="133" t="n"/>
      <c r="M25" s="140">
        <f>L25*100/$E$25</f>
        <v/>
      </c>
      <c r="N25" s="133" t="n"/>
      <c r="O25" s="140">
        <f>N25*100/$E$25</f>
        <v/>
      </c>
      <c r="P25" s="133" t="n"/>
      <c r="Q25" s="139">
        <f>P25*100/$E$25</f>
        <v/>
      </c>
      <c r="R25" s="133" t="n"/>
      <c r="S25" s="139">
        <f>R25*100/$E$25</f>
        <v/>
      </c>
      <c r="T25" s="133" t="n"/>
      <c r="U25" s="140">
        <f>T25*100/$E$25</f>
        <v/>
      </c>
      <c r="V25" s="133" t="n"/>
      <c r="W25" s="140">
        <f>V25*100/$E$25</f>
        <v/>
      </c>
      <c r="X25" s="133" t="n"/>
      <c r="Y25" s="140">
        <f>X25*100/$E$25</f>
        <v/>
      </c>
      <c r="Z25" s="133" t="n"/>
      <c r="AA25" s="140">
        <f>Z25*100/$E$25</f>
        <v/>
      </c>
      <c r="AB25" s="133">
        <f>12+2</f>
        <v/>
      </c>
      <c r="AC25" s="140">
        <f>AB25*100/$E$25</f>
        <v/>
      </c>
      <c r="AD25" s="133" t="n"/>
      <c r="AE25" s="139">
        <f>AD25*100/$E$25</f>
        <v/>
      </c>
      <c r="AF25" s="133" t="n"/>
      <c r="AG25" s="139">
        <f>AF25*100/$E$25</f>
        <v/>
      </c>
      <c r="AH25" s="133" t="n"/>
      <c r="AI25" s="140">
        <f>AH25*100/$E$25</f>
        <v/>
      </c>
      <c r="AJ25" s="133" t="n"/>
      <c r="AK25" s="140">
        <f>AJ25*100/$E$25</f>
        <v/>
      </c>
      <c r="AL25" s="133" t="n"/>
      <c r="AM25" s="140">
        <f>AL25*100/$E$25</f>
        <v/>
      </c>
      <c r="AN25" s="133" t="n"/>
      <c r="AO25" s="140">
        <f>AN25*100/$E$25</f>
        <v/>
      </c>
      <c r="AP25" s="133" t="n"/>
      <c r="AQ25" s="140">
        <f>AP25*100/$E$25</f>
        <v/>
      </c>
      <c r="AR25" s="133" t="n"/>
      <c r="AS25" s="140">
        <f>AR25*100/$E$25</f>
        <v/>
      </c>
      <c r="AT25" s="133" t="n"/>
      <c r="AU25" s="181">
        <f>AT25*100/$E$25</f>
        <v/>
      </c>
      <c r="AV25" s="133" t="n">
        <v>5</v>
      </c>
      <c r="AW25" s="140">
        <f>AV25*100/$E$25</f>
        <v/>
      </c>
      <c r="AX25" s="133" t="n"/>
      <c r="AY25" s="140">
        <f>AX25*100/$E$25</f>
        <v/>
      </c>
      <c r="AZ25" s="133" t="n"/>
      <c r="BA25" s="140">
        <f>AZ25*100/$E$25</f>
        <v/>
      </c>
      <c r="BB25" s="133">
        <f>10+4+1</f>
        <v/>
      </c>
      <c r="BC25" s="140">
        <f>BB25*100/$E$25</f>
        <v/>
      </c>
      <c r="BD25" s="133" t="n"/>
      <c r="BE25" s="140">
        <f>BD25*100/$E$25</f>
        <v/>
      </c>
      <c r="BF25" s="133" t="n"/>
      <c r="BG25" s="140">
        <f>BF25*100/$E$25</f>
        <v/>
      </c>
      <c r="BH25" s="133" t="n"/>
      <c r="BI25" s="140">
        <f>BH25*100/$E$25</f>
        <v/>
      </c>
      <c r="BJ25" s="133" t="n"/>
      <c r="BK25" s="140">
        <f>BJ25*100/$E$25</f>
        <v/>
      </c>
      <c r="BL25" s="133" t="n"/>
      <c r="BM25" s="140">
        <f>BL25*100/$E$25</f>
        <v/>
      </c>
      <c r="BN25" s="133" t="n"/>
      <c r="BO25" s="140">
        <f>BN25*100/$E$25</f>
        <v/>
      </c>
      <c r="BP25" s="133" t="n"/>
      <c r="BQ25" s="140">
        <f>BP25*100/$E$25</f>
        <v/>
      </c>
      <c r="BR25" s="133" t="n"/>
      <c r="BS25" s="140">
        <f>BR25*100/$E$25</f>
        <v/>
      </c>
      <c r="BT25" s="133" t="n"/>
      <c r="BU25" s="140">
        <f>BT25*100/$E$25</f>
        <v/>
      </c>
      <c r="BV25" s="133" t="n"/>
      <c r="BW25" s="140">
        <f>BV25*100/$E$25</f>
        <v/>
      </c>
      <c r="BX25" s="133" t="n"/>
      <c r="BY25" s="140">
        <f>BX25*100/$E$25</f>
        <v/>
      </c>
      <c r="BZ25" s="133" t="n"/>
      <c r="CA25" s="140">
        <f>BZ25*100/$E$25</f>
        <v/>
      </c>
      <c r="CB25" s="133" t="n"/>
      <c r="CC25" s="140">
        <f>CB25*100/$E$25</f>
        <v/>
      </c>
      <c r="CD25" s="133" t="n"/>
      <c r="CE25" s="140">
        <f>CD25*100/$E$25</f>
        <v/>
      </c>
      <c r="CF25" s="133" t="n"/>
      <c r="CG25" s="140">
        <f>CF25*100/$E$25</f>
        <v/>
      </c>
      <c r="CH25" s="133" t="n"/>
      <c r="CI25" s="140">
        <f>CH25*100/$E$25</f>
        <v/>
      </c>
      <c r="CJ25" s="133" t="n"/>
      <c r="CK25" s="140">
        <f>CJ25*100/$E$25</f>
        <v/>
      </c>
      <c r="CL25" s="133" t="n"/>
      <c r="CM25" s="140">
        <f>CL25*100/$E$25</f>
        <v/>
      </c>
      <c r="CN25" s="133" t="n"/>
      <c r="CO25" s="139">
        <f>CN25*100/$E$25</f>
        <v/>
      </c>
      <c r="CP25" s="133" t="n"/>
      <c r="CQ25" s="140">
        <f>CP25*100/$E$25</f>
        <v/>
      </c>
      <c r="CR25" s="133" t="n"/>
      <c r="CS25" s="139">
        <f>CR25*100/$E$25</f>
        <v/>
      </c>
      <c r="CT25" s="133" t="n"/>
      <c r="CU25" s="139">
        <f>CT25*100/$E$25</f>
        <v/>
      </c>
      <c r="CV25" s="133" t="n"/>
      <c r="CW25" s="139">
        <f>CV25*100/$E$25</f>
        <v/>
      </c>
      <c r="CX25" s="133" t="n"/>
      <c r="CY25" s="139">
        <f>CX25*100/$E$25</f>
        <v/>
      </c>
      <c r="CZ25" s="133" t="n"/>
      <c r="DA25" s="139">
        <f>CZ25*100/$E$25</f>
        <v/>
      </c>
      <c r="DB25" s="133" t="n"/>
      <c r="DC25" s="139">
        <f>DB25*100/$E$25</f>
        <v/>
      </c>
      <c r="DD25" s="133" t="n"/>
      <c r="DE25" s="139">
        <f>DD25*100/$E$25</f>
        <v/>
      </c>
      <c r="DF25" s="133" t="n"/>
      <c r="DG25" s="139">
        <f>DF25*100/$E$25</f>
        <v/>
      </c>
      <c r="DH25" s="133" t="n"/>
      <c r="DI25" s="139">
        <f>DH25*100/$E$25</f>
        <v/>
      </c>
      <c r="DJ25" s="133" t="n"/>
      <c r="DK25" s="139">
        <f>DJ25*100/$E$25</f>
        <v/>
      </c>
      <c r="DL25" s="133" t="n"/>
      <c r="DM25" s="139">
        <f>DL25*100/$E$25</f>
        <v/>
      </c>
      <c r="DN25" s="133" t="n"/>
      <c r="DO25" s="139">
        <f>DN25*100/$E$25</f>
        <v/>
      </c>
      <c r="DP25" s="133" t="n">
        <v>11</v>
      </c>
      <c r="DQ25" s="139">
        <f>DP25*100/$E$25</f>
        <v/>
      </c>
      <c r="DR25" s="133" t="n"/>
      <c r="DS25" s="139">
        <f>DR25*100/$E$25</f>
        <v/>
      </c>
      <c r="DT25" s="133" t="n"/>
      <c r="DU25" s="139">
        <f>DT25*100/$E$25</f>
        <v/>
      </c>
      <c r="DV25" s="133" t="n"/>
      <c r="DW25" s="139">
        <f>DV25*100/$E$25</f>
        <v/>
      </c>
      <c r="DX25" s="133" t="n"/>
      <c r="DY25" s="139">
        <f>DX25*100/$E$25</f>
        <v/>
      </c>
      <c r="DZ25" s="133" t="n"/>
      <c r="EA25" s="139">
        <f>DZ25*100/$E$25</f>
        <v/>
      </c>
      <c r="EB25" s="133" t="n"/>
      <c r="EC25" s="139">
        <f>EB25*100/$E$25</f>
        <v/>
      </c>
      <c r="ED25" s="133" t="n"/>
      <c r="EE25" s="139">
        <f>ED25*100/$E$25</f>
        <v/>
      </c>
      <c r="EF25" s="133" t="n"/>
      <c r="EG25" s="139">
        <f>EF25*100/$E$25</f>
        <v/>
      </c>
      <c r="EH25" s="133" t="n">
        <v>8</v>
      </c>
      <c r="EI25" s="139">
        <f>EH25*100/$E$25</f>
        <v/>
      </c>
      <c r="EJ25" s="133" t="n"/>
      <c r="EK25" s="139">
        <f>EJ25*100/$E$25</f>
        <v/>
      </c>
      <c r="EL25" s="133">
        <f>12+3+8</f>
        <v/>
      </c>
      <c r="EM25" s="139">
        <f>EL25*100/$E$25</f>
        <v/>
      </c>
      <c r="EN25" s="133" t="n"/>
      <c r="EO25" s="139">
        <f>EN25*100/$E$25</f>
        <v/>
      </c>
      <c r="EP25" s="133" t="n"/>
      <c r="EQ25" s="139">
        <f>EP25*100/$E$25</f>
        <v/>
      </c>
      <c r="ER25" s="133" t="n"/>
      <c r="ES25" s="139">
        <f>ER25*100/$E$25</f>
        <v/>
      </c>
      <c r="ET25" s="133" t="n"/>
      <c r="EU25" s="139">
        <f>ET25*100/$E$25</f>
        <v/>
      </c>
      <c r="EV25" s="133" t="n"/>
      <c r="EW25" s="139">
        <f>EV25*100/$E$25</f>
        <v/>
      </c>
      <c r="EX25" s="133" t="n"/>
      <c r="EY25" s="139">
        <f>EX25*100/$E$25</f>
        <v/>
      </c>
      <c r="EZ25" s="133" t="n"/>
      <c r="FA25" s="139">
        <f>EZ25*100/$E$25</f>
        <v/>
      </c>
      <c r="FB25" s="133" t="n"/>
      <c r="FC25" s="139">
        <f>FB25*100/$E$25</f>
        <v/>
      </c>
      <c r="FD25" s="133" t="n"/>
      <c r="FE25" s="139">
        <f>FD25*100/$E$25</f>
        <v/>
      </c>
      <c r="FF25" s="133" t="n"/>
      <c r="FG25" s="139">
        <f>FF25*100/$E$25</f>
        <v/>
      </c>
      <c r="FH25" s="133" t="n"/>
      <c r="FI25" s="139">
        <f>FH25*100/$E$25</f>
        <v/>
      </c>
      <c r="FJ25" s="133" t="n"/>
      <c r="FK25" s="139">
        <f>FJ25*100/$E$25</f>
        <v/>
      </c>
      <c r="FL25" s="133" t="n"/>
      <c r="FM25" s="139">
        <f>FL25*100/$E$25</f>
        <v/>
      </c>
      <c r="FN25" s="133" t="n">
        <v>4</v>
      </c>
      <c r="FO25" s="139">
        <f>FN25*100/$E$25</f>
        <v/>
      </c>
      <c r="FP25" s="133" t="n"/>
      <c r="FQ25" s="139">
        <f>FP25*100/$E$25</f>
        <v/>
      </c>
      <c r="FR25" s="133" t="n"/>
      <c r="FS25" s="139">
        <f>FR25*100/$E$25</f>
        <v/>
      </c>
      <c r="FT25" s="133">
        <f>12+12+12+9+12+12+12+15+4</f>
        <v/>
      </c>
      <c r="FU25" s="139">
        <f>FT25*100/$E$25</f>
        <v/>
      </c>
      <c r="FV25" s="133" t="n"/>
      <c r="FW25" s="139">
        <f>FV25*100/$E$25</f>
        <v/>
      </c>
      <c r="FX25" s="133" t="n"/>
      <c r="FY25" s="140">
        <f>FX25*100/$E$25</f>
        <v/>
      </c>
      <c r="FZ25" s="133" t="n"/>
      <c r="GA25" s="140">
        <f>FZ25*100/$E$25</f>
        <v/>
      </c>
      <c r="GB25" s="133" t="n"/>
      <c r="GC25" s="140">
        <f>GB25*100/$E$25</f>
        <v/>
      </c>
      <c r="GD25" s="133" t="n"/>
      <c r="GE25" s="140">
        <f>GD25*100/$E$25</f>
        <v/>
      </c>
      <c r="GF25" s="133" t="n"/>
      <c r="GG25" s="140">
        <f>GF25*100/$E$25</f>
        <v/>
      </c>
      <c r="GH25" s="133" t="n"/>
      <c r="GI25" s="140">
        <f>GH25*100/$E$25</f>
        <v/>
      </c>
      <c r="GJ25" s="133" t="n"/>
      <c r="GK25" s="139">
        <f>GJ25*100/$E$25</f>
        <v/>
      </c>
      <c r="GL25" s="133" t="n"/>
      <c r="GM25" s="140">
        <f>GL25*100/$E$25</f>
        <v/>
      </c>
      <c r="GN25" s="133" t="n"/>
      <c r="GO25" s="139">
        <f>GN25*100/$E$25</f>
        <v/>
      </c>
      <c r="GP25" s="133" t="n">
        <v>8</v>
      </c>
      <c r="GQ25" s="140">
        <f>GP25*100/$E$25</f>
        <v/>
      </c>
      <c r="GR25" s="133" t="n"/>
      <c r="GS25" s="139">
        <f>GR25*100/$E$25</f>
        <v/>
      </c>
      <c r="GT25" s="133" t="n"/>
      <c r="GU25" s="139">
        <f>GT25*100/$E$25</f>
        <v/>
      </c>
      <c r="GV25" s="133" t="n"/>
      <c r="GW25" s="139">
        <f>GV25*100/$E$25</f>
        <v/>
      </c>
      <c r="GX25" s="133" t="n"/>
      <c r="GY25" s="140">
        <f>GX25*100/$E$25</f>
        <v/>
      </c>
      <c r="GZ25" s="133" t="n"/>
      <c r="HA25" s="140">
        <f>GZ25*100/$E$25</f>
        <v/>
      </c>
      <c r="HB25" s="133" t="n"/>
      <c r="HC25" s="140">
        <f>HB25*100/$E$25</f>
        <v/>
      </c>
      <c r="HD25" s="133" t="n"/>
      <c r="HE25" s="140">
        <f>HD25*100/$E$25</f>
        <v/>
      </c>
      <c r="HF25" s="133" t="n"/>
      <c r="HG25" s="140">
        <f>HF25*100/$E$25</f>
        <v/>
      </c>
      <c r="HH25" s="133" t="n"/>
      <c r="HI25" s="140">
        <f>HH25*100/$E$25</f>
        <v/>
      </c>
      <c r="HJ25" s="133" t="n"/>
      <c r="HK25" s="140">
        <f>HJ25*100/$E$25</f>
        <v/>
      </c>
      <c r="HL25" s="133" t="n"/>
      <c r="HM25" s="140">
        <f>HL25*100/$E$25</f>
        <v/>
      </c>
      <c r="HN25" s="133" t="n"/>
      <c r="HO25" s="140">
        <f>HN25*100/$E$25</f>
        <v/>
      </c>
      <c r="HP25" s="133" t="n"/>
      <c r="HQ25" s="140">
        <f>HP25*100/$E$25</f>
        <v/>
      </c>
      <c r="HR25" s="133" t="n"/>
      <c r="HS25" s="140">
        <f>HR25*100/$E$25</f>
        <v/>
      </c>
      <c r="HT25" s="133" t="n"/>
      <c r="HU25" s="140">
        <f>HT25*100/$E$25</f>
        <v/>
      </c>
      <c r="HV25" s="133" t="n"/>
      <c r="HW25" s="140">
        <f>HV25*100/$E$25</f>
        <v/>
      </c>
      <c r="HX25" s="133" t="n"/>
      <c r="HY25" s="140">
        <f>HX25*100/$E$25</f>
        <v/>
      </c>
      <c r="HZ25" s="133" t="n"/>
      <c r="IA25" s="139">
        <f>HZ25*100/$E$25</f>
        <v/>
      </c>
      <c r="IB25" s="133" t="n"/>
      <c r="IC25" s="139">
        <f>IB25*100/$E$25</f>
        <v/>
      </c>
      <c r="ID25" s="133" t="n"/>
      <c r="IE25" s="139">
        <f>ID25*100/$E$25</f>
        <v/>
      </c>
      <c r="IF25" s="133" t="n"/>
      <c r="IG25" s="139">
        <f>IF25*100/$E$25</f>
        <v/>
      </c>
      <c r="IH25" s="133" t="n"/>
      <c r="II25" s="139">
        <f>IH25*100/$E$25</f>
        <v/>
      </c>
      <c r="IJ25" s="133" t="n"/>
      <c r="IK25" s="139">
        <f>IJ25*100/$E$25</f>
        <v/>
      </c>
      <c r="IL25" s="133" t="n"/>
      <c r="IM25" s="140">
        <f>IL25*100/$E$25</f>
        <v/>
      </c>
      <c r="IN25" s="133" t="n"/>
      <c r="IO25" s="140">
        <f>IN25*100/$E$25</f>
        <v/>
      </c>
      <c r="IP25" s="133" t="n"/>
      <c r="IQ25" s="139">
        <f>IP25*100/$E$25</f>
        <v/>
      </c>
      <c r="IR25" s="133" t="n"/>
      <c r="IS25" s="139">
        <f>IR25*100/$E$25</f>
        <v/>
      </c>
      <c r="IT25" s="133" t="n"/>
      <c r="IU25" s="139">
        <f>IT25*100/$E$25</f>
        <v/>
      </c>
      <c r="IV25" s="133" t="n"/>
      <c r="IW25" s="139">
        <f>IV25*100/$E$25</f>
        <v/>
      </c>
      <c r="IX25" s="133" t="n"/>
      <c r="IY25" s="139">
        <f>IX25*100/$E$25</f>
        <v/>
      </c>
      <c r="IZ25" s="133" t="n"/>
      <c r="JA25" s="139">
        <f>IZ25*100/$E$25</f>
        <v/>
      </c>
      <c r="JB25" s="133" t="n"/>
      <c r="JC25" s="139">
        <f>JB25*100/$E$25</f>
        <v/>
      </c>
      <c r="JD25" s="133" t="n"/>
      <c r="JE25" s="139">
        <f>JD25*100/$E$25</f>
        <v/>
      </c>
      <c r="JF25" s="133" t="n"/>
      <c r="JG25" s="139">
        <f>JF25*100/$E$25</f>
        <v/>
      </c>
      <c r="JH25" s="133" t="n"/>
      <c r="JI25" s="139">
        <f>JH25*100/$E$25</f>
        <v/>
      </c>
      <c r="JJ25" s="133" t="n"/>
      <c r="JK25" s="139">
        <f>JJ25*100/$E$25</f>
        <v/>
      </c>
      <c r="JL25" s="133" t="n"/>
      <c r="JM25" s="139">
        <f>JL25*100/$E$25</f>
        <v/>
      </c>
      <c r="JN25" s="133" t="n"/>
      <c r="JO25" s="139">
        <f>JN25*100/$E$25</f>
        <v/>
      </c>
      <c r="JP25" s="133" t="n"/>
      <c r="JQ25" s="139">
        <f>JP25*100/$E$25</f>
        <v/>
      </c>
      <c r="JR25" s="133" t="n"/>
      <c r="JS25" s="139">
        <f>JR25*100/$E$25</f>
        <v/>
      </c>
      <c r="JT25" s="133" t="n"/>
      <c r="JU25" s="139">
        <f>JT25*100/$E$25</f>
        <v/>
      </c>
      <c r="JV25" s="133" t="n"/>
      <c r="JW25" s="139">
        <f>JV25*100/$E$25</f>
        <v/>
      </c>
      <c r="JX25" s="133" t="n"/>
      <c r="JY25" s="139">
        <f>JX25*100/$E$25</f>
        <v/>
      </c>
      <c r="JZ25" s="183">
        <f>JN25+JP25+JR25+JT25+JV25+JX25</f>
        <v/>
      </c>
      <c r="KA25" s="184">
        <f>JO25+JQ25+JS25+JU25+JW25+JY25</f>
        <v/>
      </c>
      <c r="KB25" s="185">
        <f>H25+J25+L25+N25+P25+R25+T25+V25+X25+Z25+AB25+AD25+AF25+AH25+AJ25+AL25+AN25+AP25+AR25+AT25+AV25+AX25+AZ25+BB25+BD25+BF25+BH25+BJ25+BL25+BN25+BP25+BR25+BT25+BV25+BX25+BZ25+CB25+CD25+CF25+CH25+CZ25+DB25+DD25+DF25+DH25+DJ25+DL25+DN25+DP25+DR25+DT25+DV25+DX25+DZ25+EB25+ED25+EF25+EH25+EJ25+EL25+EN25+EP25+ER25+ET25+EV25+FN25+FP25+FR25+FT25+FV25+FX25+FZ25+GB25+GD25+GF25+GH25+GJ25+GL25+GN25+GP25+GR25+GT25+GV25+GX25+GZ25+HB25+HD25+HF25+HH25+HJ25+HL25+HN25+HP25+HR25+HT25+HV25+HX25+HZ25+IB25+ID25+IF25+IH25+IJ25+IL25+IN25+IP25+IR25+IT25+IV25+IX25+IZ25+JB25+JD25+JF25+JH25+JJ25+JL25+JZ25+CJ25+CL25+CN25+CP25+CR25+CT25+CV25+CX25+EX25+EZ25+FB25+FD25+FF25+FH25+FJ25+FL25</f>
        <v/>
      </c>
      <c r="KC25" s="186">
        <f>I25+K25+M25+O25+Q25+S25+U25+W25+Y25+AA25+AC25+AE25+AG25+AI25+AK25+AM25+AO25+AQ25+AS25+AU25+AW25+AY25+BA25+BC25+BE25+BG25+BI25+BK25+BM25+BO25+BQ25+BS25+BU25+BW25+BY25+CA25+CC25+CE25+CG25+CI25+DA25+DC25+DE25+DG25+DI25+DK25+DM25+DO25+DQ25+DS25+DU25+DW25+DY25+EA25+EC25+EE25+EG25+EI25+EK25+EM25+EO25+EQ25+ES25+EU25+EW25+FO25+FS25+FU25+FW25+FQ25+FY25+GA25+GC25+GE25+GG25+GI25+GK25+GM25+GO25+GQ25+GS25+GU25+GW25+GY25+HA25+HC25+HE25+HG25+HI25+HK25+HM25+HO25+HQ25+HS25+HU25+HW25+HY25+IA25+IC25+IE25+IG25+II25+IK25+IM25+IO25+IQ25+IS25+IU25+IW25+IY25+JA25+JC25+JE25+JG25+JI25+JK25+JM25+KA25+CK25+CM25+CO25+CQ25+CS25+CU25+CW25+CY25+EY25+FA25+FC25+FE25+FG25+FI25+FK25+FM25</f>
        <v/>
      </c>
      <c r="KD25" s="187">
        <f>JO25+JQ25+JS25+JU25+JW25+JY25</f>
        <v/>
      </c>
      <c r="KE25" s="234">
        <f>KB25=E25</f>
        <v/>
      </c>
      <c r="KF25" s="189">
        <f>E25-KB25</f>
        <v/>
      </c>
      <c r="KG25" s="235" t="n"/>
      <c r="KH25" s="210" t="n"/>
      <c r="KI25" s="210" t="n"/>
      <c r="KJ25" s="210" t="n"/>
      <c r="KK25" s="210" t="n"/>
      <c r="KL25" s="210" t="n"/>
      <c r="KM25" s="210" t="n"/>
      <c r="KN25" s="210" t="n"/>
      <c r="KO25" s="210" t="n"/>
    </row>
    <row r="26" ht="21.75" customFormat="1" customHeight="1" s="235">
      <c r="A26" s="126">
        <f>A25+1</f>
        <v/>
      </c>
      <c r="B26" s="175" t="inlineStr">
        <is>
          <t>Кузнецов И.Р.</t>
        </is>
      </c>
      <c r="C26" s="194" t="inlineStr">
        <is>
          <t>слесарь</t>
        </is>
      </c>
      <c r="D26" s="177">
        <f>$D$5</f>
        <v/>
      </c>
      <c r="E26" s="202" t="n">
        <v>161</v>
      </c>
      <c r="F26" s="193" t="n">
        <v>75793.14999999999</v>
      </c>
      <c r="G26" s="179">
        <f>F26/D26</f>
        <v/>
      </c>
      <c r="H26" s="180" t="n"/>
      <c r="I26" s="140">
        <f>H26*100/$E$26</f>
        <v/>
      </c>
      <c r="J26" s="133" t="n"/>
      <c r="K26" s="140">
        <f>J26*100/$E$26</f>
        <v/>
      </c>
      <c r="L26" s="133" t="n"/>
      <c r="M26" s="140">
        <f>L26*100/$E$26</f>
        <v/>
      </c>
      <c r="N26" s="133" t="n"/>
      <c r="O26" s="140">
        <f>N26*100/$E$26</f>
        <v/>
      </c>
      <c r="P26" s="133" t="n"/>
      <c r="Q26" s="139">
        <f>P26*100/$E$26</f>
        <v/>
      </c>
      <c r="R26" s="133" t="n"/>
      <c r="S26" s="139">
        <f>R26*100/$E$26</f>
        <v/>
      </c>
      <c r="T26" s="133" t="n"/>
      <c r="U26" s="140">
        <f>T26*100/$E$26</f>
        <v/>
      </c>
      <c r="V26" s="133" t="n"/>
      <c r="W26" s="140">
        <f>V26*100/$E$26</f>
        <v/>
      </c>
      <c r="X26" s="133" t="n"/>
      <c r="Y26" s="140">
        <f>X26*100/$E$26</f>
        <v/>
      </c>
      <c r="Z26" s="133" t="n"/>
      <c r="AA26" s="140">
        <f>Z26*100/$E$26</f>
        <v/>
      </c>
      <c r="AB26" s="133" t="n"/>
      <c r="AC26" s="140">
        <f>AB26*100/$E$26</f>
        <v/>
      </c>
      <c r="AD26" s="133" t="n"/>
      <c r="AE26" s="139">
        <f>AD26*100/$E$26</f>
        <v/>
      </c>
      <c r="AF26" s="133" t="n"/>
      <c r="AG26" s="139">
        <f>AF26*100/$E$26</f>
        <v/>
      </c>
      <c r="AH26" s="133">
        <f>0.5</f>
        <v/>
      </c>
      <c r="AI26" s="140">
        <f>AH26*100/$E$26</f>
        <v/>
      </c>
      <c r="AJ26" s="133" t="n"/>
      <c r="AK26" s="140">
        <f>AJ26*100/$E$26</f>
        <v/>
      </c>
      <c r="AL26" s="133" t="n"/>
      <c r="AM26" s="140">
        <f>AL26*100/$E$26</f>
        <v/>
      </c>
      <c r="AN26" s="133">
        <f>2</f>
        <v/>
      </c>
      <c r="AO26" s="140">
        <f>AN26*100/$E$26</f>
        <v/>
      </c>
      <c r="AP26" s="133" t="n"/>
      <c r="AQ26" s="140">
        <f>AP26*100/$E$26</f>
        <v/>
      </c>
      <c r="AR26" s="133">
        <f>6.5</f>
        <v/>
      </c>
      <c r="AS26" s="140">
        <f>AR26*100/$E$26</f>
        <v/>
      </c>
      <c r="AT26" s="133">
        <f>4+4</f>
        <v/>
      </c>
      <c r="AU26" s="181">
        <f>AT26*100/$E$26</f>
        <v/>
      </c>
      <c r="AV26" s="133" t="n"/>
      <c r="AW26" s="140">
        <f>AV26*100/$E$26</f>
        <v/>
      </c>
      <c r="AX26" s="133" t="n"/>
      <c r="AY26" s="140">
        <f>AX26*100/$E$26</f>
        <v/>
      </c>
      <c r="AZ26" s="133" t="n"/>
      <c r="BA26" s="140">
        <f>AZ26*100/$E$26</f>
        <v/>
      </c>
      <c r="BB26" s="133" t="n"/>
      <c r="BC26" s="140">
        <f>BB26*100/$E$26</f>
        <v/>
      </c>
      <c r="BD26" s="133" t="n"/>
      <c r="BE26" s="140">
        <f>BD26*100/$E$26</f>
        <v/>
      </c>
      <c r="BF26" s="133">
        <f>2+6+0.5+2.5+2+2+2.5</f>
        <v/>
      </c>
      <c r="BG26" s="140">
        <f>BF26*100/$E$26</f>
        <v/>
      </c>
      <c r="BH26" s="133">
        <f>1.5+0.5</f>
        <v/>
      </c>
      <c r="BI26" s="140">
        <f>BH26*100/$E$26</f>
        <v/>
      </c>
      <c r="BJ26" s="133">
        <f>0.5+0.5+1+0.5+3+1+0.5+0.5</f>
        <v/>
      </c>
      <c r="BK26" s="140">
        <f>BJ26*100/$E$26</f>
        <v/>
      </c>
      <c r="BL26" s="133">
        <f>1+1.5</f>
        <v/>
      </c>
      <c r="BM26" s="140">
        <f>BL26*100/$E$26</f>
        <v/>
      </c>
      <c r="BN26" s="133">
        <f>1+0.5</f>
        <v/>
      </c>
      <c r="BO26" s="140">
        <f>BN26*100/$E$26</f>
        <v/>
      </c>
      <c r="BP26" s="133">
        <f>1+1+1+1+1+1+0.5+6</f>
        <v/>
      </c>
      <c r="BQ26" s="140">
        <f>BP26*100/$E$26</f>
        <v/>
      </c>
      <c r="BR26" s="133" t="n">
        <v>0.5</v>
      </c>
      <c r="BS26" s="140">
        <f>BR26*100/$E$26</f>
        <v/>
      </c>
      <c r="BT26" s="133" t="n">
        <v>0.5</v>
      </c>
      <c r="BU26" s="140">
        <f>BT26*100/$E$26</f>
        <v/>
      </c>
      <c r="BV26" s="133">
        <f>1+2+2+1+2</f>
        <v/>
      </c>
      <c r="BW26" s="140">
        <f>BV26*100/$E$26</f>
        <v/>
      </c>
      <c r="BX26" s="133" t="n">
        <v>1</v>
      </c>
      <c r="BY26" s="140">
        <f>BX26*100/$E$26</f>
        <v/>
      </c>
      <c r="BZ26" s="133">
        <f>2+1+1</f>
        <v/>
      </c>
      <c r="CA26" s="140">
        <f>BZ26*100/$E$26</f>
        <v/>
      </c>
      <c r="CB26" s="133">
        <f>0.5+1.5</f>
        <v/>
      </c>
      <c r="CC26" s="140">
        <f>CB26*100/$E$26</f>
        <v/>
      </c>
      <c r="CD26" s="133">
        <f>2+2.5+6.5+0.5+0.5+1</f>
        <v/>
      </c>
      <c r="CE26" s="140">
        <f>CD26*100/$E$26</f>
        <v/>
      </c>
      <c r="CF26" s="133">
        <f>1+1.5+3</f>
        <v/>
      </c>
      <c r="CG26" s="140">
        <f>CF26*100/$E$26</f>
        <v/>
      </c>
      <c r="CH26" s="133">
        <f>1.5+1.5</f>
        <v/>
      </c>
      <c r="CI26" s="140">
        <f>CH26*100/$E$26</f>
        <v/>
      </c>
      <c r="CJ26" s="133">
        <f>1+0.5+1+0.5+0.5+2.5+2</f>
        <v/>
      </c>
      <c r="CK26" s="140">
        <f>CJ26*100/$E$26</f>
        <v/>
      </c>
      <c r="CL26" s="133">
        <f>0.5+0.5+1.5</f>
        <v/>
      </c>
      <c r="CM26" s="140">
        <f>CL26*100/$E$26</f>
        <v/>
      </c>
      <c r="CN26" s="133">
        <f>1+1</f>
        <v/>
      </c>
      <c r="CO26" s="139">
        <f>CN26*100/$E$26</f>
        <v/>
      </c>
      <c r="CP26" s="133">
        <f>1.5+1+0.5+1</f>
        <v/>
      </c>
      <c r="CQ26" s="140">
        <f>CP26*100/$E$26</f>
        <v/>
      </c>
      <c r="CR26" s="133" t="n">
        <v>1</v>
      </c>
      <c r="CS26" s="139">
        <f>CR26*100/$E$26</f>
        <v/>
      </c>
      <c r="CT26" s="133" t="n"/>
      <c r="CU26" s="139">
        <f>CT26*100/$E$26</f>
        <v/>
      </c>
      <c r="CV26" s="133" t="n"/>
      <c r="CW26" s="139">
        <f>CV26*100/$E$26</f>
        <v/>
      </c>
      <c r="CX26" s="133" t="n"/>
      <c r="CY26" s="139">
        <f>CX26*100/$E$26</f>
        <v/>
      </c>
      <c r="CZ26" s="133" t="n"/>
      <c r="DA26" s="139">
        <f>CZ26*100/$E$26</f>
        <v/>
      </c>
      <c r="DB26" s="133" t="n"/>
      <c r="DC26" s="139">
        <f>DB26*100/$E$26</f>
        <v/>
      </c>
      <c r="DD26" s="133" t="n"/>
      <c r="DE26" s="139">
        <f>DD26*100/$E$26</f>
        <v/>
      </c>
      <c r="DF26" s="133" t="n"/>
      <c r="DG26" s="139">
        <f>DF26*100/$E$26</f>
        <v/>
      </c>
      <c r="DH26" s="133" t="n"/>
      <c r="DI26" s="139">
        <f>DH26*100/$E$26</f>
        <v/>
      </c>
      <c r="DJ26" s="133" t="n"/>
      <c r="DK26" s="139">
        <f>DJ26*100/$E$26</f>
        <v/>
      </c>
      <c r="DL26" s="133" t="n"/>
      <c r="DM26" s="139">
        <f>DL26*100/$E$26</f>
        <v/>
      </c>
      <c r="DN26" s="133" t="n"/>
      <c r="DO26" s="139">
        <f>DN26*100/$E$26</f>
        <v/>
      </c>
      <c r="DP26" s="133" t="n"/>
      <c r="DQ26" s="139">
        <f>DP26*100/$E$26</f>
        <v/>
      </c>
      <c r="DR26" s="133" t="n"/>
      <c r="DS26" s="139">
        <f>DR26*100/$E$26</f>
        <v/>
      </c>
      <c r="DT26" s="133" t="n"/>
      <c r="DU26" s="139">
        <f>DT26*100/$E$26</f>
        <v/>
      </c>
      <c r="DV26" s="133" t="n"/>
      <c r="DW26" s="139">
        <f>DV26*100/$E$26</f>
        <v/>
      </c>
      <c r="DX26" s="133" t="n"/>
      <c r="DY26" s="139">
        <f>DX26*100/$E$26</f>
        <v/>
      </c>
      <c r="DZ26" s="133" t="n"/>
      <c r="EA26" s="139">
        <f>DZ26*100/$E$26</f>
        <v/>
      </c>
      <c r="EB26" s="133" t="n"/>
      <c r="EC26" s="139">
        <f>EB26*100/$E$26</f>
        <v/>
      </c>
      <c r="ED26" s="133" t="n"/>
      <c r="EE26" s="139">
        <f>ED26*100/$E$26</f>
        <v/>
      </c>
      <c r="EF26" s="133" t="n"/>
      <c r="EG26" s="139">
        <f>EF26*100/$E$26</f>
        <v/>
      </c>
      <c r="EH26" s="133" t="n"/>
      <c r="EI26" s="139">
        <f>EH26*100/$E$26</f>
        <v/>
      </c>
      <c r="EJ26" s="133" t="n"/>
      <c r="EK26" s="139">
        <f>EJ26*100/$E$26</f>
        <v/>
      </c>
      <c r="EL26" s="133" t="n"/>
      <c r="EM26" s="139">
        <f>EL26*100/$E$26</f>
        <v/>
      </c>
      <c r="EN26" s="133" t="n"/>
      <c r="EO26" s="139">
        <f>EN26*100/$E$26</f>
        <v/>
      </c>
      <c r="EP26" s="133" t="n"/>
      <c r="EQ26" s="139">
        <f>EP26*100/$E$26</f>
        <v/>
      </c>
      <c r="ER26" s="133" t="n"/>
      <c r="ES26" s="139">
        <f>ER26*100/$E$26</f>
        <v/>
      </c>
      <c r="ET26" s="133" t="n"/>
      <c r="EU26" s="139">
        <f>ET26*100/$E$26</f>
        <v/>
      </c>
      <c r="EV26" s="133" t="n"/>
      <c r="EW26" s="139">
        <f>EV26*100/$E$26</f>
        <v/>
      </c>
      <c r="EX26" s="133" t="n"/>
      <c r="EY26" s="139">
        <f>EX26*100/$E$26</f>
        <v/>
      </c>
      <c r="EZ26" s="133" t="n"/>
      <c r="FA26" s="139">
        <f>EZ26*100/$E$26</f>
        <v/>
      </c>
      <c r="FB26" s="133" t="n"/>
      <c r="FC26" s="139">
        <f>FB26*100/$E$26</f>
        <v/>
      </c>
      <c r="FD26" s="133" t="n"/>
      <c r="FE26" s="139">
        <f>FD26*100/$E$26</f>
        <v/>
      </c>
      <c r="FF26" s="133" t="n"/>
      <c r="FG26" s="139">
        <f>FF26*100/$E$26</f>
        <v/>
      </c>
      <c r="FH26" s="133" t="n"/>
      <c r="FI26" s="139">
        <f>FH26*100/$E$26</f>
        <v/>
      </c>
      <c r="FJ26" s="133" t="n"/>
      <c r="FK26" s="139">
        <f>FJ26*100/$E$26</f>
        <v/>
      </c>
      <c r="FL26" s="133" t="n"/>
      <c r="FM26" s="139">
        <f>FL26*100/$E$26</f>
        <v/>
      </c>
      <c r="FN26" s="133" t="n"/>
      <c r="FO26" s="139">
        <f>FN26*100/$E$26</f>
        <v/>
      </c>
      <c r="FP26" s="133" t="n"/>
      <c r="FQ26" s="139">
        <f>FP26*100/$E$26</f>
        <v/>
      </c>
      <c r="FR26" s="133" t="n"/>
      <c r="FS26" s="139">
        <f>FR26*100/$E$26</f>
        <v/>
      </c>
      <c r="FT26" s="133" t="n"/>
      <c r="FU26" s="139">
        <f>FT26*100/$E$26</f>
        <v/>
      </c>
      <c r="FV26" s="133" t="n"/>
      <c r="FW26" s="139">
        <f>FV26*100/$E$26</f>
        <v/>
      </c>
      <c r="FX26" s="133" t="n"/>
      <c r="FY26" s="140">
        <f>FX26*100/$E$26</f>
        <v/>
      </c>
      <c r="FZ26" s="133" t="n"/>
      <c r="GA26" s="140">
        <f>FZ26*100/$E$26</f>
        <v/>
      </c>
      <c r="GB26" s="133" t="n"/>
      <c r="GC26" s="140">
        <f>GB26*100/$E$26</f>
        <v/>
      </c>
      <c r="GD26" s="133" t="n"/>
      <c r="GE26" s="140">
        <f>GD26*100/$E$26</f>
        <v/>
      </c>
      <c r="GF26" s="133" t="n"/>
      <c r="GG26" s="140">
        <f>GF26*100/$E$26</f>
        <v/>
      </c>
      <c r="GH26" s="133" t="n"/>
      <c r="GI26" s="140">
        <f>GH26*100/$E$26</f>
        <v/>
      </c>
      <c r="GJ26" s="133" t="n"/>
      <c r="GK26" s="139">
        <f>GJ26*100/$E$26</f>
        <v/>
      </c>
      <c r="GL26" s="133" t="n"/>
      <c r="GM26" s="140">
        <f>GL26*100/$E$26</f>
        <v/>
      </c>
      <c r="GN26" s="133" t="n"/>
      <c r="GO26" s="139">
        <f>GN26*100/$E$26</f>
        <v/>
      </c>
      <c r="GP26" s="133" t="n"/>
      <c r="GQ26" s="140">
        <f>GP26*100/$E$26</f>
        <v/>
      </c>
      <c r="GR26" s="133" t="n"/>
      <c r="GS26" s="139">
        <f>GR26*100/$E$26</f>
        <v/>
      </c>
      <c r="GT26" s="133" t="n"/>
      <c r="GU26" s="139">
        <f>GT26*100/$E$26</f>
        <v/>
      </c>
      <c r="GV26" s="133" t="n"/>
      <c r="GW26" s="139">
        <f>GV26*100/$E$26</f>
        <v/>
      </c>
      <c r="GX26" s="133" t="n"/>
      <c r="GY26" s="140">
        <f>GX26*100/$E$26</f>
        <v/>
      </c>
      <c r="GZ26" s="133" t="n"/>
      <c r="HA26" s="140">
        <f>GZ26*100/$E$26</f>
        <v/>
      </c>
      <c r="HB26" s="133" t="n"/>
      <c r="HC26" s="140">
        <f>HB26*100/$E$26</f>
        <v/>
      </c>
      <c r="HD26" s="133" t="n"/>
      <c r="HE26" s="140">
        <f>HD26*100/$E$26</f>
        <v/>
      </c>
      <c r="HF26" s="133" t="n"/>
      <c r="HG26" s="140">
        <f>HF26*100/$E$26</f>
        <v/>
      </c>
      <c r="HH26" s="133" t="n"/>
      <c r="HI26" s="140">
        <f>HH26*100/$E$26</f>
        <v/>
      </c>
      <c r="HJ26" s="133" t="n"/>
      <c r="HK26" s="140">
        <f>HJ26*100/$E$26</f>
        <v/>
      </c>
      <c r="HL26" s="133" t="n"/>
      <c r="HM26" s="140">
        <f>HL26*100/$E$26</f>
        <v/>
      </c>
      <c r="HN26" s="133" t="n"/>
      <c r="HO26" s="140">
        <f>HN26*100/$E$26</f>
        <v/>
      </c>
      <c r="HP26" s="133" t="n"/>
      <c r="HQ26" s="140">
        <f>HP26*100/$E$26</f>
        <v/>
      </c>
      <c r="HR26" s="133" t="n"/>
      <c r="HS26" s="140">
        <f>HR26*100/$E$26</f>
        <v/>
      </c>
      <c r="HT26" s="133" t="n"/>
      <c r="HU26" s="140">
        <f>HT26*100/$E$26</f>
        <v/>
      </c>
      <c r="HV26" s="133" t="n"/>
      <c r="HW26" s="140">
        <f>HV26*100/$E$26</f>
        <v/>
      </c>
      <c r="HX26" s="133" t="n"/>
      <c r="HY26" s="140">
        <f>HX26*100/$E$26</f>
        <v/>
      </c>
      <c r="HZ26" s="133" t="n"/>
      <c r="IA26" s="139">
        <f>HZ26*100/$E$26</f>
        <v/>
      </c>
      <c r="IB26" s="133" t="n"/>
      <c r="IC26" s="139">
        <f>IB26*100/$E$26</f>
        <v/>
      </c>
      <c r="ID26" s="133" t="n"/>
      <c r="IE26" s="139">
        <f>ID26*100/$E$26</f>
        <v/>
      </c>
      <c r="IF26" s="133" t="n"/>
      <c r="IG26" s="139">
        <f>IF26*100/$E$26</f>
        <v/>
      </c>
      <c r="IH26" s="133" t="n"/>
      <c r="II26" s="139">
        <f>IH26*100/$E$26</f>
        <v/>
      </c>
      <c r="IJ26" s="133" t="n"/>
      <c r="IK26" s="139">
        <f>IJ26*100/$E$26</f>
        <v/>
      </c>
      <c r="IL26" s="133" t="n"/>
      <c r="IM26" s="140">
        <f>IL26*100/$E$26</f>
        <v/>
      </c>
      <c r="IN26" s="133" t="n"/>
      <c r="IO26" s="140">
        <f>IN26*100/$E$26</f>
        <v/>
      </c>
      <c r="IP26" s="133" t="n"/>
      <c r="IQ26" s="139">
        <f>IP26*100/$E$26</f>
        <v/>
      </c>
      <c r="IR26" s="133" t="n"/>
      <c r="IS26" s="139">
        <f>IR26*100/$E$26</f>
        <v/>
      </c>
      <c r="IT26" s="133" t="n"/>
      <c r="IU26" s="139">
        <f>IT26*100/$E$26</f>
        <v/>
      </c>
      <c r="IV26" s="133" t="n"/>
      <c r="IW26" s="139">
        <f>IV26*100/$E$26</f>
        <v/>
      </c>
      <c r="IX26" s="133" t="n"/>
      <c r="IY26" s="139">
        <f>IX26*100/$E$26</f>
        <v/>
      </c>
      <c r="IZ26" s="133" t="n"/>
      <c r="JA26" s="139">
        <f>IZ26*100/$E$26</f>
        <v/>
      </c>
      <c r="JB26" s="133" t="n"/>
      <c r="JC26" s="139">
        <f>JB26*100/$E$26</f>
        <v/>
      </c>
      <c r="JD26" s="133" t="n"/>
      <c r="JE26" s="139">
        <f>JD26*100/$E$26</f>
        <v/>
      </c>
      <c r="JF26" s="133" t="n"/>
      <c r="JG26" s="139">
        <f>JF26*100/$E$26</f>
        <v/>
      </c>
      <c r="JH26" s="133" t="n"/>
      <c r="JI26" s="139">
        <f>JH26*100/$E$26</f>
        <v/>
      </c>
      <c r="JJ26" s="133" t="n"/>
      <c r="JK26" s="139">
        <f>JJ26*100/$E$26</f>
        <v/>
      </c>
      <c r="JL26" s="133">
        <f>2+0.5+1.5+0.5+1+1.5+1+1+0.5+2+1+1.5+1.5+2.5+0.5+0.5+2.5+1+1+3.5+1+0.5+1+1+2+2+9.5+1+0.5</f>
        <v/>
      </c>
      <c r="JM26" s="139">
        <f>JL26*100/$E$26</f>
        <v/>
      </c>
      <c r="JN26" s="133" t="n"/>
      <c r="JO26" s="139">
        <f>JN26*100/$E$26</f>
        <v/>
      </c>
      <c r="JP26" s="133" t="n"/>
      <c r="JQ26" s="139">
        <f>JP26*100/$E$26</f>
        <v/>
      </c>
      <c r="JR26" s="133" t="n"/>
      <c r="JS26" s="139">
        <f>JR26*100/$E$26</f>
        <v/>
      </c>
      <c r="JT26" s="133" t="n"/>
      <c r="JU26" s="139">
        <f>JT26*100/$E$26</f>
        <v/>
      </c>
      <c r="JV26" s="223" t="n"/>
      <c r="JW26" s="139">
        <f>JV26*100/$E$26</f>
        <v/>
      </c>
      <c r="JX26" s="223" t="n"/>
      <c r="JY26" s="139">
        <f>JX26*100/$E$26</f>
        <v/>
      </c>
      <c r="JZ26" s="183">
        <f>JN26+JP26+JR26+JT26+JV26+JX26</f>
        <v/>
      </c>
      <c r="KA26" s="184">
        <f>JO26+JQ26+JS26+JU26+JW26+JY26</f>
        <v/>
      </c>
      <c r="KB26" s="185">
        <f>H26+J26+L26+N26+P26+R26+T26+V26+X26+Z26+AB26+AD26+AF26+AH26+AJ26+AL26+AN26+AP26+AR26+AT26+AV26+AX26+AZ26+BB26+BD26+BF26+BH26+BJ26+BL26+BN26+BP26+BR26+BT26+BV26+BX26+BZ26+CB26+CD26+CF26+CH26+CZ26+DB26+DD26+DF26+DH26+DJ26+DL26+DN26+DP26+DR26+DT26+DV26+DX26+DZ26+EB26+ED26+EF26+EH26+EJ26+EL26+EN26+EP26+ER26+ET26+EV26+FN26+FP26+FR26+FT26+FV26+FX26+FZ26+GB26+GD26+GF26+GH26+GJ26+GL26+GN26+GP26+GR26+GT26+GV26+GX26+GZ26+HB26+HD26+HF26+HH26+HJ26+HL26+HN26+HP26+HR26+HT26+HV26+HX26+HZ26+IB26+ID26+IF26+IH26+IJ26+IL26+IN26+IP26+IR26+IT26+IV26+IX26+IZ26+JB26+JD26+JF26+JH26+JJ26+JL26+JZ26+CJ26+CL26+CN26+CP26+CR26+CT26+CV26+CX26+EX26+EZ26+FB26+FD26+FF26+FH26+FJ26+FL26</f>
        <v/>
      </c>
      <c r="KC26" s="186">
        <f>I26+K26+M26+O26+Q26+S26+U26+W26+Y26+AA26+AC26+AE26+AG26+AI26+AK26+AM26+AO26+AQ26+AS26+AU26+AW26+AY26+BA26+BC26+BE26+BG26+BI26+BK26+BM26+BO26+BQ26+BS26+BU26+BW26+BY26+CA26+CC26+CE26+CG26+CI26+DA26+DC26+DE26+DG26+DI26+DK26+DM26+DO26+DQ26+DS26+DU26+DW26+DY26+EA26+EC26+EE26+EG26+EI26+EK26+EM26+EO26+EQ26+ES26+EU26+EW26+FO26+FS26+FU26+FW26+FQ26+FY26+GA26+GC26+GE26+GG26+GI26+GK26+GM26+GO26+GQ26+GS26+GU26+GW26+GY26+HA26+HC26+HE26+HG26+HI26+HK26+HM26+HO26+HQ26+HS26+HU26+HW26+HY26+IA26+IC26+IE26+IG26+II26+IK26+IM26+IO26+IQ26+IS26+IU26+IW26+IY26+JA26+JC26+JE26+JG26+JI26+JK26+JM26+KA26+CK26+CM26+CO26+CQ26+CS26+CU26+CW26+CY26+EY26+FA26+FC26+FE26+FG26+FI26+FK26+FM26</f>
        <v/>
      </c>
      <c r="KD26" s="187">
        <f>JO26+JQ26+JS26+JU26+JW26+JY26</f>
        <v/>
      </c>
      <c r="KE26" s="234">
        <f>KB26=E26</f>
        <v/>
      </c>
      <c r="KF26" s="189">
        <f>E26-KB26</f>
        <v/>
      </c>
      <c r="KG26" s="237" t="n"/>
    </row>
    <row r="27" ht="21.75" customFormat="1" customHeight="1" s="235">
      <c r="A27" s="126">
        <f>A26+1</f>
        <v/>
      </c>
      <c r="B27" s="175" t="inlineStr">
        <is>
          <t>Кузнецов Р.А.</t>
        </is>
      </c>
      <c r="C27" s="176" t="inlineStr">
        <is>
          <t>сварщик</t>
        </is>
      </c>
      <c r="D27" s="177">
        <f>$D$5</f>
        <v/>
      </c>
      <c r="E27" s="202" t="n">
        <v>135</v>
      </c>
      <c r="F27" s="193" t="n">
        <v>92564.64999999999</v>
      </c>
      <c r="G27" s="179">
        <f>F27/D27</f>
        <v/>
      </c>
      <c r="H27" s="180" t="n"/>
      <c r="I27" s="140">
        <f>H27*100/$E$27</f>
        <v/>
      </c>
      <c r="J27" s="133" t="n"/>
      <c r="K27" s="139">
        <f>J27*100/$E$27</f>
        <v/>
      </c>
      <c r="L27" s="133" t="n"/>
      <c r="M27" s="139">
        <f>L27*100/$E$27</f>
        <v/>
      </c>
      <c r="N27" s="133" t="n"/>
      <c r="O27" s="139">
        <f>N27*100/$E$27</f>
        <v/>
      </c>
      <c r="P27" s="133" t="n"/>
      <c r="Q27" s="139">
        <f>P27*100/$E$27</f>
        <v/>
      </c>
      <c r="R27" s="133" t="n"/>
      <c r="S27" s="139">
        <f>R27*100/$E$27</f>
        <v/>
      </c>
      <c r="T27" s="133" t="n"/>
      <c r="U27" s="139">
        <f>T27*100/$E$27</f>
        <v/>
      </c>
      <c r="V27" s="133" t="n"/>
      <c r="W27" s="140">
        <f>V27*100/$E$27</f>
        <v/>
      </c>
      <c r="X27" s="133" t="n"/>
      <c r="Y27" s="140">
        <f>X27*100/$E$27</f>
        <v/>
      </c>
      <c r="Z27" s="133" t="n"/>
      <c r="AA27" s="139">
        <f>Z27*100/$E$27</f>
        <v/>
      </c>
      <c r="AB27" s="133" t="n"/>
      <c r="AC27" s="140">
        <f>AB27*100/$E$27</f>
        <v/>
      </c>
      <c r="AD27" s="133" t="n"/>
      <c r="AE27" s="139">
        <f>AD27*100/$E$27</f>
        <v/>
      </c>
      <c r="AF27" s="133" t="n"/>
      <c r="AG27" s="140">
        <f>AF27*100/$E$27</f>
        <v/>
      </c>
      <c r="AH27" s="133" t="n"/>
      <c r="AI27" s="140">
        <f>AH27*100/$E$27</f>
        <v/>
      </c>
      <c r="AJ27" s="133" t="n"/>
      <c r="AK27" s="140">
        <f>AJ27*100/$E$27</f>
        <v/>
      </c>
      <c r="AL27" s="133" t="n"/>
      <c r="AM27" s="140">
        <f>AL27*100/$E$27</f>
        <v/>
      </c>
      <c r="AN27" s="133">
        <f>3+3+3+3+3+3</f>
        <v/>
      </c>
      <c r="AO27" s="140">
        <f>AN27*100/$E$27</f>
        <v/>
      </c>
      <c r="AP27" s="133" t="n"/>
      <c r="AQ27" s="140">
        <f>AP27*100/$E$27</f>
        <v/>
      </c>
      <c r="AR27" s="133">
        <f>3+3+3+3+3+3</f>
        <v/>
      </c>
      <c r="AS27" s="140">
        <f>AR27*100/$E$27</f>
        <v/>
      </c>
      <c r="AT27" s="133">
        <f>2+2+2+2+2+2</f>
        <v/>
      </c>
      <c r="AU27" s="181">
        <f>AT27*100/$E$27</f>
        <v/>
      </c>
      <c r="AV27" s="133" t="n">
        <v>8</v>
      </c>
      <c r="AW27" s="140">
        <f>AV27*100/$E$27</f>
        <v/>
      </c>
      <c r="AX27" s="133" t="n"/>
      <c r="AY27" s="140">
        <f>AX27*100/$E$27</f>
        <v/>
      </c>
      <c r="AZ27" s="133" t="n"/>
      <c r="BA27" s="140">
        <f>AZ27*100/$E$27</f>
        <v/>
      </c>
      <c r="BB27" s="133" t="n">
        <v>8</v>
      </c>
      <c r="BC27" s="140">
        <f>BB27*100/$E$27</f>
        <v/>
      </c>
      <c r="BD27" s="133" t="n"/>
      <c r="BE27" s="140">
        <f>BD27*100/$E$27</f>
        <v/>
      </c>
      <c r="BF27" s="133" t="n"/>
      <c r="BG27" s="139">
        <f>BF27*100/$E$27</f>
        <v/>
      </c>
      <c r="BH27" s="133" t="n"/>
      <c r="BI27" s="140">
        <f>BH27*100/$E$27</f>
        <v/>
      </c>
      <c r="BJ27" s="133">
        <f>8+8</f>
        <v/>
      </c>
      <c r="BK27" s="140">
        <f>BJ27*100/$E$27</f>
        <v/>
      </c>
      <c r="BL27" s="133" t="n"/>
      <c r="BM27" s="140">
        <f>BL27*100/$E$27</f>
        <v/>
      </c>
      <c r="BN27" s="133" t="n"/>
      <c r="BO27" s="140">
        <f>BN27*100/$E$27</f>
        <v/>
      </c>
      <c r="BP27" s="133" t="n"/>
      <c r="BQ27" s="140">
        <f>BP27*100/$E$27</f>
        <v/>
      </c>
      <c r="BR27" s="133" t="n"/>
      <c r="BS27" s="140">
        <f>BR27*100/$E$27</f>
        <v/>
      </c>
      <c r="BT27" s="133" t="n"/>
      <c r="BU27" s="140">
        <f>BT27*100/$E$27</f>
        <v/>
      </c>
      <c r="BV27" s="133" t="n"/>
      <c r="BW27" s="140">
        <f>BV27*100/$E$27</f>
        <v/>
      </c>
      <c r="BX27" s="133" t="n"/>
      <c r="BY27" s="140">
        <f>BX27*100/$E$27</f>
        <v/>
      </c>
      <c r="BZ27" s="133" t="n"/>
      <c r="CA27" s="140">
        <f>BZ27*100/$E$27</f>
        <v/>
      </c>
      <c r="CB27" s="133" t="n"/>
      <c r="CC27" s="140">
        <f>CB27*100/$E$27</f>
        <v/>
      </c>
      <c r="CD27" s="133">
        <f>15+16+16</f>
        <v/>
      </c>
      <c r="CE27" s="139">
        <f>CD27*100/$E$27</f>
        <v/>
      </c>
      <c r="CF27" s="133" t="n"/>
      <c r="CG27" s="140">
        <f>CF27*100/$E$27</f>
        <v/>
      </c>
      <c r="CH27" s="133" t="n"/>
      <c r="CI27" s="140">
        <f>CH27*100/$E$27</f>
        <v/>
      </c>
      <c r="CJ27" s="133" t="n"/>
      <c r="CK27" s="140">
        <f>CJ27*100/$E$27</f>
        <v/>
      </c>
      <c r="CL27" s="133" t="n"/>
      <c r="CM27" s="140">
        <f>CL27*100/$E$27</f>
        <v/>
      </c>
      <c r="CN27" s="133" t="n"/>
      <c r="CO27" s="139">
        <f>CN27*100/$E$27</f>
        <v/>
      </c>
      <c r="CP27" s="133" t="n"/>
      <c r="CQ27" s="140">
        <f>CP27*100/$E$27</f>
        <v/>
      </c>
      <c r="CR27" s="133" t="n"/>
      <c r="CS27" s="139">
        <f>CR27*100/$E$27</f>
        <v/>
      </c>
      <c r="CT27" s="133" t="n"/>
      <c r="CU27" s="139">
        <f>CT27*100/$E$27</f>
        <v/>
      </c>
      <c r="CV27" s="133" t="n"/>
      <c r="CW27" s="139">
        <f>CV27*100/$E$27</f>
        <v/>
      </c>
      <c r="CX27" s="133" t="n">
        <v>4</v>
      </c>
      <c r="CY27" s="139">
        <f>CX27*100/$E$27</f>
        <v/>
      </c>
      <c r="CZ27" s="133" t="n">
        <v>4</v>
      </c>
      <c r="DA27" s="139">
        <f>CZ27*100/$E$27</f>
        <v/>
      </c>
      <c r="DB27" s="133" t="n"/>
      <c r="DC27" s="139">
        <f>DB27*100/$E$27</f>
        <v/>
      </c>
      <c r="DD27" s="133" t="n"/>
      <c r="DE27" s="139">
        <f>DD27*100/$E$27</f>
        <v/>
      </c>
      <c r="DF27" s="133" t="n"/>
      <c r="DG27" s="139">
        <f>DF27*100/$E$27</f>
        <v/>
      </c>
      <c r="DH27" s="133" t="n"/>
      <c r="DI27" s="139">
        <f>DH27*100/$E$27</f>
        <v/>
      </c>
      <c r="DJ27" s="133" t="n"/>
      <c r="DK27" s="139">
        <f>DJ27*100/$E$27</f>
        <v/>
      </c>
      <c r="DL27" s="133" t="n"/>
      <c r="DM27" s="139">
        <f>DL27*100/$E$27</f>
        <v/>
      </c>
      <c r="DN27" s="133" t="n"/>
      <c r="DO27" s="139">
        <f>DN27*100/$E$27</f>
        <v/>
      </c>
      <c r="DP27" s="133" t="n"/>
      <c r="DQ27" s="139">
        <f>DP27*100/$E$27</f>
        <v/>
      </c>
      <c r="DR27" s="133" t="n"/>
      <c r="DS27" s="139">
        <f>DR27*100/$E$27</f>
        <v/>
      </c>
      <c r="DT27" s="133" t="n"/>
      <c r="DU27" s="139">
        <f>DT27*100/$E$27</f>
        <v/>
      </c>
      <c r="DV27" s="133" t="n"/>
      <c r="DW27" s="139">
        <f>DV27*100/$E$27</f>
        <v/>
      </c>
      <c r="DX27" s="133" t="n"/>
      <c r="DY27" s="139">
        <f>DX27*100/$E$27</f>
        <v/>
      </c>
      <c r="DZ27" s="133" t="n"/>
      <c r="EA27" s="139">
        <f>DZ27*100/$E$27</f>
        <v/>
      </c>
      <c r="EB27" s="133" t="n"/>
      <c r="EC27" s="139">
        <f>EB27*100/$E$27</f>
        <v/>
      </c>
      <c r="ED27" s="133" t="n"/>
      <c r="EE27" s="139">
        <f>ED27*100/$E$27</f>
        <v/>
      </c>
      <c r="EF27" s="133" t="n"/>
      <c r="EG27" s="139">
        <f>EF27*100/$E$27</f>
        <v/>
      </c>
      <c r="EH27" s="133" t="n"/>
      <c r="EI27" s="139">
        <f>EH27*100/$E$27</f>
        <v/>
      </c>
      <c r="EJ27" s="133" t="n"/>
      <c r="EK27" s="139">
        <f>EJ27*100/$E$27</f>
        <v/>
      </c>
      <c r="EL27" s="133" t="n"/>
      <c r="EM27" s="139">
        <f>EL27*100/$E$27</f>
        <v/>
      </c>
      <c r="EN27" s="133" t="n"/>
      <c r="EO27" s="139">
        <f>EN27*100/$E$27</f>
        <v/>
      </c>
      <c r="EP27" s="133" t="n"/>
      <c r="EQ27" s="139">
        <f>EP27*100/$E$27</f>
        <v/>
      </c>
      <c r="ER27" s="133" t="n"/>
      <c r="ES27" s="139">
        <f>ER27*100/$E$27</f>
        <v/>
      </c>
      <c r="ET27" s="133" t="n"/>
      <c r="EU27" s="140">
        <f>ET27*100/$E$27</f>
        <v/>
      </c>
      <c r="EV27" s="133" t="n"/>
      <c r="EW27" s="139">
        <f>EV27*100/$E$27</f>
        <v/>
      </c>
      <c r="EX27" s="133" t="n"/>
      <c r="EY27" s="139">
        <f>EX27*100/$E$27</f>
        <v/>
      </c>
      <c r="EZ27" s="133" t="n"/>
      <c r="FA27" s="139">
        <f>EZ27*100/$E$27</f>
        <v/>
      </c>
      <c r="FB27" s="133" t="n"/>
      <c r="FC27" s="139">
        <f>FB27*100/$E$27</f>
        <v/>
      </c>
      <c r="FD27" s="133" t="n"/>
      <c r="FE27" s="139">
        <f>FD27*100/$E$27</f>
        <v/>
      </c>
      <c r="FF27" s="133" t="n"/>
      <c r="FG27" s="139">
        <f>FF27*100/$E$27</f>
        <v/>
      </c>
      <c r="FH27" s="133" t="n"/>
      <c r="FI27" s="139">
        <f>FH27*100/$E$27</f>
        <v/>
      </c>
      <c r="FJ27" s="133" t="n"/>
      <c r="FK27" s="139">
        <f>FJ27*100/$E$27</f>
        <v/>
      </c>
      <c r="FL27" s="133" t="n"/>
      <c r="FM27" s="139">
        <f>FL27*100/$E$27</f>
        <v/>
      </c>
      <c r="FN27" s="133" t="n"/>
      <c r="FO27" s="139">
        <f>FN27*100/$E$27</f>
        <v/>
      </c>
      <c r="FP27" s="133" t="n"/>
      <c r="FQ27" s="139">
        <f>FP27*100/$E$27</f>
        <v/>
      </c>
      <c r="FR27" s="133" t="n"/>
      <c r="FS27" s="139">
        <f>FR27*100/$E$27</f>
        <v/>
      </c>
      <c r="FT27" s="133" t="n"/>
      <c r="FU27" s="139">
        <f>FT27*100/$E$27</f>
        <v/>
      </c>
      <c r="FV27" s="133" t="n"/>
      <c r="FW27" s="139">
        <f>FV27*100/$E$27</f>
        <v/>
      </c>
      <c r="FX27" s="133" t="n"/>
      <c r="FY27" s="139">
        <f>FX27*100/$E$27</f>
        <v/>
      </c>
      <c r="FZ27" s="133" t="n"/>
      <c r="GA27" s="140">
        <f>FZ27*100/$E$27</f>
        <v/>
      </c>
      <c r="GB27" s="133" t="n"/>
      <c r="GC27" s="140">
        <f>GB27*100/$E$27</f>
        <v/>
      </c>
      <c r="GD27" s="133" t="n"/>
      <c r="GE27" s="139">
        <f>GD27*100/$E$27</f>
        <v/>
      </c>
      <c r="GF27" s="133" t="n"/>
      <c r="GG27" s="140">
        <f>GF27*100/$E$27</f>
        <v/>
      </c>
      <c r="GH27" s="133" t="n"/>
      <c r="GI27" s="139">
        <f>GH27*100/$E$27</f>
        <v/>
      </c>
      <c r="GJ27" s="133" t="n"/>
      <c r="GK27" s="139">
        <f>GJ27*100/$E$27</f>
        <v/>
      </c>
      <c r="GL27" s="133" t="n"/>
      <c r="GM27" s="139">
        <f>GL27*100/$E$27</f>
        <v/>
      </c>
      <c r="GN27" s="133" t="n"/>
      <c r="GO27" s="139">
        <f>GN27*100/$E$27</f>
        <v/>
      </c>
      <c r="GP27" s="133" t="n"/>
      <c r="GQ27" s="139">
        <f>GP27*100/$E$27</f>
        <v/>
      </c>
      <c r="GR27" s="133" t="n"/>
      <c r="GS27" s="139">
        <f>GR27*100/$E$27</f>
        <v/>
      </c>
      <c r="GT27" s="133" t="n"/>
      <c r="GU27" s="139">
        <f>GT27*100/$E$27</f>
        <v/>
      </c>
      <c r="GV27" s="133" t="n"/>
      <c r="GW27" s="139">
        <f>GV27*100/$E$27</f>
        <v/>
      </c>
      <c r="GX27" s="133" t="n"/>
      <c r="GY27" s="139">
        <f>GX27*100/$E$27</f>
        <v/>
      </c>
      <c r="GZ27" s="133" t="n"/>
      <c r="HA27" s="139">
        <f>GZ27*100/$E$27</f>
        <v/>
      </c>
      <c r="HB27" s="133" t="n"/>
      <c r="HC27" s="139">
        <f>HB27*100/$E$27</f>
        <v/>
      </c>
      <c r="HD27" s="133" t="n"/>
      <c r="HE27" s="139">
        <f>HD27*100/$E$27</f>
        <v/>
      </c>
      <c r="HF27" s="133" t="n"/>
      <c r="HG27" s="140">
        <f>HF27*100/$E$27</f>
        <v/>
      </c>
      <c r="HH27" s="133" t="n"/>
      <c r="HI27" s="140">
        <f>HH27*100/$E$27</f>
        <v/>
      </c>
      <c r="HJ27" s="133" t="n"/>
      <c r="HK27" s="139">
        <f>HJ27*100/$E$27</f>
        <v/>
      </c>
      <c r="HL27" s="133" t="n"/>
      <c r="HM27" s="140">
        <f>HL27*100/$E$27</f>
        <v/>
      </c>
      <c r="HN27" s="133" t="n"/>
      <c r="HO27" s="139">
        <f>HN27*100/$E$27</f>
        <v/>
      </c>
      <c r="HP27" s="133" t="n"/>
      <c r="HQ27" s="140">
        <f>HP27*100/$E$27</f>
        <v/>
      </c>
      <c r="HR27" s="133" t="n"/>
      <c r="HS27" s="139">
        <f>HR27*100/$E$27</f>
        <v/>
      </c>
      <c r="HT27" s="133" t="n"/>
      <c r="HU27" s="140">
        <f>HT27*100/$E$27</f>
        <v/>
      </c>
      <c r="HV27" s="133" t="n"/>
      <c r="HW27" s="139">
        <f>HV27*100/$E$27</f>
        <v/>
      </c>
      <c r="HX27" s="133" t="n"/>
      <c r="HY27" s="140">
        <f>HX27*100/$E$27</f>
        <v/>
      </c>
      <c r="HZ27" s="133" t="n"/>
      <c r="IA27" s="139">
        <f>HZ27*100/$E$27</f>
        <v/>
      </c>
      <c r="IB27" s="133" t="n"/>
      <c r="IC27" s="139">
        <f>IB27*100/$E$27</f>
        <v/>
      </c>
      <c r="ID27" s="133" t="n"/>
      <c r="IE27" s="139">
        <f>ID27*100/$E$27</f>
        <v/>
      </c>
      <c r="IF27" s="133" t="n"/>
      <c r="IG27" s="139">
        <f>IF27*100/$E$27</f>
        <v/>
      </c>
      <c r="IH27" s="133" t="n"/>
      <c r="II27" s="139">
        <f>IH27*100/$E$27</f>
        <v/>
      </c>
      <c r="IJ27" s="133" t="n"/>
      <c r="IK27" s="139">
        <f>IJ27*100/$E$27</f>
        <v/>
      </c>
      <c r="IL27" s="133" t="n"/>
      <c r="IM27" s="140">
        <f>IL27*100/$E$27</f>
        <v/>
      </c>
      <c r="IN27" s="133" t="n"/>
      <c r="IO27" s="140">
        <f>IN27*100/$E$27</f>
        <v/>
      </c>
      <c r="IP27" s="133" t="n"/>
      <c r="IQ27" s="139">
        <f>IP27*100/$E$27</f>
        <v/>
      </c>
      <c r="IR27" s="133" t="n"/>
      <c r="IS27" s="139">
        <f>IR27*100/$E$27</f>
        <v/>
      </c>
      <c r="IT27" s="133" t="n"/>
      <c r="IU27" s="139">
        <f>IT27*100/$E$27</f>
        <v/>
      </c>
      <c r="IV27" s="133" t="n"/>
      <c r="IW27" s="139">
        <f>IV27*100/$E$27</f>
        <v/>
      </c>
      <c r="IX27" s="133" t="n"/>
      <c r="IY27" s="139">
        <f>IX27*100/$E$27</f>
        <v/>
      </c>
      <c r="IZ27" s="133" t="n"/>
      <c r="JA27" s="139">
        <f>IZ27*100/$E$27</f>
        <v/>
      </c>
      <c r="JB27" s="133" t="n"/>
      <c r="JC27" s="139">
        <f>JB27*100/$E$27</f>
        <v/>
      </c>
      <c r="JD27" s="133" t="n"/>
      <c r="JE27" s="139">
        <f>JD27*100/$E$27</f>
        <v/>
      </c>
      <c r="JF27" s="133" t="n"/>
      <c r="JG27" s="139">
        <f>JF27*100/$E$27</f>
        <v/>
      </c>
      <c r="JH27" s="133" t="n"/>
      <c r="JI27" s="139">
        <f>JH27*100/$E$27</f>
        <v/>
      </c>
      <c r="JJ27" s="133" t="n"/>
      <c r="JK27" s="139">
        <f>JJ27*100/$E$27</f>
        <v/>
      </c>
      <c r="JL27" s="133" t="n"/>
      <c r="JM27" s="139">
        <f>JL27*100/$E$27</f>
        <v/>
      </c>
      <c r="JN27" s="133" t="n"/>
      <c r="JO27" s="139">
        <f>JN27*100/$E$27</f>
        <v/>
      </c>
      <c r="JP27" s="133" t="n"/>
      <c r="JQ27" s="139">
        <f>JP27*100/$E$27</f>
        <v/>
      </c>
      <c r="JR27" s="133" t="n"/>
      <c r="JS27" s="139">
        <f>JR27*100/$E$27</f>
        <v/>
      </c>
      <c r="JT27" s="133" t="n"/>
      <c r="JU27" s="139">
        <f>JT27*100/$E$27</f>
        <v/>
      </c>
      <c r="JV27" s="133" t="n"/>
      <c r="JW27" s="139">
        <f>JV27*100/$E$27</f>
        <v/>
      </c>
      <c r="JX27" s="133" t="n"/>
      <c r="JY27" s="139">
        <f>JX27*100/$E$27</f>
        <v/>
      </c>
      <c r="JZ27" s="183">
        <f>JN27+JP27+JR27+JT27+JV27+JX27</f>
        <v/>
      </c>
      <c r="KA27" s="184">
        <f>JO27+JQ27+JS27+JU27+JW27+JY27</f>
        <v/>
      </c>
      <c r="KB27" s="185">
        <f>H27+J27+L27+N27+P27+R27+T27+V27+X27+Z27+AB27+AD27+AF27+AH27+AJ27+AL27+AN27+AP27+AR27+AT27+AV27+AX27+AZ27+BB27+BD27+BF27+BH27+BJ27+BL27+BN27+BP27+BR27+BT27+BV27+BX27+BZ27+CB27+CD27+CF27+CH27+CZ27+DB27+DD27+DF27+DH27+DJ27+DL27+DN27+DP27+DR27+DT27+DV27+DX27+DZ27+EB27+ED27+EF27+EH27+EJ27+EL27+EN27+EP27+ER27+ET27+EV27+FN27+FP27+FR27+FT27+FV27+FX27+FZ27+GB27+GD27+GF27+GH27+GJ27+GL27+GN27+GP27+GR27+GT27+GV27+GX27+GZ27+HB27+HD27+HF27+HH27+HJ27+HL27+HN27+HP27+HR27+HT27+HV27+HX27+HZ27+IB27+ID27+IF27+IH27+IJ27+IL27+IN27+IP27+IR27+IT27+IV27+IX27+IZ27+JB27+JD27+JF27+JH27+JJ27+JL27+JZ27+CJ27+CL27+CN27+CP27+CR27+CT27+CV27+CX27+EX27+EZ27+FB27+FD27+FF27+FH27+FJ27+FL27</f>
        <v/>
      </c>
      <c r="KC27" s="186">
        <f>I27+K27+M27+O27+Q27+S27+U27+W27+Y27+AA27+AC27+AE27+AG27+AI27+AK27+AM27+AO27+AQ27+AS27+AU27+AW27+AY27+BA27+BC27+BE27+BG27+BI27+BK27+BM27+BO27+BQ27+BS27+BU27+BW27+BY27+CA27+CC27+CE27+CG27+CI27+DA27+DC27+DE27+DG27+DI27+DK27+DM27+DO27+DQ27+DS27+DU27+DW27+DY27+EA27+EC27+EE27+EG27+EI27+EK27+EM27+EO27+EQ27+ES27+EU27+EW27+FO27+FS27+FU27+FW27+FQ27+FY27+GA27+GC27+GE27+GG27+GI27+GK27+GM27+GO27+GQ27+GS27+GU27+GW27+GY27+HA27+HC27+HE27+HG27+HI27+HK27+HM27+HO27+HQ27+HS27+HU27+HW27+HY27+IA27+IC27+IE27+IG27+II27+IK27+IM27+IO27+IQ27+IS27+IU27+IW27+IY27+JA27+JC27+JE27+JG27+JI27+JK27+JM27+KA27+CK27+CM27+CO27+CQ27+CS27+CU27+CW27+CY27+EY27+FA27+FC27+FE27+FG27+FI27+FK27+FM27</f>
        <v/>
      </c>
      <c r="KD27" s="187">
        <f>JO27+JQ27+JS27+JU27+JW27+JY27</f>
        <v/>
      </c>
      <c r="KE27" s="234">
        <f>KB27=E27</f>
        <v/>
      </c>
      <c r="KF27" s="189">
        <f>E27-KB27</f>
        <v/>
      </c>
      <c r="KG27" s="238" t="n"/>
    </row>
    <row r="28" ht="21.75" customFormat="1" customHeight="1" s="214">
      <c r="A28" s="126">
        <f>A27+1</f>
        <v/>
      </c>
      <c r="B28" s="175" t="inlineStr">
        <is>
          <t>Лопухов Н.В.</t>
        </is>
      </c>
      <c r="C28" s="176" t="inlineStr">
        <is>
          <t>слесарь МСР</t>
        </is>
      </c>
      <c r="D28" s="177">
        <f>$D$5</f>
        <v/>
      </c>
      <c r="E28" s="202" t="n">
        <v>159</v>
      </c>
      <c r="F28" s="193" t="n">
        <v>61346.99</v>
      </c>
      <c r="G28" s="179">
        <f>F28/D28</f>
        <v/>
      </c>
      <c r="H28" s="180" t="n"/>
      <c r="I28" s="140">
        <f>H28*100/$E$28</f>
        <v/>
      </c>
      <c r="J28" s="133" t="n"/>
      <c r="K28" s="140">
        <f>J28*100/$E$28</f>
        <v/>
      </c>
      <c r="L28" s="133" t="n"/>
      <c r="M28" s="140">
        <f>L28*100/$E$28</f>
        <v/>
      </c>
      <c r="N28" s="133" t="n"/>
      <c r="O28" s="140">
        <f>N28*100/$E$28</f>
        <v/>
      </c>
      <c r="P28" s="133" t="n"/>
      <c r="Q28" s="139">
        <f>P28*100/$E$28</f>
        <v/>
      </c>
      <c r="R28" s="133" t="n"/>
      <c r="S28" s="139">
        <f>R28*100/$E$28</f>
        <v/>
      </c>
      <c r="T28" s="133" t="n"/>
      <c r="U28" s="140">
        <f>T28*100/$E$28</f>
        <v/>
      </c>
      <c r="V28" s="133" t="n"/>
      <c r="W28" s="140">
        <f>V28*100/$E$28</f>
        <v/>
      </c>
      <c r="X28" s="133" t="n"/>
      <c r="Y28" s="140">
        <f>X28*100/$E$28</f>
        <v/>
      </c>
      <c r="Z28" s="133" t="n"/>
      <c r="AA28" s="140">
        <f>Z28*100/$E$28</f>
        <v/>
      </c>
      <c r="AB28" s="133" t="n"/>
      <c r="AC28" s="140">
        <f>AB28*100/$E$28</f>
        <v/>
      </c>
      <c r="AD28" s="133" t="n"/>
      <c r="AE28" s="139">
        <f>AD28*100/$E$28</f>
        <v/>
      </c>
      <c r="AF28" s="133" t="n"/>
      <c r="AG28" s="139">
        <f>AF28*100/$E$28</f>
        <v/>
      </c>
      <c r="AH28" s="133" t="n"/>
      <c r="AI28" s="140">
        <f>AH28*100/$E$28</f>
        <v/>
      </c>
      <c r="AJ28" s="133" t="n">
        <v>2</v>
      </c>
      <c r="AK28" s="140">
        <f>AJ28*100/$E$28</f>
        <v/>
      </c>
      <c r="AL28" s="133" t="n">
        <v>4</v>
      </c>
      <c r="AM28" s="140">
        <f>AL28*100/$E$28</f>
        <v/>
      </c>
      <c r="AN28" s="133">
        <f>3+6</f>
        <v/>
      </c>
      <c r="AO28" s="140">
        <f>AN28*100/$E$28</f>
        <v/>
      </c>
      <c r="AP28" s="133" t="n"/>
      <c r="AQ28" s="140">
        <f>AP28*100/$E$28</f>
        <v/>
      </c>
      <c r="AR28" s="133">
        <f>6+8</f>
        <v/>
      </c>
      <c r="AS28" s="140">
        <f>AR28*100/$E$28</f>
        <v/>
      </c>
      <c r="AT28" s="133" t="n">
        <v>4</v>
      </c>
      <c r="AU28" s="181">
        <f>AT28*100/$E$28</f>
        <v/>
      </c>
      <c r="AV28" s="133">
        <f>8+8+5</f>
        <v/>
      </c>
      <c r="AW28" s="140">
        <f>AV28*100/$E$28</f>
        <v/>
      </c>
      <c r="AX28" s="133" t="n"/>
      <c r="AY28" s="140">
        <f>AX28*100/$E$28</f>
        <v/>
      </c>
      <c r="AZ28" s="133" t="n"/>
      <c r="BA28" s="140">
        <f>AZ28*100/$E$28</f>
        <v/>
      </c>
      <c r="BB28" s="133" t="n"/>
      <c r="BC28" s="140">
        <f>BB28*100/$E$28</f>
        <v/>
      </c>
      <c r="BD28" s="133" t="n"/>
      <c r="BE28" s="140">
        <f>BD28*100/$E$28</f>
        <v/>
      </c>
      <c r="BF28" s="133" t="n"/>
      <c r="BG28" s="140">
        <f>BF28*100/$E$28</f>
        <v/>
      </c>
      <c r="BH28" s="133" t="n"/>
      <c r="BI28" s="140">
        <f>BH28*100/$E$28</f>
        <v/>
      </c>
      <c r="BJ28" s="133" t="n"/>
      <c r="BK28" s="140">
        <f>BJ28*100/$E$28</f>
        <v/>
      </c>
      <c r="BL28" s="133" t="n"/>
      <c r="BM28" s="140">
        <f>BL28*100/$E$28</f>
        <v/>
      </c>
      <c r="BN28" s="133" t="n"/>
      <c r="BO28" s="140">
        <f>BN28*100/$E$28</f>
        <v/>
      </c>
      <c r="BP28" s="133" t="n"/>
      <c r="BQ28" s="140">
        <f>BP28*100/$E$28</f>
        <v/>
      </c>
      <c r="BR28" s="133" t="n"/>
      <c r="BS28" s="140">
        <f>BR28*100/$E$28</f>
        <v/>
      </c>
      <c r="BT28" s="133" t="n"/>
      <c r="BU28" s="140">
        <f>BT28*100/$E$28</f>
        <v/>
      </c>
      <c r="BV28" s="133" t="n"/>
      <c r="BW28" s="140">
        <f>BV28*100/$E$28</f>
        <v/>
      </c>
      <c r="BX28" s="133" t="n"/>
      <c r="BY28" s="140">
        <f>BX28*100/$E$28</f>
        <v/>
      </c>
      <c r="BZ28" s="133" t="n"/>
      <c r="CA28" s="140">
        <f>BZ28*100/$E$28</f>
        <v/>
      </c>
      <c r="CB28" s="133" t="n"/>
      <c r="CC28" s="140">
        <f>CB28*100/$E$28</f>
        <v/>
      </c>
      <c r="CD28" s="133" t="n">
        <v>5</v>
      </c>
      <c r="CE28" s="140">
        <f>CD28*100/$E$28</f>
        <v/>
      </c>
      <c r="CF28" s="133" t="n"/>
      <c r="CG28" s="140">
        <f>CF28*100/$E$28</f>
        <v/>
      </c>
      <c r="CH28" s="133" t="n"/>
      <c r="CI28" s="140">
        <f>CH28*100/$E$28</f>
        <v/>
      </c>
      <c r="CJ28" s="133" t="n"/>
      <c r="CK28" s="140">
        <f>CJ28*100/$E$28</f>
        <v/>
      </c>
      <c r="CL28" s="133" t="n"/>
      <c r="CM28" s="140">
        <f>CL28*100/$E$28</f>
        <v/>
      </c>
      <c r="CN28" s="133" t="n"/>
      <c r="CO28" s="139">
        <f>CN28*100/$E$28</f>
        <v/>
      </c>
      <c r="CP28" s="133" t="n"/>
      <c r="CQ28" s="140">
        <f>CP28*100/$E$28</f>
        <v/>
      </c>
      <c r="CR28" s="133" t="n"/>
      <c r="CS28" s="139">
        <f>CR28*100/$E$28</f>
        <v/>
      </c>
      <c r="CT28" s="133" t="n"/>
      <c r="CU28" s="139">
        <f>CT28*100/$E$28</f>
        <v/>
      </c>
      <c r="CV28" s="133">
        <f>10+3</f>
        <v/>
      </c>
      <c r="CW28" s="139">
        <f>CV28*100/$E$28</f>
        <v/>
      </c>
      <c r="CX28" s="133">
        <f>10+2</f>
        <v/>
      </c>
      <c r="CY28" s="139">
        <f>CX28*100/$E$28</f>
        <v/>
      </c>
      <c r="CZ28" s="133">
        <f>10+3</f>
        <v/>
      </c>
      <c r="DA28" s="139">
        <f>CZ28*100/$E$28</f>
        <v/>
      </c>
      <c r="DB28" s="133" t="n"/>
      <c r="DC28" s="139">
        <f>DB28*100/$E$28</f>
        <v/>
      </c>
      <c r="DD28" s="133" t="n"/>
      <c r="DE28" s="139">
        <f>DD28*100/$E$28</f>
        <v/>
      </c>
      <c r="DF28" s="133" t="n"/>
      <c r="DG28" s="139">
        <f>DF28*100/$E$28</f>
        <v/>
      </c>
      <c r="DH28" s="133" t="n"/>
      <c r="DI28" s="139">
        <f>DH28*100/$E$28</f>
        <v/>
      </c>
      <c r="DJ28" s="133" t="n"/>
      <c r="DK28" s="139">
        <f>DJ28*100/$E$28</f>
        <v/>
      </c>
      <c r="DL28" s="133" t="n"/>
      <c r="DM28" s="139">
        <f>DL28*100/$E$28</f>
        <v/>
      </c>
      <c r="DN28" s="133" t="n"/>
      <c r="DO28" s="139">
        <f>DN28*100/$E$28</f>
        <v/>
      </c>
      <c r="DP28" s="133" t="n"/>
      <c r="DQ28" s="139">
        <f>DP28*100/$E$28</f>
        <v/>
      </c>
      <c r="DR28" s="133" t="n"/>
      <c r="DS28" s="139">
        <f>DR28*100/$E$28</f>
        <v/>
      </c>
      <c r="DT28" s="133" t="n"/>
      <c r="DU28" s="139">
        <f>DT28*100/$E$28</f>
        <v/>
      </c>
      <c r="DV28" s="133" t="n"/>
      <c r="DW28" s="139">
        <f>DV28*100/$E$28</f>
        <v/>
      </c>
      <c r="DX28" s="133" t="n"/>
      <c r="DY28" s="139">
        <f>DX28*100/$E$28</f>
        <v/>
      </c>
      <c r="DZ28" s="133" t="n"/>
      <c r="EA28" s="139">
        <f>DZ28*100/$E$28</f>
        <v/>
      </c>
      <c r="EB28" s="133" t="n"/>
      <c r="EC28" s="139">
        <f>EB28*100/$E$28</f>
        <v/>
      </c>
      <c r="ED28" s="133" t="n"/>
      <c r="EE28" s="139">
        <f>ED28*100/$E$28</f>
        <v/>
      </c>
      <c r="EF28" s="133" t="n"/>
      <c r="EG28" s="139">
        <f>EF28*100/$E$28</f>
        <v/>
      </c>
      <c r="EH28" s="133" t="n"/>
      <c r="EI28" s="139">
        <f>EH28*100/$E$28</f>
        <v/>
      </c>
      <c r="EJ28" s="133" t="n"/>
      <c r="EK28" s="139">
        <f>EJ28*100/$E$28</f>
        <v/>
      </c>
      <c r="EL28" s="133" t="n"/>
      <c r="EM28" s="139">
        <f>EL28*100/$E$28</f>
        <v/>
      </c>
      <c r="EN28" s="133" t="n"/>
      <c r="EO28" s="139">
        <f>EN28*100/$E$28</f>
        <v/>
      </c>
      <c r="EP28" s="133" t="n"/>
      <c r="EQ28" s="139">
        <f>EP28*100/$E$28</f>
        <v/>
      </c>
      <c r="ER28" s="133" t="n"/>
      <c r="ES28" s="139">
        <f>ER28*100/$E$28</f>
        <v/>
      </c>
      <c r="ET28" s="133" t="n"/>
      <c r="EU28" s="139">
        <f>ET28*100/$E$28</f>
        <v/>
      </c>
      <c r="EV28" s="133" t="n"/>
      <c r="EW28" s="139">
        <f>EV28*100/$E$28</f>
        <v/>
      </c>
      <c r="EX28" s="133" t="n"/>
      <c r="EY28" s="139">
        <f>EX28*100/$E$28</f>
        <v/>
      </c>
      <c r="EZ28" s="133" t="n"/>
      <c r="FA28" s="139">
        <f>EZ28*100/$E$28</f>
        <v/>
      </c>
      <c r="FB28" s="133" t="n"/>
      <c r="FC28" s="139">
        <f>FB28*100/$E$28</f>
        <v/>
      </c>
      <c r="FD28" s="133" t="n"/>
      <c r="FE28" s="139">
        <f>FD28*100/$E$28</f>
        <v/>
      </c>
      <c r="FF28" s="133" t="n"/>
      <c r="FG28" s="139">
        <f>FF28*100/$E$28</f>
        <v/>
      </c>
      <c r="FH28" s="133" t="n"/>
      <c r="FI28" s="139">
        <f>FH28*100/$E$28</f>
        <v/>
      </c>
      <c r="FJ28" s="133" t="n"/>
      <c r="FK28" s="139">
        <f>FJ28*100/$E$28</f>
        <v/>
      </c>
      <c r="FL28" s="133" t="n"/>
      <c r="FM28" s="139">
        <f>FL28*100/$E$28</f>
        <v/>
      </c>
      <c r="FN28" s="133" t="n"/>
      <c r="FO28" s="139">
        <f>FN28*100/$E$28</f>
        <v/>
      </c>
      <c r="FP28" s="133" t="n"/>
      <c r="FQ28" s="139">
        <f>FP28*100/$E$28</f>
        <v/>
      </c>
      <c r="FR28" s="133" t="n"/>
      <c r="FS28" s="139">
        <f>FR28*100/$E$28</f>
        <v/>
      </c>
      <c r="FT28" s="133" t="n"/>
      <c r="FU28" s="139">
        <f>FT28*100/$E$28</f>
        <v/>
      </c>
      <c r="FV28" s="133" t="n"/>
      <c r="FW28" s="139">
        <f>FV28*100/$E$28</f>
        <v/>
      </c>
      <c r="FX28" s="133" t="n"/>
      <c r="FY28" s="140">
        <f>FX28*100/$E$28</f>
        <v/>
      </c>
      <c r="FZ28" s="133" t="n"/>
      <c r="GA28" s="140">
        <f>FZ28*100/$E$28</f>
        <v/>
      </c>
      <c r="GB28" s="133" t="n"/>
      <c r="GC28" s="140">
        <f>GB28*100/$E$28</f>
        <v/>
      </c>
      <c r="GD28" s="133" t="n"/>
      <c r="GE28" s="140">
        <f>GD28*100/$E$28</f>
        <v/>
      </c>
      <c r="GF28" s="133" t="n"/>
      <c r="GG28" s="140">
        <f>GF28*100/$E$28</f>
        <v/>
      </c>
      <c r="GH28" s="133" t="n"/>
      <c r="GI28" s="140">
        <f>GH28*100/$E$28</f>
        <v/>
      </c>
      <c r="GJ28" s="133" t="n"/>
      <c r="GK28" s="139">
        <f>GJ28*100/$E$28</f>
        <v/>
      </c>
      <c r="GL28" s="133" t="n"/>
      <c r="GM28" s="140">
        <f>GL28*100/$E$28</f>
        <v/>
      </c>
      <c r="GN28" s="133" t="n"/>
      <c r="GO28" s="139">
        <f>GN28*100/$E$28</f>
        <v/>
      </c>
      <c r="GP28" s="133" t="n"/>
      <c r="GQ28" s="140">
        <f>GP28*100/$E$28</f>
        <v/>
      </c>
      <c r="GR28" s="133" t="n"/>
      <c r="GS28" s="139">
        <f>GR28*100/$E$28</f>
        <v/>
      </c>
      <c r="GT28" s="133" t="n"/>
      <c r="GU28" s="139">
        <f>GT28*100/$E$28</f>
        <v/>
      </c>
      <c r="GV28" s="133" t="n"/>
      <c r="GW28" s="139">
        <f>GV28*100/$E$28</f>
        <v/>
      </c>
      <c r="GX28" s="133" t="n"/>
      <c r="GY28" s="140">
        <f>GX28*100/$E$28</f>
        <v/>
      </c>
      <c r="GZ28" s="133" t="n"/>
      <c r="HA28" s="140">
        <f>GZ28*100/$E$28</f>
        <v/>
      </c>
      <c r="HB28" s="133" t="n"/>
      <c r="HC28" s="140">
        <f>HB28*100/$E$28</f>
        <v/>
      </c>
      <c r="HD28" s="133" t="n"/>
      <c r="HE28" s="140">
        <f>HD28*100/$E$28</f>
        <v/>
      </c>
      <c r="HF28" s="133" t="n"/>
      <c r="HG28" s="140">
        <f>HF28*100/$E$28</f>
        <v/>
      </c>
      <c r="HH28" s="133" t="n"/>
      <c r="HI28" s="140">
        <f>HH28*100/$E$28</f>
        <v/>
      </c>
      <c r="HJ28" s="133" t="n"/>
      <c r="HK28" s="140">
        <f>HJ28*100/$E$28</f>
        <v/>
      </c>
      <c r="HL28" s="133" t="n"/>
      <c r="HM28" s="140">
        <f>HL28*100/$E$28</f>
        <v/>
      </c>
      <c r="HN28" s="133" t="n"/>
      <c r="HO28" s="140">
        <f>HN28*100/$E$28</f>
        <v/>
      </c>
      <c r="HP28" s="133" t="n"/>
      <c r="HQ28" s="140">
        <f>HP28*100/$E$28</f>
        <v/>
      </c>
      <c r="HR28" s="133" t="n"/>
      <c r="HS28" s="140">
        <f>HR28*100/$E$28</f>
        <v/>
      </c>
      <c r="HT28" s="133" t="n"/>
      <c r="HU28" s="140">
        <f>HT28*100/$E$28</f>
        <v/>
      </c>
      <c r="HV28" s="133" t="n"/>
      <c r="HW28" s="140">
        <f>HV28*100/$E$28</f>
        <v/>
      </c>
      <c r="HX28" s="133" t="n"/>
      <c r="HY28" s="140">
        <f>HX28*100/$E$28</f>
        <v/>
      </c>
      <c r="HZ28" s="133" t="n"/>
      <c r="IA28" s="139">
        <f>HZ28*100/$E$28</f>
        <v/>
      </c>
      <c r="IB28" s="133" t="n"/>
      <c r="IC28" s="139">
        <f>IB28*100/$E$28</f>
        <v/>
      </c>
      <c r="ID28" s="133" t="n"/>
      <c r="IE28" s="139">
        <f>ID28*100/$E$28</f>
        <v/>
      </c>
      <c r="IF28" s="133" t="n"/>
      <c r="IG28" s="139">
        <f>IF28*100/$E$28</f>
        <v/>
      </c>
      <c r="IH28" s="133" t="n"/>
      <c r="II28" s="139">
        <f>IH28*100/$E$28</f>
        <v/>
      </c>
      <c r="IJ28" s="133" t="n"/>
      <c r="IK28" s="139">
        <f>IJ28*100/$E$28</f>
        <v/>
      </c>
      <c r="IL28" s="133" t="n"/>
      <c r="IM28" s="140">
        <f>IL28*100/$E$28</f>
        <v/>
      </c>
      <c r="IN28" s="133" t="n"/>
      <c r="IO28" s="140">
        <f>IN28*100/$E$28</f>
        <v/>
      </c>
      <c r="IP28" s="133" t="n"/>
      <c r="IQ28" s="139">
        <f>IP28*100/$E$28</f>
        <v/>
      </c>
      <c r="IR28" s="133" t="n"/>
      <c r="IS28" s="139">
        <f>IR28*100/$E$28</f>
        <v/>
      </c>
      <c r="IT28" s="133" t="n"/>
      <c r="IU28" s="139">
        <f>IT28*100/$E$28</f>
        <v/>
      </c>
      <c r="IV28" s="133" t="n"/>
      <c r="IW28" s="139">
        <f>IV28*100/$E$28</f>
        <v/>
      </c>
      <c r="IX28" s="133" t="n"/>
      <c r="IY28" s="139">
        <f>IX28*100/$E$28</f>
        <v/>
      </c>
      <c r="IZ28" s="133" t="n"/>
      <c r="JA28" s="139">
        <f>IZ28*100/$E$28</f>
        <v/>
      </c>
      <c r="JB28" s="133" t="n"/>
      <c r="JC28" s="139">
        <f>JB28*100/$E$28</f>
        <v/>
      </c>
      <c r="JD28" s="133" t="n"/>
      <c r="JE28" s="139">
        <f>JD28*100/$E$28</f>
        <v/>
      </c>
      <c r="JF28" s="133" t="n"/>
      <c r="JG28" s="139">
        <f>JF28*100/$E$28</f>
        <v/>
      </c>
      <c r="JH28" s="133" t="n"/>
      <c r="JI28" s="139">
        <f>JH28*100/$E$28</f>
        <v/>
      </c>
      <c r="JJ28" s="133" t="n"/>
      <c r="JK28" s="139">
        <f>JJ28*100/$E$28</f>
        <v/>
      </c>
      <c r="JL28" s="133">
        <f>8+8+8+8+8+6</f>
        <v/>
      </c>
      <c r="JM28" s="139">
        <f>JL28*100/$E$28</f>
        <v/>
      </c>
      <c r="JN28" s="133" t="n">
        <v>8</v>
      </c>
      <c r="JO28" s="139">
        <f>JN28*100/$E$28</f>
        <v/>
      </c>
      <c r="JP28" s="133" t="n">
        <v>8</v>
      </c>
      <c r="JQ28" s="139">
        <f>JP28*100/$E$28</f>
        <v/>
      </c>
      <c r="JR28" s="133" t="n"/>
      <c r="JS28" s="182">
        <f>JR28*100/$E$28</f>
        <v/>
      </c>
      <c r="JT28" s="133" t="n"/>
      <c r="JU28" s="182">
        <f>JT28*100/$E$28</f>
        <v/>
      </c>
      <c r="JV28" s="133" t="n"/>
      <c r="JW28" s="182">
        <f>JV28*100/$E$28</f>
        <v/>
      </c>
      <c r="JX28" s="133" t="n"/>
      <c r="JY28" s="182">
        <f>JX28*100/$E$28</f>
        <v/>
      </c>
      <c r="JZ28" s="183">
        <f>JN28+JP28+JR28+JT28+JV28+JX28</f>
        <v/>
      </c>
      <c r="KA28" s="184">
        <f>JO28+JQ28+JS28+JU28+JW28+JY28</f>
        <v/>
      </c>
      <c r="KB28" s="185">
        <f>H28+J28+L28+N28+P28+R28+T28+V28+X28+Z28+AB28+AD28+AF28+AH28+AJ28+AL28+AN28+AP28+AR28+AT28+AV28+AX28+AZ28+BB28+BD28+BF28+BH28+BJ28+BL28+BN28+BP28+BR28+BT28+BV28+BX28+BZ28+CB28+CD28+CF28+CH28+CZ28+DB28+DD28+DF28+DH28+DJ28+DL28+DN28+DP28+DR28+DT28+DV28+DX28+DZ28+EB28+ED28+EF28+EH28+EJ28+EL28+EN28+EP28+ER28+ET28+EV28+FN28+FP28+FR28+FT28+FV28+FX28+FZ28+GB28+GD28+GF28+GH28+GJ28+GL28+GN28+GP28+GR28+GT28+GV28+GX28+GZ28+HB28+HD28+HF28+HH28+HJ28+HL28+HN28+HP28+HR28+HT28+HV28+HX28+HZ28+IB28+ID28+IF28+IH28+IJ28+IL28+IN28+IP28+IR28+IT28+IV28+IX28+IZ28+JB28+JD28+JF28+JH28+JJ28+JL28+JZ28+CJ28+CL28+CN28+CP28+CR28+CT28+CV28+CX28+EX28+EZ28+FB28+FD28+FF28+FH28+FJ28+FL28</f>
        <v/>
      </c>
      <c r="KC28" s="186">
        <f>I28+K28+M28+O28+Q28+S28+U28+W28+Y28+AA28+AC28+AE28+AG28+AI28+AK28+AM28+AO28+AQ28+AS28+AU28+AW28+AY28+BA28+BC28+BE28+BG28+BI28+BK28+BM28+BO28+BQ28+BS28+BU28+BW28+BY28+CA28+CC28+CE28+CG28+CI28+DA28+DC28+DE28+DG28+DI28+DK28+DM28+DO28+DQ28+DS28+DU28+DW28+DY28+EA28+EC28+EE28+EG28+EI28+EK28+EM28+EO28+EQ28+ES28+EU28+EW28+FO28+FS28+FU28+FW28+FQ28+FY28+GA28+GC28+GE28+GG28+GI28+GK28+GM28+GO28+GQ28+GS28+GU28+GW28+GY28+HA28+HC28+HE28+HG28+HI28+HK28+HM28+HO28+HQ28+HS28+HU28+HW28+HY28+IA28+IC28+IE28+IG28+II28+IK28+IM28+IO28+IQ28+IS28+IU28+IW28+IY28+JA28+JC28+JE28+JG28+JI28+JK28+JM28+KA28+CK28+CM28+CO28+CQ28+CS28+CU28+CW28+CY28+EY28+FA28+FC28+FE28+FG28+FI28+FK28+FM28</f>
        <v/>
      </c>
      <c r="KD28" s="187">
        <f>JO28+JQ28+JS28+JU28+JW28+JY28</f>
        <v/>
      </c>
      <c r="KE28" s="188">
        <f>KB28=E28</f>
        <v/>
      </c>
      <c r="KF28" s="189">
        <f>E28-KB28</f>
        <v/>
      </c>
      <c r="KG28" s="232" t="n"/>
    </row>
    <row r="29" ht="21.75" customFormat="1" customHeight="1" s="212">
      <c r="A29" s="126">
        <f>A28+1</f>
        <v/>
      </c>
      <c r="B29" s="175" t="inlineStr">
        <is>
          <t>Ленинг И.Н.</t>
        </is>
      </c>
      <c r="C29" s="176" t="inlineStr">
        <is>
          <t xml:space="preserve">Оператор СПУ </t>
        </is>
      </c>
      <c r="D29" s="177">
        <f>$D$5</f>
        <v/>
      </c>
      <c r="E29" s="202" t="n">
        <v>196</v>
      </c>
      <c r="F29" s="193" t="n">
        <v>179828.39</v>
      </c>
      <c r="G29" s="179">
        <f>F29/D29</f>
        <v/>
      </c>
      <c r="H29" s="180" t="n"/>
      <c r="I29" s="140">
        <f>H29*100/$E$29</f>
        <v/>
      </c>
      <c r="J29" s="133" t="n"/>
      <c r="K29" s="140">
        <f>J29*100/$E$29</f>
        <v/>
      </c>
      <c r="L29" s="133" t="n"/>
      <c r="M29" s="140">
        <f>L29*100/$E$29</f>
        <v/>
      </c>
      <c r="N29" s="133" t="n"/>
      <c r="O29" s="140">
        <f>N29*100/$E$29</f>
        <v/>
      </c>
      <c r="P29" s="133" t="n"/>
      <c r="Q29" s="139">
        <f>P29*100/$E$29</f>
        <v/>
      </c>
      <c r="R29" s="133" t="n"/>
      <c r="S29" s="139">
        <f>R29*100/$E$29</f>
        <v/>
      </c>
      <c r="T29" s="133" t="n"/>
      <c r="U29" s="140">
        <f>T29*100/$E$29</f>
        <v/>
      </c>
      <c r="V29" s="133" t="n"/>
      <c r="W29" s="140">
        <f>V29*100/$E$29</f>
        <v/>
      </c>
      <c r="X29" s="133" t="n"/>
      <c r="Y29" s="140">
        <f>X29*100/$E$29</f>
        <v/>
      </c>
      <c r="Z29" s="133" t="n"/>
      <c r="AA29" s="140">
        <f>Z29*100/$E$29</f>
        <v/>
      </c>
      <c r="AB29" s="133" t="n"/>
      <c r="AC29" s="140">
        <f>AB29*100/$E$29</f>
        <v/>
      </c>
      <c r="AD29" s="133" t="n"/>
      <c r="AE29" s="139">
        <f>AD29*100/$E$29</f>
        <v/>
      </c>
      <c r="AF29" s="133" t="n"/>
      <c r="AG29" s="139">
        <f>AF29*100/$E$29</f>
        <v/>
      </c>
      <c r="AH29" s="133" t="n"/>
      <c r="AI29" s="140">
        <f>AH29*100/$E$29</f>
        <v/>
      </c>
      <c r="AJ29" s="133" t="n"/>
      <c r="AK29" s="140">
        <f>AJ29*100/$E$29</f>
        <v/>
      </c>
      <c r="AL29" s="133" t="n"/>
      <c r="AM29" s="140">
        <f>AL29*100/$E$29</f>
        <v/>
      </c>
      <c r="AN29" s="133" t="n"/>
      <c r="AO29" s="140">
        <f>AN29*100/$E$29</f>
        <v/>
      </c>
      <c r="AP29" s="133" t="n"/>
      <c r="AQ29" s="140">
        <f>AP29*100/$E$29</f>
        <v/>
      </c>
      <c r="AR29" s="133" t="n"/>
      <c r="AS29" s="140">
        <f>AR29*100/$E$29</f>
        <v/>
      </c>
      <c r="AT29" s="133" t="n"/>
      <c r="AU29" s="181">
        <f>AT29*100/$E$29</f>
        <v/>
      </c>
      <c r="AV29" s="133" t="n"/>
      <c r="AW29" s="140">
        <f>AV29*100/$E$29</f>
        <v/>
      </c>
      <c r="AX29" s="133" t="n"/>
      <c r="AY29" s="140">
        <f>AX29*100/$E$29</f>
        <v/>
      </c>
      <c r="AZ29" s="133" t="n"/>
      <c r="BA29" s="140">
        <f>AZ29*100/$E$29</f>
        <v/>
      </c>
      <c r="BB29" s="133" t="n"/>
      <c r="BC29" s="140">
        <f>BB29*100/$E$29</f>
        <v/>
      </c>
      <c r="BD29" s="133" t="n"/>
      <c r="BE29" s="140">
        <f>BD29*100/$E$29</f>
        <v/>
      </c>
      <c r="BF29" s="133" t="n">
        <v>12</v>
      </c>
      <c r="BG29" s="140">
        <f>BF29*100/$E$29</f>
        <v/>
      </c>
      <c r="BH29" s="133" t="n"/>
      <c r="BI29" s="140">
        <f>BH29*100/$E$29</f>
        <v/>
      </c>
      <c r="BJ29" s="133" t="n"/>
      <c r="BK29" s="140">
        <f>BJ29*100/$E$29</f>
        <v/>
      </c>
      <c r="BL29" s="133" t="n"/>
      <c r="BM29" s="140">
        <f>BL29*100/$E$29</f>
        <v/>
      </c>
      <c r="BN29" s="133" t="n"/>
      <c r="BO29" s="140">
        <f>BN29*100/$E$29</f>
        <v/>
      </c>
      <c r="BP29" s="133" t="n"/>
      <c r="BQ29" s="140">
        <f>BP29*100/$E$29</f>
        <v/>
      </c>
      <c r="BR29" s="133" t="n"/>
      <c r="BS29" s="140">
        <f>BR29*100/$E$29</f>
        <v/>
      </c>
      <c r="BT29" s="133" t="n"/>
      <c r="BU29" s="140">
        <f>BT29*100/$E$29</f>
        <v/>
      </c>
      <c r="BV29" s="133" t="n"/>
      <c r="BW29" s="140">
        <f>BV29*100/$E$29</f>
        <v/>
      </c>
      <c r="BX29" s="133" t="n"/>
      <c r="BY29" s="140">
        <f>BX29*100/$E$29</f>
        <v/>
      </c>
      <c r="BZ29" s="133" t="n"/>
      <c r="CA29" s="140">
        <f>BZ29*100/$E$29</f>
        <v/>
      </c>
      <c r="CB29" s="133" t="n"/>
      <c r="CC29" s="140">
        <f>CB29*100/$E$29</f>
        <v/>
      </c>
      <c r="CD29" s="133" t="n"/>
      <c r="CE29" s="140">
        <f>CD29*100/$E$29</f>
        <v/>
      </c>
      <c r="CF29" s="133">
        <f>2+2+2+2+6</f>
        <v/>
      </c>
      <c r="CG29" s="140">
        <f>CF29*100/$E$29</f>
        <v/>
      </c>
      <c r="CH29" s="133" t="n">
        <v>6</v>
      </c>
      <c r="CI29" s="140">
        <f>CH29*100/$E$29</f>
        <v/>
      </c>
      <c r="CJ29" s="133" t="n"/>
      <c r="CK29" s="140">
        <f>CJ29*100/$E$29</f>
        <v/>
      </c>
      <c r="CL29" s="133" t="n"/>
      <c r="CM29" s="140">
        <f>CL29*100/$E$29</f>
        <v/>
      </c>
      <c r="CN29" s="133" t="n"/>
      <c r="CO29" s="139">
        <f>CN29*100/$E$29</f>
        <v/>
      </c>
      <c r="CP29" s="133" t="n"/>
      <c r="CQ29" s="140">
        <f>CP29*100/$E$29</f>
        <v/>
      </c>
      <c r="CR29" s="133" t="n"/>
      <c r="CS29" s="139">
        <f>CR29*100/$E$29</f>
        <v/>
      </c>
      <c r="CT29" s="133" t="n"/>
      <c r="CU29" s="139">
        <f>CT29*100/$E$29</f>
        <v/>
      </c>
      <c r="CV29" s="133" t="n"/>
      <c r="CW29" s="139">
        <f>CV29*100/$E$29</f>
        <v/>
      </c>
      <c r="CX29" s="133" t="n"/>
      <c r="CY29" s="139">
        <f>CX29*100/$E$29</f>
        <v/>
      </c>
      <c r="CZ29" s="133" t="n"/>
      <c r="DA29" s="139">
        <f>CZ29*100/$E$29</f>
        <v/>
      </c>
      <c r="DB29" s="133" t="n"/>
      <c r="DC29" s="139">
        <f>DB29*100/$E$29</f>
        <v/>
      </c>
      <c r="DD29" s="133" t="n"/>
      <c r="DE29" s="139">
        <f>DD29*100/$E$29</f>
        <v/>
      </c>
      <c r="DF29" s="133" t="n"/>
      <c r="DG29" s="139">
        <f>DF29*100/$E$29</f>
        <v/>
      </c>
      <c r="DH29" s="133" t="n"/>
      <c r="DI29" s="139">
        <f>DH29*100/$E$29</f>
        <v/>
      </c>
      <c r="DJ29" s="133" t="n"/>
      <c r="DK29" s="139">
        <f>DJ29*100/$E$29</f>
        <v/>
      </c>
      <c r="DL29" s="133" t="n"/>
      <c r="DM29" s="139">
        <f>DL29*100/$E$29</f>
        <v/>
      </c>
      <c r="DN29" s="133" t="n"/>
      <c r="DO29" s="139">
        <f>DN29*100/$E$29</f>
        <v/>
      </c>
      <c r="DP29" s="133" t="n">
        <v>4</v>
      </c>
      <c r="DQ29" s="139">
        <f>DP29*100/$E$29</f>
        <v/>
      </c>
      <c r="DR29" s="133" t="n">
        <v>12</v>
      </c>
      <c r="DS29" s="139">
        <f>DR29*100/E29</f>
        <v/>
      </c>
      <c r="DT29" s="133" t="n"/>
      <c r="DU29" s="139">
        <f>DT29*100/$E$29</f>
        <v/>
      </c>
      <c r="DV29" s="133" t="n"/>
      <c r="DW29" s="139">
        <f>DV29*100/$E$29</f>
        <v/>
      </c>
      <c r="DX29" s="133" t="n"/>
      <c r="DY29" s="139">
        <f>DX29*100/$E$29</f>
        <v/>
      </c>
      <c r="DZ29" s="133" t="n"/>
      <c r="EA29" s="139">
        <f>DZ29*100/$E$29</f>
        <v/>
      </c>
      <c r="EB29" s="133" t="n"/>
      <c r="EC29" s="139">
        <f>EB29*100/$E$29</f>
        <v/>
      </c>
      <c r="ED29" s="133" t="n"/>
      <c r="EE29" s="139">
        <f>ED29*100/$E$29</f>
        <v/>
      </c>
      <c r="EF29" s="133" t="n"/>
      <c r="EG29" s="139">
        <f>EF29*100/$E$29</f>
        <v/>
      </c>
      <c r="EH29" s="133">
        <f>4+5</f>
        <v/>
      </c>
      <c r="EI29" s="139">
        <f>EH29*100/$E$29</f>
        <v/>
      </c>
      <c r="EJ29" s="133">
        <f>5+4</f>
        <v/>
      </c>
      <c r="EK29" s="139">
        <f>EJ29*100/$E$29</f>
        <v/>
      </c>
      <c r="EL29" s="133">
        <f>4+12+12</f>
        <v/>
      </c>
      <c r="EM29" s="139">
        <f>EL29*100/$E$29</f>
        <v/>
      </c>
      <c r="EN29" s="133" t="n"/>
      <c r="EO29" s="139">
        <f>EN29*100/$E$29</f>
        <v/>
      </c>
      <c r="EP29" s="133" t="n"/>
      <c r="EQ29" s="139">
        <f>EP29*100/$E$29</f>
        <v/>
      </c>
      <c r="ER29" s="133" t="n"/>
      <c r="ES29" s="139">
        <f>ER29*100/$E$29</f>
        <v/>
      </c>
      <c r="ET29" s="133" t="n"/>
      <c r="EU29" s="139">
        <f>ET29*100/$E$29</f>
        <v/>
      </c>
      <c r="EV29" s="133" t="n"/>
      <c r="EW29" s="139">
        <f>EV29*100/$E$29</f>
        <v/>
      </c>
      <c r="EX29" s="133" t="n"/>
      <c r="EY29" s="139">
        <f>EX29*100/$E$29</f>
        <v/>
      </c>
      <c r="EZ29" s="133" t="n"/>
      <c r="FA29" s="139">
        <f>EZ29*100/$E$29</f>
        <v/>
      </c>
      <c r="FB29" s="133" t="n"/>
      <c r="FC29" s="139">
        <f>FB29*100/$E$29</f>
        <v/>
      </c>
      <c r="FD29" s="133" t="n"/>
      <c r="FE29" s="139">
        <f>FD29*100/$E$29</f>
        <v/>
      </c>
      <c r="FF29" s="133" t="n"/>
      <c r="FG29" s="139">
        <f>FF29*100/$E$29</f>
        <v/>
      </c>
      <c r="FH29" s="133" t="n"/>
      <c r="FI29" s="139">
        <f>FH29*100/$E$29</f>
        <v/>
      </c>
      <c r="FJ29" s="133">
        <f>12+12+6</f>
        <v/>
      </c>
      <c r="FK29" s="139">
        <f>FJ29*100/$E$29</f>
        <v/>
      </c>
      <c r="FL29" s="133" t="n"/>
      <c r="FM29" s="139">
        <f>FL29*100/$E$29</f>
        <v/>
      </c>
      <c r="FN29" s="133" t="n"/>
      <c r="FO29" s="139">
        <f>FN29*100/$E$29</f>
        <v/>
      </c>
      <c r="FP29" s="133" t="n"/>
      <c r="FQ29" s="139">
        <f>FP29*100/$E$29</f>
        <v/>
      </c>
      <c r="FR29" s="133" t="n"/>
      <c r="FS29" s="139">
        <f>FR29*100/$E$29</f>
        <v/>
      </c>
      <c r="FT29" s="133" t="n"/>
      <c r="FU29" s="139">
        <f>FT29*100/$E$29</f>
        <v/>
      </c>
      <c r="FV29" s="133" t="n"/>
      <c r="FW29" s="139">
        <f>FV29*100/$E$29</f>
        <v/>
      </c>
      <c r="FX29" s="133" t="n"/>
      <c r="FY29" s="140">
        <f>FX29*100/$E$29</f>
        <v/>
      </c>
      <c r="FZ29" s="133" t="n"/>
      <c r="GA29" s="140">
        <f>FZ29*100/$E$29</f>
        <v/>
      </c>
      <c r="GB29" s="133" t="n"/>
      <c r="GC29" s="140">
        <f>GB29*100/$E$29</f>
        <v/>
      </c>
      <c r="GD29" s="133" t="n"/>
      <c r="GE29" s="140">
        <f>GD29*100/$E$29</f>
        <v/>
      </c>
      <c r="GF29" s="133" t="n"/>
      <c r="GG29" s="140">
        <f>GF29*100/$E$29</f>
        <v/>
      </c>
      <c r="GH29" s="133" t="n"/>
      <c r="GI29" s="140">
        <f>GH29*100/$E$29</f>
        <v/>
      </c>
      <c r="GJ29" s="133" t="n"/>
      <c r="GK29" s="139">
        <f>GJ29*100/$E$29</f>
        <v/>
      </c>
      <c r="GL29" s="133" t="n"/>
      <c r="GM29" s="140">
        <f>GL29*100/$E$29</f>
        <v/>
      </c>
      <c r="GN29" s="133" t="n"/>
      <c r="GO29" s="139">
        <f>GN29*100/$E$29</f>
        <v/>
      </c>
      <c r="GP29" s="133" t="n"/>
      <c r="GQ29" s="140">
        <f>GP29*100/$E$29</f>
        <v/>
      </c>
      <c r="GR29" s="133" t="n">
        <v>12</v>
      </c>
      <c r="GS29" s="139">
        <f>GR29*100/$E$29</f>
        <v/>
      </c>
      <c r="GT29" s="133" t="n">
        <v>10</v>
      </c>
      <c r="GU29" s="139">
        <f>GT29*100/$E$29</f>
        <v/>
      </c>
      <c r="GV29" s="133" t="n"/>
      <c r="GW29" s="139">
        <f>GV29*100/$E$29</f>
        <v/>
      </c>
      <c r="GX29" s="133" t="n"/>
      <c r="GY29" s="140">
        <f>GX29*100/$E$29</f>
        <v/>
      </c>
      <c r="GZ29" s="133" t="n"/>
      <c r="HA29" s="140">
        <f>GZ29*100/$E$29</f>
        <v/>
      </c>
      <c r="HB29" s="133" t="n"/>
      <c r="HC29" s="140">
        <f>HB29*100/$E$29</f>
        <v/>
      </c>
      <c r="HD29" s="133" t="n"/>
      <c r="HE29" s="140">
        <f>HD29*100/$E$29</f>
        <v/>
      </c>
      <c r="HF29" s="133" t="n"/>
      <c r="HG29" s="140">
        <f>HF29*100/$E$29</f>
        <v/>
      </c>
      <c r="HH29" s="133" t="n"/>
      <c r="HI29" s="140">
        <f>HH29*100/$E$29</f>
        <v/>
      </c>
      <c r="HJ29" s="133" t="n"/>
      <c r="HK29" s="140">
        <f>HJ29*100/$E$29</f>
        <v/>
      </c>
      <c r="HL29" s="133" t="n"/>
      <c r="HM29" s="140">
        <f>HL29*100/$E$29</f>
        <v/>
      </c>
      <c r="HN29" s="133" t="n"/>
      <c r="HO29" s="140">
        <f>HN29*100/$E$29</f>
        <v/>
      </c>
      <c r="HP29" s="133" t="n"/>
      <c r="HQ29" s="140">
        <f>HP29*100/$E$29</f>
        <v/>
      </c>
      <c r="HR29" s="133" t="n"/>
      <c r="HS29" s="140">
        <f>HR29*100/$E$29</f>
        <v/>
      </c>
      <c r="HT29" s="133">
        <f>2+12+12+12+12</f>
        <v/>
      </c>
      <c r="HU29" s="140">
        <f>HT29*100/$E$29</f>
        <v/>
      </c>
      <c r="HV29" s="133" t="n"/>
      <c r="HW29" s="140">
        <f>HV29*100/$E$29</f>
        <v/>
      </c>
      <c r="HX29" s="133" t="n"/>
      <c r="HY29" s="140">
        <f>HX29*100/$E$29</f>
        <v/>
      </c>
      <c r="HZ29" s="133" t="n"/>
      <c r="IA29" s="139">
        <f>HZ29*100/$E$29</f>
        <v/>
      </c>
      <c r="IB29" s="133" t="n"/>
      <c r="IC29" s="139">
        <f>IB29*100/$E$29</f>
        <v/>
      </c>
      <c r="ID29" s="133" t="n"/>
      <c r="IE29" s="139">
        <f>ID29*100/$E$29</f>
        <v/>
      </c>
      <c r="IF29" s="133" t="n"/>
      <c r="IG29" s="139">
        <f>IF29*100/$E$29</f>
        <v/>
      </c>
      <c r="IH29" s="133" t="n"/>
      <c r="II29" s="139">
        <f>IH29*100/$E$29</f>
        <v/>
      </c>
      <c r="IJ29" s="133" t="n"/>
      <c r="IK29" s="139">
        <f>IJ29*100/$E$29</f>
        <v/>
      </c>
      <c r="IL29" s="133" t="n"/>
      <c r="IM29" s="140">
        <f>IL29*100/$E$29</f>
        <v/>
      </c>
      <c r="IN29" s="133" t="n"/>
      <c r="IO29" s="140">
        <f>IN29*100/$E$29</f>
        <v/>
      </c>
      <c r="IP29" s="133" t="n"/>
      <c r="IQ29" s="139">
        <f>IP29*100/$E$29</f>
        <v/>
      </c>
      <c r="IR29" s="133" t="n"/>
      <c r="IS29" s="139">
        <f>IR29*100/$E$29</f>
        <v/>
      </c>
      <c r="IT29" s="133" t="n"/>
      <c r="IU29" s="139">
        <f>IT29*100/$E$29</f>
        <v/>
      </c>
      <c r="IV29" s="133" t="n"/>
      <c r="IW29" s="139">
        <f>IV29*100/$E$29</f>
        <v/>
      </c>
      <c r="IX29" s="133" t="n"/>
      <c r="IY29" s="139">
        <f>IX29*100/$E$29</f>
        <v/>
      </c>
      <c r="IZ29" s="133" t="n"/>
      <c r="JA29" s="139">
        <f>IZ29*100/$E$29</f>
        <v/>
      </c>
      <c r="JB29" s="133" t="n"/>
      <c r="JC29" s="139">
        <f>JB29*100/$E$29</f>
        <v/>
      </c>
      <c r="JD29" s="133" t="n"/>
      <c r="JE29" s="139">
        <f>JD29*100/$E$29</f>
        <v/>
      </c>
      <c r="JF29" s="133" t="n"/>
      <c r="JG29" s="139">
        <f>JF29*100/$E$29</f>
        <v/>
      </c>
      <c r="JH29" s="133" t="n"/>
      <c r="JI29" s="139">
        <f>JH29*100/$E$29</f>
        <v/>
      </c>
      <c r="JJ29" s="133" t="n"/>
      <c r="JK29" s="139">
        <f>JJ29*100/$E$29</f>
        <v/>
      </c>
      <c r="JL29" s="133" t="n"/>
      <c r="JM29" s="139">
        <f>JL29*100/$E$29</f>
        <v/>
      </c>
      <c r="JN29" s="133" t="n"/>
      <c r="JO29" s="139">
        <f>JN29*100/$E$29</f>
        <v/>
      </c>
      <c r="JP29" s="133" t="n"/>
      <c r="JQ29" s="139">
        <f>JP29*100/$E$29</f>
        <v/>
      </c>
      <c r="JR29" s="133" t="n"/>
      <c r="JS29" s="182">
        <f>JR29*100/$E$29</f>
        <v/>
      </c>
      <c r="JT29" s="133" t="n"/>
      <c r="JU29" s="182">
        <f>JT29*100/$E$29</f>
        <v/>
      </c>
      <c r="JV29" s="133" t="n"/>
      <c r="JW29" s="182">
        <f>JV29*100/$E$29</f>
        <v/>
      </c>
      <c r="JX29" s="133" t="n"/>
      <c r="JY29" s="182">
        <f>JX29*100/$E$29</f>
        <v/>
      </c>
      <c r="JZ29" s="183">
        <f>JN29+JP29+JR29+JT29+JV29+JX29</f>
        <v/>
      </c>
      <c r="KA29" s="184">
        <f>JO29+JQ29+JS29+JU29+JW29+JY29</f>
        <v/>
      </c>
      <c r="KB29" s="185">
        <f>H29+J29+L29+N29+P29+R29+T29+V29+X29+Z29+AB29+AD29+AF29+AH29+AJ29+AL29+AN29+AP29+AR29+AT29+AV29+AX29+AZ29+BB29+BD29+BF29+BH29+BJ29+BL29+BN29+BP29+BR29+BT29+BV29+BX29+BZ29+CB29+CD29+CF29+CH29+CZ29+DB29+DD29+DF29+DH29+DJ29+DL29+DN29+DP29+DR29+DT29+DV29+DX29+DZ29+EB29+ED29+EF29+EH29+EJ29+EL29+EN29+EP29+ER29+ET29+EV29+FN29+FP29+FR29+FT29+FV29+FX29+FZ29+GB29+GD29+GF29+GH29+GJ29+GL29+GN29+GP29+GR29+GT29+GV29+GX29+GZ29+HB29+HD29+HF29+HH29+HJ29+HL29+HN29+HP29+HR29+HT29+HV29+HX29+HZ29+IB29+ID29+IF29+IH29+IJ29+IL29+IN29+IP29+IR29+IT29+IV29+IX29+IZ29+JB29+JD29+JF29+JH29+JJ29+JL29+JZ29+CJ29+CL29+CN29+CP29+CR29+CT29+CV29+CX29+EX29+EZ29+FB29+FD29+FF29+FH29+FJ29+FL29</f>
        <v/>
      </c>
      <c r="KC29" s="186">
        <f>I29+K29+M29+O29+Q29+S29+U29+W29+Y29+AA29+AC29+AE29+AG29+AI29+AK29+AM29+AO29+AQ29+AS29+AU29+AW29+AY29+BA29+BC29+BE29+BG29+BI29+BK29+BM29+BO29+BQ29+BS29+BU29+BW29+BY29+CA29+CC29+CE29+CG29+CI29+DA29+DC29+DE29+DG29+DI29+DK29+DM29+DO29+DQ29+DS29+DU29+DW29+DY29+EA29+EC29+EE29+EG29+EI29+EK29+EM29+EO29+EQ29+ES29+EU29+EW29+FO29+FS29+FU29+FW29+FQ29+FY29+GA29+GC29+GE29+GG29+GI29+GK29+GM29+GO29+GQ29+GS29+GU29+GW29+GY29+HA29+HC29+HE29+HG29+HI29+HK29+HM29+HO29+HQ29+HS29+HU29+HW29+HY29+IA29+IC29+IE29+IG29+II29+IK29+IM29+IO29+IQ29+IS29+IU29+IW29+IY29+JA29+JC29+JE29+JG29+JI29+JK29+JM29+KA29+CK29+CM29+CO29+CQ29+CS29+CU29+CW29+CY29+EY29+FA29+FC29+FE29+FG29+FI29+FK29+FM29</f>
        <v/>
      </c>
      <c r="KD29" s="187">
        <f>JO29+JQ29+JS29+JU29+JW29+JY29</f>
        <v/>
      </c>
      <c r="KE29" s="188">
        <f>KB29=E29</f>
        <v/>
      </c>
      <c r="KF29" s="189">
        <f>E29-KB29</f>
        <v/>
      </c>
      <c r="KG29" s="232" t="n"/>
    </row>
    <row r="30" ht="21.75" customFormat="1" customHeight="1" s="212">
      <c r="A30" s="126">
        <f>A29+1</f>
        <v/>
      </c>
      <c r="B30" s="175" t="inlineStr">
        <is>
          <t>Маргиани Г.И.</t>
        </is>
      </c>
      <c r="C30" s="176" t="inlineStr">
        <is>
          <t xml:space="preserve">Оператор СПУ </t>
        </is>
      </c>
      <c r="D30" s="177">
        <f>$D$5</f>
        <v/>
      </c>
      <c r="E30" s="202" t="n">
        <v>179</v>
      </c>
      <c r="F30" s="193" t="n">
        <v>125172.89</v>
      </c>
      <c r="G30" s="179">
        <f>F30/D30</f>
        <v/>
      </c>
      <c r="H30" s="133" t="n"/>
      <c r="I30" s="139">
        <f>H30*100/$E$30</f>
        <v/>
      </c>
      <c r="J30" s="133" t="n"/>
      <c r="K30" s="139">
        <f>J30*100/$E$30</f>
        <v/>
      </c>
      <c r="L30" s="133" t="n"/>
      <c r="M30" s="139">
        <f>L30*100/$E$30</f>
        <v/>
      </c>
      <c r="N30" s="133" t="n"/>
      <c r="O30" s="139">
        <f>N30*100/$E$30</f>
        <v/>
      </c>
      <c r="P30" s="133" t="n"/>
      <c r="Q30" s="139">
        <f>P30*100/$E$30</f>
        <v/>
      </c>
      <c r="R30" s="133" t="n"/>
      <c r="S30" s="139">
        <f>R30*100/$E$30</f>
        <v/>
      </c>
      <c r="T30" s="133" t="n"/>
      <c r="U30" s="139">
        <f>T30*100/$E$30</f>
        <v/>
      </c>
      <c r="V30" s="133" t="n"/>
      <c r="W30" s="139">
        <f>V30*100/$E$30</f>
        <v/>
      </c>
      <c r="X30" s="133" t="n"/>
      <c r="Y30" s="139">
        <f>X30*100/$E$30</f>
        <v/>
      </c>
      <c r="Z30" s="133" t="n"/>
      <c r="AA30" s="139">
        <f>Z30*100/$E$30</f>
        <v/>
      </c>
      <c r="AB30" s="133" t="n">
        <v>4</v>
      </c>
      <c r="AC30" s="139">
        <f>AB30*100/$E$30</f>
        <v/>
      </c>
      <c r="AD30" s="133" t="n"/>
      <c r="AE30" s="139">
        <f>AD30*100/$E$30</f>
        <v/>
      </c>
      <c r="AF30" s="133" t="n"/>
      <c r="AG30" s="139">
        <f>AF30*100/$E$30</f>
        <v/>
      </c>
      <c r="AH30" s="133" t="n"/>
      <c r="AI30" s="139">
        <f>AH30*100/$E$30</f>
        <v/>
      </c>
      <c r="AJ30" s="133" t="n"/>
      <c r="AK30" s="139">
        <f>AJ30*100/$E$30</f>
        <v/>
      </c>
      <c r="AL30" s="133" t="n"/>
      <c r="AM30" s="139">
        <f>AL30*100/$E$30</f>
        <v/>
      </c>
      <c r="AN30" s="133" t="n"/>
      <c r="AO30" s="139">
        <f>AN30*100/$E$30</f>
        <v/>
      </c>
      <c r="AP30" s="133" t="n"/>
      <c r="AQ30" s="139">
        <f>AP30*100/$E$30</f>
        <v/>
      </c>
      <c r="AR30" s="133" t="n"/>
      <c r="AS30" s="139">
        <f>AR30*100/$E$30</f>
        <v/>
      </c>
      <c r="AT30" s="133" t="n"/>
      <c r="AU30" s="181">
        <f>AT30*100/$E$30</f>
        <v/>
      </c>
      <c r="AV30" s="133" t="n"/>
      <c r="AW30" s="139">
        <f>AV30*100/$E$30</f>
        <v/>
      </c>
      <c r="AX30" s="133" t="n"/>
      <c r="AY30" s="139">
        <f>AX30*100/$E$30</f>
        <v/>
      </c>
      <c r="AZ30" s="133" t="n"/>
      <c r="BA30" s="139">
        <f>AZ30*100/$E$30</f>
        <v/>
      </c>
      <c r="BB30" s="133" t="n">
        <v>8</v>
      </c>
      <c r="BC30" s="139">
        <f>BB30*100/$E$30</f>
        <v/>
      </c>
      <c r="BD30" s="133" t="n"/>
      <c r="BE30" s="139">
        <f>BD30*100/$E$30</f>
        <v/>
      </c>
      <c r="BF30" s="133">
        <f>6+4</f>
        <v/>
      </c>
      <c r="BG30" s="139">
        <f>BF30*100/$E$30</f>
        <v/>
      </c>
      <c r="BH30" s="133" t="n">
        <v>8</v>
      </c>
      <c r="BI30" s="139">
        <f>BH30*100/$E$30</f>
        <v/>
      </c>
      <c r="BJ30" s="133">
        <f>2+10</f>
        <v/>
      </c>
      <c r="BK30" s="139">
        <f>BJ30*100/$E$30</f>
        <v/>
      </c>
      <c r="BL30" s="133" t="n"/>
      <c r="BM30" s="139">
        <f>BL30*100/$E$30</f>
        <v/>
      </c>
      <c r="BN30" s="133" t="n"/>
      <c r="BO30" s="139">
        <f>BN30*100/$E$30</f>
        <v/>
      </c>
      <c r="BP30" s="133" t="n"/>
      <c r="BQ30" s="139">
        <f>BP30*100/$E$30</f>
        <v/>
      </c>
      <c r="BR30" s="133" t="n"/>
      <c r="BS30" s="139">
        <f>BR30*100/$E$30</f>
        <v/>
      </c>
      <c r="BT30" s="133" t="n"/>
      <c r="BU30" s="139">
        <f>BT30*100/$E$30</f>
        <v/>
      </c>
      <c r="BV30" s="133" t="n">
        <v>4</v>
      </c>
      <c r="BW30" s="139">
        <f>BV30*100/$E$30</f>
        <v/>
      </c>
      <c r="BX30" s="133" t="n"/>
      <c r="BY30" s="139">
        <f>BX30*100/$E$30</f>
        <v/>
      </c>
      <c r="BZ30" s="133" t="n"/>
      <c r="CA30" s="139">
        <f>BZ30*100/$E$30</f>
        <v/>
      </c>
      <c r="CB30" s="133" t="n">
        <v>12</v>
      </c>
      <c r="CC30" s="139">
        <f>CB30*100/$E$30</f>
        <v/>
      </c>
      <c r="CD30" s="133" t="n"/>
      <c r="CE30" s="139">
        <f>CD30*100/$E$30</f>
        <v/>
      </c>
      <c r="CF30" s="133" t="n">
        <v>6</v>
      </c>
      <c r="CG30" s="139">
        <f>CF30*100/$E$30</f>
        <v/>
      </c>
      <c r="CH30" s="133" t="n"/>
      <c r="CI30" s="139">
        <f>CH30*100/$E$30</f>
        <v/>
      </c>
      <c r="CJ30" s="133" t="n"/>
      <c r="CK30" s="139">
        <f>CJ30*100/$E$30</f>
        <v/>
      </c>
      <c r="CL30" s="133" t="n"/>
      <c r="CM30" s="139">
        <f>CL30*100/$E$30</f>
        <v/>
      </c>
      <c r="CN30" s="133" t="n"/>
      <c r="CO30" s="139">
        <f>CN30*100/$E$30</f>
        <v/>
      </c>
      <c r="CP30" s="133" t="n"/>
      <c r="CQ30" s="139">
        <f>CP30*100/$E$30</f>
        <v/>
      </c>
      <c r="CR30" s="133" t="n"/>
      <c r="CS30" s="139">
        <f>CR30*100/$E$30</f>
        <v/>
      </c>
      <c r="CT30" s="133" t="n"/>
      <c r="CU30" s="139">
        <f>CT30*100/$E$30</f>
        <v/>
      </c>
      <c r="CV30" s="133" t="n"/>
      <c r="CW30" s="139">
        <f>CV30*100/$E$30</f>
        <v/>
      </c>
      <c r="CX30" s="133" t="n"/>
      <c r="CY30" s="139">
        <f>CX30*100/$E$30</f>
        <v/>
      </c>
      <c r="CZ30" s="133" t="n"/>
      <c r="DA30" s="139">
        <f>CZ30*100/$E$30</f>
        <v/>
      </c>
      <c r="DB30" s="133" t="n"/>
      <c r="DC30" s="139">
        <f>DB30*100/$E$30</f>
        <v/>
      </c>
      <c r="DD30" s="133" t="n"/>
      <c r="DE30" s="139">
        <f>DD30*100/$E$30</f>
        <v/>
      </c>
      <c r="DF30" s="133" t="n"/>
      <c r="DG30" s="139">
        <f>DF30*100/$E$30</f>
        <v/>
      </c>
      <c r="DH30" s="133" t="n"/>
      <c r="DI30" s="139">
        <f>DH30*100/$E$30</f>
        <v/>
      </c>
      <c r="DJ30" s="133" t="n"/>
      <c r="DK30" s="139">
        <f>DJ30*100/$E$30</f>
        <v/>
      </c>
      <c r="DL30" s="133" t="n"/>
      <c r="DM30" s="139">
        <f>DL30*100/$E$30</f>
        <v/>
      </c>
      <c r="DN30" s="133" t="n"/>
      <c r="DO30" s="139">
        <f>DN30*100/$E$30</f>
        <v/>
      </c>
      <c r="DP30" s="133" t="n">
        <v>12</v>
      </c>
      <c r="DQ30" s="139">
        <f>DP30*100/$E$30</f>
        <v/>
      </c>
      <c r="DR30" s="133" t="n">
        <v>8</v>
      </c>
      <c r="DS30" s="139">
        <f>DR30*100/$E$30</f>
        <v/>
      </c>
      <c r="DT30" s="133" t="n">
        <v>12</v>
      </c>
      <c r="DU30" s="139">
        <f>DT30*100/$E$30</f>
        <v/>
      </c>
      <c r="DV30" s="133" t="n">
        <v>4</v>
      </c>
      <c r="DW30" s="139">
        <f>DV30*100/$E$30</f>
        <v/>
      </c>
      <c r="DX30" s="133">
        <f>12+8</f>
        <v/>
      </c>
      <c r="DY30" s="139">
        <f>DX30*100/$E$30</f>
        <v/>
      </c>
      <c r="DZ30" s="133" t="n"/>
      <c r="EA30" s="139">
        <f>DZ30*100/$E$30</f>
        <v/>
      </c>
      <c r="EB30" s="133" t="n"/>
      <c r="EC30" s="139">
        <f>EB30*100/$E$30</f>
        <v/>
      </c>
      <c r="ED30" s="133" t="n"/>
      <c r="EE30" s="139">
        <f>ED30*100/$E$30</f>
        <v/>
      </c>
      <c r="EF30" s="133" t="n"/>
      <c r="EG30" s="139">
        <f>EF30*100/$E$30</f>
        <v/>
      </c>
      <c r="EH30" s="133" t="n"/>
      <c r="EI30" s="139">
        <f>EH30*100/$E$30</f>
        <v/>
      </c>
      <c r="EJ30" s="133" t="n"/>
      <c r="EK30" s="139">
        <f>EJ30*100/$E$30</f>
        <v/>
      </c>
      <c r="EL30" s="133" t="n"/>
      <c r="EM30" s="139">
        <f>EL30*100/$E$30</f>
        <v/>
      </c>
      <c r="EN30" s="133" t="n"/>
      <c r="EO30" s="139">
        <f>EN30*100/$E$30</f>
        <v/>
      </c>
      <c r="EP30" s="133" t="n"/>
      <c r="EQ30" s="139">
        <f>EP30*100/$E$30</f>
        <v/>
      </c>
      <c r="ER30" s="133" t="n"/>
      <c r="ES30" s="139">
        <f>ER30*100/$E$30</f>
        <v/>
      </c>
      <c r="ET30" s="133" t="n"/>
      <c r="EU30" s="139">
        <f>ET30*100/$E$30</f>
        <v/>
      </c>
      <c r="EV30" s="133" t="n">
        <v>4</v>
      </c>
      <c r="EW30" s="139">
        <f>EV30*100/$E$30</f>
        <v/>
      </c>
      <c r="EX30" s="133" t="n"/>
      <c r="EY30" s="139">
        <f>EX30*100/$E$30</f>
        <v/>
      </c>
      <c r="EZ30" s="133" t="n"/>
      <c r="FA30" s="139">
        <f>EZ30*100/$E$30</f>
        <v/>
      </c>
      <c r="FB30" s="133" t="n"/>
      <c r="FC30" s="139">
        <f>FB30*100/$E$30</f>
        <v/>
      </c>
      <c r="FD30" s="133" t="n"/>
      <c r="FE30" s="139">
        <f>FD30*100/$E$30</f>
        <v/>
      </c>
      <c r="FF30" s="133" t="n"/>
      <c r="FG30" s="139">
        <f>FF30*100/$E$30</f>
        <v/>
      </c>
      <c r="FH30" s="133" t="n"/>
      <c r="FI30" s="139">
        <f>FH30*100/$E$30</f>
        <v/>
      </c>
      <c r="FJ30" s="133" t="n">
        <v>4</v>
      </c>
      <c r="FK30" s="139">
        <f>FJ30*100/$E$30</f>
        <v/>
      </c>
      <c r="FL30" s="133" t="n"/>
      <c r="FM30" s="139">
        <f>FL30*100/$E$30</f>
        <v/>
      </c>
      <c r="FN30" s="133">
        <f>8+12</f>
        <v/>
      </c>
      <c r="FO30" s="139">
        <f>FN30*100/$E$30</f>
        <v/>
      </c>
      <c r="FP30" s="133" t="n"/>
      <c r="FQ30" s="139">
        <f>FP30*100/$E$30</f>
        <v/>
      </c>
      <c r="FR30" s="133">
        <f>11+6+4</f>
        <v/>
      </c>
      <c r="FS30" s="139">
        <f>FR30*100/$E$30</f>
        <v/>
      </c>
      <c r="FT30" s="133" t="n"/>
      <c r="FU30" s="139">
        <f>FT30*100/$E$30</f>
        <v/>
      </c>
      <c r="FV30" s="133" t="n"/>
      <c r="FW30" s="139">
        <f>FV30*100/$E$30</f>
        <v/>
      </c>
      <c r="FX30" s="133" t="n"/>
      <c r="FY30" s="139">
        <f>FX30*100/$E$30</f>
        <v/>
      </c>
      <c r="FZ30" s="133" t="n"/>
      <c r="GA30" s="139">
        <f>FZ30*100/$E$30</f>
        <v/>
      </c>
      <c r="GB30" s="133" t="n"/>
      <c r="GC30" s="139">
        <f>GB30*100/$E$30</f>
        <v/>
      </c>
      <c r="GD30" s="133" t="n"/>
      <c r="GE30" s="139">
        <f>GD30*100/$E$30</f>
        <v/>
      </c>
      <c r="GF30" s="133" t="n"/>
      <c r="GG30" s="139">
        <f>GF30*100/$E$30</f>
        <v/>
      </c>
      <c r="GH30" s="133" t="n"/>
      <c r="GI30" s="139">
        <f>GH30*100/$E$30</f>
        <v/>
      </c>
      <c r="GJ30" s="133" t="n"/>
      <c r="GK30" s="139">
        <f>GJ30*100/$E$30</f>
        <v/>
      </c>
      <c r="GL30" s="133" t="n"/>
      <c r="GM30" s="139">
        <f>GL30*100/$E$30</f>
        <v/>
      </c>
      <c r="GN30" s="133" t="n"/>
      <c r="GO30" s="139">
        <f>GN30*100/$E$30</f>
        <v/>
      </c>
      <c r="GP30" s="133" t="n"/>
      <c r="GQ30" s="139">
        <f>GP30*100/$E$30</f>
        <v/>
      </c>
      <c r="GR30" s="133" t="n"/>
      <c r="GS30" s="139">
        <f>GR30*100/$E$30</f>
        <v/>
      </c>
      <c r="GT30" s="133" t="n"/>
      <c r="GU30" s="139">
        <f>GT30*100/$E$30</f>
        <v/>
      </c>
      <c r="GV30" s="133" t="n">
        <v>6</v>
      </c>
      <c r="GW30" s="139">
        <f>GV30*100/$E$30</f>
        <v/>
      </c>
      <c r="GX30" s="133" t="n"/>
      <c r="GY30" s="139">
        <f>GX30*100/$E$30</f>
        <v/>
      </c>
      <c r="GZ30" s="133" t="n"/>
      <c r="HA30" s="139">
        <f>GZ30*100/$E$30</f>
        <v/>
      </c>
      <c r="HB30" s="133" t="n"/>
      <c r="HC30" s="139">
        <f>HB30*100/$E$30</f>
        <v/>
      </c>
      <c r="HD30" s="133" t="n"/>
      <c r="HE30" s="139">
        <f>HD30*100/$E$30</f>
        <v/>
      </c>
      <c r="HF30" s="133" t="n"/>
      <c r="HG30" s="139">
        <f>HF30*100/$E$30</f>
        <v/>
      </c>
      <c r="HH30" s="133" t="n"/>
      <c r="HI30" s="139">
        <f>HH30*100/$E$30</f>
        <v/>
      </c>
      <c r="HJ30" s="133" t="n"/>
      <c r="HK30" s="139">
        <f>HJ30*100/$E$30</f>
        <v/>
      </c>
      <c r="HL30" s="133" t="n"/>
      <c r="HM30" s="139">
        <f>HL30*100/$E$30</f>
        <v/>
      </c>
      <c r="HN30" s="133" t="n"/>
      <c r="HO30" s="139">
        <f>HN30*100/$E$30</f>
        <v/>
      </c>
      <c r="HP30" s="133" t="n"/>
      <c r="HQ30" s="139">
        <f>HP30*100/$E$30</f>
        <v/>
      </c>
      <c r="HR30" s="133" t="n"/>
      <c r="HS30" s="139">
        <f>HR30*100/$E$30</f>
        <v/>
      </c>
      <c r="HT30" s="133" t="n"/>
      <c r="HU30" s="139">
        <f>HT30*100/$E$30</f>
        <v/>
      </c>
      <c r="HV30" s="133" t="n"/>
      <c r="HW30" s="139">
        <f>HV30*100/$E$30</f>
        <v/>
      </c>
      <c r="HX30" s="133" t="n"/>
      <c r="HY30" s="139">
        <f>HX30*100/$E$30</f>
        <v/>
      </c>
      <c r="HZ30" s="133" t="n"/>
      <c r="IA30" s="139">
        <f>HZ30*100/$E$30</f>
        <v/>
      </c>
      <c r="IB30" s="133" t="n"/>
      <c r="IC30" s="139">
        <f>IB30*100/$E$30</f>
        <v/>
      </c>
      <c r="ID30" s="133" t="n"/>
      <c r="IE30" s="139">
        <f>ID30*100/$E$30</f>
        <v/>
      </c>
      <c r="IF30" s="133" t="n"/>
      <c r="IG30" s="139">
        <f>IF30*100/$E$30</f>
        <v/>
      </c>
      <c r="IH30" s="133" t="n"/>
      <c r="II30" s="139">
        <f>IH30*100/$E$30</f>
        <v/>
      </c>
      <c r="IJ30" s="133" t="n"/>
      <c r="IK30" s="139">
        <f>IJ30*100/$E$30</f>
        <v/>
      </c>
      <c r="IL30" s="133" t="n"/>
      <c r="IM30" s="139">
        <f>IL30*100/$E$30</f>
        <v/>
      </c>
      <c r="IN30" s="133" t="n"/>
      <c r="IO30" s="139">
        <f>IN30*100/$E$30</f>
        <v/>
      </c>
      <c r="IP30" s="133" t="n"/>
      <c r="IQ30" s="139">
        <f>IP30*100/$E$30</f>
        <v/>
      </c>
      <c r="IR30" s="133" t="n"/>
      <c r="IS30" s="139">
        <f>IR30*100/$E$30</f>
        <v/>
      </c>
      <c r="IT30" s="133" t="n"/>
      <c r="IU30" s="139">
        <f>IT30*100/$E$30</f>
        <v/>
      </c>
      <c r="IV30" s="133" t="n"/>
      <c r="IW30" s="139">
        <f>IV30*100/$E$30</f>
        <v/>
      </c>
      <c r="IX30" s="133" t="n"/>
      <c r="IY30" s="139">
        <f>IX30*100/$E$30</f>
        <v/>
      </c>
      <c r="IZ30" s="133" t="n"/>
      <c r="JA30" s="139">
        <f>IZ30*100/$E$30</f>
        <v/>
      </c>
      <c r="JB30" s="133" t="n"/>
      <c r="JC30" s="139">
        <f>JB30*100/$E$30</f>
        <v/>
      </c>
      <c r="JD30" s="133" t="n"/>
      <c r="JE30" s="139">
        <f>JD30*100/$E$30</f>
        <v/>
      </c>
      <c r="JF30" s="133" t="n"/>
      <c r="JG30" s="139">
        <f>JF30*100/$E$30</f>
        <v/>
      </c>
      <c r="JH30" s="133" t="n"/>
      <c r="JI30" s="139">
        <f>JH30*100/$E$30</f>
        <v/>
      </c>
      <c r="JJ30" s="133" t="n"/>
      <c r="JK30" s="139">
        <f>JJ30*100/$E$30</f>
        <v/>
      </c>
      <c r="JL30" s="133">
        <f>2+2</f>
        <v/>
      </c>
      <c r="JM30" s="139">
        <f>JL30*100/$E$30</f>
        <v/>
      </c>
      <c r="JN30" s="133" t="n"/>
      <c r="JO30" s="139">
        <f>JN30*100/$E$30</f>
        <v/>
      </c>
      <c r="JP30" s="133" t="n"/>
      <c r="JQ30" s="139">
        <f>JP30*100/$E$30</f>
        <v/>
      </c>
      <c r="JR30" s="133" t="n"/>
      <c r="JS30" s="139">
        <f>JR30*100/$E$30</f>
        <v/>
      </c>
      <c r="JT30" s="133" t="n"/>
      <c r="JU30" s="139">
        <f>JT30*100/$E$30</f>
        <v/>
      </c>
      <c r="JV30" s="133" t="n"/>
      <c r="JW30" s="139">
        <f>JV30*100/$E$30</f>
        <v/>
      </c>
      <c r="JX30" s="133" t="n"/>
      <c r="JY30" s="139">
        <f>JX30*100/$E$30</f>
        <v/>
      </c>
      <c r="JZ30" s="183">
        <f>JN30+JP30+JR30+JT30+JV30+JX30</f>
        <v/>
      </c>
      <c r="KA30" s="184">
        <f>JO30+JQ30+JS30+JU30+JW30+JY30</f>
        <v/>
      </c>
      <c r="KB30" s="185">
        <f>H30+J30+L30+N30+P30+R30+T30+V30+X30+Z30+AB30+AD30+AF30+AH30+AJ30+AL30+AN30+AP30+AR30+AT30+AV30+AX30+AZ30+BB30+BD30+BF30+BH30+BJ30+BL30+BN30+BP30+BR30+BT30+BV30+BX30+BZ30+CB30+CD30+CF30+CH30+CZ30+DB30+DD30+DF30+DH30+DJ30+DL30+DN30+DP30+DR30+DT30+DV30+DX30+DZ30+EB30+ED30+EF30+EH30+EJ30+EL30+EN30+EP30+ER30+ET30+EV30+FN30+FP30+FR30+FT30+FV30+FX30+FZ30+GB30+GD30+GF30+GH30+GJ30+GL30+GN30+GP30+GR30+GT30+GV30+GX30+GZ30+HB30+HD30+HF30+HH30+HJ30+HL30+HN30+HP30+HR30+HT30+HV30+HX30+HZ30+IB30+ID30+IF30+IH30+IJ30+IL30+IN30+IP30+IR30+IT30+IV30+IX30+IZ30+JB30+JD30+JF30+JH30+JJ30+JL30+JZ30+CJ30+CL30+CN30+CP30+CR30+CT30+CV30+CX30+EX30+EZ30+FB30+FD30+FF30+FH30+FJ30+FL30</f>
        <v/>
      </c>
      <c r="KC30" s="186">
        <f>I30+K30+M30+O30+Q30+S30+U30+W30+Y30+AA30+AC30+AE30+AG30+AI30+AK30+AM30+AO30+AQ30+AS30+AU30+AW30+AY30+BA30+BC30+BE30+BG30+BI30+BK30+BM30+BO30+BQ30+BS30+BU30+BW30+BY30+CA30+CC30+CE30+CG30+CI30+DA30+DC30+DE30+DG30+DI30+DK30+DM30+DO30+DQ30+DS30+DU30+DW30+DY30+EA30+EC30+EE30+EG30+EI30+EK30+EM30+EO30+EQ30+ES30+EU30+EW30+FO30+FS30+FU30+FW30+FQ30+FY30+GA30+GC30+GE30+GG30+GI30+GK30+GM30+GO30+GQ30+GS30+GU30+GW30+GY30+HA30+HC30+HE30+HG30+HI30+HK30+HM30+HO30+HQ30+HS30+HU30+HW30+HY30+IA30+IC30+IE30+IG30+II30+IK30+IM30+IO30+IQ30+IS30+IU30+IW30+IY30+JA30+JC30+JE30+JG30+JI30+JK30+JM30+KA30+CK30+CM30+CO30+CQ30+CS30+CU30+CW30+CY30+EY30+FA30+FC30+FE30+FG30+FI30+FK30+FM30</f>
        <v/>
      </c>
      <c r="KD30" s="187">
        <f>JO30+JQ30+JS30+JU30+JW30+JY30</f>
        <v/>
      </c>
      <c r="KE30" s="188">
        <f>KB30=E30</f>
        <v/>
      </c>
      <c r="KF30" s="189">
        <f>E30-KB30</f>
        <v/>
      </c>
      <c r="KG30" s="232" t="n"/>
    </row>
    <row r="31" ht="29.25" customFormat="1" customHeight="1" s="232">
      <c r="A31" s="126">
        <f>A30+1</f>
        <v/>
      </c>
      <c r="B31" s="175" t="inlineStr">
        <is>
          <t>Михеев В.О.</t>
        </is>
      </c>
      <c r="C31" s="194" t="inlineStr">
        <is>
          <t>электрогазосварщик</t>
        </is>
      </c>
      <c r="D31" s="177">
        <f>$D$5</f>
        <v/>
      </c>
      <c r="E31" s="202" t="n">
        <v>111</v>
      </c>
      <c r="F31" s="193" t="n">
        <v>80460.89999999999</v>
      </c>
      <c r="G31" s="179">
        <f>F31/D31</f>
        <v/>
      </c>
      <c r="H31" s="180" t="n"/>
      <c r="I31" s="140">
        <f>H31*100/$E$31</f>
        <v/>
      </c>
      <c r="J31" s="133" t="n"/>
      <c r="K31" s="140">
        <f>J31*100/$E$31</f>
        <v/>
      </c>
      <c r="L31" s="133" t="n"/>
      <c r="M31" s="140">
        <f>L31*100/$E$31</f>
        <v/>
      </c>
      <c r="N31" s="133" t="n"/>
      <c r="O31" s="140">
        <f>N31*100/$E$31</f>
        <v/>
      </c>
      <c r="P31" s="133" t="n"/>
      <c r="Q31" s="139">
        <f>P31*100/$E$31</f>
        <v/>
      </c>
      <c r="R31" s="133" t="n"/>
      <c r="S31" s="139">
        <f>R31*100/$E$31</f>
        <v/>
      </c>
      <c r="T31" s="133" t="n"/>
      <c r="U31" s="140">
        <f>T31*100/$E$31</f>
        <v/>
      </c>
      <c r="V31" s="133" t="n"/>
      <c r="W31" s="140">
        <f>V31*100/$E$31</f>
        <v/>
      </c>
      <c r="X31" s="133" t="n"/>
      <c r="Y31" s="140">
        <f>X31*100/$E$31</f>
        <v/>
      </c>
      <c r="Z31" s="133" t="n"/>
      <c r="AA31" s="140">
        <f>Z31*100/$E$31</f>
        <v/>
      </c>
      <c r="AB31" s="133" t="n"/>
      <c r="AC31" s="140">
        <f>AB31*100/$E$31</f>
        <v/>
      </c>
      <c r="AD31" s="133" t="n"/>
      <c r="AE31" s="139">
        <f>AD31*100/$E$31</f>
        <v/>
      </c>
      <c r="AF31" s="133" t="n"/>
      <c r="AG31" s="139">
        <f>AF31*100/$E$31</f>
        <v/>
      </c>
      <c r="AH31" s="133" t="n"/>
      <c r="AI31" s="140">
        <f>AH31*100/$E$31</f>
        <v/>
      </c>
      <c r="AJ31" s="133" t="n"/>
      <c r="AK31" s="140">
        <f>AJ31*100/$E$31</f>
        <v/>
      </c>
      <c r="AL31" s="133" t="n"/>
      <c r="AM31" s="140">
        <f>AL31*100/$E$31</f>
        <v/>
      </c>
      <c r="AN31" s="133" t="n"/>
      <c r="AO31" s="140">
        <f>AN31*100/$E$31</f>
        <v/>
      </c>
      <c r="AP31" s="133" t="n"/>
      <c r="AQ31" s="140">
        <f>AP31*100/$E$31</f>
        <v/>
      </c>
      <c r="AR31" s="133" t="n"/>
      <c r="AS31" s="140">
        <f>AR31*100/$E$31</f>
        <v/>
      </c>
      <c r="AT31" s="133" t="n"/>
      <c r="AU31" s="181">
        <f>AT31*100/$E$31</f>
        <v/>
      </c>
      <c r="AV31" s="133" t="n"/>
      <c r="AW31" s="140">
        <f>AV31*100/$E$31</f>
        <v/>
      </c>
      <c r="AX31" s="133" t="n"/>
      <c r="AY31" s="140">
        <f>AX31*100/$E$31</f>
        <v/>
      </c>
      <c r="AZ31" s="133" t="n"/>
      <c r="BA31" s="140">
        <f>AZ31*100/$E$31</f>
        <v/>
      </c>
      <c r="BB31" s="133" t="n"/>
      <c r="BC31" s="140">
        <f>BB31*100/$E$31</f>
        <v/>
      </c>
      <c r="BD31" s="133" t="n">
        <v>8</v>
      </c>
      <c r="BE31" s="140">
        <f>BD31*100/$E$31</f>
        <v/>
      </c>
      <c r="BF31" s="133" t="n"/>
      <c r="BG31" s="140">
        <f>BF31*100/$E$31</f>
        <v/>
      </c>
      <c r="BH31" s="133" t="n"/>
      <c r="BI31" s="140">
        <f>BH31*100/$E$31</f>
        <v/>
      </c>
      <c r="BJ31" s="133" t="n"/>
      <c r="BK31" s="140">
        <f>BJ31*100/$E$31</f>
        <v/>
      </c>
      <c r="BL31" s="133" t="n"/>
      <c r="BM31" s="140">
        <f>BL31*100/$E$31</f>
        <v/>
      </c>
      <c r="BN31" s="133" t="n"/>
      <c r="BO31" s="140">
        <f>BN31*100/$E$31</f>
        <v/>
      </c>
      <c r="BP31" s="133" t="n"/>
      <c r="BQ31" s="140">
        <f>BP31*100/$E$31</f>
        <v/>
      </c>
      <c r="BR31" s="133" t="n"/>
      <c r="BS31" s="140">
        <f>BR31*100/$E$31</f>
        <v/>
      </c>
      <c r="BT31" s="133" t="n"/>
      <c r="BU31" s="140">
        <f>BT31*100/$E$31</f>
        <v/>
      </c>
      <c r="BV31" s="133" t="n"/>
      <c r="BW31" s="140">
        <f>BV31*100/$E$31</f>
        <v/>
      </c>
      <c r="BX31" s="133" t="n"/>
      <c r="BY31" s="140">
        <f>BX31*100/$E$31</f>
        <v/>
      </c>
      <c r="BZ31" s="133" t="n"/>
      <c r="CA31" s="140">
        <f>BZ31*100/$E$31</f>
        <v/>
      </c>
      <c r="CB31" s="133" t="n"/>
      <c r="CC31" s="140">
        <f>CB31*100/$E$31</f>
        <v/>
      </c>
      <c r="CD31" s="133" t="n"/>
      <c r="CE31" s="140">
        <f>CD31*100/$E$31</f>
        <v/>
      </c>
      <c r="CF31" s="133" t="n"/>
      <c r="CG31" s="140">
        <f>CF31*100/$E$31</f>
        <v/>
      </c>
      <c r="CH31" s="133" t="n"/>
      <c r="CI31" s="140">
        <f>CH31*100/$E$31</f>
        <v/>
      </c>
      <c r="CJ31" s="133" t="n"/>
      <c r="CK31" s="140">
        <f>CJ31*100/$E$31</f>
        <v/>
      </c>
      <c r="CL31" s="133" t="n"/>
      <c r="CM31" s="140">
        <f>CL31*100/$E$31</f>
        <v/>
      </c>
      <c r="CN31" s="133" t="n"/>
      <c r="CO31" s="139">
        <f>CN31*100/$E$31</f>
        <v/>
      </c>
      <c r="CP31" s="133" t="n"/>
      <c r="CQ31" s="140">
        <f>CP31*100/$E$31</f>
        <v/>
      </c>
      <c r="CR31" s="133" t="n"/>
      <c r="CS31" s="139">
        <f>CR31*100/$E$31</f>
        <v/>
      </c>
      <c r="CT31" s="133" t="n"/>
      <c r="CU31" s="139">
        <f>CT31*100/$E$31</f>
        <v/>
      </c>
      <c r="CV31" s="133" t="n"/>
      <c r="CW31" s="139">
        <f>CV31*100/$E$31</f>
        <v/>
      </c>
      <c r="CX31" s="133" t="n">
        <v>4</v>
      </c>
      <c r="CY31" s="139">
        <f>CX31*100/$E$31</f>
        <v/>
      </c>
      <c r="CZ31" s="133" t="n">
        <v>4</v>
      </c>
      <c r="DA31" s="139">
        <f>CZ31*100/$E$31</f>
        <v/>
      </c>
      <c r="DB31" s="133" t="n"/>
      <c r="DC31" s="139">
        <f>DB31*100/$E$31</f>
        <v/>
      </c>
      <c r="DD31" s="133" t="n"/>
      <c r="DE31" s="139">
        <f>DD31*100/$E$31</f>
        <v/>
      </c>
      <c r="DF31" s="133" t="n"/>
      <c r="DG31" s="139">
        <f>DF31*100/$E$31</f>
        <v/>
      </c>
      <c r="DH31" s="133" t="n"/>
      <c r="DI31" s="139">
        <f>DH31*100/$E$31</f>
        <v/>
      </c>
      <c r="DJ31" s="133" t="n"/>
      <c r="DK31" s="139">
        <f>DJ31*100/$E$31</f>
        <v/>
      </c>
      <c r="DL31" s="133" t="n"/>
      <c r="DM31" s="139">
        <f>DL31*100/$E$31</f>
        <v/>
      </c>
      <c r="DN31" s="133" t="n"/>
      <c r="DO31" s="139">
        <f>DN31*100/$E$31</f>
        <v/>
      </c>
      <c r="DP31" s="133" t="n"/>
      <c r="DQ31" s="139">
        <f>DP31*100/$E$31</f>
        <v/>
      </c>
      <c r="DR31" s="133" t="n"/>
      <c r="DS31" s="139">
        <f>DR31*100/$E$31</f>
        <v/>
      </c>
      <c r="DT31" s="133" t="n"/>
      <c r="DU31" s="139">
        <f>DT31*100/$E$31</f>
        <v/>
      </c>
      <c r="DV31" s="133" t="n"/>
      <c r="DW31" s="139">
        <f>DV31*100/$E$31</f>
        <v/>
      </c>
      <c r="DX31" s="133" t="n"/>
      <c r="DY31" s="139">
        <f>DX31*100/$E$31</f>
        <v/>
      </c>
      <c r="DZ31" s="133" t="n"/>
      <c r="EA31" s="139">
        <f>DZ31*100/$E$31</f>
        <v/>
      </c>
      <c r="EB31" s="133" t="n"/>
      <c r="EC31" s="139">
        <f>EB31*100/$E$31</f>
        <v/>
      </c>
      <c r="ED31" s="133" t="n"/>
      <c r="EE31" s="139">
        <f>ED31*100/$E$31</f>
        <v/>
      </c>
      <c r="EF31" s="133" t="n"/>
      <c r="EG31" s="139">
        <f>EF31*100/$E$31</f>
        <v/>
      </c>
      <c r="EH31" s="133" t="n"/>
      <c r="EI31" s="139">
        <f>EH31*100/$E$31</f>
        <v/>
      </c>
      <c r="EJ31" s="133" t="n"/>
      <c r="EK31" s="139">
        <f>EJ31*100/$E$31</f>
        <v/>
      </c>
      <c r="EL31" s="133" t="n"/>
      <c r="EM31" s="139">
        <f>EL31*100/$E$31</f>
        <v/>
      </c>
      <c r="EN31" s="133" t="n"/>
      <c r="EO31" s="139">
        <f>EN31*100/$E$31</f>
        <v/>
      </c>
      <c r="EP31" s="133" t="n"/>
      <c r="EQ31" s="139">
        <f>EP31*100/$E$31</f>
        <v/>
      </c>
      <c r="ER31" s="133" t="n"/>
      <c r="ES31" s="139">
        <f>ER31*100/$E$31</f>
        <v/>
      </c>
      <c r="ET31" s="133" t="n"/>
      <c r="EU31" s="139">
        <f>ET31*100/$E$31</f>
        <v/>
      </c>
      <c r="EV31" s="133" t="n"/>
      <c r="EW31" s="139">
        <f>EV31*100/$E$31</f>
        <v/>
      </c>
      <c r="EX31" s="133" t="n"/>
      <c r="EY31" s="139">
        <f>EX31*100/$E$31</f>
        <v/>
      </c>
      <c r="EZ31" s="133" t="n"/>
      <c r="FA31" s="139">
        <f>EZ31*100/$E$31</f>
        <v/>
      </c>
      <c r="FB31" s="133" t="n"/>
      <c r="FC31" s="139">
        <f>FB31*100/$E$31</f>
        <v/>
      </c>
      <c r="FD31" s="133" t="n"/>
      <c r="FE31" s="139">
        <f>FD31*100/$E$31</f>
        <v/>
      </c>
      <c r="FF31" s="133" t="n"/>
      <c r="FG31" s="139">
        <f>FF31*100/$E$31</f>
        <v/>
      </c>
      <c r="FH31" s="133" t="n"/>
      <c r="FI31" s="139">
        <f>FH31*100/$E$31</f>
        <v/>
      </c>
      <c r="FJ31" s="133" t="n"/>
      <c r="FK31" s="139">
        <f>FJ31*100/$E$31</f>
        <v/>
      </c>
      <c r="FL31" s="133" t="n"/>
      <c r="FM31" s="139">
        <f>FL31*100/$E$31</f>
        <v/>
      </c>
      <c r="FN31" s="133" t="n"/>
      <c r="FO31" s="139">
        <f>FN31*100/$E$31</f>
        <v/>
      </c>
      <c r="FP31" s="133" t="n"/>
      <c r="FQ31" s="139">
        <f>FP31*100/$E$31</f>
        <v/>
      </c>
      <c r="FR31" s="133" t="n"/>
      <c r="FS31" s="139">
        <f>FR31*100/$E$31</f>
        <v/>
      </c>
      <c r="FT31" s="133" t="n"/>
      <c r="FU31" s="139">
        <f>FT31*100/$E$31</f>
        <v/>
      </c>
      <c r="FV31" s="133" t="n"/>
      <c r="FW31" s="139">
        <f>FV31*100/$E$31</f>
        <v/>
      </c>
      <c r="FX31" s="133" t="n"/>
      <c r="FY31" s="140">
        <f>FX31*100/$E$31</f>
        <v/>
      </c>
      <c r="FZ31" s="133" t="n"/>
      <c r="GA31" s="140">
        <f>FZ31*100/$E$31</f>
        <v/>
      </c>
      <c r="GB31" s="133" t="n"/>
      <c r="GC31" s="140">
        <f>GB31*100/$E$31</f>
        <v/>
      </c>
      <c r="GD31" s="133" t="n"/>
      <c r="GE31" s="140">
        <f>GD31*100/$E$31</f>
        <v/>
      </c>
      <c r="GF31" s="133" t="n"/>
      <c r="GG31" s="140">
        <f>GF31*100/$E$31</f>
        <v/>
      </c>
      <c r="GH31" s="133" t="n"/>
      <c r="GI31" s="140">
        <f>GH31*100/$E$31</f>
        <v/>
      </c>
      <c r="GJ31" s="133" t="n"/>
      <c r="GK31" s="139">
        <f>GJ31*100/$E$31</f>
        <v/>
      </c>
      <c r="GL31" s="133" t="n"/>
      <c r="GM31" s="140">
        <f>GL31*100/$E$31</f>
        <v/>
      </c>
      <c r="GN31" s="133" t="n"/>
      <c r="GO31" s="139">
        <f>GN31*100/$E$31</f>
        <v/>
      </c>
      <c r="GP31" s="133" t="n"/>
      <c r="GQ31" s="140">
        <f>GP31*100/$E$31</f>
        <v/>
      </c>
      <c r="GR31" s="133" t="n"/>
      <c r="GS31" s="139">
        <f>GR31*100/$E$31</f>
        <v/>
      </c>
      <c r="GT31" s="133" t="n"/>
      <c r="GU31" s="139">
        <f>GT31*100/$E$31</f>
        <v/>
      </c>
      <c r="GV31" s="133" t="n"/>
      <c r="GW31" s="139">
        <f>GV31*100/$E$31</f>
        <v/>
      </c>
      <c r="GX31" s="133" t="n"/>
      <c r="GY31" s="140">
        <f>GX31*100/$E$31</f>
        <v/>
      </c>
      <c r="GZ31" s="133" t="n"/>
      <c r="HA31" s="140">
        <f>GZ31*100/$E$31</f>
        <v/>
      </c>
      <c r="HB31" s="133" t="n"/>
      <c r="HC31" s="140">
        <f>HB31*100/$E$31</f>
        <v/>
      </c>
      <c r="HD31" s="133" t="n"/>
      <c r="HE31" s="140">
        <f>HD31*100/$E$31</f>
        <v/>
      </c>
      <c r="HF31" s="133" t="n"/>
      <c r="HG31" s="140">
        <f>HF31*100/$E$31</f>
        <v/>
      </c>
      <c r="HH31" s="133" t="n"/>
      <c r="HI31" s="140">
        <f>HH31*100/$E$31</f>
        <v/>
      </c>
      <c r="HJ31" s="133" t="n"/>
      <c r="HK31" s="140">
        <f>HJ31*100/$E$31</f>
        <v/>
      </c>
      <c r="HL31" s="133" t="n"/>
      <c r="HM31" s="140">
        <f>HL31*100/$E$31</f>
        <v/>
      </c>
      <c r="HN31" s="133" t="n"/>
      <c r="HO31" s="140">
        <f>HN31*100/$E$31</f>
        <v/>
      </c>
      <c r="HP31" s="133" t="n"/>
      <c r="HQ31" s="140">
        <f>HP31*100/$E$31</f>
        <v/>
      </c>
      <c r="HR31" s="133" t="n"/>
      <c r="HS31" s="140">
        <f>HR31*100/$E$31</f>
        <v/>
      </c>
      <c r="HT31" s="133" t="n"/>
      <c r="HU31" s="140">
        <f>HT31*100/$E$31</f>
        <v/>
      </c>
      <c r="HV31" s="133" t="n"/>
      <c r="HW31" s="140">
        <f>HV31*100/$E$31</f>
        <v/>
      </c>
      <c r="HX31" s="133" t="n"/>
      <c r="HY31" s="140">
        <f>HX31*100/$E$31</f>
        <v/>
      </c>
      <c r="HZ31" s="133" t="n"/>
      <c r="IA31" s="139">
        <f>HZ31*100/$E$31</f>
        <v/>
      </c>
      <c r="IB31" s="133" t="n"/>
      <c r="IC31" s="139">
        <f>IB31*100/$E$31</f>
        <v/>
      </c>
      <c r="ID31" s="133" t="n"/>
      <c r="IE31" s="139">
        <f>ID31*100/$E$31</f>
        <v/>
      </c>
      <c r="IF31" s="133" t="n"/>
      <c r="IG31" s="139">
        <f>IF31*100/$E$31</f>
        <v/>
      </c>
      <c r="IH31" s="133" t="n"/>
      <c r="II31" s="139">
        <f>IH31*100/$E$31</f>
        <v/>
      </c>
      <c r="IJ31" s="133" t="n"/>
      <c r="IK31" s="139">
        <f>IJ31*100/$E$31</f>
        <v/>
      </c>
      <c r="IL31" s="133" t="n"/>
      <c r="IM31" s="140">
        <f>IL31*100/$E$31</f>
        <v/>
      </c>
      <c r="IN31" s="133" t="n"/>
      <c r="IO31" s="140">
        <f>IN31*100/$E$31</f>
        <v/>
      </c>
      <c r="IP31" s="133" t="n"/>
      <c r="IQ31" s="139">
        <f>IP31*100/$E$31</f>
        <v/>
      </c>
      <c r="IR31" s="133" t="n"/>
      <c r="IS31" s="139">
        <f>IR31*100/$E$31</f>
        <v/>
      </c>
      <c r="IT31" s="133" t="n"/>
      <c r="IU31" s="139">
        <f>IT31*100/$E$31</f>
        <v/>
      </c>
      <c r="IV31" s="133" t="n"/>
      <c r="IW31" s="139">
        <f>IV31*100/$E$31</f>
        <v/>
      </c>
      <c r="IX31" s="133" t="n"/>
      <c r="IY31" s="139">
        <f>IX31*100/$E$31</f>
        <v/>
      </c>
      <c r="IZ31" s="133" t="n"/>
      <c r="JA31" s="139">
        <f>IZ31*100/$E$31</f>
        <v/>
      </c>
      <c r="JB31" s="133" t="n"/>
      <c r="JC31" s="139">
        <f>JB31*100/$E$31</f>
        <v/>
      </c>
      <c r="JD31" s="133" t="n"/>
      <c r="JE31" s="139">
        <f>JD31*100/$E$31</f>
        <v/>
      </c>
      <c r="JF31" s="133" t="n"/>
      <c r="JG31" s="139">
        <f>JF31*100/$E$31</f>
        <v/>
      </c>
      <c r="JH31" s="133" t="n"/>
      <c r="JI31" s="139">
        <f>JH31*100/$E$31</f>
        <v/>
      </c>
      <c r="JJ31" s="133" t="n"/>
      <c r="JK31" s="139">
        <f>JJ31*100/$E$31</f>
        <v/>
      </c>
      <c r="JL31" s="133">
        <f>8+11+16+16+16+12</f>
        <v/>
      </c>
      <c r="JM31" s="139">
        <f>JL31*100/$E$31</f>
        <v/>
      </c>
      <c r="JN31" s="133" t="n"/>
      <c r="JO31" s="139">
        <f>JN31*100/$E$31</f>
        <v/>
      </c>
      <c r="JP31" s="133">
        <f>8+8</f>
        <v/>
      </c>
      <c r="JQ31" s="139">
        <f>JP31*100/$E$31</f>
        <v/>
      </c>
      <c r="JR31" s="223" t="n"/>
      <c r="JS31" s="182">
        <f>JR31*100/$E$31</f>
        <v/>
      </c>
      <c r="JT31" s="223" t="n"/>
      <c r="JU31" s="182">
        <f>JT31*100/$E$31</f>
        <v/>
      </c>
      <c r="JV31" s="133" t="n"/>
      <c r="JW31" s="182">
        <f>JV31*100/$E$31</f>
        <v/>
      </c>
      <c r="JX31" s="133" t="n"/>
      <c r="JY31" s="182">
        <f>JX31*100/$E$31</f>
        <v/>
      </c>
      <c r="JZ31" s="183">
        <f>JN31+JP31+JR31+JT31+JV31+JX31</f>
        <v/>
      </c>
      <c r="KA31" s="184">
        <f>JO31+JQ31+JS31+JU31+JW31+JY31</f>
        <v/>
      </c>
      <c r="KB31" s="185">
        <f>H31+J31+L31+N31+P31+R31+T31+V31+X31+Z31+AB31+AD31+AF31+AH31+AJ31+AL31+AN31+AP31+AR31+AT31+AV31+AX31+AZ31+BB31+BD31+BF31+BH31+BJ31+BL31+BN31+BP31+BR31+BT31+BV31+BX31+BZ31+CB31+CD31+CF31+CH31+CZ31+DB31+DD31+DF31+DH31+DJ31+DL31+DN31+DP31+DR31+DT31+DV31+DX31+DZ31+EB31+ED31+EF31+EH31+EJ31+EL31+EN31+EP31+ER31+ET31+EV31+FN31+FP31+FR31+FT31+FV31+FX31+FZ31+GB31+GD31+GF31+GH31+GJ31+GL31+GN31+GP31+GR31+GT31+GV31+GX31+GZ31+HB31+HD31+HF31+HH31+HJ31+HL31+HN31+HP31+HR31+HT31+HV31+HX31+HZ31+IB31+ID31+IF31+IH31+IJ31+IL31+IN31+IP31+IR31+IT31+IV31+IX31+IZ31+JB31+JD31+JF31+JH31+JJ31+JL31+JZ31+CJ31+CL31+CN31+CP31+CR31+CT31+CV31+CX31+EX31+EZ31+FB31+FD31+FF31+FH31+FJ31+FL31</f>
        <v/>
      </c>
      <c r="KC31" s="186">
        <f>I31+K31+M31+O31+Q31+S31+U31+W31+Y31+AA31+AC31+AE31+AG31+AI31+AK31+AM31+AO31+AQ31+AS31+AU31+AW31+AY31+BA31+BC31+BE31+BG31+BI31+BK31+BM31+BO31+BQ31+BS31+BU31+BW31+BY31+CA31+CC31+CE31+CG31+CI31+DA31+DC31+DE31+DG31+DI31+DK31+DM31+DO31+DQ31+DS31+DU31+DW31+DY31+EA31+EC31+EE31+EG31+EI31+EK31+EM31+EO31+EQ31+ES31+EU31+EW31+FO31+FS31+FU31+FW31+FQ31+FY31+GA31+GC31+GE31+GG31+GI31+GK31+GM31+GO31+GQ31+GS31+GU31+GW31+GY31+HA31+HC31+HE31+HG31+HI31+HK31+HM31+HO31+HQ31+HS31+HU31+HW31+HY31+IA31+IC31+IE31+IG31+II31+IK31+IM31+IO31+IQ31+IS31+IU31+IW31+IY31+JA31+JC31+JE31+JG31+JI31+JK31+JM31+KA31+CK31+CM31+CO31+CQ31+CS31+CU31+CW31+CY31+EY31+FA31+FC31+FE31+FG31+FI31+FK31+FM31</f>
        <v/>
      </c>
      <c r="KD31" s="187">
        <f>JO31+JQ31+JS31+JU31+JW31+JY31</f>
        <v/>
      </c>
      <c r="KE31" s="188">
        <f>KB31=E31</f>
        <v/>
      </c>
      <c r="KF31" s="189">
        <f>E31-KB31</f>
        <v/>
      </c>
      <c r="KG31" s="209" t="n"/>
    </row>
    <row r="32" ht="21.75" customFormat="1" customHeight="1" s="232">
      <c r="A32" s="126">
        <f>A31+1</f>
        <v/>
      </c>
      <c r="B32" s="201" t="inlineStr">
        <is>
          <t>Неверов Г.А.</t>
        </is>
      </c>
      <c r="C32" s="194" t="inlineStr">
        <is>
          <t>слесарь</t>
        </is>
      </c>
      <c r="D32" s="177">
        <f>$D$5</f>
        <v/>
      </c>
      <c r="E32" s="202" t="n">
        <v>159</v>
      </c>
      <c r="F32" s="193" t="n">
        <v>75793.14999999999</v>
      </c>
      <c r="G32" s="179">
        <f>F32/D32</f>
        <v/>
      </c>
      <c r="H32" s="180" t="n"/>
      <c r="I32" s="140">
        <f>H32*100/$E$32</f>
        <v/>
      </c>
      <c r="J32" s="133" t="n"/>
      <c r="K32" s="140">
        <f>J32*100/$E$32</f>
        <v/>
      </c>
      <c r="L32" s="133" t="n"/>
      <c r="M32" s="140">
        <f>L32*100/$E$32</f>
        <v/>
      </c>
      <c r="N32" s="133" t="n"/>
      <c r="O32" s="140">
        <f>N32*100/$E$32</f>
        <v/>
      </c>
      <c r="P32" s="133" t="n"/>
      <c r="Q32" s="139">
        <f>P32*100/$E$32</f>
        <v/>
      </c>
      <c r="R32" s="133" t="n"/>
      <c r="S32" s="139">
        <f>R32*100/$E$32</f>
        <v/>
      </c>
      <c r="T32" s="133" t="n"/>
      <c r="U32" s="140">
        <f>T32*100/$E$32</f>
        <v/>
      </c>
      <c r="V32" s="133" t="n"/>
      <c r="W32" s="140">
        <f>V32*100/$E$32</f>
        <v/>
      </c>
      <c r="X32" s="133" t="n"/>
      <c r="Y32" s="140">
        <f>X32*100/$E$32</f>
        <v/>
      </c>
      <c r="Z32" s="133" t="n"/>
      <c r="AA32" s="140">
        <f>Z32*100/$E$32</f>
        <v/>
      </c>
      <c r="AB32" s="133" t="n"/>
      <c r="AC32" s="140">
        <f>AB32*100/$E$32</f>
        <v/>
      </c>
      <c r="AD32" s="133" t="n"/>
      <c r="AE32" s="139">
        <f>AD32*100/$E$32</f>
        <v/>
      </c>
      <c r="AF32" s="133" t="n"/>
      <c r="AG32" s="139">
        <f>AF32*100/$E$32</f>
        <v/>
      </c>
      <c r="AH32" s="133" t="n">
        <v>2</v>
      </c>
      <c r="AI32" s="140">
        <f>AH32*100/$E$32</f>
        <v/>
      </c>
      <c r="AJ32" s="133" t="n">
        <v>5</v>
      </c>
      <c r="AK32" s="140">
        <f>AJ32*100/$E$32</f>
        <v/>
      </c>
      <c r="AL32" s="133" t="n"/>
      <c r="AM32" s="140">
        <f>AL32*100/$E$32</f>
        <v/>
      </c>
      <c r="AN32" s="133" t="n"/>
      <c r="AO32" s="140">
        <f>AN32*100/$E$32</f>
        <v/>
      </c>
      <c r="AP32" s="133" t="n"/>
      <c r="AQ32" s="140">
        <f>AP32*100/$E$32</f>
        <v/>
      </c>
      <c r="AR32" s="133" t="n"/>
      <c r="AS32" s="140">
        <f>AR32*100/$E$32</f>
        <v/>
      </c>
      <c r="AT32" s="133" t="n"/>
      <c r="AU32" s="181">
        <f>AT32*100/$E$32</f>
        <v/>
      </c>
      <c r="AV32" s="133" t="n"/>
      <c r="AW32" s="140">
        <f>AV32*100/$E$32</f>
        <v/>
      </c>
      <c r="AX32" s="133" t="n"/>
      <c r="AY32" s="140">
        <f>AX32*100/$E$32</f>
        <v/>
      </c>
      <c r="AZ32" s="133" t="n"/>
      <c r="BA32" s="139">
        <f>AZ32*100/$E$32</f>
        <v/>
      </c>
      <c r="BB32" s="133" t="n"/>
      <c r="BC32" s="140">
        <f>BB32*100/$E$32</f>
        <v/>
      </c>
      <c r="BD32" s="133" t="n"/>
      <c r="BE32" s="140">
        <f>BD32*100/$E$32</f>
        <v/>
      </c>
      <c r="BF32" s="133" t="n">
        <v>2</v>
      </c>
      <c r="BG32" s="140">
        <f>BF32*100/$E$32</f>
        <v/>
      </c>
      <c r="BH32" s="133" t="n"/>
      <c r="BI32" s="140">
        <f>BH32*100/$E$32</f>
        <v/>
      </c>
      <c r="BJ32" s="133">
        <f>1+1+2+2+3</f>
        <v/>
      </c>
      <c r="BK32" s="140">
        <f>BJ32*100/$E$32</f>
        <v/>
      </c>
      <c r="BL32" s="133" t="n"/>
      <c r="BM32" s="140">
        <f>BL32*100/$E$32</f>
        <v/>
      </c>
      <c r="BN32" s="133" t="n"/>
      <c r="BO32" s="140">
        <f>BN32*100/$E$32</f>
        <v/>
      </c>
      <c r="BP32" s="133" t="n"/>
      <c r="BQ32" s="140">
        <f>BP32*100/$E$32</f>
        <v/>
      </c>
      <c r="BR32" s="133" t="n"/>
      <c r="BS32" s="140">
        <f>BR32*100/$E$32</f>
        <v/>
      </c>
      <c r="BT32" s="133" t="n"/>
      <c r="BU32" s="140">
        <f>BT32*100/$E$32</f>
        <v/>
      </c>
      <c r="BV32" s="133">
        <f>2+5</f>
        <v/>
      </c>
      <c r="BW32" s="140">
        <f>BV32*100/$E$32</f>
        <v/>
      </c>
      <c r="BX32" s="133" t="n"/>
      <c r="BY32" s="140">
        <f>BX32*100/$E$32</f>
        <v/>
      </c>
      <c r="BZ32" s="133" t="n"/>
      <c r="CA32" s="140">
        <f>BZ32*100/$E$32</f>
        <v/>
      </c>
      <c r="CB32" s="133" t="n"/>
      <c r="CC32" s="140">
        <f>CB32*100/$E$32</f>
        <v/>
      </c>
      <c r="CD32" s="133" t="n"/>
      <c r="CE32" s="140">
        <f>CD32*100/$E$32</f>
        <v/>
      </c>
      <c r="CF32" s="133" t="n"/>
      <c r="CG32" s="140">
        <f>CF32*100/$E$32</f>
        <v/>
      </c>
      <c r="CH32" s="133">
        <f>4+3+5</f>
        <v/>
      </c>
      <c r="CI32" s="140">
        <f>CH32*100/$E$32</f>
        <v/>
      </c>
      <c r="CJ32" s="133" t="n"/>
      <c r="CK32" s="140">
        <f>CJ32*100/$E$32</f>
        <v/>
      </c>
      <c r="CL32" s="133" t="n"/>
      <c r="CM32" s="140">
        <f>CL32*100/$E$32</f>
        <v/>
      </c>
      <c r="CN32" s="133">
        <f>3.5+2+2</f>
        <v/>
      </c>
      <c r="CO32" s="139">
        <f>CN32*100/$E$32</f>
        <v/>
      </c>
      <c r="CP32" s="133" t="n"/>
      <c r="CQ32" s="140">
        <f>CP32*100/$E$32</f>
        <v/>
      </c>
      <c r="CR32" s="133">
        <f>3.5+3</f>
        <v/>
      </c>
      <c r="CS32" s="139">
        <f>CR32*100/$E$32</f>
        <v/>
      </c>
      <c r="CT32" s="133" t="n"/>
      <c r="CU32" s="139">
        <f>CT32*100/$E$32</f>
        <v/>
      </c>
      <c r="CV32" s="133" t="n"/>
      <c r="CW32" s="139">
        <f>CV32*100/$E$32</f>
        <v/>
      </c>
      <c r="CX32" s="133" t="n"/>
      <c r="CY32" s="139">
        <f>CX32*100/$E$32</f>
        <v/>
      </c>
      <c r="CZ32" s="133" t="n"/>
      <c r="DA32" s="139">
        <f>CZ32*100/$E$32</f>
        <v/>
      </c>
      <c r="DB32" s="133" t="n"/>
      <c r="DC32" s="139">
        <f>DB32*100/$E$32</f>
        <v/>
      </c>
      <c r="DD32" s="133" t="n"/>
      <c r="DE32" s="139">
        <f>DD32*100/$E$32</f>
        <v/>
      </c>
      <c r="DF32" s="133" t="n"/>
      <c r="DG32" s="139">
        <f>DF32*100/$E$32</f>
        <v/>
      </c>
      <c r="DH32" s="133" t="n"/>
      <c r="DI32" s="139">
        <f>DH32*100/$E$32</f>
        <v/>
      </c>
      <c r="DJ32" s="133" t="n"/>
      <c r="DK32" s="139">
        <f>DJ32*100/$E$32</f>
        <v/>
      </c>
      <c r="DL32" s="133" t="n"/>
      <c r="DM32" s="139">
        <f>DL32*100/$E$32</f>
        <v/>
      </c>
      <c r="DN32" s="133" t="n"/>
      <c r="DO32" s="139">
        <f>DN32*100/$E$32</f>
        <v/>
      </c>
      <c r="DP32" s="133" t="n">
        <v>1</v>
      </c>
      <c r="DQ32" s="139">
        <f>DP32*100/$E$32</f>
        <v/>
      </c>
      <c r="DR32" s="133">
        <f>2+2+3</f>
        <v/>
      </c>
      <c r="DS32" s="140">
        <f>DR32*100/$E$32</f>
        <v/>
      </c>
      <c r="DT32" s="133" t="n"/>
      <c r="DU32" s="139">
        <f>DT32*100/$E$32</f>
        <v/>
      </c>
      <c r="DV32" s="133" t="n"/>
      <c r="DW32" s="139">
        <f>DV32*100/$E$32</f>
        <v/>
      </c>
      <c r="DX32" s="133" t="n"/>
      <c r="DY32" s="139">
        <f>DX32*100/$E$32</f>
        <v/>
      </c>
      <c r="DZ32" s="133" t="n"/>
      <c r="EA32" s="139">
        <f>DZ32*100/$E$32</f>
        <v/>
      </c>
      <c r="EB32" s="133">
        <f>3+4+3</f>
        <v/>
      </c>
      <c r="EC32" s="139">
        <f>EB32*100/$E$32</f>
        <v/>
      </c>
      <c r="ED32" s="133" t="n"/>
      <c r="EE32" s="139">
        <f>ED32*100/$E$32</f>
        <v/>
      </c>
      <c r="EF32" s="133" t="n"/>
      <c r="EG32" s="139">
        <f>EF32*100/$E$32</f>
        <v/>
      </c>
      <c r="EH32" s="133" t="n"/>
      <c r="EI32" s="139">
        <f>EH32*100/$E$32</f>
        <v/>
      </c>
      <c r="EJ32" s="133" t="n"/>
      <c r="EK32" s="139">
        <f>EJ32*100/$E$32</f>
        <v/>
      </c>
      <c r="EL32" s="133" t="n">
        <v>2</v>
      </c>
      <c r="EM32" s="139">
        <f>EL32*100/$E$32</f>
        <v/>
      </c>
      <c r="EN32" s="133" t="n">
        <v>1</v>
      </c>
      <c r="EO32" s="139">
        <f>EN32*100/$E$32</f>
        <v/>
      </c>
      <c r="EP32" s="133" t="n">
        <v>2</v>
      </c>
      <c r="EQ32" s="139">
        <f>EP32*100/$E$32</f>
        <v/>
      </c>
      <c r="ER32" s="133" t="n"/>
      <c r="ES32" s="140">
        <f>ER32*100/$E$32</f>
        <v/>
      </c>
      <c r="ET32" s="133" t="n"/>
      <c r="EU32" s="140">
        <f>ET32*100/$E$32</f>
        <v/>
      </c>
      <c r="EV32" s="133" t="n"/>
      <c r="EW32" s="139">
        <f>EV32*100/$E$32</f>
        <v/>
      </c>
      <c r="EX32" s="133" t="n"/>
      <c r="EY32" s="139">
        <f>EX32*100/$E$32</f>
        <v/>
      </c>
      <c r="EZ32" s="133" t="n"/>
      <c r="FA32" s="139">
        <f>EZ32*100/$E$32</f>
        <v/>
      </c>
      <c r="FB32" s="133" t="n"/>
      <c r="FC32" s="139">
        <f>FB32*100/$E$32</f>
        <v/>
      </c>
      <c r="FD32" s="133" t="n"/>
      <c r="FE32" s="139">
        <f>FD32*100/$E$32</f>
        <v/>
      </c>
      <c r="FF32" s="133" t="n"/>
      <c r="FG32" s="139">
        <f>FF32*100/$E$32</f>
        <v/>
      </c>
      <c r="FH32" s="133" t="n">
        <v>1</v>
      </c>
      <c r="FI32" s="139">
        <f>FH32*100/$E$32</f>
        <v/>
      </c>
      <c r="FJ32" s="133" t="n"/>
      <c r="FK32" s="139">
        <f>FJ32*100/$E$32</f>
        <v/>
      </c>
      <c r="FL32" s="133" t="n"/>
      <c r="FM32" s="139">
        <f>FL32*100/$E$32</f>
        <v/>
      </c>
      <c r="FN32" s="133" t="n">
        <v>2</v>
      </c>
      <c r="FO32" s="139">
        <f>FN32*100/$E$32</f>
        <v/>
      </c>
      <c r="FP32" s="133" t="n"/>
      <c r="FQ32" s="139">
        <f>FP32*100/$E$32</f>
        <v/>
      </c>
      <c r="FR32" s="133" t="n">
        <v>2</v>
      </c>
      <c r="FS32" s="139">
        <f>FR32*100/$E$32</f>
        <v/>
      </c>
      <c r="FT32" s="133" t="n"/>
      <c r="FU32" s="139">
        <f>FT32*100/$E$32</f>
        <v/>
      </c>
      <c r="FV32" s="133" t="n"/>
      <c r="FW32" s="139">
        <f>FV32*100/$E$32</f>
        <v/>
      </c>
      <c r="FX32" s="133" t="n"/>
      <c r="FY32" s="139">
        <f>FX32*100/$E$32</f>
        <v/>
      </c>
      <c r="FZ32" s="133" t="n"/>
      <c r="GA32" s="139">
        <f>FZ32*100/$E$32</f>
        <v/>
      </c>
      <c r="GB32" s="133" t="n"/>
      <c r="GC32" s="140">
        <f>GB32*100/$E$32</f>
        <v/>
      </c>
      <c r="GD32" s="133" t="n"/>
      <c r="GE32" s="140">
        <f>GD32*100/$E$32</f>
        <v/>
      </c>
      <c r="GF32" s="133" t="n"/>
      <c r="GG32" s="140">
        <f>GF32*100/$E$32</f>
        <v/>
      </c>
      <c r="GH32" s="133" t="n"/>
      <c r="GI32" s="140">
        <f>GH32*100/$E$32</f>
        <v/>
      </c>
      <c r="GJ32" s="133" t="n"/>
      <c r="GK32" s="139">
        <f>GJ32*100/$E$32</f>
        <v/>
      </c>
      <c r="GL32" s="133" t="n">
        <v>2</v>
      </c>
      <c r="GM32" s="140">
        <f>GL32*100/$E$32</f>
        <v/>
      </c>
      <c r="GN32" s="133" t="n"/>
      <c r="GO32" s="139">
        <f>GN32*100/$E$32</f>
        <v/>
      </c>
      <c r="GP32" s="180" t="n"/>
      <c r="GQ32" s="139">
        <f>GP32*100/$E$32</f>
        <v/>
      </c>
      <c r="GR32" s="133" t="n"/>
      <c r="GS32" s="139">
        <f>GR32*100/$E$32</f>
        <v/>
      </c>
      <c r="GT32" s="133" t="n">
        <v>4</v>
      </c>
      <c r="GU32" s="139">
        <f>GT32*100/$E$32</f>
        <v/>
      </c>
      <c r="GV32" s="133" t="n"/>
      <c r="GW32" s="140">
        <f>GV32*100/$E$32</f>
        <v/>
      </c>
      <c r="GX32" s="133" t="n">
        <v>4</v>
      </c>
      <c r="GY32" s="140">
        <f>GX32*100/$E$32</f>
        <v/>
      </c>
      <c r="GZ32" s="133" t="n">
        <v>2</v>
      </c>
      <c r="HA32" s="139">
        <f>GZ32*100/$E$32</f>
        <v/>
      </c>
      <c r="HB32" s="133" t="n">
        <v>6</v>
      </c>
      <c r="HC32" s="139">
        <f>HB32*100/$E$32</f>
        <v/>
      </c>
      <c r="HD32" s="133" t="n">
        <v>2</v>
      </c>
      <c r="HE32" s="139">
        <f>HD32*100/$E$32</f>
        <v/>
      </c>
      <c r="HF32" s="133" t="n"/>
      <c r="HG32" s="139">
        <f>HF32*100/$E$32</f>
        <v/>
      </c>
      <c r="HH32" s="133" t="n"/>
      <c r="HI32" s="139">
        <f>HH32*100/$E$32</f>
        <v/>
      </c>
      <c r="HJ32" s="133" t="n"/>
      <c r="HK32" s="139">
        <f>HJ32*100/$E$32</f>
        <v/>
      </c>
      <c r="HL32" s="133" t="n"/>
      <c r="HM32" s="140">
        <f>HL32*100/$E$32</f>
        <v/>
      </c>
      <c r="HN32" s="133" t="n"/>
      <c r="HO32" s="140">
        <f>HN32*100/$E$32</f>
        <v/>
      </c>
      <c r="HP32" s="133" t="n"/>
      <c r="HQ32" s="140">
        <f>HP32*100/$E$32</f>
        <v/>
      </c>
      <c r="HR32" s="133" t="n"/>
      <c r="HS32" s="140">
        <f>HR32*100/$E$32</f>
        <v/>
      </c>
      <c r="HT32" s="133">
        <f>6+5+3</f>
        <v/>
      </c>
      <c r="HU32" s="140">
        <f>HT32*100/$E$32</f>
        <v/>
      </c>
      <c r="HV32" s="133" t="n"/>
      <c r="HW32" s="140">
        <f>HV32*100/$E$32</f>
        <v/>
      </c>
      <c r="HX32" s="133" t="n"/>
      <c r="HY32" s="139">
        <f>HX32*100/$E$32</f>
        <v/>
      </c>
      <c r="HZ32" s="133" t="n"/>
      <c r="IA32" s="139">
        <f>HZ32*100/$E$32</f>
        <v/>
      </c>
      <c r="IB32" s="133" t="n"/>
      <c r="IC32" s="139">
        <f>IB32*100/$E$32</f>
        <v/>
      </c>
      <c r="ID32" s="133" t="n"/>
      <c r="IE32" s="139">
        <f>ID32*100/$E$32</f>
        <v/>
      </c>
      <c r="IF32" s="133" t="n"/>
      <c r="IG32" s="139">
        <f>IF32*100/$E$32</f>
        <v/>
      </c>
      <c r="IH32" s="133" t="n"/>
      <c r="II32" s="139">
        <f>IH32*100/$E$32</f>
        <v/>
      </c>
      <c r="IJ32" s="133" t="n"/>
      <c r="IK32" s="139">
        <f>IJ32*100/$E$32</f>
        <v/>
      </c>
      <c r="IL32" s="133" t="n"/>
      <c r="IM32" s="139">
        <f>IL32*100/$E$32</f>
        <v/>
      </c>
      <c r="IN32" s="133" t="n"/>
      <c r="IO32" s="139">
        <f>IN32*100/$E$32</f>
        <v/>
      </c>
      <c r="IP32" s="133" t="n"/>
      <c r="IQ32" s="139">
        <f>IP32*100/$E$32</f>
        <v/>
      </c>
      <c r="IR32" s="133" t="n"/>
      <c r="IS32" s="139">
        <f>IR32*100/$E$32</f>
        <v/>
      </c>
      <c r="IT32" s="133" t="n"/>
      <c r="IU32" s="139">
        <f>IT32*100/$E$32</f>
        <v/>
      </c>
      <c r="IV32" s="133" t="n"/>
      <c r="IW32" s="139">
        <f>IV32*100/$E$32</f>
        <v/>
      </c>
      <c r="IX32" s="133" t="n"/>
      <c r="IY32" s="139">
        <f>IX32*100/$E$32</f>
        <v/>
      </c>
      <c r="IZ32" s="133" t="n"/>
      <c r="JA32" s="139">
        <f>IZ32*100/$E$32</f>
        <v/>
      </c>
      <c r="JB32" s="133" t="n"/>
      <c r="JC32" s="139">
        <f>JB32*100/$E$32</f>
        <v/>
      </c>
      <c r="JD32" s="133" t="n"/>
      <c r="JE32" s="139">
        <f>JD32*100/$E$32</f>
        <v/>
      </c>
      <c r="JF32" s="133">
        <f>8+8</f>
        <v/>
      </c>
      <c r="JG32" s="140">
        <f>JF32*100/$E$32</f>
        <v/>
      </c>
      <c r="JH32" s="133" t="n"/>
      <c r="JI32" s="139">
        <f>JH32*100/$E$32</f>
        <v/>
      </c>
      <c r="JJ32" s="180" t="n"/>
      <c r="JK32" s="139">
        <f>JJ32*100/$E$32</f>
        <v/>
      </c>
      <c r="JL32" s="133">
        <f>8+4+8+1+2+4+2+1</f>
        <v/>
      </c>
      <c r="JM32" s="139">
        <f>JL32*100/$E$32</f>
        <v/>
      </c>
      <c r="JN32" s="133" t="n"/>
      <c r="JO32" s="139">
        <f>JN32*100/$E$32</f>
        <v/>
      </c>
      <c r="JP32" s="133" t="n"/>
      <c r="JQ32" s="139">
        <f>JP32*100/$E$32</f>
        <v/>
      </c>
      <c r="JR32" s="133" t="n"/>
      <c r="JS32" s="140">
        <f>JR32*100/$E$32</f>
        <v/>
      </c>
      <c r="JT32" s="133" t="n"/>
      <c r="JU32" s="139">
        <f>JT32*100/$E$32</f>
        <v/>
      </c>
      <c r="JV32" s="133" t="n"/>
      <c r="JW32" s="139">
        <f>JV32*100/$E$32</f>
        <v/>
      </c>
      <c r="JX32" s="133" t="n"/>
      <c r="JY32" s="139">
        <f>JX32*100/$E$32</f>
        <v/>
      </c>
      <c r="JZ32" s="183">
        <f>JN32+JP32+JR32+JT32+JV32+JX32</f>
        <v/>
      </c>
      <c r="KA32" s="184">
        <f>JO32+JQ32+JS32+JU32+JW32+JY32</f>
        <v/>
      </c>
      <c r="KB32" s="185">
        <f>H32+J32+L32+N32+P32+R32+T32+V32+X32+Z32+AB32+AD32+AF32+AH32+AJ32+AL32+AN32+AP32+AR32+AT32+AV32+AX32+AZ32+BB32+BD32+BF32+BH32+BJ32+BL32+BN32+BP32+BR32+BT32+BV32+BX32+BZ32+CB32+CD32+CF32+CH32+CZ32+DB32+DD32+DF32+DH32+DJ32+DL32+DN32+DP32+DR32+DT32+DV32+DX32+DZ32+EB32+ED32+EF32+EH32+EJ32+EL32+EN32+EP32+ER32+ET32+EV32+FN32+FP32+FR32+FT32+FV32+FX32+FZ32+GB32+GD32+GF32+GH32+GJ32+GL32+GN32+GP32+GR32+GT32+GV32+GX32+GZ32+HB32+HD32+HF32+HH32+HJ32+HL32+HN32+HP32+HR32+HT32+HV32+HX32+HZ32+IB32+ID32+IF32+IH32+IJ32+IL32+IN32+IP32+IR32+IT32+IV32+IX32+IZ32+JB32+JD32+JF32+JH32+JJ32+JL32+JZ32+CJ32+CL32+CN32+CP32+CR32+CT32+CV32+CX32+EX32+EZ32+FB32+FD32+FF32+FH32+FJ32+FL32</f>
        <v/>
      </c>
      <c r="KC32" s="186">
        <f>I32+K32+M32+O32+Q32+S32+U32+W32+Y32+AA32+AC32+AE32+AG32+AI32+AK32+AM32+AO32+AQ32+AS32+AU32+AW32+AY32+BA32+BC32+BE32+BG32+BI32+BK32+BM32+BO32+BQ32+BS32+BU32+BW32+BY32+CA32+CC32+CE32+CG32+CI32+DA32+DC32+DE32+DG32+DI32+DK32+DM32+DO32+DQ32+DS32+DU32+DW32+DY32+EA32+EC32+EE32+EG32+EI32+EK32+EM32+EO32+EQ32+ES32+EU32+EW32+FO32+FS32+FU32+FW32+FQ32+FY32+GA32+GC32+GE32+GG32+GI32+GK32+GM32+GO32+GQ32+GS32+GU32+GW32+GY32+HA32+HC32+HE32+HG32+HI32+HK32+HM32+HO32+HQ32+HS32+HU32+HW32+HY32+IA32+IC32+IE32+IG32+II32+IK32+IM32+IO32+IQ32+IS32+IU32+IW32+IY32+JA32+JC32+JE32+JG32+JI32+JK32+JM32+KA32+CK32+CM32+CO32+CQ32+CS32+CU32+CW32+CY32+EY32+FA32+FC32+FE32+FG32+FI32+FK32+FM32</f>
        <v/>
      </c>
      <c r="KD32" s="187">
        <f>JO32+JQ32+JS32+JU32+JW32+JY32</f>
        <v/>
      </c>
      <c r="KE32" s="188">
        <f>KB32=E32</f>
        <v/>
      </c>
      <c r="KF32" s="189">
        <f>E32-KB32</f>
        <v/>
      </c>
      <c r="KG32" s="209" t="n"/>
    </row>
    <row r="33" ht="21.75" customFormat="1" customHeight="1" s="209">
      <c r="A33" s="126">
        <f>A32+1</f>
        <v/>
      </c>
      <c r="B33" s="175" t="inlineStr">
        <is>
          <t>Никулин В.Г.</t>
        </is>
      </c>
      <c r="C33" s="176" t="inlineStr">
        <is>
          <t>токарь</t>
        </is>
      </c>
      <c r="D33" s="177">
        <f>$D$5</f>
        <v/>
      </c>
      <c r="E33" s="202" t="n">
        <v>180</v>
      </c>
      <c r="F33" s="193" t="n">
        <v>118220.84</v>
      </c>
      <c r="G33" s="179">
        <f>F33/D33</f>
        <v/>
      </c>
      <c r="H33" s="180" t="n"/>
      <c r="I33" s="140">
        <f>H33*100/$E$33</f>
        <v/>
      </c>
      <c r="J33" s="133" t="n"/>
      <c r="K33" s="140">
        <f>J33*100/$E$33</f>
        <v/>
      </c>
      <c r="L33" s="133" t="n"/>
      <c r="M33" s="140">
        <f>L33*100/$E$33</f>
        <v/>
      </c>
      <c r="N33" s="133" t="n"/>
      <c r="O33" s="140">
        <f>N33*100/$E$33</f>
        <v/>
      </c>
      <c r="P33" s="133" t="n"/>
      <c r="Q33" s="139">
        <f>P33*100/$E$33</f>
        <v/>
      </c>
      <c r="R33" s="133" t="n"/>
      <c r="S33" s="139">
        <f>R33*100/$E$33</f>
        <v/>
      </c>
      <c r="T33" s="133" t="n"/>
      <c r="U33" s="140">
        <f>T33*100/$E$33</f>
        <v/>
      </c>
      <c r="V33" s="133" t="n"/>
      <c r="W33" s="140">
        <f>V33*100/$E$33</f>
        <v/>
      </c>
      <c r="X33" s="133" t="n"/>
      <c r="Y33" s="140">
        <f>X33*100/$E$33</f>
        <v/>
      </c>
      <c r="Z33" s="133" t="n"/>
      <c r="AA33" s="140">
        <f>Z33*100/$E$33</f>
        <v/>
      </c>
      <c r="AB33" s="133">
        <f>12+7</f>
        <v/>
      </c>
      <c r="AC33" s="140">
        <f>AB33*100/$E$33</f>
        <v/>
      </c>
      <c r="AD33" s="133" t="n"/>
      <c r="AE33" s="139">
        <f>AD33*100/$E$33</f>
        <v/>
      </c>
      <c r="AF33" s="133" t="n"/>
      <c r="AG33" s="139">
        <f>AF33*100/$E$33</f>
        <v/>
      </c>
      <c r="AH33" s="133">
        <f>6+12</f>
        <v/>
      </c>
      <c r="AI33" s="140">
        <f>AH33*100/$E$33</f>
        <v/>
      </c>
      <c r="AJ33" s="133">
        <f>5+12+6+12+12</f>
        <v/>
      </c>
      <c r="AK33" s="140">
        <f>AJ33*100/$E$33</f>
        <v/>
      </c>
      <c r="AL33" s="133" t="n">
        <v>12</v>
      </c>
      <c r="AM33" s="140">
        <f>AL33*100/$E$33</f>
        <v/>
      </c>
      <c r="AN33" s="133" t="n"/>
      <c r="AO33" s="140">
        <f>AN33*100/$E$33</f>
        <v/>
      </c>
      <c r="AP33" s="133" t="n"/>
      <c r="AQ33" s="140">
        <f>AP33*100/$E$33</f>
        <v/>
      </c>
      <c r="AR33" s="133" t="n"/>
      <c r="AS33" s="140">
        <f>AR33*100/$E$33</f>
        <v/>
      </c>
      <c r="AT33" s="133" t="n"/>
      <c r="AU33" s="181">
        <f>AT33*100/$E$33</f>
        <v/>
      </c>
      <c r="AV33" s="133" t="n">
        <v>12</v>
      </c>
      <c r="AW33" s="140">
        <f>AV33*100/$E$33</f>
        <v/>
      </c>
      <c r="AX33" s="133" t="n"/>
      <c r="AY33" s="140">
        <f>AX33*100/$E$33</f>
        <v/>
      </c>
      <c r="AZ33" s="133" t="n"/>
      <c r="BA33" s="140">
        <f>AZ33*100/$E$33</f>
        <v/>
      </c>
      <c r="BB33" s="133" t="n">
        <v>12</v>
      </c>
      <c r="BC33" s="140">
        <f>BB33*100/$E$33</f>
        <v/>
      </c>
      <c r="BD33" s="133" t="n"/>
      <c r="BE33" s="140">
        <f>BD33*100/$E$33</f>
        <v/>
      </c>
      <c r="BF33" s="133" t="n"/>
      <c r="BG33" s="140">
        <f>BF33*100/$E$33</f>
        <v/>
      </c>
      <c r="BH33" s="133" t="n"/>
      <c r="BI33" s="140">
        <f>BH33*100/$E$33</f>
        <v/>
      </c>
      <c r="BJ33" s="133" t="n"/>
      <c r="BK33" s="140">
        <f>BJ33*100/$E$33</f>
        <v/>
      </c>
      <c r="BL33" s="133" t="n"/>
      <c r="BM33" s="140">
        <f>BL33*100/$E$33</f>
        <v/>
      </c>
      <c r="BN33" s="133" t="n"/>
      <c r="BO33" s="140">
        <f>BN33*100/$E$33</f>
        <v/>
      </c>
      <c r="BP33" s="133" t="n"/>
      <c r="BQ33" s="140">
        <f>BP33*100/$E$33</f>
        <v/>
      </c>
      <c r="BR33" s="133" t="n"/>
      <c r="BS33" s="140">
        <f>BR33*100/$E$33</f>
        <v/>
      </c>
      <c r="BT33" s="133" t="n"/>
      <c r="BU33" s="140">
        <f>BT33*100/$E$33</f>
        <v/>
      </c>
      <c r="BV33" s="133" t="n"/>
      <c r="BW33" s="140">
        <f>BV33*100/$E$33</f>
        <v/>
      </c>
      <c r="BX33" s="133" t="n"/>
      <c r="BY33" s="140">
        <f>BX33*100/$E$33</f>
        <v/>
      </c>
      <c r="BZ33" s="133" t="n"/>
      <c r="CA33" s="140">
        <f>BZ33*100/$E$33</f>
        <v/>
      </c>
      <c r="CB33" s="133" t="n"/>
      <c r="CC33" s="140">
        <f>CB33*100/$E$33</f>
        <v/>
      </c>
      <c r="CD33" s="133" t="n"/>
      <c r="CE33" s="140">
        <f>CD33*100/$E$33</f>
        <v/>
      </c>
      <c r="CF33" s="133" t="n"/>
      <c r="CG33" s="140">
        <f>CF33*100/$E$33</f>
        <v/>
      </c>
      <c r="CH33" s="133" t="n"/>
      <c r="CI33" s="140">
        <f>CH33*100/$E$33</f>
        <v/>
      </c>
      <c r="CJ33" s="133" t="n"/>
      <c r="CK33" s="140">
        <f>CJ33*100/$E$33</f>
        <v/>
      </c>
      <c r="CL33" s="133" t="n"/>
      <c r="CM33" s="140">
        <f>CL33*100/$E$33</f>
        <v/>
      </c>
      <c r="CN33" s="133" t="n"/>
      <c r="CO33" s="139">
        <f>CN33*100/$E$33</f>
        <v/>
      </c>
      <c r="CP33" s="133" t="n"/>
      <c r="CQ33" s="140">
        <f>CP33*100/$E$33</f>
        <v/>
      </c>
      <c r="CR33" s="133" t="n"/>
      <c r="CS33" s="139">
        <f>CR33*100/$E$33</f>
        <v/>
      </c>
      <c r="CT33" s="133" t="n"/>
      <c r="CU33" s="139">
        <f>CT33*100/$E$33</f>
        <v/>
      </c>
      <c r="CV33" s="133" t="n"/>
      <c r="CW33" s="139">
        <f>CV33*100/$E$33</f>
        <v/>
      </c>
      <c r="CX33" s="133" t="n"/>
      <c r="CY33" s="139">
        <f>CX33*100/$E$33</f>
        <v/>
      </c>
      <c r="CZ33" s="133" t="n"/>
      <c r="DA33" s="139">
        <f>CZ33*100/$E$33</f>
        <v/>
      </c>
      <c r="DB33" s="133" t="n"/>
      <c r="DC33" s="139">
        <f>DB33*100/$E$33</f>
        <v/>
      </c>
      <c r="DD33" s="133" t="n"/>
      <c r="DE33" s="139">
        <f>DD33*100/$E$33</f>
        <v/>
      </c>
      <c r="DF33" s="133" t="n"/>
      <c r="DG33" s="139">
        <f>DF33*100/$E$33</f>
        <v/>
      </c>
      <c r="DH33" s="133" t="n"/>
      <c r="DI33" s="139">
        <f>DH33*100/$E$33</f>
        <v/>
      </c>
      <c r="DJ33" s="133" t="n"/>
      <c r="DK33" s="139">
        <f>DJ33*100/$E$33</f>
        <v/>
      </c>
      <c r="DL33" s="133" t="n"/>
      <c r="DM33" s="139">
        <f>DL33*100/$E$33</f>
        <v/>
      </c>
      <c r="DN33" s="133" t="n"/>
      <c r="DO33" s="139">
        <f>DN33*100/$E$33</f>
        <v/>
      </c>
      <c r="DP33" s="133">
        <f>12+8</f>
        <v/>
      </c>
      <c r="DQ33" s="139">
        <f>DP33*100/$E$33</f>
        <v/>
      </c>
      <c r="DR33" s="133" t="n"/>
      <c r="DS33" s="139">
        <f>DR33*100/$E$33</f>
        <v/>
      </c>
      <c r="DT33" s="133" t="n"/>
      <c r="DU33" s="139">
        <f>DT33*100/$E$33</f>
        <v/>
      </c>
      <c r="DV33" s="133" t="n"/>
      <c r="DW33" s="139">
        <f>DV33*100/$E$33</f>
        <v/>
      </c>
      <c r="DX33" s="133" t="n"/>
      <c r="DY33" s="139">
        <f>DX33*100/$E$33</f>
        <v/>
      </c>
      <c r="DZ33" s="133" t="n"/>
      <c r="EA33" s="139">
        <f>DZ33*100/$E$33</f>
        <v/>
      </c>
      <c r="EB33" s="133" t="n"/>
      <c r="EC33" s="139">
        <f>EB33*100/$E$33</f>
        <v/>
      </c>
      <c r="ED33" s="133" t="n"/>
      <c r="EE33" s="139">
        <f>ED33*100/$E$33</f>
        <v/>
      </c>
      <c r="EF33" s="133" t="n"/>
      <c r="EG33" s="139">
        <f>EF33*100/$E$33</f>
        <v/>
      </c>
      <c r="EH33" s="133" t="n"/>
      <c r="EI33" s="139">
        <f>EH33*100/$E$33</f>
        <v/>
      </c>
      <c r="EJ33" s="133" t="n"/>
      <c r="EK33" s="139">
        <f>EJ33*100/$E$33</f>
        <v/>
      </c>
      <c r="EL33" s="133" t="n">
        <v>4</v>
      </c>
      <c r="EM33" s="139">
        <f>EL33*100/$E$33</f>
        <v/>
      </c>
      <c r="EN33" s="133" t="n">
        <v>12</v>
      </c>
      <c r="EO33" s="139">
        <f>EN33*100/$E$33</f>
        <v/>
      </c>
      <c r="EP33" s="133" t="n"/>
      <c r="EQ33" s="139">
        <f>EP33*100/$E$33</f>
        <v/>
      </c>
      <c r="ER33" s="133" t="n"/>
      <c r="ES33" s="139">
        <f>ER33*100/$E$33</f>
        <v/>
      </c>
      <c r="ET33" s="133" t="n"/>
      <c r="EU33" s="139">
        <f>ET33*100/$E$33</f>
        <v/>
      </c>
      <c r="EV33" s="133" t="n"/>
      <c r="EW33" s="139">
        <f>EV33*100/$E$33</f>
        <v/>
      </c>
      <c r="EX33" s="133" t="n"/>
      <c r="EY33" s="139">
        <f>EX33*100/$E$33</f>
        <v/>
      </c>
      <c r="EZ33" s="133" t="n"/>
      <c r="FA33" s="139">
        <f>EZ33*100/$E$33</f>
        <v/>
      </c>
      <c r="FB33" s="133" t="n"/>
      <c r="FC33" s="139">
        <f>FB33*100/$E$33</f>
        <v/>
      </c>
      <c r="FD33" s="133" t="n"/>
      <c r="FE33" s="139">
        <f>FD33*100/$E$33</f>
        <v/>
      </c>
      <c r="FF33" s="133" t="n"/>
      <c r="FG33" s="139">
        <f>FF33*100/$E$33</f>
        <v/>
      </c>
      <c r="FH33" s="133" t="n"/>
      <c r="FI33" s="139">
        <f>FH33*100/$E$33</f>
        <v/>
      </c>
      <c r="FJ33" s="133" t="n"/>
      <c r="FK33" s="139">
        <f>FJ33*100/$E$33</f>
        <v/>
      </c>
      <c r="FL33" s="133" t="n"/>
      <c r="FM33" s="139">
        <f>FL33*100/$E$33</f>
        <v/>
      </c>
      <c r="FN33" s="133" t="n"/>
      <c r="FO33" s="139">
        <f>FN33*100/$E$33</f>
        <v/>
      </c>
      <c r="FP33" s="133" t="n"/>
      <c r="FQ33" s="139">
        <f>FP33*100/$E$33</f>
        <v/>
      </c>
      <c r="FR33" s="133" t="n"/>
      <c r="FS33" s="139">
        <f>FR33*100/$E$33</f>
        <v/>
      </c>
      <c r="FT33" s="133" t="n">
        <v>12</v>
      </c>
      <c r="FU33" s="139">
        <f>FT33*100/$E$33</f>
        <v/>
      </c>
      <c r="FV33" s="133" t="n"/>
      <c r="FW33" s="139">
        <f>FV33*100/$E$33</f>
        <v/>
      </c>
      <c r="FX33" s="133" t="n"/>
      <c r="FY33" s="140">
        <f>FX33*100/$E$33</f>
        <v/>
      </c>
      <c r="FZ33" s="133" t="n"/>
      <c r="GA33" s="140">
        <f>FZ33*100/$E$33</f>
        <v/>
      </c>
      <c r="GB33" s="133" t="n"/>
      <c r="GC33" s="140">
        <f>GB33*100/$E$33</f>
        <v/>
      </c>
      <c r="GD33" s="133" t="n"/>
      <c r="GE33" s="140">
        <f>GD33*100/$E$33</f>
        <v/>
      </c>
      <c r="GF33" s="133" t="n"/>
      <c r="GG33" s="140">
        <f>GF33*100/$E$33</f>
        <v/>
      </c>
      <c r="GH33" s="133" t="n"/>
      <c r="GI33" s="140">
        <f>GH33*100/$E$33</f>
        <v/>
      </c>
      <c r="GJ33" s="133" t="n"/>
      <c r="GK33" s="139">
        <f>GJ33*100/$E$33</f>
        <v/>
      </c>
      <c r="GL33" s="133" t="n"/>
      <c r="GM33" s="140">
        <f>GL33*100/$E$33</f>
        <v/>
      </c>
      <c r="GN33" s="133" t="n"/>
      <c r="GO33" s="139">
        <f>GN33*100/$E$33</f>
        <v/>
      </c>
      <c r="GP33" s="133" t="n"/>
      <c r="GQ33" s="140">
        <f>GP33*100/$E$33</f>
        <v/>
      </c>
      <c r="GR33" s="133" t="n"/>
      <c r="GS33" s="139">
        <f>GR33*100/$E$33</f>
        <v/>
      </c>
      <c r="GT33" s="133" t="n"/>
      <c r="GU33" s="139">
        <f>GT33*100/$E$33</f>
        <v/>
      </c>
      <c r="GV33" s="133" t="n"/>
      <c r="GW33" s="139">
        <f>GV33*100/$E$33</f>
        <v/>
      </c>
      <c r="GX33" s="133" t="n"/>
      <c r="GY33" s="140">
        <f>GX33*100/$E$33</f>
        <v/>
      </c>
      <c r="GZ33" s="133" t="n"/>
      <c r="HA33" s="140">
        <f>GZ33*100/$E$33</f>
        <v/>
      </c>
      <c r="HB33" s="133" t="n"/>
      <c r="HC33" s="140">
        <f>HB33*100/$E$33</f>
        <v/>
      </c>
      <c r="HD33" s="133" t="n"/>
      <c r="HE33" s="140">
        <f>HD33*100/$E$33</f>
        <v/>
      </c>
      <c r="HF33" s="133">
        <f>8+4</f>
        <v/>
      </c>
      <c r="HG33" s="140">
        <f>HF33*100/$E$33</f>
        <v/>
      </c>
      <c r="HH33" s="133" t="n"/>
      <c r="HI33" s="140">
        <f>HH33*100/$E$33</f>
        <v/>
      </c>
      <c r="HJ33" s="133" t="n"/>
      <c r="HK33" s="140">
        <f>HJ33*100/$E$33</f>
        <v/>
      </c>
      <c r="HL33" s="133" t="n"/>
      <c r="HM33" s="140">
        <f>HL33*100/$E$33</f>
        <v/>
      </c>
      <c r="HN33" s="133" t="n"/>
      <c r="HO33" s="140">
        <f>HN33*100/$E$33</f>
        <v/>
      </c>
      <c r="HP33" s="133" t="n"/>
      <c r="HQ33" s="140">
        <f>HP33*100/$E$33</f>
        <v/>
      </c>
      <c r="HR33" s="133" t="n"/>
      <c r="HS33" s="140">
        <f>HR33*100/$E$33</f>
        <v/>
      </c>
      <c r="HT33" s="133" t="n"/>
      <c r="HU33" s="140">
        <f>HT33*100/$E$33</f>
        <v/>
      </c>
      <c r="HV33" s="133" t="n"/>
      <c r="HW33" s="140">
        <f>HV33*100/$E$33</f>
        <v/>
      </c>
      <c r="HX33" s="133" t="n"/>
      <c r="HY33" s="140">
        <f>HX33*100/$E$33</f>
        <v/>
      </c>
      <c r="HZ33" s="133" t="n"/>
      <c r="IA33" s="139">
        <f>HZ33*100/$E$33</f>
        <v/>
      </c>
      <c r="IB33" s="133" t="n"/>
      <c r="IC33" s="139">
        <f>IB33*100/$E$33</f>
        <v/>
      </c>
      <c r="ID33" s="133" t="n"/>
      <c r="IE33" s="139">
        <f>ID33*100/$E$33</f>
        <v/>
      </c>
      <c r="IF33" s="133" t="n"/>
      <c r="IG33" s="139">
        <f>IF33*100/$E$33</f>
        <v/>
      </c>
      <c r="IH33" s="133" t="n"/>
      <c r="II33" s="139">
        <f>IH33*100/$E$33</f>
        <v/>
      </c>
      <c r="IJ33" s="133" t="n"/>
      <c r="IK33" s="139">
        <f>IJ33*100/$E$33</f>
        <v/>
      </c>
      <c r="IL33" s="133" t="n"/>
      <c r="IM33" s="140">
        <f>IL33*100/$E$33</f>
        <v/>
      </c>
      <c r="IN33" s="133" t="n"/>
      <c r="IO33" s="140">
        <f>IN33*100/$E$33</f>
        <v/>
      </c>
      <c r="IP33" s="133" t="n"/>
      <c r="IQ33" s="139">
        <f>IP33*100/$E$33</f>
        <v/>
      </c>
      <c r="IR33" s="133" t="n"/>
      <c r="IS33" s="139">
        <f>IR33*100/$E$33</f>
        <v/>
      </c>
      <c r="IT33" s="133" t="n"/>
      <c r="IU33" s="139">
        <f>IT33*100/$E$33</f>
        <v/>
      </c>
      <c r="IV33" s="133" t="n"/>
      <c r="IW33" s="139">
        <f>IV33*100/$E$33</f>
        <v/>
      </c>
      <c r="IX33" s="133" t="n"/>
      <c r="IY33" s="139">
        <f>IX33*100/$E$33</f>
        <v/>
      </c>
      <c r="IZ33" s="133" t="n"/>
      <c r="JA33" s="139">
        <f>IZ33*100/$E$33</f>
        <v/>
      </c>
      <c r="JB33" s="133" t="n"/>
      <c r="JC33" s="139">
        <f>JB33*100/$E$33</f>
        <v/>
      </c>
      <c r="JD33" s="133" t="n"/>
      <c r="JE33" s="139">
        <f>JD33*100/$E$33</f>
        <v/>
      </c>
      <c r="JF33" s="133" t="n"/>
      <c r="JG33" s="139">
        <f>JF33*100/$E$33</f>
        <v/>
      </c>
      <c r="JH33" s="133" t="n"/>
      <c r="JI33" s="139">
        <f>JH33*100/$E$33</f>
        <v/>
      </c>
      <c r="JJ33" s="133" t="n"/>
      <c r="JK33" s="139">
        <f>JJ33*100/$E$33</f>
        <v/>
      </c>
      <c r="JL33" s="133" t="n"/>
      <c r="JM33" s="139">
        <f>JL33*100/$E$33</f>
        <v/>
      </c>
      <c r="JN33" s="133" t="n"/>
      <c r="JO33" s="139">
        <f>JN33*100/$E$33</f>
        <v/>
      </c>
      <c r="JP33" s="133" t="n"/>
      <c r="JQ33" s="139">
        <f>JP33*100/$E$33</f>
        <v/>
      </c>
      <c r="JR33" s="133" t="n"/>
      <c r="JS33" s="182">
        <f>JR33*100/$E$33</f>
        <v/>
      </c>
      <c r="JT33" s="133" t="n"/>
      <c r="JU33" s="182">
        <f>JT33*100/$E$33</f>
        <v/>
      </c>
      <c r="JV33" s="133" t="n"/>
      <c r="JW33" s="182">
        <f>JV33*100/$E$33</f>
        <v/>
      </c>
      <c r="JX33" s="133" t="n"/>
      <c r="JY33" s="182">
        <f>JX33*100/$E$33</f>
        <v/>
      </c>
      <c r="JZ33" s="183">
        <f>JN33+JP33+JR33+JT33+JV33+JX33</f>
        <v/>
      </c>
      <c r="KA33" s="184">
        <f>JO33+JQ33+JS33+JU33+JW33+JY33</f>
        <v/>
      </c>
      <c r="KB33" s="185">
        <f>H33+J33+L33+N33+P33+R33+T33+V33+X33+Z33+AB33+AD33+AF33+AH33+AJ33+AL33+AN33+AP33+AR33+AT33+AV33+AX33+AZ33+BB33+BD33+BF33+BH33+BJ33+BL33+BN33+BP33+BR33+BT33+BV33+BX33+BZ33+CB33+CD33+CF33+CH33+CZ33+DB33+DD33+DF33+DH33+DJ33+DL33+DN33+DP33+DR33+DT33+DV33+DX33+DZ33+EB33+ED33+EF33+EH33+EJ33+EL33+EN33+EP33+ER33+ET33+EV33+FN33+FP33+FR33+FT33+FV33+FX33+FZ33+GB33+GD33+GF33+GH33+GJ33+GL33+GN33+GP33+GR33+GT33+GV33+GX33+GZ33+HB33+HD33+HF33+HH33+HJ33+HL33+HN33+HP33+HR33+HT33+HV33+HX33+HZ33+IB33+ID33+IF33+IH33+IJ33+IL33+IN33+IP33+IR33+IT33+IV33+IX33+IZ33+JB33+JD33+JF33+JH33+JJ33+JL33+JZ33+CJ33+CL33+CN33+CP33+CR33+CT33+CV33+CX33+EX33+EZ33+FB33+FD33+FF33+FH33+FJ33+FL33</f>
        <v/>
      </c>
      <c r="KC33" s="186">
        <f>I33+K33+M33+O33+Q33+S33+U33+W33+Y33+AA33+AC33+AE33+AG33+AI33+AK33+AM33+AO33+AQ33+AS33+AU33+AW33+AY33+BA33+BC33+BE33+BG33+BI33+BK33+BM33+BO33+BQ33+BS33+BU33+BW33+BY33+CA33+CC33+CE33+CG33+CI33+DA33+DC33+DE33+DG33+DI33+DK33+DM33+DO33+DQ33+DS33+DU33+DW33+DY33+EA33+EC33+EE33+EG33+EI33+EK33+EM33+EO33+EQ33+ES33+EU33+EW33+FO33+FS33+FU33+FW33+FQ33+FY33+GA33+GC33+GE33+GG33+GI33+GK33+GM33+GO33+GQ33+GS33+GU33+GW33+GY33+HA33+HC33+HE33+HG33+HI33+HK33+HM33+HO33+HQ33+HS33+HU33+HW33+HY33+IA33+IC33+IE33+IG33+II33+IK33+IM33+IO33+IQ33+IS33+IU33+IW33+IY33+JA33+JC33+JE33+JG33+JI33+JK33+JM33+KA33+CK33+CM33+CO33+CQ33+CS33+CU33+CW33+CY33+EY33+FA33+FC33+FE33+FG33+FI33+FK33+FM33</f>
        <v/>
      </c>
      <c r="KD33" s="187">
        <f>JO33+JQ33+JS33+JU33+JW33+JY33</f>
        <v/>
      </c>
      <c r="KE33" s="188">
        <f>KB33=E33</f>
        <v/>
      </c>
      <c r="KF33" s="189">
        <f>E33-KB33</f>
        <v/>
      </c>
      <c r="KG33" s="210" t="n"/>
    </row>
    <row r="34" ht="21.75" customFormat="1" customHeight="1" s="210">
      <c r="A34" s="126">
        <f>A33+1</f>
        <v/>
      </c>
      <c r="B34" s="242" t="inlineStr">
        <is>
          <t>Новокрещенов А.С.</t>
        </is>
      </c>
      <c r="C34" s="194" t="inlineStr">
        <is>
          <t>токарь-расточник</t>
        </is>
      </c>
      <c r="D34" s="177">
        <f>$D$5</f>
        <v/>
      </c>
      <c r="E34" s="202" t="n">
        <v>186</v>
      </c>
      <c r="F34" s="193" t="n">
        <v>172414.02</v>
      </c>
      <c r="G34" s="179">
        <f>F34/D34</f>
        <v/>
      </c>
      <c r="H34" s="180" t="n"/>
      <c r="I34" s="140">
        <f>H34*100/$E$34</f>
        <v/>
      </c>
      <c r="J34" s="133" t="n"/>
      <c r="K34" s="140">
        <f>J34*100/$E$34</f>
        <v/>
      </c>
      <c r="L34" s="133" t="n"/>
      <c r="M34" s="140">
        <f>L34*100/$E$34</f>
        <v/>
      </c>
      <c r="N34" s="133" t="n"/>
      <c r="O34" s="140">
        <f>N34*100/$E$34</f>
        <v/>
      </c>
      <c r="P34" s="133" t="n"/>
      <c r="Q34" s="139">
        <f>P34*100/$E$34</f>
        <v/>
      </c>
      <c r="R34" s="133" t="n"/>
      <c r="S34" s="139">
        <f>R34*100/$E$34</f>
        <v/>
      </c>
      <c r="T34" s="133" t="n"/>
      <c r="U34" s="140">
        <f>T34*100/$E$34</f>
        <v/>
      </c>
      <c r="V34" s="133" t="n"/>
      <c r="W34" s="140">
        <f>V34*100/$E$34</f>
        <v/>
      </c>
      <c r="X34" s="133" t="n"/>
      <c r="Y34" s="140">
        <f>X34*100/$E$34</f>
        <v/>
      </c>
      <c r="Z34" s="133" t="n"/>
      <c r="AA34" s="140">
        <f>Z34*100/$E$34</f>
        <v/>
      </c>
      <c r="AB34" s="133" t="n"/>
      <c r="AC34" s="140">
        <f>AB34*100/$E$34</f>
        <v/>
      </c>
      <c r="AD34" s="133" t="n"/>
      <c r="AE34" s="139">
        <f>AD34*100/$E$34</f>
        <v/>
      </c>
      <c r="AF34" s="133" t="n"/>
      <c r="AG34" s="139">
        <f>AF34*100/$E$34</f>
        <v/>
      </c>
      <c r="AH34" s="133" t="n">
        <v>1</v>
      </c>
      <c r="AI34" s="140">
        <f>AH34*100/$E$34</f>
        <v/>
      </c>
      <c r="AJ34" s="133" t="n"/>
      <c r="AK34" s="140">
        <f>AJ34*100/$E$34</f>
        <v/>
      </c>
      <c r="AL34" s="133" t="n"/>
      <c r="AM34" s="140">
        <f>AL34*100/$E$34</f>
        <v/>
      </c>
      <c r="AN34" s="133">
        <f>12+12+12</f>
        <v/>
      </c>
      <c r="AO34" s="140">
        <f>AN34*100/$E$34</f>
        <v/>
      </c>
      <c r="AP34" s="133" t="n"/>
      <c r="AQ34" s="140">
        <f>AP34*100/$E$34</f>
        <v/>
      </c>
      <c r="AR34" s="133">
        <f>12+18</f>
        <v/>
      </c>
      <c r="AS34" s="140">
        <f>AR34*100/$E$34</f>
        <v/>
      </c>
      <c r="AT34" s="133">
        <f>12+12</f>
        <v/>
      </c>
      <c r="AU34" s="181">
        <f>AT34*100/$E$34</f>
        <v/>
      </c>
      <c r="AV34" s="133" t="n"/>
      <c r="AW34" s="140">
        <f>AV34*100/$E$34</f>
        <v/>
      </c>
      <c r="AX34" s="133" t="n"/>
      <c r="AY34" s="140">
        <f>AX34*100/$E$34</f>
        <v/>
      </c>
      <c r="AZ34" s="133" t="n"/>
      <c r="BA34" s="140">
        <f>AZ34*100/$E$34</f>
        <v/>
      </c>
      <c r="BB34" s="133" t="n"/>
      <c r="BC34" s="140">
        <f>BB34*100/$E$34</f>
        <v/>
      </c>
      <c r="BD34" s="133" t="n"/>
      <c r="BE34" s="140">
        <f>BD34*100/$E$34</f>
        <v/>
      </c>
      <c r="BF34" s="133" t="n"/>
      <c r="BG34" s="140">
        <f>BF34*100/$E$34</f>
        <v/>
      </c>
      <c r="BH34" s="133" t="n"/>
      <c r="BI34" s="140">
        <f>BH34*100/$E$34</f>
        <v/>
      </c>
      <c r="BJ34" s="133" t="n">
        <v>4</v>
      </c>
      <c r="BK34" s="140">
        <f>BJ34*100/$E$34</f>
        <v/>
      </c>
      <c r="BL34" s="133" t="n"/>
      <c r="BM34" s="140">
        <f>BL34*100/$E$34</f>
        <v/>
      </c>
      <c r="BN34" s="133" t="n"/>
      <c r="BO34" s="140">
        <f>BN34*100/$E$34</f>
        <v/>
      </c>
      <c r="BP34" s="133" t="n"/>
      <c r="BQ34" s="140">
        <f>BP34*100/$E$34</f>
        <v/>
      </c>
      <c r="BR34" s="133" t="n"/>
      <c r="BS34" s="140">
        <f>BR34*100/$E$34</f>
        <v/>
      </c>
      <c r="BT34" s="133" t="n"/>
      <c r="BU34" s="140">
        <f>BT34*100/$E$34</f>
        <v/>
      </c>
      <c r="BV34" s="133" t="n"/>
      <c r="BW34" s="140">
        <f>BV34*100/$E$34</f>
        <v/>
      </c>
      <c r="BX34" s="133" t="n"/>
      <c r="BY34" s="140">
        <f>BX34*100/$E$34</f>
        <v/>
      </c>
      <c r="BZ34" s="133" t="n"/>
      <c r="CA34" s="140">
        <f>BZ34*100/$E$34</f>
        <v/>
      </c>
      <c r="CB34" s="133" t="n"/>
      <c r="CC34" s="140">
        <f>CB34*100/$E$34</f>
        <v/>
      </c>
      <c r="CD34" s="133" t="n"/>
      <c r="CE34" s="140">
        <f>CD34*100/$E$34</f>
        <v/>
      </c>
      <c r="CF34" s="133" t="n"/>
      <c r="CG34" s="140">
        <f>CF34*100/$E$34</f>
        <v/>
      </c>
      <c r="CH34" s="133" t="n"/>
      <c r="CI34" s="140">
        <f>CH34*100/$E$34</f>
        <v/>
      </c>
      <c r="CJ34" s="133" t="n"/>
      <c r="CK34" s="140">
        <f>CJ34*100/$E$34</f>
        <v/>
      </c>
      <c r="CL34" s="133" t="n"/>
      <c r="CM34" s="140">
        <f>CL34*100/$E$34</f>
        <v/>
      </c>
      <c r="CN34" s="133" t="n"/>
      <c r="CO34" s="139">
        <f>CN34*100/$E$34</f>
        <v/>
      </c>
      <c r="CP34" s="133" t="n"/>
      <c r="CQ34" s="140">
        <f>CP34*100/$E$34</f>
        <v/>
      </c>
      <c r="CR34" s="133" t="n"/>
      <c r="CS34" s="139">
        <f>CR34*100/$E$34</f>
        <v/>
      </c>
      <c r="CT34" s="133" t="n"/>
      <c r="CU34" s="139">
        <f>CT34*100/$E$34</f>
        <v/>
      </c>
      <c r="CV34" s="133" t="n"/>
      <c r="CW34" s="139">
        <f>CV34*100/$E$34</f>
        <v/>
      </c>
      <c r="CX34" s="133" t="n"/>
      <c r="CY34" s="139">
        <f>CX34*100/$E$34</f>
        <v/>
      </c>
      <c r="CZ34" s="133" t="n"/>
      <c r="DA34" s="139">
        <f>CZ34*100/$E$34</f>
        <v/>
      </c>
      <c r="DB34" s="133">
        <f>12+12</f>
        <v/>
      </c>
      <c r="DC34" s="139">
        <f>DB34*100/$E$34</f>
        <v/>
      </c>
      <c r="DD34" s="133" t="n"/>
      <c r="DE34" s="139">
        <f>DD34*100/$E$34</f>
        <v/>
      </c>
      <c r="DF34" s="133" t="n"/>
      <c r="DG34" s="139">
        <f>DF34*100/$E$34</f>
        <v/>
      </c>
      <c r="DH34" s="133" t="n"/>
      <c r="DI34" s="139">
        <f>DH34*100/$E$34</f>
        <v/>
      </c>
      <c r="DJ34" s="133" t="n"/>
      <c r="DK34" s="139">
        <f>DJ34*100/$E$34</f>
        <v/>
      </c>
      <c r="DL34" s="133" t="n"/>
      <c r="DM34" s="139">
        <f>DL34*100/$E$34</f>
        <v/>
      </c>
      <c r="DN34" s="133" t="n"/>
      <c r="DO34" s="139">
        <f>DN34*100/$E$34</f>
        <v/>
      </c>
      <c r="DP34" s="133" t="n"/>
      <c r="DQ34" s="139">
        <f>DP34*100/$E$34</f>
        <v/>
      </c>
      <c r="DR34" s="133" t="n"/>
      <c r="DS34" s="139">
        <f>DR34*100/$E$34</f>
        <v/>
      </c>
      <c r="DT34" s="133" t="n"/>
      <c r="DU34" s="139">
        <f>DT34*100/$E$34</f>
        <v/>
      </c>
      <c r="DV34" s="133" t="n"/>
      <c r="DW34" s="139">
        <f>DV34*100/$E$34</f>
        <v/>
      </c>
      <c r="DX34" s="133" t="n"/>
      <c r="DY34" s="139">
        <f>DX34*100/$E$34</f>
        <v/>
      </c>
      <c r="DZ34" s="133" t="n"/>
      <c r="EA34" s="139">
        <f>DZ34*100/$E$34</f>
        <v/>
      </c>
      <c r="EB34" s="133" t="n"/>
      <c r="EC34" s="139">
        <f>EB34*100/$E$34</f>
        <v/>
      </c>
      <c r="ED34" s="133" t="n"/>
      <c r="EE34" s="139">
        <f>ED34*100/$E$34</f>
        <v/>
      </c>
      <c r="EF34" s="133" t="n"/>
      <c r="EG34" s="139">
        <f>EF34*100/$E$34</f>
        <v/>
      </c>
      <c r="EH34" s="133" t="n"/>
      <c r="EI34" s="139">
        <f>EH34*100/$E$34</f>
        <v/>
      </c>
      <c r="EJ34" s="133" t="n"/>
      <c r="EK34" s="139">
        <f>EJ34*100/$E$34</f>
        <v/>
      </c>
      <c r="EL34" s="133" t="n"/>
      <c r="EM34" s="139">
        <f>EL34*100/$E$34</f>
        <v/>
      </c>
      <c r="EN34" s="133" t="n"/>
      <c r="EO34" s="139">
        <f>EN34*100/$E$34</f>
        <v/>
      </c>
      <c r="EP34" s="133" t="n"/>
      <c r="EQ34" s="139">
        <f>EP34*100/$E$34</f>
        <v/>
      </c>
      <c r="ER34" s="133" t="n"/>
      <c r="ES34" s="139">
        <f>ER34*100/$E$34</f>
        <v/>
      </c>
      <c r="ET34" s="133" t="n"/>
      <c r="EU34" s="139">
        <f>ET34*100/$E$34</f>
        <v/>
      </c>
      <c r="EV34" s="133" t="n"/>
      <c r="EW34" s="139">
        <f>EV34*100/$E$34</f>
        <v/>
      </c>
      <c r="EX34" s="133" t="n"/>
      <c r="EY34" s="139">
        <f>EX34*100/$E$34</f>
        <v/>
      </c>
      <c r="EZ34" s="133" t="n"/>
      <c r="FA34" s="139">
        <f>EZ34*100/$E$34</f>
        <v/>
      </c>
      <c r="FB34" s="133" t="n"/>
      <c r="FC34" s="139">
        <f>FB34*100/$E$34</f>
        <v/>
      </c>
      <c r="FD34" s="133" t="n"/>
      <c r="FE34" s="139">
        <f>FD34*100/$E$34</f>
        <v/>
      </c>
      <c r="FF34" s="133" t="n"/>
      <c r="FG34" s="139">
        <f>FF34*100/$E$34</f>
        <v/>
      </c>
      <c r="FH34" s="133" t="n"/>
      <c r="FI34" s="139">
        <f>FH34*100/$E$34</f>
        <v/>
      </c>
      <c r="FJ34" s="133" t="n"/>
      <c r="FK34" s="139">
        <f>FJ34*100/$E$34</f>
        <v/>
      </c>
      <c r="FL34" s="133" t="n"/>
      <c r="FM34" s="139">
        <f>FL34*100/$E$34</f>
        <v/>
      </c>
      <c r="FN34" s="133" t="n"/>
      <c r="FO34" s="139">
        <f>FN34*100/$E$34</f>
        <v/>
      </c>
      <c r="FP34" s="133" t="n"/>
      <c r="FQ34" s="139">
        <f>FP34*100/$E$34</f>
        <v/>
      </c>
      <c r="FR34" s="133" t="n"/>
      <c r="FS34" s="139">
        <f>FR34*100/$E$34</f>
        <v/>
      </c>
      <c r="FT34" s="133" t="n"/>
      <c r="FU34" s="139">
        <f>FT34*100/$E$34</f>
        <v/>
      </c>
      <c r="FV34" s="133" t="n"/>
      <c r="FW34" s="139">
        <f>FV34*100/$E$34</f>
        <v/>
      </c>
      <c r="FX34" s="133" t="n"/>
      <c r="FY34" s="140">
        <f>FX34*100/$E$34</f>
        <v/>
      </c>
      <c r="FZ34" s="133" t="n"/>
      <c r="GA34" s="140">
        <f>FZ34*100/$E$34</f>
        <v/>
      </c>
      <c r="GB34" s="133" t="n"/>
      <c r="GC34" s="140">
        <f>GB34*100/$E$34</f>
        <v/>
      </c>
      <c r="GD34" s="133" t="n"/>
      <c r="GE34" s="140">
        <f>GD34*100/$E$34</f>
        <v/>
      </c>
      <c r="GF34" s="133" t="n"/>
      <c r="GG34" s="140">
        <f>GF34*100/$E$34</f>
        <v/>
      </c>
      <c r="GH34" s="133" t="n"/>
      <c r="GI34" s="140">
        <f>GH34*100/$E$34</f>
        <v/>
      </c>
      <c r="GJ34" s="133" t="n"/>
      <c r="GK34" s="139">
        <f>GJ34*100/$E$34</f>
        <v/>
      </c>
      <c r="GL34" s="133" t="n"/>
      <c r="GM34" s="140">
        <f>GL34*100/$E$34</f>
        <v/>
      </c>
      <c r="GN34" s="133" t="n"/>
      <c r="GO34" s="139">
        <f>GN34*100/$E$34</f>
        <v/>
      </c>
      <c r="GP34" s="133" t="n"/>
      <c r="GQ34" s="140">
        <f>GP34*100/$E$34</f>
        <v/>
      </c>
      <c r="GR34" s="133" t="n"/>
      <c r="GS34" s="139">
        <f>GR34*100/$E$34</f>
        <v/>
      </c>
      <c r="GT34" s="133" t="n"/>
      <c r="GU34" s="139">
        <f>GT34*100/$E$34</f>
        <v/>
      </c>
      <c r="GV34" s="133" t="n"/>
      <c r="GW34" s="139">
        <f>GV34*100/$E$34</f>
        <v/>
      </c>
      <c r="GX34" s="133" t="n"/>
      <c r="GY34" s="140">
        <f>GX34*100/$E$34</f>
        <v/>
      </c>
      <c r="GZ34" s="133" t="n"/>
      <c r="HA34" s="140">
        <f>GZ34*100/$E$34</f>
        <v/>
      </c>
      <c r="HB34" s="133" t="n"/>
      <c r="HC34" s="140">
        <f>HB34*100/$E$34</f>
        <v/>
      </c>
      <c r="HD34" s="133" t="n"/>
      <c r="HE34" s="140">
        <f>HD34*100/$E$34</f>
        <v/>
      </c>
      <c r="HF34" s="133" t="n"/>
      <c r="HG34" s="140">
        <f>HF34*100/$E$34</f>
        <v/>
      </c>
      <c r="HH34" s="133" t="n">
        <v>12</v>
      </c>
      <c r="HI34" s="140">
        <f>HH34*100/$E$34</f>
        <v/>
      </c>
      <c r="HJ34" s="133" t="n"/>
      <c r="HK34" s="140">
        <f>HJ34*100/$E$34</f>
        <v/>
      </c>
      <c r="HL34" s="133" t="n"/>
      <c r="HM34" s="140">
        <f>HL34*100/$E$34</f>
        <v/>
      </c>
      <c r="HN34" s="133" t="n"/>
      <c r="HO34" s="140">
        <f>HN34*100/$E$34</f>
        <v/>
      </c>
      <c r="HP34" s="133" t="n"/>
      <c r="HQ34" s="140">
        <f>HP34*100/$E$34</f>
        <v/>
      </c>
      <c r="HR34" s="133" t="n"/>
      <c r="HS34" s="140">
        <f>HR34*100/$E$34</f>
        <v/>
      </c>
      <c r="HT34" s="133" t="n"/>
      <c r="HU34" s="140">
        <f>HT34*100/$E$34</f>
        <v/>
      </c>
      <c r="HV34" s="133" t="n"/>
      <c r="HW34" s="140">
        <f>HV34*100/$E$34</f>
        <v/>
      </c>
      <c r="HX34" s="133" t="n"/>
      <c r="HY34" s="140">
        <f>HX34*100/$E$34</f>
        <v/>
      </c>
      <c r="HZ34" s="133" t="n"/>
      <c r="IA34" s="139">
        <f>HZ34*100/$E$34</f>
        <v/>
      </c>
      <c r="IB34" s="133" t="n"/>
      <c r="IC34" s="139">
        <f>IB34*100/$E$34</f>
        <v/>
      </c>
      <c r="ID34" s="133" t="n"/>
      <c r="IE34" s="139">
        <f>ID34*100/$E$34</f>
        <v/>
      </c>
      <c r="IF34" s="133" t="n"/>
      <c r="IG34" s="139">
        <f>IF34*100/$E$34</f>
        <v/>
      </c>
      <c r="IH34" s="133" t="n"/>
      <c r="II34" s="139">
        <f>IH34*100/$E$34</f>
        <v/>
      </c>
      <c r="IJ34" s="133" t="n"/>
      <c r="IK34" s="139">
        <f>IJ34*100/$E$34</f>
        <v/>
      </c>
      <c r="IL34" s="133" t="n"/>
      <c r="IM34" s="140">
        <f>IL34*100/$E$34</f>
        <v/>
      </c>
      <c r="IN34" s="133" t="n"/>
      <c r="IO34" s="140">
        <f>IN34*100/$E$34</f>
        <v/>
      </c>
      <c r="IP34" s="133" t="n"/>
      <c r="IQ34" s="139">
        <f>IP34*100/$E$34</f>
        <v/>
      </c>
      <c r="IR34" s="133" t="n"/>
      <c r="IS34" s="139">
        <f>IR34*100/$E$34</f>
        <v/>
      </c>
      <c r="IT34" s="133" t="n"/>
      <c r="IU34" s="139">
        <f>IT34*100/$E$34</f>
        <v/>
      </c>
      <c r="IV34" s="133" t="n"/>
      <c r="IW34" s="139">
        <f>IV34*100/$E$34</f>
        <v/>
      </c>
      <c r="IX34" s="133" t="n"/>
      <c r="IY34" s="139">
        <f>IX34*100/$E$34</f>
        <v/>
      </c>
      <c r="IZ34" s="133" t="n"/>
      <c r="JA34" s="139">
        <f>IZ34*100/$E$34</f>
        <v/>
      </c>
      <c r="JB34" s="133" t="n"/>
      <c r="JC34" s="139">
        <f>JB34*100/$E$34</f>
        <v/>
      </c>
      <c r="JD34" s="133" t="n"/>
      <c r="JE34" s="139">
        <f>JD34*100/$E$34</f>
        <v/>
      </c>
      <c r="JF34" s="133" t="n"/>
      <c r="JG34" s="139">
        <f>JF34*100/$E$34</f>
        <v/>
      </c>
      <c r="JH34" s="133" t="n"/>
      <c r="JI34" s="139">
        <f>JH34*100/$E$34</f>
        <v/>
      </c>
      <c r="JJ34" s="133" t="n"/>
      <c r="JK34" s="139">
        <f>JJ34*100/$E$34</f>
        <v/>
      </c>
      <c r="JL34" s="133">
        <f>12+8+12+12+11</f>
        <v/>
      </c>
      <c r="JM34" s="139">
        <f>JL34*100/$E$34</f>
        <v/>
      </c>
      <c r="JN34" s="133" t="n"/>
      <c r="JO34" s="139">
        <f>JN34*100/$E$34</f>
        <v/>
      </c>
      <c r="JP34" s="133" t="n"/>
      <c r="JQ34" s="139">
        <f>JP34*100/$E$34</f>
        <v/>
      </c>
      <c r="JR34" s="133" t="n"/>
      <c r="JS34" s="182">
        <f>JR34*100/$E$34</f>
        <v/>
      </c>
      <c r="JT34" s="133" t="n"/>
      <c r="JU34" s="182">
        <f>JT34*100/$E$34</f>
        <v/>
      </c>
      <c r="JV34" s="133" t="n"/>
      <c r="JW34" s="182">
        <f>JV34*100/$E$34</f>
        <v/>
      </c>
      <c r="JX34" s="133" t="n"/>
      <c r="JY34" s="182">
        <f>JX34*100/$E$34</f>
        <v/>
      </c>
      <c r="JZ34" s="183">
        <f>JN34+JP34+JR34+JT34+JV34+JX34</f>
        <v/>
      </c>
      <c r="KA34" s="184">
        <f>JO34+JQ34+JS34+JU34+JW34+JY34</f>
        <v/>
      </c>
      <c r="KB34" s="185">
        <f>H34+J34+L34+N34+P34+R34+T34+V34+X34+Z34+AB34+AD34+AF34+AH34+AJ34+AL34+AN34+AP34+AR34+AT34+AV34+AX34+AZ34+BB34+BD34+BF34+BH34+BJ34+BL34+BN34+BP34+BR34+BT34+BV34+BX34+BZ34+CB34+CD34+CF34+CH34+CZ34+DB34+DD34+DF34+DH34+DJ34+DL34+DN34+DP34+DR34+DT34+DV34+DX34+DZ34+EB34+ED34+EF34+EH34+EJ34+EL34+EN34+EP34+ER34+ET34+EV34+FN34+FP34+FR34+FT34+FV34+FX34+FZ34+GB34+GD34+GF34+GH34+GJ34+GL34+GN34+GP34+GR34+GT34+GV34+GX34+GZ34+HB34+HD34+HF34+HH34+HJ34+HL34+HN34+HP34+HR34+HT34+HV34+HX34+HZ34+IB34+ID34+IF34+IH34+IJ34+IL34+IN34+IP34+IR34+IT34+IV34+IX34+IZ34+JB34+JD34+JF34+JH34+JJ34+JL34+JZ34+CJ34+CL34+CN34+CP34+CR34+CT34+CV34+CX34+EX34+EZ34+FB34+FD34+FF34+FH34+FJ34+FL34</f>
        <v/>
      </c>
      <c r="KC34" s="186">
        <f>I34+K34+M34+O34+Q34+S34+U34+W34+Y34+AA34+AC34+AE34+AG34+AI34+AK34+AM34+AO34+AQ34+AS34+AU34+AW34+AY34+BA34+BC34+BE34+BG34+BI34+BK34+BM34+BO34+BQ34+BS34+BU34+BW34+BY34+CA34+CC34+CE34+CG34+CI34+DA34+DC34+DE34+DG34+DI34+DK34+DM34+DO34+DQ34+DS34+DU34+DW34+DY34+EA34+EC34+EE34+EG34+EI34+EK34+EM34+EO34+EQ34+ES34+EU34+EW34+FO34+FS34+FU34+FW34+FQ34+FY34+GA34+GC34+GE34+GG34+GI34+GK34+GM34+GO34+GQ34+GS34+GU34+GW34+GY34+HA34+HC34+HE34+HG34+HI34+HK34+HM34+HO34+HQ34+HS34+HU34+HW34+HY34+IA34+IC34+IE34+IG34+II34+IK34+IM34+IO34+IQ34+IS34+IU34+IW34+IY34+JA34+JC34+JE34+JG34+JI34+JK34+JM34+KA34+CK34+CM34+CO34+CQ34+CS34+CU34+CW34+CY34+EY34+FA34+FC34+FE34+FG34+FI34+FK34+FM34</f>
        <v/>
      </c>
      <c r="KD34" s="187">
        <f>JO34+JQ34+JS34+JU34+JW34+JY34</f>
        <v/>
      </c>
      <c r="KE34" s="188">
        <f>KB34=E34</f>
        <v/>
      </c>
      <c r="KF34" s="189">
        <f>E34-KB34</f>
        <v/>
      </c>
      <c r="KG34" s="209" t="n"/>
    </row>
    <row r="35" ht="21.75" customFormat="1" customHeight="1" s="209">
      <c r="A35" s="126">
        <f>A34+1</f>
        <v/>
      </c>
      <c r="B35" s="175" t="inlineStr">
        <is>
          <t>Носиков А.А.</t>
        </is>
      </c>
      <c r="C35" s="194" t="inlineStr">
        <is>
          <t>Фрезеровщик</t>
        </is>
      </c>
      <c r="D35" s="177">
        <f>$D$5</f>
        <v/>
      </c>
      <c r="E35" s="202" t="n">
        <v>178</v>
      </c>
      <c r="F35" s="193" t="n">
        <v>111265.05</v>
      </c>
      <c r="G35" s="179">
        <f>F35/D35</f>
        <v/>
      </c>
      <c r="H35" s="180" t="n"/>
      <c r="I35" s="140">
        <f>H35*100/$E$35</f>
        <v/>
      </c>
      <c r="J35" s="133" t="n">
        <v>2</v>
      </c>
      <c r="K35" s="140">
        <f>J35*100/$E$35</f>
        <v/>
      </c>
      <c r="L35" s="133" t="n"/>
      <c r="M35" s="140">
        <f>L35*100/$E$35</f>
        <v/>
      </c>
      <c r="N35" s="133" t="n"/>
      <c r="O35" s="140">
        <f>N35*100/$E$35</f>
        <v/>
      </c>
      <c r="P35" s="133" t="n"/>
      <c r="Q35" s="139">
        <f>P35*100/$E$35</f>
        <v/>
      </c>
      <c r="R35" s="133" t="n"/>
      <c r="S35" s="139">
        <f>R35*100/$E$35</f>
        <v/>
      </c>
      <c r="T35" s="133" t="n"/>
      <c r="U35" s="140">
        <f>T35*100/$E$35</f>
        <v/>
      </c>
      <c r="V35" s="133" t="n"/>
      <c r="W35" s="140">
        <f>V35*100/$E$35</f>
        <v/>
      </c>
      <c r="X35" s="133" t="n"/>
      <c r="Y35" s="140">
        <f>X35*100/$E$35</f>
        <v/>
      </c>
      <c r="Z35" s="133" t="n"/>
      <c r="AA35" s="140">
        <f>Z35*100/$E$35</f>
        <v/>
      </c>
      <c r="AB35" s="133" t="n"/>
      <c r="AC35" s="140">
        <f>AB35*100/$E$35</f>
        <v/>
      </c>
      <c r="AD35" s="133" t="n"/>
      <c r="AE35" s="139">
        <f>AD35*100/$E$35</f>
        <v/>
      </c>
      <c r="AF35" s="133" t="n"/>
      <c r="AG35" s="139">
        <f>AF35*100/$E$35</f>
        <v/>
      </c>
      <c r="AH35" s="133" t="n"/>
      <c r="AI35" s="140">
        <f>AH35*100/$E$35</f>
        <v/>
      </c>
      <c r="AJ35" s="133" t="n"/>
      <c r="AK35" s="140">
        <f>AJ35*100/$E$35</f>
        <v/>
      </c>
      <c r="AL35" s="133" t="n"/>
      <c r="AM35" s="140">
        <f>AL35*100/$E$35</f>
        <v/>
      </c>
      <c r="AN35" s="133" t="n"/>
      <c r="AO35" s="140">
        <f>AN35*100/$E$35</f>
        <v/>
      </c>
      <c r="AP35" s="133" t="n"/>
      <c r="AQ35" s="140">
        <f>AP35*100/$E$35</f>
        <v/>
      </c>
      <c r="AR35" s="133" t="n"/>
      <c r="AS35" s="140">
        <f>AR35*100/$E$35</f>
        <v/>
      </c>
      <c r="AT35" s="133" t="n"/>
      <c r="AU35" s="181">
        <f>AT35*100/$E$35</f>
        <v/>
      </c>
      <c r="AV35" s="133" t="n"/>
      <c r="AW35" s="140">
        <f>AV35*100/$E$35</f>
        <v/>
      </c>
      <c r="AX35" s="133" t="n"/>
      <c r="AY35" s="140">
        <f>AX35*100/$E$35</f>
        <v/>
      </c>
      <c r="AZ35" s="133" t="n"/>
      <c r="BA35" s="140">
        <f>AZ35*100/$E$35</f>
        <v/>
      </c>
      <c r="BB35" s="133" t="n"/>
      <c r="BC35" s="140">
        <f>BB35*100/$E$35</f>
        <v/>
      </c>
      <c r="BD35" s="133" t="n"/>
      <c r="BE35" s="140">
        <f>BD35*100/$E$35</f>
        <v/>
      </c>
      <c r="BF35" s="133" t="n">
        <v>10</v>
      </c>
      <c r="BG35" s="140">
        <f>BF35*100/$E$35</f>
        <v/>
      </c>
      <c r="BH35" s="133" t="n">
        <v>4</v>
      </c>
      <c r="BI35" s="140">
        <f>BH35*100/$E$35</f>
        <v/>
      </c>
      <c r="BJ35" s="133" t="n">
        <v>4</v>
      </c>
      <c r="BK35" s="140">
        <f>BJ35*100/$E$35</f>
        <v/>
      </c>
      <c r="BL35" s="133" t="n"/>
      <c r="BM35" s="140">
        <f>BL35*100/$E$35</f>
        <v/>
      </c>
      <c r="BN35" s="133" t="n"/>
      <c r="BO35" s="140">
        <f>BN35*100/$E$35</f>
        <v/>
      </c>
      <c r="BP35" s="133" t="n"/>
      <c r="BQ35" s="140">
        <f>BP35*100/$E$35</f>
        <v/>
      </c>
      <c r="BR35" s="133" t="n"/>
      <c r="BS35" s="140">
        <f>BR35*100/$E$35</f>
        <v/>
      </c>
      <c r="BT35" s="133" t="n"/>
      <c r="BU35" s="140">
        <f>BT35*100/$E$35</f>
        <v/>
      </c>
      <c r="BV35" s="133">
        <f>6+12+10+6+8+8</f>
        <v/>
      </c>
      <c r="BW35" s="140">
        <f>BV35*100/$E$35</f>
        <v/>
      </c>
      <c r="BX35" s="133" t="n"/>
      <c r="BY35" s="140">
        <f>BX35*100/$E$35</f>
        <v/>
      </c>
      <c r="BZ35" s="133" t="n"/>
      <c r="CA35" s="140">
        <f>BZ35*100/$E$35</f>
        <v/>
      </c>
      <c r="CB35" s="133">
        <f>4+2</f>
        <v/>
      </c>
      <c r="CC35" s="140">
        <f>CB35*100/$E$35</f>
        <v/>
      </c>
      <c r="CD35" s="133" t="n"/>
      <c r="CE35" s="140">
        <f>CD35*100/$E$35</f>
        <v/>
      </c>
      <c r="CF35" s="133" t="n"/>
      <c r="CG35" s="140">
        <f>CF35*100/$E$35</f>
        <v/>
      </c>
      <c r="CH35" s="133" t="n"/>
      <c r="CI35" s="140">
        <f>CH35*100/$E$35</f>
        <v/>
      </c>
      <c r="CJ35" s="133" t="n"/>
      <c r="CK35" s="140">
        <f>CJ35*100/$E$35</f>
        <v/>
      </c>
      <c r="CL35" s="133" t="n"/>
      <c r="CM35" s="140">
        <f>CL35*100/$E$35</f>
        <v/>
      </c>
      <c r="CN35" s="133" t="n"/>
      <c r="CO35" s="139">
        <f>CN35*100/$E$35</f>
        <v/>
      </c>
      <c r="CP35" s="133" t="n"/>
      <c r="CQ35" s="140">
        <f>CP35*100/$E$35</f>
        <v/>
      </c>
      <c r="CR35" s="133" t="n"/>
      <c r="CS35" s="139">
        <f>CR35*100/$E$35</f>
        <v/>
      </c>
      <c r="CT35" s="133" t="n"/>
      <c r="CU35" s="139">
        <f>CT35*100/$E$35</f>
        <v/>
      </c>
      <c r="CV35" s="133" t="n"/>
      <c r="CW35" s="139">
        <f>CV35*100/$E$35</f>
        <v/>
      </c>
      <c r="CX35" s="133" t="n"/>
      <c r="CY35" s="139">
        <f>CX35*100/$E$35</f>
        <v/>
      </c>
      <c r="CZ35" s="133" t="n"/>
      <c r="DA35" s="139">
        <f>CZ35*100/$E$35</f>
        <v/>
      </c>
      <c r="DB35" s="133" t="n"/>
      <c r="DC35" s="139">
        <f>DB35*100/$E$35</f>
        <v/>
      </c>
      <c r="DD35" s="133" t="n"/>
      <c r="DE35" s="139">
        <f>DD35*100/$E$35</f>
        <v/>
      </c>
      <c r="DF35" s="133" t="n"/>
      <c r="DG35" s="139">
        <f>DF35*100/$E$35</f>
        <v/>
      </c>
      <c r="DH35" s="133" t="n"/>
      <c r="DI35" s="139">
        <f>DH35*100/$E$35</f>
        <v/>
      </c>
      <c r="DJ35" s="133" t="n"/>
      <c r="DK35" s="139">
        <f>DJ35*100/$E$35</f>
        <v/>
      </c>
      <c r="DL35" s="133" t="n"/>
      <c r="DM35" s="139">
        <f>DL35*100/$E$35</f>
        <v/>
      </c>
      <c r="DN35" s="133" t="n"/>
      <c r="DO35" s="139">
        <f>DN35*100/$E$35</f>
        <v/>
      </c>
      <c r="DP35" s="133" t="n"/>
      <c r="DQ35" s="139">
        <f>DP35*100/$E$35</f>
        <v/>
      </c>
      <c r="DR35" s="133">
        <f>6+4+4</f>
        <v/>
      </c>
      <c r="DS35" s="139">
        <f>DR35*100/$E$35</f>
        <v/>
      </c>
      <c r="DT35" s="133" t="n"/>
      <c r="DU35" s="139">
        <f>DT35*100/$E$35</f>
        <v/>
      </c>
      <c r="DV35" s="133" t="n">
        <v>12</v>
      </c>
      <c r="DW35" s="139">
        <f>DV35*100/$E$35</f>
        <v/>
      </c>
      <c r="DX35" s="133" t="n"/>
      <c r="DY35" s="139">
        <f>DX35*100/$E$35</f>
        <v/>
      </c>
      <c r="DZ35" s="133" t="n"/>
      <c r="EA35" s="139">
        <f>DZ35*100/$E$35</f>
        <v/>
      </c>
      <c r="EB35" s="133" t="n"/>
      <c r="EC35" s="139">
        <f>EB35*100/$E$35</f>
        <v/>
      </c>
      <c r="ED35" s="133" t="n"/>
      <c r="EE35" s="139">
        <f>ED35*100/$E$35</f>
        <v/>
      </c>
      <c r="EF35" s="133" t="n"/>
      <c r="EG35" s="139">
        <f>EF35*100/$E$35</f>
        <v/>
      </c>
      <c r="EH35" s="133" t="n"/>
      <c r="EI35" s="139">
        <f>EH35*100/$E$35</f>
        <v/>
      </c>
      <c r="EJ35" s="133" t="n"/>
      <c r="EK35" s="139">
        <f>EJ35*100/$E$35</f>
        <v/>
      </c>
      <c r="EL35" s="133" t="n"/>
      <c r="EM35" s="139">
        <f>EL35*100/$E$35</f>
        <v/>
      </c>
      <c r="EN35" s="133" t="n"/>
      <c r="EO35" s="139">
        <f>EN35*100/$E$35</f>
        <v/>
      </c>
      <c r="EP35" s="133" t="n"/>
      <c r="EQ35" s="139">
        <f>EP35*100/$E$35</f>
        <v/>
      </c>
      <c r="ER35" s="133" t="n"/>
      <c r="ES35" s="139">
        <f>ER35*100/$E$35</f>
        <v/>
      </c>
      <c r="ET35" s="133" t="n"/>
      <c r="EU35" s="139">
        <f>ET35*100/$E$35</f>
        <v/>
      </c>
      <c r="EV35" s="133" t="n"/>
      <c r="EW35" s="139">
        <f>EV35*100/$E$35</f>
        <v/>
      </c>
      <c r="EX35" s="133" t="n"/>
      <c r="EY35" s="139">
        <f>EX35*100/$E$35</f>
        <v/>
      </c>
      <c r="EZ35" s="133" t="n"/>
      <c r="FA35" s="139">
        <f>EZ35*100/$E$35</f>
        <v/>
      </c>
      <c r="FB35" s="133" t="n"/>
      <c r="FC35" s="139">
        <f>FB35*100/$E$35</f>
        <v/>
      </c>
      <c r="FD35" s="133" t="n"/>
      <c r="FE35" s="139">
        <f>FD35*100/$E$35</f>
        <v/>
      </c>
      <c r="FF35" s="133" t="n"/>
      <c r="FG35" s="139">
        <f>FF35*100/$E$35</f>
        <v/>
      </c>
      <c r="FH35" s="133" t="n"/>
      <c r="FI35" s="139">
        <f>FH35*100/$E$35</f>
        <v/>
      </c>
      <c r="FJ35" s="133" t="n"/>
      <c r="FK35" s="139">
        <f>FJ35*100/$E$35</f>
        <v/>
      </c>
      <c r="FL35" s="133" t="n"/>
      <c r="FM35" s="139">
        <f>FL35*100/$E$35</f>
        <v/>
      </c>
      <c r="FN35" s="133" t="n"/>
      <c r="FO35" s="139">
        <f>FN35*100/$E$35</f>
        <v/>
      </c>
      <c r="FP35" s="133" t="n"/>
      <c r="FQ35" s="139">
        <f>FP35*100/$E$35</f>
        <v/>
      </c>
      <c r="FR35" s="133" t="n"/>
      <c r="FS35" s="139">
        <f>FR35*100/$E$35</f>
        <v/>
      </c>
      <c r="FT35" s="133" t="n"/>
      <c r="FU35" s="139">
        <f>FT35*100/$E$35</f>
        <v/>
      </c>
      <c r="FV35" s="133" t="n"/>
      <c r="FW35" s="139">
        <f>FV35*100/$E$35</f>
        <v/>
      </c>
      <c r="FX35" s="133" t="n"/>
      <c r="FY35" s="140">
        <f>FX35*100/$E$35</f>
        <v/>
      </c>
      <c r="FZ35" s="133" t="n"/>
      <c r="GA35" s="140">
        <f>FZ35*100/$E$35</f>
        <v/>
      </c>
      <c r="GB35" s="133" t="n"/>
      <c r="GC35" s="140">
        <f>GB35*100/$E$35</f>
        <v/>
      </c>
      <c r="GD35" s="133" t="n"/>
      <c r="GE35" s="140">
        <f>GD35*100/$E$35</f>
        <v/>
      </c>
      <c r="GF35" s="133" t="n"/>
      <c r="GG35" s="140">
        <f>GF35*100/$E$35</f>
        <v/>
      </c>
      <c r="GH35" s="133" t="n"/>
      <c r="GI35" s="140">
        <f>GH35*100/$E$35</f>
        <v/>
      </c>
      <c r="GJ35" s="133" t="n"/>
      <c r="GK35" s="139">
        <f>GJ35*100/$E$35</f>
        <v/>
      </c>
      <c r="GL35" s="133" t="n">
        <v>6</v>
      </c>
      <c r="GM35" s="140">
        <f>GL35*100/$E$35</f>
        <v/>
      </c>
      <c r="GN35" s="133" t="n"/>
      <c r="GO35" s="139">
        <f>GN35*100/$E$35</f>
        <v/>
      </c>
      <c r="GP35" s="133" t="n"/>
      <c r="GQ35" s="140">
        <f>GP35*100/$E$35</f>
        <v/>
      </c>
      <c r="GR35" s="133" t="n"/>
      <c r="GS35" s="139">
        <f>GR35*100/$E$35</f>
        <v/>
      </c>
      <c r="GT35" s="133" t="n"/>
      <c r="GU35" s="139">
        <f>GT35*100/$E$35</f>
        <v/>
      </c>
      <c r="GV35" s="133" t="n"/>
      <c r="GW35" s="139">
        <f>GV35*100/$E$35</f>
        <v/>
      </c>
      <c r="GX35" s="133" t="n">
        <v>8</v>
      </c>
      <c r="GY35" s="140">
        <f>GX35*100/$E$35</f>
        <v/>
      </c>
      <c r="GZ35" s="133" t="n"/>
      <c r="HA35" s="140">
        <f>GZ35*100/$E$35</f>
        <v/>
      </c>
      <c r="HB35" s="133" t="n"/>
      <c r="HC35" s="140">
        <f>HB35*100/$E$35</f>
        <v/>
      </c>
      <c r="HD35" s="133" t="n"/>
      <c r="HE35" s="140">
        <f>HD35*100/$E$35</f>
        <v/>
      </c>
      <c r="HF35" s="133" t="n"/>
      <c r="HG35" s="140">
        <f>HF35*100/$E$35</f>
        <v/>
      </c>
      <c r="HH35" s="133" t="n"/>
      <c r="HI35" s="140">
        <f>HH35*100/$E$35</f>
        <v/>
      </c>
      <c r="HJ35" s="133" t="n"/>
      <c r="HK35" s="140">
        <f>HJ35*100/$E$35</f>
        <v/>
      </c>
      <c r="HL35" s="133" t="n"/>
      <c r="HM35" s="140">
        <f>HL35*100/$E$35</f>
        <v/>
      </c>
      <c r="HN35" s="133" t="n"/>
      <c r="HO35" s="140">
        <f>HN35*100/$E$35</f>
        <v/>
      </c>
      <c r="HP35" s="133" t="n"/>
      <c r="HQ35" s="140">
        <f>HP35*100/$E$35</f>
        <v/>
      </c>
      <c r="HR35" s="133" t="n"/>
      <c r="HS35" s="140">
        <f>HR35*100/$E$35</f>
        <v/>
      </c>
      <c r="HT35" s="133">
        <f>12+12+11+4+10</f>
        <v/>
      </c>
      <c r="HU35" s="140">
        <f>HT35*100/$E$35</f>
        <v/>
      </c>
      <c r="HV35" s="133" t="n"/>
      <c r="HW35" s="140">
        <f>HV35*100/$E$35</f>
        <v/>
      </c>
      <c r="HX35" s="133" t="n"/>
      <c r="HY35" s="140">
        <f>HX35*100/$E$35</f>
        <v/>
      </c>
      <c r="HZ35" s="133" t="n"/>
      <c r="IA35" s="139">
        <f>HZ35*100/$E$35</f>
        <v/>
      </c>
      <c r="IB35" s="133" t="n"/>
      <c r="IC35" s="139">
        <f>IB35*100/$E$35</f>
        <v/>
      </c>
      <c r="ID35" s="133" t="n"/>
      <c r="IE35" s="139">
        <f>ID35*100/$E$35</f>
        <v/>
      </c>
      <c r="IF35" s="133" t="n"/>
      <c r="IG35" s="139">
        <f>IF35*100/$E$35</f>
        <v/>
      </c>
      <c r="IH35" s="133" t="n"/>
      <c r="II35" s="139">
        <f>IH35*100/$E$35</f>
        <v/>
      </c>
      <c r="IJ35" s="133" t="n"/>
      <c r="IK35" s="139">
        <f>IJ35*100/$E$35</f>
        <v/>
      </c>
      <c r="IL35" s="133" t="n"/>
      <c r="IM35" s="140">
        <f>IL35*100/$E$35</f>
        <v/>
      </c>
      <c r="IN35" s="133" t="n"/>
      <c r="IO35" s="140">
        <f>IN35*100/$E$35</f>
        <v/>
      </c>
      <c r="IP35" s="133" t="n"/>
      <c r="IQ35" s="139">
        <f>IP35*100/$E$35</f>
        <v/>
      </c>
      <c r="IR35" s="133" t="n"/>
      <c r="IS35" s="139">
        <f>IR35*100/$E$35</f>
        <v/>
      </c>
      <c r="IT35" s="133" t="n"/>
      <c r="IU35" s="139">
        <f>IT35*100/$E$35</f>
        <v/>
      </c>
      <c r="IV35" s="133" t="n"/>
      <c r="IW35" s="139">
        <f>IV35*100/$E$35</f>
        <v/>
      </c>
      <c r="IX35" s="133" t="n"/>
      <c r="IY35" s="139">
        <f>IX35*100/$E$35</f>
        <v/>
      </c>
      <c r="IZ35" s="133" t="n"/>
      <c r="JA35" s="139">
        <f>IZ35*100/$E$35</f>
        <v/>
      </c>
      <c r="JB35" s="133" t="n"/>
      <c r="JC35" s="139">
        <f>JB35*100/$E$35</f>
        <v/>
      </c>
      <c r="JD35" s="133" t="n"/>
      <c r="JE35" s="139">
        <f>JD35*100/$E$35</f>
        <v/>
      </c>
      <c r="JF35" s="133" t="n"/>
      <c r="JG35" s="139">
        <f>JF35*100/$E$35</f>
        <v/>
      </c>
      <c r="JH35" s="133" t="n"/>
      <c r="JI35" s="139">
        <f>JH35*100/$E$35</f>
        <v/>
      </c>
      <c r="JJ35" s="133" t="n"/>
      <c r="JK35" s="139">
        <f>JJ35*100/$E$35</f>
        <v/>
      </c>
      <c r="JL35" s="133">
        <f>2+11</f>
        <v/>
      </c>
      <c r="JM35" s="139">
        <f>JL35*100/$E$35</f>
        <v/>
      </c>
      <c r="JN35" s="133" t="n"/>
      <c r="JO35" s="139">
        <f>JN35*100/$E$35</f>
        <v/>
      </c>
      <c r="JP35" s="133" t="n"/>
      <c r="JQ35" s="139">
        <f>JP35*100/$E$35</f>
        <v/>
      </c>
      <c r="JR35" s="133" t="n"/>
      <c r="JS35" s="182">
        <f>JR35*100/$E$35</f>
        <v/>
      </c>
      <c r="JT35" s="133" t="n"/>
      <c r="JU35" s="182">
        <f>JT35*100/$E$35</f>
        <v/>
      </c>
      <c r="JV35" s="133" t="n"/>
      <c r="JW35" s="182">
        <f>JV35*100/$E$35</f>
        <v/>
      </c>
      <c r="JX35" s="133" t="n"/>
      <c r="JY35" s="182">
        <f>JX35*100/$E$35</f>
        <v/>
      </c>
      <c r="JZ35" s="183">
        <f>JN35+JP35+JR35+JT35+JV35+JX35</f>
        <v/>
      </c>
      <c r="KA35" s="184">
        <f>JO35+JQ35+JS35+JU35+JW35+JY35</f>
        <v/>
      </c>
      <c r="KB35" s="185">
        <f>H35+J35+L35+N35+P35+R35+T35+V35+X35+Z35+AB35+AD35+AF35+AH35+AJ35+AL35+AN35+AP35+AR35+AT35+AV35+AX35+AZ35+BB35+BD35+BF35+BH35+BJ35+BL35+BN35+BP35+BR35+BT35+BV35+BX35+BZ35+CB35+CD35+CF35+CH35+CZ35+DB35+DD35+DF35+DH35+DJ35+DL35+DN35+DP35+DR35+DT35+DV35+DX35+DZ35+EB35+ED35+EF35+EH35+EJ35+EL35+EN35+EP35+ER35+ET35+EV35+FN35+FP35+FR35+FT35+FV35+FX35+FZ35+GB35+GD35+GF35+GH35+GJ35+GL35+GN35+GP35+GR35+GT35+GV35+GX35+GZ35+HB35+HD35+HF35+HH35+HJ35+HL35+HN35+HP35+HR35+HT35+HV35+HX35+HZ35+IB35+ID35+IF35+IH35+IJ35+IL35+IN35+IP35+IR35+IT35+IV35+IX35+IZ35+JB35+JD35+JF35+JH35+JJ35+JL35+JZ35+CJ35+CL35+CN35+CP35+CR35+CT35+CV35+CX35+EX35+EZ35+FB35+FD35+FF35+FH35+FJ35+FL35</f>
        <v/>
      </c>
      <c r="KC35" s="186">
        <f>I35+K35+M35+O35+Q35+S35+U35+W35+Y35+AA35+AC35+AE35+AG35+AI35+AK35+AM35+AO35+AQ35+AS35+AU35+AW35+AY35+BA35+BC35+BE35+BG35+BI35+BK35+BM35+BO35+BQ35+BS35+BU35+BW35+BY35+CA35+CC35+CE35+CG35+CI35+DA35+DC35+DE35+DG35+DI35+DK35+DM35+DO35+DQ35+DS35+DU35+DW35+DY35+EA35+EC35+EE35+EG35+EI35+EK35+EM35+EO35+EQ35+ES35+EU35+EW35+FO35+FS35+FU35+FW35+FQ35+FY35+GA35+GC35+GE35+GG35+GI35+GK35+GM35+GO35+GQ35+GS35+GU35+GW35+GY35+HA35+HC35+HE35+HG35+HI35+HK35+HM35+HO35+HQ35+HS35+HU35+HW35+HY35+IA35+IC35+IE35+IG35+II35+IK35+IM35+IO35+IQ35+IS35+IU35+IW35+IY35+JA35+JC35+JE35+JG35+JI35+JK35+JM35+KA35+CK35+CM35+CO35+CQ35+CS35+CU35+CW35+CY35+EY35+FA35+FC35+FE35+FG35+FI35+FK35+FM35</f>
        <v/>
      </c>
      <c r="KD35" s="187">
        <f>JO35+JQ35+JS35+JU35+JW35+JY35</f>
        <v/>
      </c>
      <c r="KE35" s="188">
        <f>KB35=E35</f>
        <v/>
      </c>
      <c r="KF35" s="189">
        <f>E35-KB35</f>
        <v/>
      </c>
      <c r="KG35" s="211" t="n"/>
    </row>
    <row r="36" ht="21.75" customFormat="1" customHeight="1" s="211">
      <c r="A36" s="126">
        <f>A35+1</f>
        <v/>
      </c>
      <c r="B36" s="175" t="inlineStr">
        <is>
          <t>Ряснов С.О.</t>
        </is>
      </c>
      <c r="C36" s="176" t="inlineStr">
        <is>
          <t>Фрезеровщик</t>
        </is>
      </c>
      <c r="D36" s="177">
        <f>$D$5</f>
        <v/>
      </c>
      <c r="E36" s="202" t="n">
        <v>179</v>
      </c>
      <c r="F36" s="193" t="n">
        <v>111265.05</v>
      </c>
      <c r="G36" s="179">
        <f>F36/D36</f>
        <v/>
      </c>
      <c r="H36" s="180" t="n"/>
      <c r="I36" s="140">
        <f>H36*100/$E$36</f>
        <v/>
      </c>
      <c r="J36" s="133" t="n"/>
      <c r="K36" s="140">
        <f>J36*100/$E$36</f>
        <v/>
      </c>
      <c r="L36" s="133" t="n"/>
      <c r="M36" s="140">
        <f>L36*100/$E$36</f>
        <v/>
      </c>
      <c r="N36" s="133" t="n"/>
      <c r="O36" s="140">
        <f>N36*100/$E$36</f>
        <v/>
      </c>
      <c r="P36" s="133" t="n"/>
      <c r="Q36" s="139">
        <f>P36*100/$E$36</f>
        <v/>
      </c>
      <c r="R36" s="133" t="n"/>
      <c r="S36" s="139">
        <f>R36*100/$E$36</f>
        <v/>
      </c>
      <c r="T36" s="133" t="n"/>
      <c r="U36" s="140">
        <f>T36*100/$E$36</f>
        <v/>
      </c>
      <c r="V36" s="133" t="n"/>
      <c r="W36" s="140">
        <f>V36*100/$E$36</f>
        <v/>
      </c>
      <c r="X36" s="133" t="n"/>
      <c r="Y36" s="140">
        <f>X36*100/$E$36</f>
        <v/>
      </c>
      <c r="Z36" s="133" t="n"/>
      <c r="AA36" s="140">
        <f>Z36*100/$E$36</f>
        <v/>
      </c>
      <c r="AB36" s="133" t="n"/>
      <c r="AC36" s="140">
        <f>AB36*100/$E$36</f>
        <v/>
      </c>
      <c r="AD36" s="133" t="n"/>
      <c r="AE36" s="139">
        <f>AD36*100/$E$36</f>
        <v/>
      </c>
      <c r="AF36" s="133" t="n"/>
      <c r="AG36" s="139">
        <f>AF36*100/$E$36</f>
        <v/>
      </c>
      <c r="AH36" s="133" t="n"/>
      <c r="AI36" s="140">
        <f>AH36*100/$E$36</f>
        <v/>
      </c>
      <c r="AJ36" s="133" t="n"/>
      <c r="AK36" s="140">
        <f>AJ36*100/$E$36</f>
        <v/>
      </c>
      <c r="AL36" s="133" t="n"/>
      <c r="AM36" s="140">
        <f>AL36*100/$E$36</f>
        <v/>
      </c>
      <c r="AN36" s="133">
        <f>12+12+12+6</f>
        <v/>
      </c>
      <c r="AO36" s="140">
        <f>AN36*100/$E$36</f>
        <v/>
      </c>
      <c r="AP36" s="133" t="n"/>
      <c r="AQ36" s="140">
        <f>AP36*100/$E$36</f>
        <v/>
      </c>
      <c r="AR36" s="133" t="n">
        <v>8</v>
      </c>
      <c r="AS36" s="140">
        <f>AR36*100/$E$36</f>
        <v/>
      </c>
      <c r="AT36" s="133" t="n">
        <v>12</v>
      </c>
      <c r="AU36" s="181">
        <f>AT36*100/$E$36</f>
        <v/>
      </c>
      <c r="AV36" s="133" t="n"/>
      <c r="AW36" s="140">
        <f>AV36*100/$E$36</f>
        <v/>
      </c>
      <c r="AX36" s="133" t="n"/>
      <c r="AY36" s="140">
        <f>AX36*100/$E$36</f>
        <v/>
      </c>
      <c r="AZ36" s="133" t="n"/>
      <c r="BA36" s="140">
        <f>AZ36*100/$E$36</f>
        <v/>
      </c>
      <c r="BB36" s="133" t="n"/>
      <c r="BC36" s="140">
        <f>BB36*100/$E$36</f>
        <v/>
      </c>
      <c r="BD36" s="133" t="n"/>
      <c r="BE36" s="140">
        <f>BD36*100/$E$36</f>
        <v/>
      </c>
      <c r="BF36" s="133" t="n"/>
      <c r="BG36" s="140">
        <f>BF36*100/$E$36</f>
        <v/>
      </c>
      <c r="BH36" s="133">
        <f>4+6</f>
        <v/>
      </c>
      <c r="BI36" s="140">
        <f>BH36*100/$E$36</f>
        <v/>
      </c>
      <c r="BJ36" s="133">
        <f>12+11</f>
        <v/>
      </c>
      <c r="BK36" s="140">
        <f>BJ36*100/$E$36</f>
        <v/>
      </c>
      <c r="BL36" s="133" t="n"/>
      <c r="BM36" s="140">
        <f>BL36*100/$E$36</f>
        <v/>
      </c>
      <c r="BN36" s="133" t="n"/>
      <c r="BO36" s="140">
        <f>BN36*100/$E$36</f>
        <v/>
      </c>
      <c r="BP36" s="133" t="n"/>
      <c r="BQ36" s="140">
        <f>BP36*100/$E$36</f>
        <v/>
      </c>
      <c r="BR36" s="133" t="n"/>
      <c r="BS36" s="140">
        <f>BR36*100/$E$36</f>
        <v/>
      </c>
      <c r="BT36" s="133" t="n"/>
      <c r="BU36" s="140">
        <f>BT36*100/$E$36</f>
        <v/>
      </c>
      <c r="BV36" s="133" t="n"/>
      <c r="BW36" s="140">
        <f>BV36*100/$E$36</f>
        <v/>
      </c>
      <c r="BX36" s="133" t="n"/>
      <c r="BY36" s="140">
        <f>BX36*100/$E$36</f>
        <v/>
      </c>
      <c r="BZ36" s="133" t="n"/>
      <c r="CA36" s="140">
        <f>BZ36*100/$E$36</f>
        <v/>
      </c>
      <c r="CB36" s="133">
        <f>4+4+6+9</f>
        <v/>
      </c>
      <c r="CC36" s="140">
        <f>CB36*100/$E$36</f>
        <v/>
      </c>
      <c r="CD36" s="133" t="n"/>
      <c r="CE36" s="140">
        <f>CD36*100/$E$36</f>
        <v/>
      </c>
      <c r="CF36" s="133" t="n"/>
      <c r="CG36" s="140">
        <f>CF36*100/$E$36</f>
        <v/>
      </c>
      <c r="CH36" s="133" t="n"/>
      <c r="CI36" s="140">
        <f>CH36*100/$E$36</f>
        <v/>
      </c>
      <c r="CJ36" s="133" t="n"/>
      <c r="CK36" s="140">
        <f>CJ36*100/$E$36</f>
        <v/>
      </c>
      <c r="CL36" s="133" t="n"/>
      <c r="CM36" s="140">
        <f>CL36*100/$E$36</f>
        <v/>
      </c>
      <c r="CN36" s="133" t="n"/>
      <c r="CO36" s="139">
        <f>CN36*100/$E$36</f>
        <v/>
      </c>
      <c r="CP36" s="133" t="n"/>
      <c r="CQ36" s="140">
        <f>CP36*100/$E$36</f>
        <v/>
      </c>
      <c r="CR36" s="133" t="n"/>
      <c r="CS36" s="139">
        <f>CR36*100/$E$36</f>
        <v/>
      </c>
      <c r="CT36" s="133" t="n"/>
      <c r="CU36" s="139">
        <f>CT36*100/$E$36</f>
        <v/>
      </c>
      <c r="CV36" s="133" t="n"/>
      <c r="CW36" s="139">
        <f>CV36*100/$E$36</f>
        <v/>
      </c>
      <c r="CX36" s="133" t="n"/>
      <c r="CY36" s="139">
        <f>CX36*100/$E$36</f>
        <v/>
      </c>
      <c r="CZ36" s="133" t="n"/>
      <c r="DA36" s="139">
        <f>CZ36*100/$E$36</f>
        <v/>
      </c>
      <c r="DB36" s="133" t="n"/>
      <c r="DC36" s="139">
        <f>DB36*100/$E$36</f>
        <v/>
      </c>
      <c r="DD36" s="133" t="n"/>
      <c r="DE36" s="139">
        <f>DD36*100/$E$36</f>
        <v/>
      </c>
      <c r="DF36" s="133" t="n"/>
      <c r="DG36" s="139">
        <f>DF36*100/$E$36</f>
        <v/>
      </c>
      <c r="DH36" s="133" t="n"/>
      <c r="DI36" s="139">
        <f>DH36*100/$E$36</f>
        <v/>
      </c>
      <c r="DJ36" s="133" t="n"/>
      <c r="DK36" s="139">
        <f>DJ36*100/$E$36</f>
        <v/>
      </c>
      <c r="DL36" s="133" t="n"/>
      <c r="DM36" s="139">
        <f>DL36*100/$E$36</f>
        <v/>
      </c>
      <c r="DN36" s="133" t="n"/>
      <c r="DO36" s="139">
        <f>DN36*100/$E$36</f>
        <v/>
      </c>
      <c r="DP36" s="133" t="n"/>
      <c r="DQ36" s="139">
        <f>DP36*100/$E$36</f>
        <v/>
      </c>
      <c r="DR36" s="133" t="n"/>
      <c r="DS36" s="139">
        <f>DR36*100/$E$36</f>
        <v/>
      </c>
      <c r="DT36" s="133" t="n"/>
      <c r="DU36" s="139">
        <f>DT36*100/$E$36</f>
        <v/>
      </c>
      <c r="DV36" s="133" t="n"/>
      <c r="DW36" s="139">
        <f>DV36*100/$E$36</f>
        <v/>
      </c>
      <c r="DX36" s="133" t="n">
        <v>3</v>
      </c>
      <c r="DY36" s="139">
        <f>DX36*100/$E$36</f>
        <v/>
      </c>
      <c r="DZ36" s="133" t="n"/>
      <c r="EA36" s="139">
        <f>DZ36*100/$E$36</f>
        <v/>
      </c>
      <c r="EB36" s="133" t="n"/>
      <c r="EC36" s="139">
        <f>EB36*100/$E$36</f>
        <v/>
      </c>
      <c r="ED36" s="133" t="n"/>
      <c r="EE36" s="139">
        <f>ED36*100/$E$36</f>
        <v/>
      </c>
      <c r="EF36" s="133" t="n"/>
      <c r="EG36" s="139">
        <f>EF36*100/$E$36</f>
        <v/>
      </c>
      <c r="EH36" s="133" t="n"/>
      <c r="EI36" s="139">
        <f>EH36*100/$E$36</f>
        <v/>
      </c>
      <c r="EJ36" s="133" t="n"/>
      <c r="EK36" s="139">
        <f>EJ36*100/$E$36</f>
        <v/>
      </c>
      <c r="EL36" s="133" t="n"/>
      <c r="EM36" s="139">
        <f>EL36*100/$E$36</f>
        <v/>
      </c>
      <c r="EN36" s="133" t="n"/>
      <c r="EO36" s="139">
        <f>EN36*100/$E$36</f>
        <v/>
      </c>
      <c r="EP36" s="133" t="n"/>
      <c r="EQ36" s="139">
        <f>EP36*100/$E$36</f>
        <v/>
      </c>
      <c r="ER36" s="133" t="n"/>
      <c r="ES36" s="139">
        <f>ER36*100/$E$36</f>
        <v/>
      </c>
      <c r="ET36" s="133" t="n"/>
      <c r="EU36" s="139">
        <f>ET36*100/$E$36</f>
        <v/>
      </c>
      <c r="EV36" s="133" t="n"/>
      <c r="EW36" s="139">
        <f>EV36*100/$E$36</f>
        <v/>
      </c>
      <c r="EX36" s="133" t="n"/>
      <c r="EY36" s="139">
        <f>EX36*100/$E$36</f>
        <v/>
      </c>
      <c r="EZ36" s="133" t="n"/>
      <c r="FA36" s="139">
        <f>EZ36*100/$E$36</f>
        <v/>
      </c>
      <c r="FB36" s="133" t="n"/>
      <c r="FC36" s="139">
        <f>FB36*100/$E$36</f>
        <v/>
      </c>
      <c r="FD36" s="133" t="n"/>
      <c r="FE36" s="139">
        <f>FD36*100/$E$36</f>
        <v/>
      </c>
      <c r="FF36" s="133" t="n"/>
      <c r="FG36" s="139">
        <f>FF36*100/$E$36</f>
        <v/>
      </c>
      <c r="FH36" s="133" t="n"/>
      <c r="FI36" s="139">
        <f>FH36*100/$E$36</f>
        <v/>
      </c>
      <c r="FJ36" s="133" t="n"/>
      <c r="FK36" s="139">
        <f>FJ36*100/$E$36</f>
        <v/>
      </c>
      <c r="FL36" s="133" t="n"/>
      <c r="FM36" s="139">
        <f>FL36*100/$E$36</f>
        <v/>
      </c>
      <c r="FN36" s="133" t="n"/>
      <c r="FO36" s="139">
        <f>FN36*100/$E$36</f>
        <v/>
      </c>
      <c r="FP36" s="133" t="n"/>
      <c r="FQ36" s="139">
        <f>FP36*100/$E$36</f>
        <v/>
      </c>
      <c r="FR36" s="133" t="n"/>
      <c r="FS36" s="139">
        <f>FR36*100/$E$36</f>
        <v/>
      </c>
      <c r="FT36" s="133" t="n"/>
      <c r="FU36" s="139">
        <f>FT36*100/$E$36</f>
        <v/>
      </c>
      <c r="FV36" s="133" t="n"/>
      <c r="FW36" s="139">
        <f>FV36*100/$E$36</f>
        <v/>
      </c>
      <c r="FX36" s="133" t="n"/>
      <c r="FY36" s="140">
        <f>FX36*100/$E$36</f>
        <v/>
      </c>
      <c r="FZ36" s="133" t="n"/>
      <c r="GA36" s="140">
        <f>FZ36*100/$E$36</f>
        <v/>
      </c>
      <c r="GB36" s="133" t="n"/>
      <c r="GC36" s="140">
        <f>GB36*100/$E$36</f>
        <v/>
      </c>
      <c r="GD36" s="133" t="n"/>
      <c r="GE36" s="140">
        <f>GD36*100/$E$36</f>
        <v/>
      </c>
      <c r="GF36" s="133" t="n"/>
      <c r="GG36" s="140">
        <f>GF36*100/$E$36</f>
        <v/>
      </c>
      <c r="GH36" s="133" t="n"/>
      <c r="GI36" s="140">
        <f>GH36*100/$E$36</f>
        <v/>
      </c>
      <c r="GJ36" s="133" t="n"/>
      <c r="GK36" s="139">
        <f>GJ36*100/$E$36</f>
        <v/>
      </c>
      <c r="GL36" s="133" t="n"/>
      <c r="GM36" s="140">
        <f>GL36*100/$E$36</f>
        <v/>
      </c>
      <c r="GN36" s="133" t="n"/>
      <c r="GO36" s="139">
        <f>GN36*100/$E$36</f>
        <v/>
      </c>
      <c r="GP36" s="133" t="n"/>
      <c r="GQ36" s="140">
        <f>GP36*100/$E$36</f>
        <v/>
      </c>
      <c r="GR36" s="133" t="n"/>
      <c r="GS36" s="139">
        <f>GR36*100/$E$36</f>
        <v/>
      </c>
      <c r="GT36" s="133" t="n"/>
      <c r="GU36" s="139">
        <f>GT36*100/$E$36</f>
        <v/>
      </c>
      <c r="GV36" s="133" t="n"/>
      <c r="GW36" s="139">
        <f>GV36*100/$E$36</f>
        <v/>
      </c>
      <c r="GX36" s="133" t="n"/>
      <c r="GY36" s="140">
        <f>GX36*100/$E$36</f>
        <v/>
      </c>
      <c r="GZ36" s="133" t="n"/>
      <c r="HA36" s="140">
        <f>GZ36*100/$E$36</f>
        <v/>
      </c>
      <c r="HB36" s="133" t="n"/>
      <c r="HC36" s="140">
        <f>HB36*100/$E$36</f>
        <v/>
      </c>
      <c r="HD36" s="133" t="n"/>
      <c r="HE36" s="140">
        <f>HD36*100/$E$36</f>
        <v/>
      </c>
      <c r="HF36" s="133" t="n"/>
      <c r="HG36" s="140">
        <f>HF36*100/$E$36</f>
        <v/>
      </c>
      <c r="HH36" s="133">
        <f>6+12+12</f>
        <v/>
      </c>
      <c r="HI36" s="140">
        <f>HH36*100/$E$36</f>
        <v/>
      </c>
      <c r="HJ36" s="133" t="n"/>
      <c r="HK36" s="140">
        <f>HJ36*100/$E$36</f>
        <v/>
      </c>
      <c r="HL36" s="133" t="n"/>
      <c r="HM36" s="140">
        <f>HL36*100/$E$36</f>
        <v/>
      </c>
      <c r="HN36" s="133" t="n"/>
      <c r="HO36" s="140">
        <f>HN36*100/$E$36</f>
        <v/>
      </c>
      <c r="HP36" s="133" t="n"/>
      <c r="HQ36" s="140">
        <f>HP36*100/$E$36</f>
        <v/>
      </c>
      <c r="HR36" s="133" t="n"/>
      <c r="HS36" s="140">
        <f>HR36*100/$E$36</f>
        <v/>
      </c>
      <c r="HT36" s="133">
        <f>12+12</f>
        <v/>
      </c>
      <c r="HU36" s="140">
        <f>HT36*100/$E$36</f>
        <v/>
      </c>
      <c r="HV36" s="133" t="n"/>
      <c r="HW36" s="140">
        <f>HV36*100/$E$36</f>
        <v/>
      </c>
      <c r="HX36" s="133" t="n"/>
      <c r="HY36" s="140">
        <f>HX36*100/$E$36</f>
        <v/>
      </c>
      <c r="HZ36" s="133" t="n"/>
      <c r="IA36" s="139">
        <f>HZ36*100/$E$36</f>
        <v/>
      </c>
      <c r="IB36" s="133" t="n"/>
      <c r="IC36" s="139">
        <f>IB36*100/$E$36</f>
        <v/>
      </c>
      <c r="ID36" s="133" t="n"/>
      <c r="IE36" s="139">
        <f>ID36*100/$E$36</f>
        <v/>
      </c>
      <c r="IF36" s="133" t="n"/>
      <c r="IG36" s="139">
        <f>IF36*100/$E$36</f>
        <v/>
      </c>
      <c r="IH36" s="133" t="n"/>
      <c r="II36" s="139">
        <f>IH36*100/$E$36</f>
        <v/>
      </c>
      <c r="IJ36" s="133" t="n"/>
      <c r="IK36" s="139">
        <f>IJ36*100/$E$36</f>
        <v/>
      </c>
      <c r="IL36" s="133" t="n"/>
      <c r="IM36" s="140">
        <f>IL36*100/$E$36</f>
        <v/>
      </c>
      <c r="IN36" s="133" t="n"/>
      <c r="IO36" s="140">
        <f>IN36*100/$E$36</f>
        <v/>
      </c>
      <c r="IP36" s="133" t="n"/>
      <c r="IQ36" s="139">
        <f>IP36*100/$E$36</f>
        <v/>
      </c>
      <c r="IR36" s="133" t="n"/>
      <c r="IS36" s="139">
        <f>IR36*100/$E$36</f>
        <v/>
      </c>
      <c r="IT36" s="133" t="n"/>
      <c r="IU36" s="139">
        <f>IT36*100/$E$36</f>
        <v/>
      </c>
      <c r="IV36" s="133" t="n"/>
      <c r="IW36" s="139">
        <f>IV36*100/$E$36</f>
        <v/>
      </c>
      <c r="IX36" s="133" t="n"/>
      <c r="IY36" s="139">
        <f>IX36*100/$E$36</f>
        <v/>
      </c>
      <c r="IZ36" s="133" t="n"/>
      <c r="JA36" s="139">
        <f>IZ36*100/$E$36</f>
        <v/>
      </c>
      <c r="JB36" s="133" t="n"/>
      <c r="JC36" s="139">
        <f>JB36*100/$E$36</f>
        <v/>
      </c>
      <c r="JD36" s="133" t="n"/>
      <c r="JE36" s="139">
        <f>JD36*100/$E$36</f>
        <v/>
      </c>
      <c r="JF36" s="133" t="n"/>
      <c r="JG36" s="139">
        <f>JF36*100/$E$36</f>
        <v/>
      </c>
      <c r="JH36" s="133" t="n"/>
      <c r="JI36" s="139">
        <f>JH36*100/$E$36</f>
        <v/>
      </c>
      <c r="JJ36" s="133" t="n"/>
      <c r="JK36" s="139">
        <f>JJ36*100/$E$36</f>
        <v/>
      </c>
      <c r="JL36" s="133" t="n">
        <v>4</v>
      </c>
      <c r="JM36" s="139">
        <f>JL36*100/$E$36</f>
        <v/>
      </c>
      <c r="JN36" s="133" t="n"/>
      <c r="JO36" s="139">
        <f>JN36*100/$E$36</f>
        <v/>
      </c>
      <c r="JP36" s="133" t="n"/>
      <c r="JQ36" s="139">
        <f>JP36*100/$E$36</f>
        <v/>
      </c>
      <c r="JR36" s="133" t="n"/>
      <c r="JS36" s="182">
        <f>JR36*100/$E$36</f>
        <v/>
      </c>
      <c r="JT36" s="133" t="n"/>
      <c r="JU36" s="182">
        <f>JT36*100/$E$36</f>
        <v/>
      </c>
      <c r="JV36" s="133" t="n"/>
      <c r="JW36" s="182">
        <f>JV36*100/$E$36</f>
        <v/>
      </c>
      <c r="JX36" s="133" t="n"/>
      <c r="JY36" s="182">
        <f>JX36*100/$E$36</f>
        <v/>
      </c>
      <c r="JZ36" s="183">
        <f>JN36+JP36+JR36+JT36+JV36+JX36</f>
        <v/>
      </c>
      <c r="KA36" s="184">
        <f>JO36+JQ36+JS36+JU36+JW36+JY36</f>
        <v/>
      </c>
      <c r="KB36" s="185">
        <f>H36+J36+L36+N36+P36+R36+T36+V36+X36+Z36+AB36+AD36+AF36+AH36+AJ36+AL36+AN36+AP36+AR36+AT36+AV36+AX36+AZ36+BB36+BD36+BF36+BH36+BJ36+BL36+BN36+BP36+BR36+BT36+BV36+BX36+BZ36+CB36+CD36+CF36+CH36+CZ36+DB36+DD36+DF36+DH36+DJ36+DL36+DN36+DP36+DR36+DT36+DV36+DX36+DZ36+EB36+ED36+EF36+EH36+EJ36+EL36+EN36+EP36+ER36+ET36+EV36+FN36+FP36+FR36+FT36+FV36+FX36+FZ36+GB36+GD36+GF36+GH36+GJ36+GL36+GN36+GP36+GR36+GT36+GV36+GX36+GZ36+HB36+HD36+HF36+HH36+HJ36+HL36+HN36+HP36+HR36+HT36+HV36+HX36+HZ36+IB36+ID36+IF36+IH36+IJ36+IL36+IN36+IP36+IR36+IT36+IV36+IX36+IZ36+JB36+JD36+JF36+JH36+JJ36+JL36+JZ36+CJ36+CL36+CN36+CP36+CR36+CT36+CV36+CX36+EX36+EZ36+FB36+FD36+FF36+FH36+FJ36+FL36</f>
        <v/>
      </c>
      <c r="KC36" s="186">
        <f>I36+K36+M36+O36+Q36+S36+U36+W36+Y36+AA36+AC36+AE36+AG36+AI36+AK36+AM36+AO36+AQ36+AS36+AU36+AW36+AY36+BA36+BC36+BE36+BG36+BI36+BK36+BM36+BO36+BQ36+BS36+BU36+BW36+BY36+CA36+CC36+CE36+CG36+CI36+DA36+DC36+DE36+DG36+DI36+DK36+DM36+DO36+DQ36+DS36+DU36+DW36+DY36+EA36+EC36+EE36+EG36+EI36+EK36+EM36+EO36+EQ36+ES36+EU36+EW36+FO36+FS36+FU36+FW36+FQ36+FY36+GA36+GC36+GE36+GG36+GI36+GK36+GM36+GO36+GQ36+GS36+GU36+GW36+GY36+HA36+HC36+HE36+HG36+HI36+HK36+HM36+HO36+HQ36+HS36+HU36+HW36+HY36+IA36+IC36+IE36+IG36+II36+IK36+IM36+IO36+IQ36+IS36+IU36+IW36+IY36+JA36+JC36+JE36+JG36+JI36+JK36+JM36+KA36+CK36+CM36+CO36+CQ36+CS36+CU36+CW36+CY36+EY36+FA36+FC36+FE36+FG36+FI36+FK36+FM36</f>
        <v/>
      </c>
      <c r="KD36" s="187">
        <f>JO36+JQ36+JS36+JU36+JW36+JY36</f>
        <v/>
      </c>
      <c r="KE36" s="188">
        <f>KB36=E36</f>
        <v/>
      </c>
      <c r="KF36" s="189">
        <f>E36-KB36</f>
        <v/>
      </c>
      <c r="KG36" s="212" t="n"/>
    </row>
    <row r="37" ht="21.75" customFormat="1" customHeight="1" s="212">
      <c r="A37" s="126">
        <f>A36+1</f>
        <v/>
      </c>
      <c r="B37" s="175" t="inlineStr">
        <is>
          <t>Протасов С.А.</t>
        </is>
      </c>
      <c r="C37" s="194" t="inlineStr">
        <is>
          <t>слесарь МСР</t>
        </is>
      </c>
      <c r="D37" s="177">
        <f>$D$5</f>
        <v/>
      </c>
      <c r="E37" s="202" t="n">
        <v>160</v>
      </c>
      <c r="F37" s="193" t="n">
        <v>92564.64</v>
      </c>
      <c r="G37" s="179">
        <f>F37/D37</f>
        <v/>
      </c>
      <c r="H37" s="180" t="n"/>
      <c r="I37" s="140">
        <f>H37*100/$E$37</f>
        <v/>
      </c>
      <c r="J37" s="133" t="n"/>
      <c r="K37" s="140">
        <f>J37*100/$E$37</f>
        <v/>
      </c>
      <c r="L37" s="133" t="n"/>
      <c r="M37" s="140">
        <f>L37*100/$E$37</f>
        <v/>
      </c>
      <c r="N37" s="133" t="n"/>
      <c r="O37" s="140">
        <f>N37*100/$E$37</f>
        <v/>
      </c>
      <c r="P37" s="133" t="n"/>
      <c r="Q37" s="139">
        <f>P37*100/$E$37</f>
        <v/>
      </c>
      <c r="R37" s="133" t="n"/>
      <c r="S37" s="139">
        <f>R37*100/$E$37</f>
        <v/>
      </c>
      <c r="T37" s="133" t="n"/>
      <c r="U37" s="140">
        <f>T37*100/$E$37</f>
        <v/>
      </c>
      <c r="V37" s="133" t="n"/>
      <c r="W37" s="140">
        <f>V37*100/$E$37</f>
        <v/>
      </c>
      <c r="X37" s="133" t="n"/>
      <c r="Y37" s="140">
        <f>X37*100/$E$37</f>
        <v/>
      </c>
      <c r="Z37" s="133" t="n"/>
      <c r="AA37" s="140">
        <f>Z37*100/$E$37</f>
        <v/>
      </c>
      <c r="AB37" s="133" t="n">
        <v>2</v>
      </c>
      <c r="AC37" s="140">
        <f>AB37*100/$E$37</f>
        <v/>
      </c>
      <c r="AD37" s="133" t="n"/>
      <c r="AE37" s="139">
        <f>AD37*100/$E$37</f>
        <v/>
      </c>
      <c r="AF37" s="133" t="n"/>
      <c r="AG37" s="139">
        <f>AF37*100/$E$37</f>
        <v/>
      </c>
      <c r="AH37" s="133" t="n"/>
      <c r="AI37" s="140">
        <f>AH37*100/$E$37</f>
        <v/>
      </c>
      <c r="AJ37" s="133" t="n"/>
      <c r="AK37" s="140">
        <f>AJ37*100/$E$37</f>
        <v/>
      </c>
      <c r="AL37" s="133" t="n"/>
      <c r="AM37" s="140">
        <f>AL37*100/$E$37</f>
        <v/>
      </c>
      <c r="AN37" s="133" t="n"/>
      <c r="AO37" s="140">
        <f>AN37*100/$E$37</f>
        <v/>
      </c>
      <c r="AP37" s="133" t="n"/>
      <c r="AQ37" s="140">
        <f>AP37*100/$E$37</f>
        <v/>
      </c>
      <c r="AR37" s="133" t="n"/>
      <c r="AS37" s="140">
        <f>AR37*100/$E$37</f>
        <v/>
      </c>
      <c r="AT37" s="133" t="n"/>
      <c r="AU37" s="181">
        <f>AT37*100/$E$37</f>
        <v/>
      </c>
      <c r="AV37" s="133" t="n"/>
      <c r="AW37" s="140">
        <f>AV37*100/$E$37</f>
        <v/>
      </c>
      <c r="AX37" s="133">
        <f>8+3</f>
        <v/>
      </c>
      <c r="AY37" s="140">
        <f>AX37*100/$E$37</f>
        <v/>
      </c>
      <c r="AZ37" s="133" t="n"/>
      <c r="BA37" s="140">
        <f>AZ37*100/$E$37</f>
        <v/>
      </c>
      <c r="BB37" s="133" t="n"/>
      <c r="BC37" s="140">
        <f>BB37*100/$E$37</f>
        <v/>
      </c>
      <c r="BD37" s="133" t="n"/>
      <c r="BE37" s="140">
        <f>BD37*100/$E$37</f>
        <v/>
      </c>
      <c r="BF37" s="133" t="n"/>
      <c r="BG37" s="140">
        <f>BF37*100/$E$37</f>
        <v/>
      </c>
      <c r="BH37" s="133" t="n"/>
      <c r="BI37" s="140">
        <f>BH37*100/$E$37</f>
        <v/>
      </c>
      <c r="BJ37" s="133" t="n"/>
      <c r="BK37" s="140">
        <f>BJ37*100/$E$37</f>
        <v/>
      </c>
      <c r="BL37" s="133" t="n"/>
      <c r="BM37" s="140">
        <f>BL37*100/$E$37</f>
        <v/>
      </c>
      <c r="BN37" s="133" t="n"/>
      <c r="BO37" s="140">
        <f>BN37*100/$E$37</f>
        <v/>
      </c>
      <c r="BP37" s="133" t="n">
        <v>3</v>
      </c>
      <c r="BQ37" s="140">
        <f>BP37*100/$E$37</f>
        <v/>
      </c>
      <c r="BR37" s="133" t="n"/>
      <c r="BS37" s="140">
        <f>BR37*100/$E$37</f>
        <v/>
      </c>
      <c r="BT37" s="133" t="n"/>
      <c r="BU37" s="140">
        <f>BT37*100/$E$37</f>
        <v/>
      </c>
      <c r="BV37" s="133" t="n"/>
      <c r="BW37" s="140">
        <f>BV37*100/$E$37</f>
        <v/>
      </c>
      <c r="BX37" s="133" t="n"/>
      <c r="BY37" s="140">
        <f>BX37*100/$E$37</f>
        <v/>
      </c>
      <c r="BZ37" s="133" t="n"/>
      <c r="CA37" s="140">
        <f>BZ37*100/$E$37</f>
        <v/>
      </c>
      <c r="CB37" s="133" t="n"/>
      <c r="CC37" s="140">
        <f>CB37*100/$E$37</f>
        <v/>
      </c>
      <c r="CD37" s="133" t="n"/>
      <c r="CE37" s="140">
        <f>CD37*100/$E$37</f>
        <v/>
      </c>
      <c r="CF37" s="133" t="n"/>
      <c r="CG37" s="140">
        <f>CF37*100/$E$37</f>
        <v/>
      </c>
      <c r="CH37" s="133" t="n"/>
      <c r="CI37" s="140">
        <f>CH37*100/$E$37</f>
        <v/>
      </c>
      <c r="CJ37" s="133" t="n"/>
      <c r="CK37" s="140">
        <f>CJ37*100/$E$37</f>
        <v/>
      </c>
      <c r="CL37" s="133" t="n"/>
      <c r="CM37" s="140">
        <f>CL37*100/$E$37</f>
        <v/>
      </c>
      <c r="CN37" s="133" t="n"/>
      <c r="CO37" s="139">
        <f>CN37*100/$E$37</f>
        <v/>
      </c>
      <c r="CP37" s="133" t="n"/>
      <c r="CQ37" s="140">
        <f>CP37*100/$E$37</f>
        <v/>
      </c>
      <c r="CR37" s="133" t="n"/>
      <c r="CS37" s="139">
        <f>CR37*100/$E$37</f>
        <v/>
      </c>
      <c r="CT37" s="133" t="n"/>
      <c r="CU37" s="139">
        <f>CT37*100/$E$37</f>
        <v/>
      </c>
      <c r="CV37" s="133" t="n"/>
      <c r="CW37" s="139">
        <f>CV37*100/$E$37</f>
        <v/>
      </c>
      <c r="CX37" s="133" t="n"/>
      <c r="CY37" s="139">
        <f>CX37*100/$E$37</f>
        <v/>
      </c>
      <c r="CZ37" s="133" t="n"/>
      <c r="DA37" s="139">
        <f>CZ37*100/$E$37</f>
        <v/>
      </c>
      <c r="DB37" s="133" t="n"/>
      <c r="DC37" s="139">
        <f>DB37*100/$E$37</f>
        <v/>
      </c>
      <c r="DD37" s="133">
        <f>2+8+1</f>
        <v/>
      </c>
      <c r="DE37" s="139">
        <f>DD37*100/$E$37</f>
        <v/>
      </c>
      <c r="DF37" s="133" t="n"/>
      <c r="DG37" s="139">
        <f>DF37*100/$E$37</f>
        <v/>
      </c>
      <c r="DH37" s="133" t="n">
        <v>4</v>
      </c>
      <c r="DI37" s="139">
        <f>DH37*100/$E$37</f>
        <v/>
      </c>
      <c r="DJ37" s="133" t="n"/>
      <c r="DK37" s="139">
        <f>DJ37*100/$E$37</f>
        <v/>
      </c>
      <c r="DL37" s="133" t="n"/>
      <c r="DM37" s="139">
        <f>DL37*100/$E$37</f>
        <v/>
      </c>
      <c r="DN37" s="133" t="n"/>
      <c r="DO37" s="139">
        <f>DN37*100/$E$37</f>
        <v/>
      </c>
      <c r="DP37" s="133">
        <f>4+3+1</f>
        <v/>
      </c>
      <c r="DQ37" s="139">
        <f>DP37*100/$E$37</f>
        <v/>
      </c>
      <c r="DR37" s="133" t="n"/>
      <c r="DS37" s="139">
        <f>DR37*100/$E$37</f>
        <v/>
      </c>
      <c r="DT37" s="133" t="n"/>
      <c r="DU37" s="139">
        <f>DT37*100/$E$37</f>
        <v/>
      </c>
      <c r="DV37" s="133" t="n"/>
      <c r="DW37" s="139">
        <f>DV37*100/$E$37</f>
        <v/>
      </c>
      <c r="DX37" s="133" t="n"/>
      <c r="DY37" s="139">
        <f>DX37*100/$E$37</f>
        <v/>
      </c>
      <c r="DZ37" s="133" t="n"/>
      <c r="EA37" s="139">
        <f>DZ37*100/$E$37</f>
        <v/>
      </c>
      <c r="EB37" s="133" t="n"/>
      <c r="EC37" s="139">
        <f>EB37*100/$E$37</f>
        <v/>
      </c>
      <c r="ED37" s="133" t="n"/>
      <c r="EE37" s="139">
        <f>ED37*100/$E$37</f>
        <v/>
      </c>
      <c r="EF37" s="133" t="n"/>
      <c r="EG37" s="139">
        <f>EF37*100/$E$37</f>
        <v/>
      </c>
      <c r="EH37" s="133" t="n"/>
      <c r="EI37" s="139">
        <f>EH37*100/$E$37</f>
        <v/>
      </c>
      <c r="EJ37" s="133" t="n"/>
      <c r="EK37" s="139">
        <f>EJ37*100/$E$37</f>
        <v/>
      </c>
      <c r="EL37" s="133" t="n"/>
      <c r="EM37" s="139">
        <f>EL37*100/$E$37</f>
        <v/>
      </c>
      <c r="EN37" s="133" t="n"/>
      <c r="EO37" s="139">
        <f>EN37*100/$E$37</f>
        <v/>
      </c>
      <c r="EP37" s="133" t="n"/>
      <c r="EQ37" s="139">
        <f>EP37*100/$E$37</f>
        <v/>
      </c>
      <c r="ER37" s="133">
        <f>2+4</f>
        <v/>
      </c>
      <c r="ES37" s="139">
        <f>ER37*100/$E$37</f>
        <v/>
      </c>
      <c r="ET37" s="133" t="n"/>
      <c r="EU37" s="139">
        <f>ET37*100/$E$37</f>
        <v/>
      </c>
      <c r="EV37" s="133" t="n"/>
      <c r="EW37" s="139">
        <f>EV37*100/$E$37</f>
        <v/>
      </c>
      <c r="EX37" s="133" t="n"/>
      <c r="EY37" s="139">
        <f>EX37*100/$E$37</f>
        <v/>
      </c>
      <c r="EZ37" s="133" t="n"/>
      <c r="FA37" s="139">
        <f>EZ37*100/$E$37</f>
        <v/>
      </c>
      <c r="FB37" s="133" t="n"/>
      <c r="FC37" s="139">
        <f>FB37*100/$E$37</f>
        <v/>
      </c>
      <c r="FD37" s="133" t="n"/>
      <c r="FE37" s="139">
        <f>FD37*100/$E$37</f>
        <v/>
      </c>
      <c r="FF37" s="133" t="n"/>
      <c r="FG37" s="139">
        <f>FF37*100/$E$37</f>
        <v/>
      </c>
      <c r="FH37" s="133" t="n"/>
      <c r="FI37" s="139">
        <f>FH37*100/$E$37</f>
        <v/>
      </c>
      <c r="FJ37" s="133">
        <f>2+6+8+4</f>
        <v/>
      </c>
      <c r="FK37" s="139">
        <f>FJ37*100/$E$37</f>
        <v/>
      </c>
      <c r="FL37" s="133">
        <f>8+5+4</f>
        <v/>
      </c>
      <c r="FM37" s="139">
        <f>FL37*100/$E$37</f>
        <v/>
      </c>
      <c r="FN37" s="133">
        <f>4+3</f>
        <v/>
      </c>
      <c r="FO37" s="139">
        <f>FN37*100/$E$37</f>
        <v/>
      </c>
      <c r="FP37" s="133" t="n"/>
      <c r="FQ37" s="139">
        <f>FP37*100/$E$37</f>
        <v/>
      </c>
      <c r="FR37" s="133" t="n">
        <v>8</v>
      </c>
      <c r="FS37" s="139">
        <f>FR37*100/$E$37</f>
        <v/>
      </c>
      <c r="FT37" s="133" t="n"/>
      <c r="FU37" s="139">
        <f>FT37*100/$E$37</f>
        <v/>
      </c>
      <c r="FV37" s="133" t="n"/>
      <c r="FW37" s="139">
        <f>FV37*100/$E$37</f>
        <v/>
      </c>
      <c r="FX37" s="133">
        <f>5+5</f>
        <v/>
      </c>
      <c r="FY37" s="140">
        <f>FX37*100/$E$37</f>
        <v/>
      </c>
      <c r="FZ37" s="133" t="n">
        <v>2</v>
      </c>
      <c r="GA37" s="140">
        <f>FZ37*100/$E$37</f>
        <v/>
      </c>
      <c r="GB37" s="133">
        <f>4+2+5</f>
        <v/>
      </c>
      <c r="GC37" s="140">
        <f>GB37*100/$E$37</f>
        <v/>
      </c>
      <c r="GD37" s="133" t="n">
        <v>8</v>
      </c>
      <c r="GE37" s="140">
        <f>GD37*100/$E$37</f>
        <v/>
      </c>
      <c r="GF37" s="133">
        <f>6+6</f>
        <v/>
      </c>
      <c r="GG37" s="140">
        <f>GF37*100/$E$37</f>
        <v/>
      </c>
      <c r="GH37" s="133" t="n">
        <v>2</v>
      </c>
      <c r="GI37" s="140">
        <f>GH37*100/$E$37</f>
        <v/>
      </c>
      <c r="GJ37" s="133" t="n"/>
      <c r="GK37" s="139">
        <f>GJ37*100/$E$37</f>
        <v/>
      </c>
      <c r="GL37" s="133" t="n"/>
      <c r="GM37" s="140">
        <f>GL37*100/$E$37</f>
        <v/>
      </c>
      <c r="GN37" s="133" t="n"/>
      <c r="GO37" s="139">
        <f>GN37*100/$E$37</f>
        <v/>
      </c>
      <c r="GP37" s="133" t="n"/>
      <c r="GQ37" s="140">
        <f>GP37*100/$E$37</f>
        <v/>
      </c>
      <c r="GR37" s="133" t="n"/>
      <c r="GS37" s="139">
        <f>GR37*100/$E$37</f>
        <v/>
      </c>
      <c r="GT37" s="133" t="n"/>
      <c r="GU37" s="139">
        <f>GT37*100/$E$37</f>
        <v/>
      </c>
      <c r="GV37" s="133" t="n"/>
      <c r="GW37" s="139">
        <f>GV37*100/$E$37</f>
        <v/>
      </c>
      <c r="GX37" s="133" t="n"/>
      <c r="GY37" s="140">
        <f>GX37*100/$E$37</f>
        <v/>
      </c>
      <c r="GZ37" s="133" t="n"/>
      <c r="HA37" s="140">
        <f>GZ37*100/$E$37</f>
        <v/>
      </c>
      <c r="HB37" s="133" t="n"/>
      <c r="HC37" s="140">
        <f>HB37*100/$E$37</f>
        <v/>
      </c>
      <c r="HD37" s="133" t="n"/>
      <c r="HE37" s="140">
        <f>HD37*100/$E$37</f>
        <v/>
      </c>
      <c r="HF37" s="133" t="n"/>
      <c r="HG37" s="140">
        <f>HF37*100/$E$37</f>
        <v/>
      </c>
      <c r="HH37" s="133" t="n"/>
      <c r="HI37" s="140">
        <f>HH37*100/$E$37</f>
        <v/>
      </c>
      <c r="HJ37" s="133" t="n"/>
      <c r="HK37" s="140">
        <f>HJ37*100/$E$37</f>
        <v/>
      </c>
      <c r="HL37" s="133" t="n"/>
      <c r="HM37" s="140">
        <f>HL37*100/$E$37</f>
        <v/>
      </c>
      <c r="HN37" s="133" t="n"/>
      <c r="HO37" s="140">
        <f>HN37*100/$E$37</f>
        <v/>
      </c>
      <c r="HP37" s="133" t="n"/>
      <c r="HQ37" s="140">
        <f>HP37*100/$E$37</f>
        <v/>
      </c>
      <c r="HR37" s="133" t="n"/>
      <c r="HS37" s="140">
        <f>HR37*100/$E$37</f>
        <v/>
      </c>
      <c r="HT37" s="133" t="n"/>
      <c r="HU37" s="140">
        <f>HT37*100/$E$37</f>
        <v/>
      </c>
      <c r="HV37" s="133" t="n">
        <v>4</v>
      </c>
      <c r="HW37" s="140">
        <f>HV37*100/$E$37</f>
        <v/>
      </c>
      <c r="HX37" s="133" t="n"/>
      <c r="HY37" s="140">
        <f>HX37*100/$E$37</f>
        <v/>
      </c>
      <c r="HZ37" s="133" t="n"/>
      <c r="IA37" s="139">
        <f>HZ37*100/$E$37</f>
        <v/>
      </c>
      <c r="IB37" s="133" t="n"/>
      <c r="IC37" s="139">
        <f>IB37*100/$E$37</f>
        <v/>
      </c>
      <c r="ID37" s="133" t="n"/>
      <c r="IE37" s="139">
        <f>ID37*100/$E$37</f>
        <v/>
      </c>
      <c r="IF37" s="133" t="n"/>
      <c r="IG37" s="139">
        <f>IF37*100/$E$37</f>
        <v/>
      </c>
      <c r="IH37" s="133" t="n"/>
      <c r="II37" s="139">
        <f>IH37*100/$E$37</f>
        <v/>
      </c>
      <c r="IJ37" s="133" t="n"/>
      <c r="IK37" s="139">
        <f>IJ37*100/$E$37</f>
        <v/>
      </c>
      <c r="IL37" s="133" t="n"/>
      <c r="IM37" s="140">
        <f>IL37*100/$E$37</f>
        <v/>
      </c>
      <c r="IN37" s="133" t="n"/>
      <c r="IO37" s="140">
        <f>IN37*100/$E$37</f>
        <v/>
      </c>
      <c r="IP37" s="133" t="n"/>
      <c r="IQ37" s="139">
        <f>IP37*100/$E$37</f>
        <v/>
      </c>
      <c r="IR37" s="133" t="n"/>
      <c r="IS37" s="139">
        <f>IR37*100/$E$37</f>
        <v/>
      </c>
      <c r="IT37" s="133" t="n"/>
      <c r="IU37" s="139">
        <f>IT37*100/$E$37</f>
        <v/>
      </c>
      <c r="IV37" s="133" t="n"/>
      <c r="IW37" s="139">
        <f>IV37*100/$E$37</f>
        <v/>
      </c>
      <c r="IX37" s="133" t="n"/>
      <c r="IY37" s="139">
        <f>IX37*100/$E$37</f>
        <v/>
      </c>
      <c r="IZ37" s="133" t="n"/>
      <c r="JA37" s="139">
        <f>IZ37*100/$E$37</f>
        <v/>
      </c>
      <c r="JB37" s="133" t="n"/>
      <c r="JC37" s="139">
        <f>JB37*100/$E$37</f>
        <v/>
      </c>
      <c r="JD37" s="133" t="n"/>
      <c r="JE37" s="139">
        <f>JD37*100/$E$37</f>
        <v/>
      </c>
      <c r="JF37" s="133">
        <f>4+8</f>
        <v/>
      </c>
      <c r="JG37" s="139">
        <f>JF37*100/$E$37</f>
        <v/>
      </c>
      <c r="JH37" s="133" t="n"/>
      <c r="JI37" s="139">
        <f>JH37*100/$E$37</f>
        <v/>
      </c>
      <c r="JJ37" s="133" t="n"/>
      <c r="JK37" s="139">
        <f>JJ37*100/$E$37</f>
        <v/>
      </c>
      <c r="JL37" s="133" t="n">
        <v>2</v>
      </c>
      <c r="JM37" s="139">
        <f>JL37*100/$E$37</f>
        <v/>
      </c>
      <c r="JN37" s="133" t="n"/>
      <c r="JO37" s="139">
        <f>JN37*100/$E$37</f>
        <v/>
      </c>
      <c r="JP37" s="133" t="n"/>
      <c r="JQ37" s="139">
        <f>JP37*100/$E$37</f>
        <v/>
      </c>
      <c r="JR37" s="133" t="n"/>
      <c r="JS37" s="182">
        <f>JR37*100/$E$37</f>
        <v/>
      </c>
      <c r="JT37" s="133" t="n"/>
      <c r="JU37" s="182">
        <f>JT37*100/$E$37</f>
        <v/>
      </c>
      <c r="JV37" s="225" t="n"/>
      <c r="JW37" s="182">
        <f>JV37*100/$E$37</f>
        <v/>
      </c>
      <c r="JX37" s="225" t="n"/>
      <c r="JY37" s="182">
        <f>JX37*100/$E$37</f>
        <v/>
      </c>
      <c r="JZ37" s="183">
        <f>JN37+JP37+JR37+JT37+JV37+JX37</f>
        <v/>
      </c>
      <c r="KA37" s="184">
        <f>JO37+JQ37+JS37+JU37+JW37+JY37</f>
        <v/>
      </c>
      <c r="KB37" s="185">
        <f>H37+J37+L37+N37+P37+R37+T37+V37+X37+Z37+AB37+AD37+AF37+AH37+AJ37+AL37+AN37+AP37+AR37+AT37+AV37+AX37+AZ37+BB37+BD37+BF37+BH37+BJ37+BL37+BN37+BP37+BR37+BT37+BV37+BX37+BZ37+CB37+CD37+CF37+CH37+CZ37+DB37+DD37+DF37+DH37+DJ37+DL37+DN37+DP37+DR37+DT37+DV37+DX37+DZ37+EB37+ED37+EF37+EH37+EJ37+EL37+EN37+EP37+ER37+ET37+EV37+FN37+FP37+FR37+FT37+FV37+FX37+FZ37+GB37+GD37+GF37+GH37+GJ37+GL37+GN37+GP37+GR37+GT37+GV37+GX37+GZ37+HB37+HD37+HF37+HH37+HJ37+HL37+HN37+HP37+HR37+HT37+HV37+HX37+HZ37+IB37+ID37+IF37+IH37+IJ37+IL37+IN37+IP37+IR37+IT37+IV37+IX37+IZ37+JB37+JD37+JF37+JH37+JJ37+JL37+JZ37+CJ37+CL37+CN37+CP37+CR37+CT37+CV37+CX37+EX37+EZ37+FB37+FD37+FF37+FH37+FJ37+FL37</f>
        <v/>
      </c>
      <c r="KC37" s="186">
        <f>I37+K37+M37+O37+Q37+S37+U37+W37+Y37+AA37+AC37+AE37+AG37+AI37+AK37+AM37+AO37+AQ37+AS37+AU37+AW37+AY37+BA37+BC37+BE37+BG37+BI37+BK37+BM37+BO37+BQ37+BS37+BU37+BW37+BY37+CA37+CC37+CE37+CG37+CI37+DA37+DC37+DE37+DG37+DI37+DK37+DM37+DO37+DQ37+DS37+DU37+DW37+DY37+EA37+EC37+EE37+EG37+EI37+EK37+EM37+EO37+EQ37+ES37+EU37+EW37+FO37+FS37+FU37+FW37+FQ37+FY37+GA37+GC37+GE37+GG37+GI37+GK37+GM37+GO37+GQ37+GS37+GU37+GW37+GY37+HA37+HC37+HE37+HG37+HI37+HK37+HM37+HO37+HQ37+HS37+HU37+HW37+HY37+IA37+IC37+IE37+IG37+II37+IK37+IM37+IO37+IQ37+IS37+IU37+IW37+IY37+JA37+JC37+JE37+JG37+JI37+JK37+JM37+KA37+CK37+CM37+CO37+CQ37+CS37+CU37+CW37+CY37+EY37+FA37+FC37+FE37+FG37+FI37+FK37+FM37</f>
        <v/>
      </c>
      <c r="KD37" s="187">
        <f>JO37+JQ37+JS37+JU37+JW37+JY37</f>
        <v/>
      </c>
      <c r="KE37" s="188">
        <f>KB37=E37</f>
        <v/>
      </c>
      <c r="KF37" s="189">
        <f>E37-KB37</f>
        <v/>
      </c>
      <c r="KG37" s="213" t="n"/>
    </row>
    <row r="38" ht="21.75" customFormat="1" customHeight="1" s="213">
      <c r="A38" s="126">
        <f>A37+1</f>
        <v/>
      </c>
      <c r="B38" s="175" t="inlineStr">
        <is>
          <t>Селивановский А.К.</t>
        </is>
      </c>
      <c r="C38" s="194" t="inlineStr">
        <is>
          <t>токарь-расточник</t>
        </is>
      </c>
      <c r="D38" s="177">
        <f>$D$5</f>
        <v/>
      </c>
      <c r="E38" s="202" t="n">
        <v>159</v>
      </c>
      <c r="F38" s="193" t="n">
        <v>111265.49</v>
      </c>
      <c r="G38" s="179">
        <f>F38/D38</f>
        <v/>
      </c>
      <c r="H38" s="180" t="n"/>
      <c r="I38" s="140">
        <f>H38*100/$E$38</f>
        <v/>
      </c>
      <c r="J38" s="133" t="n"/>
      <c r="K38" s="140">
        <f>J38*100/$E$38</f>
        <v/>
      </c>
      <c r="L38" s="133" t="n">
        <v>7</v>
      </c>
      <c r="M38" s="140">
        <f>L38*100/$E$38</f>
        <v/>
      </c>
      <c r="N38" s="133" t="n"/>
      <c r="O38" s="140">
        <f>N38*100/$E$38</f>
        <v/>
      </c>
      <c r="P38" s="133" t="n"/>
      <c r="Q38" s="139">
        <f>P38*100/$E$38</f>
        <v/>
      </c>
      <c r="R38" s="133" t="n"/>
      <c r="S38" s="139">
        <f>R38*100/$E$38</f>
        <v/>
      </c>
      <c r="T38" s="133" t="n"/>
      <c r="U38" s="140">
        <f>T38*100/$E$38</f>
        <v/>
      </c>
      <c r="V38" s="133" t="n"/>
      <c r="W38" s="140">
        <f>V38*100/$E$38</f>
        <v/>
      </c>
      <c r="X38" s="133" t="n"/>
      <c r="Y38" s="140">
        <f>X38*100/$E$38</f>
        <v/>
      </c>
      <c r="Z38" s="133" t="n"/>
      <c r="AA38" s="140">
        <f>Z38*100/$E$38</f>
        <v/>
      </c>
      <c r="AB38" s="133">
        <f>8+8+8</f>
        <v/>
      </c>
      <c r="AC38" s="140">
        <f>AB38*100/$E$38</f>
        <v/>
      </c>
      <c r="AD38" s="133" t="n"/>
      <c r="AE38" s="139">
        <f>AD38*100/$E$38</f>
        <v/>
      </c>
      <c r="AF38" s="133" t="n"/>
      <c r="AG38" s="139">
        <f>AF38*100/$E$38</f>
        <v/>
      </c>
      <c r="AH38" s="133" t="n"/>
      <c r="AI38" s="140">
        <f>AH38*100/$E$38</f>
        <v/>
      </c>
      <c r="AJ38" s="133" t="n">
        <v>4</v>
      </c>
      <c r="AK38" s="140">
        <f>AJ38*100/$E$38</f>
        <v/>
      </c>
      <c r="AL38" s="133" t="n"/>
      <c r="AM38" s="140">
        <f>AL38*100/$E$38</f>
        <v/>
      </c>
      <c r="AN38" s="133" t="n"/>
      <c r="AO38" s="140">
        <f>AN38*100/$E$38</f>
        <v/>
      </c>
      <c r="AP38" s="133" t="n"/>
      <c r="AQ38" s="140">
        <f>AP38*100/$E$38</f>
        <v/>
      </c>
      <c r="AR38" s="133" t="n"/>
      <c r="AS38" s="140">
        <f>AR38*100/$E$38</f>
        <v/>
      </c>
      <c r="AT38" s="133" t="n"/>
      <c r="AU38" s="181">
        <f>AT38*100/$E$38</f>
        <v/>
      </c>
      <c r="AV38" s="133" t="n"/>
      <c r="AW38" s="140">
        <f>AV38*100/$E$38</f>
        <v/>
      </c>
      <c r="AX38" s="133" t="n"/>
      <c r="AY38" s="140">
        <f>AX38*100/$E$38</f>
        <v/>
      </c>
      <c r="AZ38" s="133" t="n"/>
      <c r="BA38" s="140">
        <f>AZ38*100/$E$38</f>
        <v/>
      </c>
      <c r="BB38" s="133" t="n">
        <v>2</v>
      </c>
      <c r="BC38" s="140">
        <f>BB38*100/$E$38</f>
        <v/>
      </c>
      <c r="BD38" s="133" t="n"/>
      <c r="BE38" s="140">
        <f>BD38*100/$E$38</f>
        <v/>
      </c>
      <c r="BF38" s="133">
        <f>8+8</f>
        <v/>
      </c>
      <c r="BG38" s="140">
        <f>BF38*100/$E$38</f>
        <v/>
      </c>
      <c r="BH38" s="133" t="n"/>
      <c r="BI38" s="140">
        <f>BH38*100/$E$38</f>
        <v/>
      </c>
      <c r="BJ38" s="133" t="n"/>
      <c r="BK38" s="140">
        <f>BJ38*100/$E$38</f>
        <v/>
      </c>
      <c r="BL38" s="133" t="n"/>
      <c r="BM38" s="140">
        <f>BL38*100/$E$38</f>
        <v/>
      </c>
      <c r="BN38" s="133" t="n"/>
      <c r="BO38" s="140">
        <f>BN38*100/$E$38</f>
        <v/>
      </c>
      <c r="BP38" s="133" t="n"/>
      <c r="BQ38" s="140">
        <f>BP38*100/$E$38</f>
        <v/>
      </c>
      <c r="BR38" s="133" t="n"/>
      <c r="BS38" s="140">
        <f>BR38*100/$E$38</f>
        <v/>
      </c>
      <c r="BT38" s="133" t="n"/>
      <c r="BU38" s="140">
        <f>BT38*100/$E$38</f>
        <v/>
      </c>
      <c r="BV38" s="133" t="n"/>
      <c r="BW38" s="140">
        <f>BV38*100/$E$38</f>
        <v/>
      </c>
      <c r="BX38" s="133" t="n"/>
      <c r="BY38" s="140">
        <f>BX38*100/$E$38</f>
        <v/>
      </c>
      <c r="BZ38" s="133" t="n"/>
      <c r="CA38" s="140">
        <f>BZ38*100/$E$38</f>
        <v/>
      </c>
      <c r="CB38" s="133" t="n"/>
      <c r="CC38" s="140">
        <f>CB38*100/$E$38</f>
        <v/>
      </c>
      <c r="CD38" s="133" t="n"/>
      <c r="CE38" s="140">
        <f>CD38*100/$E$38</f>
        <v/>
      </c>
      <c r="CF38" s="133" t="n"/>
      <c r="CG38" s="140">
        <f>CF38*100/$E$38</f>
        <v/>
      </c>
      <c r="CH38" s="133" t="n"/>
      <c r="CI38" s="140">
        <f>CH38*100/$E$38</f>
        <v/>
      </c>
      <c r="CJ38" s="133">
        <f>8+2</f>
        <v/>
      </c>
      <c r="CK38" s="140">
        <f>CJ38*100/$E$38</f>
        <v/>
      </c>
      <c r="CL38" s="133" t="n"/>
      <c r="CM38" s="140">
        <f>CL38*100/$E$38</f>
        <v/>
      </c>
      <c r="CN38" s="133" t="n">
        <v>1</v>
      </c>
      <c r="CO38" s="139">
        <f>CN38*100/$E$38</f>
        <v/>
      </c>
      <c r="CP38" s="133" t="n"/>
      <c r="CQ38" s="140">
        <f>CP38*100/$E$38</f>
        <v/>
      </c>
      <c r="CR38" s="133" t="n"/>
      <c r="CS38" s="139">
        <f>CR38*100/$E$38</f>
        <v/>
      </c>
      <c r="CT38" s="133" t="n"/>
      <c r="CU38" s="139">
        <f>CT38*100/$E$38</f>
        <v/>
      </c>
      <c r="CV38" s="133" t="n"/>
      <c r="CW38" s="139">
        <f>CV38*100/$E$38</f>
        <v/>
      </c>
      <c r="CX38" s="133" t="n"/>
      <c r="CY38" s="139">
        <f>CX38*100/$E$38</f>
        <v/>
      </c>
      <c r="CZ38" s="133" t="n"/>
      <c r="DA38" s="139">
        <f>CZ38*100/$E$38</f>
        <v/>
      </c>
      <c r="DB38" s="133">
        <f>3+8+6+4</f>
        <v/>
      </c>
      <c r="DC38" s="139">
        <f>DB38*100/$E$38</f>
        <v/>
      </c>
      <c r="DD38" s="133" t="n"/>
      <c r="DE38" s="139">
        <f>DD38*100/$E$38</f>
        <v/>
      </c>
      <c r="DF38" s="133" t="n"/>
      <c r="DG38" s="139">
        <f>DF38*100/$E$38</f>
        <v/>
      </c>
      <c r="DH38" s="133">
        <f>4+8+4</f>
        <v/>
      </c>
      <c r="DI38" s="139">
        <f>DH38*100/$E$38</f>
        <v/>
      </c>
      <c r="DJ38" s="133" t="n"/>
      <c r="DK38" s="139">
        <f>DJ38*100/$E$38</f>
        <v/>
      </c>
      <c r="DL38" s="133" t="n"/>
      <c r="DM38" s="139">
        <f>DL38*100/$E$38</f>
        <v/>
      </c>
      <c r="DN38" s="133" t="n"/>
      <c r="DO38" s="139">
        <f>DN38*100/$E$38</f>
        <v/>
      </c>
      <c r="DP38" s="133" t="n">
        <v>4</v>
      </c>
      <c r="DQ38" s="139">
        <f>DP38*100/$E$38</f>
        <v/>
      </c>
      <c r="DR38" s="133" t="n"/>
      <c r="DS38" s="139">
        <f>DR38*100/$E$38</f>
        <v/>
      </c>
      <c r="DT38" s="133" t="n"/>
      <c r="DU38" s="139">
        <f>DT38*100/$E$38</f>
        <v/>
      </c>
      <c r="DV38" s="133" t="n"/>
      <c r="DW38" s="139">
        <f>DV38*100/$E$38</f>
        <v/>
      </c>
      <c r="DX38" s="133" t="n"/>
      <c r="DY38" s="139">
        <f>DX38*100/$E$38</f>
        <v/>
      </c>
      <c r="DZ38" s="133">
        <f>8+8+8+8+7+5</f>
        <v/>
      </c>
      <c r="EA38" s="139">
        <f>DZ38*100/$E$38</f>
        <v/>
      </c>
      <c r="EB38" s="133" t="n"/>
      <c r="EC38" s="139">
        <f>EB38*100/$E$38</f>
        <v/>
      </c>
      <c r="ED38" s="133" t="n"/>
      <c r="EE38" s="139">
        <f>ED38*100/$E$38</f>
        <v/>
      </c>
      <c r="EF38" s="133" t="n">
        <v>4</v>
      </c>
      <c r="EG38" s="139">
        <f>EF38*100/$E$38</f>
        <v/>
      </c>
      <c r="EH38" s="133" t="n"/>
      <c r="EI38" s="139">
        <f>EH38*100/$E$38</f>
        <v/>
      </c>
      <c r="EJ38" s="133" t="n"/>
      <c r="EK38" s="139">
        <f>EJ38*100/$E$38</f>
        <v/>
      </c>
      <c r="EL38" s="133" t="n">
        <v>1</v>
      </c>
      <c r="EM38" s="139">
        <f>EL38*100/$E$38</f>
        <v/>
      </c>
      <c r="EN38" s="133" t="n"/>
      <c r="EO38" s="139">
        <f>EN38*100/$E$38</f>
        <v/>
      </c>
      <c r="EP38" s="133" t="n"/>
      <c r="EQ38" s="139">
        <f>EP38*100/$E$38</f>
        <v/>
      </c>
      <c r="ER38" s="133" t="n"/>
      <c r="ES38" s="139">
        <f>ER38*100/$E$38</f>
        <v/>
      </c>
      <c r="ET38" s="133" t="n"/>
      <c r="EU38" s="139">
        <f>ET38*100/$E$38</f>
        <v/>
      </c>
      <c r="EV38" s="133" t="n"/>
      <c r="EW38" s="139">
        <f>EV38*100/$E$38</f>
        <v/>
      </c>
      <c r="EX38" s="133" t="n"/>
      <c r="EY38" s="139">
        <f>EX38*100/$E$38</f>
        <v/>
      </c>
      <c r="EZ38" s="133" t="n"/>
      <c r="FA38" s="139">
        <f>EZ38*100/$E$38</f>
        <v/>
      </c>
      <c r="FB38" s="133" t="n"/>
      <c r="FC38" s="139">
        <f>FB38*100/$E$38</f>
        <v/>
      </c>
      <c r="FD38" s="133" t="n"/>
      <c r="FE38" s="139">
        <f>FD38*100/$E$38</f>
        <v/>
      </c>
      <c r="FF38" s="133" t="n"/>
      <c r="FG38" s="139">
        <f>FF38*100/$E$38</f>
        <v/>
      </c>
      <c r="FH38" s="133" t="n"/>
      <c r="FI38" s="139">
        <f>FH38*100/$E$38</f>
        <v/>
      </c>
      <c r="FJ38" s="133" t="n"/>
      <c r="FK38" s="139">
        <f>FJ38*100/$E$38</f>
        <v/>
      </c>
      <c r="FL38" s="133" t="n"/>
      <c r="FM38" s="139">
        <f>FL38*100/$E$38</f>
        <v/>
      </c>
      <c r="FN38" s="133" t="n"/>
      <c r="FO38" s="139">
        <f>FN38*100/$E$38</f>
        <v/>
      </c>
      <c r="FP38" s="133" t="n"/>
      <c r="FQ38" s="139">
        <f>FP38*100/$E$38</f>
        <v/>
      </c>
      <c r="FR38" s="133" t="n"/>
      <c r="FS38" s="139">
        <f>FR38*100/$E$38</f>
        <v/>
      </c>
      <c r="FT38" s="133" t="n"/>
      <c r="FU38" s="139">
        <f>FT38*100/$E$38</f>
        <v/>
      </c>
      <c r="FV38" s="133" t="n"/>
      <c r="FW38" s="139">
        <f>FV38*100/$E$38</f>
        <v/>
      </c>
      <c r="FX38" s="133" t="n"/>
      <c r="FY38" s="140">
        <f>FX38*100/$E$38</f>
        <v/>
      </c>
      <c r="FZ38" s="133" t="n"/>
      <c r="GA38" s="140">
        <f>FZ38*100/$E$38</f>
        <v/>
      </c>
      <c r="GB38" s="133" t="n"/>
      <c r="GC38" s="140">
        <f>GB38*100/$E$38</f>
        <v/>
      </c>
      <c r="GD38" s="133" t="n"/>
      <c r="GE38" s="140">
        <f>GD38*100/$E$38</f>
        <v/>
      </c>
      <c r="GF38" s="133" t="n"/>
      <c r="GG38" s="140">
        <f>GF38*100/$E$38</f>
        <v/>
      </c>
      <c r="GH38" s="133" t="n"/>
      <c r="GI38" s="140">
        <f>GH38*100/$E$38</f>
        <v/>
      </c>
      <c r="GJ38" s="133" t="n"/>
      <c r="GK38" s="139">
        <f>GJ38*100/$E$38</f>
        <v/>
      </c>
      <c r="GL38" s="133" t="n"/>
      <c r="GM38" s="140">
        <f>GL38*100/$E$38</f>
        <v/>
      </c>
      <c r="GN38" s="133" t="n"/>
      <c r="GO38" s="139">
        <f>GN38*100/$E$38</f>
        <v/>
      </c>
      <c r="GP38" s="133" t="n"/>
      <c r="GQ38" s="140">
        <f>GP38*100/$E$38</f>
        <v/>
      </c>
      <c r="GR38" s="133" t="n"/>
      <c r="GS38" s="139">
        <f>GR38*100/$E$38</f>
        <v/>
      </c>
      <c r="GT38" s="133" t="n"/>
      <c r="GU38" s="139">
        <f>GT38*100/$E$38</f>
        <v/>
      </c>
      <c r="GV38" s="133" t="n"/>
      <c r="GW38" s="139">
        <f>GV38*100/$E$38</f>
        <v/>
      </c>
      <c r="GX38" s="133" t="n"/>
      <c r="GY38" s="140">
        <f>GX38*100/$E$38</f>
        <v/>
      </c>
      <c r="GZ38" s="133" t="n"/>
      <c r="HA38" s="140">
        <f>GZ38*100/$E$38</f>
        <v/>
      </c>
      <c r="HB38" s="133" t="n"/>
      <c r="HC38" s="140">
        <f>HB38*100/$E$38</f>
        <v/>
      </c>
      <c r="HD38" s="133" t="n"/>
      <c r="HE38" s="140">
        <f>HD38*100/$E$38</f>
        <v/>
      </c>
      <c r="HF38" s="133" t="n"/>
      <c r="HG38" s="140">
        <f>HF38*100/$E$38</f>
        <v/>
      </c>
      <c r="HH38" s="133" t="n"/>
      <c r="HI38" s="140">
        <f>HH38*100/$E$38</f>
        <v/>
      </c>
      <c r="HJ38" s="133" t="n"/>
      <c r="HK38" s="140">
        <f>HJ38*100/$E$38</f>
        <v/>
      </c>
      <c r="HL38" s="133" t="n"/>
      <c r="HM38" s="140">
        <f>HL38*100/$E$38</f>
        <v/>
      </c>
      <c r="HN38" s="133" t="n"/>
      <c r="HO38" s="140">
        <f>HN38*100/$E$38</f>
        <v/>
      </c>
      <c r="HP38" s="133" t="n"/>
      <c r="HQ38" s="140">
        <f>HP38*100/$E$38</f>
        <v/>
      </c>
      <c r="HR38" s="133" t="n"/>
      <c r="HS38" s="140">
        <f>HR38*100/$E$38</f>
        <v/>
      </c>
      <c r="HT38" s="133" t="n"/>
      <c r="HU38" s="140">
        <f>HT38*100/$E$38</f>
        <v/>
      </c>
      <c r="HV38" s="133" t="n"/>
      <c r="HW38" s="140">
        <f>HV38*100/$E$38</f>
        <v/>
      </c>
      <c r="HX38" s="133" t="n"/>
      <c r="HY38" s="140">
        <f>HX38*100/$E$38</f>
        <v/>
      </c>
      <c r="HZ38" s="133" t="n"/>
      <c r="IA38" s="139">
        <f>HZ38*100/$E$38</f>
        <v/>
      </c>
      <c r="IB38" s="133" t="n"/>
      <c r="IC38" s="139">
        <f>IB38*100/$E$38</f>
        <v/>
      </c>
      <c r="ID38" s="133" t="n"/>
      <c r="IE38" s="139">
        <f>ID38*100/$E$38</f>
        <v/>
      </c>
      <c r="IF38" s="133" t="n"/>
      <c r="IG38" s="139">
        <f>IF38*100/$E$38</f>
        <v/>
      </c>
      <c r="IH38" s="133" t="n"/>
      <c r="II38" s="139">
        <f>IH38*100/$E$38</f>
        <v/>
      </c>
      <c r="IJ38" s="133" t="n"/>
      <c r="IK38" s="139">
        <f>IJ38*100/$E$38</f>
        <v/>
      </c>
      <c r="IL38" s="133" t="n"/>
      <c r="IM38" s="140">
        <f>IL38*100/$E$38</f>
        <v/>
      </c>
      <c r="IN38" s="133" t="n"/>
      <c r="IO38" s="140">
        <f>IN38*100/$E$38</f>
        <v/>
      </c>
      <c r="IP38" s="133" t="n"/>
      <c r="IQ38" s="139">
        <f>IP38*100/$E$38</f>
        <v/>
      </c>
      <c r="IR38" s="133" t="n"/>
      <c r="IS38" s="139">
        <f>IR38*100/$E$38</f>
        <v/>
      </c>
      <c r="IT38" s="133" t="n"/>
      <c r="IU38" s="139">
        <f>IT38*100/$E$38</f>
        <v/>
      </c>
      <c r="IV38" s="133" t="n"/>
      <c r="IW38" s="139">
        <f>IV38*100/$E$38</f>
        <v/>
      </c>
      <c r="IX38" s="133" t="n"/>
      <c r="IY38" s="139">
        <f>IX38*100/$E$38</f>
        <v/>
      </c>
      <c r="IZ38" s="133" t="n"/>
      <c r="JA38" s="139">
        <f>IZ38*100/$E$38</f>
        <v/>
      </c>
      <c r="JB38" s="133" t="n"/>
      <c r="JC38" s="139">
        <f>JB38*100/$E$38</f>
        <v/>
      </c>
      <c r="JD38" s="133" t="n"/>
      <c r="JE38" s="139">
        <f>JD38*100/$E$38</f>
        <v/>
      </c>
      <c r="JF38" s="133" t="n"/>
      <c r="JG38" s="139">
        <f>JF38*100/$E$38</f>
        <v/>
      </c>
      <c r="JH38" s="133" t="n"/>
      <c r="JI38" s="139">
        <f>JH38*100/$E$38</f>
        <v/>
      </c>
      <c r="JJ38" s="133" t="n"/>
      <c r="JK38" s="139">
        <f>JJ38*100/$E$38</f>
        <v/>
      </c>
      <c r="JL38" s="133">
        <f>2+3</f>
        <v/>
      </c>
      <c r="JM38" s="139">
        <f>JL38*100/$E$38</f>
        <v/>
      </c>
      <c r="JN38" s="133" t="n"/>
      <c r="JO38" s="139">
        <f>JN38*100/$E$38</f>
        <v/>
      </c>
      <c r="JP38" s="133" t="n"/>
      <c r="JQ38" s="139">
        <f>JP38*100/$E$38</f>
        <v/>
      </c>
      <c r="JR38" s="133" t="n"/>
      <c r="JS38" s="182">
        <f>JR38*100/$E$38</f>
        <v/>
      </c>
      <c r="JT38" s="133" t="n"/>
      <c r="JU38" s="182">
        <f>JT38*100/$E$38</f>
        <v/>
      </c>
      <c r="JV38" s="133" t="n"/>
      <c r="JW38" s="182">
        <f>JV38*100/$E$38</f>
        <v/>
      </c>
      <c r="JX38" s="133" t="n"/>
      <c r="JY38" s="182">
        <f>JX38*100/$E$38</f>
        <v/>
      </c>
      <c r="JZ38" s="183">
        <f>JN38+JP38+JR38+JT38+JV38+JX38</f>
        <v/>
      </c>
      <c r="KA38" s="184">
        <f>JO38+JQ38+JS38+JU38+JW38+JY38</f>
        <v/>
      </c>
      <c r="KB38" s="185">
        <f>H38+J38+L38+N38+P38+R38+T38+V38+X38+Z38+AB38+AD38+AF38+AH38+AJ38+AL38+AN38+AP38+AR38+AT38+AV38+AX38+AZ38+BB38+BD38+BF38+BH38+BJ38+BL38+BN38+BP38+BR38+BT38+BV38+BX38+BZ38+CB38+CD38+CF38+CH38+CZ38+DB38+DD38+DF38+DH38+DJ38+DL38+DN38+DP38+DR38+DT38+DV38+DX38+DZ38+EB38+ED38+EF38+EH38+EJ38+EL38+EN38+EP38+ER38+ET38+EV38+FN38+FP38+FR38+FT38+FV38+FX38+FZ38+GB38+GD38+GF38+GH38+GJ38+GL38+GN38+GP38+GR38+GT38+GV38+GX38+GZ38+HB38+HD38+HF38+HH38+HJ38+HL38+HN38+HP38+HR38+HT38+HV38+HX38+HZ38+IB38+ID38+IF38+IH38+IJ38+IL38+IN38+IP38+IR38+IT38+IV38+IX38+IZ38+JB38+JD38+JF38+JH38+JJ38+JL38+JZ38+CJ38+CL38+CN38+CP38+CR38+CT38+CV38+CX38+EX38+EZ38+FB38+FD38+FF38+FH38+FJ38+FL38</f>
        <v/>
      </c>
      <c r="KC38" s="186">
        <f>I38+K38+M38+O38+Q38+S38+U38+W38+Y38+AA38+AC38+AE38+AG38+AI38+AK38+AM38+AO38+AQ38+AS38+AU38+AW38+AY38+BA38+BC38+BE38+BG38+BI38+BK38+BM38+BO38+BQ38+BS38+BU38+BW38+BY38+CA38+CC38+CE38+CG38+CI38+DA38+DC38+DE38+DG38+DI38+DK38+DM38+DO38+DQ38+DS38+DU38+DW38+DY38+EA38+EC38+EE38+EG38+EI38+EK38+EM38+EO38+EQ38+ES38+EU38+EW38+FO38+FS38+FU38+FW38+FQ38+FY38+GA38+GC38+GE38+GG38+GI38+GK38+GM38+GO38+GQ38+GS38+GU38+GW38+GY38+HA38+HC38+HE38+HG38+HI38+HK38+HM38+HO38+HQ38+HS38+HU38+HW38+HY38+IA38+IC38+IE38+IG38+II38+IK38+IM38+IO38+IQ38+IS38+IU38+IW38+IY38+JA38+JC38+JE38+JG38+JI38+JK38+JM38+KA38+CK38+CM38+CO38+CQ38+CS38+CU38+CW38+CY38+EY38+FA38+FC38+FE38+FG38+FI38+FK38+FM38</f>
        <v/>
      </c>
      <c r="KD38" s="187">
        <f>JO38+JQ38+JS38+JU38+JW38+JY38</f>
        <v/>
      </c>
      <c r="KE38" s="188">
        <f>KB38=E38</f>
        <v/>
      </c>
      <c r="KF38" s="189">
        <f>E38-KB38</f>
        <v/>
      </c>
      <c r="KG38" s="214" t="n"/>
    </row>
    <row r="39" ht="21.75" customFormat="1" customHeight="1" s="213">
      <c r="A39" s="126">
        <f>A38+1</f>
        <v/>
      </c>
      <c r="B39" s="175" t="inlineStr">
        <is>
          <t>Сидоров Т.Ю.</t>
        </is>
      </c>
      <c r="C39" s="176" t="inlineStr">
        <is>
          <t xml:space="preserve">Оператор ЧПУ </t>
        </is>
      </c>
      <c r="D39" s="177">
        <f>$D$5</f>
        <v/>
      </c>
      <c r="E39" s="202" t="n">
        <v>111</v>
      </c>
      <c r="F39" s="193" t="n">
        <v>55770</v>
      </c>
      <c r="G39" s="179">
        <f>F39/D39</f>
        <v/>
      </c>
      <c r="H39" s="180" t="n"/>
      <c r="I39" s="140">
        <f>H39*100/$E$39</f>
        <v/>
      </c>
      <c r="J39" s="133" t="n"/>
      <c r="K39" s="140">
        <f>J39*100/$E$39</f>
        <v/>
      </c>
      <c r="L39" s="133" t="n"/>
      <c r="M39" s="140">
        <f>L39*100/$E$39</f>
        <v/>
      </c>
      <c r="N39" s="133">
        <f>7+7</f>
        <v/>
      </c>
      <c r="O39" s="140">
        <f>N39*100/$E$39</f>
        <v/>
      </c>
      <c r="P39" s="133" t="n"/>
      <c r="Q39" s="139">
        <f>P39*100/$E$39</f>
        <v/>
      </c>
      <c r="R39" s="133" t="n"/>
      <c r="S39" s="139">
        <f>R39*100/$E$39</f>
        <v/>
      </c>
      <c r="T39" s="133" t="n"/>
      <c r="U39" s="140">
        <f>T39*100/$E$39</f>
        <v/>
      </c>
      <c r="V39" s="133" t="n"/>
      <c r="W39" s="140">
        <f>V39*100/$E$39</f>
        <v/>
      </c>
      <c r="X39" s="133" t="n"/>
      <c r="Y39" s="140">
        <f>X39*100/$E$39</f>
        <v/>
      </c>
      <c r="Z39" s="133" t="n"/>
      <c r="AA39" s="140">
        <f>Z39*100/$E$39</f>
        <v/>
      </c>
      <c r="AB39" s="133" t="n"/>
      <c r="AC39" s="140">
        <f>AB39*100/$E$39</f>
        <v/>
      </c>
      <c r="AD39" s="133" t="n"/>
      <c r="AE39" s="139">
        <f>AD39*100/$E$39</f>
        <v/>
      </c>
      <c r="AF39" s="133" t="n"/>
      <c r="AG39" s="139">
        <f>AF39*100/$E$39</f>
        <v/>
      </c>
      <c r="AH39" s="133" t="n"/>
      <c r="AI39" s="140">
        <f>AH39*100/$E$39</f>
        <v/>
      </c>
      <c r="AJ39" s="133" t="n"/>
      <c r="AK39" s="140">
        <f>AJ39*100/$E$39</f>
        <v/>
      </c>
      <c r="AL39" s="133" t="n"/>
      <c r="AM39" s="140">
        <f>AL39*100/$E$39</f>
        <v/>
      </c>
      <c r="AN39" s="133" t="n"/>
      <c r="AO39" s="140">
        <f>AN39*100/$E$39</f>
        <v/>
      </c>
      <c r="AP39" s="133" t="n"/>
      <c r="AQ39" s="140">
        <f>AP39*100/$E$39</f>
        <v/>
      </c>
      <c r="AR39" s="133" t="n">
        <v>4</v>
      </c>
      <c r="AS39" s="140">
        <f>AR39*100/$E$39</f>
        <v/>
      </c>
      <c r="AT39" s="133" t="n"/>
      <c r="AU39" s="181">
        <f>AT39*100/$E$39</f>
        <v/>
      </c>
      <c r="AV39" s="133" t="n"/>
      <c r="AW39" s="140">
        <f>AV39*100/$E$39</f>
        <v/>
      </c>
      <c r="AX39" s="133" t="n"/>
      <c r="AY39" s="140">
        <f>AX39*100/$E$39</f>
        <v/>
      </c>
      <c r="AZ39" s="133" t="n"/>
      <c r="BA39" s="140">
        <f>AZ39*100/$E$39</f>
        <v/>
      </c>
      <c r="BB39" s="133" t="n"/>
      <c r="BC39" s="140">
        <f>BB39*100/$E$39</f>
        <v/>
      </c>
      <c r="BD39" s="133" t="n"/>
      <c r="BE39" s="140">
        <f>BD39*100/$E$39</f>
        <v/>
      </c>
      <c r="BF39" s="133" t="n"/>
      <c r="BG39" s="140">
        <f>BF39*100/$E$39</f>
        <v/>
      </c>
      <c r="BH39" s="133" t="n"/>
      <c r="BI39" s="140">
        <f>BH39*100/$E$39</f>
        <v/>
      </c>
      <c r="BJ39" s="133">
        <f>7+3</f>
        <v/>
      </c>
      <c r="BK39" s="140">
        <f>BJ39*100/$E$39</f>
        <v/>
      </c>
      <c r="BL39" s="133" t="n"/>
      <c r="BM39" s="140">
        <f>BL39*100/$E$39</f>
        <v/>
      </c>
      <c r="BN39" s="133" t="n"/>
      <c r="BO39" s="140">
        <f>BN39*100/$E$39</f>
        <v/>
      </c>
      <c r="BP39" s="133" t="n"/>
      <c r="BQ39" s="140">
        <f>BP39*100/$E$39</f>
        <v/>
      </c>
      <c r="BR39" s="133" t="n"/>
      <c r="BS39" s="140">
        <f>BR39*100/$E$39</f>
        <v/>
      </c>
      <c r="BT39" s="133" t="n"/>
      <c r="BU39" s="140">
        <f>BT39*100/$E$39</f>
        <v/>
      </c>
      <c r="BV39" s="133" t="n"/>
      <c r="BW39" s="140">
        <f>BV39*100/$E$39</f>
        <v/>
      </c>
      <c r="BX39" s="133" t="n"/>
      <c r="BY39" s="140">
        <f>BX39*100/$E$39</f>
        <v/>
      </c>
      <c r="BZ39" s="133" t="n"/>
      <c r="CA39" s="140">
        <f>BZ39*100/$E$39</f>
        <v/>
      </c>
      <c r="CB39" s="133" t="n"/>
      <c r="CC39" s="140">
        <f>CB39*100/$E$39</f>
        <v/>
      </c>
      <c r="CD39" s="133" t="n"/>
      <c r="CE39" s="140">
        <f>CD39*100/$E$39</f>
        <v/>
      </c>
      <c r="CF39" s="133" t="n"/>
      <c r="CG39" s="140">
        <f>CF39*100/$E$39</f>
        <v/>
      </c>
      <c r="CH39" s="133" t="n"/>
      <c r="CI39" s="140">
        <f>CH39*100/$E$39</f>
        <v/>
      </c>
      <c r="CJ39" s="133" t="n"/>
      <c r="CK39" s="140">
        <f>CJ39*100/$E$39</f>
        <v/>
      </c>
      <c r="CL39" s="133" t="n"/>
      <c r="CM39" s="140">
        <f>CL39*100/$E$39</f>
        <v/>
      </c>
      <c r="CN39" s="133" t="n"/>
      <c r="CO39" s="139">
        <f>CN39*100/$E$39</f>
        <v/>
      </c>
      <c r="CP39" s="133" t="n"/>
      <c r="CQ39" s="140">
        <f>CP39*100/$E$39</f>
        <v/>
      </c>
      <c r="CR39" s="133" t="n"/>
      <c r="CS39" s="139">
        <f>CR39*100/$E$39</f>
        <v/>
      </c>
      <c r="CT39" s="133" t="n"/>
      <c r="CU39" s="139">
        <f>CT39*100/$E$39</f>
        <v/>
      </c>
      <c r="CV39" s="133" t="n"/>
      <c r="CW39" s="139">
        <f>CV39*100/$E$39</f>
        <v/>
      </c>
      <c r="CX39" s="133" t="n"/>
      <c r="CY39" s="139">
        <f>CX39*100/$E$39</f>
        <v/>
      </c>
      <c r="CZ39" s="133" t="n"/>
      <c r="DA39" s="139">
        <f>CZ39*100/$E$39</f>
        <v/>
      </c>
      <c r="DB39" s="133" t="n"/>
      <c r="DC39" s="139">
        <f>DB39*100/$E$39</f>
        <v/>
      </c>
      <c r="DD39" s="133" t="n"/>
      <c r="DE39" s="139">
        <f>DD39*100/$E$39</f>
        <v/>
      </c>
      <c r="DF39" s="133" t="n">
        <v>6</v>
      </c>
      <c r="DG39" s="139">
        <f>DF39*100/$E$39</f>
        <v/>
      </c>
      <c r="DH39" s="133" t="n"/>
      <c r="DI39" s="139">
        <f>DH39*100/$E$39</f>
        <v/>
      </c>
      <c r="DJ39" s="133" t="n"/>
      <c r="DK39" s="139">
        <f>DJ39*100/$E$39</f>
        <v/>
      </c>
      <c r="DL39" s="133" t="n"/>
      <c r="DM39" s="139">
        <f>DL39*100/$E$39</f>
        <v/>
      </c>
      <c r="DN39" s="133" t="n"/>
      <c r="DO39" s="139">
        <f>DN39*100/$E$39</f>
        <v/>
      </c>
      <c r="DP39" s="133" t="n"/>
      <c r="DQ39" s="139">
        <f>DP39*100/$E$39</f>
        <v/>
      </c>
      <c r="DR39" s="133" t="n"/>
      <c r="DS39" s="139">
        <f>DR39*100/E39</f>
        <v/>
      </c>
      <c r="DT39" s="133" t="n"/>
      <c r="DU39" s="139">
        <f>DT39*100/$E$39</f>
        <v/>
      </c>
      <c r="DV39" s="133" t="n"/>
      <c r="DW39" s="139">
        <f>DV39*100/$E$39</f>
        <v/>
      </c>
      <c r="DX39" s="133" t="n"/>
      <c r="DY39" s="139">
        <f>DX39*100/$E$39</f>
        <v/>
      </c>
      <c r="DZ39" s="133">
        <f>7+7</f>
        <v/>
      </c>
      <c r="EA39" s="139">
        <f>DZ39*100/$E$39</f>
        <v/>
      </c>
      <c r="EB39" s="133" t="n"/>
      <c r="EC39" s="139">
        <f>EB39*100/$E$39</f>
        <v/>
      </c>
      <c r="ED39" s="133" t="n"/>
      <c r="EE39" s="139">
        <f>ED39*100/$E$39</f>
        <v/>
      </c>
      <c r="EF39" s="133" t="n"/>
      <c r="EG39" s="139">
        <f>EF39*100/$E$39</f>
        <v/>
      </c>
      <c r="EH39" s="133" t="n"/>
      <c r="EI39" s="139">
        <f>EH39*100/$E$39</f>
        <v/>
      </c>
      <c r="EJ39" s="133" t="n"/>
      <c r="EK39" s="139">
        <f>EJ39*100/$E$39</f>
        <v/>
      </c>
      <c r="EL39" s="133" t="n"/>
      <c r="EM39" s="139">
        <f>EL39*100/$E$39</f>
        <v/>
      </c>
      <c r="EN39" s="133" t="n"/>
      <c r="EO39" s="139">
        <f>EN39*100/$E$39</f>
        <v/>
      </c>
      <c r="EP39" s="133" t="n"/>
      <c r="EQ39" s="139">
        <f>EP39*100/$E$39</f>
        <v/>
      </c>
      <c r="ER39" s="133" t="n"/>
      <c r="ES39" s="139">
        <f>ER39*100/$E$39</f>
        <v/>
      </c>
      <c r="ET39" s="133" t="n"/>
      <c r="EU39" s="139">
        <f>ET39*100/$E$39</f>
        <v/>
      </c>
      <c r="EV39" s="133" t="n"/>
      <c r="EW39" s="139">
        <f>EV39*100/$E$39</f>
        <v/>
      </c>
      <c r="EX39" s="133" t="n"/>
      <c r="EY39" s="139">
        <f>EX39*100/$E$39</f>
        <v/>
      </c>
      <c r="EZ39" s="133" t="n"/>
      <c r="FA39" s="139">
        <f>EZ39*100/$E$39</f>
        <v/>
      </c>
      <c r="FB39" s="133" t="n"/>
      <c r="FC39" s="139">
        <f>FB39*100/$E$39</f>
        <v/>
      </c>
      <c r="FD39" s="133" t="n">
        <v>7</v>
      </c>
      <c r="FE39" s="139">
        <f>FD39*100/$E$39</f>
        <v/>
      </c>
      <c r="FF39" s="133" t="n"/>
      <c r="FG39" s="139">
        <f>FF39*100/$E$39</f>
        <v/>
      </c>
      <c r="FH39" s="133" t="n"/>
      <c r="FI39" s="139">
        <f>FH39*100/$E$39</f>
        <v/>
      </c>
      <c r="FJ39" s="133" t="n"/>
      <c r="FK39" s="139">
        <f>FJ39*100/$E$39</f>
        <v/>
      </c>
      <c r="FL39" s="133" t="n"/>
      <c r="FM39" s="139">
        <f>FL39*100/$E$39</f>
        <v/>
      </c>
      <c r="FN39" s="133" t="n"/>
      <c r="FO39" s="139">
        <f>FN39*100/$E$39</f>
        <v/>
      </c>
      <c r="FP39" s="133" t="n"/>
      <c r="FQ39" s="139">
        <f>FP39*100/E39</f>
        <v/>
      </c>
      <c r="FR39" s="133" t="n"/>
      <c r="FS39" s="139">
        <f>FR39*100/$E$39</f>
        <v/>
      </c>
      <c r="FT39" s="133" t="n"/>
      <c r="FU39" s="139">
        <f>FT39*100/$E$39</f>
        <v/>
      </c>
      <c r="FV39" s="133" t="n"/>
      <c r="FW39" s="139">
        <f>FV39*100/$E$39</f>
        <v/>
      </c>
      <c r="FX39" s="133" t="n"/>
      <c r="FY39" s="140">
        <f>FX39*100/$E$39</f>
        <v/>
      </c>
      <c r="FZ39" s="133" t="n"/>
      <c r="GA39" s="140">
        <f>FZ39*100/$E$39</f>
        <v/>
      </c>
      <c r="GB39" s="133" t="n"/>
      <c r="GC39" s="140">
        <f>GB39*100/$E$39</f>
        <v/>
      </c>
      <c r="GD39" s="133" t="n"/>
      <c r="GE39" s="140">
        <f>GD39*100/$E$39</f>
        <v/>
      </c>
      <c r="GF39" s="133" t="n"/>
      <c r="GG39" s="140">
        <f>GF39*100/$E$39</f>
        <v/>
      </c>
      <c r="GH39" s="133" t="n"/>
      <c r="GI39" s="140">
        <f>GH39*100/$E$39</f>
        <v/>
      </c>
      <c r="GJ39" s="133" t="n"/>
      <c r="GK39" s="139">
        <f>GJ39*100/$E$39</f>
        <v/>
      </c>
      <c r="GL39" s="133" t="n"/>
      <c r="GM39" s="140">
        <f>GL39*100/$E$39</f>
        <v/>
      </c>
      <c r="GN39" s="133" t="n"/>
      <c r="GO39" s="139">
        <f>GN39*100/$E$39</f>
        <v/>
      </c>
      <c r="GP39" s="133" t="n"/>
      <c r="GQ39" s="140">
        <f>GP39*100/$E$39</f>
        <v/>
      </c>
      <c r="GR39" s="133" t="n"/>
      <c r="GS39" s="139">
        <f>GR39*100/$E$39</f>
        <v/>
      </c>
      <c r="GT39" s="133" t="n"/>
      <c r="GU39" s="139">
        <f>GT39*100/$E$39</f>
        <v/>
      </c>
      <c r="GV39" s="133" t="n"/>
      <c r="GW39" s="139">
        <f>GV39*100/$E$39</f>
        <v/>
      </c>
      <c r="GX39" s="133">
        <f>7+7</f>
        <v/>
      </c>
      <c r="GY39" s="140">
        <f>GX39*100/$E$39</f>
        <v/>
      </c>
      <c r="GZ39" s="133" t="n"/>
      <c r="HA39" s="140">
        <f>GZ39*100/$E$39</f>
        <v/>
      </c>
      <c r="HB39" s="133" t="n"/>
      <c r="HC39" s="140">
        <f>HB39*100/$E$39</f>
        <v/>
      </c>
      <c r="HD39" s="133" t="n"/>
      <c r="HE39" s="140">
        <f>HD39*100/$E$39</f>
        <v/>
      </c>
      <c r="HF39" s="133" t="n"/>
      <c r="HG39" s="140">
        <f>HF39*100/$E$39</f>
        <v/>
      </c>
      <c r="HH39" s="133" t="n"/>
      <c r="HI39" s="140">
        <f>HH39*100/$E$39</f>
        <v/>
      </c>
      <c r="HJ39" s="133">
        <f>3+2</f>
        <v/>
      </c>
      <c r="HK39" s="140">
        <f>HJ39*100/$E$39</f>
        <v/>
      </c>
      <c r="HL39" s="133" t="n"/>
      <c r="HM39" s="140">
        <f>HL39*100/$E$39</f>
        <v/>
      </c>
      <c r="HN39" s="133" t="n"/>
      <c r="HO39" s="140">
        <f>HN39*100/$E$39</f>
        <v/>
      </c>
      <c r="HP39" s="133" t="n"/>
      <c r="HQ39" s="140">
        <f>HP39*100/$E$39</f>
        <v/>
      </c>
      <c r="HR39" s="133">
        <f>4+5</f>
        <v/>
      </c>
      <c r="HS39" s="140">
        <f>HR39*100/$E$39</f>
        <v/>
      </c>
      <c r="HT39" s="133" t="n"/>
      <c r="HU39" s="140">
        <f>HT39*100/$E$39</f>
        <v/>
      </c>
      <c r="HV39" s="133" t="n"/>
      <c r="HW39" s="140">
        <f>HV39*100/$E$39</f>
        <v/>
      </c>
      <c r="HX39" s="133" t="n"/>
      <c r="HY39" s="140">
        <f>HX39*100/$E$39</f>
        <v/>
      </c>
      <c r="HZ39" s="133" t="n"/>
      <c r="IA39" s="139">
        <f>HZ39*100/$E$39</f>
        <v/>
      </c>
      <c r="IB39" s="133" t="n"/>
      <c r="IC39" s="139">
        <f>IB39*100/$E$39</f>
        <v/>
      </c>
      <c r="ID39" s="133" t="n"/>
      <c r="IE39" s="139">
        <f>ID39*100/$E$39</f>
        <v/>
      </c>
      <c r="IF39" s="133" t="n"/>
      <c r="IG39" s="139">
        <f>IF39*100/$E$39</f>
        <v/>
      </c>
      <c r="IH39" s="133" t="n"/>
      <c r="II39" s="139">
        <f>IH39*100/$E$39</f>
        <v/>
      </c>
      <c r="IJ39" s="133" t="n"/>
      <c r="IK39" s="139">
        <f>IJ39*100/$E$39</f>
        <v/>
      </c>
      <c r="IL39" s="133" t="n"/>
      <c r="IM39" s="140">
        <f>IL39*100/$E$39</f>
        <v/>
      </c>
      <c r="IN39" s="133" t="n"/>
      <c r="IO39" s="140">
        <f>IN39*100/$E$39</f>
        <v/>
      </c>
      <c r="IP39" s="133" t="n"/>
      <c r="IQ39" s="139">
        <f>IP39*100/$E$39</f>
        <v/>
      </c>
      <c r="IR39" s="133" t="n"/>
      <c r="IS39" s="139">
        <f>IR39*100/$E$39</f>
        <v/>
      </c>
      <c r="IT39" s="133" t="n"/>
      <c r="IU39" s="139">
        <f>IT39*100/$E$39</f>
        <v/>
      </c>
      <c r="IV39" s="133" t="n"/>
      <c r="IW39" s="139">
        <f>IV39*100/$E$39</f>
        <v/>
      </c>
      <c r="IX39" s="133" t="n"/>
      <c r="IY39" s="139">
        <f>IX39*100/$E$39</f>
        <v/>
      </c>
      <c r="IZ39" s="133" t="n"/>
      <c r="JA39" s="139">
        <f>IZ39*100/$E$39</f>
        <v/>
      </c>
      <c r="JB39" s="133" t="n"/>
      <c r="JC39" s="139">
        <f>JB39*100/$E$39</f>
        <v/>
      </c>
      <c r="JD39" s="133" t="n"/>
      <c r="JE39" s="139">
        <f>JD39*100/$E$39</f>
        <v/>
      </c>
      <c r="JF39" s="133" t="n"/>
      <c r="JG39" s="139">
        <f>JF39*100/$E$39</f>
        <v/>
      </c>
      <c r="JH39" s="133" t="n"/>
      <c r="JI39" s="139">
        <f>JH39*100/$E$39</f>
        <v/>
      </c>
      <c r="JJ39" s="133" t="n"/>
      <c r="JK39" s="139">
        <f>JJ39*100/$E$39</f>
        <v/>
      </c>
      <c r="JL39" s="133">
        <f>3+7+4+7+4+3</f>
        <v/>
      </c>
      <c r="JM39" s="139">
        <f>JL39*100/$E$39</f>
        <v/>
      </c>
      <c r="JN39" s="133" t="n"/>
      <c r="JO39" s="139">
        <f>JN39*100/$E$39</f>
        <v/>
      </c>
      <c r="JP39" s="133" t="n"/>
      <c r="JQ39" s="139">
        <f>JP39*100/$E$39</f>
        <v/>
      </c>
      <c r="JR39" s="133" t="n"/>
      <c r="JS39" s="182">
        <f>JR39*100/$E$39</f>
        <v/>
      </c>
      <c r="JT39" s="133" t="n"/>
      <c r="JU39" s="182">
        <f>JT39*100/$E$39</f>
        <v/>
      </c>
      <c r="JV39" s="133" t="n"/>
      <c r="JW39" s="182">
        <f>JV39*100/$E$39</f>
        <v/>
      </c>
      <c r="JX39" s="133" t="n"/>
      <c r="JY39" s="182">
        <f>JX39*100/$E$39</f>
        <v/>
      </c>
      <c r="JZ39" s="183">
        <f>JN39+JP39+JR39+JT39+JV39+JX39</f>
        <v/>
      </c>
      <c r="KA39" s="184">
        <f>JO39+JQ39+JS39+JU39+JW39+JY39</f>
        <v/>
      </c>
      <c r="KB39" s="185">
        <f>H39+J39+L39+N39+P39+R39+T39+V39+X39+Z39+AB39+AD39+AF39+AH39+AJ39+AL39+AN39+AP39+AR39+AT39+AV39+AX39+AZ39+BB39+BD39+BF39+BH39+BJ39+BL39+BN39+BP39+BR39+BT39+BV39+BX39+BZ39+CB39+CD39+CF39+CH39+CZ39+DB39+DD39+DF39+DH39+DJ39+DL39+DN39+DP39+DR39+DT39+DV39+DX39+DZ39+EB39+ED39+EF39+EH39+EJ39+EL39+EN39+EP39+ER39+ET39+EV39+FN39+FP39+FR39+FT39+FV39+FX39+FZ39+GB39+GD39+GF39+GH39+GJ39+GL39+GN39+GP39+GR39+GT39+GV39+GX39+GZ39+HB39+HD39+HF39+HH39+HJ39+HL39+HN39+HP39+HR39+HT39+HV39+HX39+HZ39+IB39+ID39+IF39+IH39+IJ39+IL39+IN39+IP39+IR39+IT39+IV39+IX39+IZ39+JB39+JD39+JF39+JH39+JJ39+JL39+JZ39+CJ39+CL39+CN39+CP39+CR39+CT39+CV39+CX39+EX39+EZ39+FB39+FD39+FF39+FH39+FJ39+FL39</f>
        <v/>
      </c>
      <c r="KC39" s="186">
        <f>I39+K39+M39+O39+Q39+S39+U39+W39+Y39+AA39+AC39+AE39+AG39+AI39+AK39+AM39+AO39+AQ39+AS39+AU39+AW39+AY39+BA39+BC39+BE39+BG39+BI39+BK39+BM39+BO39+BQ39+BS39+BU39+BW39+BY39+CA39+CC39+CE39+CG39+CI39+DA39+DC39+DE39+DG39+DI39+DK39+DM39+DO39+DQ39+DS39+DU39+DW39+DY39+EA39+EC39+EE39+EG39+EI39+EK39+EM39+EO39+EQ39+ES39+EU39+EW39+FO39+FS39+FU39+FW39+FQ39+FY39+GA39+GC39+GE39+GG39+GI39+GK39+GM39+GO39+GQ39+GS39+GU39+GW39+GY39+HA39+HC39+HE39+HG39+HI39+HK39+HM39+HO39+HQ39+HS39+HU39+HW39+HY39+IA39+IC39+IE39+IG39+II39+IK39+IM39+IO39+IQ39+IS39+IU39+IW39+IY39+JA39+JC39+JE39+JG39+JI39+JK39+JM39+KA39+CK39+CM39+CO39+CQ39+CS39+CU39+CW39+CY39+EY39+FA39+FC39+FE39+FG39+FI39+FK39+FM39</f>
        <v/>
      </c>
      <c r="KD39" s="187">
        <f>JO39+JQ39+JS39+JU39+JW39+JY39</f>
        <v/>
      </c>
      <c r="KE39" s="188">
        <f>KB39=E39</f>
        <v/>
      </c>
      <c r="KF39" s="189">
        <f>E39-KB39</f>
        <v/>
      </c>
      <c r="KG39" s="214" t="n"/>
    </row>
    <row r="40" ht="21.75" customFormat="1" customHeight="1" s="213">
      <c r="A40" s="126">
        <f>A39+1</f>
        <v/>
      </c>
      <c r="B40" s="175" t="inlineStr">
        <is>
          <t>Сидоров Ю.В.</t>
        </is>
      </c>
      <c r="C40" s="176" t="inlineStr">
        <is>
          <t>ЧПУ</t>
        </is>
      </c>
      <c r="D40" s="177">
        <f>$D$5</f>
        <v/>
      </c>
      <c r="E40" s="202" t="n">
        <v>159</v>
      </c>
      <c r="F40" s="193" t="n">
        <v>172413.8</v>
      </c>
      <c r="G40" s="179">
        <f>F40/D40</f>
        <v/>
      </c>
      <c r="H40" s="180" t="n"/>
      <c r="I40" s="140">
        <f>H40*100/$E$40</f>
        <v/>
      </c>
      <c r="J40" s="133" t="n"/>
      <c r="K40" s="140">
        <f>J40*100/$E$40</f>
        <v/>
      </c>
      <c r="L40" s="133" t="n"/>
      <c r="M40" s="140">
        <f>L40*100/$E$40</f>
        <v/>
      </c>
      <c r="N40" s="133" t="n"/>
      <c r="O40" s="140">
        <f>N40*100/$E$40</f>
        <v/>
      </c>
      <c r="P40" s="133" t="n"/>
      <c r="Q40" s="139">
        <f>P40*100/$E$40</f>
        <v/>
      </c>
      <c r="R40" s="133" t="n"/>
      <c r="S40" s="139">
        <f>R40*100/$E$40</f>
        <v/>
      </c>
      <c r="T40" s="133" t="n"/>
      <c r="U40" s="140">
        <f>T40*100/$E$40</f>
        <v/>
      </c>
      <c r="V40" s="133" t="n"/>
      <c r="W40" s="140">
        <f>V40*100/$E$40</f>
        <v/>
      </c>
      <c r="X40" s="133" t="n"/>
      <c r="Y40" s="140">
        <f>X40*100/$E$40</f>
        <v/>
      </c>
      <c r="Z40" s="133" t="n"/>
      <c r="AA40" s="140">
        <f>Z40*100/$E$40</f>
        <v/>
      </c>
      <c r="AB40" s="133">
        <f>4+2+4+4+2+3+4+4+4+4+4+4+4</f>
        <v/>
      </c>
      <c r="AC40" s="140">
        <f>AB40*100/$E$40</f>
        <v/>
      </c>
      <c r="AD40" s="133" t="n"/>
      <c r="AE40" s="139">
        <f>AD40*100/$E$40</f>
        <v/>
      </c>
      <c r="AF40" s="133" t="n"/>
      <c r="AG40" s="139">
        <f>AF40*100/$E$40</f>
        <v/>
      </c>
      <c r="AH40" s="133" t="n"/>
      <c r="AI40" s="140">
        <f>AH40*100/$E$40</f>
        <v/>
      </c>
      <c r="AJ40" s="133" t="n"/>
      <c r="AK40" s="140">
        <f>AJ40*100/$E$40</f>
        <v/>
      </c>
      <c r="AL40" s="133" t="n"/>
      <c r="AM40" s="140">
        <f>AL40*100/$E$40</f>
        <v/>
      </c>
      <c r="AN40" s="133" t="n"/>
      <c r="AO40" s="140">
        <f>AN40*100/$E$40</f>
        <v/>
      </c>
      <c r="AP40" s="133" t="n"/>
      <c r="AQ40" s="140">
        <f>AP40*100/$E$40</f>
        <v/>
      </c>
      <c r="AR40" s="133" t="n"/>
      <c r="AS40" s="140">
        <f>AR40*100/$E$40</f>
        <v/>
      </c>
      <c r="AT40" s="133" t="n"/>
      <c r="AU40" s="181">
        <f>AT40*100/$E$40</f>
        <v/>
      </c>
      <c r="AV40" s="133" t="n"/>
      <c r="AW40" s="140">
        <f>AV40*100/$E$40</f>
        <v/>
      </c>
      <c r="AX40" s="133" t="n"/>
      <c r="AY40" s="140">
        <f>AX40*100/$E$40</f>
        <v/>
      </c>
      <c r="AZ40" s="133" t="n"/>
      <c r="BA40" s="140">
        <f>AZ40*100/$E$40</f>
        <v/>
      </c>
      <c r="BB40" s="133" t="n"/>
      <c r="BC40" s="140">
        <f>BB40*100/$E$40</f>
        <v/>
      </c>
      <c r="BD40" s="133" t="n"/>
      <c r="BE40" s="140">
        <f>BD40*100/$E$40</f>
        <v/>
      </c>
      <c r="BF40" s="133" t="n">
        <v>4</v>
      </c>
      <c r="BG40" s="140">
        <f>BF40*100/$E$40</f>
        <v/>
      </c>
      <c r="BH40" s="133" t="n"/>
      <c r="BI40" s="140">
        <f>BH40*100/$E$40</f>
        <v/>
      </c>
      <c r="BJ40" s="133" t="n"/>
      <c r="BK40" s="140">
        <f>BJ40*100/$E$40</f>
        <v/>
      </c>
      <c r="BL40" s="133" t="n"/>
      <c r="BM40" s="140">
        <f>BL40*100/$E$40</f>
        <v/>
      </c>
      <c r="BN40" s="133" t="n"/>
      <c r="BO40" s="140">
        <f>BN40*100/$E$40</f>
        <v/>
      </c>
      <c r="BP40" s="133" t="n"/>
      <c r="BQ40" s="140">
        <f>BP40*100/$E$40</f>
        <v/>
      </c>
      <c r="BR40" s="133" t="n"/>
      <c r="BS40" s="140">
        <f>BR40*100/$E$40</f>
        <v/>
      </c>
      <c r="BT40" s="133" t="n"/>
      <c r="BU40" s="140">
        <f>BT40*100/$E$40</f>
        <v/>
      </c>
      <c r="BV40" s="133" t="n"/>
      <c r="BW40" s="140">
        <f>BV40*100/$E$40</f>
        <v/>
      </c>
      <c r="BX40" s="133" t="n"/>
      <c r="BY40" s="140">
        <f>BX40*100/$E$40</f>
        <v/>
      </c>
      <c r="BZ40" s="133" t="n"/>
      <c r="CA40" s="140">
        <f>BZ40*100/$E$40</f>
        <v/>
      </c>
      <c r="CB40" s="133" t="n">
        <v>3</v>
      </c>
      <c r="CC40" s="140">
        <f>CB40*100/$E$40</f>
        <v/>
      </c>
      <c r="CD40" s="133" t="n"/>
      <c r="CE40" s="140">
        <f>CD40*100/$E$40</f>
        <v/>
      </c>
      <c r="CF40" s="133">
        <f>2+2+2+3</f>
        <v/>
      </c>
      <c r="CG40" s="140">
        <f>CF40*100/$E$40</f>
        <v/>
      </c>
      <c r="CH40" s="133" t="n"/>
      <c r="CI40" s="140">
        <f>CH40*100/$E$40</f>
        <v/>
      </c>
      <c r="CJ40" s="133" t="n"/>
      <c r="CK40" s="140">
        <f>CJ40*100/$E$40</f>
        <v/>
      </c>
      <c r="CL40" s="133" t="n"/>
      <c r="CM40" s="140">
        <f>CL40*100/$E$40</f>
        <v/>
      </c>
      <c r="CN40" s="133" t="n"/>
      <c r="CO40" s="139">
        <f>CN40*100/$E$40</f>
        <v/>
      </c>
      <c r="CP40" s="133" t="n"/>
      <c r="CQ40" s="140">
        <f>CP40*100/$E$40</f>
        <v/>
      </c>
      <c r="CR40" s="133" t="n"/>
      <c r="CS40" s="139">
        <f>CR40*100/$E$40</f>
        <v/>
      </c>
      <c r="CT40" s="133" t="n"/>
      <c r="CU40" s="139">
        <f>CT40*100/$E$40</f>
        <v/>
      </c>
      <c r="CV40" s="133" t="n"/>
      <c r="CW40" s="139">
        <f>CV40*100/$E$40</f>
        <v/>
      </c>
      <c r="CX40" s="133" t="n"/>
      <c r="CY40" s="139">
        <f>CX40*100/$E$40</f>
        <v/>
      </c>
      <c r="CZ40" s="133" t="n"/>
      <c r="DA40" s="139">
        <f>CZ40*100/$E$40</f>
        <v/>
      </c>
      <c r="DB40" s="133" t="n"/>
      <c r="DC40" s="139">
        <f>DB40*100/$E$40</f>
        <v/>
      </c>
      <c r="DD40" s="133" t="n"/>
      <c r="DE40" s="139">
        <f>DD40*100/$E$40</f>
        <v/>
      </c>
      <c r="DF40" s="133" t="n"/>
      <c r="DG40" s="139">
        <f>DF40*100/$E$40</f>
        <v/>
      </c>
      <c r="DH40" s="133" t="n">
        <v>4</v>
      </c>
      <c r="DI40" s="139">
        <f>DH40*100/$E$40</f>
        <v/>
      </c>
      <c r="DJ40" s="133">
        <f>3+4</f>
        <v/>
      </c>
      <c r="DK40" s="139">
        <f>DJ40*100/$E$40</f>
        <v/>
      </c>
      <c r="DL40" s="133" t="n"/>
      <c r="DM40" s="139">
        <f>DL40*100/$E$40</f>
        <v/>
      </c>
      <c r="DN40" s="133" t="n"/>
      <c r="DO40" s="139">
        <f>DN40*100/$E$40</f>
        <v/>
      </c>
      <c r="DP40" s="133" t="n"/>
      <c r="DQ40" s="139">
        <f>DP40*100/$E$40</f>
        <v/>
      </c>
      <c r="DR40" s="133" t="n">
        <v>4</v>
      </c>
      <c r="DS40" s="139">
        <f>DR40*100/$E$40</f>
        <v/>
      </c>
      <c r="DT40" s="133" t="n"/>
      <c r="DU40" s="139">
        <f>DT40*100/$E$40</f>
        <v/>
      </c>
      <c r="DV40" s="133" t="n">
        <v>4</v>
      </c>
      <c r="DW40" s="139">
        <f>DV40*100/$E$40</f>
        <v/>
      </c>
      <c r="DX40" s="133" t="n"/>
      <c r="DY40" s="139">
        <f>DX40*100/$E$40</f>
        <v/>
      </c>
      <c r="DZ40" s="133">
        <f>2+4+3</f>
        <v/>
      </c>
      <c r="EA40" s="139">
        <f>DZ40*100/$E$40</f>
        <v/>
      </c>
      <c r="EB40" s="133" t="n"/>
      <c r="EC40" s="139">
        <f>EB40*100/$E$40</f>
        <v/>
      </c>
      <c r="ED40" s="133" t="n"/>
      <c r="EE40" s="139">
        <f>ED40*100/$E$40</f>
        <v/>
      </c>
      <c r="EF40" s="133" t="n"/>
      <c r="EG40" s="139">
        <f>EF40*100/$E$40</f>
        <v/>
      </c>
      <c r="EH40" s="133">
        <f>2+4+2</f>
        <v/>
      </c>
      <c r="EI40" s="139">
        <f>EH40*100/$E$40</f>
        <v/>
      </c>
      <c r="EJ40" s="133" t="n"/>
      <c r="EK40" s="139">
        <f>EJ40*100/$E$40</f>
        <v/>
      </c>
      <c r="EL40" s="133" t="n"/>
      <c r="EM40" s="139">
        <f>EL40*100/$E$40</f>
        <v/>
      </c>
      <c r="EN40" s="133" t="n"/>
      <c r="EO40" s="139">
        <f>EN40*100/$E$40</f>
        <v/>
      </c>
      <c r="EP40" s="133" t="n"/>
      <c r="EQ40" s="139">
        <f>EP40*100/$E$40</f>
        <v/>
      </c>
      <c r="ER40" s="133" t="n"/>
      <c r="ES40" s="139">
        <f>ER40*100/$E$40</f>
        <v/>
      </c>
      <c r="ET40" s="133" t="n"/>
      <c r="EU40" s="139">
        <f>ET40*100/$E$40</f>
        <v/>
      </c>
      <c r="EV40" s="133" t="n"/>
      <c r="EW40" s="139">
        <f>EV40*100/$E$40</f>
        <v/>
      </c>
      <c r="EX40" s="133">
        <f>5+8</f>
        <v/>
      </c>
      <c r="EY40" s="139">
        <f>EX40*100/$E$40</f>
        <v/>
      </c>
      <c r="EZ40" s="133" t="n"/>
      <c r="FA40" s="139">
        <f>EZ40*100/$E$40</f>
        <v/>
      </c>
      <c r="FB40" s="133" t="n">
        <v>5</v>
      </c>
      <c r="FC40" s="139">
        <f>FB40*100/$E$40</f>
        <v/>
      </c>
      <c r="FD40" s="133" t="n">
        <v>2</v>
      </c>
      <c r="FE40" s="139">
        <f>FD40*100/$E$40</f>
        <v/>
      </c>
      <c r="FF40" s="133" t="n"/>
      <c r="FG40" s="139">
        <f>FF40*100/$E$40</f>
        <v/>
      </c>
      <c r="FH40" s="133" t="n"/>
      <c r="FI40" s="139">
        <f>FH40*100/$E$40</f>
        <v/>
      </c>
      <c r="FJ40" s="133" t="n"/>
      <c r="FK40" s="139">
        <f>FJ40*100/$E$40</f>
        <v/>
      </c>
      <c r="FL40" s="133" t="n"/>
      <c r="FM40" s="139">
        <f>FL40*100/$E$40</f>
        <v/>
      </c>
      <c r="FN40" s="133" t="n"/>
      <c r="FO40" s="139">
        <f>FN40*100/$E$40</f>
        <v/>
      </c>
      <c r="FP40" s="133" t="n"/>
      <c r="FQ40" s="139">
        <f>FP40*100/$E$40</f>
        <v/>
      </c>
      <c r="FR40" s="133" t="n">
        <v>4</v>
      </c>
      <c r="FS40" s="139">
        <f>FR40*100/$E$40</f>
        <v/>
      </c>
      <c r="FT40" s="133" t="n"/>
      <c r="FU40" s="139">
        <f>FT40*100/$E$40</f>
        <v/>
      </c>
      <c r="FV40" s="133" t="n"/>
      <c r="FW40" s="139">
        <f>FV40*100/$E$40</f>
        <v/>
      </c>
      <c r="FX40" s="133" t="n"/>
      <c r="FY40" s="140">
        <f>FX40*100/$E$40</f>
        <v/>
      </c>
      <c r="FZ40" s="133" t="n"/>
      <c r="GA40" s="140">
        <f>FZ40*100/$E$40</f>
        <v/>
      </c>
      <c r="GB40" s="133" t="n"/>
      <c r="GC40" s="140">
        <f>GB40*100/$E$40</f>
        <v/>
      </c>
      <c r="GD40" s="133" t="n"/>
      <c r="GE40" s="140">
        <f>GD40*100/$E$40</f>
        <v/>
      </c>
      <c r="GF40" s="133" t="n"/>
      <c r="GG40" s="140">
        <f>GF40*100/$E$40</f>
        <v/>
      </c>
      <c r="GH40" s="133" t="n"/>
      <c r="GI40" s="140">
        <f>GH40*100/$E$40</f>
        <v/>
      </c>
      <c r="GJ40" s="133" t="n"/>
      <c r="GK40" s="139">
        <f>GJ40*100/$E$40</f>
        <v/>
      </c>
      <c r="GL40" s="133">
        <f>8+4</f>
        <v/>
      </c>
      <c r="GM40" s="140">
        <f>GL40*100/$E$40</f>
        <v/>
      </c>
      <c r="GN40" s="133" t="n"/>
      <c r="GO40" s="139">
        <f>GN40*100/$E$40</f>
        <v/>
      </c>
      <c r="GP40" s="133" t="n"/>
      <c r="GQ40" s="140">
        <f>GP40*100/$E$40</f>
        <v/>
      </c>
      <c r="GR40" s="133" t="n"/>
      <c r="GS40" s="139">
        <f>GR40*100/$E$40</f>
        <v/>
      </c>
      <c r="GT40" s="133" t="n"/>
      <c r="GU40" s="139">
        <f>GT40*100/$E$40</f>
        <v/>
      </c>
      <c r="GV40" s="133" t="n"/>
      <c r="GW40" s="139">
        <f>GV40*100/$E$40</f>
        <v/>
      </c>
      <c r="GX40" s="133">
        <f>4+4</f>
        <v/>
      </c>
      <c r="GY40" s="140">
        <f>GX40*100/$E$40</f>
        <v/>
      </c>
      <c r="GZ40" s="133" t="n"/>
      <c r="HA40" s="140">
        <f>GZ40*100/$E$40</f>
        <v/>
      </c>
      <c r="HB40" s="133" t="n"/>
      <c r="HC40" s="140">
        <f>HB40*100/$E$40</f>
        <v/>
      </c>
      <c r="HD40" s="133" t="n"/>
      <c r="HE40" s="140">
        <f>HD40*100/$E$40</f>
        <v/>
      </c>
      <c r="HF40" s="133" t="n"/>
      <c r="HG40" s="140">
        <f>HF40*100/$E$40</f>
        <v/>
      </c>
      <c r="HH40" s="133" t="n"/>
      <c r="HI40" s="140">
        <f>HH40*100/$E$40</f>
        <v/>
      </c>
      <c r="HJ40" s="133" t="n"/>
      <c r="HK40" s="140">
        <f>HJ40*100/$E$40</f>
        <v/>
      </c>
      <c r="HL40" s="133">
        <f>2+4+4+2</f>
        <v/>
      </c>
      <c r="HM40" s="140">
        <f>HL40*100/$E$40</f>
        <v/>
      </c>
      <c r="HN40" s="133" t="n"/>
      <c r="HO40" s="140">
        <f>HN40*100/$E$40</f>
        <v/>
      </c>
      <c r="HP40" s="133" t="n"/>
      <c r="HQ40" s="140">
        <f>HP40*100/$E$40</f>
        <v/>
      </c>
      <c r="HR40" s="133" t="n"/>
      <c r="HS40" s="140">
        <f>HR40*100/$E$40</f>
        <v/>
      </c>
      <c r="HT40" s="133" t="n"/>
      <c r="HU40" s="140">
        <f>HT40*100/$E$40</f>
        <v/>
      </c>
      <c r="HV40" s="133" t="n"/>
      <c r="HW40" s="140">
        <f>HV40*100/$E$40</f>
        <v/>
      </c>
      <c r="HX40" s="133" t="n"/>
      <c r="HY40" s="140">
        <f>HX40*100/$E$40</f>
        <v/>
      </c>
      <c r="HZ40" s="133" t="n"/>
      <c r="IA40" s="139">
        <f>HZ40*100/$E$40</f>
        <v/>
      </c>
      <c r="IB40" s="133" t="n"/>
      <c r="IC40" s="139">
        <f>IB40*100/$E$40</f>
        <v/>
      </c>
      <c r="ID40" s="133" t="n"/>
      <c r="IE40" s="139">
        <f>ID40*100/$E$40</f>
        <v/>
      </c>
      <c r="IF40" s="133" t="n"/>
      <c r="IG40" s="139">
        <f>IF40*100/$E$40</f>
        <v/>
      </c>
      <c r="IH40" s="133" t="n"/>
      <c r="II40" s="139">
        <f>IH40*100/$E$40</f>
        <v/>
      </c>
      <c r="IJ40" s="133" t="n"/>
      <c r="IK40" s="139">
        <f>IJ40*100/$E$40</f>
        <v/>
      </c>
      <c r="IL40" s="133" t="n"/>
      <c r="IM40" s="140">
        <f>IL40*100/$E$40</f>
        <v/>
      </c>
      <c r="IN40" s="133" t="n"/>
      <c r="IO40" s="140">
        <f>IN40*100/$E$40</f>
        <v/>
      </c>
      <c r="IP40" s="133" t="n"/>
      <c r="IQ40" s="139">
        <f>IP40*100/$E$40</f>
        <v/>
      </c>
      <c r="IR40" s="133" t="n"/>
      <c r="IS40" s="139">
        <f>IR40*100/$E$40</f>
        <v/>
      </c>
      <c r="IT40" s="133" t="n"/>
      <c r="IU40" s="139">
        <f>IT40*100/$E$40</f>
        <v/>
      </c>
      <c r="IV40" s="133" t="n"/>
      <c r="IW40" s="139">
        <f>IV40*100/$E$40</f>
        <v/>
      </c>
      <c r="IX40" s="133" t="n"/>
      <c r="IY40" s="139">
        <f>IX40*100/$E$40</f>
        <v/>
      </c>
      <c r="IZ40" s="133" t="n"/>
      <c r="JA40" s="139">
        <f>IZ40*100/$E$40</f>
        <v/>
      </c>
      <c r="JB40" s="133" t="n"/>
      <c r="JC40" s="139">
        <f>JB40*100/$E$40</f>
        <v/>
      </c>
      <c r="JD40" s="133" t="n"/>
      <c r="JE40" s="139">
        <f>JD40*100/$E$40</f>
        <v/>
      </c>
      <c r="JF40" s="133" t="n"/>
      <c r="JG40" s="139">
        <f>JF40*100/$E$40</f>
        <v/>
      </c>
      <c r="JH40" s="133" t="n"/>
      <c r="JI40" s="139">
        <f>JH40*100/$E$40</f>
        <v/>
      </c>
      <c r="JJ40" s="133" t="n"/>
      <c r="JK40" s="139">
        <f>JJ40*100/$E$40</f>
        <v/>
      </c>
      <c r="JL40" s="133" t="n">
        <v>4</v>
      </c>
      <c r="JM40" s="139">
        <f>JL40*100/$E$40</f>
        <v/>
      </c>
      <c r="JN40" s="133" t="n"/>
      <c r="JO40" s="139">
        <f>JN40*100/$E$40</f>
        <v/>
      </c>
      <c r="JP40" s="133" t="n"/>
      <c r="JQ40" s="139">
        <f>JP40*100/$E$40</f>
        <v/>
      </c>
      <c r="JR40" s="133" t="n"/>
      <c r="JS40" s="182">
        <f>JR40*100/$E$40</f>
        <v/>
      </c>
      <c r="JT40" s="133" t="n"/>
      <c r="JU40" s="182">
        <f>JT40*100/$E$40</f>
        <v/>
      </c>
      <c r="JV40" s="133" t="n"/>
      <c r="JW40" s="182">
        <f>JV40*100/$E$40</f>
        <v/>
      </c>
      <c r="JX40" s="133" t="n"/>
      <c r="JY40" s="182">
        <f>JX40*100/$E$40</f>
        <v/>
      </c>
      <c r="JZ40" s="183">
        <f>JN40+JP40+JR40+JT40+JV40+JX40</f>
        <v/>
      </c>
      <c r="KA40" s="184">
        <f>JO40+JQ40+JS40+JU40+JW40+JY40</f>
        <v/>
      </c>
      <c r="KB40" s="185">
        <f>H40+J40+L40+N40+P40+R40+T40+V40+X40+Z40+AB40+AD40+AF40+AH40+AJ40+AL40+AN40+AP40+AR40+AT40+AV40+AX40+AZ40+BB40+BD40+BF40+BH40+BJ40+BL40+BN40+BP40+BR40+BT40+BV40+BX40+BZ40+CB40+CD40+CF40+CH40+CZ40+DB40+DD40+DF40+DH40+DJ40+DL40+DN40+DP40+DR40+DT40+DV40+DX40+DZ40+EB40+ED40+EF40+EH40+EJ40+EL40+EN40+EP40+ER40+ET40+EV40+FN40+FP40+FR40+FT40+FV40+FX40+FZ40+GB40+GD40+GF40+GH40+GJ40+GL40+GN40+GP40+GR40+GT40+GV40+GX40+GZ40+HB40+HD40+HF40+HH40+HJ40+HL40+HN40+HP40+HR40+HT40+HV40+HX40+HZ40+IB40+ID40+IF40+IH40+IJ40+IL40+IN40+IP40+IR40+IT40+IV40+IX40+IZ40+JB40+JD40+JF40+JH40+JJ40+JL40+JZ40+CJ40+CL40+CN40+CP40+CR40+CT40+CV40+CX40+EX40+EZ40+FB40+FD40+FF40+FH40+FJ40+FL40</f>
        <v/>
      </c>
      <c r="KC40" s="186">
        <f>I40+K40+M40+O40+Q40+S40+U40+W40+Y40+AA40+AC40+AE40+AG40+AI40+AK40+AM40+AO40+AQ40+AS40+AU40+AW40+AY40+BA40+BC40+BE40+BG40+BI40+BK40+BM40+BO40+BQ40+BS40+BU40+BW40+BY40+CA40+CC40+CE40+CG40+CI40+DA40+DC40+DE40+DG40+DI40+DK40+DM40+DO40+DQ40+DS40+DU40+DW40+DY40+EA40+EC40+EE40+EG40+EI40+EK40+EM40+EO40+EQ40+ES40+EU40+EW40+FO40+FS40+FU40+FW40+FQ40+FY40+GA40+GC40+GE40+GG40+GI40+GK40+GM40+GO40+GQ40+GS40+GU40+GW40+GY40+HA40+HC40+HE40+HG40+HI40+HK40+HM40+HO40+HQ40+HS40+HU40+HW40+HY40+IA40+IC40+IE40+IG40+II40+IK40+IM40+IO40+IQ40+IS40+IU40+IW40+IY40+JA40+JC40+JE40+JG40+JI40+JK40+JM40+KA40+CK40+CM40+CO40+CQ40+CS40+CU40+CW40+CY40+EY40+FA40+FC40+FE40+FG40+FI40+FK40+FM40</f>
        <v/>
      </c>
      <c r="KD40" s="187">
        <f>JO40+JQ40+JS40+JU40+JW40+JY40</f>
        <v/>
      </c>
      <c r="KE40" s="188">
        <f>KB40=E40</f>
        <v/>
      </c>
      <c r="KF40" s="189">
        <f>E40-KB40</f>
        <v/>
      </c>
      <c r="KG40" s="215" t="n"/>
    </row>
    <row r="41" ht="21.75" customFormat="1" customHeight="1" s="215">
      <c r="A41" s="126">
        <f>A40+1</f>
        <v/>
      </c>
      <c r="B41" s="175" t="inlineStr">
        <is>
          <t>Соколов Р.Т.</t>
        </is>
      </c>
      <c r="C41" s="176" t="inlineStr">
        <is>
          <t>сварщик</t>
        </is>
      </c>
      <c r="D41" s="177">
        <f>$D$5</f>
        <v/>
      </c>
      <c r="E41" s="202" t="n">
        <v>192</v>
      </c>
      <c r="F41" s="193" t="n">
        <v>107508.15</v>
      </c>
      <c r="G41" s="179">
        <f>F41/D41</f>
        <v/>
      </c>
      <c r="H41" s="180" t="n"/>
      <c r="I41" s="140">
        <f>H41*100/$E$41</f>
        <v/>
      </c>
      <c r="J41" s="133" t="n"/>
      <c r="K41" s="140">
        <f>J41*100/$E$41</f>
        <v/>
      </c>
      <c r="L41" s="133" t="n"/>
      <c r="M41" s="140">
        <f>L41*100/$E$41</f>
        <v/>
      </c>
      <c r="N41" s="133" t="n"/>
      <c r="O41" s="140">
        <f>N41*100/$E$41</f>
        <v/>
      </c>
      <c r="P41" s="133" t="n"/>
      <c r="Q41" s="139">
        <f>P41*100/$E$41</f>
        <v/>
      </c>
      <c r="R41" s="133" t="n"/>
      <c r="S41" s="139">
        <f>R41*100/$E$41</f>
        <v/>
      </c>
      <c r="T41" s="133" t="n"/>
      <c r="U41" s="140">
        <f>T41*100/$E$41</f>
        <v/>
      </c>
      <c r="V41" s="133" t="n"/>
      <c r="W41" s="140">
        <f>V41*100/$E$41</f>
        <v/>
      </c>
      <c r="X41" s="133" t="n"/>
      <c r="Y41" s="140">
        <f>X41*100/$E$41</f>
        <v/>
      </c>
      <c r="Z41" s="133" t="n"/>
      <c r="AA41" s="140">
        <f>Z41*100/$E$41</f>
        <v/>
      </c>
      <c r="AB41" s="133" t="n"/>
      <c r="AC41" s="140">
        <f>AB41*100/$E$41</f>
        <v/>
      </c>
      <c r="AD41" s="133" t="n"/>
      <c r="AE41" s="139">
        <f>AD41*100/$E$41</f>
        <v/>
      </c>
      <c r="AF41" s="133" t="n"/>
      <c r="AG41" s="139">
        <f>AF41*100/$E$41</f>
        <v/>
      </c>
      <c r="AH41" s="133" t="n">
        <v>4</v>
      </c>
      <c r="AI41" s="140">
        <f>AH41*100/$E$41</f>
        <v/>
      </c>
      <c r="AJ41" s="133" t="n">
        <v>6</v>
      </c>
      <c r="AK41" s="140">
        <f>AJ41*100/$E$41</f>
        <v/>
      </c>
      <c r="AL41" s="133" t="n">
        <v>6</v>
      </c>
      <c r="AM41" s="140">
        <f>AL41*100/$E$41</f>
        <v/>
      </c>
      <c r="AN41" s="133" t="n"/>
      <c r="AO41" s="140">
        <f>AN41*100/$E$41</f>
        <v/>
      </c>
      <c r="AP41" s="133" t="n"/>
      <c r="AQ41" s="140">
        <f>AP41*100/$E$41</f>
        <v/>
      </c>
      <c r="AR41" s="133" t="n"/>
      <c r="AS41" s="140">
        <f>AR41*100/$E$41</f>
        <v/>
      </c>
      <c r="AT41" s="133" t="n"/>
      <c r="AU41" s="181">
        <f>AT41*100/$E$41</f>
        <v/>
      </c>
      <c r="AV41" s="133" t="n">
        <v>3</v>
      </c>
      <c r="AW41" s="140">
        <f>AV41*100/$E$41</f>
        <v/>
      </c>
      <c r="AX41" s="133" t="n"/>
      <c r="AY41" s="140">
        <f>AX41*100/$E$41</f>
        <v/>
      </c>
      <c r="AZ41" s="133" t="n"/>
      <c r="BA41" s="140">
        <f>AZ41*100/$E$41</f>
        <v/>
      </c>
      <c r="BB41" s="133" t="n"/>
      <c r="BC41" s="140">
        <f>BB41*100/$E$41</f>
        <v/>
      </c>
      <c r="BD41" s="133" t="n"/>
      <c r="BE41" s="140">
        <f>BD41*100/$E$41</f>
        <v/>
      </c>
      <c r="BF41" s="133" t="n"/>
      <c r="BG41" s="140">
        <f>BF41*100/$E$41</f>
        <v/>
      </c>
      <c r="BH41" s="133" t="n"/>
      <c r="BI41" s="140">
        <f>BH41*100/$E$41</f>
        <v/>
      </c>
      <c r="BJ41" s="133">
        <f>4+2</f>
        <v/>
      </c>
      <c r="BK41" s="140">
        <f>BJ41*100/$E$41</f>
        <v/>
      </c>
      <c r="BL41" s="133" t="n"/>
      <c r="BM41" s="140">
        <f>BL41*100/$E$41</f>
        <v/>
      </c>
      <c r="BN41" s="133" t="n"/>
      <c r="BO41" s="140">
        <f>BN41*100/$E$41</f>
        <v/>
      </c>
      <c r="BP41" s="133" t="n"/>
      <c r="BQ41" s="140">
        <f>BP41*100/$E$41</f>
        <v/>
      </c>
      <c r="BR41" s="133" t="n"/>
      <c r="BS41" s="140">
        <f>BR41*100/$E$41</f>
        <v/>
      </c>
      <c r="BT41" s="133" t="n"/>
      <c r="BU41" s="140">
        <f>BT41*100/$E$41</f>
        <v/>
      </c>
      <c r="BV41" s="133">
        <f>8+6+4</f>
        <v/>
      </c>
      <c r="BW41" s="140">
        <f>BV41*100/$E$41</f>
        <v/>
      </c>
      <c r="BX41" s="133" t="n"/>
      <c r="BY41" s="140">
        <f>BX41*100/$E$41</f>
        <v/>
      </c>
      <c r="BZ41" s="133" t="n"/>
      <c r="CA41" s="140">
        <f>BZ41*100/$E$41</f>
        <v/>
      </c>
      <c r="CB41" s="133" t="n">
        <v>4</v>
      </c>
      <c r="CC41" s="140">
        <f>CB41*100/$E$41</f>
        <v/>
      </c>
      <c r="CD41" s="133" t="n"/>
      <c r="CE41" s="140">
        <f>CD41*100/$E$41</f>
        <v/>
      </c>
      <c r="CF41" s="133" t="n"/>
      <c r="CG41" s="140">
        <f>CF41*100/$E$41</f>
        <v/>
      </c>
      <c r="CH41" s="133">
        <f>12+12+8+6+4+3</f>
        <v/>
      </c>
      <c r="CI41" s="140">
        <f>CH41*100/$E$41</f>
        <v/>
      </c>
      <c r="CJ41" s="133" t="n"/>
      <c r="CK41" s="140">
        <f>CJ41*100/$E$41</f>
        <v/>
      </c>
      <c r="CL41" s="133" t="n"/>
      <c r="CM41" s="140">
        <f>CL41*100/$E$41</f>
        <v/>
      </c>
      <c r="CN41" s="133" t="n"/>
      <c r="CO41" s="139">
        <f>CN41*100/$E$41</f>
        <v/>
      </c>
      <c r="CP41" s="133" t="n"/>
      <c r="CQ41" s="140">
        <f>CP41*100/$E$41</f>
        <v/>
      </c>
      <c r="CR41" s="133">
        <f>9+9+1.5+8+12</f>
        <v/>
      </c>
      <c r="CS41" s="139">
        <f>CR41*100/$E$41</f>
        <v/>
      </c>
      <c r="CT41" s="133" t="n"/>
      <c r="CU41" s="139">
        <f>CT41*100/$E$41</f>
        <v/>
      </c>
      <c r="CV41" s="133" t="n"/>
      <c r="CW41" s="139">
        <f>CV41*100/$E$41</f>
        <v/>
      </c>
      <c r="CX41" s="133" t="n"/>
      <c r="CY41" s="139">
        <f>CX41*100/$E$41</f>
        <v/>
      </c>
      <c r="CZ41" s="133" t="n"/>
      <c r="DA41" s="139">
        <f>CZ41*100/$E$41</f>
        <v/>
      </c>
      <c r="DB41" s="133" t="n"/>
      <c r="DC41" s="139">
        <f>DB41*100/$E$41</f>
        <v/>
      </c>
      <c r="DD41" s="133" t="n"/>
      <c r="DE41" s="139">
        <f>DD41*100/$E$41</f>
        <v/>
      </c>
      <c r="DF41" s="133" t="n"/>
      <c r="DG41" s="139">
        <f>DF41*100/$E$41</f>
        <v/>
      </c>
      <c r="DH41" s="133" t="n"/>
      <c r="DI41" s="139">
        <f>DH41*100/$E$41</f>
        <v/>
      </c>
      <c r="DJ41" s="133" t="n"/>
      <c r="DK41" s="139">
        <f>DJ41*100/$E$41</f>
        <v/>
      </c>
      <c r="DL41" s="133" t="n"/>
      <c r="DM41" s="139">
        <f>DL41*100/$E$41</f>
        <v/>
      </c>
      <c r="DN41" s="133" t="n"/>
      <c r="DO41" s="139">
        <f>DN41*100/$E$41</f>
        <v/>
      </c>
      <c r="DP41" s="133" t="n"/>
      <c r="DQ41" s="139">
        <f>DP41*100/$E$41</f>
        <v/>
      </c>
      <c r="DR41" s="133" t="n"/>
      <c r="DS41" s="139">
        <f>DR41*100/$E$41</f>
        <v/>
      </c>
      <c r="DT41" s="133" t="n"/>
      <c r="DU41" s="139">
        <f>DT41*100/$E$41</f>
        <v/>
      </c>
      <c r="DV41" s="133" t="n"/>
      <c r="DW41" s="139">
        <f>DV41*100/$E$41</f>
        <v/>
      </c>
      <c r="DX41" s="133" t="n"/>
      <c r="DY41" s="139">
        <f>DX41*100/$E$41</f>
        <v/>
      </c>
      <c r="DZ41" s="133" t="n"/>
      <c r="EA41" s="139">
        <f>DZ41*100/$E$41</f>
        <v/>
      </c>
      <c r="EB41" s="133" t="n"/>
      <c r="EC41" s="139">
        <f>EB41*100/$E$41</f>
        <v/>
      </c>
      <c r="ED41" s="133" t="n"/>
      <c r="EE41" s="139">
        <f>ED41*100/$E$41</f>
        <v/>
      </c>
      <c r="EF41" s="133" t="n"/>
      <c r="EG41" s="139">
        <f>EF41*100/$E$41</f>
        <v/>
      </c>
      <c r="EH41" s="133" t="n"/>
      <c r="EI41" s="139">
        <f>EH41*100/$E$41</f>
        <v/>
      </c>
      <c r="EJ41" s="133" t="n"/>
      <c r="EK41" s="139">
        <f>EJ41*100/$E$41</f>
        <v/>
      </c>
      <c r="EL41" s="133" t="n"/>
      <c r="EM41" s="139">
        <f>EL41*100/$E$41</f>
        <v/>
      </c>
      <c r="EN41" s="133">
        <f>1.5+4+4</f>
        <v/>
      </c>
      <c r="EO41" s="139">
        <f>EN41*100/$E$41</f>
        <v/>
      </c>
      <c r="EP41" s="133" t="n"/>
      <c r="EQ41" s="139">
        <f>EP41*100/$E$41</f>
        <v/>
      </c>
      <c r="ER41" s="133" t="n">
        <v>6</v>
      </c>
      <c r="ES41" s="139">
        <f>ER41*100/$E$41</f>
        <v/>
      </c>
      <c r="ET41" s="133" t="n"/>
      <c r="EU41" s="139">
        <f>ET41*100/$E$41</f>
        <v/>
      </c>
      <c r="EV41" s="133" t="n"/>
      <c r="EW41" s="139">
        <f>EV41*100/$E$41</f>
        <v/>
      </c>
      <c r="EX41" s="133" t="n"/>
      <c r="EY41" s="139">
        <f>EX41*100/$E$41</f>
        <v/>
      </c>
      <c r="EZ41" s="133" t="n"/>
      <c r="FA41" s="139">
        <f>EZ41*100/$E$41</f>
        <v/>
      </c>
      <c r="FB41" s="133" t="n"/>
      <c r="FC41" s="139">
        <f>FB41*100/$E$41</f>
        <v/>
      </c>
      <c r="FD41" s="133" t="n"/>
      <c r="FE41" s="139">
        <f>FD41*100/$E$41</f>
        <v/>
      </c>
      <c r="FF41" s="133" t="n"/>
      <c r="FG41" s="139">
        <f>FF41*100/$E$41</f>
        <v/>
      </c>
      <c r="FH41" s="133">
        <f>2+6</f>
        <v/>
      </c>
      <c r="FI41" s="139">
        <f>FH41*100/$E$41</f>
        <v/>
      </c>
      <c r="FJ41" s="133" t="n">
        <v>6</v>
      </c>
      <c r="FK41" s="139">
        <f>FJ41*100/$E$41</f>
        <v/>
      </c>
      <c r="FL41" s="133" t="n"/>
      <c r="FM41" s="139">
        <f>FL41*100/$E$41</f>
        <v/>
      </c>
      <c r="FN41" s="133" t="n"/>
      <c r="FO41" s="139">
        <f>FN41*100/$E$41</f>
        <v/>
      </c>
      <c r="FP41" s="133" t="n">
        <v>3</v>
      </c>
      <c r="FQ41" s="139">
        <f>FP41*100/$E$41</f>
        <v/>
      </c>
      <c r="FR41" s="133" t="n"/>
      <c r="FS41" s="139">
        <f>FR41*100/$E$41</f>
        <v/>
      </c>
      <c r="FT41" s="133" t="n"/>
      <c r="FU41" s="139">
        <f>FT41*100/$E$41</f>
        <v/>
      </c>
      <c r="FV41" s="133" t="n"/>
      <c r="FW41" s="139">
        <f>FV41*100/$E$41</f>
        <v/>
      </c>
      <c r="FX41" s="133" t="n"/>
      <c r="FY41" s="140">
        <f>FX41*100/$E$41</f>
        <v/>
      </c>
      <c r="FZ41" s="133" t="n"/>
      <c r="GA41" s="140">
        <f>FZ41*100/$E$41</f>
        <v/>
      </c>
      <c r="GB41" s="133" t="n"/>
      <c r="GC41" s="140">
        <f>GB41*100/$E$41</f>
        <v/>
      </c>
      <c r="GD41" s="133" t="n"/>
      <c r="GE41" s="140">
        <f>GD41*100/$E$41</f>
        <v/>
      </c>
      <c r="GF41" s="133" t="n"/>
      <c r="GG41" s="140">
        <f>GF41*100/$E$41</f>
        <v/>
      </c>
      <c r="GH41" s="133" t="n"/>
      <c r="GI41" s="140">
        <f>GH41*100/$E$41</f>
        <v/>
      </c>
      <c r="GJ41" s="133" t="n"/>
      <c r="GK41" s="139">
        <f>GJ41*100/$E$41</f>
        <v/>
      </c>
      <c r="GL41" s="133" t="n"/>
      <c r="GM41" s="140">
        <f>GL41*100/$E$41</f>
        <v/>
      </c>
      <c r="GN41" s="133" t="n"/>
      <c r="GO41" s="139">
        <f>GN41*100/$E$41</f>
        <v/>
      </c>
      <c r="GP41" s="133" t="n"/>
      <c r="GQ41" s="140">
        <f>GP41*100/$E$41</f>
        <v/>
      </c>
      <c r="GR41" s="133" t="n"/>
      <c r="GS41" s="139">
        <f>GR41*100/$E$41</f>
        <v/>
      </c>
      <c r="GT41" s="133" t="n"/>
      <c r="GU41" s="139">
        <f>GT41*100/$E$41</f>
        <v/>
      </c>
      <c r="GV41" s="133" t="n"/>
      <c r="GW41" s="139">
        <f>GV41*100/$E$41</f>
        <v/>
      </c>
      <c r="GX41" s="133" t="n"/>
      <c r="GY41" s="140">
        <f>GX41*100/$E$41</f>
        <v/>
      </c>
      <c r="GZ41" s="133" t="n"/>
      <c r="HA41" s="140">
        <f>GZ41*100/$E$41</f>
        <v/>
      </c>
      <c r="HB41" s="133">
        <f>4+3</f>
        <v/>
      </c>
      <c r="HC41" s="140">
        <f>HB41*100/$E$41</f>
        <v/>
      </c>
      <c r="HD41" s="133" t="n"/>
      <c r="HE41" s="140">
        <f>HD41*100/$E$41</f>
        <v/>
      </c>
      <c r="HF41" s="133" t="n"/>
      <c r="HG41" s="140">
        <f>HF41*100/$E$41</f>
        <v/>
      </c>
      <c r="HH41" s="133" t="n"/>
      <c r="HI41" s="140">
        <f>HH41*100/$E$41</f>
        <v/>
      </c>
      <c r="HJ41" s="133" t="n"/>
      <c r="HK41" s="140">
        <f>HJ41*100/$E$41</f>
        <v/>
      </c>
      <c r="HL41" s="133" t="n"/>
      <c r="HM41" s="140">
        <f>HL41*100/$E$41</f>
        <v/>
      </c>
      <c r="HN41" s="133" t="n"/>
      <c r="HO41" s="140">
        <f>HN41*100/$E$41</f>
        <v/>
      </c>
      <c r="HP41" s="133" t="n"/>
      <c r="HQ41" s="140">
        <f>HP41*100/$E$41</f>
        <v/>
      </c>
      <c r="HR41" s="133" t="n"/>
      <c r="HS41" s="140">
        <f>HR41*100/$E$41</f>
        <v/>
      </c>
      <c r="HT41" s="133" t="n">
        <v>6</v>
      </c>
      <c r="HU41" s="140">
        <f>HT41*100/$E$41</f>
        <v/>
      </c>
      <c r="HV41" s="133" t="n"/>
      <c r="HW41" s="140">
        <f>HV41*100/$E$41</f>
        <v/>
      </c>
      <c r="HX41" s="133" t="n"/>
      <c r="HY41" s="140">
        <f>HX41*100/$E$41</f>
        <v/>
      </c>
      <c r="HZ41" s="133" t="n"/>
      <c r="IA41" s="139">
        <f>HZ41*100/$E$41</f>
        <v/>
      </c>
      <c r="IB41" s="133" t="n"/>
      <c r="IC41" s="139">
        <f>IB41*100/$E$41</f>
        <v/>
      </c>
      <c r="ID41" s="133" t="n"/>
      <c r="IE41" s="139">
        <f>ID41*100/$E$41</f>
        <v/>
      </c>
      <c r="IF41" s="133" t="n"/>
      <c r="IG41" s="139">
        <f>IF41*100/$E$41</f>
        <v/>
      </c>
      <c r="IH41" s="133" t="n"/>
      <c r="II41" s="139">
        <f>IH41*100/$E$41</f>
        <v/>
      </c>
      <c r="IJ41" s="133" t="n"/>
      <c r="IK41" s="139">
        <f>IJ41*100/$E$41</f>
        <v/>
      </c>
      <c r="IL41" s="133" t="n"/>
      <c r="IM41" s="140">
        <f>IL41*100/$E$41</f>
        <v/>
      </c>
      <c r="IN41" s="133" t="n"/>
      <c r="IO41" s="140">
        <f>IN41*100/$E$41</f>
        <v/>
      </c>
      <c r="IP41" s="133" t="n"/>
      <c r="IQ41" s="139">
        <f>IP41*100/$E$41</f>
        <v/>
      </c>
      <c r="IR41" s="133" t="n"/>
      <c r="IS41" s="139">
        <f>IR41*100/$E$41</f>
        <v/>
      </c>
      <c r="IT41" s="133" t="n"/>
      <c r="IU41" s="139">
        <f>IT41*100/$E$41</f>
        <v/>
      </c>
      <c r="IV41" s="133" t="n"/>
      <c r="IW41" s="139">
        <f>IV41*100/$E$41</f>
        <v/>
      </c>
      <c r="IX41" s="133" t="n"/>
      <c r="IY41" s="139">
        <f>IX41*100/$E$41</f>
        <v/>
      </c>
      <c r="IZ41" s="133" t="n"/>
      <c r="JA41" s="139">
        <f>IZ41*100/$E$41</f>
        <v/>
      </c>
      <c r="JB41" s="133" t="n"/>
      <c r="JC41" s="139">
        <f>JB41*100/$E$41</f>
        <v/>
      </c>
      <c r="JD41" s="133" t="n"/>
      <c r="JE41" s="139">
        <f>JD41*100/$E$41</f>
        <v/>
      </c>
      <c r="JF41" s="133" t="n"/>
      <c r="JG41" s="139">
        <f>JF41*100/$E$41</f>
        <v/>
      </c>
      <c r="JH41" s="133" t="n"/>
      <c r="JI41" s="139">
        <f>JH41*100/$E$41</f>
        <v/>
      </c>
      <c r="JJ41" s="133" t="n"/>
      <c r="JK41" s="139">
        <f>JJ41*100/$E$41</f>
        <v/>
      </c>
      <c r="JL41" s="133">
        <f>9+6</f>
        <v/>
      </c>
      <c r="JM41" s="139">
        <f>JL41*100/$E$41</f>
        <v/>
      </c>
      <c r="JN41" s="133" t="n"/>
      <c r="JO41" s="139">
        <f>JN41*100/$E$41</f>
        <v/>
      </c>
      <c r="JP41" s="133" t="n"/>
      <c r="JQ41" s="139">
        <f>JP41*100/$E$41</f>
        <v/>
      </c>
      <c r="JR41" s="133" t="n"/>
      <c r="JS41" s="182">
        <f>JR41*100/$E$41</f>
        <v/>
      </c>
      <c r="JT41" s="133" t="n"/>
      <c r="JU41" s="182">
        <f>JT41*100/$E$41</f>
        <v/>
      </c>
      <c r="JV41" s="133" t="n"/>
      <c r="JW41" s="182">
        <f>JV41*100/$E$41</f>
        <v/>
      </c>
      <c r="JX41" s="133" t="n"/>
      <c r="JY41" s="182">
        <f>JX41*100/$E$41</f>
        <v/>
      </c>
      <c r="JZ41" s="183">
        <f>JN41+JP41+JR41+JT41+JV41+JX41</f>
        <v/>
      </c>
      <c r="KA41" s="184">
        <f>JO41+JQ41+JS41+JU41+JW41+JY41</f>
        <v/>
      </c>
      <c r="KB41" s="185">
        <f>H41+J41+L41+N41+P41+R41+T41+V41+X41+Z41+AB41+AD41+AF41+AH41+AJ41+AL41+AN41+AP41+AR41+AT41+AV41+AX41+AZ41+BB41+BD41+BF41+BH41+BJ41+BL41+BN41+BP41+BR41+BT41+BV41+BX41+BZ41+CB41+CD41+CF41+CH41+CZ41+DB41+DD41+DF41+DH41+DJ41+DL41+DN41+DP41+DR41+DT41+DV41+DX41+DZ41+EB41+ED41+EF41+EH41+EJ41+EL41+EN41+EP41+ER41+ET41+EV41+FN41+FP41+FR41+FT41+FV41+FX41+FZ41+GB41+GD41+GF41+GH41+GJ41+GL41+GN41+GP41+GR41+GT41+GV41+GX41+GZ41+HB41+HD41+HF41+HH41+HJ41+HL41+HN41+HP41+HR41+HT41+HV41+HX41+HZ41+IB41+ID41+IF41+IH41+IJ41+IL41+IN41+IP41+IR41+IT41+IV41+IX41+IZ41+JB41+JD41+JF41+JH41+JJ41+JL41+JZ41+CJ41+CL41+CN41+CP41+CR41+CT41+CV41+CX41+EX41+EZ41+FB41+FD41+FF41+FH41+FJ41+FL41</f>
        <v/>
      </c>
      <c r="KC41" s="186">
        <f>I41+K41+M41+O41+Q41+S41+U41+W41+Y41+AA41+AC41+AE41+AG41+AI41+AK41+AM41+AO41+AQ41+AS41+AU41+AW41+AY41+BA41+BC41+BE41+BG41+BI41+BK41+BM41+BO41+BQ41+BS41+BU41+BW41+BY41+CA41+CC41+CE41+CG41+CI41+DA41+DC41+DE41+DG41+DI41+DK41+DM41+DO41+DQ41+DS41+DU41+DW41+DY41+EA41+EC41+EE41+EG41+EI41+EK41+EM41+EO41+EQ41+ES41+EU41+EW41+FO41+FS41+FU41+FW41+FQ41+FY41+GA41+GC41+GE41+GG41+GI41+GK41+GM41+GO41+GQ41+GS41+GU41+GW41+GY41+HA41+HC41+HE41+HG41+HI41+HK41+HM41+HO41+HQ41+HS41+HU41+HW41+HY41+IA41+IC41+IE41+IG41+II41+IK41+IM41+IO41+IQ41+IS41+IU41+IW41+IY41+JA41+JC41+JE41+JG41+JI41+JK41+JM41+KA41+CK41+CM41+CO41+CQ41+CS41+CU41+CW41+CY41+EY41+FA41+FC41+FE41+FG41+FI41+FK41+FM41</f>
        <v/>
      </c>
      <c r="KD41" s="187">
        <f>JO41+JQ41+JS41+JU41+JW41+JY41</f>
        <v/>
      </c>
      <c r="KE41" s="188">
        <f>KB41=E41</f>
        <v/>
      </c>
      <c r="KF41" s="189">
        <f>E41-KB41</f>
        <v/>
      </c>
      <c r="KG41" s="195" t="n"/>
    </row>
    <row r="42" ht="21.75" customFormat="1" customHeight="1" s="216">
      <c r="A42" s="126">
        <f>A41+1</f>
        <v/>
      </c>
      <c r="B42" s="175" t="inlineStr">
        <is>
          <t>Сорокин Е</t>
        </is>
      </c>
      <c r="C42" s="176" t="inlineStr">
        <is>
          <t>сварщик</t>
        </is>
      </c>
      <c r="D42" s="177">
        <f>$D$5</f>
        <v/>
      </c>
      <c r="E42" s="202" t="n">
        <v>167</v>
      </c>
      <c r="F42" s="193" t="n">
        <v>92564.64999999999</v>
      </c>
      <c r="G42" s="179">
        <f>F42/D42</f>
        <v/>
      </c>
      <c r="H42" s="180" t="n"/>
      <c r="I42" s="140">
        <f>H42*100/$E$42</f>
        <v/>
      </c>
      <c r="J42" s="133" t="n"/>
      <c r="K42" s="140">
        <f>J42*100/$E$42</f>
        <v/>
      </c>
      <c r="L42" s="133" t="n"/>
      <c r="M42" s="140">
        <f>L42*100/$E$42</f>
        <v/>
      </c>
      <c r="N42" s="133" t="n"/>
      <c r="O42" s="140">
        <f>N42*100/$E$42</f>
        <v/>
      </c>
      <c r="P42" s="133" t="n"/>
      <c r="Q42" s="139">
        <f>P42*100/$E$42</f>
        <v/>
      </c>
      <c r="R42" s="133" t="n"/>
      <c r="S42" s="139">
        <f>R42*100/$E$42</f>
        <v/>
      </c>
      <c r="T42" s="133" t="n"/>
      <c r="U42" s="140">
        <f>T42*100/$E$42</f>
        <v/>
      </c>
      <c r="V42" s="133" t="n"/>
      <c r="W42" s="140">
        <f>V42*100/$E$42</f>
        <v/>
      </c>
      <c r="X42" s="133" t="n"/>
      <c r="Y42" s="140">
        <f>X42*100/$E$42</f>
        <v/>
      </c>
      <c r="Z42" s="133" t="n"/>
      <c r="AA42" s="140">
        <f>Z42*100/$E$42</f>
        <v/>
      </c>
      <c r="AB42" s="133" t="n"/>
      <c r="AC42" s="140">
        <f>AB42*100/$E$42</f>
        <v/>
      </c>
      <c r="AD42" s="133" t="n"/>
      <c r="AE42" s="139">
        <f>AD42*100/$E$42</f>
        <v/>
      </c>
      <c r="AF42" s="133" t="n"/>
      <c r="AG42" s="139">
        <f>AF42*100/$E$42</f>
        <v/>
      </c>
      <c r="AH42" s="133" t="n"/>
      <c r="AI42" s="140">
        <f>AH42*100/$E$42</f>
        <v/>
      </c>
      <c r="AJ42" s="133" t="n"/>
      <c r="AK42" s="140">
        <f>AJ42*100/$E$42</f>
        <v/>
      </c>
      <c r="AL42" s="133" t="n"/>
      <c r="AM42" s="140">
        <f>AL42*100/$E$42</f>
        <v/>
      </c>
      <c r="AN42" s="133">
        <f>3+3+4</f>
        <v/>
      </c>
      <c r="AO42" s="140">
        <f>AN42*100/$E$42</f>
        <v/>
      </c>
      <c r="AP42" s="133" t="n"/>
      <c r="AQ42" s="140">
        <f>AP42*100/$E$42</f>
        <v/>
      </c>
      <c r="AR42" s="133">
        <f>3+8+2</f>
        <v/>
      </c>
      <c r="AS42" s="140">
        <f>AR42*100/$E$42</f>
        <v/>
      </c>
      <c r="AT42" s="133">
        <f>2+3+16</f>
        <v/>
      </c>
      <c r="AU42" s="181">
        <f>AT42*100/$E$42</f>
        <v/>
      </c>
      <c r="AV42" s="133" t="n"/>
      <c r="AW42" s="140">
        <f>AV42*100/$E$42</f>
        <v/>
      </c>
      <c r="AX42" s="133" t="n"/>
      <c r="AY42" s="140">
        <f>AX42*100/$E$42</f>
        <v/>
      </c>
      <c r="AZ42" s="133" t="n"/>
      <c r="BA42" s="140">
        <f>AZ42*100/$E$42</f>
        <v/>
      </c>
      <c r="BB42" s="133" t="n">
        <v>16.5</v>
      </c>
      <c r="BC42" s="140">
        <f>BB42*100/$E$42</f>
        <v/>
      </c>
      <c r="BD42" s="133" t="n"/>
      <c r="BE42" s="140">
        <f>BD42*100/$E$42</f>
        <v/>
      </c>
      <c r="BF42" s="133" t="n"/>
      <c r="BG42" s="140">
        <f>BF42*100/$E$42</f>
        <v/>
      </c>
      <c r="BH42" s="133" t="n"/>
      <c r="BI42" s="140">
        <f>BH42*100/$E$42</f>
        <v/>
      </c>
      <c r="BJ42" s="133" t="n"/>
      <c r="BK42" s="140">
        <f>BJ42*100/$E$42</f>
        <v/>
      </c>
      <c r="BL42" s="133" t="n"/>
      <c r="BM42" s="140">
        <f>BL42*100/$E$42</f>
        <v/>
      </c>
      <c r="BN42" s="133" t="n"/>
      <c r="BO42" s="140">
        <f>BN42*100/$E$42</f>
        <v/>
      </c>
      <c r="BP42" s="133" t="n"/>
      <c r="BQ42" s="140">
        <f>BP42*100/$E$42</f>
        <v/>
      </c>
      <c r="BR42" s="133" t="n">
        <v>16</v>
      </c>
      <c r="BS42" s="140">
        <f>BR42*100/$E$42</f>
        <v/>
      </c>
      <c r="BT42" s="133" t="n"/>
      <c r="BU42" s="140">
        <f>BT42*100/$E$42</f>
        <v/>
      </c>
      <c r="BV42" s="133" t="n"/>
      <c r="BW42" s="140">
        <f>BV42*100/$E$42</f>
        <v/>
      </c>
      <c r="BX42" s="133" t="n"/>
      <c r="BY42" s="140">
        <f>BX42*100/$E$42</f>
        <v/>
      </c>
      <c r="BZ42" s="133" t="n"/>
      <c r="CA42" s="140">
        <f>BZ42*100/$E$42</f>
        <v/>
      </c>
      <c r="CB42" s="133" t="n"/>
      <c r="CC42" s="140">
        <f>CB42*100/$E$42</f>
        <v/>
      </c>
      <c r="CD42" s="133">
        <f>6+2+8+8+16+16</f>
        <v/>
      </c>
      <c r="CE42" s="140">
        <f>CD42*100/$E$42</f>
        <v/>
      </c>
      <c r="CF42" s="133" t="n"/>
      <c r="CG42" s="140">
        <f>CF42*100/$E$42</f>
        <v/>
      </c>
      <c r="CH42" s="133" t="n"/>
      <c r="CI42" s="140">
        <f>CH42*100/$E$42</f>
        <v/>
      </c>
      <c r="CJ42" s="133" t="n"/>
      <c r="CK42" s="140">
        <f>CJ42*100/$E$42</f>
        <v/>
      </c>
      <c r="CL42" s="133" t="n"/>
      <c r="CM42" s="140">
        <f>CL42*100/$E$42</f>
        <v/>
      </c>
      <c r="CN42" s="133" t="n"/>
      <c r="CO42" s="139">
        <f>CN42*100/$E$42</f>
        <v/>
      </c>
      <c r="CP42" s="133" t="n"/>
      <c r="CQ42" s="140">
        <f>CP42*100/$E$42</f>
        <v/>
      </c>
      <c r="CR42" s="133" t="n"/>
      <c r="CS42" s="139">
        <f>CR42*100/$E$42</f>
        <v/>
      </c>
      <c r="CT42" s="133" t="n">
        <v>16</v>
      </c>
      <c r="CU42" s="139">
        <f>CT42*100/$E$42</f>
        <v/>
      </c>
      <c r="CV42" s="133" t="n"/>
      <c r="CW42" s="139">
        <f>CV42*100/$E$42</f>
        <v/>
      </c>
      <c r="CX42" s="133" t="n">
        <v>4</v>
      </c>
      <c r="CY42" s="139">
        <f>CX42*100/$E$42</f>
        <v/>
      </c>
      <c r="CZ42" s="133" t="n">
        <v>4</v>
      </c>
      <c r="DA42" s="139">
        <f>CZ42*100/$E$42</f>
        <v/>
      </c>
      <c r="DB42" s="133" t="n"/>
      <c r="DC42" s="139">
        <f>DB42*100/$E$42</f>
        <v/>
      </c>
      <c r="DD42" s="133" t="n"/>
      <c r="DE42" s="139">
        <f>DD42*100/$E$42</f>
        <v/>
      </c>
      <c r="DF42" s="133" t="n"/>
      <c r="DG42" s="139">
        <f>DF42*100/$E$42</f>
        <v/>
      </c>
      <c r="DH42" s="133" t="n"/>
      <c r="DI42" s="139">
        <f>DH42*100/$E$42</f>
        <v/>
      </c>
      <c r="DJ42" s="133" t="n"/>
      <c r="DK42" s="139">
        <f>DJ42*100/$E$42</f>
        <v/>
      </c>
      <c r="DL42" s="133" t="n"/>
      <c r="DM42" s="139">
        <f>DL42*100/$E$42</f>
        <v/>
      </c>
      <c r="DN42" s="133" t="n"/>
      <c r="DO42" s="139">
        <f>DN42*100/$E$42</f>
        <v/>
      </c>
      <c r="DP42" s="133" t="n"/>
      <c r="DQ42" s="139">
        <f>DP42*100/$E$42</f>
        <v/>
      </c>
      <c r="DR42" s="133" t="n"/>
      <c r="DS42" s="139">
        <f>DR42*100/$E$42</f>
        <v/>
      </c>
      <c r="DT42" s="133" t="n"/>
      <c r="DU42" s="139">
        <f>DT42*100/$E$42</f>
        <v/>
      </c>
      <c r="DV42" s="133" t="n"/>
      <c r="DW42" s="139">
        <f>DV42*100/$E$42</f>
        <v/>
      </c>
      <c r="DX42" s="133" t="n"/>
      <c r="DY42" s="139">
        <f>DX42*100/$E$42</f>
        <v/>
      </c>
      <c r="DZ42" s="133" t="n"/>
      <c r="EA42" s="139">
        <f>DZ42*100/$E$42</f>
        <v/>
      </c>
      <c r="EB42" s="133" t="n"/>
      <c r="EC42" s="139">
        <f>EB42*100/$E$42</f>
        <v/>
      </c>
      <c r="ED42" s="133" t="n"/>
      <c r="EE42" s="139">
        <f>ED42*100/$E$42</f>
        <v/>
      </c>
      <c r="EF42" s="133" t="n"/>
      <c r="EG42" s="139">
        <f>EF42*100/$E$42</f>
        <v/>
      </c>
      <c r="EH42" s="133" t="n"/>
      <c r="EI42" s="139">
        <f>EH42*100/$E$42</f>
        <v/>
      </c>
      <c r="EJ42" s="133" t="n"/>
      <c r="EK42" s="139">
        <f>EJ42*100/$E$42</f>
        <v/>
      </c>
      <c r="EL42" s="133" t="n"/>
      <c r="EM42" s="139">
        <f>EL42*100/$E$42</f>
        <v/>
      </c>
      <c r="EN42" s="133" t="n"/>
      <c r="EO42" s="139">
        <f>EN42*100/$E$42</f>
        <v/>
      </c>
      <c r="EP42" s="133" t="n"/>
      <c r="EQ42" s="139">
        <f>EP42*100/$E$42</f>
        <v/>
      </c>
      <c r="ER42" s="133" t="n"/>
      <c r="ES42" s="139">
        <f>ER42*100/$E$42</f>
        <v/>
      </c>
      <c r="ET42" s="133" t="n"/>
      <c r="EU42" s="139">
        <f>ET42*100/$E$42</f>
        <v/>
      </c>
      <c r="EV42" s="133" t="n"/>
      <c r="EW42" s="139">
        <f>EV42*100/$E$42</f>
        <v/>
      </c>
      <c r="EX42" s="133" t="n"/>
      <c r="EY42" s="139">
        <f>EX42*100/$E$42</f>
        <v/>
      </c>
      <c r="EZ42" s="133" t="n"/>
      <c r="FA42" s="139">
        <f>EZ42*100/$E$42</f>
        <v/>
      </c>
      <c r="FB42" s="133" t="n"/>
      <c r="FC42" s="139">
        <f>FB42*100/$E$42</f>
        <v/>
      </c>
      <c r="FD42" s="133" t="n"/>
      <c r="FE42" s="139">
        <f>FD42*100/$E$42</f>
        <v/>
      </c>
      <c r="FF42" s="133" t="n"/>
      <c r="FG42" s="139">
        <f>FF42*100/$E$42</f>
        <v/>
      </c>
      <c r="FH42" s="133" t="n"/>
      <c r="FI42" s="139">
        <f>FH42*100/$E$42</f>
        <v/>
      </c>
      <c r="FJ42" s="133" t="n"/>
      <c r="FK42" s="139">
        <f>FJ42*100/$E$42</f>
        <v/>
      </c>
      <c r="FL42" s="133" t="n"/>
      <c r="FM42" s="139">
        <f>FL42*100/$E$42</f>
        <v/>
      </c>
      <c r="FN42" s="133" t="n"/>
      <c r="FO42" s="139">
        <f>FN42*100/$E$42</f>
        <v/>
      </c>
      <c r="FP42" s="133" t="n"/>
      <c r="FQ42" s="139">
        <f>FP42*100/$E$42</f>
        <v/>
      </c>
      <c r="FR42" s="133" t="n"/>
      <c r="FS42" s="139">
        <f>FR42*100/$E$42</f>
        <v/>
      </c>
      <c r="FT42" s="133" t="n"/>
      <c r="FU42" s="139">
        <f>FT42*100/$E$42</f>
        <v/>
      </c>
      <c r="FV42" s="133" t="n"/>
      <c r="FW42" s="139">
        <f>FV42*100/$E$42</f>
        <v/>
      </c>
      <c r="FX42" s="133" t="n"/>
      <c r="FY42" s="140">
        <f>FX42*100/$E$42</f>
        <v/>
      </c>
      <c r="FZ42" s="133" t="n"/>
      <c r="GA42" s="140">
        <f>FZ42*100/$E$42</f>
        <v/>
      </c>
      <c r="GB42" s="133" t="n"/>
      <c r="GC42" s="140">
        <f>GB42*100/$E$42</f>
        <v/>
      </c>
      <c r="GD42" s="133" t="n"/>
      <c r="GE42" s="140">
        <f>GD42*100/$E$42</f>
        <v/>
      </c>
      <c r="GF42" s="133" t="n"/>
      <c r="GG42" s="140">
        <f>GF42*100/$E$42</f>
        <v/>
      </c>
      <c r="GH42" s="133" t="n"/>
      <c r="GI42" s="140">
        <f>GH42*100/$E$42</f>
        <v/>
      </c>
      <c r="GJ42" s="133" t="n"/>
      <c r="GK42" s="139">
        <f>GJ42*100/$E$42</f>
        <v/>
      </c>
      <c r="GL42" s="133" t="n"/>
      <c r="GM42" s="140">
        <f>GL42*100/$E$42</f>
        <v/>
      </c>
      <c r="GN42" s="133" t="n"/>
      <c r="GO42" s="139">
        <f>GN42*100/$E$42</f>
        <v/>
      </c>
      <c r="GP42" s="133" t="n"/>
      <c r="GQ42" s="140">
        <f>GP42*100/$E$42</f>
        <v/>
      </c>
      <c r="GR42" s="133" t="n"/>
      <c r="GS42" s="139">
        <f>GR42*100/$E$42</f>
        <v/>
      </c>
      <c r="GT42" s="133" t="n"/>
      <c r="GU42" s="139">
        <f>GT42*100/$E$42</f>
        <v/>
      </c>
      <c r="GV42" s="133" t="n"/>
      <c r="GW42" s="139">
        <f>GV42*100/$E$42</f>
        <v/>
      </c>
      <c r="GX42" s="133" t="n"/>
      <c r="GY42" s="140">
        <f>GX42*100/$E$42</f>
        <v/>
      </c>
      <c r="GZ42" s="133" t="n"/>
      <c r="HA42" s="140">
        <f>GZ42*100/$E$42</f>
        <v/>
      </c>
      <c r="HB42" s="133" t="n"/>
      <c r="HC42" s="140">
        <f>HB42*100/$E$42</f>
        <v/>
      </c>
      <c r="HD42" s="133" t="n"/>
      <c r="HE42" s="140">
        <f>HD42*100/$E$42</f>
        <v/>
      </c>
      <c r="HF42" s="133" t="n"/>
      <c r="HG42" s="140">
        <f>HF42*100/$E$42</f>
        <v/>
      </c>
      <c r="HH42" s="133" t="n"/>
      <c r="HI42" s="140">
        <f>HH42*100/$E$42</f>
        <v/>
      </c>
      <c r="HJ42" s="133" t="n"/>
      <c r="HK42" s="140">
        <f>HJ42*100/$E$42</f>
        <v/>
      </c>
      <c r="HL42" s="133" t="n"/>
      <c r="HM42" s="140">
        <f>HL42*100/$E$42</f>
        <v/>
      </c>
      <c r="HN42" s="133" t="n"/>
      <c r="HO42" s="140">
        <f>HN42*100/$E$42</f>
        <v/>
      </c>
      <c r="HP42" s="133" t="n"/>
      <c r="HQ42" s="140">
        <f>HP42*100/$E$42</f>
        <v/>
      </c>
      <c r="HR42" s="133" t="n"/>
      <c r="HS42" s="140">
        <f>HR42*100/$E$42</f>
        <v/>
      </c>
      <c r="HT42" s="133" t="n"/>
      <c r="HU42" s="140">
        <f>HT42*100/$E$42</f>
        <v/>
      </c>
      <c r="HV42" s="133" t="n"/>
      <c r="HW42" s="140">
        <f>HV42*100/$E$42</f>
        <v/>
      </c>
      <c r="HX42" s="133" t="n"/>
      <c r="HY42" s="140">
        <f>HX42*100/$E$42</f>
        <v/>
      </c>
      <c r="HZ42" s="133" t="n"/>
      <c r="IA42" s="139">
        <f>HZ42*100/$E$42</f>
        <v/>
      </c>
      <c r="IB42" s="133" t="n"/>
      <c r="IC42" s="139">
        <f>IB42*100/$E$42</f>
        <v/>
      </c>
      <c r="ID42" s="133" t="n"/>
      <c r="IE42" s="139">
        <f>ID42*100/$E$42</f>
        <v/>
      </c>
      <c r="IF42" s="133" t="n"/>
      <c r="IG42" s="139">
        <f>IF42*100/$E$42</f>
        <v/>
      </c>
      <c r="IH42" s="133" t="n"/>
      <c r="II42" s="139">
        <f>IH42*100/$E$42</f>
        <v/>
      </c>
      <c r="IJ42" s="133" t="n"/>
      <c r="IK42" s="139">
        <f>IJ42*100/$E$42</f>
        <v/>
      </c>
      <c r="IL42" s="133" t="n"/>
      <c r="IM42" s="140">
        <f>IL42*100/$E$42</f>
        <v/>
      </c>
      <c r="IN42" s="133" t="n"/>
      <c r="IO42" s="140">
        <f>IN42*100/$E$42</f>
        <v/>
      </c>
      <c r="IP42" s="133" t="n"/>
      <c r="IQ42" s="139">
        <f>IP42*100/$E$42</f>
        <v/>
      </c>
      <c r="IR42" s="133" t="n"/>
      <c r="IS42" s="139">
        <f>IR42*100/$E$42</f>
        <v/>
      </c>
      <c r="IT42" s="133" t="n"/>
      <c r="IU42" s="139">
        <f>IT42*100/$E$42</f>
        <v/>
      </c>
      <c r="IV42" s="133" t="n"/>
      <c r="IW42" s="139">
        <f>IV42*100/$E$42</f>
        <v/>
      </c>
      <c r="IX42" s="133" t="n"/>
      <c r="IY42" s="139">
        <f>IX42*100/$E$42</f>
        <v/>
      </c>
      <c r="IZ42" s="133" t="n"/>
      <c r="JA42" s="139">
        <f>IZ42*100/$E$42</f>
        <v/>
      </c>
      <c r="JB42" s="133" t="n"/>
      <c r="JC42" s="139">
        <f>JB42*100/$E$42</f>
        <v/>
      </c>
      <c r="JD42" s="133" t="n"/>
      <c r="JE42" s="139">
        <f>JD42*100/$E$42</f>
        <v/>
      </c>
      <c r="JF42" s="133" t="n"/>
      <c r="JG42" s="139">
        <f>JF42*100/$E$42</f>
        <v/>
      </c>
      <c r="JH42" s="133" t="n"/>
      <c r="JI42" s="139">
        <f>JH42*100/$E$42</f>
        <v/>
      </c>
      <c r="JJ42" s="133" t="n"/>
      <c r="JK42" s="139">
        <f>JJ42*100/$E$42</f>
        <v/>
      </c>
      <c r="JL42" s="133">
        <f>5+3+2.5</f>
        <v/>
      </c>
      <c r="JM42" s="139">
        <f>JL42*100/$E$42</f>
        <v/>
      </c>
      <c r="JN42" s="133" t="n"/>
      <c r="JO42" s="139">
        <f>JN42*100/$E$42</f>
        <v/>
      </c>
      <c r="JP42" s="133" t="n"/>
      <c r="JQ42" s="139">
        <f>JP42*100/$E$42</f>
        <v/>
      </c>
      <c r="JR42" s="133" t="n"/>
      <c r="JS42" s="182">
        <f>JR42*100/$E$42</f>
        <v/>
      </c>
      <c r="JT42" s="133" t="n"/>
      <c r="JU42" s="182">
        <f>JT42*100/$E$42</f>
        <v/>
      </c>
      <c r="JV42" s="133" t="n"/>
      <c r="JW42" s="182">
        <f>JV42*100/$E$42</f>
        <v/>
      </c>
      <c r="JX42" s="133" t="n"/>
      <c r="JY42" s="182">
        <f>JX42*100/$E$42</f>
        <v/>
      </c>
      <c r="JZ42" s="183">
        <f>JN42+JP42+JR42+JT42+JV42+JX42</f>
        <v/>
      </c>
      <c r="KA42" s="184">
        <f>JO42+JQ42+JS42+JU42+JW42+JY42</f>
        <v/>
      </c>
      <c r="KB42" s="185">
        <f>H42+J42+L42+N42+P42+R42+T42+V42+X42+Z42+AB42+AD42+AF42+AH42+AJ42+AL42+AN42+AP42+AR42+AT42+AV42+AX42+AZ42+BB42+BD42+BF42+BH42+BJ42+BL42+BN42+BP42+BR42+BT42+BV42+BX42+BZ42+CB42+CD42+CF42+CH42+CZ42+DB42+DD42+DF42+DH42+DJ42+DL42+DN42+DP42+DR42+DT42+DV42+DX42+DZ42+EB42+ED42+EF42+EH42+EJ42+EL42+EN42+EP42+ER42+ET42+EV42+FN42+FP42+FR42+FT42+FV42+FX42+FZ42+GB42+GD42+GF42+GH42+GJ42+GL42+GN42+GP42+GR42+GT42+GV42+GX42+GZ42+HB42+HD42+HF42+HH42+HJ42+HL42+HN42+HP42+HR42+HT42+HV42+HX42+HZ42+IB42+ID42+IF42+IH42+IJ42+IL42+IN42+IP42+IR42+IT42+IV42+IX42+IZ42+JB42+JD42+JF42+JH42+JJ42+JL42+JZ42+CJ42+CL42+CN42+CP42+CR42+CT42+CV42+CX42+EX42+EZ42+FB42+FD42+FF42+FH42+FJ42+FL42</f>
        <v/>
      </c>
      <c r="KC42" s="186">
        <f>I42+K42+M42+O42+Q42+S42+U42+W42+Y42+AA42+AC42+AE42+AG42+AI42+AK42+AM42+AO42+AQ42+AS42+AU42+AW42+AY42+BA42+BC42+BE42+BG42+BI42+BK42+BM42+BO42+BQ42+BS42+BU42+BW42+BY42+CA42+CC42+CE42+CG42+CI42+DA42+DC42+DE42+DG42+DI42+DK42+DM42+DO42+DQ42+DS42+DU42+DW42+DY42+EA42+EC42+EE42+EG42+EI42+EK42+EM42+EO42+EQ42+ES42+EU42+EW42+FO42+FS42+FU42+FW42+FQ42+FY42+GA42+GC42+GE42+GG42+GI42+GK42+GM42+GO42+GQ42+GS42+GU42+GW42+GY42+HA42+HC42+HE42+HG42+HI42+HK42+HM42+HO42+HQ42+HS42+HU42+HW42+HY42+IA42+IC42+IE42+IG42+II42+IK42+IM42+IO42+IQ42+IS42+IU42+IW42+IY42+JA42+JC42+JE42+JG42+JI42+JK42+JM42+KA42+CK42+CM42+CO42+CQ42+CS42+CU42+CW42+CY42+EY42+FA42+FC42+FE42+FG42+FI42+FK42+FM42</f>
        <v/>
      </c>
      <c r="KD42" s="187">
        <f>JO42+JQ42+JS42+JU42+JW42+JY42</f>
        <v/>
      </c>
      <c r="KE42" s="188">
        <f>KB42=E42</f>
        <v/>
      </c>
      <c r="KF42" s="189">
        <f>E42-KB42</f>
        <v/>
      </c>
      <c r="KG42" s="210" t="n"/>
    </row>
    <row r="43" ht="21.75" customFormat="1" customHeight="1" s="210">
      <c r="A43" s="126">
        <f>A42+1</f>
        <v/>
      </c>
      <c r="B43" s="175" t="inlineStr">
        <is>
          <t>Титаев А.А.</t>
        </is>
      </c>
      <c r="C43" s="176" t="inlineStr">
        <is>
          <t>слесарь МСР</t>
        </is>
      </c>
      <c r="D43" s="177">
        <f>$D$5</f>
        <v/>
      </c>
      <c r="E43" s="202" t="n">
        <v>40</v>
      </c>
      <c r="F43" s="178" t="n">
        <v>61346.99</v>
      </c>
      <c r="G43" s="179">
        <f>F43/D43</f>
        <v/>
      </c>
      <c r="H43" s="180" t="n"/>
      <c r="I43" s="140">
        <f>H43*100/$E$43</f>
        <v/>
      </c>
      <c r="J43" s="133" t="n"/>
      <c r="K43" s="140">
        <f>J43*100/$E$43</f>
        <v/>
      </c>
      <c r="L43" s="133" t="n"/>
      <c r="M43" s="140">
        <f>L43*100/$E$43</f>
        <v/>
      </c>
      <c r="N43" s="133" t="n"/>
      <c r="O43" s="140">
        <f>N43*100/$E$43</f>
        <v/>
      </c>
      <c r="P43" s="133" t="n"/>
      <c r="Q43" s="139">
        <f>P43*100/$E$43</f>
        <v/>
      </c>
      <c r="R43" s="133" t="n"/>
      <c r="S43" s="139">
        <f>R43*100/$E$43</f>
        <v/>
      </c>
      <c r="T43" s="133" t="n"/>
      <c r="U43" s="140">
        <f>T43*100/$E$43</f>
        <v/>
      </c>
      <c r="V43" s="133" t="n"/>
      <c r="W43" s="140">
        <f>V43*100/$E$43</f>
        <v/>
      </c>
      <c r="X43" s="133" t="n"/>
      <c r="Y43" s="140">
        <f>X43*100/$E$43</f>
        <v/>
      </c>
      <c r="Z43" s="133" t="n"/>
      <c r="AA43" s="140">
        <f>Z43*100/$E$43</f>
        <v/>
      </c>
      <c r="AB43" s="133" t="n"/>
      <c r="AC43" s="140">
        <f>AB43*100/$E$43</f>
        <v/>
      </c>
      <c r="AD43" s="133" t="n"/>
      <c r="AE43" s="139">
        <f>AD43*100/$E$43</f>
        <v/>
      </c>
      <c r="AF43" s="133" t="n"/>
      <c r="AG43" s="139">
        <f>AF43*100/$E$43</f>
        <v/>
      </c>
      <c r="AH43" s="133" t="n"/>
      <c r="AI43" s="140">
        <f>AH43*100/$E$43</f>
        <v/>
      </c>
      <c r="AJ43" s="133" t="n"/>
      <c r="AK43" s="140">
        <f>AJ43*100/$E$43</f>
        <v/>
      </c>
      <c r="AL43" s="133" t="n"/>
      <c r="AM43" s="140">
        <f>AL43*100/$E$43</f>
        <v/>
      </c>
      <c r="AN43" s="133" t="n"/>
      <c r="AO43" s="140">
        <f>AN43*100/$E$43</f>
        <v/>
      </c>
      <c r="AP43" s="133" t="n"/>
      <c r="AQ43" s="140">
        <f>AP43*100/$E$43</f>
        <v/>
      </c>
      <c r="AR43" s="133" t="n"/>
      <c r="AS43" s="140">
        <f>AR43*100/$E$43</f>
        <v/>
      </c>
      <c r="AT43" s="133" t="n"/>
      <c r="AU43" s="181">
        <f>AT43*100/$E$43</f>
        <v/>
      </c>
      <c r="AV43" s="133" t="n"/>
      <c r="AW43" s="140">
        <f>AV43*100/$E$43</f>
        <v/>
      </c>
      <c r="AX43" s="133" t="n"/>
      <c r="AY43" s="140">
        <f>AX43*100/$E$43</f>
        <v/>
      </c>
      <c r="AZ43" s="133" t="n"/>
      <c r="BA43" s="140">
        <f>AZ43*100/$E$43</f>
        <v/>
      </c>
      <c r="BB43" s="133" t="n"/>
      <c r="BC43" s="140">
        <f>BB43*100/$E$43</f>
        <v/>
      </c>
      <c r="BD43" s="133" t="n"/>
      <c r="BE43" s="140">
        <f>BD43*100/$E$43</f>
        <v/>
      </c>
      <c r="BF43" s="133" t="n"/>
      <c r="BG43" s="140">
        <f>BF43*100/$E$43</f>
        <v/>
      </c>
      <c r="BH43" s="133" t="n"/>
      <c r="BI43" s="140">
        <f>BH43*100/$E$43</f>
        <v/>
      </c>
      <c r="BJ43" s="133" t="n"/>
      <c r="BK43" s="140">
        <f>BJ43*100/$E$43</f>
        <v/>
      </c>
      <c r="BL43" s="133" t="n"/>
      <c r="BM43" s="140">
        <f>BL43*100/$E$43</f>
        <v/>
      </c>
      <c r="BN43" s="133" t="n"/>
      <c r="BO43" s="140">
        <f>BN43*100/$E$43</f>
        <v/>
      </c>
      <c r="BP43" s="133" t="n"/>
      <c r="BQ43" s="140">
        <f>BP43*100/$E$43</f>
        <v/>
      </c>
      <c r="BR43" s="133" t="n"/>
      <c r="BS43" s="140">
        <f>BR43*100/$E$43</f>
        <v/>
      </c>
      <c r="BT43" s="133" t="n"/>
      <c r="BU43" s="140">
        <f>BT43*100/$E$43</f>
        <v/>
      </c>
      <c r="BV43" s="133" t="n"/>
      <c r="BW43" s="140">
        <f>BV43*100/$E$43</f>
        <v/>
      </c>
      <c r="BX43" s="133" t="n"/>
      <c r="BY43" s="140">
        <f>BX43*100/$E$43</f>
        <v/>
      </c>
      <c r="BZ43" s="133" t="n"/>
      <c r="CA43" s="140">
        <f>BZ43*100/$E$43</f>
        <v/>
      </c>
      <c r="CB43" s="133" t="n"/>
      <c r="CC43" s="140">
        <f>CB43*100/$E$43</f>
        <v/>
      </c>
      <c r="CD43" s="133" t="n"/>
      <c r="CE43" s="140">
        <f>CD43*100/$E$43</f>
        <v/>
      </c>
      <c r="CF43" s="133" t="n"/>
      <c r="CG43" s="140">
        <f>CF43*100/$E$43</f>
        <v/>
      </c>
      <c r="CH43" s="133" t="n"/>
      <c r="CI43" s="140">
        <f>CH43*100/$E$43</f>
        <v/>
      </c>
      <c r="CJ43" s="133" t="n"/>
      <c r="CK43" s="140">
        <f>CJ43*100/$E$43</f>
        <v/>
      </c>
      <c r="CL43" s="133" t="n"/>
      <c r="CM43" s="140">
        <f>CL43*100/$E$43</f>
        <v/>
      </c>
      <c r="CN43" s="133" t="n">
        <v>2</v>
      </c>
      <c r="CO43" s="139">
        <f>CN43*100/$E$43</f>
        <v/>
      </c>
      <c r="CP43" s="133" t="n"/>
      <c r="CQ43" s="140">
        <f>CP43*100/$E$43</f>
        <v/>
      </c>
      <c r="CR43" s="133" t="n">
        <v>6</v>
      </c>
      <c r="CS43" s="139">
        <f>CR43*100/$E$43</f>
        <v/>
      </c>
      <c r="CT43" s="133" t="n"/>
      <c r="CU43" s="139">
        <f>CT43*100/$E$43</f>
        <v/>
      </c>
      <c r="CV43" s="133" t="n"/>
      <c r="CW43" s="139">
        <f>CV43*100/$E$43</f>
        <v/>
      </c>
      <c r="CX43" s="133" t="n"/>
      <c r="CY43" s="139">
        <f>CX43*100/$E$43</f>
        <v/>
      </c>
      <c r="CZ43" s="133" t="n"/>
      <c r="DA43" s="139">
        <f>CZ43*100/$E$43</f>
        <v/>
      </c>
      <c r="DB43" s="133" t="n"/>
      <c r="DC43" s="139">
        <f>DB43*100/$E$43</f>
        <v/>
      </c>
      <c r="DD43" s="133" t="n"/>
      <c r="DE43" s="139">
        <f>DD43*100/$E$43</f>
        <v/>
      </c>
      <c r="DF43" s="133" t="n"/>
      <c r="DG43" s="139">
        <f>DF43*100/$E$43</f>
        <v/>
      </c>
      <c r="DH43" s="133" t="n"/>
      <c r="DI43" s="139">
        <f>DH43*100/$E$43</f>
        <v/>
      </c>
      <c r="DJ43" s="133" t="n"/>
      <c r="DK43" s="139">
        <f>DJ43*100/$E$43</f>
        <v/>
      </c>
      <c r="DL43" s="133" t="n">
        <v>2</v>
      </c>
      <c r="DM43" s="139">
        <f>DL43*100/$E$43</f>
        <v/>
      </c>
      <c r="DN43" s="133" t="n"/>
      <c r="DO43" s="139">
        <f>DN43*100/$E$43</f>
        <v/>
      </c>
      <c r="DP43" s="133" t="n"/>
      <c r="DQ43" s="139">
        <f>DP43*100/$E$43</f>
        <v/>
      </c>
      <c r="DR43" s="133" t="n"/>
      <c r="DS43" s="139">
        <f>DR43*100/$E$43</f>
        <v/>
      </c>
      <c r="DT43" s="133" t="n"/>
      <c r="DU43" s="139">
        <f>DT43*100/$E$43</f>
        <v/>
      </c>
      <c r="DV43" s="133" t="n"/>
      <c r="DW43" s="139">
        <f>DV43*100/$E$43</f>
        <v/>
      </c>
      <c r="DX43" s="133" t="n"/>
      <c r="DY43" s="139">
        <f>DX43*100/$E$43</f>
        <v/>
      </c>
      <c r="DZ43" s="133" t="n"/>
      <c r="EA43" s="139">
        <f>DZ43*100/$E$43</f>
        <v/>
      </c>
      <c r="EB43" s="133" t="n"/>
      <c r="EC43" s="139">
        <f>EB43*100/$E$43</f>
        <v/>
      </c>
      <c r="ED43" s="133" t="n"/>
      <c r="EE43" s="139">
        <f>ED43*100/$E$43</f>
        <v/>
      </c>
      <c r="EF43" s="133" t="n"/>
      <c r="EG43" s="139">
        <f>EF43*100/$E$43</f>
        <v/>
      </c>
      <c r="EH43" s="133" t="n"/>
      <c r="EI43" s="139">
        <f>EH43*100/$E$43</f>
        <v/>
      </c>
      <c r="EJ43" s="133" t="n"/>
      <c r="EK43" s="139">
        <f>EJ43*100/$E$43</f>
        <v/>
      </c>
      <c r="EL43" s="133" t="n"/>
      <c r="EM43" s="139">
        <f>EL43*100/$E$43</f>
        <v/>
      </c>
      <c r="EN43" s="133" t="n"/>
      <c r="EO43" s="139">
        <f>EN43*100/$E$43</f>
        <v/>
      </c>
      <c r="EP43" s="133" t="n"/>
      <c r="EQ43" s="139">
        <f>EP43*100/$E$43</f>
        <v/>
      </c>
      <c r="ER43" s="133" t="n"/>
      <c r="ES43" s="139">
        <f>ER43*100/$E$43</f>
        <v/>
      </c>
      <c r="ET43" s="133" t="n"/>
      <c r="EU43" s="139">
        <f>ET43*100/$E$43</f>
        <v/>
      </c>
      <c r="EV43" s="133" t="n"/>
      <c r="EW43" s="139">
        <f>EV43*100/$E$43</f>
        <v/>
      </c>
      <c r="EX43" s="133" t="n"/>
      <c r="EY43" s="139">
        <f>EX43*100/$E$43</f>
        <v/>
      </c>
      <c r="EZ43" s="133" t="n"/>
      <c r="FA43" s="139">
        <f>EZ43*100/$E$43</f>
        <v/>
      </c>
      <c r="FB43" s="133" t="n"/>
      <c r="FC43" s="139">
        <f>FB43*100/$E$43</f>
        <v/>
      </c>
      <c r="FD43" s="133" t="n"/>
      <c r="FE43" s="139">
        <f>FD43*100/$E$43</f>
        <v/>
      </c>
      <c r="FF43" s="133" t="n"/>
      <c r="FG43" s="139">
        <f>FF43*100/$E$43</f>
        <v/>
      </c>
      <c r="FH43" s="133" t="n"/>
      <c r="FI43" s="139">
        <f>FH43*100/$E$43</f>
        <v/>
      </c>
      <c r="FJ43" s="133" t="n"/>
      <c r="FK43" s="139">
        <f>FJ43*100/$E$43</f>
        <v/>
      </c>
      <c r="FL43" s="133" t="n"/>
      <c r="FM43" s="139">
        <f>FL43*100/$E$43</f>
        <v/>
      </c>
      <c r="FN43" s="133" t="n"/>
      <c r="FO43" s="139">
        <f>FN43*100/$E$43</f>
        <v/>
      </c>
      <c r="FP43" s="133" t="n"/>
      <c r="FQ43" s="139">
        <f>FP43*100/$E$43</f>
        <v/>
      </c>
      <c r="FR43" s="133" t="n"/>
      <c r="FS43" s="139">
        <f>FR43*100/$E$43</f>
        <v/>
      </c>
      <c r="FT43" s="133" t="n"/>
      <c r="FU43" s="139">
        <f>FT43*100/$E$43</f>
        <v/>
      </c>
      <c r="FV43" s="133" t="n"/>
      <c r="FW43" s="139">
        <f>FV43*100/$E$43</f>
        <v/>
      </c>
      <c r="FX43" s="133" t="n"/>
      <c r="FY43" s="140">
        <f>FX43*100/$E$43</f>
        <v/>
      </c>
      <c r="FZ43" s="133" t="n"/>
      <c r="GA43" s="140">
        <f>FZ43*100/$E$43</f>
        <v/>
      </c>
      <c r="GB43" s="133" t="n"/>
      <c r="GC43" s="140">
        <f>GB43*100/$E$43</f>
        <v/>
      </c>
      <c r="GD43" s="133" t="n"/>
      <c r="GE43" s="140">
        <f>GD43*100/$E$43</f>
        <v/>
      </c>
      <c r="GF43" s="133" t="n"/>
      <c r="GG43" s="140">
        <f>GF43*100/$E$43</f>
        <v/>
      </c>
      <c r="GH43" s="133" t="n"/>
      <c r="GI43" s="140">
        <f>GH43*100/$E$43</f>
        <v/>
      </c>
      <c r="GJ43" s="133" t="n"/>
      <c r="GK43" s="139">
        <f>GJ43*100/$E$43</f>
        <v/>
      </c>
      <c r="GL43" s="133" t="n"/>
      <c r="GM43" s="140">
        <f>GL43*100/$E$43</f>
        <v/>
      </c>
      <c r="GN43" s="133" t="n"/>
      <c r="GO43" s="139">
        <f>GN43*100/$E$43</f>
        <v/>
      </c>
      <c r="GP43" s="133" t="n"/>
      <c r="GQ43" s="140">
        <f>GP43*100/$E$43</f>
        <v/>
      </c>
      <c r="GR43" s="133" t="n"/>
      <c r="GS43" s="139">
        <f>GR43*100/$E$43</f>
        <v/>
      </c>
      <c r="GT43" s="133" t="n"/>
      <c r="GU43" s="139">
        <f>GT43*100/$E$43</f>
        <v/>
      </c>
      <c r="GV43" s="133" t="n"/>
      <c r="GW43" s="139">
        <f>GV43*100/$E$43</f>
        <v/>
      </c>
      <c r="GX43" s="133" t="n"/>
      <c r="GY43" s="140">
        <f>GX43*100/$E$43</f>
        <v/>
      </c>
      <c r="GZ43" s="133" t="n"/>
      <c r="HA43" s="140">
        <f>GZ43*100/$E$43</f>
        <v/>
      </c>
      <c r="HB43" s="133" t="n"/>
      <c r="HC43" s="140">
        <f>HB43*100/$E$43</f>
        <v/>
      </c>
      <c r="HD43" s="133" t="n"/>
      <c r="HE43" s="140">
        <f>HD43*100/$E$43</f>
        <v/>
      </c>
      <c r="HF43" s="133" t="n"/>
      <c r="HG43" s="140">
        <f>HF43*100/$E$43</f>
        <v/>
      </c>
      <c r="HH43" s="133" t="n"/>
      <c r="HI43" s="140">
        <f>HH43*100/$E$43</f>
        <v/>
      </c>
      <c r="HJ43" s="133" t="n"/>
      <c r="HK43" s="140">
        <f>HJ43*100/$E$43</f>
        <v/>
      </c>
      <c r="HL43" s="133" t="n"/>
      <c r="HM43" s="140">
        <f>HL43*100/$E$43</f>
        <v/>
      </c>
      <c r="HN43" s="133" t="n"/>
      <c r="HO43" s="140">
        <f>HN43*100/$E$43</f>
        <v/>
      </c>
      <c r="HP43" s="133" t="n"/>
      <c r="HQ43" s="140">
        <f>HP43*100/$E$43</f>
        <v/>
      </c>
      <c r="HR43" s="133" t="n"/>
      <c r="HS43" s="140">
        <f>HR43*100/$E$43</f>
        <v/>
      </c>
      <c r="HT43" s="133" t="n"/>
      <c r="HU43" s="140">
        <f>HT43*100/$E$43</f>
        <v/>
      </c>
      <c r="HV43" s="133" t="n"/>
      <c r="HW43" s="140">
        <f>HV43*100/$E$43</f>
        <v/>
      </c>
      <c r="HX43" s="133" t="n"/>
      <c r="HY43" s="140">
        <f>HX43*100/$E$43</f>
        <v/>
      </c>
      <c r="HZ43" s="133" t="n"/>
      <c r="IA43" s="139">
        <f>HZ43*100/$E$43</f>
        <v/>
      </c>
      <c r="IB43" s="133" t="n"/>
      <c r="IC43" s="139">
        <f>IB43*100/$E$43</f>
        <v/>
      </c>
      <c r="ID43" s="133" t="n"/>
      <c r="IE43" s="139">
        <f>ID43*100/$E$43</f>
        <v/>
      </c>
      <c r="IF43" s="133" t="n"/>
      <c r="IG43" s="139">
        <f>IF43*100/$E$43</f>
        <v/>
      </c>
      <c r="IH43" s="133" t="n"/>
      <c r="II43" s="139">
        <f>IH43*100/$E$43</f>
        <v/>
      </c>
      <c r="IJ43" s="133" t="n"/>
      <c r="IK43" s="139">
        <f>IJ43*100/$E$43</f>
        <v/>
      </c>
      <c r="IL43" s="133" t="n"/>
      <c r="IM43" s="140">
        <f>IL43*100/$E$43</f>
        <v/>
      </c>
      <c r="IN43" s="133" t="n"/>
      <c r="IO43" s="140">
        <f>IN43*100/$E$43</f>
        <v/>
      </c>
      <c r="IP43" s="133" t="n"/>
      <c r="IQ43" s="139">
        <f>IP43*100/$E$43</f>
        <v/>
      </c>
      <c r="IR43" s="133" t="n"/>
      <c r="IS43" s="139">
        <f>IR43*100/$E$43</f>
        <v/>
      </c>
      <c r="IT43" s="133" t="n"/>
      <c r="IU43" s="139">
        <f>IT43*100/$E$43</f>
        <v/>
      </c>
      <c r="IV43" s="133" t="n"/>
      <c r="IW43" s="139">
        <f>IV43*100/$E$43</f>
        <v/>
      </c>
      <c r="IX43" s="133" t="n"/>
      <c r="IY43" s="139">
        <f>IX43*100/$E$43</f>
        <v/>
      </c>
      <c r="IZ43" s="133" t="n"/>
      <c r="JA43" s="139">
        <f>IZ43*100/$E$43</f>
        <v/>
      </c>
      <c r="JB43" s="133" t="n"/>
      <c r="JC43" s="139">
        <f>JB43*100/$E$43</f>
        <v/>
      </c>
      <c r="JD43" s="133" t="n"/>
      <c r="JE43" s="139">
        <f>JD43*100/$E$43</f>
        <v/>
      </c>
      <c r="JF43" s="133" t="n"/>
      <c r="JG43" s="139">
        <f>JF43*100/$E$43</f>
        <v/>
      </c>
      <c r="JH43" s="133" t="n"/>
      <c r="JI43" s="139">
        <f>JH43*100/$E$43</f>
        <v/>
      </c>
      <c r="JJ43" s="133" t="n"/>
      <c r="JK43" s="139">
        <f>JJ43*100/$E$43</f>
        <v/>
      </c>
      <c r="JL43" s="133">
        <f>8+3+3+8+4+4</f>
        <v/>
      </c>
      <c r="JM43" s="139">
        <f>JL43*100/$E$43</f>
        <v/>
      </c>
      <c r="JN43" s="133" t="n"/>
      <c r="JO43" s="139">
        <f>JN43*100/$E$43</f>
        <v/>
      </c>
      <c r="JP43" s="133" t="n"/>
      <c r="JQ43" s="139">
        <f>JP43*100/$E$43</f>
        <v/>
      </c>
      <c r="JR43" s="133" t="n"/>
      <c r="JS43" s="182">
        <f>JR43*100/$E$43</f>
        <v/>
      </c>
      <c r="JT43" s="133" t="n"/>
      <c r="JU43" s="182">
        <f>JT43*100/$E$43</f>
        <v/>
      </c>
      <c r="JV43" s="133" t="n"/>
      <c r="JW43" s="182">
        <f>JV43*100/$E$43</f>
        <v/>
      </c>
      <c r="JX43" s="133" t="n"/>
      <c r="JY43" s="182">
        <f>JX43*100/$E$43</f>
        <v/>
      </c>
      <c r="JZ43" s="183">
        <f>JN43+JP43+JR43+JT43+JV43+JX43</f>
        <v/>
      </c>
      <c r="KA43" s="184">
        <f>JO43+JQ43+JS43+JU43+JW43+JY43</f>
        <v/>
      </c>
      <c r="KB43" s="185">
        <f>H43+J43+L43+N43+P43+R43+T43+V43+X43+Z43+AB43+AD43+AF43+AH43+AJ43+AL43+AN43+AP43+AR43+AT43+AV43+AX43+AZ43+BB43+BD43+BF43+BH43+BJ43+BL43+BN43+BP43+BR43+BT43+BV43+BX43+BZ43+CB43+CD43+CF43+CH43+CZ43+DB43+DD43+DF43+DH43+DJ43+DL43+DN43+DP43+DR43+DT43+DV43+DX43+DZ43+EB43+ED43+EF43+EH43+EJ43+EL43+EN43+EP43+ER43+ET43+EV43+FN43+FP43+FR43+FT43+FV43+FX43+FZ43+GB43+GD43+GF43+GH43+GJ43+GL43+GN43+GP43+GR43+GT43+GV43+GX43+GZ43+HB43+HD43+HF43+HH43+HJ43+HL43+HN43+HP43+HR43+HT43+HV43+HX43+HZ43+IB43+ID43+IF43+IH43+IJ43+IL43+IN43+IP43+IR43+IT43+IV43+IX43+IZ43+JB43+JD43+JF43+JH43+JJ43+JL43+JZ43+CJ43+CL43+CN43+CP43+CR43+CT43+CV43+CX43+EX43+EZ43+FB43+FD43+FF43+FH43+FJ43+FL43</f>
        <v/>
      </c>
      <c r="KC43" s="186">
        <f>I43+K43+M43+O43+Q43+S43+U43+W43+Y43+AA43+AC43+AE43+AG43+AI43+AK43+AM43+AO43+AQ43+AS43+AU43+AW43+AY43+BA43+BC43+BE43+BG43+BI43+BK43+BM43+BO43+BQ43+BS43+BU43+BW43+BY43+CA43+CC43+CE43+CG43+CI43+DA43+DC43+DE43+DG43+DI43+DK43+DM43+DO43+DQ43+DS43+DU43+DW43+DY43+EA43+EC43+EE43+EG43+EI43+EK43+EM43+EO43+EQ43+ES43+EU43+EW43+FO43+FS43+FU43+FW43+FQ43+FY43+GA43+GC43+GE43+GG43+GI43+GK43+GM43+GO43+GQ43+GS43+GU43+GW43+GY43+HA43+HC43+HE43+HG43+HI43+HK43+HM43+HO43+HQ43+HS43+HU43+HW43+HY43+IA43+IC43+IE43+IG43+II43+IK43+IM43+IO43+IQ43+IS43+IU43+IW43+IY43+JA43+JC43+JE43+JG43+JI43+JK43+JM43+KA43+CK43+CM43+CO43+CQ43+CS43+CU43+CW43+CY43+EY43+FA43+FC43+FE43+FG43+FI43+FK43+FM43</f>
        <v/>
      </c>
      <c r="KD43" s="187">
        <f>JO43+JQ43+JS43+JU43+JW43+JY43</f>
        <v/>
      </c>
      <c r="KE43" s="188">
        <f>KB43=E43</f>
        <v/>
      </c>
      <c r="KF43" s="189">
        <f>E43-KB43</f>
        <v/>
      </c>
      <c r="KG43" s="195" t="n"/>
    </row>
    <row r="44" ht="21.75" customFormat="1" customHeight="1" s="195">
      <c r="A44" s="126">
        <f>A43+1</f>
        <v/>
      </c>
      <c r="B44" s="175" t="inlineStr">
        <is>
          <t>Токарев Н.С.</t>
        </is>
      </c>
      <c r="C44" s="176" t="inlineStr">
        <is>
          <t>фрезеровщик</t>
        </is>
      </c>
      <c r="D44" s="177">
        <f>$D$5</f>
        <v/>
      </c>
      <c r="E44" s="202" t="n">
        <v>179</v>
      </c>
      <c r="F44" s="191" t="n">
        <v>111264.87</v>
      </c>
      <c r="G44" s="179">
        <f>F44/D44</f>
        <v/>
      </c>
      <c r="H44" s="180" t="n"/>
      <c r="I44" s="140">
        <f>H44*100/$E$44</f>
        <v/>
      </c>
      <c r="J44" s="133" t="n">
        <v>12</v>
      </c>
      <c r="K44" s="140">
        <f>J44*100/$E$44</f>
        <v/>
      </c>
      <c r="L44" s="133" t="n"/>
      <c r="M44" s="140">
        <f>L44*100/$E$44</f>
        <v/>
      </c>
      <c r="N44" s="133" t="n"/>
      <c r="O44" s="140">
        <f>N44*100/$E$44</f>
        <v/>
      </c>
      <c r="P44" s="133" t="n"/>
      <c r="Q44" s="139">
        <f>P44*100/$E$44</f>
        <v/>
      </c>
      <c r="R44" s="133" t="n"/>
      <c r="S44" s="139">
        <f>R44*100/$E$44</f>
        <v/>
      </c>
      <c r="T44" s="133" t="n"/>
      <c r="U44" s="140">
        <f>T44*100/$E$44</f>
        <v/>
      </c>
      <c r="V44" s="133" t="n"/>
      <c r="W44" s="140">
        <f>V44*100/$E$44</f>
        <v/>
      </c>
      <c r="X44" s="133" t="n"/>
      <c r="Y44" s="140">
        <f>X44*100/$E$44</f>
        <v/>
      </c>
      <c r="Z44" s="133" t="n"/>
      <c r="AA44" s="140">
        <f>Z44*100/$E$44</f>
        <v/>
      </c>
      <c r="AB44" s="133" t="n"/>
      <c r="AC44" s="140">
        <f>AB44*100/$E$44</f>
        <v/>
      </c>
      <c r="AD44" s="133" t="n"/>
      <c r="AE44" s="139">
        <f>AD44*100/$E$44</f>
        <v/>
      </c>
      <c r="AF44" s="133" t="n"/>
      <c r="AG44" s="139">
        <f>AF44*100/$E$44</f>
        <v/>
      </c>
      <c r="AH44" s="133" t="n"/>
      <c r="AI44" s="140">
        <f>AH44*100/$E$44</f>
        <v/>
      </c>
      <c r="AJ44" s="133" t="n"/>
      <c r="AK44" s="140">
        <f>AJ44*100/$E$44</f>
        <v/>
      </c>
      <c r="AL44" s="133" t="n"/>
      <c r="AM44" s="140">
        <f>AL44*100/$E$44</f>
        <v/>
      </c>
      <c r="AN44" s="133" t="n"/>
      <c r="AO44" s="140">
        <f>AN44*100/$E$44</f>
        <v/>
      </c>
      <c r="AP44" s="133" t="n"/>
      <c r="AQ44" s="140">
        <f>AP44*100/$E$44</f>
        <v/>
      </c>
      <c r="AR44" s="133" t="n"/>
      <c r="AS44" s="140">
        <f>AR44*100/$E$44</f>
        <v/>
      </c>
      <c r="AT44" s="133" t="n"/>
      <c r="AU44" s="181">
        <f>AT44*100/$E$44</f>
        <v/>
      </c>
      <c r="AV44" s="133" t="n"/>
      <c r="AW44" s="140">
        <f>AV44*100/$E$44</f>
        <v/>
      </c>
      <c r="AX44" s="133" t="n"/>
      <c r="AY44" s="140">
        <f>AX44*100/$E$44</f>
        <v/>
      </c>
      <c r="AZ44" s="133" t="n"/>
      <c r="BA44" s="140">
        <f>AZ44*100/$E$44</f>
        <v/>
      </c>
      <c r="BB44" s="133" t="n"/>
      <c r="BC44" s="140">
        <f>BB44*100/$E$44</f>
        <v/>
      </c>
      <c r="BD44" s="133" t="n"/>
      <c r="BE44" s="140">
        <f>BD44*100/$E$44</f>
        <v/>
      </c>
      <c r="BF44" s="133" t="n"/>
      <c r="BG44" s="140">
        <f>BF44*100/$E$44</f>
        <v/>
      </c>
      <c r="BH44" s="133" t="n"/>
      <c r="BI44" s="140">
        <f>BH44*100/$E$44</f>
        <v/>
      </c>
      <c r="BJ44" s="133" t="n">
        <v>12</v>
      </c>
      <c r="BK44" s="140">
        <f>BJ44*100/$E$44</f>
        <v/>
      </c>
      <c r="BL44" s="133" t="n"/>
      <c r="BM44" s="140">
        <f>BL44*100/$E$44</f>
        <v/>
      </c>
      <c r="BN44" s="133" t="n"/>
      <c r="BO44" s="140">
        <f>BN44*100/$E$44</f>
        <v/>
      </c>
      <c r="BP44" s="133" t="n"/>
      <c r="BQ44" s="140">
        <f>BP44*100/$E$44</f>
        <v/>
      </c>
      <c r="BR44" s="133" t="n"/>
      <c r="BS44" s="140">
        <f>BR44*100/$E$44</f>
        <v/>
      </c>
      <c r="BT44" s="133" t="n"/>
      <c r="BU44" s="140">
        <f>BT44*100/$E$44</f>
        <v/>
      </c>
      <c r="BV44" s="133" t="n"/>
      <c r="BW44" s="140">
        <f>BV44*100/$E$44</f>
        <v/>
      </c>
      <c r="BX44" s="133" t="n"/>
      <c r="BY44" s="140">
        <f>BX44*100/$E$44</f>
        <v/>
      </c>
      <c r="BZ44" s="133" t="n"/>
      <c r="CA44" s="140">
        <f>BZ44*100/$E$44</f>
        <v/>
      </c>
      <c r="CB44" s="133" t="n"/>
      <c r="CC44" s="140">
        <f>CB44*100/$E$44</f>
        <v/>
      </c>
      <c r="CD44" s="133" t="n"/>
      <c r="CE44" s="140">
        <f>CD44*100/$E$44</f>
        <v/>
      </c>
      <c r="CF44" s="133" t="n">
        <v>12</v>
      </c>
      <c r="CG44" s="140">
        <f>CF44*100/$E$44</f>
        <v/>
      </c>
      <c r="CH44" s="133" t="n"/>
      <c r="CI44" s="140">
        <f>CH44*100/$E$44</f>
        <v/>
      </c>
      <c r="CJ44" s="133" t="n"/>
      <c r="CK44" s="140">
        <f>CJ44*100/$E$44</f>
        <v/>
      </c>
      <c r="CL44" s="133" t="n"/>
      <c r="CM44" s="140">
        <f>CL44*100/$E$44</f>
        <v/>
      </c>
      <c r="CN44" s="133" t="n"/>
      <c r="CO44" s="139">
        <f>CN44*100/$E$44</f>
        <v/>
      </c>
      <c r="CP44" s="133" t="n"/>
      <c r="CQ44" s="140">
        <f>CP44*100/$E$44</f>
        <v/>
      </c>
      <c r="CR44" s="133" t="n"/>
      <c r="CS44" s="139">
        <f>CR44*100/$E$44</f>
        <v/>
      </c>
      <c r="CT44" s="133" t="n"/>
      <c r="CU44" s="139">
        <f>CT44*100/$E$44</f>
        <v/>
      </c>
      <c r="CV44" s="133" t="n"/>
      <c r="CW44" s="139">
        <f>CV44*100/$E$44</f>
        <v/>
      </c>
      <c r="CX44" s="133" t="n"/>
      <c r="CY44" s="139">
        <f>CX44*100/$E$44</f>
        <v/>
      </c>
      <c r="CZ44" s="133" t="n"/>
      <c r="DA44" s="139">
        <f>CZ44*100/$E$44</f>
        <v/>
      </c>
      <c r="DB44" s="133" t="n"/>
      <c r="DC44" s="139">
        <f>DB44*100/$E$44</f>
        <v/>
      </c>
      <c r="DD44" s="133" t="n"/>
      <c r="DE44" s="139">
        <f>DD44*100/$E$44</f>
        <v/>
      </c>
      <c r="DF44" s="133" t="n"/>
      <c r="DG44" s="139">
        <f>DF44*100/$E$44</f>
        <v/>
      </c>
      <c r="DH44" s="133" t="n"/>
      <c r="DI44" s="139">
        <f>DH44*100/$E$44</f>
        <v/>
      </c>
      <c r="DJ44" s="133" t="n"/>
      <c r="DK44" s="139">
        <f>DJ44*100/$E$44</f>
        <v/>
      </c>
      <c r="DL44" s="133" t="n"/>
      <c r="DM44" s="139">
        <f>DL44*100/$E$44</f>
        <v/>
      </c>
      <c r="DN44" s="133" t="n"/>
      <c r="DO44" s="139">
        <f>DN44*100/$E$44</f>
        <v/>
      </c>
      <c r="DP44" s="133">
        <f>12+12+11+12</f>
        <v/>
      </c>
      <c r="DQ44" s="139">
        <f>DP44*100/$E$44</f>
        <v/>
      </c>
      <c r="DR44" s="133" t="n">
        <v>4</v>
      </c>
      <c r="DS44" s="139">
        <f>DR44*100/$E$44</f>
        <v/>
      </c>
      <c r="DT44" s="133" t="n"/>
      <c r="DU44" s="139">
        <f>DT44*100/$E$44</f>
        <v/>
      </c>
      <c r="DV44" s="133" t="n"/>
      <c r="DW44" s="139">
        <f>DV44*100/$E$44</f>
        <v/>
      </c>
      <c r="DX44" s="133" t="n"/>
      <c r="DY44" s="139">
        <f>DX44*100/$E$44</f>
        <v/>
      </c>
      <c r="DZ44" s="133" t="n"/>
      <c r="EA44" s="139">
        <f>DZ44*100/$E$44</f>
        <v/>
      </c>
      <c r="EB44" s="133" t="n"/>
      <c r="EC44" s="139">
        <f>EB44*100/$E$44</f>
        <v/>
      </c>
      <c r="ED44" s="133" t="n"/>
      <c r="EE44" s="139">
        <f>ED44*100/$E$44</f>
        <v/>
      </c>
      <c r="EF44" s="133" t="n"/>
      <c r="EG44" s="139">
        <f>EF44*100/$E$44</f>
        <v/>
      </c>
      <c r="EH44" s="133" t="n">
        <v>12</v>
      </c>
      <c r="EI44" s="139">
        <f>EH44*100/$E$44</f>
        <v/>
      </c>
      <c r="EJ44" s="133" t="n"/>
      <c r="EK44" s="139">
        <f>EJ44*100/$E$44</f>
        <v/>
      </c>
      <c r="EL44" s="133" t="n">
        <v>12</v>
      </c>
      <c r="EM44" s="139">
        <f>EL44*100/$E$44</f>
        <v/>
      </c>
      <c r="EN44" s="133" t="n"/>
      <c r="EO44" s="139">
        <f>EN44*100/$E$44</f>
        <v/>
      </c>
      <c r="EP44" s="133" t="n"/>
      <c r="EQ44" s="139">
        <f>EP44*100/$E$44</f>
        <v/>
      </c>
      <c r="ER44" s="133" t="n"/>
      <c r="ES44" s="139">
        <f>ER44*100/$E$44</f>
        <v/>
      </c>
      <c r="ET44" s="133" t="n"/>
      <c r="EU44" s="139">
        <f>ET44*100/$E$44</f>
        <v/>
      </c>
      <c r="EV44" s="133" t="n"/>
      <c r="EW44" s="139">
        <f>EV44*100/$E$44</f>
        <v/>
      </c>
      <c r="EX44" s="133" t="n"/>
      <c r="EY44" s="139">
        <f>EX44*100/$E$44</f>
        <v/>
      </c>
      <c r="EZ44" s="133" t="n"/>
      <c r="FA44" s="139">
        <f>EZ44*100/$E$44</f>
        <v/>
      </c>
      <c r="FB44" s="133" t="n"/>
      <c r="FC44" s="139">
        <f>FB44*100/$E$44</f>
        <v/>
      </c>
      <c r="FD44" s="133" t="n"/>
      <c r="FE44" s="139">
        <f>FD44*100/$E$44</f>
        <v/>
      </c>
      <c r="FF44" s="133" t="n"/>
      <c r="FG44" s="139">
        <f>FF44*100/$E$44</f>
        <v/>
      </c>
      <c r="FH44" s="133" t="n"/>
      <c r="FI44" s="139">
        <f>FH44*100/$E$44</f>
        <v/>
      </c>
      <c r="FJ44" s="133" t="n"/>
      <c r="FK44" s="139">
        <f>FJ44*100/$E$44</f>
        <v/>
      </c>
      <c r="FL44" s="133" t="n"/>
      <c r="FM44" s="139">
        <f>FL44*100/$E$44</f>
        <v/>
      </c>
      <c r="FN44" s="133" t="n"/>
      <c r="FO44" s="139">
        <f>FN44*100/$E$44</f>
        <v/>
      </c>
      <c r="FP44" s="133" t="n"/>
      <c r="FQ44" s="139">
        <f>FP44*100/$E$44</f>
        <v/>
      </c>
      <c r="FR44" s="133" t="n"/>
      <c r="FS44" s="139">
        <f>FR44*100/$E$44</f>
        <v/>
      </c>
      <c r="FT44" s="133" t="n"/>
      <c r="FU44" s="139">
        <f>FT44*100/$E$44</f>
        <v/>
      </c>
      <c r="FV44" s="133" t="n"/>
      <c r="FW44" s="139">
        <f>FV44*100/$E$44</f>
        <v/>
      </c>
      <c r="FX44" s="133" t="n"/>
      <c r="FY44" s="140">
        <f>FX44*100/$E$44</f>
        <v/>
      </c>
      <c r="FZ44" s="133" t="n"/>
      <c r="GA44" s="140">
        <f>FZ44*100/$E$44</f>
        <v/>
      </c>
      <c r="GB44" s="133" t="n"/>
      <c r="GC44" s="140">
        <f>GB44*100/$E$44</f>
        <v/>
      </c>
      <c r="GD44" s="133" t="n"/>
      <c r="GE44" s="140">
        <f>GD44*100/$E$44</f>
        <v/>
      </c>
      <c r="GF44" s="133" t="n"/>
      <c r="GG44" s="140">
        <f>GF44*100/$E$44</f>
        <v/>
      </c>
      <c r="GH44" s="133" t="n"/>
      <c r="GI44" s="140">
        <f>GH44*100/$E$44</f>
        <v/>
      </c>
      <c r="GJ44" s="133" t="n"/>
      <c r="GK44" s="139">
        <f>GJ44*100/$E$44</f>
        <v/>
      </c>
      <c r="GL44" s="133" t="n"/>
      <c r="GM44" s="140">
        <f>GL44*100/$E$44</f>
        <v/>
      </c>
      <c r="GN44" s="133" t="n"/>
      <c r="GO44" s="139">
        <f>GN44*100/$E$44</f>
        <v/>
      </c>
      <c r="GP44" s="133" t="n"/>
      <c r="GQ44" s="140">
        <f>GP44*100/$E$44</f>
        <v/>
      </c>
      <c r="GR44" s="133" t="n"/>
      <c r="GS44" s="139">
        <f>GR44*100/$E$44</f>
        <v/>
      </c>
      <c r="GT44" s="133" t="n"/>
      <c r="GU44" s="139">
        <f>GT44*100/$E$44</f>
        <v/>
      </c>
      <c r="GV44" s="133" t="n"/>
      <c r="GW44" s="139">
        <f>GV44*100/$E$44</f>
        <v/>
      </c>
      <c r="GX44" s="133" t="n"/>
      <c r="GY44" s="140">
        <f>GX44*100/$E$44</f>
        <v/>
      </c>
      <c r="GZ44" s="133" t="n"/>
      <c r="HA44" s="140">
        <f>GZ44*100/$E$44</f>
        <v/>
      </c>
      <c r="HB44" s="133" t="n"/>
      <c r="HC44" s="140">
        <f>HB44*100/$E$44</f>
        <v/>
      </c>
      <c r="HD44" s="133" t="n"/>
      <c r="HE44" s="140">
        <f>HD44*100/$E$44</f>
        <v/>
      </c>
      <c r="HF44" s="133" t="n"/>
      <c r="HG44" s="140">
        <f>HF44*100/$E$44</f>
        <v/>
      </c>
      <c r="HH44" s="133" t="n"/>
      <c r="HI44" s="140">
        <f>HH44*100/$E$44</f>
        <v/>
      </c>
      <c r="HJ44" s="133" t="n"/>
      <c r="HK44" s="140">
        <f>HJ44*100/$E$44</f>
        <v/>
      </c>
      <c r="HL44" s="133" t="n"/>
      <c r="HM44" s="140">
        <f>HL44*100/$E$44</f>
        <v/>
      </c>
      <c r="HN44" s="133" t="n"/>
      <c r="HO44" s="140">
        <f>HN44*100/$E$44</f>
        <v/>
      </c>
      <c r="HP44" s="133" t="n"/>
      <c r="HQ44" s="140">
        <f>HP44*100/$E$44</f>
        <v/>
      </c>
      <c r="HR44" s="133" t="n"/>
      <c r="HS44" s="140">
        <f>HR44*100/$E$44</f>
        <v/>
      </c>
      <c r="HT44" s="133">
        <f>8+12+8+12+8+12</f>
        <v/>
      </c>
      <c r="HU44" s="140">
        <f>HT44*100/$E$44</f>
        <v/>
      </c>
      <c r="HV44" s="133" t="n"/>
      <c r="HW44" s="140">
        <f>HV44*100/$E$44</f>
        <v/>
      </c>
      <c r="HX44" s="133" t="n"/>
      <c r="HY44" s="140">
        <f>HX44*100/$E$44</f>
        <v/>
      </c>
      <c r="HZ44" s="133" t="n"/>
      <c r="IA44" s="139">
        <f>HZ44*100/$E$44</f>
        <v/>
      </c>
      <c r="IB44" s="133" t="n"/>
      <c r="IC44" s="139">
        <f>IB44*100/$E$44</f>
        <v/>
      </c>
      <c r="ID44" s="133" t="n"/>
      <c r="IE44" s="139">
        <f>ID44*100/$E$44</f>
        <v/>
      </c>
      <c r="IF44" s="133" t="n"/>
      <c r="IG44" s="139">
        <f>IF44*100/$E$44</f>
        <v/>
      </c>
      <c r="IH44" s="133" t="n"/>
      <c r="II44" s="139">
        <f>IH44*100/$E$44</f>
        <v/>
      </c>
      <c r="IJ44" s="133" t="n"/>
      <c r="IK44" s="139">
        <f>IJ44*100/$E$44</f>
        <v/>
      </c>
      <c r="IL44" s="133" t="n"/>
      <c r="IM44" s="140">
        <f>IL44*100/$E$44</f>
        <v/>
      </c>
      <c r="IN44" s="133" t="n"/>
      <c r="IO44" s="140">
        <f>IN44*100/$E$44</f>
        <v/>
      </c>
      <c r="IP44" s="133" t="n"/>
      <c r="IQ44" s="139">
        <f>IP44*100/$E$44</f>
        <v/>
      </c>
      <c r="IR44" s="133" t="n"/>
      <c r="IS44" s="139">
        <f>IR44*100/$E$44</f>
        <v/>
      </c>
      <c r="IT44" s="133" t="n"/>
      <c r="IU44" s="139">
        <f>IT44*100/$E$44</f>
        <v/>
      </c>
      <c r="IV44" s="133" t="n"/>
      <c r="IW44" s="139">
        <f>IV44*100/$E$44</f>
        <v/>
      </c>
      <c r="IX44" s="133" t="n"/>
      <c r="IY44" s="139">
        <f>IX44*100/$E$44</f>
        <v/>
      </c>
      <c r="IZ44" s="133" t="n"/>
      <c r="JA44" s="139">
        <f>IZ44*100/$E$44</f>
        <v/>
      </c>
      <c r="JB44" s="133" t="n"/>
      <c r="JC44" s="139">
        <f>JB44*100/$E$44</f>
        <v/>
      </c>
      <c r="JD44" s="133" t="n"/>
      <c r="JE44" s="139">
        <f>JD44*100/$E$44</f>
        <v/>
      </c>
      <c r="JF44" s="133" t="n"/>
      <c r="JG44" s="139">
        <f>JF44*100/$E$44</f>
        <v/>
      </c>
      <c r="JH44" s="133" t="n"/>
      <c r="JI44" s="139">
        <f>JH44*100/$E$44</f>
        <v/>
      </c>
      <c r="JJ44" s="133" t="n"/>
      <c r="JK44" s="139">
        <f>JJ44*100/$E$44</f>
        <v/>
      </c>
      <c r="JL44" s="133">
        <f>4+4</f>
        <v/>
      </c>
      <c r="JM44" s="139">
        <f>JL44*100/$E$44</f>
        <v/>
      </c>
      <c r="JN44" s="133" t="n"/>
      <c r="JO44" s="139">
        <f>JN44*100/$E$44</f>
        <v/>
      </c>
      <c r="JP44" s="133" t="n"/>
      <c r="JQ44" s="139">
        <f>JP44*100/$E$44</f>
        <v/>
      </c>
      <c r="JR44" s="133" t="n"/>
      <c r="JS44" s="182">
        <f>JR44*100/$E$44</f>
        <v/>
      </c>
      <c r="JT44" s="133" t="n"/>
      <c r="JU44" s="182">
        <f>JT44*100/$E$44</f>
        <v/>
      </c>
      <c r="JV44" s="133" t="n"/>
      <c r="JW44" s="182">
        <f>JV44*100/$E$44</f>
        <v/>
      </c>
      <c r="JX44" s="133" t="n"/>
      <c r="JY44" s="182">
        <f>JX44*100/$E$44</f>
        <v/>
      </c>
      <c r="JZ44" s="183">
        <f>JN44+JP44+JR44+JT44+JV44+JX44</f>
        <v/>
      </c>
      <c r="KA44" s="184">
        <f>JO44+JQ44+JS44+JU44+JW44+JY44</f>
        <v/>
      </c>
      <c r="KB44" s="185">
        <f>H44+J44+L44+N44+P44+R44+T44+V44+X44+Z44+AB44+AD44+AF44+AH44+AJ44+AL44+AN44+AP44+AR44+AT44+AV44+AX44+AZ44+BB44+BD44+BF44+BH44+BJ44+BL44+BN44+BP44+BR44+BT44+BV44+BX44+BZ44+CB44+CD44+CF44+CH44+CZ44+DB44+DD44+DF44+DH44+DJ44+DL44+DN44+DP44+DR44+DT44+DV44+DX44+DZ44+EB44+ED44+EF44+EH44+EJ44+EL44+EN44+EP44+ER44+ET44+EV44+FN44+FP44+FR44+FT44+FV44+FX44+FZ44+GB44+GD44+GF44+GH44+GJ44+GL44+GN44+GP44+GR44+GT44+GV44+GX44+GZ44+HB44+HD44+HF44+HH44+HJ44+HL44+HN44+HP44+HR44+HT44+HV44+HX44+HZ44+IB44+ID44+IF44+IH44+IJ44+IL44+IN44+IP44+IR44+IT44+IV44+IX44+IZ44+JB44+JD44+JF44+JH44+JJ44+JL44+JZ44+CJ44+CL44+CN44+CP44+CR44+CT44+CV44+CX44+EX44+EZ44+FB44+FD44+FF44+FH44+FJ44+FL44</f>
        <v/>
      </c>
      <c r="KC44" s="186">
        <f>I44+K44+M44+O44+Q44+S44+U44+W44+Y44+AA44+AC44+AE44+AG44+AI44+AK44+AM44+AO44+AQ44+AS44+AU44+AW44+AY44+BA44+BC44+BE44+BG44+BI44+BK44+BM44+BO44+BQ44+BS44+BU44+BW44+BY44+CA44+CC44+CE44+CG44+CI44+DA44+DC44+DE44+DG44+DI44+DK44+DM44+DO44+DQ44+DS44+DU44+DW44+DY44+EA44+EC44+EE44+EG44+EI44+EK44+EM44+EO44+EQ44+ES44+EU44+EW44+FO44+FS44+FU44+FW44+FQ44+FY44+GA44+GC44+GE44+GG44+GI44+GK44+GM44+GO44+GQ44+GS44+GU44+GW44+GY44+HA44+HC44+HE44+HG44+HI44+HK44+HM44+HO44+HQ44+HS44+HU44+HW44+HY44+IA44+IC44+IE44+IG44+II44+IK44+IM44+IO44+IQ44+IS44+IU44+IW44+IY44+JA44+JC44+JE44+JG44+JI44+JK44+JM44+KA44+CK44+CM44+CO44+CQ44+CS44+CU44+CW44+CY44+EY44+FA44+FC44+FE44+FG44+FI44+FK44+FM44</f>
        <v/>
      </c>
      <c r="KD44" s="187">
        <f>JO44+JQ44+JS44+JU44+JW44+JY44</f>
        <v/>
      </c>
      <c r="KE44" s="188">
        <f>KB44=E44</f>
        <v/>
      </c>
      <c r="KF44" s="189">
        <f>E44-KB44</f>
        <v/>
      </c>
      <c r="KG44" s="215" t="n"/>
    </row>
    <row r="45" ht="21.75" customFormat="1" customHeight="1" s="215">
      <c r="A45" s="126">
        <f>A44+1</f>
        <v/>
      </c>
      <c r="B45" s="192" t="inlineStr">
        <is>
          <t>Трикачев С.И.</t>
        </is>
      </c>
      <c r="C45" s="204" t="inlineStr">
        <is>
          <t>токарь</t>
        </is>
      </c>
      <c r="D45" s="206">
        <f>$D$5</f>
        <v/>
      </c>
      <c r="E45" s="207" t="n">
        <v>179</v>
      </c>
      <c r="F45" s="205" t="n">
        <v>172414.02</v>
      </c>
      <c r="G45" s="179">
        <f>F45/D45</f>
        <v/>
      </c>
      <c r="H45" s="180" t="n"/>
      <c r="I45" s="140">
        <f>H45*100/$E$45</f>
        <v/>
      </c>
      <c r="J45" s="133" t="n"/>
      <c r="K45" s="140">
        <f>J45*100/$E$45</f>
        <v/>
      </c>
      <c r="L45" s="133" t="n"/>
      <c r="M45" s="140">
        <f>L45*100/$E$45</f>
        <v/>
      </c>
      <c r="N45" s="133" t="n"/>
      <c r="O45" s="140">
        <f>N45*100/$E$45</f>
        <v/>
      </c>
      <c r="P45" s="133" t="n"/>
      <c r="Q45" s="139">
        <f>P45*100/$E$45</f>
        <v/>
      </c>
      <c r="R45" s="133" t="n"/>
      <c r="S45" s="139">
        <f>R45*100/$E$45</f>
        <v/>
      </c>
      <c r="T45" s="133" t="n"/>
      <c r="U45" s="140">
        <f>T45*100/$E$45</f>
        <v/>
      </c>
      <c r="V45" s="133" t="n"/>
      <c r="W45" s="140">
        <f>V45*100/$E$45</f>
        <v/>
      </c>
      <c r="X45" s="133" t="n"/>
      <c r="Y45" s="140">
        <f>X45*100/$E$45</f>
        <v/>
      </c>
      <c r="Z45" s="133" t="n"/>
      <c r="AA45" s="140">
        <f>Z45*100/$E$45</f>
        <v/>
      </c>
      <c r="AB45" s="133">
        <f>12+12+12+12+12</f>
        <v/>
      </c>
      <c r="AC45" s="140">
        <f>AB45*100/$E$45</f>
        <v/>
      </c>
      <c r="AD45" s="133" t="n"/>
      <c r="AE45" s="139">
        <f>AD45*100/$E$45</f>
        <v/>
      </c>
      <c r="AF45" s="133" t="n"/>
      <c r="AG45" s="139">
        <f>AF45*100/$E$45</f>
        <v/>
      </c>
      <c r="AH45" s="133">
        <f>6+9</f>
        <v/>
      </c>
      <c r="AI45" s="140">
        <f>AH45*100/$E$45</f>
        <v/>
      </c>
      <c r="AJ45" s="133">
        <f>12+6+12</f>
        <v/>
      </c>
      <c r="AK45" s="140">
        <f>AJ45*100/$E$45</f>
        <v/>
      </c>
      <c r="AL45" s="133">
        <f>12+11</f>
        <v/>
      </c>
      <c r="AM45" s="140">
        <f>AL45*100/$E$45</f>
        <v/>
      </c>
      <c r="AN45" s="133" t="n"/>
      <c r="AO45" s="140">
        <f>AN45*100/$E$45</f>
        <v/>
      </c>
      <c r="AP45" s="133" t="n"/>
      <c r="AQ45" s="140">
        <f>AP45*100/$E$45</f>
        <v/>
      </c>
      <c r="AR45" s="133" t="n"/>
      <c r="AS45" s="140">
        <f>AR45*100/$E$45</f>
        <v/>
      </c>
      <c r="AT45" s="133" t="n"/>
      <c r="AU45" s="181">
        <f>AT45*100/$E$45</f>
        <v/>
      </c>
      <c r="AV45" s="133" t="n"/>
      <c r="AW45" s="140">
        <f>AV45*100/$E$45</f>
        <v/>
      </c>
      <c r="AX45" s="133" t="n"/>
      <c r="AY45" s="140">
        <f>AX45*100/$E$45</f>
        <v/>
      </c>
      <c r="AZ45" s="133" t="n"/>
      <c r="BA45" s="140">
        <f>AZ45*100/$E$45</f>
        <v/>
      </c>
      <c r="BB45" s="133" t="n">
        <v>6</v>
      </c>
      <c r="BC45" s="140">
        <f>BB45*100/$E$45</f>
        <v/>
      </c>
      <c r="BD45" s="133" t="n"/>
      <c r="BE45" s="140">
        <f>BD45*100/$E$45</f>
        <v/>
      </c>
      <c r="BF45" s="133" t="n"/>
      <c r="BG45" s="140">
        <f>BF45*100/$E$45</f>
        <v/>
      </c>
      <c r="BH45" s="133" t="n"/>
      <c r="BI45" s="140">
        <f>BH45*100/$E$45</f>
        <v/>
      </c>
      <c r="BJ45" s="133" t="n"/>
      <c r="BK45" s="140">
        <f>BJ45*100/$E$45</f>
        <v/>
      </c>
      <c r="BL45" s="133" t="n"/>
      <c r="BM45" s="140">
        <f>BL45*100/$E$45</f>
        <v/>
      </c>
      <c r="BN45" s="133" t="n"/>
      <c r="BO45" s="140">
        <f>BN45*100/$E$45</f>
        <v/>
      </c>
      <c r="BP45" s="133" t="n"/>
      <c r="BQ45" s="140">
        <f>BP45*100/$E$45</f>
        <v/>
      </c>
      <c r="BR45" s="133" t="n"/>
      <c r="BS45" s="140">
        <f>BR45*100/$E$45</f>
        <v/>
      </c>
      <c r="BT45" s="133" t="n"/>
      <c r="BU45" s="140">
        <f>BT45*100/$E$45</f>
        <v/>
      </c>
      <c r="BV45" s="133" t="n"/>
      <c r="BW45" s="140">
        <f>BV45*100/$E$45</f>
        <v/>
      </c>
      <c r="BX45" s="133" t="n"/>
      <c r="BY45" s="140">
        <f>BX45*100/$E$45</f>
        <v/>
      </c>
      <c r="BZ45" s="133" t="n"/>
      <c r="CA45" s="140">
        <f>BZ45*100/$E$45</f>
        <v/>
      </c>
      <c r="CB45" s="133" t="n"/>
      <c r="CC45" s="140">
        <f>CB45*100/$E$45</f>
        <v/>
      </c>
      <c r="CD45" s="133" t="n"/>
      <c r="CE45" s="140">
        <f>CD45*100/$E$45</f>
        <v/>
      </c>
      <c r="CF45" s="133" t="n"/>
      <c r="CG45" s="140">
        <f>CF45*100/$E$45</f>
        <v/>
      </c>
      <c r="CH45" s="133" t="n"/>
      <c r="CI45" s="140">
        <f>CH45*100/$E$45</f>
        <v/>
      </c>
      <c r="CJ45" s="133" t="n"/>
      <c r="CK45" s="140">
        <f>CJ45*100/$E$45</f>
        <v/>
      </c>
      <c r="CL45" s="133" t="n"/>
      <c r="CM45" s="140">
        <f>CL45*100/$E$45</f>
        <v/>
      </c>
      <c r="CN45" s="133" t="n"/>
      <c r="CO45" s="139">
        <f>CN45*100/$E$45</f>
        <v/>
      </c>
      <c r="CP45" s="133" t="n"/>
      <c r="CQ45" s="140">
        <f>CP45*100/$E$45</f>
        <v/>
      </c>
      <c r="CR45" s="133" t="n">
        <v>8</v>
      </c>
      <c r="CS45" s="139">
        <f>CR45*100/$E$45</f>
        <v/>
      </c>
      <c r="CT45" s="133" t="n"/>
      <c r="CU45" s="139">
        <f>CT45*100/$E$45</f>
        <v/>
      </c>
      <c r="CV45" s="133" t="n"/>
      <c r="CW45" s="139">
        <f>CV45*100/$E$45</f>
        <v/>
      </c>
      <c r="CX45" s="133" t="n"/>
      <c r="CY45" s="139">
        <f>CX45*100/$E$45</f>
        <v/>
      </c>
      <c r="CZ45" s="133" t="n"/>
      <c r="DA45" s="139">
        <f>CZ45*100/$E$45</f>
        <v/>
      </c>
      <c r="DB45" s="133" t="n"/>
      <c r="DC45" s="139">
        <f>DB45*100/$E$45</f>
        <v/>
      </c>
      <c r="DD45" s="133" t="n"/>
      <c r="DE45" s="139">
        <f>DD45*100/$E$45</f>
        <v/>
      </c>
      <c r="DF45" s="133" t="n"/>
      <c r="DG45" s="139">
        <f>DF45*100/$E$45</f>
        <v/>
      </c>
      <c r="DH45" s="133" t="n"/>
      <c r="DI45" s="139">
        <f>DH45*100/$E$45</f>
        <v/>
      </c>
      <c r="DJ45" s="133" t="n"/>
      <c r="DK45" s="139">
        <f>DJ45*100/$E$45</f>
        <v/>
      </c>
      <c r="DL45" s="133" t="n"/>
      <c r="DM45" s="139">
        <f>DL45*100/$E$45</f>
        <v/>
      </c>
      <c r="DN45" s="133" t="n"/>
      <c r="DO45" s="139">
        <f>DN45*100/$E$45</f>
        <v/>
      </c>
      <c r="DP45" s="133" t="n"/>
      <c r="DQ45" s="139">
        <f>DP45*100/$E$45</f>
        <v/>
      </c>
      <c r="DR45" s="133" t="n"/>
      <c r="DS45" s="139">
        <f>DR45*100/$E$45</f>
        <v/>
      </c>
      <c r="DT45" s="133" t="n"/>
      <c r="DU45" s="139">
        <f>DT45*100/$E$45</f>
        <v/>
      </c>
      <c r="DV45" s="133" t="n"/>
      <c r="DW45" s="139">
        <f>DV45*100/$E$45</f>
        <v/>
      </c>
      <c r="DX45" s="133" t="n"/>
      <c r="DY45" s="139">
        <f>DX45*100/$E$45</f>
        <v/>
      </c>
      <c r="DZ45" s="133" t="n"/>
      <c r="EA45" s="139">
        <f>DZ45*100/$E$45</f>
        <v/>
      </c>
      <c r="EB45" s="133" t="n"/>
      <c r="EC45" s="139">
        <f>EB45*100/$E$45</f>
        <v/>
      </c>
      <c r="ED45" s="133" t="n"/>
      <c r="EE45" s="139">
        <f>ED45*100/$E$45</f>
        <v/>
      </c>
      <c r="EF45" s="133" t="n"/>
      <c r="EG45" s="139">
        <f>EF45*100/$E$45</f>
        <v/>
      </c>
      <c r="EH45" s="133" t="n"/>
      <c r="EI45" s="139">
        <f>EH45*100/$E$45</f>
        <v/>
      </c>
      <c r="EJ45" s="133" t="n"/>
      <c r="EK45" s="139">
        <f>EJ45*100/$E$45</f>
        <v/>
      </c>
      <c r="EL45" s="133" t="n"/>
      <c r="EM45" s="139">
        <f>EL45*100/$E$45</f>
        <v/>
      </c>
      <c r="EN45" s="133">
        <f>3+4+12+6+12</f>
        <v/>
      </c>
      <c r="EO45" s="139">
        <f>EN45*100/$E$45</f>
        <v/>
      </c>
      <c r="EP45" s="133" t="n"/>
      <c r="EQ45" s="139">
        <f>EP45*100/$E$45</f>
        <v/>
      </c>
      <c r="ER45" s="133" t="n"/>
      <c r="ES45" s="139">
        <f>ER45*100/$E$45</f>
        <v/>
      </c>
      <c r="ET45" s="133" t="n"/>
      <c r="EU45" s="139">
        <f>ET45*100/$E$45</f>
        <v/>
      </c>
      <c r="EV45" s="133" t="n"/>
      <c r="EW45" s="139">
        <f>EV45*100/$E$45</f>
        <v/>
      </c>
      <c r="EX45" s="133" t="n"/>
      <c r="EY45" s="139">
        <f>EX45*100/$E$45</f>
        <v/>
      </c>
      <c r="EZ45" s="133" t="n"/>
      <c r="FA45" s="139">
        <f>EZ45*100/$E$45</f>
        <v/>
      </c>
      <c r="FB45" s="133" t="n"/>
      <c r="FC45" s="139">
        <f>FB45*100/$E$45</f>
        <v/>
      </c>
      <c r="FD45" s="133" t="n"/>
      <c r="FE45" s="139">
        <f>FD45*100/$E$45</f>
        <v/>
      </c>
      <c r="FF45" s="133" t="n"/>
      <c r="FG45" s="139">
        <f>FF45*100/$E$45</f>
        <v/>
      </c>
      <c r="FH45" s="133" t="n"/>
      <c r="FI45" s="139">
        <f>FH45*100/$E$45</f>
        <v/>
      </c>
      <c r="FJ45" s="133" t="n"/>
      <c r="FK45" s="139">
        <f>FJ45*100/$E$45</f>
        <v/>
      </c>
      <c r="FL45" s="133" t="n"/>
      <c r="FM45" s="139">
        <f>FL45*100/$E$45</f>
        <v/>
      </c>
      <c r="FN45" s="133" t="n"/>
      <c r="FO45" s="139">
        <f>FN45*100/$E$45</f>
        <v/>
      </c>
      <c r="FP45" s="133" t="n"/>
      <c r="FQ45" s="139">
        <f>FP45*100/$E$45</f>
        <v/>
      </c>
      <c r="FR45" s="133" t="n"/>
      <c r="FS45" s="139">
        <f>FR45*100/$E$45</f>
        <v/>
      </c>
      <c r="FT45" s="133" t="n"/>
      <c r="FU45" s="139">
        <f>FT45*100/$E$45</f>
        <v/>
      </c>
      <c r="FV45" s="133" t="n"/>
      <c r="FW45" s="139">
        <f>FV45*100/$E$45</f>
        <v/>
      </c>
      <c r="FX45" s="133" t="n"/>
      <c r="FY45" s="140">
        <f>FX45*100/$E$45</f>
        <v/>
      </c>
      <c r="FZ45" s="133" t="n"/>
      <c r="GA45" s="140">
        <f>FZ45*100/$E$45</f>
        <v/>
      </c>
      <c r="GB45" s="133" t="n"/>
      <c r="GC45" s="140">
        <f>GB45*100/$E$45</f>
        <v/>
      </c>
      <c r="GD45" s="133" t="n"/>
      <c r="GE45" s="140">
        <f>GD45*100/$E$45</f>
        <v/>
      </c>
      <c r="GF45" s="133" t="n"/>
      <c r="GG45" s="140">
        <f>GF45*100/$E$45</f>
        <v/>
      </c>
      <c r="GH45" s="133" t="n"/>
      <c r="GI45" s="140">
        <f>GH45*100/$E$45</f>
        <v/>
      </c>
      <c r="GJ45" s="133" t="n"/>
      <c r="GK45" s="139">
        <f>GJ45*100/$E$45</f>
        <v/>
      </c>
      <c r="GL45" s="133" t="n"/>
      <c r="GM45" s="140">
        <f>GL45*100/$E$45</f>
        <v/>
      </c>
      <c r="GN45" s="133" t="n"/>
      <c r="GO45" s="139">
        <f>GN45*100/$E$45</f>
        <v/>
      </c>
      <c r="GP45" s="133" t="n"/>
      <c r="GQ45" s="140">
        <f>GP45*100/$E$45</f>
        <v/>
      </c>
      <c r="GR45" s="133" t="n"/>
      <c r="GS45" s="139">
        <f>GR45*100/$E$45</f>
        <v/>
      </c>
      <c r="GT45" s="133" t="n"/>
      <c r="GU45" s="139">
        <f>GT45*100/$E$45</f>
        <v/>
      </c>
      <c r="GV45" s="133" t="n"/>
      <c r="GW45" s="139">
        <f>GV45*100/$E$45</f>
        <v/>
      </c>
      <c r="GX45" s="133" t="n"/>
      <c r="GY45" s="140">
        <f>GX45*100/$E$45</f>
        <v/>
      </c>
      <c r="GZ45" s="133" t="n"/>
      <c r="HA45" s="140">
        <f>GZ45*100/$E$45</f>
        <v/>
      </c>
      <c r="HB45" s="133" t="n"/>
      <c r="HC45" s="140">
        <f>HB45*100/$E$45</f>
        <v/>
      </c>
      <c r="HD45" s="133" t="n"/>
      <c r="HE45" s="140">
        <f>HD45*100/$E$45</f>
        <v/>
      </c>
      <c r="HF45" s="133" t="n"/>
      <c r="HG45" s="140">
        <f>HF45*100/$E$45</f>
        <v/>
      </c>
      <c r="HH45" s="133" t="n"/>
      <c r="HI45" s="140">
        <f>HH45*100/$E$45</f>
        <v/>
      </c>
      <c r="HJ45" s="133" t="n"/>
      <c r="HK45" s="140">
        <f>HJ45*100/$E$45</f>
        <v/>
      </c>
      <c r="HL45" s="133" t="n"/>
      <c r="HM45" s="140">
        <f>HL45*100/$E$45</f>
        <v/>
      </c>
      <c r="HN45" s="133" t="n"/>
      <c r="HO45" s="140">
        <f>HN45*100/$E$45</f>
        <v/>
      </c>
      <c r="HP45" s="133" t="n"/>
      <c r="HQ45" s="140">
        <f>HP45*100/$E$45</f>
        <v/>
      </c>
      <c r="HR45" s="133" t="n"/>
      <c r="HS45" s="140">
        <f>HR45*100/$E$45</f>
        <v/>
      </c>
      <c r="HT45" s="133" t="n"/>
      <c r="HU45" s="140">
        <f>HT45*100/$E$45</f>
        <v/>
      </c>
      <c r="HV45" s="133" t="n"/>
      <c r="HW45" s="140">
        <f>HV45*100/$E$45</f>
        <v/>
      </c>
      <c r="HX45" s="133" t="n"/>
      <c r="HY45" s="140">
        <f>HX45*100/$E$45</f>
        <v/>
      </c>
      <c r="HZ45" s="133" t="n"/>
      <c r="IA45" s="139">
        <f>HZ45*100/$E$45</f>
        <v/>
      </c>
      <c r="IB45" s="133" t="n"/>
      <c r="IC45" s="139">
        <f>IB45*100/$E$45</f>
        <v/>
      </c>
      <c r="ID45" s="133" t="n"/>
      <c r="IE45" s="139">
        <f>ID45*100/$E$45</f>
        <v/>
      </c>
      <c r="IF45" s="133" t="n"/>
      <c r="IG45" s="139">
        <f>IF45*100/$E$45</f>
        <v/>
      </c>
      <c r="IH45" s="133" t="n"/>
      <c r="II45" s="139">
        <f>IH45*100/$E$45</f>
        <v/>
      </c>
      <c r="IJ45" s="133" t="n"/>
      <c r="IK45" s="139">
        <f>IJ45*100/$E$45</f>
        <v/>
      </c>
      <c r="IL45" s="133" t="n"/>
      <c r="IM45" s="140">
        <f>IL45*100/$E$45</f>
        <v/>
      </c>
      <c r="IN45" s="133" t="n"/>
      <c r="IO45" s="140">
        <f>IN45*100/$E$45</f>
        <v/>
      </c>
      <c r="IP45" s="133" t="n"/>
      <c r="IQ45" s="139">
        <f>IP45*100/$E$45</f>
        <v/>
      </c>
      <c r="IR45" s="133" t="n"/>
      <c r="IS45" s="139">
        <f>IR45*100/$E$45</f>
        <v/>
      </c>
      <c r="IT45" s="133" t="n"/>
      <c r="IU45" s="139">
        <f>IT45*100/$E$45</f>
        <v/>
      </c>
      <c r="IV45" s="133" t="n"/>
      <c r="IW45" s="139">
        <f>IV45*100/$E$45</f>
        <v/>
      </c>
      <c r="IX45" s="133" t="n"/>
      <c r="IY45" s="139">
        <f>IX45*100/$E$45</f>
        <v/>
      </c>
      <c r="IZ45" s="133" t="n"/>
      <c r="JA45" s="139">
        <f>IZ45*100/$E$45</f>
        <v/>
      </c>
      <c r="JB45" s="133" t="n"/>
      <c r="JC45" s="139">
        <f>JB45*100/$E$45</f>
        <v/>
      </c>
      <c r="JD45" s="133" t="n"/>
      <c r="JE45" s="139">
        <f>JD45*100/$E$45</f>
        <v/>
      </c>
      <c r="JF45" s="133" t="n"/>
      <c r="JG45" s="139">
        <f>JF45*100/$E$45</f>
        <v/>
      </c>
      <c r="JH45" s="133" t="n"/>
      <c r="JI45" s="139">
        <f>JH45*100/$E$45</f>
        <v/>
      </c>
      <c r="JJ45" s="133" t="n"/>
      <c r="JK45" s="139">
        <f>JJ45*100/$E$45</f>
        <v/>
      </c>
      <c r="JL45" s="133" t="n"/>
      <c r="JM45" s="139">
        <f>JL45*100/$E$45</f>
        <v/>
      </c>
      <c r="JN45" s="133" t="n"/>
      <c r="JO45" s="139">
        <f>JN45*100/$E$45</f>
        <v/>
      </c>
      <c r="JP45" s="133" t="n"/>
      <c r="JQ45" s="139">
        <f>JP45*100/$E$45</f>
        <v/>
      </c>
      <c r="JR45" s="133" t="n"/>
      <c r="JS45" s="182">
        <f>JR45*100/$E$45</f>
        <v/>
      </c>
      <c r="JT45" s="133" t="n"/>
      <c r="JU45" s="182">
        <f>JT45*100/$E$45</f>
        <v/>
      </c>
      <c r="JV45" s="223" t="n"/>
      <c r="JW45" s="182">
        <f>JV45*100/$E$45</f>
        <v/>
      </c>
      <c r="JX45" s="223" t="n"/>
      <c r="JY45" s="182">
        <f>JX45*100/$E$45</f>
        <v/>
      </c>
      <c r="JZ45" s="183">
        <f>JN45+JP45+JR45+JT45+JV45+JX45</f>
        <v/>
      </c>
      <c r="KA45" s="184">
        <f>JO45+JQ45+JS45+JU45+JW45+JY45</f>
        <v/>
      </c>
      <c r="KB45" s="185">
        <f>H45+J45+L45+N45+P45+R45+T45+V45+X45+Z45+AB45+AD45+AF45+AH45+AJ45+AL45+AN45+AP45+AR45+AT45+AV45+AX45+AZ45+BB45+BD45+BF45+BH45+BJ45+BL45+BN45+BP45+BR45+BT45+BV45+BX45+BZ45+CB45+CD45+CF45+CH45+CZ45+DB45+DD45+DF45+DH45+DJ45+DL45+DN45+DP45+DR45+DT45+DV45+DX45+DZ45+EB45+ED45+EF45+EH45+EJ45+EL45+EN45+EP45+ER45+ET45+EV45+FN45+FP45+FR45+FT45+FV45+FX45+FZ45+GB45+GD45+GF45+GH45+GJ45+GL45+GN45+GP45+GR45+GT45+GV45+GX45+GZ45+HB45+HD45+HF45+HH45+HJ45+HL45+HN45+HP45+HR45+HT45+HV45+HX45+HZ45+IB45+ID45+IF45+IH45+IJ45+IL45+IN45+IP45+IR45+IT45+IV45+IX45+IZ45+JB45+JD45+JF45+JH45+JJ45+JL45+JZ45+CJ45+CL45+CN45+CP45+CR45+CT45+CV45+CX45+EX45+EZ45+FB45+FD45+FF45+FH45+FJ45+FL45</f>
        <v/>
      </c>
      <c r="KC45" s="186">
        <f>I45+K45+M45+O45+Q45+S45+U45+W45+Y45+AA45+AC45+AE45+AG45+AI45+AK45+AM45+AO45+AQ45+AS45+AU45+AW45+AY45+BA45+BC45+BE45+BG45+BI45+BK45+BM45+BO45+BQ45+BS45+BU45+BW45+BY45+CA45+CC45+CE45+CG45+CI45+DA45+DC45+DE45+DG45+DI45+DK45+DM45+DO45+DQ45+DS45+DU45+DW45+DY45+EA45+EC45+EE45+EG45+EI45+EK45+EM45+EO45+EQ45+ES45+EU45+EW45+FO45+FS45+FU45+FW45+FQ45+FY45+GA45+GC45+GE45+GG45+GI45+GK45+GM45+GO45+GQ45+GS45+GU45+GW45+GY45+HA45+HC45+HE45+HG45+HI45+HK45+HM45+HO45+HQ45+HS45+HU45+HW45+HY45+IA45+IC45+IE45+IG45+II45+IK45+IM45+IO45+IQ45+IS45+IU45+IW45+IY45+JA45+JC45+JE45+JG45+JI45+JK45+JM45+KA45+CK45+CM45+CO45+CQ45+CS45+CU45+CW45+CY45+EY45+FA45+FC45+FE45+FG45+FI45+FK45+FM45</f>
        <v/>
      </c>
      <c r="KD45" s="187">
        <f>JO45+JQ45+JS45+JU45+JW45+JY45</f>
        <v/>
      </c>
      <c r="KE45" s="188">
        <f>KB45=E45</f>
        <v/>
      </c>
      <c r="KF45" s="189">
        <f>E45-KB45</f>
        <v/>
      </c>
      <c r="KG45" s="210" t="n"/>
    </row>
    <row r="46" ht="21.75" customFormat="1" customHeight="1" s="210">
      <c r="A46" s="126">
        <f>A45+1</f>
        <v/>
      </c>
      <c r="B46" s="175" t="inlineStr">
        <is>
          <t>Шишлов Д.А.</t>
        </is>
      </c>
      <c r="C46" s="176" t="inlineStr">
        <is>
          <t>токарь</t>
        </is>
      </c>
      <c r="D46" s="177">
        <f>$D$5</f>
        <v/>
      </c>
      <c r="E46" s="202" t="n">
        <v>159</v>
      </c>
      <c r="F46" s="193" t="n">
        <v>82183.91</v>
      </c>
      <c r="G46" s="179">
        <f>F46/D46</f>
        <v/>
      </c>
      <c r="H46" s="180" t="n"/>
      <c r="I46" s="140">
        <f>H46*100/$E$46</f>
        <v/>
      </c>
      <c r="J46" s="133" t="n"/>
      <c r="K46" s="140">
        <f>J46*100/$E$46</f>
        <v/>
      </c>
      <c r="L46" s="133" t="n"/>
      <c r="M46" s="140">
        <f>L46*100/$E$46</f>
        <v/>
      </c>
      <c r="N46" s="133" t="n"/>
      <c r="O46" s="140">
        <f>N46*100/$E$46</f>
        <v/>
      </c>
      <c r="P46" s="133" t="n"/>
      <c r="Q46" s="139">
        <f>P46*100/$E$46</f>
        <v/>
      </c>
      <c r="R46" s="133" t="n"/>
      <c r="S46" s="139">
        <f>R46*100/$E$46</f>
        <v/>
      </c>
      <c r="T46" s="133" t="n"/>
      <c r="U46" s="140">
        <f>T46*100/$E$46</f>
        <v/>
      </c>
      <c r="V46" s="133" t="n"/>
      <c r="W46" s="140">
        <f>V46*100/$E$46</f>
        <v/>
      </c>
      <c r="X46" s="133" t="n"/>
      <c r="Y46" s="140">
        <f>X46*100/$E$46</f>
        <v/>
      </c>
      <c r="Z46" s="133" t="n"/>
      <c r="AA46" s="140">
        <f>Z46*100/$E$46</f>
        <v/>
      </c>
      <c r="AB46" s="133" t="n"/>
      <c r="AC46" s="140">
        <f>AB46*100/$E$46</f>
        <v/>
      </c>
      <c r="AD46" s="133" t="n"/>
      <c r="AE46" s="139">
        <f>AD46*100/$E$46</f>
        <v/>
      </c>
      <c r="AF46" s="133" t="n"/>
      <c r="AG46" s="139">
        <f>AF46*100/$E$46</f>
        <v/>
      </c>
      <c r="AH46" s="133" t="n"/>
      <c r="AI46" s="140">
        <f>AH46*100/$E$46</f>
        <v/>
      </c>
      <c r="AJ46" s="133">
        <f>5+4</f>
        <v/>
      </c>
      <c r="AK46" s="140">
        <f>AJ46*100/$E$46</f>
        <v/>
      </c>
      <c r="AL46" s="133" t="n">
        <v>4</v>
      </c>
      <c r="AM46" s="140">
        <f>AL46*100/$E$46</f>
        <v/>
      </c>
      <c r="AN46" s="133" t="n"/>
      <c r="AO46" s="140">
        <f>AN46*100/$E$46</f>
        <v/>
      </c>
      <c r="AP46" s="133" t="n"/>
      <c r="AQ46" s="140">
        <f>AP46*100/$E$46</f>
        <v/>
      </c>
      <c r="AR46" s="133" t="n"/>
      <c r="AS46" s="140">
        <f>AR46*100/$E$46</f>
        <v/>
      </c>
      <c r="AT46" s="133" t="n"/>
      <c r="AU46" s="181">
        <f>AT46*100/$E$46</f>
        <v/>
      </c>
      <c r="AV46" s="133">
        <f>8+4</f>
        <v/>
      </c>
      <c r="AW46" s="140">
        <f>AV46*100/$E$46</f>
        <v/>
      </c>
      <c r="AX46" s="133" t="n"/>
      <c r="AY46" s="140">
        <f>AX46*100/$E$46</f>
        <v/>
      </c>
      <c r="AZ46" s="133" t="n"/>
      <c r="BA46" s="140">
        <f>AZ46*100/$E$46</f>
        <v/>
      </c>
      <c r="BB46" s="133" t="n"/>
      <c r="BC46" s="140">
        <f>BB46*100/$E$46</f>
        <v/>
      </c>
      <c r="BD46" s="133" t="n"/>
      <c r="BE46" s="140">
        <f>BD46*100/$E$46</f>
        <v/>
      </c>
      <c r="BF46" s="133" t="n"/>
      <c r="BG46" s="140">
        <f>BF46*100/$E$46</f>
        <v/>
      </c>
      <c r="BH46" s="133" t="n"/>
      <c r="BI46" s="140">
        <f>BH46*100/$E$46</f>
        <v/>
      </c>
      <c r="BJ46" s="133" t="n"/>
      <c r="BK46" s="140">
        <f>BJ46*100/$E$46</f>
        <v/>
      </c>
      <c r="BL46" s="133" t="n"/>
      <c r="BM46" s="140">
        <f>BL46*100/$E$46</f>
        <v/>
      </c>
      <c r="BN46" s="133" t="n"/>
      <c r="BO46" s="140">
        <f>BN46*100/$E$46</f>
        <v/>
      </c>
      <c r="BP46" s="133" t="n"/>
      <c r="BQ46" s="140">
        <f>BP46*100/$E$46</f>
        <v/>
      </c>
      <c r="BR46" s="133" t="n"/>
      <c r="BS46" s="140">
        <f>BR46*100/$E$46</f>
        <v/>
      </c>
      <c r="BT46" s="133" t="n"/>
      <c r="BU46" s="140">
        <f>BT46*100/$E$46</f>
        <v/>
      </c>
      <c r="BV46" s="133" t="n"/>
      <c r="BW46" s="140">
        <f>BV46*100/$E$46</f>
        <v/>
      </c>
      <c r="BX46" s="133" t="n"/>
      <c r="BY46" s="140">
        <f>BX46*100/$E$46</f>
        <v/>
      </c>
      <c r="BZ46" s="133" t="n"/>
      <c r="CA46" s="140">
        <f>BZ46*100/$E$46</f>
        <v/>
      </c>
      <c r="CB46" s="133" t="n"/>
      <c r="CC46" s="140">
        <f>CB46*100/$E$46</f>
        <v/>
      </c>
      <c r="CD46" s="133" t="n">
        <v>1</v>
      </c>
      <c r="CE46" s="140">
        <f>CD46*100/$E$46</f>
        <v/>
      </c>
      <c r="CF46" s="133">
        <f>2</f>
        <v/>
      </c>
      <c r="CG46" s="140">
        <f>CF46*100/$E$46</f>
        <v/>
      </c>
      <c r="CH46" s="133" t="n"/>
      <c r="CI46" s="140">
        <f>CH46*100/$E$46</f>
        <v/>
      </c>
      <c r="CJ46" s="133" t="n"/>
      <c r="CK46" s="140">
        <f>CJ46*100/$E$46</f>
        <v/>
      </c>
      <c r="CL46" s="133" t="n"/>
      <c r="CM46" s="140">
        <f>CL46*100/$E$46</f>
        <v/>
      </c>
      <c r="CN46" s="133">
        <f>4+4+8</f>
        <v/>
      </c>
      <c r="CO46" s="139">
        <f>CN46*100/$E$46</f>
        <v/>
      </c>
      <c r="CP46" s="133" t="n"/>
      <c r="CQ46" s="140">
        <f>CP46*100/$E$46</f>
        <v/>
      </c>
      <c r="CR46" s="133">
        <f>8+8</f>
        <v/>
      </c>
      <c r="CS46" s="139">
        <f>CR46*100/$E$46</f>
        <v/>
      </c>
      <c r="CT46" s="133" t="n"/>
      <c r="CU46" s="139">
        <f>CT46*100/$E$46</f>
        <v/>
      </c>
      <c r="CV46" s="133" t="n"/>
      <c r="CW46" s="139">
        <f>CV46*100/$E$46</f>
        <v/>
      </c>
      <c r="CX46" s="133" t="n"/>
      <c r="CY46" s="139">
        <f>CX46*100/$E$46</f>
        <v/>
      </c>
      <c r="CZ46" s="133" t="n"/>
      <c r="DA46" s="139">
        <f>CZ46*100/$E$46</f>
        <v/>
      </c>
      <c r="DB46" s="133" t="n"/>
      <c r="DC46" s="139">
        <f>DB46*100/$E$46</f>
        <v/>
      </c>
      <c r="DD46" s="133" t="n"/>
      <c r="DE46" s="139">
        <f>DD46*100/$E$46</f>
        <v/>
      </c>
      <c r="DF46" s="133">
        <f>8+8+5</f>
        <v/>
      </c>
      <c r="DG46" s="139">
        <f>DF46*100/$E$46</f>
        <v/>
      </c>
      <c r="DH46" s="133" t="n"/>
      <c r="DI46" s="139">
        <f>DH46*100/$E$46</f>
        <v/>
      </c>
      <c r="DJ46" s="133" t="n">
        <v>3</v>
      </c>
      <c r="DK46" s="139">
        <f>DJ46*100/$E$46</f>
        <v/>
      </c>
      <c r="DL46" s="133" t="n">
        <v>4</v>
      </c>
      <c r="DM46" s="139">
        <f>DL46*100/$E$46</f>
        <v/>
      </c>
      <c r="DN46" s="133" t="n"/>
      <c r="DO46" s="139">
        <f>DN46*100/$E$46</f>
        <v/>
      </c>
      <c r="DP46" s="133" t="n"/>
      <c r="DQ46" s="139">
        <f>DP46*100/$E$46</f>
        <v/>
      </c>
      <c r="DR46" s="133">
        <f>8+8</f>
        <v/>
      </c>
      <c r="DS46" s="139">
        <f>DR46*100/$E$46</f>
        <v/>
      </c>
      <c r="DT46" s="133" t="n"/>
      <c r="DU46" s="139">
        <f>DT46*100/$E$46</f>
        <v/>
      </c>
      <c r="DV46" s="133" t="n"/>
      <c r="DW46" s="139">
        <f>DV46*100/$E$46</f>
        <v/>
      </c>
      <c r="DX46" s="133" t="n"/>
      <c r="DY46" s="139">
        <f>DX46*100/$E$46</f>
        <v/>
      </c>
      <c r="DZ46" s="133" t="n"/>
      <c r="EA46" s="139">
        <f>DZ46*100/$E$46</f>
        <v/>
      </c>
      <c r="EB46" s="133" t="n">
        <v>8</v>
      </c>
      <c r="EC46" s="139">
        <f>EB46*100/$E$46</f>
        <v/>
      </c>
      <c r="ED46" s="133">
        <f>5+8</f>
        <v/>
      </c>
      <c r="EE46" s="139">
        <f>ED46*100/$E$46</f>
        <v/>
      </c>
      <c r="EF46" s="133" t="n">
        <v>3</v>
      </c>
      <c r="EG46" s="139">
        <f>EF46*100/$E$46</f>
        <v/>
      </c>
      <c r="EH46" s="133" t="n"/>
      <c r="EI46" s="139">
        <f>EH46*100/$E$46</f>
        <v/>
      </c>
      <c r="EJ46" s="133" t="n"/>
      <c r="EK46" s="139">
        <f>EJ46*100/$E$46</f>
        <v/>
      </c>
      <c r="EL46" s="133" t="n"/>
      <c r="EM46" s="139">
        <f>EL46*100/$E$46</f>
        <v/>
      </c>
      <c r="EN46" s="133" t="n"/>
      <c r="EO46" s="139">
        <f>EN46*100/$E$46</f>
        <v/>
      </c>
      <c r="EP46" s="133" t="n"/>
      <c r="EQ46" s="139">
        <f>EP46*100/$E$46</f>
        <v/>
      </c>
      <c r="ER46" s="133" t="n"/>
      <c r="ES46" s="139">
        <f>ER46*100/$E$46</f>
        <v/>
      </c>
      <c r="ET46" s="133" t="n"/>
      <c r="EU46" s="139">
        <f>ET46*100/$E$46</f>
        <v/>
      </c>
      <c r="EV46" s="133" t="n"/>
      <c r="EW46" s="139">
        <f>EV46*100/$E$46</f>
        <v/>
      </c>
      <c r="EX46" s="133" t="n"/>
      <c r="EY46" s="139">
        <f>EX46*100/$E$46</f>
        <v/>
      </c>
      <c r="EZ46" s="133" t="n"/>
      <c r="FA46" s="139">
        <f>EZ46*100/$E$46</f>
        <v/>
      </c>
      <c r="FB46" s="133" t="n"/>
      <c r="FC46" s="139">
        <f>FB46*100/$E$46</f>
        <v/>
      </c>
      <c r="FD46" s="133" t="n">
        <v>4</v>
      </c>
      <c r="FE46" s="139">
        <f>FD46*100/$E$46</f>
        <v/>
      </c>
      <c r="FF46" s="133" t="n"/>
      <c r="FG46" s="139">
        <f>FF46*100/$E$46</f>
        <v/>
      </c>
      <c r="FH46" s="133" t="n"/>
      <c r="FI46" s="139">
        <f>FH46*100/$E$46</f>
        <v/>
      </c>
      <c r="FJ46" s="133" t="n"/>
      <c r="FK46" s="139">
        <f>FJ46*100/$E$46</f>
        <v/>
      </c>
      <c r="FL46" s="133" t="n"/>
      <c r="FM46" s="139">
        <f>FL46*100/$E$46</f>
        <v/>
      </c>
      <c r="FN46" s="133" t="n"/>
      <c r="FO46" s="139">
        <f>FN46*100/$E$46</f>
        <v/>
      </c>
      <c r="FP46" s="133" t="n"/>
      <c r="FQ46" s="139">
        <f>FP46*100/$E$46</f>
        <v/>
      </c>
      <c r="FR46" s="133" t="n"/>
      <c r="FS46" s="139">
        <f>FR46*100/$E$46</f>
        <v/>
      </c>
      <c r="FT46" s="133" t="n"/>
      <c r="FU46" s="139">
        <f>FT46*100/$E$46</f>
        <v/>
      </c>
      <c r="FV46" s="133" t="n"/>
      <c r="FW46" s="139">
        <f>FV46*100/$E$46</f>
        <v/>
      </c>
      <c r="FX46" s="133" t="n"/>
      <c r="FY46" s="140">
        <f>FX46*100/$E$46</f>
        <v/>
      </c>
      <c r="FZ46" s="133" t="n"/>
      <c r="GA46" s="140">
        <f>FZ46*100/$E$46</f>
        <v/>
      </c>
      <c r="GB46" s="133" t="n"/>
      <c r="GC46" s="140">
        <f>GB46*100/$E$46</f>
        <v/>
      </c>
      <c r="GD46" s="133" t="n"/>
      <c r="GE46" s="140">
        <f>GD46*100/$E$46</f>
        <v/>
      </c>
      <c r="GF46" s="133" t="n"/>
      <c r="GG46" s="140">
        <f>GF46*100/$E$46</f>
        <v/>
      </c>
      <c r="GH46" s="133" t="n"/>
      <c r="GI46" s="140">
        <f>GH46*100/$E$46</f>
        <v/>
      </c>
      <c r="GJ46" s="133" t="n"/>
      <c r="GK46" s="139">
        <f>GJ46*100/$E$46</f>
        <v/>
      </c>
      <c r="GL46" s="133" t="n"/>
      <c r="GM46" s="140">
        <f>GL46*100/$E$46</f>
        <v/>
      </c>
      <c r="GN46" s="133" t="n"/>
      <c r="GO46" s="139">
        <f>GN46*100/$E$46</f>
        <v/>
      </c>
      <c r="GP46" s="133" t="n"/>
      <c r="GQ46" s="140">
        <f>GP46*100/$E$46</f>
        <v/>
      </c>
      <c r="GR46" s="133" t="n"/>
      <c r="GS46" s="139">
        <f>GR46*100/$E$46</f>
        <v/>
      </c>
      <c r="GT46" s="133" t="n"/>
      <c r="GU46" s="139">
        <f>GT46*100/$E$46</f>
        <v/>
      </c>
      <c r="GV46" s="133" t="n"/>
      <c r="GW46" s="139">
        <f>GV46*100/$E$46</f>
        <v/>
      </c>
      <c r="GX46" s="133" t="n"/>
      <c r="GY46" s="140">
        <f>GX46*100/$E$46</f>
        <v/>
      </c>
      <c r="GZ46" s="133">
        <f>8+4+3</f>
        <v/>
      </c>
      <c r="HA46" s="140">
        <f>GZ46*100/$E$46</f>
        <v/>
      </c>
      <c r="HB46" s="133" t="n"/>
      <c r="HC46" s="140">
        <f>HB46*100/$E$46</f>
        <v/>
      </c>
      <c r="HD46" s="133" t="n"/>
      <c r="HE46" s="140">
        <f>HD46*100/$E$46</f>
        <v/>
      </c>
      <c r="HF46" s="133" t="n"/>
      <c r="HG46" s="140">
        <f>HF46*100/$E$46</f>
        <v/>
      </c>
      <c r="HH46" s="133" t="n"/>
      <c r="HI46" s="140">
        <f>HH46*100/$E$46</f>
        <v/>
      </c>
      <c r="HJ46" s="133" t="n"/>
      <c r="HK46" s="140">
        <f>HJ46*100/$E$46</f>
        <v/>
      </c>
      <c r="HL46" s="133" t="n"/>
      <c r="HM46" s="140">
        <f>HL46*100/$E$46</f>
        <v/>
      </c>
      <c r="HN46" s="133" t="n"/>
      <c r="HO46" s="140">
        <f>HN46*100/$E$46</f>
        <v/>
      </c>
      <c r="HP46" s="133" t="n"/>
      <c r="HQ46" s="140">
        <f>HP46*100/$E$46</f>
        <v/>
      </c>
      <c r="HR46" s="133" t="n"/>
      <c r="HS46" s="140">
        <f>HR46*100/$E$46</f>
        <v/>
      </c>
      <c r="HT46" s="133" t="n"/>
      <c r="HU46" s="140">
        <f>HT46*100/$E$46</f>
        <v/>
      </c>
      <c r="HV46" s="133" t="n"/>
      <c r="HW46" s="140">
        <f>HV46*100/$E$46</f>
        <v/>
      </c>
      <c r="HX46" s="133" t="n"/>
      <c r="HY46" s="140">
        <f>HX46*100/$E$46</f>
        <v/>
      </c>
      <c r="HZ46" s="133" t="n"/>
      <c r="IA46" s="139">
        <f>HZ46*100/$E$46</f>
        <v/>
      </c>
      <c r="IB46" s="133" t="n"/>
      <c r="IC46" s="139">
        <f>IB46*100/$E$46</f>
        <v/>
      </c>
      <c r="ID46" s="133" t="n"/>
      <c r="IE46" s="139">
        <f>ID46*100/$E$46</f>
        <v/>
      </c>
      <c r="IF46" s="133" t="n"/>
      <c r="IG46" s="139">
        <f>IF46*100/$E$46</f>
        <v/>
      </c>
      <c r="IH46" s="133" t="n"/>
      <c r="II46" s="139">
        <f>IH46*100/$E$46</f>
        <v/>
      </c>
      <c r="IJ46" s="133" t="n"/>
      <c r="IK46" s="139">
        <f>IJ46*100/$E$46</f>
        <v/>
      </c>
      <c r="IL46" s="133" t="n"/>
      <c r="IM46" s="140">
        <f>IL46*100/$E$46</f>
        <v/>
      </c>
      <c r="IN46" s="133" t="n"/>
      <c r="IO46" s="140">
        <f>IN46*100/$E$46</f>
        <v/>
      </c>
      <c r="IP46" s="133" t="n"/>
      <c r="IQ46" s="139">
        <f>IP46*100/$E$46</f>
        <v/>
      </c>
      <c r="IR46" s="133" t="n"/>
      <c r="IS46" s="139">
        <f>IR46*100/$E$46</f>
        <v/>
      </c>
      <c r="IT46" s="133" t="n"/>
      <c r="IU46" s="139">
        <f>IT46*100/$E$46</f>
        <v/>
      </c>
      <c r="IV46" s="133" t="n"/>
      <c r="IW46" s="139">
        <f>IV46*100/$E$46</f>
        <v/>
      </c>
      <c r="IX46" s="133" t="n"/>
      <c r="IY46" s="139">
        <f>IX46*100/$E$46</f>
        <v/>
      </c>
      <c r="IZ46" s="133" t="n"/>
      <c r="JA46" s="139">
        <f>IZ46*100/$E$46</f>
        <v/>
      </c>
      <c r="JB46" s="133" t="n"/>
      <c r="JC46" s="139">
        <f>JB46*100/$E$46</f>
        <v/>
      </c>
      <c r="JD46" s="133" t="n"/>
      <c r="JE46" s="139">
        <f>JD46*100/$E$46</f>
        <v/>
      </c>
      <c r="JF46" s="133" t="n"/>
      <c r="JG46" s="139">
        <f>JF46*100/$E$46</f>
        <v/>
      </c>
      <c r="JH46" s="133" t="n"/>
      <c r="JI46" s="139">
        <f>JH46*100/$E$46</f>
        <v/>
      </c>
      <c r="JJ46" s="133" t="n"/>
      <c r="JK46" s="139">
        <f>JJ46*100/$E$46</f>
        <v/>
      </c>
      <c r="JL46" s="133">
        <f>3+1+8</f>
        <v/>
      </c>
      <c r="JM46" s="139">
        <f>JL46*100/$E$46</f>
        <v/>
      </c>
      <c r="JN46" s="133" t="n"/>
      <c r="JO46" s="139">
        <f>JN46*100/$E$46</f>
        <v/>
      </c>
      <c r="JP46" s="133" t="n"/>
      <c r="JQ46" s="139">
        <f>JP46*100/$E$46</f>
        <v/>
      </c>
      <c r="JR46" s="133" t="n"/>
      <c r="JS46" s="182">
        <f>JR46*100/$E$46</f>
        <v/>
      </c>
      <c r="JT46" s="133" t="n"/>
      <c r="JU46" s="182">
        <f>JT46*100/$E$46</f>
        <v/>
      </c>
      <c r="JV46" s="133" t="n"/>
      <c r="JW46" s="182">
        <f>JV46*100/$E$46</f>
        <v/>
      </c>
      <c r="JX46" s="133" t="n"/>
      <c r="JY46" s="182">
        <f>JX46*100/$E$46</f>
        <v/>
      </c>
      <c r="JZ46" s="183">
        <f>JN46+JP46+JR46+JT46+JV46+JX46</f>
        <v/>
      </c>
      <c r="KA46" s="184">
        <f>JO46+JQ46+JS46+JU46+JW46+JY46</f>
        <v/>
      </c>
      <c r="KB46" s="185">
        <f>H46+J46+L46+N46+P46+R46+T46+V46+X46+Z46+AB46+AD46+AF46+AH46+AJ46+AL46+AN46+AP46+AR46+AT46+AV46+AX46+AZ46+BB46+BD46+BF46+BH46+BJ46+BL46+BN46+BP46+BR46+BT46+BV46+BX46+BZ46+CB46+CD46+CF46+CH46+CZ46+DB46+DD46+DF46+DH46+DJ46+DL46+DN46+DP46+DR46+DT46+DV46+DX46+DZ46+EB46+ED46+EF46+EH46+EJ46+EL46+EN46+EP46+ER46+ET46+EV46+FN46+FP46+FR46+FT46+FV46+FX46+FZ46+GB46+GD46+GF46+GH46+GJ46+GL46+GN46+GP46+GR46+GT46+GV46+GX46+GZ46+HB46+HD46+HF46+HH46+HJ46+HL46+HN46+HP46+HR46+HT46+HV46+HX46+HZ46+IB46+ID46+IF46+IH46+IJ46+IL46+IN46+IP46+IR46+IT46+IV46+IX46+IZ46+JB46+JD46+JF46+JH46+JJ46+JL46+JZ46+CJ46+CL46+CN46+CP46+CR46+CT46+CV46+CX46+EX46+EZ46+FB46+FD46+FF46+FH46+FJ46+FL46</f>
        <v/>
      </c>
      <c r="KC46" s="186">
        <f>I46+K46+M46+O46+Q46+S46+U46+W46+Y46+AA46+AC46+AE46+AG46+AI46+AK46+AM46+AO46+AQ46+AS46+AU46+AW46+AY46+BA46+BC46+BE46+BG46+BI46+BK46+BM46+BO46+BQ46+BS46+BU46+BW46+BY46+CA46+CC46+CE46+CG46+CI46+DA46+DC46+DE46+DG46+DI46+DK46+DM46+DO46+DQ46+DS46+DU46+DW46+DY46+EA46+EC46+EE46+EG46+EI46+EK46+EM46+EO46+EQ46+ES46+EU46+EW46+FO46+FS46+FU46+FW46+FQ46+FY46+GA46+GC46+GE46+GG46+GI46+GK46+GM46+GO46+GQ46+GS46+GU46+GW46+GY46+HA46+HC46+HE46+HG46+HI46+HK46+HM46+HO46+HQ46+HS46+HU46+HW46+HY46+IA46+IC46+IE46+IG46+II46+IK46+IM46+IO46+IQ46+IS46+IU46+IW46+IY46+JA46+JC46+JE46+JG46+JI46+JK46+JM46+KA46+CK46+CM46+CO46+CQ46+CS46+CU46+CW46+CY46+EY46+FA46+FC46+FE46+FG46+FI46+FK46+FM46</f>
        <v/>
      </c>
      <c r="KD46" s="187">
        <f>JO46+JQ46+JS46+JU46+JW46+JY46</f>
        <v/>
      </c>
      <c r="KE46" s="188">
        <f>KB46=E46</f>
        <v/>
      </c>
      <c r="KF46" s="189">
        <f>E46-KB46</f>
        <v/>
      </c>
      <c r="KG46" s="212" t="n"/>
    </row>
    <row r="47" ht="21.75" customFormat="1" customHeight="1" s="212">
      <c r="A47" s="126">
        <f>A46+1</f>
        <v/>
      </c>
      <c r="B47" s="175" t="inlineStr">
        <is>
          <t>Чередников В.С.</t>
        </is>
      </c>
      <c r="C47" s="176" t="inlineStr">
        <is>
          <t>токарь</t>
        </is>
      </c>
      <c r="D47" s="177">
        <f>$D$5</f>
        <v/>
      </c>
      <c r="E47" s="202" t="n">
        <v>191</v>
      </c>
      <c r="F47" s="193" t="n">
        <v>82183.91</v>
      </c>
      <c r="G47" s="179">
        <f>F47/D47</f>
        <v/>
      </c>
      <c r="H47" s="180" t="n"/>
      <c r="I47" s="140">
        <f>H47*100/$E$47</f>
        <v/>
      </c>
      <c r="J47" s="133" t="n"/>
      <c r="K47" s="140">
        <f>J47*100/$E$47</f>
        <v/>
      </c>
      <c r="L47" s="133" t="n"/>
      <c r="M47" s="140">
        <f>L47*100/$E$47</f>
        <v/>
      </c>
      <c r="N47" s="133" t="n"/>
      <c r="O47" s="140">
        <f>N47*100/$E$47</f>
        <v/>
      </c>
      <c r="P47" s="133" t="n"/>
      <c r="Q47" s="139">
        <f>P47*100/$E$47</f>
        <v/>
      </c>
      <c r="R47" s="133" t="n"/>
      <c r="S47" s="139">
        <f>R47*100/$E$47</f>
        <v/>
      </c>
      <c r="T47" s="133" t="n"/>
      <c r="U47" s="140">
        <f>T47*100/$E$47</f>
        <v/>
      </c>
      <c r="V47" s="133" t="n"/>
      <c r="W47" s="140">
        <f>V47*100/$E$47</f>
        <v/>
      </c>
      <c r="X47" s="133" t="n"/>
      <c r="Y47" s="140">
        <f>X47*100/$E$47</f>
        <v/>
      </c>
      <c r="Z47" s="133" t="n"/>
      <c r="AA47" s="140">
        <f>Z47*100/$E$47</f>
        <v/>
      </c>
      <c r="AB47" s="133" t="n">
        <v>8</v>
      </c>
      <c r="AC47" s="140">
        <f>AB47*100/$E$47</f>
        <v/>
      </c>
      <c r="AD47" s="133" t="n"/>
      <c r="AE47" s="139">
        <f>AD47*100/$E$47</f>
        <v/>
      </c>
      <c r="AF47" s="133" t="n"/>
      <c r="AG47" s="139">
        <f>AF47*100/$E$47</f>
        <v/>
      </c>
      <c r="AH47" s="133" t="n">
        <v>4</v>
      </c>
      <c r="AI47" s="140">
        <f>AH47*100/$E$47</f>
        <v/>
      </c>
      <c r="AJ47" s="133" t="n"/>
      <c r="AK47" s="140">
        <f>AJ47*100/$E$47</f>
        <v/>
      </c>
      <c r="AL47" s="133" t="n"/>
      <c r="AM47" s="140">
        <f>AL47*100/$E$47</f>
        <v/>
      </c>
      <c r="AN47" s="133" t="n">
        <v>7</v>
      </c>
      <c r="AO47" s="140">
        <f>AN47*100/$E$47</f>
        <v/>
      </c>
      <c r="AP47" s="133" t="n"/>
      <c r="AQ47" s="140">
        <f>AP47*100/$E$47</f>
        <v/>
      </c>
      <c r="AR47" s="133" t="n"/>
      <c r="AS47" s="140">
        <f>AR47*100/$E$47</f>
        <v/>
      </c>
      <c r="AT47" s="133" t="n"/>
      <c r="AU47" s="181">
        <f>AT47*100/$E$47</f>
        <v/>
      </c>
      <c r="AV47" s="133" t="n"/>
      <c r="AW47" s="140">
        <f>AV47*100/$E$47</f>
        <v/>
      </c>
      <c r="AX47" s="133" t="n"/>
      <c r="AY47" s="140">
        <f>AX47*100/$E$47</f>
        <v/>
      </c>
      <c r="AZ47" s="133" t="n"/>
      <c r="BA47" s="140">
        <f>AZ47*100/$E$47</f>
        <v/>
      </c>
      <c r="BB47" s="133" t="n"/>
      <c r="BC47" s="140">
        <f>BB47*100/$E$47</f>
        <v/>
      </c>
      <c r="BD47" s="133" t="n"/>
      <c r="BE47" s="140">
        <f>BD47*100/$E$47</f>
        <v/>
      </c>
      <c r="BF47" s="133" t="n">
        <v>8</v>
      </c>
      <c r="BG47" s="140">
        <f>BF47*100/$E$47</f>
        <v/>
      </c>
      <c r="BH47" s="133" t="n"/>
      <c r="BI47" s="140">
        <f>BH47*100/$E$47</f>
        <v/>
      </c>
      <c r="BJ47" s="133" t="n"/>
      <c r="BK47" s="140">
        <f>BJ47*100/$E$47</f>
        <v/>
      </c>
      <c r="BL47" s="133" t="n"/>
      <c r="BM47" s="140">
        <f>BL47*100/$E$47</f>
        <v/>
      </c>
      <c r="BN47" s="133" t="n"/>
      <c r="BO47" s="140">
        <f>BN47*100/$E$47</f>
        <v/>
      </c>
      <c r="BP47" s="133" t="n"/>
      <c r="BQ47" s="140">
        <f>BP47*100/$E$47</f>
        <v/>
      </c>
      <c r="BR47" s="133" t="n"/>
      <c r="BS47" s="140">
        <f>BR47*100/$E$47</f>
        <v/>
      </c>
      <c r="BT47" s="133" t="n"/>
      <c r="BU47" s="140">
        <f>BT47*100/$E$47</f>
        <v/>
      </c>
      <c r="BV47" s="133" t="n"/>
      <c r="BW47" s="140">
        <f>BV47*100/$E$47</f>
        <v/>
      </c>
      <c r="BX47" s="133" t="n"/>
      <c r="BY47" s="140">
        <f>BX47*100/$E$47</f>
        <v/>
      </c>
      <c r="BZ47" s="133" t="n"/>
      <c r="CA47" s="140">
        <f>BZ47*100/$E$47</f>
        <v/>
      </c>
      <c r="CB47" s="133" t="n"/>
      <c r="CC47" s="140">
        <f>CB47*100/$E$47</f>
        <v/>
      </c>
      <c r="CD47" s="133" t="n"/>
      <c r="CE47" s="140">
        <f>CD47*100/$E$47</f>
        <v/>
      </c>
      <c r="CF47" s="133" t="n"/>
      <c r="CG47" s="140">
        <f>CF47*100/$E$47</f>
        <v/>
      </c>
      <c r="CH47" s="133" t="n"/>
      <c r="CI47" s="140">
        <f>CH47*100/$E$47</f>
        <v/>
      </c>
      <c r="CJ47" s="133">
        <f>8+8</f>
        <v/>
      </c>
      <c r="CK47" s="140">
        <f>CJ47*100/$E$47</f>
        <v/>
      </c>
      <c r="CL47" s="133" t="n"/>
      <c r="CM47" s="140">
        <f>CL47*100/$E$47</f>
        <v/>
      </c>
      <c r="CN47" s="133">
        <f>3+8+4</f>
        <v/>
      </c>
      <c r="CO47" s="139">
        <f>CN47*100/$E$47</f>
        <v/>
      </c>
      <c r="CP47" s="133" t="n"/>
      <c r="CQ47" s="140">
        <f>CP47*100/$E$47</f>
        <v/>
      </c>
      <c r="CR47" s="133" t="n"/>
      <c r="CS47" s="139">
        <f>CR47*100/$E$47</f>
        <v/>
      </c>
      <c r="CT47" s="133" t="n"/>
      <c r="CU47" s="139">
        <f>CT47*100/$E$47</f>
        <v/>
      </c>
      <c r="CV47" s="133" t="n"/>
      <c r="CW47" s="139">
        <f>CV47*100/$E$47</f>
        <v/>
      </c>
      <c r="CX47" s="133" t="n"/>
      <c r="CY47" s="139">
        <f>CX47*100/$E$47</f>
        <v/>
      </c>
      <c r="CZ47" s="133" t="n"/>
      <c r="DA47" s="139">
        <f>CZ47*100/$E$47</f>
        <v/>
      </c>
      <c r="DB47" s="133">
        <f>1+4+8</f>
        <v/>
      </c>
      <c r="DC47" s="139">
        <f>DB47*100/$E$47</f>
        <v/>
      </c>
      <c r="DD47" s="133" t="n"/>
      <c r="DE47" s="139">
        <f>DD47*100/$E$47</f>
        <v/>
      </c>
      <c r="DF47" s="133" t="n"/>
      <c r="DG47" s="139">
        <f>DF47*100/$E$47</f>
        <v/>
      </c>
      <c r="DH47" s="133">
        <f>2+6</f>
        <v/>
      </c>
      <c r="DI47" s="139">
        <f>DH47*100/$E$47</f>
        <v/>
      </c>
      <c r="DJ47" s="133" t="n"/>
      <c r="DK47" s="139">
        <f>DJ47*100/$E$47</f>
        <v/>
      </c>
      <c r="DL47" s="133" t="n"/>
      <c r="DM47" s="139">
        <f>DL47*100/$E$47</f>
        <v/>
      </c>
      <c r="DN47" s="133" t="n"/>
      <c r="DO47" s="139">
        <f>DN47*100/$E$47</f>
        <v/>
      </c>
      <c r="DP47" s="133" t="n"/>
      <c r="DQ47" s="139">
        <f>DP47*100/$E$47</f>
        <v/>
      </c>
      <c r="DR47" s="133" t="n"/>
      <c r="DS47" s="139">
        <f>DR47*100/$E$47</f>
        <v/>
      </c>
      <c r="DT47" s="133" t="n"/>
      <c r="DU47" s="139">
        <f>DT47*100/$E$47</f>
        <v/>
      </c>
      <c r="DV47" s="133" t="n"/>
      <c r="DW47" s="139">
        <f>DV47*100/$E$47</f>
        <v/>
      </c>
      <c r="DX47" s="133" t="n"/>
      <c r="DY47" s="139">
        <f>DX47*100/$E$47</f>
        <v/>
      </c>
      <c r="DZ47" s="133">
        <f>8+8+8+8+8+7+8+7</f>
        <v/>
      </c>
      <c r="EA47" s="139">
        <f>DZ47*100/$E$47</f>
        <v/>
      </c>
      <c r="EB47" s="133" t="n"/>
      <c r="EC47" s="139">
        <f>EB47*100/$E$47</f>
        <v/>
      </c>
      <c r="ED47" s="133">
        <f>8+8+2</f>
        <v/>
      </c>
      <c r="EE47" s="139">
        <f>ED47*100/$E$47</f>
        <v/>
      </c>
      <c r="EF47" s="133" t="n"/>
      <c r="EG47" s="139">
        <f>EF47*100/$E$47</f>
        <v/>
      </c>
      <c r="EH47" s="133" t="n"/>
      <c r="EI47" s="139">
        <f>EH47*100/$E$47</f>
        <v/>
      </c>
      <c r="EJ47" s="133" t="n">
        <v>5</v>
      </c>
      <c r="EK47" s="139">
        <f>EJ47*100/$E$47</f>
        <v/>
      </c>
      <c r="EL47" s="133">
        <f>8+7+4</f>
        <v/>
      </c>
      <c r="EM47" s="139">
        <f>EL47*100/$E$47</f>
        <v/>
      </c>
      <c r="EN47" s="133" t="n">
        <v>1</v>
      </c>
      <c r="EO47" s="139">
        <f>EN47*100/$E$47</f>
        <v/>
      </c>
      <c r="EP47" s="133" t="n"/>
      <c r="EQ47" s="139">
        <f>EP47*100/$E$47</f>
        <v/>
      </c>
      <c r="ER47" s="133" t="n"/>
      <c r="ES47" s="139">
        <f>ER47*100/$E$47</f>
        <v/>
      </c>
      <c r="ET47" s="133" t="n"/>
      <c r="EU47" s="139">
        <f>ET47*100/$E$47</f>
        <v/>
      </c>
      <c r="EV47" s="133" t="n"/>
      <c r="EW47" s="139">
        <f>EV47*100/$E$47</f>
        <v/>
      </c>
      <c r="EX47" s="133" t="n"/>
      <c r="EY47" s="139">
        <f>EX47*100/$E$47</f>
        <v/>
      </c>
      <c r="EZ47" s="133" t="n"/>
      <c r="FA47" s="139">
        <f>EZ47*100/$E$47</f>
        <v/>
      </c>
      <c r="FB47" s="133" t="n">
        <v>1</v>
      </c>
      <c r="FC47" s="139">
        <f>FB47*100/$E$47</f>
        <v/>
      </c>
      <c r="FD47" s="133" t="n"/>
      <c r="FE47" s="139">
        <f>FD47*100/$E$47</f>
        <v/>
      </c>
      <c r="FF47" s="133" t="n"/>
      <c r="FG47" s="139">
        <f>FF47*100/$E$47</f>
        <v/>
      </c>
      <c r="FH47" s="133" t="n"/>
      <c r="FI47" s="139">
        <f>FH47*100/$E$47</f>
        <v/>
      </c>
      <c r="FJ47" s="133" t="n"/>
      <c r="FK47" s="139">
        <f>FJ47*100/$E$47</f>
        <v/>
      </c>
      <c r="FL47" s="133" t="n"/>
      <c r="FM47" s="139">
        <f>FL47*100/$E$47</f>
        <v/>
      </c>
      <c r="FN47" s="133" t="n"/>
      <c r="FO47" s="139">
        <f>FN47*100/$E$47</f>
        <v/>
      </c>
      <c r="FP47" s="133" t="n"/>
      <c r="FQ47" s="139">
        <f>FP47*100/$E$47</f>
        <v/>
      </c>
      <c r="FR47" s="133" t="n"/>
      <c r="FS47" s="139">
        <f>FR47*100/$E$47</f>
        <v/>
      </c>
      <c r="FT47" s="133" t="n"/>
      <c r="FU47" s="139">
        <f>FT47*100/$E$47</f>
        <v/>
      </c>
      <c r="FV47" s="133" t="n"/>
      <c r="FW47" s="139">
        <f>FV47*100/$E$47</f>
        <v/>
      </c>
      <c r="FX47" s="133" t="n"/>
      <c r="FY47" s="140">
        <f>FX47*100/$E$47</f>
        <v/>
      </c>
      <c r="FZ47" s="133" t="n"/>
      <c r="GA47" s="140">
        <f>FZ47*100/$E$47</f>
        <v/>
      </c>
      <c r="GB47" s="133" t="n"/>
      <c r="GC47" s="140">
        <f>GB47*100/$E$47</f>
        <v/>
      </c>
      <c r="GD47" s="133" t="n"/>
      <c r="GE47" s="140">
        <f>GD47*100/$E$47</f>
        <v/>
      </c>
      <c r="GF47" s="133" t="n"/>
      <c r="GG47" s="140">
        <f>GF47*100/$E$47</f>
        <v/>
      </c>
      <c r="GH47" s="133" t="n"/>
      <c r="GI47" s="140">
        <f>GH47*100/$E$47</f>
        <v/>
      </c>
      <c r="GJ47" s="133" t="n"/>
      <c r="GK47" s="139">
        <f>GJ47*100/$E$47</f>
        <v/>
      </c>
      <c r="GL47" s="133" t="n"/>
      <c r="GM47" s="140">
        <f>GL47*100/$E$47</f>
        <v/>
      </c>
      <c r="GN47" s="133" t="n"/>
      <c r="GO47" s="139">
        <f>GN47*100/$E$47</f>
        <v/>
      </c>
      <c r="GP47" s="133" t="n"/>
      <c r="GQ47" s="140">
        <f>GP47*100/$E$47</f>
        <v/>
      </c>
      <c r="GR47" s="133" t="n"/>
      <c r="GS47" s="139">
        <f>GR47*100/$E$47</f>
        <v/>
      </c>
      <c r="GT47" s="133" t="n"/>
      <c r="GU47" s="139">
        <f>GT47*100/$E$47</f>
        <v/>
      </c>
      <c r="GV47" s="133" t="n"/>
      <c r="GW47" s="139">
        <f>GV47*100/$E$47</f>
        <v/>
      </c>
      <c r="GX47" s="133" t="n"/>
      <c r="GY47" s="140">
        <f>GX47*100/$E$47</f>
        <v/>
      </c>
      <c r="GZ47" s="133" t="n"/>
      <c r="HA47" s="140">
        <f>GZ47*100/$E$47</f>
        <v/>
      </c>
      <c r="HB47" s="133" t="n"/>
      <c r="HC47" s="140">
        <f>HB47*100/$E$47</f>
        <v/>
      </c>
      <c r="HD47" s="133" t="n"/>
      <c r="HE47" s="140">
        <f>HD47*100/$E$47</f>
        <v/>
      </c>
      <c r="HF47" s="133" t="n"/>
      <c r="HG47" s="140">
        <f>HF47*100/$E$47</f>
        <v/>
      </c>
      <c r="HH47" s="133" t="n"/>
      <c r="HI47" s="140">
        <f>HH47*100/$E$47</f>
        <v/>
      </c>
      <c r="HJ47" s="133" t="n"/>
      <c r="HK47" s="140">
        <f>HJ47*100/$E$47</f>
        <v/>
      </c>
      <c r="HL47" s="133" t="n"/>
      <c r="HM47" s="140">
        <f>HL47*100/$E$47</f>
        <v/>
      </c>
      <c r="HN47" s="133">
        <f>2+2</f>
        <v/>
      </c>
      <c r="HO47" s="140">
        <f>HN47*100/$E$47</f>
        <v/>
      </c>
      <c r="HP47" s="133" t="n"/>
      <c r="HQ47" s="140">
        <f>HP47*100/$E$47</f>
        <v/>
      </c>
      <c r="HR47" s="133" t="n"/>
      <c r="HS47" s="140">
        <f>HR47*100/$E$47</f>
        <v/>
      </c>
      <c r="HT47" s="133" t="n"/>
      <c r="HU47" s="140">
        <f>HT47*100/$E$47</f>
        <v/>
      </c>
      <c r="HV47" s="133" t="n"/>
      <c r="HW47" s="140">
        <f>HV47*100/$E$47</f>
        <v/>
      </c>
      <c r="HX47" s="133" t="n"/>
      <c r="HY47" s="140">
        <f>HX47*100/$E$47</f>
        <v/>
      </c>
      <c r="HZ47" s="133" t="n"/>
      <c r="IA47" s="139">
        <f>HZ47*100/$E$47</f>
        <v/>
      </c>
      <c r="IB47" s="133" t="n"/>
      <c r="IC47" s="139">
        <f>IB47*100/$E$47</f>
        <v/>
      </c>
      <c r="ID47" s="133" t="n"/>
      <c r="IE47" s="139">
        <f>ID47*100/$E$47</f>
        <v/>
      </c>
      <c r="IF47" s="133" t="n"/>
      <c r="IG47" s="139">
        <f>IF47*100/$E$47</f>
        <v/>
      </c>
      <c r="IH47" s="133" t="n"/>
      <c r="II47" s="139">
        <f>IH47*100/$E$47</f>
        <v/>
      </c>
      <c r="IJ47" s="133" t="n"/>
      <c r="IK47" s="139">
        <f>IJ47*100/$E$47</f>
        <v/>
      </c>
      <c r="IL47" s="133" t="n"/>
      <c r="IM47" s="140">
        <f>IL47*100/$E$47</f>
        <v/>
      </c>
      <c r="IN47" s="133" t="n"/>
      <c r="IO47" s="140">
        <f>IN47*100/$E$47</f>
        <v/>
      </c>
      <c r="IP47" s="133" t="n"/>
      <c r="IQ47" s="139">
        <f>IP47*100/$E$47</f>
        <v/>
      </c>
      <c r="IR47" s="133" t="n"/>
      <c r="IS47" s="139">
        <f>IR47*100/$E$47</f>
        <v/>
      </c>
      <c r="IT47" s="133" t="n"/>
      <c r="IU47" s="139">
        <f>IT47*100/$E$47</f>
        <v/>
      </c>
      <c r="IV47" s="133" t="n"/>
      <c r="IW47" s="139">
        <f>IV47*100/$E$47</f>
        <v/>
      </c>
      <c r="IX47" s="133" t="n"/>
      <c r="IY47" s="139">
        <f>IX47*100/$E$47</f>
        <v/>
      </c>
      <c r="IZ47" s="133" t="n"/>
      <c r="JA47" s="139">
        <f>IZ47*100/$E$47</f>
        <v/>
      </c>
      <c r="JB47" s="133" t="n"/>
      <c r="JC47" s="139">
        <f>JB47*100/$E$47</f>
        <v/>
      </c>
      <c r="JD47" s="133" t="n"/>
      <c r="JE47" s="139">
        <f>JD47*100/$E$47</f>
        <v/>
      </c>
      <c r="JF47" s="133" t="n"/>
      <c r="JG47" s="139">
        <f>JF47*100/$E$47</f>
        <v/>
      </c>
      <c r="JH47" s="133" t="n"/>
      <c r="JI47" s="139">
        <f>JH47*100/$E$47</f>
        <v/>
      </c>
      <c r="JJ47" s="133" t="n"/>
      <c r="JK47" s="139">
        <f>JJ47*100/$E$47</f>
        <v/>
      </c>
      <c r="JL47" s="133" t="n">
        <v>2</v>
      </c>
      <c r="JM47" s="139">
        <f>JL47*100/$E$47</f>
        <v/>
      </c>
      <c r="JN47" s="133" t="n"/>
      <c r="JO47" s="139">
        <f>JN47*100/$E$47</f>
        <v/>
      </c>
      <c r="JP47" s="133" t="n"/>
      <c r="JQ47" s="139">
        <f>JP47*100/$E$47</f>
        <v/>
      </c>
      <c r="JR47" s="133" t="n"/>
      <c r="JS47" s="182">
        <f>JR47*100/$E$47</f>
        <v/>
      </c>
      <c r="JT47" s="133" t="n"/>
      <c r="JU47" s="182">
        <f>JT47*100/$E$47</f>
        <v/>
      </c>
      <c r="JV47" s="133" t="n"/>
      <c r="JW47" s="182">
        <f>JV47*100/$E$47</f>
        <v/>
      </c>
      <c r="JX47" s="133" t="n"/>
      <c r="JY47" s="182">
        <f>JX47*100/$E$47</f>
        <v/>
      </c>
      <c r="JZ47" s="183">
        <f>JN47+JP47+JR47+JT47+JV47+JX47</f>
        <v/>
      </c>
      <c r="KA47" s="184">
        <f>JO47+JQ47+JS47+JU47+JW47+JY47</f>
        <v/>
      </c>
      <c r="KB47" s="185">
        <f>H47+J47+L47+N47+P47+R47+T47+V47+X47+Z47+AB47+AD47+AF47+AH47+AJ47+AL47+AN47+AP47+AR47+AT47+AV47+AX47+AZ47+BB47+BD47+BF47+BH47+BJ47+BL47+BN47+BP47+BR47+BT47+BV47+BX47+BZ47+CB47+CD47+CF47+CH47+CZ47+DB47+DD47+DF47+DH47+DJ47+DL47+DN47+DP47+DR47+DT47+DV47+DX47+DZ47+EB47+ED47+EF47+EH47+EJ47+EL47+EN47+EP47+ER47+ET47+EV47+FN47+FP47+FR47+FT47+FV47+FX47+FZ47+GB47+GD47+GF47+GH47+GJ47+GL47+GN47+GP47+GR47+GT47+GV47+GX47+GZ47+HB47+HD47+HF47+HH47+HJ47+HL47+HN47+HP47+HR47+HT47+HV47+HX47+HZ47+IB47+ID47+IF47+IH47+IJ47+IL47+IN47+IP47+IR47+IT47+IV47+IX47+IZ47+JB47+JD47+JF47+JH47+JJ47+JL47+JZ47+CJ47+CL47+CN47+CP47+CR47+CT47+CV47+CX47+EX47+EZ47+FB47+FD47+FF47+FH47+FJ47+FL47</f>
        <v/>
      </c>
      <c r="KC47" s="186">
        <f>I47+K47+M47+O47+Q47+S47+U47+W47+Y47+AA47+AC47+AE47+AG47+AI47+AK47+AM47+AO47+AQ47+AS47+AU47+AW47+AY47+BA47+BC47+BE47+BG47+BI47+BK47+BM47+BO47+BQ47+BS47+BU47+BW47+BY47+CA47+CC47+CE47+CG47+CI47+DA47+DC47+DE47+DG47+DI47+DK47+DM47+DO47+DQ47+DS47+DU47+DW47+DY47+EA47+EC47+EE47+EG47+EI47+EK47+EM47+EO47+EQ47+ES47+EU47+EW47+FO47+FS47+FU47+FW47+FQ47+FY47+GA47+GC47+GE47+GG47+GI47+GK47+GM47+GO47+GQ47+GS47+GU47+GW47+GY47+HA47+HC47+HE47+HG47+HI47+HK47+HM47+HO47+HQ47+HS47+HU47+HW47+HY47+IA47+IC47+IE47+IG47+II47+IK47+IM47+IO47+IQ47+IS47+IU47+IW47+IY47+JA47+JC47+JE47+JG47+JI47+JK47+JM47+KA47+CK47+CM47+CO47+CQ47+CS47+CU47+CW47+CY47+EY47+FA47+FC47+FE47+FG47+FI47+FK47+FM47</f>
        <v/>
      </c>
      <c r="KD47" s="187">
        <f>JO47+JQ47+JS47+JU47+JW47+JY47</f>
        <v/>
      </c>
      <c r="KE47" s="188">
        <f>KB47=E47</f>
        <v/>
      </c>
      <c r="KF47" s="189">
        <f>E47-KB47</f>
        <v/>
      </c>
      <c r="KG47" s="210" t="n"/>
    </row>
    <row r="48" ht="21.75" customFormat="1" customHeight="1" s="195">
      <c r="A48" s="126">
        <f>A47+1</f>
        <v/>
      </c>
      <c r="B48" s="175" t="inlineStr">
        <is>
          <t>Федотов Е.А.</t>
        </is>
      </c>
      <c r="C48" s="176" t="inlineStr">
        <is>
          <t>термист</t>
        </is>
      </c>
      <c r="D48" s="177">
        <f>$D$5</f>
        <v/>
      </c>
      <c r="E48" s="202" t="n">
        <v>159</v>
      </c>
      <c r="F48" s="193" t="n">
        <v>75793.16</v>
      </c>
      <c r="G48" s="179">
        <f>F48/D48</f>
        <v/>
      </c>
      <c r="H48" s="180" t="n"/>
      <c r="I48" s="140">
        <f>H48*100/$E$48</f>
        <v/>
      </c>
      <c r="J48" s="133" t="n"/>
      <c r="K48" s="140">
        <f>J48*100/$E$48</f>
        <v/>
      </c>
      <c r="L48" s="133" t="n"/>
      <c r="M48" s="140">
        <f>L48*100/$E$48</f>
        <v/>
      </c>
      <c r="N48" s="133" t="n"/>
      <c r="O48" s="140">
        <f>N48*100/$E$48</f>
        <v/>
      </c>
      <c r="P48" s="133" t="n"/>
      <c r="Q48" s="139">
        <f>P48*100/$E$48</f>
        <v/>
      </c>
      <c r="R48" s="133" t="n"/>
      <c r="S48" s="139">
        <f>R48*100/$E$48</f>
        <v/>
      </c>
      <c r="T48" s="133" t="n"/>
      <c r="U48" s="140">
        <f>T48*100/$E$48</f>
        <v/>
      </c>
      <c r="V48" s="133" t="n"/>
      <c r="W48" s="140">
        <f>V48*100/$E$48</f>
        <v/>
      </c>
      <c r="X48" s="133" t="n"/>
      <c r="Y48" s="140">
        <f>X48*100/$E$48</f>
        <v/>
      </c>
      <c r="Z48" s="133" t="n"/>
      <c r="AA48" s="140">
        <f>Z48*100/$E$48</f>
        <v/>
      </c>
      <c r="AB48" s="133">
        <f>2+1</f>
        <v/>
      </c>
      <c r="AC48" s="140">
        <f>AB48*100/$E$48</f>
        <v/>
      </c>
      <c r="AD48" s="133" t="n"/>
      <c r="AE48" s="139">
        <f>AD48*100/$E$48</f>
        <v/>
      </c>
      <c r="AF48" s="133" t="n"/>
      <c r="AG48" s="139">
        <f>AF48*100/$E$48</f>
        <v/>
      </c>
      <c r="AH48" s="133" t="n">
        <v>3</v>
      </c>
      <c r="AI48" s="140">
        <f>AH48*100/$E$48</f>
        <v/>
      </c>
      <c r="AJ48" s="133" t="n">
        <v>3</v>
      </c>
      <c r="AK48" s="140">
        <f>AJ48*100/$E$48</f>
        <v/>
      </c>
      <c r="AL48" s="133" t="n">
        <v>2.5</v>
      </c>
      <c r="AM48" s="140">
        <f>AL48*100/$E$48</f>
        <v/>
      </c>
      <c r="AN48" s="133" t="n"/>
      <c r="AO48" s="140">
        <f>AN48*100/$E$48</f>
        <v/>
      </c>
      <c r="AP48" s="133" t="n"/>
      <c r="AQ48" s="140">
        <f>AP48*100/$E$48</f>
        <v/>
      </c>
      <c r="AR48" s="133" t="n"/>
      <c r="AS48" s="140">
        <f>AR48*100/$E$48</f>
        <v/>
      </c>
      <c r="AT48" s="133" t="n"/>
      <c r="AU48" s="181">
        <f>AT48*100/$E$48</f>
        <v/>
      </c>
      <c r="AV48" s="133" t="n">
        <v>3</v>
      </c>
      <c r="AW48" s="140">
        <f>AV48*100/$E$48</f>
        <v/>
      </c>
      <c r="AX48" s="133" t="n"/>
      <c r="AY48" s="140">
        <f>AX48*100/$E$48</f>
        <v/>
      </c>
      <c r="AZ48" s="133" t="n"/>
      <c r="BA48" s="140">
        <f>AZ48*100/$E$48</f>
        <v/>
      </c>
      <c r="BB48" s="133" t="n"/>
      <c r="BC48" s="140">
        <f>BB48*100/$E$48</f>
        <v/>
      </c>
      <c r="BD48" s="133" t="n"/>
      <c r="BE48" s="140">
        <f>BD48*100/$E$48</f>
        <v/>
      </c>
      <c r="BF48" s="133" t="n"/>
      <c r="BG48" s="140">
        <f>BF48*100/$E$48</f>
        <v/>
      </c>
      <c r="BH48" s="133" t="n"/>
      <c r="BI48" s="140">
        <f>BH48*100/$E$48</f>
        <v/>
      </c>
      <c r="BJ48" s="133">
        <f>3+2+2+2</f>
        <v/>
      </c>
      <c r="BK48" s="140">
        <f>BJ48*100/$E$48</f>
        <v/>
      </c>
      <c r="BL48" s="133" t="n"/>
      <c r="BM48" s="140">
        <f>BL48*100/$E$48</f>
        <v/>
      </c>
      <c r="BN48" s="133" t="n"/>
      <c r="BO48" s="140">
        <f>BN48*100/$E$48</f>
        <v/>
      </c>
      <c r="BP48" s="133" t="n"/>
      <c r="BQ48" s="140">
        <f>BP48*100/$E$48</f>
        <v/>
      </c>
      <c r="BR48" s="133" t="n"/>
      <c r="BS48" s="140">
        <f>BR48*100/$E$48</f>
        <v/>
      </c>
      <c r="BT48" s="133" t="n"/>
      <c r="BU48" s="140">
        <f>BT48*100/$E$48</f>
        <v/>
      </c>
      <c r="BV48" s="133" t="n"/>
      <c r="BW48" s="140">
        <f>BV48*100/$E$48</f>
        <v/>
      </c>
      <c r="BX48" s="133" t="n"/>
      <c r="BY48" s="140">
        <f>BX48*100/$E$48</f>
        <v/>
      </c>
      <c r="BZ48" s="133" t="n"/>
      <c r="CA48" s="140">
        <f>BZ48*100/$E$48</f>
        <v/>
      </c>
      <c r="CB48" s="133">
        <f>7+2</f>
        <v/>
      </c>
      <c r="CC48" s="140">
        <f>CB48*100/$E$48</f>
        <v/>
      </c>
      <c r="CD48" s="133" t="n"/>
      <c r="CE48" s="140">
        <f>CD48*100/$E$48</f>
        <v/>
      </c>
      <c r="CF48" s="133">
        <f>4+4+2+3</f>
        <v/>
      </c>
      <c r="CG48" s="140">
        <f>CF48*100/$E$48</f>
        <v/>
      </c>
      <c r="CH48" s="133" t="n"/>
      <c r="CI48" s="140">
        <f>CH48*100/$E$48</f>
        <v/>
      </c>
      <c r="CJ48" s="133" t="n"/>
      <c r="CK48" s="140">
        <f>CJ48*100/$E$48</f>
        <v/>
      </c>
      <c r="CL48" s="133" t="n"/>
      <c r="CM48" s="140">
        <f>CL48*100/$E$48</f>
        <v/>
      </c>
      <c r="CN48" s="133" t="n"/>
      <c r="CO48" s="139">
        <f>CN48*100/$E$48</f>
        <v/>
      </c>
      <c r="CP48" s="133" t="n"/>
      <c r="CQ48" s="140">
        <f>CP48*100/$E$48</f>
        <v/>
      </c>
      <c r="CR48" s="133" t="n">
        <v>4</v>
      </c>
      <c r="CS48" s="139">
        <f>CR48*100/$E$48</f>
        <v/>
      </c>
      <c r="CT48" s="133" t="n"/>
      <c r="CU48" s="139">
        <f>CT48*100/$E$48</f>
        <v/>
      </c>
      <c r="CV48" s="133" t="n"/>
      <c r="CW48" s="139">
        <f>CV48*100/$E$48</f>
        <v/>
      </c>
      <c r="CX48" s="133" t="n"/>
      <c r="CY48" s="139">
        <f>CX48*100/$E$48</f>
        <v/>
      </c>
      <c r="CZ48" s="133" t="n"/>
      <c r="DA48" s="139">
        <f>CZ48*100/$E$48</f>
        <v/>
      </c>
      <c r="DB48" s="133" t="n">
        <v>2</v>
      </c>
      <c r="DC48" s="139">
        <f>DB48*100/$E$48</f>
        <v/>
      </c>
      <c r="DD48" s="133" t="n"/>
      <c r="DE48" s="139">
        <f>DD48*100/$E$48</f>
        <v/>
      </c>
      <c r="DF48" s="133" t="n">
        <v>3</v>
      </c>
      <c r="DG48" s="139">
        <f>DF48*100/$E$48</f>
        <v/>
      </c>
      <c r="DH48" s="133" t="n">
        <v>2</v>
      </c>
      <c r="DI48" s="139">
        <f>DH48*100/$E$48</f>
        <v/>
      </c>
      <c r="DJ48" s="133" t="n">
        <v>3</v>
      </c>
      <c r="DK48" s="139">
        <f>DJ48*100/$E$48</f>
        <v/>
      </c>
      <c r="DL48" s="133" t="n"/>
      <c r="DM48" s="139">
        <f>DL48*100/$E$48</f>
        <v/>
      </c>
      <c r="DN48" s="133" t="n">
        <v>4</v>
      </c>
      <c r="DO48" s="139">
        <f>DN48*100/$E$48</f>
        <v/>
      </c>
      <c r="DP48" s="133">
        <f>1+1+2+1+1+4</f>
        <v/>
      </c>
      <c r="DQ48" s="139">
        <f>DP48*100/$E$48</f>
        <v/>
      </c>
      <c r="DR48" s="133" t="n">
        <v>2</v>
      </c>
      <c r="DS48" s="139">
        <f>DR48*100/$E$48</f>
        <v/>
      </c>
      <c r="DT48" s="133" t="n"/>
      <c r="DU48" s="139">
        <f>DT48*100/$E$48</f>
        <v/>
      </c>
      <c r="DV48" s="133" t="n"/>
      <c r="DW48" s="139">
        <f>DV48*100/$E$48</f>
        <v/>
      </c>
      <c r="DX48" s="133" t="n"/>
      <c r="DY48" s="139">
        <f>DX48*100/$E$48</f>
        <v/>
      </c>
      <c r="DZ48" s="133" t="n"/>
      <c r="EA48" s="139">
        <f>DZ48*100/$E$48</f>
        <v/>
      </c>
      <c r="EB48" s="133" t="n"/>
      <c r="EC48" s="139">
        <f>EB48*100/$E$48</f>
        <v/>
      </c>
      <c r="ED48" s="133" t="n"/>
      <c r="EE48" s="139">
        <f>ED48*100/$E$48</f>
        <v/>
      </c>
      <c r="EF48" s="133" t="n"/>
      <c r="EG48" s="139">
        <f>EF48*100/$E$48</f>
        <v/>
      </c>
      <c r="EH48" s="133">
        <f>1+1+2+2+1+1+4</f>
        <v/>
      </c>
      <c r="EI48" s="139">
        <f>EH48*100/$E$48</f>
        <v/>
      </c>
      <c r="EJ48" s="133">
        <f>1+2+2+4</f>
        <v/>
      </c>
      <c r="EK48" s="139">
        <f>EJ48*100/$E$48</f>
        <v/>
      </c>
      <c r="EL48" s="133" t="n">
        <v>3</v>
      </c>
      <c r="EM48" s="139">
        <f>EL48*100/$E$48</f>
        <v/>
      </c>
      <c r="EN48" s="133" t="n">
        <v>4</v>
      </c>
      <c r="EO48" s="139">
        <f>EN48*100/$E$48</f>
        <v/>
      </c>
      <c r="EP48" s="133" t="n">
        <v>2</v>
      </c>
      <c r="EQ48" s="139">
        <f>EP48*100/$E$48</f>
        <v/>
      </c>
      <c r="ER48" s="133" t="n"/>
      <c r="ES48" s="139">
        <f>ER48*100/$E$48</f>
        <v/>
      </c>
      <c r="ET48" s="133" t="n"/>
      <c r="EU48" s="139">
        <f>ET48*100/$E$48</f>
        <v/>
      </c>
      <c r="EV48" s="133" t="n"/>
      <c r="EW48" s="139">
        <f>EV48*100/$E$48</f>
        <v/>
      </c>
      <c r="EX48" s="133" t="n">
        <v>2</v>
      </c>
      <c r="EY48" s="139">
        <f>EX48*100/$E$48</f>
        <v/>
      </c>
      <c r="EZ48" s="133" t="n"/>
      <c r="FA48" s="139">
        <f>EZ48*100/$E$48</f>
        <v/>
      </c>
      <c r="FB48" s="133" t="n">
        <v>2</v>
      </c>
      <c r="FC48" s="139">
        <f>FB48*100/$E$48</f>
        <v/>
      </c>
      <c r="FD48" s="133" t="n">
        <v>2</v>
      </c>
      <c r="FE48" s="139">
        <f>FD48*100/$E$48</f>
        <v/>
      </c>
      <c r="FF48" s="133" t="n">
        <v>2</v>
      </c>
      <c r="FG48" s="139">
        <f>FF48*100/$E$48</f>
        <v/>
      </c>
      <c r="FH48" s="133" t="n"/>
      <c r="FI48" s="139">
        <f>FH48*100/$E$48</f>
        <v/>
      </c>
      <c r="FJ48" s="133" t="n"/>
      <c r="FK48" s="139">
        <f>FJ48*100/$E$48</f>
        <v/>
      </c>
      <c r="FL48" s="133" t="n"/>
      <c r="FM48" s="139">
        <f>FL48*100/$E$48</f>
        <v/>
      </c>
      <c r="FN48" s="133">
        <f>2+2</f>
        <v/>
      </c>
      <c r="FO48" s="139">
        <f>FN48*100/$E$48</f>
        <v/>
      </c>
      <c r="FP48" s="133" t="n"/>
      <c r="FQ48" s="139">
        <f>FP48*100/$E$48</f>
        <v/>
      </c>
      <c r="FR48" s="133" t="n">
        <v>2</v>
      </c>
      <c r="FS48" s="139">
        <f>FR48*100/$E$48</f>
        <v/>
      </c>
      <c r="FT48" s="133" t="n"/>
      <c r="FU48" s="139">
        <f>FT48*100/$E$48</f>
        <v/>
      </c>
      <c r="FV48" s="133" t="n"/>
      <c r="FW48" s="139">
        <f>FV48*100/$E$48</f>
        <v/>
      </c>
      <c r="FX48" s="133" t="n"/>
      <c r="FY48" s="140">
        <f>FX48*100/$E$48</f>
        <v/>
      </c>
      <c r="FZ48" s="133" t="n"/>
      <c r="GA48" s="140">
        <f>FZ48*100/$E$48</f>
        <v/>
      </c>
      <c r="GB48" s="133" t="n"/>
      <c r="GC48" s="140">
        <f>GB48*100/$E$48</f>
        <v/>
      </c>
      <c r="GD48" s="133" t="n"/>
      <c r="GE48" s="140">
        <f>GD48*100/$E$48</f>
        <v/>
      </c>
      <c r="GF48" s="133" t="n"/>
      <c r="GG48" s="140">
        <f>GF48*100/$E$48</f>
        <v/>
      </c>
      <c r="GH48" s="133" t="n"/>
      <c r="GI48" s="140">
        <f>GH48*100/$E$48</f>
        <v/>
      </c>
      <c r="GJ48" s="133" t="n"/>
      <c r="GK48" s="139">
        <f>GJ48*100/$E$48</f>
        <v/>
      </c>
      <c r="GL48" s="133">
        <f>3+3</f>
        <v/>
      </c>
      <c r="GM48" s="140">
        <f>GL48*100/$E$48</f>
        <v/>
      </c>
      <c r="GN48" s="133" t="n"/>
      <c r="GO48" s="139">
        <f>GN48*100/$E$48</f>
        <v/>
      </c>
      <c r="GP48" s="133" t="n"/>
      <c r="GQ48" s="140">
        <f>GP48*100/$E$48</f>
        <v/>
      </c>
      <c r="GR48" s="133" t="n"/>
      <c r="GS48" s="139">
        <f>GR48*100/$E$48</f>
        <v/>
      </c>
      <c r="GT48" s="133" t="n"/>
      <c r="GU48" s="139">
        <f>GT48*100/$E$48</f>
        <v/>
      </c>
      <c r="GV48" s="133" t="n"/>
      <c r="GW48" s="139">
        <f>GV48*100/$E$48</f>
        <v/>
      </c>
      <c r="GX48" s="133" t="n">
        <v>8</v>
      </c>
      <c r="GY48" s="140">
        <f>GX48*100/$E$48</f>
        <v/>
      </c>
      <c r="GZ48" s="133" t="n"/>
      <c r="HA48" s="140">
        <f>GZ48*100/$E$48</f>
        <v/>
      </c>
      <c r="HB48" s="133" t="n"/>
      <c r="HC48" s="140">
        <f>HB48*100/$E$48</f>
        <v/>
      </c>
      <c r="HD48" s="133" t="n"/>
      <c r="HE48" s="140">
        <f>HD48*100/$E$48</f>
        <v/>
      </c>
      <c r="HF48" s="133" t="n"/>
      <c r="HG48" s="140">
        <f>HF48*100/$E$48</f>
        <v/>
      </c>
      <c r="HH48" s="133" t="n"/>
      <c r="HI48" s="140">
        <f>HH48*100/$E$48</f>
        <v/>
      </c>
      <c r="HJ48" s="133" t="n"/>
      <c r="HK48" s="140">
        <f>HJ48*100/$E$48</f>
        <v/>
      </c>
      <c r="HL48" s="133" t="n"/>
      <c r="HM48" s="140">
        <f>HL48*100/$E$48</f>
        <v/>
      </c>
      <c r="HN48" s="133" t="n">
        <v>2.5</v>
      </c>
      <c r="HO48" s="140">
        <f>HN48*100/$E$48</f>
        <v/>
      </c>
      <c r="HP48" s="133">
        <f>2+4+8</f>
        <v/>
      </c>
      <c r="HQ48" s="140">
        <f>HP48*100/$E$48</f>
        <v/>
      </c>
      <c r="HR48" s="133" t="n">
        <v>3</v>
      </c>
      <c r="HS48" s="140">
        <f>HR48*100/$E$48</f>
        <v/>
      </c>
      <c r="HT48" s="133" t="n"/>
      <c r="HU48" s="140">
        <f>HT48*100/$E$48</f>
        <v/>
      </c>
      <c r="HV48" s="133" t="n"/>
      <c r="HW48" s="140">
        <f>HV48*100/$E$48</f>
        <v/>
      </c>
      <c r="HX48" s="133" t="n"/>
      <c r="HY48" s="140">
        <f>HX48*100/$E$48</f>
        <v/>
      </c>
      <c r="HZ48" s="133" t="n"/>
      <c r="IA48" s="139">
        <f>HZ48*100/$E$48</f>
        <v/>
      </c>
      <c r="IB48" s="133" t="n"/>
      <c r="IC48" s="139">
        <f>IB48*100/$E$48</f>
        <v/>
      </c>
      <c r="ID48" s="133" t="n"/>
      <c r="IE48" s="139">
        <f>ID48*100/$E$48</f>
        <v/>
      </c>
      <c r="IF48" s="133" t="n"/>
      <c r="IG48" s="139">
        <f>IF48*100/$E$48</f>
        <v/>
      </c>
      <c r="IH48" s="133" t="n"/>
      <c r="II48" s="139">
        <f>IH48*100/$E$48</f>
        <v/>
      </c>
      <c r="IJ48" s="133" t="n"/>
      <c r="IK48" s="139">
        <f>IJ48*100/$E$48</f>
        <v/>
      </c>
      <c r="IL48" s="133" t="n"/>
      <c r="IM48" s="140">
        <f>IL48*100/$E$48</f>
        <v/>
      </c>
      <c r="IN48" s="133" t="n"/>
      <c r="IO48" s="140">
        <f>IN48*100/$E$48</f>
        <v/>
      </c>
      <c r="IP48" s="133" t="n"/>
      <c r="IQ48" s="139">
        <f>IP48*100/$E$48</f>
        <v/>
      </c>
      <c r="IR48" s="133" t="n"/>
      <c r="IS48" s="139">
        <f>IR48*100/$E$48</f>
        <v/>
      </c>
      <c r="IT48" s="133" t="n"/>
      <c r="IU48" s="139">
        <f>IT48*100/$E$48</f>
        <v/>
      </c>
      <c r="IV48" s="133" t="n"/>
      <c r="IW48" s="139">
        <f>IV48*100/$E$48</f>
        <v/>
      </c>
      <c r="IX48" s="133" t="n"/>
      <c r="IY48" s="139">
        <f>IX48*100/$E$48</f>
        <v/>
      </c>
      <c r="IZ48" s="133" t="n"/>
      <c r="JA48" s="139">
        <f>IZ48*100/$E$48</f>
        <v/>
      </c>
      <c r="JB48" s="133" t="n"/>
      <c r="JC48" s="139">
        <f>JB48*100/$E$48</f>
        <v/>
      </c>
      <c r="JD48" s="133" t="n"/>
      <c r="JE48" s="139">
        <f>JD48*100/$E$48</f>
        <v/>
      </c>
      <c r="JF48" s="133" t="n"/>
      <c r="JG48" s="139">
        <f>JF48*100/$E$48</f>
        <v/>
      </c>
      <c r="JH48" s="133" t="n"/>
      <c r="JI48" s="139">
        <f>JH48*100/$E$48</f>
        <v/>
      </c>
      <c r="JJ48" s="133" t="n"/>
      <c r="JK48" s="139">
        <f>JJ48*100/$E$48</f>
        <v/>
      </c>
      <c r="JL48" s="133">
        <f>4+2</f>
        <v/>
      </c>
      <c r="JM48" s="139">
        <f>JL48*100/$E$48</f>
        <v/>
      </c>
      <c r="JN48" s="133" t="n"/>
      <c r="JO48" s="139">
        <f>JN48*100/$E$48</f>
        <v/>
      </c>
      <c r="JP48" s="133" t="n"/>
      <c r="JQ48" s="139">
        <f>JP48*100/$E$48</f>
        <v/>
      </c>
      <c r="JR48" s="133" t="n"/>
      <c r="JS48" s="182">
        <f>JR48*100/$E$48</f>
        <v/>
      </c>
      <c r="JT48" s="133" t="n"/>
      <c r="JU48" s="182">
        <f>JT48*100/$E$48</f>
        <v/>
      </c>
      <c r="JV48" s="133" t="n"/>
      <c r="JW48" s="182">
        <f>JV48*100/$E$48</f>
        <v/>
      </c>
      <c r="JX48" s="133" t="n"/>
      <c r="JY48" s="182">
        <f>JX48*100/$E$48</f>
        <v/>
      </c>
      <c r="JZ48" s="183">
        <f>JN48+JP48+JR48+JT48+JV48+JX48</f>
        <v/>
      </c>
      <c r="KA48" s="184">
        <f>JO48+JQ48+JS48+JU48+JW48+JY48</f>
        <v/>
      </c>
      <c r="KB48" s="185">
        <f>H48+J48+L48+N48+P48+R48+T48+V48+X48+Z48+AB48+AD48+AF48+AH48+AJ48+AL48+AN48+AP48+AR48+AT48+AV48+AX48+AZ48+BB48+BD48+BF48+BH48+BJ48+BL48+BN48+BP48+BR48+BT48+BV48+BX48+BZ48+CB48+CD48+CF48+CH48+CZ48+DB48+DD48+DF48+DH48+DJ48+DL48+DN48+DP48+DR48+DT48+DV48+DX48+DZ48+EB48+ED48+EF48+EH48+EJ48+EL48+EN48+EP48+ER48+ET48+EV48+FN48+FP48+FR48+FT48+FV48+FX48+FZ48+GB48+GD48+GF48+GH48+GJ48+GL48+GN48+GP48+GR48+GT48+GV48+GX48+GZ48+HB48+HD48+HF48+HH48+HJ48+HL48+HN48+HP48+HR48+HT48+HV48+HX48+HZ48+IB48+ID48+IF48+IH48+IJ48+IL48+IN48+IP48+IR48+IT48+IV48+IX48+IZ48+JB48+JD48+JF48+JH48+JJ48+JL48+JZ48+CJ48+CL48+CN48+CP48+CR48+CT48+CV48+CX48+EX48+EZ48+FB48+FD48+FF48+FH48+FJ48+FL48</f>
        <v/>
      </c>
      <c r="KC48" s="186">
        <f>I48+K48+M48+O48+Q48+S48+U48+W48+Y48+AA48+AC48+AE48+AG48+AI48+AK48+AM48+AO48+AQ48+AS48+AU48+AW48+AY48+BA48+BC48+BE48+BG48+BI48+BK48+BM48+BO48+BQ48+BS48+BU48+BW48+BY48+CA48+CC48+CE48+CG48+CI48+DA48+DC48+DE48+DG48+DI48+DK48+DM48+DO48+DQ48+DS48+DU48+DW48+DY48+EA48+EC48+EE48+EG48+EI48+EK48+EM48+EO48+EQ48+ES48+EU48+EW48+FO48+FS48+FU48+FW48+FQ48+FY48+GA48+GC48+GE48+GG48+GI48+GK48+GM48+GO48+GQ48+GS48+GU48+GW48+GY48+HA48+HC48+HE48+HG48+HI48+HK48+HM48+HO48+HQ48+HS48+HU48+HW48+HY48+IA48+IC48+IE48+IG48+II48+IK48+IM48+IO48+IQ48+IS48+IU48+IW48+IY48+JA48+JC48+JE48+JG48+JI48+JK48+JM48+KA48+CK48+CM48+CO48+CQ48+CS48+CU48+CW48+CY48+EY48+FA48+FC48+FE48+FG48+FI48+FK48+FM48</f>
        <v/>
      </c>
      <c r="KD48" s="187">
        <f>JO48+JQ48+JS48+JU48+JW48+JY48</f>
        <v/>
      </c>
      <c r="KE48" s="188">
        <f>KB48=E48</f>
        <v/>
      </c>
      <c r="KF48" s="189">
        <f>E48-KB48</f>
        <v/>
      </c>
      <c r="KG48" s="196" t="n"/>
    </row>
    <row r="49" ht="21.75" customFormat="1" customHeight="1" s="212">
      <c r="A49" s="126">
        <f>A48+1</f>
        <v/>
      </c>
      <c r="B49" s="175" t="inlineStr">
        <is>
          <t>Фещенко Д.М.</t>
        </is>
      </c>
      <c r="C49" s="176" t="inlineStr">
        <is>
          <t xml:space="preserve">Оператор СПУ </t>
        </is>
      </c>
      <c r="D49" s="177">
        <f>$D$5</f>
        <v/>
      </c>
      <c r="E49" s="202" t="n">
        <v>196</v>
      </c>
      <c r="F49" s="193" t="n">
        <v>111264.87</v>
      </c>
      <c r="G49" s="179">
        <f>F49/D49</f>
        <v/>
      </c>
      <c r="H49" s="180" t="n"/>
      <c r="I49" s="140">
        <f>H49*100/$E$49</f>
        <v/>
      </c>
      <c r="J49" s="133" t="n"/>
      <c r="K49" s="140">
        <f>J49*100/$E$49</f>
        <v/>
      </c>
      <c r="L49" s="133" t="n"/>
      <c r="M49" s="140">
        <f>L49*100/$E$49</f>
        <v/>
      </c>
      <c r="N49" s="133" t="n"/>
      <c r="O49" s="140">
        <f>N49*100/$E$49</f>
        <v/>
      </c>
      <c r="P49" s="133" t="n"/>
      <c r="Q49" s="139">
        <f>P49*100/$E$49</f>
        <v/>
      </c>
      <c r="R49" s="180" t="n"/>
      <c r="S49" s="139">
        <f>R49*100/$E$49</f>
        <v/>
      </c>
      <c r="T49" s="133" t="n"/>
      <c r="U49" s="140">
        <f>T49*100/$E$49</f>
        <v/>
      </c>
      <c r="V49" s="133" t="n"/>
      <c r="W49" s="140">
        <f>V49*100/$E$49</f>
        <v/>
      </c>
      <c r="X49" s="133" t="n"/>
      <c r="Y49" s="140">
        <f>X49*100/$E$49</f>
        <v/>
      </c>
      <c r="Z49" s="133" t="n"/>
      <c r="AA49" s="140">
        <f>Z49*100/$E$49</f>
        <v/>
      </c>
      <c r="AB49" s="133" t="n"/>
      <c r="AC49" s="140">
        <f>AB49*100/$E$49</f>
        <v/>
      </c>
      <c r="AD49" s="133" t="n"/>
      <c r="AE49" s="139">
        <f>AD49*100/$E$49</f>
        <v/>
      </c>
      <c r="AF49" s="133" t="n"/>
      <c r="AG49" s="139">
        <f>AF49*100/$E$49</f>
        <v/>
      </c>
      <c r="AH49" s="133" t="n"/>
      <c r="AI49" s="140">
        <f>AH49*100/$E$49</f>
        <v/>
      </c>
      <c r="AJ49" s="133" t="n"/>
      <c r="AK49" s="140">
        <f>AJ49*100/$E$49</f>
        <v/>
      </c>
      <c r="AL49" s="133" t="n"/>
      <c r="AM49" s="140">
        <f>AL49*100/$E$49</f>
        <v/>
      </c>
      <c r="AN49" s="133" t="n"/>
      <c r="AO49" s="140">
        <f>AN49*100/$E$49</f>
        <v/>
      </c>
      <c r="AP49" s="133" t="n"/>
      <c r="AQ49" s="140">
        <f>AP49*100/$E$49</f>
        <v/>
      </c>
      <c r="AR49" s="133" t="n"/>
      <c r="AS49" s="140">
        <f>AR49*100/$E$49</f>
        <v/>
      </c>
      <c r="AT49" s="133" t="n"/>
      <c r="AU49" s="181">
        <f>AT49*100/$E$49</f>
        <v/>
      </c>
      <c r="AV49" s="133" t="n"/>
      <c r="AW49" s="140">
        <f>AV49*100/$E$49</f>
        <v/>
      </c>
      <c r="AX49" s="133" t="n"/>
      <c r="AY49" s="140">
        <f>AX49*100/$E$49</f>
        <v/>
      </c>
      <c r="AZ49" s="133" t="n"/>
      <c r="BA49" s="140">
        <f>AZ49*100/$E$49</f>
        <v/>
      </c>
      <c r="BB49" s="133">
        <f>12+4</f>
        <v/>
      </c>
      <c r="BC49" s="140">
        <f>BB49*100/$E$49</f>
        <v/>
      </c>
      <c r="BD49" s="133" t="n"/>
      <c r="BE49" s="140">
        <f>BD49*100/$E$49</f>
        <v/>
      </c>
      <c r="BF49" s="133" t="n">
        <v>2</v>
      </c>
      <c r="BG49" s="140">
        <f>BF49*100/$E$49</f>
        <v/>
      </c>
      <c r="BH49" s="133" t="n"/>
      <c r="BI49" s="140">
        <f>BH49*100/$E$49</f>
        <v/>
      </c>
      <c r="BJ49" s="133">
        <f>8+6+12+9</f>
        <v/>
      </c>
      <c r="BK49" s="140">
        <f>BJ49*100/$E$49</f>
        <v/>
      </c>
      <c r="BL49" s="133" t="n"/>
      <c r="BM49" s="140">
        <f>BL49*100/$E$49</f>
        <v/>
      </c>
      <c r="BN49" s="133" t="n"/>
      <c r="BO49" s="140">
        <f>BN49*100/$E$49</f>
        <v/>
      </c>
      <c r="BP49" s="133" t="n"/>
      <c r="BQ49" s="140">
        <f>BP49*100/$E$49</f>
        <v/>
      </c>
      <c r="BR49" s="133" t="n"/>
      <c r="BS49" s="140">
        <f>BR49*100/$E$49</f>
        <v/>
      </c>
      <c r="BT49" s="133" t="n"/>
      <c r="BU49" s="140">
        <f>BT49*100/$E$49</f>
        <v/>
      </c>
      <c r="BV49" s="133" t="n"/>
      <c r="BW49" s="140">
        <f>BV49*100/$E$49</f>
        <v/>
      </c>
      <c r="BX49" s="133" t="n"/>
      <c r="BY49" s="140">
        <f>BX49*100/$E$49</f>
        <v/>
      </c>
      <c r="BZ49" s="133" t="n"/>
      <c r="CA49" s="140">
        <f>BZ49*100/$E$49</f>
        <v/>
      </c>
      <c r="CB49" s="133" t="n">
        <v>6</v>
      </c>
      <c r="CC49" s="140">
        <f>CB49*100/$E$49</f>
        <v/>
      </c>
      <c r="CD49" s="133" t="n"/>
      <c r="CE49" s="140">
        <f>CD49*100/$E$49</f>
        <v/>
      </c>
      <c r="CF49" s="133">
        <f>2+10</f>
        <v/>
      </c>
      <c r="CG49" s="140">
        <f>CF49*100/$E$49</f>
        <v/>
      </c>
      <c r="CH49" s="133" t="n"/>
      <c r="CI49" s="140">
        <f>CH49*100/$E$49</f>
        <v/>
      </c>
      <c r="CJ49" s="133" t="n"/>
      <c r="CK49" s="140">
        <f>CJ49*100/$E$49</f>
        <v/>
      </c>
      <c r="CL49" s="133" t="n"/>
      <c r="CM49" s="140">
        <f>CL49*100/$E$49</f>
        <v/>
      </c>
      <c r="CN49" s="133" t="n"/>
      <c r="CO49" s="139">
        <f>CN49*100/$E$49</f>
        <v/>
      </c>
      <c r="CP49" s="133" t="n"/>
      <c r="CQ49" s="140">
        <f>CP49*100/$E$49</f>
        <v/>
      </c>
      <c r="CR49" s="133" t="n"/>
      <c r="CS49" s="139">
        <f>CR49*100/$E$49</f>
        <v/>
      </c>
      <c r="CT49" s="133" t="n"/>
      <c r="CU49" s="139">
        <f>CT49*100/$E$49</f>
        <v/>
      </c>
      <c r="CV49" s="133" t="n"/>
      <c r="CW49" s="139">
        <f>CV49*100/$E$49</f>
        <v/>
      </c>
      <c r="CX49" s="133" t="n"/>
      <c r="CY49" s="139">
        <f>CX49*100/$E$49</f>
        <v/>
      </c>
      <c r="CZ49" s="133" t="n"/>
      <c r="DA49" s="139">
        <f>CZ49*100/$E$49</f>
        <v/>
      </c>
      <c r="DB49" s="133" t="n"/>
      <c r="DC49" s="139">
        <f>DB49*100/$E$49</f>
        <v/>
      </c>
      <c r="DD49" s="133" t="n"/>
      <c r="DE49" s="139">
        <f>DD49*100/$E$49</f>
        <v/>
      </c>
      <c r="DF49" s="133" t="n"/>
      <c r="DG49" s="139">
        <f>DF49*100/$E$49</f>
        <v/>
      </c>
      <c r="DH49" s="133" t="n"/>
      <c r="DI49" s="139">
        <f>DH49*100/$E$49</f>
        <v/>
      </c>
      <c r="DJ49" s="133" t="n"/>
      <c r="DK49" s="139">
        <f>DJ49*100/$E$49</f>
        <v/>
      </c>
      <c r="DL49" s="133" t="n"/>
      <c r="DM49" s="139">
        <f>DL49*100/$E$49</f>
        <v/>
      </c>
      <c r="DN49" s="133" t="n"/>
      <c r="DO49" s="139">
        <f>DN49*100/$E$49</f>
        <v/>
      </c>
      <c r="DP49" s="133">
        <f>4+7</f>
        <v/>
      </c>
      <c r="DQ49" s="139">
        <f>DP49*100/$E$49</f>
        <v/>
      </c>
      <c r="DR49" s="133" t="n">
        <v>12</v>
      </c>
      <c r="DS49" s="139">
        <f>DR49*100/$E$49</f>
        <v/>
      </c>
      <c r="DT49" s="133" t="n">
        <v>8</v>
      </c>
      <c r="DU49" s="139">
        <f>DT49*100/$E$49</f>
        <v/>
      </c>
      <c r="DV49" s="133" t="n">
        <v>3</v>
      </c>
      <c r="DW49" s="139">
        <f>DV49*100/$E$49</f>
        <v/>
      </c>
      <c r="DX49" s="133">
        <f>6+3+2</f>
        <v/>
      </c>
      <c r="DY49" s="139">
        <f>DX49*100/$E$49</f>
        <v/>
      </c>
      <c r="DZ49" s="133" t="n"/>
      <c r="EA49" s="139">
        <f>DZ49*100/$E$49</f>
        <v/>
      </c>
      <c r="EB49" s="133" t="n"/>
      <c r="EC49" s="139">
        <f>EB49*100/$E$49</f>
        <v/>
      </c>
      <c r="ED49" s="133" t="n"/>
      <c r="EE49" s="139">
        <f>ED49*100/$E$49</f>
        <v/>
      </c>
      <c r="EF49" s="133" t="n"/>
      <c r="EG49" s="139">
        <f>EF49*100/$E$49</f>
        <v/>
      </c>
      <c r="EH49" s="133">
        <f>8+9</f>
        <v/>
      </c>
      <c r="EI49" s="139">
        <f>EH49*100/$E$49</f>
        <v/>
      </c>
      <c r="EJ49" s="133" t="n"/>
      <c r="EK49" s="139">
        <f>EJ49*100/$E$49</f>
        <v/>
      </c>
      <c r="EL49" s="133" t="n"/>
      <c r="EM49" s="139">
        <f>EL49*100/$E$49</f>
        <v/>
      </c>
      <c r="EN49" s="133" t="n"/>
      <c r="EO49" s="139">
        <f>EN49*100/$E$49</f>
        <v/>
      </c>
      <c r="EP49" s="133" t="n"/>
      <c r="EQ49" s="139">
        <f>EP49*100/$E$49</f>
        <v/>
      </c>
      <c r="ER49" s="133" t="n"/>
      <c r="ES49" s="139">
        <f>ER49*100/$E$49</f>
        <v/>
      </c>
      <c r="ET49" s="133" t="n"/>
      <c r="EU49" s="139">
        <f>ET49*100/$E$49</f>
        <v/>
      </c>
      <c r="EV49" s="133" t="n"/>
      <c r="EW49" s="139">
        <f>EV49*100/$E$49</f>
        <v/>
      </c>
      <c r="EX49" s="133" t="n"/>
      <c r="EY49" s="139">
        <f>EX49*100/$E$49</f>
        <v/>
      </c>
      <c r="EZ49" s="133" t="n"/>
      <c r="FA49" s="139">
        <f>EZ49*100/$E$49</f>
        <v/>
      </c>
      <c r="FB49" s="133" t="n">
        <v>4</v>
      </c>
      <c r="FC49" s="139">
        <f>FB49*100/$E$49</f>
        <v/>
      </c>
      <c r="FD49" s="133" t="n"/>
      <c r="FE49" s="139">
        <f>FD49*100/$E$49</f>
        <v/>
      </c>
      <c r="FF49" s="133" t="n"/>
      <c r="FG49" s="139">
        <f>FF49*100/$E$49</f>
        <v/>
      </c>
      <c r="FH49" s="133">
        <f>6+6+5+6</f>
        <v/>
      </c>
      <c r="FI49" s="139">
        <f>FH49*100/$E$49</f>
        <v/>
      </c>
      <c r="FJ49" s="133">
        <f>2+4+6</f>
        <v/>
      </c>
      <c r="FK49" s="139">
        <f>FJ49*100/$E$49</f>
        <v/>
      </c>
      <c r="FL49" s="133" t="n"/>
      <c r="FM49" s="139">
        <f>FL49*100/$E$49</f>
        <v/>
      </c>
      <c r="FN49" s="133">
        <f>6+4</f>
        <v/>
      </c>
      <c r="FO49" s="139">
        <f>FN49*100/$E$49</f>
        <v/>
      </c>
      <c r="FP49" s="133" t="n"/>
      <c r="FQ49" s="139">
        <f>FP49*100/$E$49</f>
        <v/>
      </c>
      <c r="FR49" s="133">
        <f>2+6</f>
        <v/>
      </c>
      <c r="FS49" s="139">
        <f>FR49*100/$E$49</f>
        <v/>
      </c>
      <c r="FT49" s="133" t="n"/>
      <c r="FU49" s="139">
        <f>FT49*100/$E$49</f>
        <v/>
      </c>
      <c r="FV49" s="133" t="n"/>
      <c r="FW49" s="139">
        <f>FV49*100/$E$49</f>
        <v/>
      </c>
      <c r="FX49" s="133" t="n"/>
      <c r="FY49" s="140">
        <f>FX49*100/$E$49</f>
        <v/>
      </c>
      <c r="FZ49" s="133" t="n">
        <v>5</v>
      </c>
      <c r="GA49" s="140">
        <f>FZ49*100/$E$49</f>
        <v/>
      </c>
      <c r="GB49" s="133" t="n"/>
      <c r="GC49" s="140">
        <f>GB49*100/$E$49</f>
        <v/>
      </c>
      <c r="GD49" s="133" t="n"/>
      <c r="GE49" s="140">
        <f>GD49*100/$E$49</f>
        <v/>
      </c>
      <c r="GF49" s="133" t="n"/>
      <c r="GG49" s="140">
        <f>GF49*100/$E$49</f>
        <v/>
      </c>
      <c r="GH49" s="133" t="n"/>
      <c r="GI49" s="140">
        <f>GH49*100/$E$49</f>
        <v/>
      </c>
      <c r="GJ49" s="133" t="n"/>
      <c r="GK49" s="139">
        <f>GJ49*100/$E$49</f>
        <v/>
      </c>
      <c r="GL49" s="133" t="n"/>
      <c r="GM49" s="140">
        <f>GL49*100/$E$49</f>
        <v/>
      </c>
      <c r="GN49" s="133" t="n"/>
      <c r="GO49" s="139">
        <f>GN49*100/$E$49</f>
        <v/>
      </c>
      <c r="GP49" s="133" t="n"/>
      <c r="GQ49" s="140">
        <f>GP49*100/$E$49</f>
        <v/>
      </c>
      <c r="GR49" s="133" t="n"/>
      <c r="GS49" s="139">
        <f>GR49*100/$E$49</f>
        <v/>
      </c>
      <c r="GT49" s="133" t="n"/>
      <c r="GU49" s="139">
        <f>GT49*100/$E$49</f>
        <v/>
      </c>
      <c r="GV49" s="133" t="n"/>
      <c r="GW49" s="139">
        <f>GV49*100/$E$49</f>
        <v/>
      </c>
      <c r="GX49" s="133" t="n"/>
      <c r="GY49" s="140">
        <f>GX49*100/$E$49</f>
        <v/>
      </c>
      <c r="GZ49" s="133" t="n"/>
      <c r="HA49" s="140">
        <f>GZ49*100/$E$49</f>
        <v/>
      </c>
      <c r="HB49" s="133" t="n"/>
      <c r="HC49" s="140">
        <f>HB49*100/$E$49</f>
        <v/>
      </c>
      <c r="HD49" s="133" t="n"/>
      <c r="HE49" s="140">
        <f>HD49*100/$E$49</f>
        <v/>
      </c>
      <c r="HF49" s="133" t="n"/>
      <c r="HG49" s="140">
        <f>HF49*100/$E$49</f>
        <v/>
      </c>
      <c r="HH49" s="133" t="n"/>
      <c r="HI49" s="140">
        <f>HH49*100/$E$49</f>
        <v/>
      </c>
      <c r="HJ49" s="133" t="n"/>
      <c r="HK49" s="140">
        <f>HJ49*100/$E$49</f>
        <v/>
      </c>
      <c r="HL49" s="133" t="n"/>
      <c r="HM49" s="140">
        <f>HL49*100/$E$49</f>
        <v/>
      </c>
      <c r="HN49" s="133" t="n"/>
      <c r="HO49" s="140">
        <f>HN49*100/$E$49</f>
        <v/>
      </c>
      <c r="HP49" s="133" t="n"/>
      <c r="HQ49" s="140">
        <f>HP49*100/$E$49</f>
        <v/>
      </c>
      <c r="HR49" s="133" t="n"/>
      <c r="HS49" s="140">
        <f>HR49*100/$E$49</f>
        <v/>
      </c>
      <c r="HT49" s="133" t="n"/>
      <c r="HU49" s="140">
        <f>HT49*100/$E$49</f>
        <v/>
      </c>
      <c r="HV49" s="133" t="n"/>
      <c r="HW49" s="140">
        <f>HV49*100/$E$49</f>
        <v/>
      </c>
      <c r="HX49" s="133" t="n"/>
      <c r="HY49" s="140">
        <f>HX49*100/$E$49</f>
        <v/>
      </c>
      <c r="HZ49" s="133" t="n"/>
      <c r="IA49" s="139">
        <f>HZ49*100/$E$49</f>
        <v/>
      </c>
      <c r="IB49" s="133" t="n"/>
      <c r="IC49" s="139">
        <f>IB49*100/$E$49</f>
        <v/>
      </c>
      <c r="ID49" s="133" t="n"/>
      <c r="IE49" s="139">
        <f>ID49*100/$E$49</f>
        <v/>
      </c>
      <c r="IF49" s="133" t="n"/>
      <c r="IG49" s="139">
        <f>IF49*100/$E$49</f>
        <v/>
      </c>
      <c r="IH49" s="133" t="n"/>
      <c r="II49" s="139">
        <f>IH49*100/$E$49</f>
        <v/>
      </c>
      <c r="IJ49" s="133" t="n"/>
      <c r="IK49" s="139">
        <f>IJ49*100/$E$49</f>
        <v/>
      </c>
      <c r="IL49" s="133" t="n"/>
      <c r="IM49" s="140">
        <f>IL49*100/$E$49</f>
        <v/>
      </c>
      <c r="IN49" s="133" t="n"/>
      <c r="IO49" s="140">
        <f>IN49*100/$E$49</f>
        <v/>
      </c>
      <c r="IP49" s="133" t="n"/>
      <c r="IQ49" s="139">
        <f>IP49*100/$E$49</f>
        <v/>
      </c>
      <c r="IR49" s="133" t="n"/>
      <c r="IS49" s="139">
        <f>IR49*100/$E$49</f>
        <v/>
      </c>
      <c r="IT49" s="133" t="n"/>
      <c r="IU49" s="139">
        <f>IT49*100/$E$49</f>
        <v/>
      </c>
      <c r="IV49" s="133" t="n"/>
      <c r="IW49" s="139">
        <f>IV49*100/$E$49</f>
        <v/>
      </c>
      <c r="IX49" s="133" t="n"/>
      <c r="IY49" s="139">
        <f>IX49*100/$E$49</f>
        <v/>
      </c>
      <c r="IZ49" s="133" t="n"/>
      <c r="JA49" s="139">
        <f>IZ49*100/$E$49</f>
        <v/>
      </c>
      <c r="JB49" s="133" t="n"/>
      <c r="JC49" s="139">
        <f>JB49*100/$E$49</f>
        <v/>
      </c>
      <c r="JD49" s="133" t="n"/>
      <c r="JE49" s="139">
        <f>JD49*100/$E$49</f>
        <v/>
      </c>
      <c r="JF49" s="133" t="n"/>
      <c r="JG49" s="139">
        <f>JF49*100/$E$49</f>
        <v/>
      </c>
      <c r="JH49" s="133" t="n"/>
      <c r="JI49" s="139">
        <f>JH49*100/$E$49</f>
        <v/>
      </c>
      <c r="JJ49" s="133" t="n"/>
      <c r="JK49" s="139">
        <f>JJ49*100/$E$49</f>
        <v/>
      </c>
      <c r="JL49" s="133" t="n">
        <v>1</v>
      </c>
      <c r="JM49" s="139">
        <f>JL49*100/$E$49</f>
        <v/>
      </c>
      <c r="JN49" s="133" t="n"/>
      <c r="JO49" s="139">
        <f>JN49*100/$E$49</f>
        <v/>
      </c>
      <c r="JP49" s="133" t="n"/>
      <c r="JQ49" s="139">
        <f>JP49*100/$E$49</f>
        <v/>
      </c>
      <c r="JR49" s="133" t="n"/>
      <c r="JS49" s="182">
        <f>JR49*100/$E$49</f>
        <v/>
      </c>
      <c r="JT49" s="133" t="n"/>
      <c r="JU49" s="182">
        <f>JT49*100/$E$49</f>
        <v/>
      </c>
      <c r="JV49" s="133" t="n"/>
      <c r="JW49" s="182">
        <f>JV49*100/$E$49</f>
        <v/>
      </c>
      <c r="JX49" s="133" t="n"/>
      <c r="JY49" s="182">
        <f>JX49*100/$E$49</f>
        <v/>
      </c>
      <c r="JZ49" s="183">
        <f>JN49+JP49+JR49+JT49+JV49+JX49</f>
        <v/>
      </c>
      <c r="KA49" s="184">
        <f>JO49+JQ49+JS49+JU49+JW49+JY49</f>
        <v/>
      </c>
      <c r="KB49" s="185">
        <f>H49+J49+L49+N49+P49+R49+T49+V49+X49+Z49+AB49+AD49+AF49+AH49+AJ49+AL49+AN49+AP49+AR49+AT49+AV49+AX49+AZ49+BB49+BD49+BF49+BH49+BJ49+BL49+BN49+BP49+BR49+BT49+BV49+BX49+BZ49+CB49+CD49+CF49+CH49+CZ49+DB49+DD49+DF49+DH49+DJ49+DL49+DN49+DP49+DR49+DT49+DV49+DX49+DZ49+EB49+ED49+EF49+EH49+EJ49+EL49+EN49+EP49+ER49+ET49+EV49+FN49+FP49+FR49+FT49+FV49+FX49+FZ49+GB49+GD49+GF49+GH49+GJ49+GL49+GN49+GP49+GR49+GT49+GV49+GX49+GZ49+HB49+HD49+HF49+HH49+HJ49+HL49+HN49+HP49+HR49+HT49+HV49+HX49+HZ49+IB49+ID49+IF49+IH49+IJ49+IL49+IN49+IP49+IR49+IT49+IV49+IX49+IZ49+JB49+JD49+JF49+JH49+JJ49+JL49+JZ49+CJ49+CL49+CN49+CP49+CR49+CT49+CV49+CX49+EX49+EZ49+FB49+FD49+FF49+FH49+FJ49+FL49</f>
        <v/>
      </c>
      <c r="KC49" s="186">
        <f>I49+K49+M49+O49+Q49+S49+U49+W49+Y49+AA49+AC49+AE49+AG49+AI49+AK49+AM49+AO49+AQ49+AS49+AU49+AW49+AY49+BA49+BC49+BE49+BG49+BI49+BK49+BM49+BO49+BQ49+BS49+BU49+BW49+BY49+CA49+CC49+CE49+CG49+CI49+DA49+DC49+DE49+DG49+DI49+DK49+DM49+DO49+DQ49+DS49+DU49+DW49+DY49+EA49+EC49+EE49+EG49+EI49+EK49+EM49+EO49+EQ49+ES49+EU49+EW49+FO49+FS49+FU49+FW49+FQ49+FY49+GA49+GC49+GE49+GG49+GI49+GK49+GM49+GO49+GQ49+GS49+GU49+GW49+GY49+HA49+HC49+HE49+HG49+HI49+HK49+HM49+HO49+HQ49+HS49+HU49+HW49+HY49+IA49+IC49+IE49+IG49+II49+IK49+IM49+IO49+IQ49+IS49+IU49+IW49+IY49+JA49+JC49+JE49+JG49+JI49+JK49+JM49+KA49+CK49+CM49+CO49+CQ49+CS49+CU49+CW49+CY49+EY49+FA49+FC49+FE49+FG49+FI49+FK49+FM49</f>
        <v/>
      </c>
      <c r="KD49" s="187">
        <f>JO49+JQ49+JS49+JU49+JW49+JY49</f>
        <v/>
      </c>
      <c r="KE49" s="188">
        <f>KB49=E49</f>
        <v/>
      </c>
      <c r="KF49" s="189">
        <f>E49-KB49</f>
        <v/>
      </c>
      <c r="KG49" s="210" t="n"/>
    </row>
    <row r="50" ht="21.75" customFormat="1" customHeight="1" s="195">
      <c r="A50" s="126">
        <f>A49+1</f>
        <v/>
      </c>
      <c r="B50" s="175" t="inlineStr">
        <is>
          <t>Чигоряев С.А.</t>
        </is>
      </c>
      <c r="C50" s="176" t="inlineStr">
        <is>
          <t>слесарь</t>
        </is>
      </c>
      <c r="D50" s="177">
        <f>$D$5</f>
        <v/>
      </c>
      <c r="E50" s="202" t="n">
        <v>168</v>
      </c>
      <c r="F50" s="193" t="n">
        <v>114943.61</v>
      </c>
      <c r="G50" s="179">
        <f>F50/D50</f>
        <v/>
      </c>
      <c r="H50" s="180" t="n"/>
      <c r="I50" s="140">
        <f>H50*100/$E$50</f>
        <v/>
      </c>
      <c r="J50" s="133" t="n"/>
      <c r="K50" s="140">
        <f>J50*100/$E$50</f>
        <v/>
      </c>
      <c r="L50" s="133" t="n"/>
      <c r="M50" s="140">
        <f>L50*100/$E$50</f>
        <v/>
      </c>
      <c r="N50" s="133" t="n"/>
      <c r="O50" s="140">
        <f>N50*100/$E$50</f>
        <v/>
      </c>
      <c r="P50" s="133" t="n"/>
      <c r="Q50" s="139">
        <f>P50*100/$E$50</f>
        <v/>
      </c>
      <c r="R50" s="133" t="n"/>
      <c r="S50" s="139">
        <f>R50*100/$E$50</f>
        <v/>
      </c>
      <c r="T50" s="133" t="n"/>
      <c r="U50" s="140">
        <f>T50*100/$E$50</f>
        <v/>
      </c>
      <c r="V50" s="133" t="n"/>
      <c r="W50" s="140">
        <f>V50*100/$E$50</f>
        <v/>
      </c>
      <c r="X50" s="133" t="n"/>
      <c r="Y50" s="140">
        <f>X50*100/$E$50</f>
        <v/>
      </c>
      <c r="Z50" s="133" t="n"/>
      <c r="AA50" s="140">
        <f>Z50*100/$E$50</f>
        <v/>
      </c>
      <c r="AB50" s="133" t="n"/>
      <c r="AC50" s="140">
        <f>AB50*100/$E$50</f>
        <v/>
      </c>
      <c r="AD50" s="133" t="n"/>
      <c r="AE50" s="139">
        <f>AD50*100/$E$50</f>
        <v/>
      </c>
      <c r="AF50" s="133" t="n"/>
      <c r="AG50" s="139">
        <f>AF50*100/$E$50</f>
        <v/>
      </c>
      <c r="AH50" s="133" t="n"/>
      <c r="AI50" s="140">
        <f>AH50*100/$E$50</f>
        <v/>
      </c>
      <c r="AJ50" s="133" t="n"/>
      <c r="AK50" s="140">
        <f>AJ50*100/$E$50</f>
        <v/>
      </c>
      <c r="AL50" s="133" t="n"/>
      <c r="AM50" s="140">
        <f>AL50*100/$E$50</f>
        <v/>
      </c>
      <c r="AN50" s="133" t="n"/>
      <c r="AO50" s="140">
        <f>AN50*100/$E$50</f>
        <v/>
      </c>
      <c r="AP50" s="133" t="n"/>
      <c r="AQ50" s="140">
        <f>AP50*100/$E$50</f>
        <v/>
      </c>
      <c r="AR50" s="133" t="n"/>
      <c r="AS50" s="140">
        <f>AR50*100/$E$50</f>
        <v/>
      </c>
      <c r="AT50" s="133" t="n"/>
      <c r="AU50" s="181">
        <f>AT50*100/$E$50</f>
        <v/>
      </c>
      <c r="AV50" s="133">
        <f>80</f>
        <v/>
      </c>
      <c r="AW50" s="140">
        <f>AV50*100/$E$50</f>
        <v/>
      </c>
      <c r="AX50" s="133" t="n"/>
      <c r="AY50" s="140">
        <f>AX50*100/$E$50</f>
        <v/>
      </c>
      <c r="AZ50" s="133" t="n"/>
      <c r="BA50" s="140">
        <f>AZ50*100/$E$50</f>
        <v/>
      </c>
      <c r="BB50" s="133">
        <f>72+16</f>
        <v/>
      </c>
      <c r="BC50" s="140">
        <f>BB50*100/$E$50</f>
        <v/>
      </c>
      <c r="BD50" s="133" t="n"/>
      <c r="BE50" s="140">
        <f>BD50*100/$E$50</f>
        <v/>
      </c>
      <c r="BF50" s="133" t="n"/>
      <c r="BG50" s="140">
        <f>BF50*100/$E$50</f>
        <v/>
      </c>
      <c r="BH50" s="133" t="n"/>
      <c r="BI50" s="140">
        <f>BH50*100/$E$50</f>
        <v/>
      </c>
      <c r="BJ50" s="133" t="n"/>
      <c r="BK50" s="140">
        <f>BJ50*100/$E$50</f>
        <v/>
      </c>
      <c r="BL50" s="133" t="n"/>
      <c r="BM50" s="140">
        <f>BL50*100/$E$50</f>
        <v/>
      </c>
      <c r="BN50" s="133" t="n"/>
      <c r="BO50" s="140">
        <f>BN50*100/$E$50</f>
        <v/>
      </c>
      <c r="BP50" s="133" t="n"/>
      <c r="BQ50" s="140">
        <f>BP50*100/$E$50</f>
        <v/>
      </c>
      <c r="BR50" s="133" t="n"/>
      <c r="BS50" s="140">
        <f>BR50*100/$E$50</f>
        <v/>
      </c>
      <c r="BT50" s="133" t="n"/>
      <c r="BU50" s="140">
        <f>BT50*100/$E$50</f>
        <v/>
      </c>
      <c r="BV50" s="133" t="n"/>
      <c r="BW50" s="140">
        <f>BV50*100/$E$50</f>
        <v/>
      </c>
      <c r="BX50" s="133" t="n"/>
      <c r="BY50" s="140">
        <f>BX50*100/$E$50</f>
        <v/>
      </c>
      <c r="BZ50" s="133" t="n"/>
      <c r="CA50" s="140">
        <f>BZ50*100/$E$50</f>
        <v/>
      </c>
      <c r="CB50" s="133" t="n"/>
      <c r="CC50" s="140">
        <f>CB50*100/$E$50</f>
        <v/>
      </c>
      <c r="CD50" s="133" t="n"/>
      <c r="CE50" s="140">
        <f>CD50*100/$E$50</f>
        <v/>
      </c>
      <c r="CF50" s="133" t="n"/>
      <c r="CG50" s="140">
        <f>CF50*100/$E$50</f>
        <v/>
      </c>
      <c r="CH50" s="133" t="n"/>
      <c r="CI50" s="140">
        <f>CH50*100/$E$50</f>
        <v/>
      </c>
      <c r="CJ50" s="133" t="n"/>
      <c r="CK50" s="140">
        <f>CJ50*100/$E$50</f>
        <v/>
      </c>
      <c r="CL50" s="133" t="n"/>
      <c r="CM50" s="140">
        <f>CL50*100/$E$50</f>
        <v/>
      </c>
      <c r="CN50" s="133" t="n"/>
      <c r="CO50" s="139">
        <f>CN50*100/$E$50</f>
        <v/>
      </c>
      <c r="CP50" s="133" t="n"/>
      <c r="CQ50" s="140">
        <f>CP50*100/$E$50</f>
        <v/>
      </c>
      <c r="CR50" s="133" t="n"/>
      <c r="CS50" s="139">
        <f>CR50*100/$E$50</f>
        <v/>
      </c>
      <c r="CT50" s="133" t="n"/>
      <c r="CU50" s="139">
        <f>CT50*100/$E$50</f>
        <v/>
      </c>
      <c r="CV50" s="133" t="n"/>
      <c r="CW50" s="139">
        <f>CV50*100/$E$50</f>
        <v/>
      </c>
      <c r="CX50" s="133" t="n"/>
      <c r="CY50" s="139">
        <f>CX50*100/$E$50</f>
        <v/>
      </c>
      <c r="CZ50" s="133" t="n"/>
      <c r="DA50" s="139">
        <f>CZ50*100/$E$50</f>
        <v/>
      </c>
      <c r="DB50" s="133" t="n"/>
      <c r="DC50" s="139">
        <f>DB50*100/$E$50</f>
        <v/>
      </c>
      <c r="DD50" s="133" t="n"/>
      <c r="DE50" s="139">
        <f>DD50*100/$E$50</f>
        <v/>
      </c>
      <c r="DF50" s="133" t="n"/>
      <c r="DG50" s="139">
        <f>DF50*100/$E$50</f>
        <v/>
      </c>
      <c r="DH50" s="133" t="n"/>
      <c r="DI50" s="139">
        <f>DH50*100/$E$50</f>
        <v/>
      </c>
      <c r="DJ50" s="133" t="n"/>
      <c r="DK50" s="139">
        <f>DJ50*100/$E$50</f>
        <v/>
      </c>
      <c r="DL50" s="133" t="n"/>
      <c r="DM50" s="139">
        <f>DL50*100/$E$50</f>
        <v/>
      </c>
      <c r="DN50" s="133" t="n"/>
      <c r="DO50" s="139">
        <f>DN50*100/$E$50</f>
        <v/>
      </c>
      <c r="DP50" s="133" t="n"/>
      <c r="DQ50" s="139">
        <f>DP50*100/$E$50</f>
        <v/>
      </c>
      <c r="DR50" s="133" t="n"/>
      <c r="DS50" s="139">
        <f>DR50*100/$E$50</f>
        <v/>
      </c>
      <c r="DT50" s="133" t="n"/>
      <c r="DU50" s="139">
        <f>DT50*100/$E$50</f>
        <v/>
      </c>
      <c r="DV50" s="133" t="n"/>
      <c r="DW50" s="139">
        <f>DV50*100/$E$50</f>
        <v/>
      </c>
      <c r="DX50" s="133" t="n"/>
      <c r="DY50" s="139">
        <f>DX50*100/$E$50</f>
        <v/>
      </c>
      <c r="DZ50" s="133" t="n"/>
      <c r="EA50" s="139">
        <f>DZ50*100/$E$50</f>
        <v/>
      </c>
      <c r="EB50" s="133" t="n"/>
      <c r="EC50" s="139">
        <f>EB50*100/$E$50</f>
        <v/>
      </c>
      <c r="ED50" s="133" t="n"/>
      <c r="EE50" s="139">
        <f>ED50*100/$E$50</f>
        <v/>
      </c>
      <c r="EF50" s="133" t="n"/>
      <c r="EG50" s="139">
        <f>EF50*100/$E$50</f>
        <v/>
      </c>
      <c r="EH50" s="133" t="n"/>
      <c r="EI50" s="139">
        <f>EH50*100/$E$50</f>
        <v/>
      </c>
      <c r="EJ50" s="133" t="n"/>
      <c r="EK50" s="139">
        <f>EJ50*100/$E$50</f>
        <v/>
      </c>
      <c r="EL50" s="133" t="n"/>
      <c r="EM50" s="139">
        <f>EL50*100/$E$50</f>
        <v/>
      </c>
      <c r="EN50" s="133" t="n"/>
      <c r="EO50" s="139">
        <f>EN50*100/$E$50</f>
        <v/>
      </c>
      <c r="EP50" s="133" t="n"/>
      <c r="EQ50" s="139">
        <f>EP50*100/$E$50</f>
        <v/>
      </c>
      <c r="ER50" s="133" t="n"/>
      <c r="ES50" s="139">
        <f>ER50*100/$E$50</f>
        <v/>
      </c>
      <c r="ET50" s="133" t="n"/>
      <c r="EU50" s="139">
        <f>ET50*100/$E$50</f>
        <v/>
      </c>
      <c r="EV50" s="133" t="n"/>
      <c r="EW50" s="139">
        <f>EV50*100/$E$50</f>
        <v/>
      </c>
      <c r="EX50" s="133" t="n"/>
      <c r="EY50" s="139">
        <f>EX50*100/$E$50</f>
        <v/>
      </c>
      <c r="EZ50" s="133" t="n"/>
      <c r="FA50" s="139">
        <f>EZ50*100/$E$50</f>
        <v/>
      </c>
      <c r="FB50" s="133" t="n"/>
      <c r="FC50" s="139">
        <f>FB50*100/$E$50</f>
        <v/>
      </c>
      <c r="FD50" s="133" t="n"/>
      <c r="FE50" s="139">
        <f>FD50*100/$E$50</f>
        <v/>
      </c>
      <c r="FF50" s="133" t="n"/>
      <c r="FG50" s="139">
        <f>FF50*100/$E$50</f>
        <v/>
      </c>
      <c r="FH50" s="133" t="n"/>
      <c r="FI50" s="139">
        <f>FH50*100/$E$50</f>
        <v/>
      </c>
      <c r="FJ50" s="133" t="n"/>
      <c r="FK50" s="139">
        <f>FJ50*100/$E$50</f>
        <v/>
      </c>
      <c r="FL50" s="133" t="n"/>
      <c r="FM50" s="139">
        <f>FL50*100/$E$50</f>
        <v/>
      </c>
      <c r="FN50" s="133" t="n"/>
      <c r="FO50" s="139">
        <f>FN50*100/$E$50</f>
        <v/>
      </c>
      <c r="FP50" s="133" t="n"/>
      <c r="FQ50" s="139">
        <f>FP50*100/$E$50</f>
        <v/>
      </c>
      <c r="FR50" s="133" t="n"/>
      <c r="FS50" s="139">
        <f>FR50*100/$E$50</f>
        <v/>
      </c>
      <c r="FT50" s="133" t="n"/>
      <c r="FU50" s="139">
        <f>FT50*100/$E$50</f>
        <v/>
      </c>
      <c r="FV50" s="133" t="n"/>
      <c r="FW50" s="139">
        <f>FV50*100/$E$50</f>
        <v/>
      </c>
      <c r="FX50" s="133" t="n"/>
      <c r="FY50" s="140">
        <f>FX50*100/$E$50</f>
        <v/>
      </c>
      <c r="FZ50" s="133" t="n"/>
      <c r="GA50" s="140">
        <f>FZ50*100/$E$50</f>
        <v/>
      </c>
      <c r="GB50" s="133" t="n"/>
      <c r="GC50" s="140">
        <f>GB50*100/$E$50</f>
        <v/>
      </c>
      <c r="GD50" s="133" t="n"/>
      <c r="GE50" s="140">
        <f>GD50*100/$E$50</f>
        <v/>
      </c>
      <c r="GF50" s="133" t="n"/>
      <c r="GG50" s="140">
        <f>GF50*100/$E$50</f>
        <v/>
      </c>
      <c r="GH50" s="133" t="n"/>
      <c r="GI50" s="140">
        <f>GH50*100/$E$50</f>
        <v/>
      </c>
      <c r="GJ50" s="133" t="n"/>
      <c r="GK50" s="139">
        <f>GJ50*100/$E$50</f>
        <v/>
      </c>
      <c r="GL50" s="133" t="n"/>
      <c r="GM50" s="140">
        <f>GL50*100/$E$50</f>
        <v/>
      </c>
      <c r="GN50" s="133" t="n"/>
      <c r="GO50" s="139">
        <f>GN50*100/$E$50</f>
        <v/>
      </c>
      <c r="GP50" s="133" t="n"/>
      <c r="GQ50" s="140">
        <f>GP50*100/$E$50</f>
        <v/>
      </c>
      <c r="GR50" s="133" t="n"/>
      <c r="GS50" s="139">
        <f>GR50*100/$E$50</f>
        <v/>
      </c>
      <c r="GT50" s="133" t="n"/>
      <c r="GU50" s="139">
        <f>GT50*100/$E$50</f>
        <v/>
      </c>
      <c r="GV50" s="133" t="n"/>
      <c r="GW50" s="139">
        <f>GV50*100/$E$50</f>
        <v/>
      </c>
      <c r="GX50" s="133" t="n"/>
      <c r="GY50" s="140">
        <f>GX50*100/$E$50</f>
        <v/>
      </c>
      <c r="GZ50" s="133" t="n"/>
      <c r="HA50" s="140">
        <f>GZ50*100/$E$50</f>
        <v/>
      </c>
      <c r="HB50" s="133" t="n"/>
      <c r="HC50" s="140">
        <f>HB50*100/$E$50</f>
        <v/>
      </c>
      <c r="HD50" s="133" t="n"/>
      <c r="HE50" s="140">
        <f>HD50*100/$E$50</f>
        <v/>
      </c>
      <c r="HF50" s="133" t="n"/>
      <c r="HG50" s="140">
        <f>HF50*100/$E$50</f>
        <v/>
      </c>
      <c r="HH50" s="133" t="n"/>
      <c r="HI50" s="140">
        <f>HH50*100/$E$50</f>
        <v/>
      </c>
      <c r="HJ50" s="133" t="n"/>
      <c r="HK50" s="140">
        <f>HJ50*100/$E$50</f>
        <v/>
      </c>
      <c r="HL50" s="133" t="n"/>
      <c r="HM50" s="140">
        <f>HL50*100/$E$50</f>
        <v/>
      </c>
      <c r="HN50" s="133" t="n"/>
      <c r="HO50" s="140">
        <f>HN50*100/$E$50</f>
        <v/>
      </c>
      <c r="HP50" s="133" t="n"/>
      <c r="HQ50" s="140">
        <f>HP50*100/$E$50</f>
        <v/>
      </c>
      <c r="HR50" s="133" t="n"/>
      <c r="HS50" s="140">
        <f>HR50*100/$E$50</f>
        <v/>
      </c>
      <c r="HT50" s="133" t="n"/>
      <c r="HU50" s="140">
        <f>HT50*100/$E$50</f>
        <v/>
      </c>
      <c r="HV50" s="133" t="n"/>
      <c r="HW50" s="140">
        <f>HV50*100/$E$50</f>
        <v/>
      </c>
      <c r="HX50" s="133" t="n"/>
      <c r="HY50" s="140">
        <f>HX50*100/$E$50</f>
        <v/>
      </c>
      <c r="HZ50" s="133" t="n"/>
      <c r="IA50" s="139">
        <f>HZ50*100/$E$50</f>
        <v/>
      </c>
      <c r="IB50" s="133" t="n"/>
      <c r="IC50" s="139">
        <f>IB50*100/$E$50</f>
        <v/>
      </c>
      <c r="ID50" s="133" t="n"/>
      <c r="IE50" s="139">
        <f>ID50*100/$E$50</f>
        <v/>
      </c>
      <c r="IF50" s="133" t="n"/>
      <c r="IG50" s="139">
        <f>IF50*100/$E$50</f>
        <v/>
      </c>
      <c r="IH50" s="133" t="n"/>
      <c r="II50" s="139">
        <f>IH50*100/$E$50</f>
        <v/>
      </c>
      <c r="IJ50" s="133" t="n"/>
      <c r="IK50" s="139">
        <f>IJ50*100/$E$50</f>
        <v/>
      </c>
      <c r="IL50" s="133" t="n"/>
      <c r="IM50" s="140">
        <f>IL50*100/$E$50</f>
        <v/>
      </c>
      <c r="IN50" s="133" t="n"/>
      <c r="IO50" s="140">
        <f>IN50*100/$E$50</f>
        <v/>
      </c>
      <c r="IP50" s="133" t="n"/>
      <c r="IQ50" s="139">
        <f>IP50*100/$E$50</f>
        <v/>
      </c>
      <c r="IR50" s="133" t="n"/>
      <c r="IS50" s="139">
        <f>IR50*100/$E$50</f>
        <v/>
      </c>
      <c r="IT50" s="133" t="n"/>
      <c r="IU50" s="139">
        <f>IT50*100/$E$50</f>
        <v/>
      </c>
      <c r="IV50" s="133" t="n"/>
      <c r="IW50" s="139">
        <f>IV50*100/$E$50</f>
        <v/>
      </c>
      <c r="IX50" s="133" t="n"/>
      <c r="IY50" s="139">
        <f>IX50*100/$E$50</f>
        <v/>
      </c>
      <c r="IZ50" s="133" t="n"/>
      <c r="JA50" s="139">
        <f>IZ50*100/$E$50</f>
        <v/>
      </c>
      <c r="JB50" s="133" t="n"/>
      <c r="JC50" s="139">
        <f>JB50*100/$E$50</f>
        <v/>
      </c>
      <c r="JD50" s="133" t="n"/>
      <c r="JE50" s="139">
        <f>JD50*100/$E$50</f>
        <v/>
      </c>
      <c r="JF50" s="133" t="n"/>
      <c r="JG50" s="139">
        <f>JF50*100/$E$50</f>
        <v/>
      </c>
      <c r="JH50" s="133" t="n"/>
      <c r="JI50" s="139">
        <f>JH50*100/$E$50</f>
        <v/>
      </c>
      <c r="JJ50" s="133" t="n"/>
      <c r="JK50" s="139">
        <f>JJ50*100/$E$50</f>
        <v/>
      </c>
      <c r="JL50" s="133" t="n"/>
      <c r="JM50" s="139">
        <f>JL50*100/$E$50</f>
        <v/>
      </c>
      <c r="JN50" s="133" t="n"/>
      <c r="JO50" s="139">
        <f>JN50*100/$E$50</f>
        <v/>
      </c>
      <c r="JP50" s="133" t="n"/>
      <c r="JQ50" s="139">
        <f>JP50*100/$E$50</f>
        <v/>
      </c>
      <c r="JR50" s="133" t="n"/>
      <c r="JS50" s="182">
        <f>JR50*100/$E$50</f>
        <v/>
      </c>
      <c r="JT50" s="133" t="n"/>
      <c r="JU50" s="182">
        <f>JT50*100/$E$50</f>
        <v/>
      </c>
      <c r="JV50" s="133" t="n"/>
      <c r="JW50" s="182">
        <f>JV50*100/$E$50</f>
        <v/>
      </c>
      <c r="JX50" s="133" t="n"/>
      <c r="JY50" s="182">
        <f>JX50*100/$E$50</f>
        <v/>
      </c>
      <c r="JZ50" s="183">
        <f>JN50+JP50+JR50+JT50+JV50+JX50</f>
        <v/>
      </c>
      <c r="KA50" s="184">
        <f>JO50+JQ50+JS50+JU50+JW50+JY50</f>
        <v/>
      </c>
      <c r="KB50" s="185">
        <f>H50+J50+L50+N50+P50+R50+T50+V50+X50+Z50+AB50+AD50+AF50+AH50+AJ50+AL50+AN50+AP50+AR50+AT50+AV50+AX50+AZ50+BB50+BD50+BF50+BH50+BJ50+BL50+BN50+BP50+BR50+BT50+BV50+BX50+BZ50+CB50+CD50+CF50+CH50+CZ50+DB50+DD50+DF50+DH50+DJ50+DL50+DN50+DP50+DR50+DT50+DV50+DX50+DZ50+EB50+ED50+EF50+EH50+EJ50+EL50+EN50+EP50+ER50+ET50+EV50+FN50+FP50+FR50+FT50+FV50+FX50+FZ50+GB50+GD50+GF50+GH50+GJ50+GL50+GN50+GP50+GR50+GT50+GV50+GX50+GZ50+HB50+HD50+HF50+HH50+HJ50+HL50+HN50+HP50+HR50+HT50+HV50+HX50+HZ50+IB50+ID50+IF50+IH50+IJ50+IL50+IN50+IP50+IR50+IT50+IV50+IX50+IZ50+JB50+JD50+JF50+JH50+JJ50+JL50+JZ50+CJ50+CL50+CN50+CP50+CR50+CT50+CV50+CX50+EX50+EZ50+FB50+FD50+FF50+FH50+FJ50+FL50</f>
        <v/>
      </c>
      <c r="KC50" s="186">
        <f>I50+K50+M50+O50+Q50+S50+U50+W50+Y50+AA50+AC50+AE50+AG50+AI50+AK50+AM50+AO50+AQ50+AS50+AU50+AW50+AY50+BA50+BC50+BE50+BG50+BI50+BK50+BM50+BO50+BQ50+BS50+BU50+BW50+BY50+CA50+CC50+CE50+CG50+CI50+DA50+DC50+DE50+DG50+DI50+DK50+DM50+DO50+DQ50+DS50+DU50+DW50+DY50+EA50+EC50+EE50+EG50+EI50+EK50+EM50+EO50+EQ50+ES50+EU50+EW50+FO50+FS50+FU50+FW50+FQ50+FY50+GA50+GC50+GE50+GG50+GI50+GK50+GM50+GO50+GQ50+GS50+GU50+GW50+GY50+HA50+HC50+HE50+HG50+HI50+HK50+HM50+HO50+HQ50+HS50+HU50+HW50+HY50+IA50+IC50+IE50+IG50+II50+IK50+IM50+IO50+IQ50+IS50+IU50+IW50+IY50+JA50+JC50+JE50+JG50+JI50+JK50+JM50+KA50+CK50+CM50+CO50+CQ50+CS50+CU50+CW50+CY50+EY50+FA50+FC50+FE50+FG50+FI50+FK50+FM50</f>
        <v/>
      </c>
      <c r="KD50" s="187">
        <f>JO50+JQ50+JS50+JU50+JW50+JY50</f>
        <v/>
      </c>
      <c r="KE50" s="188">
        <f>KB50=E50</f>
        <v/>
      </c>
      <c r="KF50" s="189">
        <f>E50-KB50</f>
        <v/>
      </c>
      <c r="KG50" s="196" t="n"/>
    </row>
    <row r="51" ht="27" customFormat="1" customHeight="1" s="210">
      <c r="A51" s="126">
        <f>A50+1</f>
        <v/>
      </c>
      <c r="B51" s="175" t="inlineStr">
        <is>
          <t>Якунин Е.Е.</t>
        </is>
      </c>
      <c r="C51" s="176" t="inlineStr">
        <is>
          <t>сварщик</t>
        </is>
      </c>
      <c r="D51" s="177">
        <f>$D$5</f>
        <v/>
      </c>
      <c r="E51" s="202" t="n">
        <v>88</v>
      </c>
      <c r="F51" s="193" t="n">
        <v>118220.84</v>
      </c>
      <c r="G51" s="179">
        <f>F51/D51</f>
        <v/>
      </c>
      <c r="H51" s="180" t="n"/>
      <c r="I51" s="140">
        <f>H51*100/$E$51</f>
        <v/>
      </c>
      <c r="J51" s="133" t="n"/>
      <c r="K51" s="140">
        <f>J51*100/$E$51</f>
        <v/>
      </c>
      <c r="L51" s="133" t="n"/>
      <c r="M51" s="140">
        <f>L51*100/$E$51</f>
        <v/>
      </c>
      <c r="N51" s="133" t="n"/>
      <c r="O51" s="140">
        <f>N51*100/$E$51</f>
        <v/>
      </c>
      <c r="P51" s="133" t="n"/>
      <c r="Q51" s="139">
        <f>P51*100/$E$51</f>
        <v/>
      </c>
      <c r="R51" s="180" t="n"/>
      <c r="S51" s="139">
        <f>R51*100/$E$51</f>
        <v/>
      </c>
      <c r="T51" s="133" t="n"/>
      <c r="U51" s="140">
        <f>T51*100/$E$51</f>
        <v/>
      </c>
      <c r="V51" s="133" t="n"/>
      <c r="W51" s="140">
        <f>V51*100/$E$51</f>
        <v/>
      </c>
      <c r="X51" s="133" t="n"/>
      <c r="Y51" s="140">
        <f>X51*100/$E$51</f>
        <v/>
      </c>
      <c r="Z51" s="133" t="n"/>
      <c r="AA51" s="140">
        <f>Z51*100/$E$51</f>
        <v/>
      </c>
      <c r="AB51" s="133" t="n">
        <v>16</v>
      </c>
      <c r="AC51" s="140">
        <f>AB51*100/$E$51</f>
        <v/>
      </c>
      <c r="AD51" s="133" t="n"/>
      <c r="AE51" s="139">
        <f>AD51*100/$E$51</f>
        <v/>
      </c>
      <c r="AF51" s="133" t="n"/>
      <c r="AG51" s="139">
        <f>AF51*100/$E$51</f>
        <v/>
      </c>
      <c r="AH51" s="133" t="n"/>
      <c r="AI51" s="140">
        <f>AH51*100/$E$51</f>
        <v/>
      </c>
      <c r="AJ51" s="133" t="n"/>
      <c r="AK51" s="140">
        <f>AJ51*100/$E$51</f>
        <v/>
      </c>
      <c r="AL51" s="133" t="n"/>
      <c r="AM51" s="140">
        <f>AL51*100/$E$51</f>
        <v/>
      </c>
      <c r="AN51" s="133" t="n"/>
      <c r="AO51" s="140">
        <f>AN51*100/$E$51</f>
        <v/>
      </c>
      <c r="AP51" s="133" t="n"/>
      <c r="AQ51" s="140">
        <f>AP51*100/$E$51</f>
        <v/>
      </c>
      <c r="AR51" s="133" t="n"/>
      <c r="AS51" s="140">
        <f>AR51*100/$E$51</f>
        <v/>
      </c>
      <c r="AT51" s="133" t="n"/>
      <c r="AU51" s="181">
        <f>AT51*100/$E$51</f>
        <v/>
      </c>
      <c r="AV51" s="133" t="n"/>
      <c r="AW51" s="140">
        <f>AV51*100/$E$51</f>
        <v/>
      </c>
      <c r="AX51" s="133" t="n"/>
      <c r="AY51" s="140">
        <f>AX51*100/$E$51</f>
        <v/>
      </c>
      <c r="AZ51" s="133" t="n"/>
      <c r="BA51" s="140">
        <f>AZ51*100/$E$51</f>
        <v/>
      </c>
      <c r="BB51" s="133" t="n"/>
      <c r="BC51" s="140">
        <f>BB51*100/$E$51</f>
        <v/>
      </c>
      <c r="BD51" s="133" t="n"/>
      <c r="BE51" s="140">
        <f>BD51*100/$E$51</f>
        <v/>
      </c>
      <c r="BF51" s="133">
        <f>8+8</f>
        <v/>
      </c>
      <c r="BG51" s="140">
        <f>BF51*100/$E$51</f>
        <v/>
      </c>
      <c r="BH51" s="133" t="n"/>
      <c r="BI51" s="140">
        <f>BH51*100/$E$51</f>
        <v/>
      </c>
      <c r="BJ51" s="133" t="n"/>
      <c r="BK51" s="140">
        <f>BJ51*100/$E$51</f>
        <v/>
      </c>
      <c r="BL51" s="133" t="n"/>
      <c r="BM51" s="140">
        <f>BL51*100/$E$51</f>
        <v/>
      </c>
      <c r="BN51" s="133" t="n"/>
      <c r="BO51" s="140">
        <f>BN51*100/$E$51</f>
        <v/>
      </c>
      <c r="BP51" s="133" t="n"/>
      <c r="BQ51" s="140">
        <f>BP51*100/$E$51</f>
        <v/>
      </c>
      <c r="BR51" s="133" t="n"/>
      <c r="BS51" s="140">
        <f>BR51*100/$E$51</f>
        <v/>
      </c>
      <c r="BT51" s="133" t="n"/>
      <c r="BU51" s="140">
        <f>BT51*100/$E$51</f>
        <v/>
      </c>
      <c r="BV51" s="133" t="n"/>
      <c r="BW51" s="140">
        <f>BV51*100/$E$51</f>
        <v/>
      </c>
      <c r="BX51" s="133" t="n"/>
      <c r="BY51" s="140">
        <f>BX51*100/$E$51</f>
        <v/>
      </c>
      <c r="BZ51" s="133" t="n"/>
      <c r="CA51" s="140">
        <f>BZ51*100/$E$51</f>
        <v/>
      </c>
      <c r="CB51" s="133" t="n"/>
      <c r="CC51" s="140">
        <f>CB51*100/$E$51</f>
        <v/>
      </c>
      <c r="CD51" s="133" t="n"/>
      <c r="CE51" s="140">
        <f>CD51*100/$E$51</f>
        <v/>
      </c>
      <c r="CF51" s="133" t="n"/>
      <c r="CG51" s="140">
        <f>CF51*100/$E$51</f>
        <v/>
      </c>
      <c r="CH51" s="133" t="n"/>
      <c r="CI51" s="140">
        <f>CH51*100/$E$51</f>
        <v/>
      </c>
      <c r="CJ51" s="133" t="n">
        <v>16</v>
      </c>
      <c r="CK51" s="140">
        <f>CJ51*100/$E$51</f>
        <v/>
      </c>
      <c r="CL51" s="133" t="n"/>
      <c r="CM51" s="140">
        <f>CL51*100/$E$51</f>
        <v/>
      </c>
      <c r="CN51" s="133" t="n"/>
      <c r="CO51" s="139">
        <f>CN51*100/$E$51</f>
        <v/>
      </c>
      <c r="CP51" s="133" t="n"/>
      <c r="CQ51" s="140">
        <f>CP51*100/$E$51</f>
        <v/>
      </c>
      <c r="CR51" s="133" t="n"/>
      <c r="CS51" s="139">
        <f>CR51*100/$E$51</f>
        <v/>
      </c>
      <c r="CT51" s="133" t="n"/>
      <c r="CU51" s="139">
        <f>CT51*100/$E$51</f>
        <v/>
      </c>
      <c r="CV51" s="133" t="n"/>
      <c r="CW51" s="139">
        <f>CV51*100/$E$51</f>
        <v/>
      </c>
      <c r="CX51" s="133" t="n"/>
      <c r="CY51" s="139">
        <f>CX51*100/$E$51</f>
        <v/>
      </c>
      <c r="CZ51" s="133" t="n"/>
      <c r="DA51" s="139">
        <f>CZ51*100/$E$51</f>
        <v/>
      </c>
      <c r="DB51" s="133" t="n">
        <v>8</v>
      </c>
      <c r="DC51" s="139">
        <f>DB51*100/$E$51</f>
        <v/>
      </c>
      <c r="DD51" s="133" t="n"/>
      <c r="DE51" s="139">
        <f>DD51*100/$E$51</f>
        <v/>
      </c>
      <c r="DF51" s="133" t="n"/>
      <c r="DG51" s="139">
        <f>DF51*100/$E$51</f>
        <v/>
      </c>
      <c r="DH51" s="133" t="n">
        <v>8</v>
      </c>
      <c r="DI51" s="139">
        <f>DH51*100/$E$51</f>
        <v/>
      </c>
      <c r="DJ51" s="133" t="n"/>
      <c r="DK51" s="139">
        <f>DJ51*100/$E$51</f>
        <v/>
      </c>
      <c r="DL51" s="133" t="n"/>
      <c r="DM51" s="139">
        <f>DL51*100/$E$51</f>
        <v/>
      </c>
      <c r="DN51" s="133" t="n"/>
      <c r="DO51" s="139">
        <f>DN51*100/$E$51</f>
        <v/>
      </c>
      <c r="DP51" s="133" t="n"/>
      <c r="DQ51" s="139">
        <f>DP51*100/$E$51</f>
        <v/>
      </c>
      <c r="DR51" s="133" t="n"/>
      <c r="DS51" s="139">
        <f>DR51*100/$E$51</f>
        <v/>
      </c>
      <c r="DT51" s="133" t="n"/>
      <c r="DU51" s="139">
        <f>DT51*100/$E$51</f>
        <v/>
      </c>
      <c r="DV51" s="133" t="n"/>
      <c r="DW51" s="139">
        <f>DV51*100/$E$51</f>
        <v/>
      </c>
      <c r="DX51" s="133" t="n"/>
      <c r="DY51" s="139">
        <f>DX51*100/$E$51</f>
        <v/>
      </c>
      <c r="DZ51" s="133" t="n"/>
      <c r="EA51" s="139">
        <f>DZ51*100/$E$51</f>
        <v/>
      </c>
      <c r="EB51" s="133" t="n"/>
      <c r="EC51" s="139">
        <f>EB51*100/$E$51</f>
        <v/>
      </c>
      <c r="ED51" s="133" t="n"/>
      <c r="EE51" s="139">
        <f>ED51*100/$E$51</f>
        <v/>
      </c>
      <c r="EF51" s="133" t="n"/>
      <c r="EG51" s="139">
        <f>EF51*100/$E$51</f>
        <v/>
      </c>
      <c r="EH51" s="133" t="n"/>
      <c r="EI51" s="139">
        <f>EH51*100/$E$51</f>
        <v/>
      </c>
      <c r="EJ51" s="133" t="n"/>
      <c r="EK51" s="139">
        <f>EJ51*100/$E$51</f>
        <v/>
      </c>
      <c r="EL51" s="133" t="n">
        <v>4</v>
      </c>
      <c r="EM51" s="139">
        <f>EL51*100/$E$51</f>
        <v/>
      </c>
      <c r="EN51" s="133" t="n"/>
      <c r="EO51" s="139">
        <f>EN51*100/$E$51</f>
        <v/>
      </c>
      <c r="EP51" s="133" t="n"/>
      <c r="EQ51" s="139">
        <f>EP51*100/$E$51</f>
        <v/>
      </c>
      <c r="ER51" s="133" t="n"/>
      <c r="ES51" s="139">
        <f>ER51*100/$E$51</f>
        <v/>
      </c>
      <c r="ET51" s="133" t="n"/>
      <c r="EU51" s="139">
        <f>ET51*100/$E$51</f>
        <v/>
      </c>
      <c r="EV51" s="133" t="n"/>
      <c r="EW51" s="139">
        <f>EV51*100/$E$51</f>
        <v/>
      </c>
      <c r="EX51" s="133" t="n"/>
      <c r="EY51" s="139">
        <f>EX51*100/$E$51</f>
        <v/>
      </c>
      <c r="EZ51" s="133" t="n"/>
      <c r="FA51" s="139">
        <f>EZ51*100/$E$51</f>
        <v/>
      </c>
      <c r="FB51" s="133" t="n"/>
      <c r="FC51" s="139">
        <f>FB51*100/$E$51</f>
        <v/>
      </c>
      <c r="FD51" s="133" t="n"/>
      <c r="FE51" s="139">
        <f>FD51*100/$E$51</f>
        <v/>
      </c>
      <c r="FF51" s="133" t="n"/>
      <c r="FG51" s="139">
        <f>FF51*100/$E$51</f>
        <v/>
      </c>
      <c r="FH51" s="133" t="n"/>
      <c r="FI51" s="139">
        <f>FH51*100/$E$51</f>
        <v/>
      </c>
      <c r="FJ51" s="133" t="n"/>
      <c r="FK51" s="139">
        <f>FJ51*100/$E$51</f>
        <v/>
      </c>
      <c r="FL51" s="133" t="n"/>
      <c r="FM51" s="139">
        <f>FL51*100/$E$51</f>
        <v/>
      </c>
      <c r="FN51" s="133" t="n">
        <v>8</v>
      </c>
      <c r="FO51" s="139">
        <f>FN51*100/$E$51</f>
        <v/>
      </c>
      <c r="FP51" s="133" t="n"/>
      <c r="FQ51" s="139">
        <f>FP51*100/$E$51</f>
        <v/>
      </c>
      <c r="FR51" s="133" t="n"/>
      <c r="FS51" s="139">
        <f>FR51*100/$E$51</f>
        <v/>
      </c>
      <c r="FT51" s="133" t="n"/>
      <c r="FU51" s="139">
        <f>FT51*100/$E$51</f>
        <v/>
      </c>
      <c r="FV51" s="133" t="n"/>
      <c r="FW51" s="139">
        <f>FV51*100/$E$51</f>
        <v/>
      </c>
      <c r="FX51" s="133" t="n"/>
      <c r="FY51" s="140">
        <f>FX51*100/$E$51</f>
        <v/>
      </c>
      <c r="FZ51" s="133" t="n"/>
      <c r="GA51" s="140">
        <f>FZ51*100/$E$51</f>
        <v/>
      </c>
      <c r="GB51" s="133" t="n"/>
      <c r="GC51" s="140">
        <f>GB51*100/$E$51</f>
        <v/>
      </c>
      <c r="GD51" s="133" t="n"/>
      <c r="GE51" s="140">
        <f>GD51*100/$E$51</f>
        <v/>
      </c>
      <c r="GF51" s="133" t="n"/>
      <c r="GG51" s="140">
        <f>GF51*100/$E$51</f>
        <v/>
      </c>
      <c r="GH51" s="133" t="n"/>
      <c r="GI51" s="140">
        <f>GH51*100/$E$51</f>
        <v/>
      </c>
      <c r="GJ51" s="133" t="n"/>
      <c r="GK51" s="139">
        <f>GJ51*100/$E$51</f>
        <v/>
      </c>
      <c r="GL51" s="133" t="n"/>
      <c r="GM51" s="140">
        <f>GL51*100/$E$51</f>
        <v/>
      </c>
      <c r="GN51" s="133" t="n">
        <v>8</v>
      </c>
      <c r="GO51" s="139">
        <f>GN51*100/$E$51</f>
        <v/>
      </c>
      <c r="GP51" s="133" t="n"/>
      <c r="GQ51" s="140">
        <f>GP51*100/$E$51</f>
        <v/>
      </c>
      <c r="GR51" s="133" t="n"/>
      <c r="GS51" s="139">
        <f>GR51*100/$E$51</f>
        <v/>
      </c>
      <c r="GT51" s="133" t="n"/>
      <c r="GU51" s="139">
        <f>GT51*100/$E$51</f>
        <v/>
      </c>
      <c r="GV51" s="133" t="n"/>
      <c r="GW51" s="139">
        <f>GV51*100/$E$51</f>
        <v/>
      </c>
      <c r="GX51" s="133" t="n"/>
      <c r="GY51" s="140">
        <f>GX51*100/$E$51</f>
        <v/>
      </c>
      <c r="GZ51" s="133" t="n"/>
      <c r="HA51" s="140">
        <f>GZ51*100/$E$51</f>
        <v/>
      </c>
      <c r="HB51" s="133" t="n"/>
      <c r="HC51" s="140">
        <f>HB51*100/$E$51</f>
        <v/>
      </c>
      <c r="HD51" s="133" t="n"/>
      <c r="HE51" s="140">
        <f>HD51*100/$E$51</f>
        <v/>
      </c>
      <c r="HF51" s="133" t="n"/>
      <c r="HG51" s="140">
        <f>HF51*100/$E$51</f>
        <v/>
      </c>
      <c r="HH51" s="133" t="n"/>
      <c r="HI51" s="140">
        <f>HH51*100/$E$51</f>
        <v/>
      </c>
      <c r="HJ51" s="133" t="n"/>
      <c r="HK51" s="140">
        <f>HJ51*100/$E$51</f>
        <v/>
      </c>
      <c r="HL51" s="133" t="n"/>
      <c r="HM51" s="140">
        <f>HL51*100/$E$51</f>
        <v/>
      </c>
      <c r="HN51" s="133" t="n"/>
      <c r="HO51" s="140">
        <f>HN51*100/$E$51</f>
        <v/>
      </c>
      <c r="HP51" s="133" t="n"/>
      <c r="HQ51" s="140">
        <f>HP51*100/$E$51</f>
        <v/>
      </c>
      <c r="HR51" s="133" t="n"/>
      <c r="HS51" s="140">
        <f>HR51*100/$E$51</f>
        <v/>
      </c>
      <c r="HT51" s="133" t="n"/>
      <c r="HU51" s="140">
        <f>HT51*100/$E$51</f>
        <v/>
      </c>
      <c r="HV51" s="133" t="n"/>
      <c r="HW51" s="140">
        <f>HV51*100/$E$51</f>
        <v/>
      </c>
      <c r="HX51" s="133" t="n"/>
      <c r="HY51" s="140">
        <f>HX51*100/$E$51</f>
        <v/>
      </c>
      <c r="HZ51" s="133" t="n"/>
      <c r="IA51" s="139">
        <f>HZ51*100/$E$51</f>
        <v/>
      </c>
      <c r="IB51" s="133" t="n"/>
      <c r="IC51" s="139">
        <f>IB51*100/$E$51</f>
        <v/>
      </c>
      <c r="ID51" s="133" t="n"/>
      <c r="IE51" s="139">
        <f>ID51*100/$E$51</f>
        <v/>
      </c>
      <c r="IF51" s="133" t="n"/>
      <c r="IG51" s="139">
        <f>IF51*100/$E$51</f>
        <v/>
      </c>
      <c r="IH51" s="133" t="n"/>
      <c r="II51" s="139">
        <f>IH51*100/$E$51</f>
        <v/>
      </c>
      <c r="IJ51" s="133" t="n"/>
      <c r="IK51" s="139">
        <f>IJ51*100/$E$51</f>
        <v/>
      </c>
      <c r="IL51" s="133" t="n"/>
      <c r="IM51" s="140">
        <f>IL51*100/$E$51</f>
        <v/>
      </c>
      <c r="IN51" s="133" t="n"/>
      <c r="IO51" s="140">
        <f>IN51*100/$E$51</f>
        <v/>
      </c>
      <c r="IP51" s="133" t="n"/>
      <c r="IQ51" s="139">
        <f>IP51*100/$E$51</f>
        <v/>
      </c>
      <c r="IR51" s="133" t="n"/>
      <c r="IS51" s="139">
        <f>IR51*100/$E$51</f>
        <v/>
      </c>
      <c r="IT51" s="133" t="n"/>
      <c r="IU51" s="139">
        <f>IT51*100/$E$51</f>
        <v/>
      </c>
      <c r="IV51" s="133" t="n"/>
      <c r="IW51" s="139">
        <f>IV51*100/$E$51</f>
        <v/>
      </c>
      <c r="IX51" s="133" t="n"/>
      <c r="IY51" s="139">
        <f>IX51*100/$E$51</f>
        <v/>
      </c>
      <c r="IZ51" s="133" t="n">
        <v>4</v>
      </c>
      <c r="JA51" s="139">
        <f>IZ51*100/$E$51</f>
        <v/>
      </c>
      <c r="JB51" s="133" t="n"/>
      <c r="JC51" s="139">
        <f>JB51*100/$E$51</f>
        <v/>
      </c>
      <c r="JD51" s="133" t="n"/>
      <c r="JE51" s="139">
        <f>JD51*100/$E$51</f>
        <v/>
      </c>
      <c r="JF51" s="133" t="n"/>
      <c r="JG51" s="139">
        <f>JF51*100/$E$51</f>
        <v/>
      </c>
      <c r="JH51" s="133" t="n"/>
      <c r="JI51" s="139">
        <f>JH51*100/$E$51</f>
        <v/>
      </c>
      <c r="JJ51" s="133" t="n"/>
      <c r="JK51" s="139">
        <f>JJ51*100/$E$51</f>
        <v/>
      </c>
      <c r="JL51" s="133" t="n"/>
      <c r="JM51" s="139">
        <f>JL51*100/$E$51</f>
        <v/>
      </c>
      <c r="JN51" s="133" t="n"/>
      <c r="JO51" s="182">
        <f>JN51*100/$E$51</f>
        <v/>
      </c>
      <c r="JP51" s="133" t="n"/>
      <c r="JQ51" s="182">
        <f>JP51*100/$E$51</f>
        <v/>
      </c>
      <c r="JR51" s="133" t="n"/>
      <c r="JS51" s="182">
        <f>JR51*100/$E$51</f>
        <v/>
      </c>
      <c r="JT51" s="133" t="n"/>
      <c r="JU51" s="182">
        <f>JT51*100/$E$51</f>
        <v/>
      </c>
      <c r="JV51" s="133" t="n"/>
      <c r="JW51" s="182">
        <f>JV51*100/$E$51</f>
        <v/>
      </c>
      <c r="JX51" s="133" t="n"/>
      <c r="JY51" s="182">
        <f>JX51*100/$E$51</f>
        <v/>
      </c>
      <c r="JZ51" s="183">
        <f>JN51+JP51+JR51+JT51+JV51+JX51</f>
        <v/>
      </c>
      <c r="KA51" s="184">
        <f>JO51+JQ51+JS51+JU51+JW51+JY51</f>
        <v/>
      </c>
      <c r="KB51" s="185">
        <f>H51+J51+L51+N51+P51+R51+T51+V51+X51+Z51+AB51+AD51+AF51+AH51+AJ51+AL51+AN51+AP51+AR51+AT51+AV51+AX51+AZ51+BB51+BD51+BF51+BH51+BJ51+BL51+BN51+BP51+BR51+BT51+BV51+BX51+BZ51+CB51+CD51+CF51+CH51+CZ51+DB51+DD51+DF51+DH51+DJ51+DL51+DN51+DP51+DR51+DT51+DV51+DX51+DZ51+EB51+ED51+EF51+EH51+EJ51+EL51+EN51+EP51+ER51+ET51+EV51+FN51+FP51+FR51+FT51+FV51+FX51+FZ51+GB51+GD51+GF51+GH51+GJ51+GL51+GN51+GP51+GR51+GT51+GV51+GX51+GZ51+HB51+HD51+HF51+HH51+HJ51+HL51+HN51+HP51+HR51+HT51+HV51+HX51+HZ51+IB51+ID51+IF51+IH51+IJ51+IL51+IN51+IP51+IR51+IT51+IV51+IX51+IZ51+JB51+JD51+JF51+JH51+JJ51+JL51+JZ51+CJ51+CL51+CN51+CP51+CR51+CT51+CV51+CX51+EX51+EZ51+FB51+FD51+FF51+FH51+FJ51+FL51</f>
        <v/>
      </c>
      <c r="KC51" s="186">
        <f>I51+K51+M51+O51+Q51+S51+U51+W51+Y51+AA51+AC51+AE51+AG51+AI51+AK51+AM51+AO51+AQ51+AS51+AU51+AW51+AY51+BA51+BC51+BE51+BG51+BI51+BK51+BM51+BO51+BQ51+BS51+BU51+BW51+BY51+CA51+CC51+CE51+CG51+CI51+DA51+DC51+DE51+DG51+DI51+DK51+DM51+DO51+DQ51+DS51+DU51+DW51+DY51+EA51+EC51+EE51+EG51+EI51+EK51+EM51+EO51+EQ51+ES51+EU51+EW51+FO51+FS51+FU51+FW51+FQ51+FY51+GA51+GC51+GE51+GG51+GI51+GK51+GM51+GO51+GQ51+GS51+GU51+GW51+GY51+HA51+HC51+HE51+HG51+HI51+HK51+HM51+HO51+HQ51+HS51+HU51+HW51+HY51+IA51+IC51+IE51+IG51+II51+IK51+IM51+IO51+IQ51+IS51+IU51+IW51+IY51+JA51+JC51+JE51+JG51+JI51+JK51+JM51+KA51+CK51+CM51+CO51+CQ51+CS51+CU51+CW51+CY51+EY51+FA51+FC51+FE51+FG51+FI51+FK51+FM51</f>
        <v/>
      </c>
      <c r="KD51" s="187">
        <f>JO51+JQ51+JS51+JU51+JW51+JY51</f>
        <v/>
      </c>
      <c r="KE51" s="188">
        <f>KB51=E51</f>
        <v/>
      </c>
      <c r="KF51" s="189">
        <f>E51-KB51</f>
        <v/>
      </c>
      <c r="KG51" s="239" t="n"/>
    </row>
    <row r="52" ht="27" customFormat="1" customHeight="1" s="210" thickBot="1">
      <c r="A52" s="126">
        <f>A51+1</f>
        <v/>
      </c>
      <c r="B52" s="175" t="inlineStr">
        <is>
          <t>Южиков А.Ю.</t>
        </is>
      </c>
      <c r="C52" s="176" t="inlineStr">
        <is>
          <t>сварщик</t>
        </is>
      </c>
      <c r="D52" s="177">
        <f>$D$5</f>
        <v/>
      </c>
      <c r="E52" s="202" t="n">
        <v>167</v>
      </c>
      <c r="F52" s="193" t="n">
        <v>75739.21000000001</v>
      </c>
      <c r="G52" s="179">
        <f>F52/D52</f>
        <v/>
      </c>
      <c r="H52" s="180" t="n"/>
      <c r="I52" s="140">
        <f>H52*100/$E$52</f>
        <v/>
      </c>
      <c r="J52" s="133" t="n"/>
      <c r="K52" s="140">
        <f>J52*100/$E$52</f>
        <v/>
      </c>
      <c r="L52" s="133" t="n"/>
      <c r="M52" s="140">
        <f>L52*100/$E$52</f>
        <v/>
      </c>
      <c r="N52" s="133" t="n"/>
      <c r="O52" s="140">
        <f>N52*100/$E$52</f>
        <v/>
      </c>
      <c r="P52" s="133" t="n"/>
      <c r="Q52" s="139">
        <f>P52*100/$E$52</f>
        <v/>
      </c>
      <c r="R52" s="180" t="n"/>
      <c r="S52" s="139">
        <f>R52*100/$E$52</f>
        <v/>
      </c>
      <c r="T52" s="133" t="n"/>
      <c r="U52" s="140">
        <f>T52*100/$E$52</f>
        <v/>
      </c>
      <c r="V52" s="133" t="n"/>
      <c r="W52" s="140">
        <f>V52*100/$E$52</f>
        <v/>
      </c>
      <c r="X52" s="133" t="n"/>
      <c r="Y52" s="140">
        <f>X52*100/$E$52</f>
        <v/>
      </c>
      <c r="Z52" s="133" t="n"/>
      <c r="AA52" s="140">
        <f>Z52*100/$E$52</f>
        <v/>
      </c>
      <c r="AB52" s="133" t="n"/>
      <c r="AC52" s="140">
        <f>AB52*100/$E$52</f>
        <v/>
      </c>
      <c r="AD52" s="133" t="n"/>
      <c r="AE52" s="139">
        <f>AD52*100/$E$52</f>
        <v/>
      </c>
      <c r="AF52" s="133" t="n"/>
      <c r="AG52" s="139">
        <f>AF52*100/$E$52</f>
        <v/>
      </c>
      <c r="AH52" s="133" t="n"/>
      <c r="AI52" s="140">
        <f>AH52*100/$E$52</f>
        <v/>
      </c>
      <c r="AJ52" s="133" t="n"/>
      <c r="AK52" s="140">
        <f>AJ52*100/$E$52</f>
        <v/>
      </c>
      <c r="AL52" s="133" t="n"/>
      <c r="AM52" s="140">
        <f>AL52*100/$E$52</f>
        <v/>
      </c>
      <c r="AN52" s="133">
        <f>3+3+2.5+3+3+3+3</f>
        <v/>
      </c>
      <c r="AO52" s="140">
        <f>AN52*100/$E$52</f>
        <v/>
      </c>
      <c r="AP52" s="133" t="n"/>
      <c r="AQ52" s="140">
        <f>AP52*100/$E$52</f>
        <v/>
      </c>
      <c r="AR52" s="133">
        <f>18</f>
        <v/>
      </c>
      <c r="AS52" s="140">
        <f>AR52*100/$E$52</f>
        <v/>
      </c>
      <c r="AT52" s="133">
        <f>12</f>
        <v/>
      </c>
      <c r="AU52" s="181">
        <f>AT52*100/$E$52</f>
        <v/>
      </c>
      <c r="AV52" s="133">
        <f>3.5+8</f>
        <v/>
      </c>
      <c r="AW52" s="140">
        <f>AV52*100/$E$52</f>
        <v/>
      </c>
      <c r="AX52" s="133" t="n"/>
      <c r="AY52" s="140">
        <f>AX52*100/$E$52</f>
        <v/>
      </c>
      <c r="AZ52" s="133" t="n"/>
      <c r="BA52" s="140">
        <f>AZ52*100/$E$52</f>
        <v/>
      </c>
      <c r="BB52" s="133">
        <f>1.5</f>
        <v/>
      </c>
      <c r="BC52" s="140">
        <f>BB52*100/$E$52</f>
        <v/>
      </c>
      <c r="BD52" s="133" t="n">
        <v>8</v>
      </c>
      <c r="BE52" s="140">
        <f>BD52*100/$E$52</f>
        <v/>
      </c>
      <c r="BF52" s="133" t="n"/>
      <c r="BG52" s="140">
        <f>BF52*100/$E$52</f>
        <v/>
      </c>
      <c r="BH52" s="133" t="n"/>
      <c r="BI52" s="140">
        <f>BH52*100/$E$52</f>
        <v/>
      </c>
      <c r="BJ52" s="133">
        <f>2+8</f>
        <v/>
      </c>
      <c r="BK52" s="140">
        <f>BJ52*100/$E$52</f>
        <v/>
      </c>
      <c r="BL52" s="133" t="n"/>
      <c r="BM52" s="140">
        <f>BL52*100/$E$52</f>
        <v/>
      </c>
      <c r="BN52" s="133" t="n"/>
      <c r="BO52" s="140">
        <f>BN52*100/$E$52</f>
        <v/>
      </c>
      <c r="BP52" s="133" t="n"/>
      <c r="BQ52" s="140">
        <f>BP52*100/$E$52</f>
        <v/>
      </c>
      <c r="BR52" s="133" t="n"/>
      <c r="BS52" s="140">
        <f>BR52*100/$E$52</f>
        <v/>
      </c>
      <c r="BT52" s="133" t="n"/>
      <c r="BU52" s="140">
        <f>BT52*100/$E$52</f>
        <v/>
      </c>
      <c r="BV52" s="133" t="n"/>
      <c r="BW52" s="140">
        <f>BV52*100/$E$52</f>
        <v/>
      </c>
      <c r="BX52" s="133" t="n"/>
      <c r="BY52" s="140">
        <f>BX52*100/$E$52</f>
        <v/>
      </c>
      <c r="BZ52" s="133" t="n"/>
      <c r="CA52" s="140">
        <f>BZ52*100/$E$52</f>
        <v/>
      </c>
      <c r="CB52" s="133" t="n"/>
      <c r="CC52" s="140">
        <f>CB52*100/$E$52</f>
        <v/>
      </c>
      <c r="CD52" s="133">
        <f>8+3+8+8+8</f>
        <v/>
      </c>
      <c r="CE52" s="140">
        <f>CD52*100/$E$52</f>
        <v/>
      </c>
      <c r="CF52" s="133" t="n"/>
      <c r="CG52" s="140">
        <f>CF52*100/$E$52</f>
        <v/>
      </c>
      <c r="CH52" s="133" t="n"/>
      <c r="CI52" s="140">
        <f>CH52*100/$E$52</f>
        <v/>
      </c>
      <c r="CJ52" s="133" t="n"/>
      <c r="CK52" s="140">
        <f>CJ52*100/$E$52</f>
        <v/>
      </c>
      <c r="CL52" s="133" t="n"/>
      <c r="CM52" s="140">
        <f>CL52*100/$E$52</f>
        <v/>
      </c>
      <c r="CN52" s="133" t="n"/>
      <c r="CO52" s="139">
        <f>CN52*100/$E$52</f>
        <v/>
      </c>
      <c r="CP52" s="133" t="n"/>
      <c r="CQ52" s="140">
        <f>CP52*100/$E$52</f>
        <v/>
      </c>
      <c r="CR52" s="133" t="n"/>
      <c r="CS52" s="139">
        <f>CR52*100/$E$52</f>
        <v/>
      </c>
      <c r="CT52" s="133" t="n"/>
      <c r="CU52" s="139">
        <f>CT52*100/$E$52</f>
        <v/>
      </c>
      <c r="CV52" s="133" t="n"/>
      <c r="CW52" s="139">
        <f>CV52*100/$E$52</f>
        <v/>
      </c>
      <c r="CX52" s="133" t="n"/>
      <c r="CY52" s="139">
        <f>CX52*100/$E$52</f>
        <v/>
      </c>
      <c r="CZ52" s="133" t="n"/>
      <c r="DA52" s="139">
        <f>CZ52*100/$E$52</f>
        <v/>
      </c>
      <c r="DB52" s="133" t="n"/>
      <c r="DC52" s="139">
        <f>DB52*100/$E$52</f>
        <v/>
      </c>
      <c r="DD52" s="133" t="n"/>
      <c r="DE52" s="139">
        <f>DD52*100/$E$52</f>
        <v/>
      </c>
      <c r="DF52" s="133" t="n"/>
      <c r="DG52" s="139">
        <f>DF52*100/$E$52</f>
        <v/>
      </c>
      <c r="DH52" s="133" t="n"/>
      <c r="DI52" s="139">
        <f>DH52*100/$E$52</f>
        <v/>
      </c>
      <c r="DJ52" s="133" t="n"/>
      <c r="DK52" s="139">
        <f>DJ52*100/$E$52</f>
        <v/>
      </c>
      <c r="DL52" s="133" t="n"/>
      <c r="DM52" s="139">
        <f>DL52*100/$E$52</f>
        <v/>
      </c>
      <c r="DN52" s="133" t="n"/>
      <c r="DO52" s="139">
        <f>DN52*100/$E$52</f>
        <v/>
      </c>
      <c r="DP52" s="133" t="n"/>
      <c r="DQ52" s="139">
        <f>DP52*100/$E$52</f>
        <v/>
      </c>
      <c r="DR52" s="133" t="n"/>
      <c r="DS52" s="139">
        <f>DR52*100/$E$52</f>
        <v/>
      </c>
      <c r="DT52" s="133" t="n"/>
      <c r="DU52" s="139">
        <f>DT52*100/$E$52</f>
        <v/>
      </c>
      <c r="DV52" s="133" t="n"/>
      <c r="DW52" s="139">
        <f>DV52*100/$E$52</f>
        <v/>
      </c>
      <c r="DX52" s="133" t="n"/>
      <c r="DY52" s="139">
        <f>DX52*100/$E$52</f>
        <v/>
      </c>
      <c r="DZ52" s="133" t="n"/>
      <c r="EA52" s="139">
        <f>DZ52*100/$E$52</f>
        <v/>
      </c>
      <c r="EB52" s="133" t="n"/>
      <c r="EC52" s="139">
        <f>EB52*100/$E$52</f>
        <v/>
      </c>
      <c r="ED52" s="133" t="n"/>
      <c r="EE52" s="139">
        <f>ED52*100/$E$52</f>
        <v/>
      </c>
      <c r="EF52" s="133" t="n"/>
      <c r="EG52" s="139">
        <f>EF52*100/$E$52</f>
        <v/>
      </c>
      <c r="EH52" s="133" t="n"/>
      <c r="EI52" s="139">
        <f>EH52*100/$E$52</f>
        <v/>
      </c>
      <c r="EJ52" s="133" t="n"/>
      <c r="EK52" s="139">
        <f>EJ52*100/$E$52</f>
        <v/>
      </c>
      <c r="EL52" s="133" t="n"/>
      <c r="EM52" s="139">
        <f>EL52*100/$E$52</f>
        <v/>
      </c>
      <c r="EN52" s="133" t="n"/>
      <c r="EO52" s="139">
        <f>EN52*100/$E$52</f>
        <v/>
      </c>
      <c r="EP52" s="133" t="n"/>
      <c r="EQ52" s="139">
        <f>EP52*100/$E$52</f>
        <v/>
      </c>
      <c r="ER52" s="133" t="n"/>
      <c r="ES52" s="139">
        <f>ER52*100/$E$52</f>
        <v/>
      </c>
      <c r="ET52" s="133" t="n"/>
      <c r="EU52" s="139">
        <f>ET52*100/$E$52</f>
        <v/>
      </c>
      <c r="EV52" s="133" t="n"/>
      <c r="EW52" s="139">
        <f>EV52*100/$E$52</f>
        <v/>
      </c>
      <c r="EX52" s="133" t="n"/>
      <c r="EY52" s="139">
        <f>EX52*100/$E$52</f>
        <v/>
      </c>
      <c r="EZ52" s="133" t="n"/>
      <c r="FA52" s="139">
        <f>EZ52*100/$E$52</f>
        <v/>
      </c>
      <c r="FB52" s="133" t="n"/>
      <c r="FC52" s="139">
        <f>FB52*100/$E$52</f>
        <v/>
      </c>
      <c r="FD52" s="133" t="n"/>
      <c r="FE52" s="139">
        <f>FD52*100/$E$52</f>
        <v/>
      </c>
      <c r="FF52" s="133" t="n"/>
      <c r="FG52" s="139">
        <f>FF52*100/$E$52</f>
        <v/>
      </c>
      <c r="FH52" s="133" t="n"/>
      <c r="FI52" s="139">
        <f>FH52*100/$E$52</f>
        <v/>
      </c>
      <c r="FJ52" s="133" t="n"/>
      <c r="FK52" s="139">
        <f>FJ52*100/$E$52</f>
        <v/>
      </c>
      <c r="FL52" s="133" t="n"/>
      <c r="FM52" s="139">
        <f>FL52*100/$E$52</f>
        <v/>
      </c>
      <c r="FN52" s="133" t="n"/>
      <c r="FO52" s="139">
        <f>FN52*100/$E$52</f>
        <v/>
      </c>
      <c r="FP52" s="133" t="n"/>
      <c r="FQ52" s="139">
        <f>FP52*100/$E$52</f>
        <v/>
      </c>
      <c r="FR52" s="133" t="n"/>
      <c r="FS52" s="139">
        <f>FR52*100/$E$52</f>
        <v/>
      </c>
      <c r="FT52" s="133" t="n"/>
      <c r="FU52" s="139">
        <f>FT52*100/$E$52</f>
        <v/>
      </c>
      <c r="FV52" s="133" t="n"/>
      <c r="FW52" s="139">
        <f>FV52*100/$E$52</f>
        <v/>
      </c>
      <c r="FX52" s="133" t="n"/>
      <c r="FY52" s="140">
        <f>FX52*100/$E$52</f>
        <v/>
      </c>
      <c r="FZ52" s="133" t="n"/>
      <c r="GA52" s="140">
        <f>FZ52*100/$E$52</f>
        <v/>
      </c>
      <c r="GB52" s="133" t="n"/>
      <c r="GC52" s="140">
        <f>GB52*100/$E$52</f>
        <v/>
      </c>
      <c r="GD52" s="133" t="n"/>
      <c r="GE52" s="140">
        <f>GD52*100/$E$52</f>
        <v/>
      </c>
      <c r="GF52" s="133" t="n"/>
      <c r="GG52" s="140">
        <f>GF52*100/$E$52</f>
        <v/>
      </c>
      <c r="GH52" s="133" t="n"/>
      <c r="GI52" s="140">
        <f>GH52*100/$E$52</f>
        <v/>
      </c>
      <c r="GJ52" s="133" t="n"/>
      <c r="GK52" s="139">
        <f>GJ52*100/$E$52</f>
        <v/>
      </c>
      <c r="GL52" s="133" t="n"/>
      <c r="GM52" s="140">
        <f>GL52*100/$E$52</f>
        <v/>
      </c>
      <c r="GN52" s="133" t="n"/>
      <c r="GO52" s="139">
        <f>GN52*100/$E$52</f>
        <v/>
      </c>
      <c r="GP52" s="133" t="n"/>
      <c r="GQ52" s="140">
        <f>GP52*100/$E$52</f>
        <v/>
      </c>
      <c r="GR52" s="133" t="n"/>
      <c r="GS52" s="139">
        <f>GR52*100/$E$52</f>
        <v/>
      </c>
      <c r="GT52" s="133" t="n"/>
      <c r="GU52" s="139">
        <f>GT52*100/$E$52</f>
        <v/>
      </c>
      <c r="GV52" s="133" t="n"/>
      <c r="GW52" s="139">
        <f>GV52*100/$E$52</f>
        <v/>
      </c>
      <c r="GX52" s="133" t="n"/>
      <c r="GY52" s="140">
        <f>GX52*100/$E$52</f>
        <v/>
      </c>
      <c r="GZ52" s="133" t="n"/>
      <c r="HA52" s="140">
        <f>GZ52*100/$E$52</f>
        <v/>
      </c>
      <c r="HB52" s="133" t="n"/>
      <c r="HC52" s="140">
        <f>HB52*100/$E$52</f>
        <v/>
      </c>
      <c r="HD52" s="133" t="n"/>
      <c r="HE52" s="140">
        <f>HD52*100/$E$52</f>
        <v/>
      </c>
      <c r="HF52" s="133" t="n"/>
      <c r="HG52" s="140">
        <f>HF52*100/$E$52</f>
        <v/>
      </c>
      <c r="HH52" s="133" t="n"/>
      <c r="HI52" s="140">
        <f>HH52*100/$E$52</f>
        <v/>
      </c>
      <c r="HJ52" s="133" t="n"/>
      <c r="HK52" s="140">
        <f>HJ52*100/$E$52</f>
        <v/>
      </c>
      <c r="HL52" s="133" t="n"/>
      <c r="HM52" s="140">
        <f>HL52*100/$E$52</f>
        <v/>
      </c>
      <c r="HN52" s="133" t="n"/>
      <c r="HO52" s="140">
        <f>HN52*100/$E$52</f>
        <v/>
      </c>
      <c r="HP52" s="133" t="n"/>
      <c r="HQ52" s="140">
        <f>HP52*100/$E$52</f>
        <v/>
      </c>
      <c r="HR52" s="133" t="n"/>
      <c r="HS52" s="140">
        <f>HR52*100/$E$52</f>
        <v/>
      </c>
      <c r="HT52" s="133" t="n"/>
      <c r="HU52" s="140">
        <f>HT52*100/$E$52</f>
        <v/>
      </c>
      <c r="HV52" s="133" t="n"/>
      <c r="HW52" s="140">
        <f>HV52*100/$E$52</f>
        <v/>
      </c>
      <c r="HX52" s="133" t="n"/>
      <c r="HY52" s="140">
        <f>HX52*100/$E$52</f>
        <v/>
      </c>
      <c r="HZ52" s="133" t="n"/>
      <c r="IA52" s="139">
        <f>HZ52*100/$E$52</f>
        <v/>
      </c>
      <c r="IB52" s="133" t="n"/>
      <c r="IC52" s="139">
        <f>IB52*100/$E$52</f>
        <v/>
      </c>
      <c r="ID52" s="133" t="n"/>
      <c r="IE52" s="139">
        <f>ID52*100/$E$52</f>
        <v/>
      </c>
      <c r="IF52" s="133" t="n"/>
      <c r="IG52" s="139">
        <f>IF52*100/$E$52</f>
        <v/>
      </c>
      <c r="IH52" s="133" t="n"/>
      <c r="II52" s="139">
        <f>IH52*100/$E$52</f>
        <v/>
      </c>
      <c r="IJ52" s="133" t="n"/>
      <c r="IK52" s="139">
        <f>IJ52*100/$E$52</f>
        <v/>
      </c>
      <c r="IL52" s="133" t="n"/>
      <c r="IM52" s="140">
        <f>IL52*100/$E$52</f>
        <v/>
      </c>
      <c r="IN52" s="133" t="n"/>
      <c r="IO52" s="140">
        <f>IN52*100/$E$52</f>
        <v/>
      </c>
      <c r="IP52" s="133" t="n"/>
      <c r="IQ52" s="139">
        <f>IP52*100/$E$52</f>
        <v/>
      </c>
      <c r="IR52" s="133" t="n"/>
      <c r="IS52" s="139">
        <f>IR52*100/$E$52</f>
        <v/>
      </c>
      <c r="IT52" s="133" t="n"/>
      <c r="IU52" s="139">
        <f>IT52*100/$E$52</f>
        <v/>
      </c>
      <c r="IV52" s="133" t="n"/>
      <c r="IW52" s="139">
        <f>IV52*100/$E$52</f>
        <v/>
      </c>
      <c r="IX52" s="133" t="n"/>
      <c r="IY52" s="139">
        <f>IX52*100/$E$52</f>
        <v/>
      </c>
      <c r="IZ52" s="133" t="n"/>
      <c r="JA52" s="139">
        <f>IZ52*100/$E$52</f>
        <v/>
      </c>
      <c r="JB52" s="133" t="n"/>
      <c r="JC52" s="139">
        <f>JB52*100/$E$52</f>
        <v/>
      </c>
      <c r="JD52" s="133" t="n"/>
      <c r="JE52" s="139">
        <f>JD52*100/$E$52</f>
        <v/>
      </c>
      <c r="JF52" s="133" t="n"/>
      <c r="JG52" s="139">
        <f>JF52*100/$E$52</f>
        <v/>
      </c>
      <c r="JH52" s="133" t="n"/>
      <c r="JI52" s="139">
        <f>JH52*100/$E$52</f>
        <v/>
      </c>
      <c r="JJ52" s="133" t="n"/>
      <c r="JK52" s="139">
        <f>JJ52*100/$E$52</f>
        <v/>
      </c>
      <c r="JL52" s="133">
        <f>8+5+8+8+5.5+8</f>
        <v/>
      </c>
      <c r="JM52" s="139">
        <f>JL52*100/$E$52</f>
        <v/>
      </c>
      <c r="JN52" s="133" t="n">
        <v>8</v>
      </c>
      <c r="JO52" s="139">
        <f>JN52*100/$E$52</f>
        <v/>
      </c>
      <c r="JP52" s="133" t="n"/>
      <c r="JQ52" s="139">
        <f>JP52*100/$E$52</f>
        <v/>
      </c>
      <c r="JR52" s="133" t="n"/>
      <c r="JS52" s="182">
        <f>JR52*100/$E$52</f>
        <v/>
      </c>
      <c r="JT52" s="133" t="n"/>
      <c r="JU52" s="182">
        <f>JT52*100/$E$52</f>
        <v/>
      </c>
      <c r="JV52" s="133" t="n"/>
      <c r="JW52" s="182">
        <f>JV52*100/$E$52</f>
        <v/>
      </c>
      <c r="JX52" s="133" t="n"/>
      <c r="JY52" s="182">
        <f>JX52*100/$E$52</f>
        <v/>
      </c>
      <c r="JZ52" s="183">
        <f>JN52+JP52+JR52+JT52+JV52+JX52</f>
        <v/>
      </c>
      <c r="KA52" s="184">
        <f>JO52+JQ52+JS52+JU52+JW52+JY52</f>
        <v/>
      </c>
      <c r="KB52" s="185">
        <f>H52+J52+L52+N52+P52+R52+T52+V52+X52+Z52+AB52+AD52+AF52+AH52+AJ52+AL52+AN52+AP52+AR52+AT52+AV52+AX52+AZ52+BB52+BD52+BF52+BH52+BJ52+BL52+BN52+BP52+BR52+BT52+BV52+BX52+BZ52+CB52+CD52+CF52+CH52+CZ52+DB52+DD52+DF52+DH52+DJ52+DL52+DN52+DP52+DR52+DT52+DV52+DX52+DZ52+EB52+ED52+EF52+EH52+EJ52+EL52+EN52+EP52+ER52+ET52+EV52+FN52+FP52+FR52+FT52+FV52+FX52+FZ52+GB52+GD52+GF52+GH52+GJ52+GL52+GN52+GP52+GR52+GT52+GV52+GX52+GZ52+HB52+HD52+HF52+HH52+HJ52+HL52+HN52+HP52+HR52+HT52+HV52+HX52+HZ52+IB52+ID52+IF52+IH52+IJ52+IL52+IN52+IP52+IR52+IT52+IV52+IX52+IZ52+JB52+JD52+JF52+JH52+JJ52+JL52+JZ52+CJ52+CL52+CN52+CP52+CR52+CT52+CV52+CX52+EX52+EZ52+FB52+FD52+FF52+FH52+FJ52+FL52</f>
        <v/>
      </c>
      <c r="KC52" s="186">
        <f>I52+K52+M52+O52+Q52+S52+U52+W52+Y52+AA52+AC52+AE52+AG52+AI52+AK52+AM52+AO52+AQ52+AS52+AU52+AW52+AY52+BA52+BC52+BE52+BG52+BI52+BK52+BM52+BO52+BQ52+BS52+BU52+BW52+BY52+CA52+CC52+CE52+CG52+CI52+DA52+DC52+DE52+DG52+DI52+DK52+DM52+DO52+DQ52+DS52+DU52+DW52+DY52+EA52+EC52+EE52+EG52+EI52+EK52+EM52+EO52+EQ52+ES52+EU52+EW52+FO52+FS52+FU52+FW52+FQ52+FY52+GA52+GC52+GE52+GG52+GI52+GK52+GM52+GO52+GQ52+GS52+GU52+GW52+GY52+HA52+HC52+HE52+HG52+HI52+HK52+HM52+HO52+HQ52+HS52+HU52+HW52+HY52+IA52+IC52+IE52+IG52+II52+IK52+IM52+IO52+IQ52+IS52+IU52+IW52+IY52+JA52+JC52+JE52+JG52+JI52+JK52+JM52+KA52+CK52+CM52+CO52+CQ52+CS52+CU52+CW52+CY52+EY52+FA52+FC52+FE52+FG52+FI52+FK52+FM52</f>
        <v/>
      </c>
      <c r="KD52" s="187">
        <f>JO52+JQ52+JS52+JU52+JW52+JY52</f>
        <v/>
      </c>
      <c r="KE52" s="188">
        <f>KB52=E52</f>
        <v/>
      </c>
      <c r="KF52" s="189">
        <f>E52-KB52</f>
        <v/>
      </c>
      <c r="KG52" s="239" t="n"/>
    </row>
    <row r="53" ht="29.25" customFormat="1" customHeight="1" s="100" thickBot="1">
      <c r="A53" s="129" t="n"/>
      <c r="B53" s="135" t="inlineStr">
        <is>
          <t>Итого</t>
        </is>
      </c>
      <c r="C53" s="91" t="n"/>
      <c r="D53" s="131">
        <f>SUM(D9:D52)</f>
        <v/>
      </c>
      <c r="E53" s="31">
        <f>SUM(E9:E52)</f>
        <v/>
      </c>
      <c r="F53" s="92">
        <f>SUM(F9:F52)</f>
        <v/>
      </c>
      <c r="G53" s="105">
        <f>E53*F54</f>
        <v/>
      </c>
      <c r="H53" s="95">
        <f>SUM(H9:H52)</f>
        <v/>
      </c>
      <c r="I53" s="96">
        <f>SUM(I9:I52)</f>
        <v/>
      </c>
      <c r="J53" s="89">
        <f>SUM(J9:J52)</f>
        <v/>
      </c>
      <c r="K53" s="96">
        <f>SUM(K9:K52)</f>
        <v/>
      </c>
      <c r="L53" s="89">
        <f>SUM(L9:L52)</f>
        <v/>
      </c>
      <c r="M53" s="96">
        <f>SUM(M9:M52)</f>
        <v/>
      </c>
      <c r="N53" s="89">
        <f>SUM(N9:N52)</f>
        <v/>
      </c>
      <c r="O53" s="96">
        <f>SUM(O9:O52)</f>
        <v/>
      </c>
      <c r="P53" s="89">
        <f>SUM(P9:P52)</f>
        <v/>
      </c>
      <c r="Q53" s="96">
        <f>SUM(Q9:Q52)</f>
        <v/>
      </c>
      <c r="R53" s="95">
        <f>SUM(R9:R52)</f>
        <v/>
      </c>
      <c r="S53" s="96">
        <f>SUM(S9:S52)</f>
        <v/>
      </c>
      <c r="T53" s="89">
        <f>SUM(T9:T52)</f>
        <v/>
      </c>
      <c r="U53" s="96">
        <f>SUM(U9:U52)</f>
        <v/>
      </c>
      <c r="V53" s="89">
        <f>SUM(V9:V52)</f>
        <v/>
      </c>
      <c r="W53" s="96">
        <f>SUM(W9:W52)</f>
        <v/>
      </c>
      <c r="X53" s="89">
        <f>SUM(X9:X52)</f>
        <v/>
      </c>
      <c r="Y53" s="96">
        <f>SUM(Y9:Y52)</f>
        <v/>
      </c>
      <c r="Z53" s="89">
        <f>SUM(Z9:Z52)</f>
        <v/>
      </c>
      <c r="AA53" s="96">
        <f>SUM(AA9:AA52)</f>
        <v/>
      </c>
      <c r="AB53" s="89">
        <f>SUM(AB9:AB52)</f>
        <v/>
      </c>
      <c r="AC53" s="96">
        <f>SUM(AC9:AC52)</f>
        <v/>
      </c>
      <c r="AD53" s="89">
        <f>SUM(AD9:AD52)</f>
        <v/>
      </c>
      <c r="AE53" s="96">
        <f>SUM(AE9:AE52)</f>
        <v/>
      </c>
      <c r="AF53" s="89">
        <f>SUM(AF9:AF52)</f>
        <v/>
      </c>
      <c r="AG53" s="96">
        <f>SUM(AG9:AG52)</f>
        <v/>
      </c>
      <c r="AH53" s="89">
        <f>SUM(AH9:AH52)</f>
        <v/>
      </c>
      <c r="AI53" s="96">
        <f>SUM(AI9:AI52)</f>
        <v/>
      </c>
      <c r="AJ53" s="89">
        <f>SUM(AJ9:AJ52)</f>
        <v/>
      </c>
      <c r="AK53" s="96">
        <f>SUM(AK9:AK52)</f>
        <v/>
      </c>
      <c r="AL53" s="89">
        <f>SUM(AL9:AL52)</f>
        <v/>
      </c>
      <c r="AM53" s="96">
        <f>SUM(AM9:AM52)</f>
        <v/>
      </c>
      <c r="AN53" s="89">
        <f>SUM(AN9:AN52)</f>
        <v/>
      </c>
      <c r="AO53" s="96">
        <f>SUM(AO9:AO52)</f>
        <v/>
      </c>
      <c r="AP53" s="89">
        <f>SUM(AP9:AP52)</f>
        <v/>
      </c>
      <c r="AQ53" s="96">
        <f>SUM(AQ9:AQ52)</f>
        <v/>
      </c>
      <c r="AR53" s="89">
        <f>SUM(AR9:AR52)</f>
        <v/>
      </c>
      <c r="AS53" s="96">
        <f>SUM(AS9:AS52)</f>
        <v/>
      </c>
      <c r="AT53" s="89">
        <f>SUM(AT9:AT52)</f>
        <v/>
      </c>
      <c r="AU53" s="96">
        <f>SUM(AU9:AU52)</f>
        <v/>
      </c>
      <c r="AV53" s="89">
        <f>SUM(AV9:AV52)</f>
        <v/>
      </c>
      <c r="AW53" s="96">
        <f>SUM(AW9:AW52)</f>
        <v/>
      </c>
      <c r="AX53" s="89">
        <f>SUM(AX9:AX52)</f>
        <v/>
      </c>
      <c r="AY53" s="96">
        <f>SUM(AY9:AY52)</f>
        <v/>
      </c>
      <c r="AZ53" s="89">
        <f>SUM(AZ9:AZ52)</f>
        <v/>
      </c>
      <c r="BA53" s="96">
        <f>SUM(BA9:BA52)</f>
        <v/>
      </c>
      <c r="BB53" s="89">
        <f>SUM(BB9:BB52)</f>
        <v/>
      </c>
      <c r="BC53" s="96">
        <f>SUM(BC9:BC52)</f>
        <v/>
      </c>
      <c r="BD53" s="89">
        <f>SUM(BD9:BD52)</f>
        <v/>
      </c>
      <c r="BE53" s="96">
        <f>SUM(BE9:BE52)</f>
        <v/>
      </c>
      <c r="BF53" s="89">
        <f>SUM(BF9:BF52)</f>
        <v/>
      </c>
      <c r="BG53" s="96">
        <f>SUM(BG9:BG52)</f>
        <v/>
      </c>
      <c r="BH53" s="89">
        <f>SUM(BH9:BH52)</f>
        <v/>
      </c>
      <c r="BI53" s="96">
        <f>SUM(BI9:BI52)</f>
        <v/>
      </c>
      <c r="BJ53" s="89">
        <f>SUM(BJ9:BJ52)</f>
        <v/>
      </c>
      <c r="BK53" s="96">
        <f>SUM(BK9:BK52)</f>
        <v/>
      </c>
      <c r="BL53" s="89">
        <f>SUM(BL9:BL52)</f>
        <v/>
      </c>
      <c r="BM53" s="96">
        <f>SUM(BM9:BM52)</f>
        <v/>
      </c>
      <c r="BN53" s="89">
        <f>SUM(BN9:BN52)</f>
        <v/>
      </c>
      <c r="BO53" s="96">
        <f>SUM(BO9:BO52)</f>
        <v/>
      </c>
      <c r="BP53" s="89">
        <f>SUM(BP9:BP52)</f>
        <v/>
      </c>
      <c r="BQ53" s="96">
        <f>SUM(BQ9:BQ52)</f>
        <v/>
      </c>
      <c r="BR53" s="89">
        <f>SUM(BR9:BR52)</f>
        <v/>
      </c>
      <c r="BS53" s="96">
        <f>SUM(BS9:BS52)</f>
        <v/>
      </c>
      <c r="BT53" s="89">
        <f>SUM(BT9:BT52)</f>
        <v/>
      </c>
      <c r="BU53" s="96">
        <f>SUM(BU9:BU52)</f>
        <v/>
      </c>
      <c r="BV53" s="89">
        <f>SUM(BV9:BV52)</f>
        <v/>
      </c>
      <c r="BW53" s="96">
        <f>SUM(BW9:BW52)</f>
        <v/>
      </c>
      <c r="BX53" s="89">
        <f>SUM(BX9:BX52)</f>
        <v/>
      </c>
      <c r="BY53" s="96">
        <f>SUM(BY9:BY52)</f>
        <v/>
      </c>
      <c r="BZ53" s="89">
        <f>SUM(BZ9:BZ52)</f>
        <v/>
      </c>
      <c r="CA53" s="96">
        <f>SUM(CA9:CA52)</f>
        <v/>
      </c>
      <c r="CB53" s="89">
        <f>SUM(CB9:CB52)</f>
        <v/>
      </c>
      <c r="CC53" s="96">
        <f>SUM(CC9:CC52)</f>
        <v/>
      </c>
      <c r="CD53" s="89">
        <f>SUM(CD9:CD52)</f>
        <v/>
      </c>
      <c r="CE53" s="96">
        <f>SUM(CE9:CE52)</f>
        <v/>
      </c>
      <c r="CF53" s="89">
        <f>SUM(CF9:CF52)</f>
        <v/>
      </c>
      <c r="CG53" s="96">
        <f>SUM(CG9:CG52)</f>
        <v/>
      </c>
      <c r="CH53" s="89">
        <f>SUM(CH9:CH52)</f>
        <v/>
      </c>
      <c r="CI53" s="96">
        <f>SUM(CI9:CI52)</f>
        <v/>
      </c>
      <c r="CJ53" s="89">
        <f>SUM(CJ9:CJ52)</f>
        <v/>
      </c>
      <c r="CK53" s="96">
        <f>SUM(CK9:CK52)</f>
        <v/>
      </c>
      <c r="CL53" s="89">
        <f>SUM(CL9:CL52)</f>
        <v/>
      </c>
      <c r="CM53" s="96">
        <f>SUM(CM9:CM52)</f>
        <v/>
      </c>
      <c r="CN53" s="89">
        <f>SUM(CN9:CN52)</f>
        <v/>
      </c>
      <c r="CO53" s="96">
        <f>SUM(CO9:CO52)</f>
        <v/>
      </c>
      <c r="CP53" s="89">
        <f>SUM(CP9:CP52)</f>
        <v/>
      </c>
      <c r="CQ53" s="96">
        <f>SUM(CQ9:CQ52)</f>
        <v/>
      </c>
      <c r="CR53" s="89">
        <f>SUM(CR9:CR52)</f>
        <v/>
      </c>
      <c r="CS53" s="96">
        <f>SUM(CS9:CS52)</f>
        <v/>
      </c>
      <c r="CT53" s="89">
        <f>SUM(CT9:CT52)</f>
        <v/>
      </c>
      <c r="CU53" s="96">
        <f>SUM(CU9:CU52)</f>
        <v/>
      </c>
      <c r="CV53" s="89">
        <f>SUM(CV9:CV52)</f>
        <v/>
      </c>
      <c r="CW53" s="96">
        <f>SUM(CW9:CW52)</f>
        <v/>
      </c>
      <c r="CX53" s="89">
        <f>SUM(CX9:CX52)</f>
        <v/>
      </c>
      <c r="CY53" s="96">
        <f>SUM(CY9:CY52)</f>
        <v/>
      </c>
      <c r="CZ53" s="89">
        <f>SUM(CZ9:CZ52)</f>
        <v/>
      </c>
      <c r="DA53" s="96">
        <f>SUM(DA9:DA52)</f>
        <v/>
      </c>
      <c r="DB53" s="89">
        <f>SUM(DB9:DB52)</f>
        <v/>
      </c>
      <c r="DC53" s="96">
        <f>SUM(DC9:DC52)</f>
        <v/>
      </c>
      <c r="DD53" s="89">
        <f>SUM(DD9:DD52)</f>
        <v/>
      </c>
      <c r="DE53" s="96">
        <f>SUM(DE9:DE52)</f>
        <v/>
      </c>
      <c r="DF53" s="89">
        <f>SUM(DF9:DF52)</f>
        <v/>
      </c>
      <c r="DG53" s="96">
        <f>SUM(DG9:DG52)</f>
        <v/>
      </c>
      <c r="DH53" s="89">
        <f>SUM(DH9:DH52)</f>
        <v/>
      </c>
      <c r="DI53" s="96">
        <f>SUM(DI9:DI52)</f>
        <v/>
      </c>
      <c r="DJ53" s="89">
        <f>SUM(DJ9:DJ52)</f>
        <v/>
      </c>
      <c r="DK53" s="96">
        <f>SUM(DK9:DK52)</f>
        <v/>
      </c>
      <c r="DL53" s="89">
        <f>SUM(DL9:DL52)</f>
        <v/>
      </c>
      <c r="DM53" s="96">
        <f>SUM(DM9:DM52)</f>
        <v/>
      </c>
      <c r="DN53" s="89">
        <f>SUM(DN9:DN52)</f>
        <v/>
      </c>
      <c r="DO53" s="96">
        <f>SUM(DO9:DO52)</f>
        <v/>
      </c>
      <c r="DP53" s="89">
        <f>SUM(DP9:DP52)</f>
        <v/>
      </c>
      <c r="DQ53" s="96">
        <f>SUM(DQ9:DQ52)</f>
        <v/>
      </c>
      <c r="DR53" s="89">
        <f>SUM(DR9:DR52)</f>
        <v/>
      </c>
      <c r="DS53" s="96">
        <f>SUM(DS9:DS52)</f>
        <v/>
      </c>
      <c r="DT53" s="89">
        <f>SUM(DT9:DT52)</f>
        <v/>
      </c>
      <c r="DU53" s="96">
        <f>SUM(DU9:DU52)</f>
        <v/>
      </c>
      <c r="DV53" s="89">
        <f>SUM(DV9:DV52)</f>
        <v/>
      </c>
      <c r="DW53" s="96">
        <f>SUM(DW9:DW52)</f>
        <v/>
      </c>
      <c r="DX53" s="89">
        <f>SUM(DX9:DX52)</f>
        <v/>
      </c>
      <c r="DY53" s="96">
        <f>SUM(DY9:DY52)</f>
        <v/>
      </c>
      <c r="DZ53" s="89">
        <f>SUM(DZ9:DZ52)</f>
        <v/>
      </c>
      <c r="EA53" s="96">
        <f>SUM(EA9:EA52)</f>
        <v/>
      </c>
      <c r="EB53" s="89">
        <f>SUM(EB9:EB52)</f>
        <v/>
      </c>
      <c r="EC53" s="96">
        <f>SUM(EC9:EC52)</f>
        <v/>
      </c>
      <c r="ED53" s="89">
        <f>SUM(ED9:ED52)</f>
        <v/>
      </c>
      <c r="EE53" s="96">
        <f>SUM(EE9:EE52)</f>
        <v/>
      </c>
      <c r="EF53" s="89">
        <f>SUM(EF9:EF52)</f>
        <v/>
      </c>
      <c r="EG53" s="96">
        <f>SUM(EG9:EG52)</f>
        <v/>
      </c>
      <c r="EH53" s="89">
        <f>SUM(EH9:EH52)</f>
        <v/>
      </c>
      <c r="EI53" s="96">
        <f>SUM(EI9:EI52)</f>
        <v/>
      </c>
      <c r="EJ53" s="89">
        <f>SUM(EJ9:EJ52)</f>
        <v/>
      </c>
      <c r="EK53" s="96">
        <f>SUM(EK9:EK52)</f>
        <v/>
      </c>
      <c r="EL53" s="89">
        <f>SUM(EL9:EL52)</f>
        <v/>
      </c>
      <c r="EM53" s="96">
        <f>SUM(EM9:EM52)</f>
        <v/>
      </c>
      <c r="EN53" s="89">
        <f>SUM(EN9:EN52)</f>
        <v/>
      </c>
      <c r="EO53" s="96">
        <f>SUM(EO9:EO52)</f>
        <v/>
      </c>
      <c r="EP53" s="89">
        <f>SUM(EP9:EP52)</f>
        <v/>
      </c>
      <c r="EQ53" s="96">
        <f>SUM(EQ9:EQ52)</f>
        <v/>
      </c>
      <c r="ER53" s="89">
        <f>SUM(ER9:ER52)</f>
        <v/>
      </c>
      <c r="ES53" s="96">
        <f>SUM(ES9:ES52)</f>
        <v/>
      </c>
      <c r="ET53" s="89">
        <f>SUM(ET9:ET52)</f>
        <v/>
      </c>
      <c r="EU53" s="96">
        <f>SUM(EU9:EU52)</f>
        <v/>
      </c>
      <c r="EV53" s="89">
        <f>SUM(EV9:EV52)</f>
        <v/>
      </c>
      <c r="EW53" s="96">
        <f>SUM(EW9:EW52)</f>
        <v/>
      </c>
      <c r="EX53" s="89">
        <f>SUM(EX9:EX52)</f>
        <v/>
      </c>
      <c r="EY53" s="96">
        <f>SUM(EY9:EY52)</f>
        <v/>
      </c>
      <c r="EZ53" s="89">
        <f>SUM(EZ9:EZ52)</f>
        <v/>
      </c>
      <c r="FA53" s="96">
        <f>SUM(FA9:FA52)</f>
        <v/>
      </c>
      <c r="FB53" s="89">
        <f>SUM(FB9:FB52)</f>
        <v/>
      </c>
      <c r="FC53" s="96">
        <f>SUM(FC9:FC52)</f>
        <v/>
      </c>
      <c r="FD53" s="89">
        <f>SUM(FD9:FD52)</f>
        <v/>
      </c>
      <c r="FE53" s="96">
        <f>SUM(FE9:FE52)</f>
        <v/>
      </c>
      <c r="FF53" s="89">
        <f>SUM(FF9:FF52)</f>
        <v/>
      </c>
      <c r="FG53" s="96">
        <f>SUM(FG9:FG52)</f>
        <v/>
      </c>
      <c r="FH53" s="89">
        <f>SUM(FH9:FH52)</f>
        <v/>
      </c>
      <c r="FI53" s="96">
        <f>SUM(FI9:FI52)</f>
        <v/>
      </c>
      <c r="FJ53" s="89">
        <f>SUM(FJ9:FJ52)</f>
        <v/>
      </c>
      <c r="FK53" s="96">
        <f>SUM(FK9:FK52)</f>
        <v/>
      </c>
      <c r="FL53" s="89">
        <f>SUM(FL9:FL52)</f>
        <v/>
      </c>
      <c r="FM53" s="96">
        <f>SUM(FM9:FM52)</f>
        <v/>
      </c>
      <c r="FN53" s="89">
        <f>SUM(FN9:FN52)</f>
        <v/>
      </c>
      <c r="FO53" s="96">
        <f>SUM(FO9:FO52)</f>
        <v/>
      </c>
      <c r="FP53" s="89">
        <f>SUM(FP9:FP52)</f>
        <v/>
      </c>
      <c r="FQ53" s="96">
        <f>SUM(FQ9:FQ52)</f>
        <v/>
      </c>
      <c r="FR53" s="89">
        <f>SUM(FR9:FR52)</f>
        <v/>
      </c>
      <c r="FS53" s="96">
        <f>SUM(FS9:FS52)</f>
        <v/>
      </c>
      <c r="FT53" s="89">
        <f>SUM(FT9:FT52)</f>
        <v/>
      </c>
      <c r="FU53" s="96">
        <f>SUM(FU9:FU52)</f>
        <v/>
      </c>
      <c r="FV53" s="89">
        <f>SUM(FV9:FV52)</f>
        <v/>
      </c>
      <c r="FW53" s="96">
        <f>SUM(FW9:FW52)</f>
        <v/>
      </c>
      <c r="FX53" s="89">
        <f>SUM(FX9:FX52)</f>
        <v/>
      </c>
      <c r="FY53" s="96">
        <f>SUM(FY9:FY52)</f>
        <v/>
      </c>
      <c r="FZ53" s="89">
        <f>SUM(FZ9:FZ52)</f>
        <v/>
      </c>
      <c r="GA53" s="96">
        <f>SUM(GA9:GA52)</f>
        <v/>
      </c>
      <c r="GB53" s="89">
        <f>SUM(GB9:GB52)</f>
        <v/>
      </c>
      <c r="GC53" s="96">
        <f>SUM(GC9:GC52)</f>
        <v/>
      </c>
      <c r="GD53" s="89">
        <f>SUM(GD9:GD52)</f>
        <v/>
      </c>
      <c r="GE53" s="96">
        <f>SUM(GE9:GE52)</f>
        <v/>
      </c>
      <c r="GF53" s="89">
        <f>SUM(GF9:GF52)</f>
        <v/>
      </c>
      <c r="GG53" s="96">
        <f>SUM(GG9:GG52)</f>
        <v/>
      </c>
      <c r="GH53" s="89">
        <f>SUM(GH9:GH52)</f>
        <v/>
      </c>
      <c r="GI53" s="96">
        <f>SUM(GI9:GI52)</f>
        <v/>
      </c>
      <c r="GJ53" s="89">
        <f>SUM(GJ9:GJ52)</f>
        <v/>
      </c>
      <c r="GK53" s="96">
        <f>SUM(GK9:GK52)</f>
        <v/>
      </c>
      <c r="GL53" s="89">
        <f>SUM(GL9:GL52)</f>
        <v/>
      </c>
      <c r="GM53" s="96">
        <f>SUM(GM9:GM52)</f>
        <v/>
      </c>
      <c r="GN53" s="89">
        <f>SUM(GN9:GN52)</f>
        <v/>
      </c>
      <c r="GO53" s="96">
        <f>SUM(GO9:GO52)</f>
        <v/>
      </c>
      <c r="GP53" s="89">
        <f>SUM(GP9:GP52)</f>
        <v/>
      </c>
      <c r="GQ53" s="96">
        <f>SUM(GQ9:GQ52)</f>
        <v/>
      </c>
      <c r="GR53" s="89">
        <f>SUM(GR9:GR52)</f>
        <v/>
      </c>
      <c r="GS53" s="96">
        <f>SUM(GS9:GS52)</f>
        <v/>
      </c>
      <c r="GT53" s="89">
        <f>SUM(GT9:GT52)</f>
        <v/>
      </c>
      <c r="GU53" s="96">
        <f>SUM(GU9:GU52)</f>
        <v/>
      </c>
      <c r="GV53" s="89">
        <f>SUM(GV9:GV52)</f>
        <v/>
      </c>
      <c r="GW53" s="96">
        <f>SUM(GW9:GW52)</f>
        <v/>
      </c>
      <c r="GX53" s="89">
        <f>SUM(GX9:GX52)</f>
        <v/>
      </c>
      <c r="GY53" s="96">
        <f>SUM(GY9:GY52)</f>
        <v/>
      </c>
      <c r="GZ53" s="89">
        <f>SUM(GZ9:GZ52)</f>
        <v/>
      </c>
      <c r="HA53" s="96">
        <f>SUM(HA9:HA52)</f>
        <v/>
      </c>
      <c r="HB53" s="89">
        <f>SUM(HB9:HB52)</f>
        <v/>
      </c>
      <c r="HC53" s="96">
        <f>SUM(HC9:HC52)</f>
        <v/>
      </c>
      <c r="HD53" s="89">
        <f>SUM(HD9:HD52)</f>
        <v/>
      </c>
      <c r="HE53" s="96">
        <f>SUM(HE9:HE52)</f>
        <v/>
      </c>
      <c r="HF53" s="89">
        <f>SUM(HF9:HF52)</f>
        <v/>
      </c>
      <c r="HG53" s="96">
        <f>SUM(HG9:HG52)</f>
        <v/>
      </c>
      <c r="HH53" s="89">
        <f>SUM(HH9:HH52)</f>
        <v/>
      </c>
      <c r="HI53" s="96">
        <f>SUM(HI9:HI52)</f>
        <v/>
      </c>
      <c r="HJ53" s="89">
        <f>SUM(HJ9:HJ52)</f>
        <v/>
      </c>
      <c r="HK53" s="96">
        <f>SUM(HK9:HK52)</f>
        <v/>
      </c>
      <c r="HL53" s="89">
        <f>SUM(HL9:HL52)</f>
        <v/>
      </c>
      <c r="HM53" s="96">
        <f>SUM(HM9:HM52)</f>
        <v/>
      </c>
      <c r="HN53" s="89">
        <f>SUM(HN9:HN52)</f>
        <v/>
      </c>
      <c r="HO53" s="96">
        <f>SUM(HO9:HO52)</f>
        <v/>
      </c>
      <c r="HP53" s="89">
        <f>SUM(HP9:HP52)</f>
        <v/>
      </c>
      <c r="HQ53" s="96">
        <f>SUM(HQ9:HQ52)</f>
        <v/>
      </c>
      <c r="HR53" s="89">
        <f>SUM(HR9:HR52)</f>
        <v/>
      </c>
      <c r="HS53" s="96">
        <f>SUM(HS9:HS52)</f>
        <v/>
      </c>
      <c r="HT53" s="89">
        <f>SUM(HT9:HT52)</f>
        <v/>
      </c>
      <c r="HU53" s="96">
        <f>SUM(HU9:HU52)</f>
        <v/>
      </c>
      <c r="HV53" s="89">
        <f>SUM(HV9:HV52)</f>
        <v/>
      </c>
      <c r="HW53" s="96">
        <f>SUM(HW9:HW52)</f>
        <v/>
      </c>
      <c r="HX53" s="89">
        <f>SUM(HX9:HX52)</f>
        <v/>
      </c>
      <c r="HY53" s="96">
        <f>SUM(HY9:HY52)</f>
        <v/>
      </c>
      <c r="HZ53" s="89">
        <f>SUM(HZ9:HZ52)</f>
        <v/>
      </c>
      <c r="IA53" s="96">
        <f>SUM(IA9:IA52)</f>
        <v/>
      </c>
      <c r="IB53" s="89">
        <f>SUM(IB9:IB52)</f>
        <v/>
      </c>
      <c r="IC53" s="96">
        <f>SUM(IC9:IC52)</f>
        <v/>
      </c>
      <c r="ID53" s="89">
        <f>SUM(ID9:ID52)</f>
        <v/>
      </c>
      <c r="IE53" s="96">
        <f>SUM(IE9:IE52)</f>
        <v/>
      </c>
      <c r="IF53" s="89">
        <f>SUM(IF9:IF52)</f>
        <v/>
      </c>
      <c r="IG53" s="96">
        <f>SUM(IG9:IG52)</f>
        <v/>
      </c>
      <c r="IH53" s="89">
        <f>SUM(IH9:IH52)</f>
        <v/>
      </c>
      <c r="II53" s="96">
        <f>SUM(II9:II52)</f>
        <v/>
      </c>
      <c r="IJ53" s="89">
        <f>SUM(IJ9:IJ52)</f>
        <v/>
      </c>
      <c r="IK53" s="96">
        <f>SUM(IK9:IK52)</f>
        <v/>
      </c>
      <c r="IL53" s="89">
        <f>SUM(IL9:IL52)</f>
        <v/>
      </c>
      <c r="IM53" s="96">
        <f>SUM(IM9:IM52)</f>
        <v/>
      </c>
      <c r="IN53" s="89">
        <f>SUM(IN9:IN52)</f>
        <v/>
      </c>
      <c r="IO53" s="96">
        <f>SUM(IO9:IO52)</f>
        <v/>
      </c>
      <c r="IP53" s="89">
        <f>SUM(IP9:IP52)</f>
        <v/>
      </c>
      <c r="IQ53" s="96">
        <f>SUM(IQ9:IQ52)</f>
        <v/>
      </c>
      <c r="IR53" s="89">
        <f>SUM(IR9:IR52)</f>
        <v/>
      </c>
      <c r="IS53" s="96">
        <f>SUM(IS9:IS52)</f>
        <v/>
      </c>
      <c r="IT53" s="89">
        <f>SUM(IT9:IT52)</f>
        <v/>
      </c>
      <c r="IU53" s="96">
        <f>SUM(IU9:IU52)</f>
        <v/>
      </c>
      <c r="IV53" s="89">
        <f>SUM(IV9:IV52)</f>
        <v/>
      </c>
      <c r="IW53" s="96">
        <f>SUM(IW9:IW52)</f>
        <v/>
      </c>
      <c r="IX53" s="89">
        <f>SUM(IX9:IX52)</f>
        <v/>
      </c>
      <c r="IY53" s="96">
        <f>SUM(IY9:IY52)</f>
        <v/>
      </c>
      <c r="IZ53" s="89">
        <f>SUM(IZ9:IZ52)</f>
        <v/>
      </c>
      <c r="JA53" s="96">
        <f>SUM(JA9:JA52)</f>
        <v/>
      </c>
      <c r="JB53" s="89">
        <f>SUM(JB9:JB52)</f>
        <v/>
      </c>
      <c r="JC53" s="96">
        <f>SUM(JC9:JC52)</f>
        <v/>
      </c>
      <c r="JD53" s="89">
        <f>SUM(JD9:JD52)</f>
        <v/>
      </c>
      <c r="JE53" s="96">
        <f>SUM(JE9:JE52)</f>
        <v/>
      </c>
      <c r="JF53" s="89">
        <f>SUM(JF9:JF52)</f>
        <v/>
      </c>
      <c r="JG53" s="96">
        <f>SUM(JG9:JG52)</f>
        <v/>
      </c>
      <c r="JH53" s="89">
        <f>SUM(JH9:JH52)</f>
        <v/>
      </c>
      <c r="JI53" s="96">
        <f>SUM(JI9:JI52)</f>
        <v/>
      </c>
      <c r="JJ53" s="89">
        <f>SUM(JJ9:JJ52)</f>
        <v/>
      </c>
      <c r="JK53" s="96">
        <f>SUM(JK9:JK52)</f>
        <v/>
      </c>
      <c r="JL53" s="89">
        <f>SUM(JL9:JL52)</f>
        <v/>
      </c>
      <c r="JM53" s="96">
        <f>SUM(JM9:JM52)</f>
        <v/>
      </c>
      <c r="JN53" s="89">
        <f>SUM(JN9:JN52)</f>
        <v/>
      </c>
      <c r="JO53" s="96">
        <f>SUM(JO9:JO52)</f>
        <v/>
      </c>
      <c r="JP53" s="89">
        <f>SUM(JP9:JP52)</f>
        <v/>
      </c>
      <c r="JQ53" s="96">
        <f>SUM(JQ9:JQ52)</f>
        <v/>
      </c>
      <c r="JR53" s="94">
        <f>SUM(JR9:JR52)</f>
        <v/>
      </c>
      <c r="JS53" s="102">
        <f>JR53*100/$E$25</f>
        <v/>
      </c>
      <c r="JT53" s="94">
        <f>SUM(JT9:JT52)</f>
        <v/>
      </c>
      <c r="JU53" s="102">
        <f>JT53*100/$E$25</f>
        <v/>
      </c>
      <c r="JV53" s="94">
        <f>SUM(JV9:JV52)</f>
        <v/>
      </c>
      <c r="JW53" s="102">
        <f>JV53*100/$E$25</f>
        <v/>
      </c>
      <c r="JX53" s="94">
        <f>SUM(JX9:JX52)</f>
        <v/>
      </c>
      <c r="JY53" s="102">
        <f>JX53*100/$E$25</f>
        <v/>
      </c>
      <c r="JZ53" s="102">
        <f>JN53+JP53+JR53+JT53+JV53+JX53</f>
        <v/>
      </c>
      <c r="KA53" s="106">
        <f>SUM(KA9:KA52)</f>
        <v/>
      </c>
      <c r="KB53" s="104">
        <f>H53+J53+L53+N53+P53+R53+T53+V53+X53+Z53+AB53+AD53+AF53+AH53+AJ53+AL53+AN53+AP53+AR53+AT53+AV53+AX53+AZ53+BB53+BD53+BF53+BH53+BJ53+BL53+BN53+BP53+BR53+BT53+BV53+BX53+BZ53+CB53+CD53+CF53+CH53+CZ53+DB53+DD53+DF53+DH53+DJ53+DL53+DN53+DP53+DR53+DT53+DV53+DX53+DZ53+EB53+ED53+EF53+EH53+EJ53+EL53+EN53+EP53+ER53+ET53+EV53+FN53+FP53+FR53+FT53+FV53+FX53+FZ53+GB53+GD53+GF53+GH53+GJ53+GL53+GN53+GP53+GR53+GT53+GV53+GX53+GZ53+HB53+HD53+HF53+HH53+HJ53+HL53+HN53+HP53+HR53+HT53+HV53+HX53+HZ53+IB53+ID53+IF53+IH53+IJ53+IL53+IN53+IP53+IR53+IT53+IV53+IX53+IZ53+JB53+JD53+JF53+JH53+JJ53+JL53+JZ53+CJ53+CL53+CN53+CP53+CR53+CT53+CV53+CX53+EX53+EZ53+FB53+FD53+FF53+FH53+FJ53+FL53</f>
        <v/>
      </c>
      <c r="KC53" s="116">
        <f>I53+K53+M53+O53+Q53+S53+U53+W53+Y53+AA53+AC53+AE53+AG53+AI53+AK53+AM53+AO53+AQ53+AS53+AU53+AW53+AY53+BA53+BC53+BE53+BG53+BI53+BK53+BM53+BO53+BQ53+BS53+BU53+BW53+BY53+CA53+CC53+CE53+CG53+CI53+DA53+DC53+DE53+DG53+DI53+DK53+DM53+DO53+DQ53+DS53+DU53+DW53+DY53+EA53+EC53+EE53+EG53+EI53+EK53+EM53+EO53+EQ53+ES53+EU53+EW53+FO53+FS53+FU53+FW53+FQ53+FY53+GA53+GC53+GE53+GG53+GI53+GK53+GM53+GO53+GQ53+GS53+GU53+GW53+GY53+HA53+HC53+HE53+HG53+HI53+HK53+HM53+HO53+HQ53+HS53+HU53+HW53+HY53+IA53+IC53+IE53+IG53+II53+IK53+IM53+IO53+IQ53+IS53+IU53+IW53+IY53+JA53+JC53+JE53+JG53+JI53+JK53+JM53+KA53+CK53+CM53+CO53+CQ53+CS53+CU53+CW53+CY53+EY53+FA53+FC53+FE53+FG53+FI53+FK53+FM53</f>
        <v/>
      </c>
      <c r="KD53" s="97" t="n"/>
      <c r="KE53" s="98" t="n"/>
      <c r="KF53" s="97" t="n"/>
      <c r="KG53" s="97" t="n"/>
      <c r="KH53" s="98" t="n"/>
      <c r="KI53" s="98" t="n"/>
      <c r="KJ53" s="98" t="n"/>
      <c r="KK53" s="98" t="n"/>
      <c r="KL53" s="98" t="n"/>
      <c r="KM53" s="98" t="n"/>
      <c r="KN53" s="99" t="n"/>
    </row>
    <row r="54" ht="29.25" customFormat="1" customHeight="1" s="292" thickBot="1">
      <c r="A54" s="111" t="n"/>
      <c r="B54" s="148" t="inlineStr">
        <is>
          <t>Плановая ЗП</t>
        </is>
      </c>
      <c r="C54" s="78" t="n"/>
      <c r="D54" s="112" t="n"/>
      <c r="E54" s="113" t="n"/>
      <c r="F54" s="250">
        <f>F53/D53</f>
        <v/>
      </c>
      <c r="G54" s="118" t="n"/>
      <c r="H54" s="276">
        <f>$F$54*H53</f>
        <v/>
      </c>
      <c r="I54" s="277" t="n"/>
      <c r="J54" s="245">
        <f>$F$54*J53</f>
        <v/>
      </c>
      <c r="K54" s="246" t="n"/>
      <c r="L54" s="245">
        <f>$F$54*L53</f>
        <v/>
      </c>
      <c r="M54" s="246" t="n"/>
      <c r="N54" s="254">
        <f>$F$54*N53</f>
        <v/>
      </c>
      <c r="O54" s="255" t="n"/>
      <c r="P54" s="245">
        <f>$F$54*P53</f>
        <v/>
      </c>
      <c r="Q54" s="246" t="n"/>
      <c r="R54" s="269">
        <f>$F$54*R53</f>
        <v/>
      </c>
      <c r="S54" s="246" t="n"/>
      <c r="T54" s="311">
        <f>$F$54*T53</f>
        <v/>
      </c>
      <c r="V54" s="291">
        <f>$F$54*V53</f>
        <v/>
      </c>
      <c r="X54" s="291">
        <f>$F$54*X53</f>
        <v/>
      </c>
      <c r="Z54" s="313">
        <f>$F$54*Z53</f>
        <v/>
      </c>
      <c r="AA54" s="306" t="n"/>
      <c r="AB54" s="245">
        <f>$F$54*AB53</f>
        <v/>
      </c>
      <c r="AC54" s="246" t="n"/>
      <c r="AD54" s="250">
        <f>$F$54*AD53</f>
        <v/>
      </c>
      <c r="AE54" s="251" t="n"/>
      <c r="AF54" s="245">
        <f>$F$54*AF53</f>
        <v/>
      </c>
      <c r="AG54" s="246" t="n"/>
      <c r="AH54" s="245">
        <f>$F$54*AH53</f>
        <v/>
      </c>
      <c r="AI54" s="246" t="n"/>
      <c r="AJ54" s="245">
        <f>$F$54*AJ53</f>
        <v/>
      </c>
      <c r="AK54" s="246" t="n"/>
      <c r="AL54" s="245">
        <f>$F$54*AL53</f>
        <v/>
      </c>
      <c r="AM54" s="246" t="n"/>
      <c r="AN54" s="250">
        <f>$F$54*AN53</f>
        <v/>
      </c>
      <c r="AO54" s="251" t="n"/>
      <c r="AP54" s="250">
        <f>$F$54*AP53</f>
        <v/>
      </c>
      <c r="AQ54" s="251" t="n"/>
      <c r="AR54" s="245">
        <f>$F$54*AR53</f>
        <v/>
      </c>
      <c r="AS54" s="246" t="n"/>
      <c r="AT54" s="250">
        <f>$F$54*AT53</f>
        <v/>
      </c>
      <c r="AU54" s="251" t="n"/>
      <c r="AV54" s="245">
        <f>$F$54*AV53</f>
        <v/>
      </c>
      <c r="AW54" s="246" t="n"/>
      <c r="AX54" s="250">
        <f>$F$54*AX53</f>
        <v/>
      </c>
      <c r="AY54" s="251" t="n"/>
      <c r="AZ54" s="245">
        <f>$F$54*AZ53</f>
        <v/>
      </c>
      <c r="BA54" s="246" t="n"/>
      <c r="BB54" s="250">
        <f>$F$54*BB53</f>
        <v/>
      </c>
      <c r="BC54" s="251" t="n"/>
      <c r="BD54" s="245">
        <f>$F$54*BD53</f>
        <v/>
      </c>
      <c r="BE54" s="246" t="n"/>
      <c r="BF54" s="250">
        <f>$F$54*BF53</f>
        <v/>
      </c>
      <c r="BG54" s="251" t="n"/>
      <c r="BH54" s="250">
        <f>$F$54*BH53</f>
        <v/>
      </c>
      <c r="BI54" s="251" t="n"/>
      <c r="BJ54" s="250">
        <f>$F$54*BJ53</f>
        <v/>
      </c>
      <c r="BK54" s="251" t="n"/>
      <c r="BL54" s="245">
        <f>$F$54*BL53</f>
        <v/>
      </c>
      <c r="BM54" s="246" t="n"/>
      <c r="BN54" s="245">
        <f>$F$54*BN53</f>
        <v/>
      </c>
      <c r="BO54" s="246" t="n"/>
      <c r="BP54" s="245">
        <f>$F$54*BP53</f>
        <v/>
      </c>
      <c r="BQ54" s="246" t="n"/>
      <c r="BR54" s="245">
        <f>$F$54*BR53</f>
        <v/>
      </c>
      <c r="BS54" s="246" t="n"/>
      <c r="BT54" s="245">
        <f>$F$54*BT53</f>
        <v/>
      </c>
      <c r="BU54" s="246" t="n"/>
      <c r="BV54" s="245">
        <f>$F$54*BV53</f>
        <v/>
      </c>
      <c r="BW54" s="246" t="n"/>
      <c r="BX54" s="245">
        <f>$F$54*BX53</f>
        <v/>
      </c>
      <c r="BY54" s="246" t="n"/>
      <c r="BZ54" s="245">
        <f>$F$54*BZ53</f>
        <v/>
      </c>
      <c r="CA54" s="246" t="n"/>
      <c r="CB54" s="250">
        <f>$F$54*CB53</f>
        <v/>
      </c>
      <c r="CC54" s="251" t="n"/>
      <c r="CD54" s="250">
        <f>$F$54*CD53</f>
        <v/>
      </c>
      <c r="CE54" s="251" t="n"/>
      <c r="CF54" s="250">
        <f>$F$54*CF53</f>
        <v/>
      </c>
      <c r="CG54" s="251" t="n"/>
      <c r="CH54" s="245">
        <f>$F$54*CH53</f>
        <v/>
      </c>
      <c r="CI54" s="246" t="n"/>
      <c r="CJ54" s="245">
        <f>$F$54*CJ53</f>
        <v/>
      </c>
      <c r="CK54" s="246" t="n"/>
      <c r="CL54" s="245">
        <f>$F$54*CL53</f>
        <v/>
      </c>
      <c r="CM54" s="246" t="n"/>
      <c r="CN54" s="245">
        <f>$F$54*CN53</f>
        <v/>
      </c>
      <c r="CO54" s="246" t="n"/>
      <c r="CP54" s="290">
        <f>$F$54*CP53</f>
        <v/>
      </c>
      <c r="CQ54" s="255" t="n"/>
      <c r="CR54" s="245">
        <f>$F$54*CR53</f>
        <v/>
      </c>
      <c r="CS54" s="246" t="n"/>
      <c r="CT54" s="245">
        <f>$F$54*CT53</f>
        <v/>
      </c>
      <c r="CU54" s="246" t="n"/>
      <c r="CV54" s="273">
        <f>$F$54*CV53</f>
        <v/>
      </c>
      <c r="CW54" s="251" t="n"/>
      <c r="CX54" s="245">
        <f>$F$54*CX53</f>
        <v/>
      </c>
      <c r="CY54" s="246" t="n"/>
      <c r="CZ54" s="245">
        <f>$F$54*CZ53</f>
        <v/>
      </c>
      <c r="DA54" s="246" t="n"/>
      <c r="DB54" s="273">
        <f>$F$54*DB53</f>
        <v/>
      </c>
      <c r="DC54" s="251" t="n"/>
      <c r="DD54" s="245">
        <f>$F$54*DD53</f>
        <v/>
      </c>
      <c r="DE54" s="246" t="n"/>
      <c r="DF54" s="250">
        <f>$F$54*DF53</f>
        <v/>
      </c>
      <c r="DG54" s="251" t="n"/>
      <c r="DH54" s="245">
        <f>$F$54*DH53</f>
        <v/>
      </c>
      <c r="DI54" s="246" t="n"/>
      <c r="DJ54" s="245">
        <f>$F$54*DJ53</f>
        <v/>
      </c>
      <c r="DK54" s="246" t="n"/>
      <c r="DL54" s="250">
        <f>$F$54*DL53</f>
        <v/>
      </c>
      <c r="DM54" s="251" t="n"/>
      <c r="DN54" s="254">
        <f>$F$54*DN53</f>
        <v/>
      </c>
      <c r="DO54" s="255" t="n"/>
      <c r="DP54" s="250">
        <f>$F$54*DP53</f>
        <v/>
      </c>
      <c r="DQ54" s="251" t="n"/>
      <c r="DR54" s="245">
        <f>$F$54*DR53</f>
        <v/>
      </c>
      <c r="DS54" s="246" t="n"/>
      <c r="DT54" s="250">
        <f>$F$54*DT53</f>
        <v/>
      </c>
      <c r="DU54" s="251" t="n"/>
      <c r="DV54" s="245">
        <f>$F$54*DV53</f>
        <v/>
      </c>
      <c r="DW54" s="246" t="n"/>
      <c r="DX54" s="254">
        <f>$F$54*DX53</f>
        <v/>
      </c>
      <c r="DY54" s="255" t="n"/>
      <c r="DZ54" s="245">
        <f>$F$54*DZ53</f>
        <v/>
      </c>
      <c r="EA54" s="246" t="n"/>
      <c r="EB54" s="245">
        <f>$F$54*EB53</f>
        <v/>
      </c>
      <c r="EC54" s="246" t="n"/>
      <c r="ED54" s="245">
        <f>$F$54*ED53</f>
        <v/>
      </c>
      <c r="EE54" s="246" t="n"/>
      <c r="EF54" s="290">
        <f>$F$54*EF53</f>
        <v/>
      </c>
      <c r="EG54" s="255" t="n"/>
      <c r="EH54" s="245">
        <f>$F$54*EH53</f>
        <v/>
      </c>
      <c r="EI54" s="246" t="n"/>
      <c r="EJ54" s="245">
        <f>$F$54*EJ53</f>
        <v/>
      </c>
      <c r="EK54" s="246" t="n"/>
      <c r="EL54" s="245">
        <f>$F$54*EL53</f>
        <v/>
      </c>
      <c r="EM54" s="246" t="n"/>
      <c r="EN54" s="245">
        <f>$F$54*EN53</f>
        <v/>
      </c>
      <c r="EO54" s="246" t="n"/>
      <c r="EP54" s="245">
        <f>$F$54*EP53</f>
        <v/>
      </c>
      <c r="EQ54" s="246" t="n"/>
      <c r="ER54" s="245">
        <f>$F$54*ER53</f>
        <v/>
      </c>
      <c r="ES54" s="246" t="n"/>
      <c r="ET54" s="245">
        <f>$F$54*ET53</f>
        <v/>
      </c>
      <c r="EU54" s="246" t="n"/>
      <c r="EV54" s="245">
        <f>$F$54*EV53</f>
        <v/>
      </c>
      <c r="EW54" s="246" t="n"/>
      <c r="EX54" s="275">
        <f>$F$54*EX53</f>
        <v/>
      </c>
      <c r="EY54" s="266" t="n"/>
      <c r="EZ54" s="245">
        <f>$F$54*EZ53</f>
        <v/>
      </c>
      <c r="FA54" s="246" t="n"/>
      <c r="FB54" s="245">
        <f>$F$54*FB53</f>
        <v/>
      </c>
      <c r="FC54" s="246" t="n"/>
      <c r="FD54" s="245">
        <f>$F$54*FD53</f>
        <v/>
      </c>
      <c r="FE54" s="246" t="n"/>
      <c r="FF54" s="245">
        <f>$F$54*FF53</f>
        <v/>
      </c>
      <c r="FG54" s="246" t="n"/>
      <c r="FH54" s="245">
        <f>$F$54*FH53</f>
        <v/>
      </c>
      <c r="FI54" s="246" t="n"/>
      <c r="FJ54" s="273">
        <f>$F$54*FJ53</f>
        <v/>
      </c>
      <c r="FK54" s="251" t="n"/>
      <c r="FL54" s="250">
        <f>$F$54*FL53</f>
        <v/>
      </c>
      <c r="FM54" s="251" t="n"/>
      <c r="FN54" s="245">
        <f>$F$54*FN53</f>
        <v/>
      </c>
      <c r="FO54" s="246" t="n"/>
      <c r="FP54" s="245">
        <f>$F$54*FP53</f>
        <v/>
      </c>
      <c r="FQ54" s="246" t="n"/>
      <c r="FR54" s="245">
        <f>$F$54*FR53</f>
        <v/>
      </c>
      <c r="FS54" s="246" t="n"/>
      <c r="FT54" s="245">
        <f>$F$54*FT53</f>
        <v/>
      </c>
      <c r="FU54" s="246" t="n"/>
      <c r="FV54" s="245">
        <f>$F$54*FV53</f>
        <v/>
      </c>
      <c r="FW54" s="246" t="n"/>
      <c r="FX54" s="254">
        <f>$F$54*FX53</f>
        <v/>
      </c>
      <c r="FY54" s="255" t="n"/>
      <c r="FZ54" s="254">
        <f>$F$54*FZ53</f>
        <v/>
      </c>
      <c r="GA54" s="255" t="n"/>
      <c r="GB54" s="254">
        <f>$F$54*GB53</f>
        <v/>
      </c>
      <c r="GC54" s="255" t="n"/>
      <c r="GD54" s="254">
        <f>$F$54*GD53</f>
        <v/>
      </c>
      <c r="GE54" s="255" t="n"/>
      <c r="GF54" s="245">
        <f>$F$54*GF53</f>
        <v/>
      </c>
      <c r="GG54" s="246" t="n"/>
      <c r="GH54" s="245">
        <f>$F$54*GH53</f>
        <v/>
      </c>
      <c r="GI54" s="246" t="n"/>
      <c r="GJ54" s="245">
        <f>$F$54*GJ53</f>
        <v/>
      </c>
      <c r="GK54" s="246" t="n"/>
      <c r="GL54" s="245">
        <f>$F$54*GL53</f>
        <v/>
      </c>
      <c r="GM54" s="246" t="n"/>
      <c r="GN54" s="262">
        <f>$F$54*GN53</f>
        <v/>
      </c>
      <c r="GO54" s="263" t="n"/>
      <c r="GP54" s="262">
        <f>$F$54*GP53</f>
        <v/>
      </c>
      <c r="GQ54" s="263" t="n"/>
      <c r="GR54" s="262">
        <f>$F$54*GR53</f>
        <v/>
      </c>
      <c r="GS54" s="263" t="n"/>
      <c r="GT54" s="262">
        <f>$F$54*GT53</f>
        <v/>
      </c>
      <c r="GU54" s="263" t="n"/>
      <c r="GV54" s="262">
        <f>$F$54*GV53</f>
        <v/>
      </c>
      <c r="GW54" s="263" t="n"/>
      <c r="GX54" s="262">
        <f>$F$54*GX53</f>
        <v/>
      </c>
      <c r="GY54" s="263" t="n"/>
      <c r="GZ54" s="262">
        <f>$F$54*GZ53</f>
        <v/>
      </c>
      <c r="HA54" s="263" t="n"/>
      <c r="HB54" s="262">
        <f>$F$54*HB53</f>
        <v/>
      </c>
      <c r="HC54" s="263" t="n"/>
      <c r="HD54" s="262">
        <f>$F$54*HD53</f>
        <v/>
      </c>
      <c r="HE54" s="263" t="n"/>
      <c r="HF54" s="262">
        <f>$F$54*HF53</f>
        <v/>
      </c>
      <c r="HG54" s="263" t="n"/>
      <c r="HH54" s="262">
        <f>$F$54*HH53</f>
        <v/>
      </c>
      <c r="HI54" s="263" t="n"/>
      <c r="HJ54" s="262">
        <f>$F$54*HJ53</f>
        <v/>
      </c>
      <c r="HK54" s="263" t="n"/>
      <c r="HL54" s="262">
        <f>$F$54*HL53</f>
        <v/>
      </c>
      <c r="HM54" s="263" t="n"/>
      <c r="HN54" s="262">
        <f>$F$54*HN53</f>
        <v/>
      </c>
      <c r="HO54" s="263" t="n"/>
      <c r="HP54" s="262">
        <f>$F$54*HP53</f>
        <v/>
      </c>
      <c r="HQ54" s="263" t="n"/>
      <c r="HR54" s="262">
        <f>$F$54*HR53</f>
        <v/>
      </c>
      <c r="HS54" s="263" t="n"/>
      <c r="HT54" s="262">
        <f>$F$54*HT53</f>
        <v/>
      </c>
      <c r="HU54" s="263" t="n"/>
      <c r="HV54" s="276">
        <f>$F$54*HV53</f>
        <v/>
      </c>
      <c r="HW54" s="277" t="n"/>
      <c r="HX54" s="314">
        <f>$F$54*HX53</f>
        <v/>
      </c>
      <c r="HY54" s="266" t="n"/>
      <c r="HZ54" s="314">
        <f>$F$54*HZ53</f>
        <v/>
      </c>
      <c r="IA54" s="266" t="n"/>
      <c r="IB54" s="262">
        <f>$F$54*IB53</f>
        <v/>
      </c>
      <c r="IC54" s="263" t="n"/>
      <c r="ID54" s="276">
        <f>$F$54*ID53</f>
        <v/>
      </c>
      <c r="IE54" s="277" t="n"/>
      <c r="IF54" s="245">
        <f>$F$54*IF53</f>
        <v/>
      </c>
      <c r="IG54" s="246" t="n"/>
      <c r="IH54" s="245">
        <f>$F$54*IH53</f>
        <v/>
      </c>
      <c r="II54" s="246" t="n"/>
      <c r="IJ54" s="245">
        <f>$F$54*IJ53</f>
        <v/>
      </c>
      <c r="IK54" s="246" t="n"/>
      <c r="IL54" s="245">
        <f>$F$54*IL53</f>
        <v/>
      </c>
      <c r="IM54" s="246" t="n"/>
      <c r="IN54" s="245">
        <f>$F$54*IN53</f>
        <v/>
      </c>
      <c r="IO54" s="246" t="n"/>
      <c r="IP54" s="245">
        <f>$F$54*IP53</f>
        <v/>
      </c>
      <c r="IQ54" s="246" t="n"/>
      <c r="IR54" s="245">
        <f>$F$54*IR53</f>
        <v/>
      </c>
      <c r="IS54" s="246" t="n"/>
      <c r="IT54" s="245">
        <f>$F$54*IT53</f>
        <v/>
      </c>
      <c r="IU54" s="246" t="n"/>
      <c r="IV54" s="245">
        <f>$F$54*IV53</f>
        <v/>
      </c>
      <c r="IW54" s="246" t="n"/>
      <c r="IX54" s="245">
        <f>$F$54*IX53</f>
        <v/>
      </c>
      <c r="IY54" s="246" t="n"/>
      <c r="IZ54" s="245">
        <f>$F$54*IZ53</f>
        <v/>
      </c>
      <c r="JA54" s="246" t="n"/>
      <c r="JB54" s="245">
        <f>$F$54*JB53</f>
        <v/>
      </c>
      <c r="JC54" s="246" t="n"/>
      <c r="JD54" s="245">
        <f>$F$54*JD53</f>
        <v/>
      </c>
      <c r="JE54" s="246" t="n"/>
      <c r="JF54" s="245">
        <f>$F$54*JF53</f>
        <v/>
      </c>
      <c r="JG54" s="246" t="n"/>
      <c r="JH54" s="245">
        <f>$F$54*JH53</f>
        <v/>
      </c>
      <c r="JI54" s="246" t="n"/>
      <c r="JJ54" s="262">
        <f>$F$54*JJ53</f>
        <v/>
      </c>
      <c r="JK54" s="263" t="n"/>
      <c r="JL54" s="245">
        <f>$F$54*JL53</f>
        <v/>
      </c>
      <c r="JM54" s="246" t="n"/>
      <c r="JN54" s="245">
        <f>$F$54*JN53</f>
        <v/>
      </c>
      <c r="JO54" s="246" t="n"/>
      <c r="JP54" s="245">
        <f>$F$54*JP53</f>
        <v/>
      </c>
      <c r="JQ54" s="246" t="n"/>
      <c r="JR54" s="282">
        <f>$F$54*JR53</f>
        <v/>
      </c>
      <c r="JS54" s="277" t="n"/>
      <c r="JT54" s="282">
        <f>$F$54*JT53</f>
        <v/>
      </c>
      <c r="JU54" s="277" t="n"/>
      <c r="JV54" s="282">
        <f>$F$54*JV53</f>
        <v/>
      </c>
      <c r="JW54" s="277" t="n"/>
      <c r="JX54" s="282">
        <f>$F$54*JX53</f>
        <v/>
      </c>
      <c r="JY54" s="277" t="n"/>
      <c r="JZ54" s="297">
        <f>JN54+JP54+JR54+JT54+JX54</f>
        <v/>
      </c>
      <c r="KA54" s="263" t="n"/>
      <c r="KB54" s="298">
        <f>SUM(H54:JY54)</f>
        <v/>
      </c>
      <c r="KC54" s="246" t="n"/>
      <c r="KD54" s="2" t="n"/>
      <c r="KE54" s="279" t="n"/>
      <c r="KF54" s="97">
        <f>H54+J54+L54+N54+AB54+AD54+AF54+AH54+AJ54+AL54+AN54+AP54+AR54+AT54+AV54+AX54+AZ54+BB54+BD54+BF54+BH54+BJ54+BL54+BN54+BP54+BR54+BT54+BV54+BX54+BZ54+CB54+CD54+CF54+CH54+CJ54+CL54+CN54+CP54+CR54+CT54+CV54+CX54+CZ54+DB54+DD54+DF54+DH54+DJ54+DL54+DN54+DP54+DR54+DT54+DV54+DX54+DZ54+EB54+ED54+EF54+EH54+EJ54+EL54+EN54+EP54+ER54+ET54+EV54+EX54+EZ54+FB54+FD54+FF54+FH54+FJ54+FL54+FN54+FP54+FR54+FT54+FX54+FZ54+GB54+GD54+GF54+GH54+GJ54+GL54+GN54+GP54+GR54+GT54+GV54+GX54+GZ54+HB54+HD54+HF54+HH54+HJ54+HL54+HN54+HP54+HR54+HT54+HV54+JF54+JL54+JZ54+JB54+JD54</f>
        <v/>
      </c>
      <c r="KG54" s="279" t="n"/>
      <c r="KH54" s="279" t="n"/>
      <c r="KI54" s="279" t="n"/>
      <c r="KJ54" s="279" t="n"/>
      <c r="KK54" s="279" t="n"/>
      <c r="KL54" s="279" t="n"/>
      <c r="KM54" s="279" t="n"/>
      <c r="KN54" s="279" t="n"/>
    </row>
    <row r="55" ht="29.25" customHeight="1" thickBot="1">
      <c r="A55" s="111" t="n"/>
      <c r="B55" s="77" t="inlineStr">
        <is>
          <t>Фактическая ЗП</t>
        </is>
      </c>
      <c r="C55" s="78" t="n"/>
      <c r="D55" s="112" t="n"/>
      <c r="E55" s="113" t="n"/>
      <c r="F55" s="250">
        <f>KB55/E53</f>
        <v/>
      </c>
      <c r="G55" s="118" t="n"/>
      <c r="H55" s="332" t="n">
        <v>5885.93</v>
      </c>
      <c r="I55" s="251" t="n"/>
      <c r="J55" s="293" t="n">
        <v>11938.85</v>
      </c>
      <c r="K55" s="246" t="n"/>
      <c r="L55" s="293" t="n">
        <v>5171.41</v>
      </c>
      <c r="M55" s="246" t="n"/>
      <c r="N55" s="294" t="n">
        <v>5797.73</v>
      </c>
      <c r="O55" s="255" t="n"/>
      <c r="P55" s="293" t="n"/>
      <c r="Q55" s="246" t="n"/>
      <c r="R55" s="315" t="n"/>
      <c r="S55" s="246" t="n"/>
      <c r="T55" s="315" t="n"/>
      <c r="U55" s="246" t="n"/>
      <c r="V55" s="253" t="n"/>
      <c r="W55" s="246" t="n"/>
      <c r="X55" s="300" t="n"/>
      <c r="Y55" s="255" t="n"/>
      <c r="Z55" s="253" t="n"/>
      <c r="AA55" s="246" t="n"/>
      <c r="AB55" s="253" t="n">
        <v>225917.57</v>
      </c>
      <c r="AC55" s="246" t="n"/>
      <c r="AD55" s="261" t="n">
        <v>4465.04</v>
      </c>
      <c r="AE55" s="251" t="n"/>
      <c r="AF55" s="253" t="n">
        <v>8930.08</v>
      </c>
      <c r="AG55" s="246" t="n"/>
      <c r="AH55" s="253">
        <f>400.71+62786.82</f>
        <v/>
      </c>
      <c r="AI55" s="246" t="n"/>
      <c r="AJ55" s="253" t="n">
        <v>151164.84</v>
      </c>
      <c r="AK55" s="246" t="n"/>
      <c r="AL55" s="253" t="n">
        <v>71745.89</v>
      </c>
      <c r="AM55" s="246" t="n"/>
      <c r="AN55" s="261">
        <f>21029.9+121378.09</f>
        <v/>
      </c>
      <c r="AO55" s="251" t="n"/>
      <c r="AP55" s="261" t="n"/>
      <c r="AQ55" s="251" t="n"/>
      <c r="AR55" s="253">
        <f>18640.49+92698.92</f>
        <v/>
      </c>
      <c r="AS55" s="246" t="n"/>
      <c r="AT55" s="261">
        <f>14021.59+75648.03</f>
        <v/>
      </c>
      <c r="AU55" s="251" t="n"/>
      <c r="AV55" s="253">
        <f>2967.76+205820.07+1401.02</f>
        <v/>
      </c>
      <c r="AW55" s="246" t="n"/>
      <c r="AX55" s="261" t="n">
        <v>20467.14</v>
      </c>
      <c r="AY55" s="251" t="n"/>
      <c r="AZ55" s="253" t="n"/>
      <c r="BA55" s="246" t="n"/>
      <c r="BB55" s="261">
        <f>2967.76+252192.76+2622.58</f>
        <v/>
      </c>
      <c r="BC55" s="251" t="n"/>
      <c r="BD55" s="253">
        <f>94828+2837.7+340252.63</f>
        <v/>
      </c>
      <c r="BE55" s="246" t="n"/>
      <c r="BF55" s="261" t="n">
        <v>98943.62</v>
      </c>
      <c r="BG55" s="251" t="n"/>
      <c r="BH55" s="261" t="n">
        <v>23624.63</v>
      </c>
      <c r="BI55" s="251" t="n"/>
      <c r="BJ55" s="261">
        <f>7525.93+115023.42</f>
        <v/>
      </c>
      <c r="BK55" s="251" t="n"/>
      <c r="BL55" s="253" t="n">
        <v>1196.95</v>
      </c>
      <c r="BM55" s="246" t="n"/>
      <c r="BN55" s="253" t="n">
        <v>718.17</v>
      </c>
      <c r="BO55" s="246" t="n"/>
      <c r="BP55" s="253" t="n">
        <v>9788.690000000001</v>
      </c>
      <c r="BQ55" s="246" t="n"/>
      <c r="BR55" s="253" t="n">
        <v>9999.41</v>
      </c>
      <c r="BS55" s="246" t="n"/>
      <c r="BT55" s="253" t="n">
        <v>239.39</v>
      </c>
      <c r="BU55" s="246" t="n"/>
      <c r="BV55" s="253" t="n">
        <v>79940.25999999999</v>
      </c>
      <c r="BW55" s="246" t="n"/>
      <c r="BX55" s="253" t="n">
        <v>478.78</v>
      </c>
      <c r="BY55" s="246" t="n"/>
      <c r="BZ55" s="253" t="n">
        <v>1915.15</v>
      </c>
      <c r="CA55" s="246" t="n"/>
      <c r="CB55" s="261" t="n">
        <v>65795.31</v>
      </c>
      <c r="CC55" s="251" t="n"/>
      <c r="CD55" s="261">
        <f>34160.13+17426.26+64885.23</f>
        <v/>
      </c>
      <c r="CE55" s="251" t="n"/>
      <c r="CF55" s="261" t="n">
        <v>126116.93</v>
      </c>
      <c r="CG55" s="251" t="n"/>
      <c r="CH55" s="253" t="n">
        <v>91578.32000000001</v>
      </c>
      <c r="CI55" s="246" t="n"/>
      <c r="CJ55" s="253" t="n">
        <v>46416.48</v>
      </c>
      <c r="CK55" s="246" t="n"/>
      <c r="CL55" s="253" t="n">
        <v>1196.95</v>
      </c>
      <c r="CM55" s="246" t="n"/>
      <c r="CN55" s="253">
        <f>42626.53+286.97</f>
        <v/>
      </c>
      <c r="CO55" s="246" t="n"/>
      <c r="CP55" s="300" t="n">
        <v>1915.15</v>
      </c>
      <c r="CQ55" s="255" t="n"/>
      <c r="CR55" s="253">
        <f>73048.18+860.9</f>
        <v/>
      </c>
      <c r="CS55" s="246" t="n"/>
      <c r="CT55" s="253" t="n">
        <v>10568.28</v>
      </c>
      <c r="CU55" s="246" t="n"/>
      <c r="CV55" s="300" t="n">
        <v>22148.71</v>
      </c>
      <c r="CW55" s="255" t="n"/>
      <c r="CX55" s="253">
        <f>2898.25+27964.68</f>
        <v/>
      </c>
      <c r="CY55" s="246" t="n"/>
      <c r="CZ55" s="261">
        <f>2898.25+27744.51</f>
        <v/>
      </c>
      <c r="DA55" s="251" t="n"/>
      <c r="DB55" s="261">
        <f>9572.45+81070.74</f>
        <v/>
      </c>
      <c r="DC55" s="251" t="n"/>
      <c r="DD55" s="253" t="n">
        <v>17822.4</v>
      </c>
      <c r="DE55" s="246" t="n"/>
      <c r="DF55" s="261" t="n">
        <v>30603.56</v>
      </c>
      <c r="DG55" s="251" t="n"/>
      <c r="DH55" s="253" t="n">
        <v>60364.36</v>
      </c>
      <c r="DI55" s="246" t="n"/>
      <c r="DJ55" s="253" t="n">
        <v>24203.36</v>
      </c>
      <c r="DK55" s="246" t="n"/>
      <c r="DL55" s="261">
        <f>10264.33+286.97</f>
        <v/>
      </c>
      <c r="DM55" s="251" t="n"/>
      <c r="DN55" s="274" t="n">
        <v>11459.06</v>
      </c>
      <c r="DO55" s="255" t="n"/>
      <c r="DP55" s="261" t="n">
        <v>162529.9</v>
      </c>
      <c r="DQ55" s="251" t="n"/>
      <c r="DR55" s="253" t="n">
        <v>79842.55</v>
      </c>
      <c r="DS55" s="246" t="n"/>
      <c r="DT55" s="261" t="n">
        <v>19495.71</v>
      </c>
      <c r="DU55" s="251" t="n"/>
      <c r="DV55" s="253" t="n">
        <v>26721.54</v>
      </c>
      <c r="DW55" s="246" t="n"/>
      <c r="DX55" s="274" t="n">
        <v>38425.17</v>
      </c>
      <c r="DY55" s="255" t="n"/>
      <c r="DZ55" s="253" t="n">
        <v>111712.59</v>
      </c>
      <c r="EA55" s="246" t="n"/>
      <c r="EB55" s="253" t="n">
        <v>10441.76</v>
      </c>
      <c r="EC55" s="246" t="n"/>
      <c r="ED55" s="253" t="n">
        <v>23267.63</v>
      </c>
      <c r="EE55" s="246" t="n"/>
      <c r="EF55" s="315" t="n">
        <v>13403.72</v>
      </c>
      <c r="EG55" s="246" t="n"/>
      <c r="EH55" s="253" t="n">
        <v>117398.28</v>
      </c>
      <c r="EI55" s="246" t="n"/>
      <c r="EJ55" s="253" t="n">
        <v>33507.84</v>
      </c>
      <c r="EK55" s="246" t="n"/>
      <c r="EL55" s="253" t="n">
        <v>135286.1</v>
      </c>
      <c r="EM55" s="246" t="n"/>
      <c r="EN55" s="253" t="n">
        <v>74701.89999999999</v>
      </c>
      <c r="EO55" s="246" t="n"/>
      <c r="EP55" s="253" t="n">
        <v>11742.9</v>
      </c>
      <c r="EQ55" s="246" t="n"/>
      <c r="ER55" s="253" t="n">
        <v>28248.28</v>
      </c>
      <c r="ES55" s="246" t="n"/>
      <c r="ET55" s="253" t="n">
        <v>1710.06</v>
      </c>
      <c r="EU55" s="246" t="n"/>
      <c r="EV55" s="253" t="n">
        <v>11060.56</v>
      </c>
      <c r="EW55" s="246" t="n"/>
      <c r="EX55" s="300" t="n">
        <v>18726.15</v>
      </c>
      <c r="EY55" s="255" t="n"/>
      <c r="EZ55" s="253" t="n">
        <v>1710.06</v>
      </c>
      <c r="FA55" s="246" t="n"/>
      <c r="FB55" s="253" t="n">
        <v>23315.54</v>
      </c>
      <c r="FC55" s="246" t="n"/>
      <c r="FD55" s="253" t="n">
        <v>18208.85</v>
      </c>
      <c r="FE55" s="246" t="n"/>
      <c r="FF55" s="253" t="n">
        <v>10530.33</v>
      </c>
      <c r="FG55" s="246" t="n"/>
      <c r="FH55" s="253" t="n">
        <v>37625.48</v>
      </c>
      <c r="FI55" s="246" t="n"/>
      <c r="FJ55" s="289" t="n">
        <v>93699.72</v>
      </c>
      <c r="FK55" s="251" t="n"/>
      <c r="FL55" s="320" t="n">
        <v>22660.31</v>
      </c>
      <c r="FM55" s="263" t="n"/>
      <c r="FN55" s="296" t="n">
        <v>59465.5</v>
      </c>
      <c r="FO55" s="263" t="n"/>
      <c r="FP55" s="253" t="n">
        <v>2927.31</v>
      </c>
      <c r="FQ55" s="246" t="n"/>
      <c r="FR55" s="253" t="n">
        <v>58831.02</v>
      </c>
      <c r="FS55" s="246" t="n"/>
      <c r="FT55" s="253" t="n">
        <v>190057.39</v>
      </c>
      <c r="FU55" s="246" t="n"/>
      <c r="FV55" s="253" t="n"/>
      <c r="FW55" s="246" t="n"/>
      <c r="FX55" s="274" t="n">
        <v>12620.27</v>
      </c>
      <c r="FY55" s="255" t="n"/>
      <c r="FZ55" s="274" t="n">
        <v>7535.39</v>
      </c>
      <c r="GA55" s="255" t="n"/>
      <c r="GB55" s="274" t="n">
        <v>13892.38</v>
      </c>
      <c r="GC55" s="255" t="n"/>
      <c r="GD55" s="274" t="n">
        <v>12135.76</v>
      </c>
      <c r="GE55" s="255" t="n"/>
      <c r="GF55" s="253" t="n">
        <v>15144.31</v>
      </c>
      <c r="GG55" s="246" t="n"/>
      <c r="GH55" s="253" t="n">
        <v>2524.06</v>
      </c>
      <c r="GI55" s="246" t="n"/>
      <c r="GJ55" s="253" t="n">
        <v>3674.11</v>
      </c>
      <c r="GK55" s="246" t="n"/>
      <c r="GL55" s="253" t="n">
        <v>25267.83</v>
      </c>
      <c r="GM55" s="246" t="n"/>
      <c r="GN55" s="253" t="n">
        <v>12340.46</v>
      </c>
      <c r="GO55" s="246" t="n"/>
      <c r="GP55" s="253" t="n">
        <v>10216.84</v>
      </c>
      <c r="GQ55" s="246" t="n"/>
      <c r="GR55" s="253" t="n">
        <v>16348.99</v>
      </c>
      <c r="GS55" s="246" t="n"/>
      <c r="GT55" s="253" t="n">
        <v>15534.15</v>
      </c>
      <c r="GU55" s="246" t="n"/>
      <c r="GV55" s="253" t="n">
        <v>5816.5</v>
      </c>
      <c r="GW55" s="246" t="n"/>
      <c r="GX55" s="253" t="n">
        <v>27833.93</v>
      </c>
      <c r="GY55" s="246" t="n"/>
      <c r="GZ55" s="253" t="n">
        <v>8704.959999999999</v>
      </c>
      <c r="HA55" s="246" t="n"/>
      <c r="HB55" s="253" t="n">
        <v>8358.77</v>
      </c>
      <c r="HC55" s="246" t="n"/>
      <c r="HD55" s="253" t="n">
        <v>955.01</v>
      </c>
      <c r="HE55" s="246" t="n"/>
      <c r="HF55" s="253" t="n">
        <v>10900.06</v>
      </c>
      <c r="HG55" s="246" t="n"/>
      <c r="HH55" s="253">
        <f>4786.23+36415</f>
        <v/>
      </c>
      <c r="HI55" s="246" t="n"/>
      <c r="HJ55" s="253" t="n">
        <v>2068.96</v>
      </c>
      <c r="HK55" s="246" t="n"/>
      <c r="HL55" s="253" t="n">
        <v>13999.67</v>
      </c>
      <c r="HM55" s="246" t="n"/>
      <c r="HN55" s="253" t="n">
        <v>3691.78</v>
      </c>
      <c r="HO55" s="246" t="n"/>
      <c r="HP55" s="253" t="n">
        <v>9971.32</v>
      </c>
      <c r="HQ55" s="246" t="n"/>
      <c r="HR55" s="253" t="n">
        <v>5206.97</v>
      </c>
      <c r="HS55" s="246" t="n"/>
      <c r="HT55" s="253" t="n">
        <v>197346.4</v>
      </c>
      <c r="HU55" s="246" t="n"/>
      <c r="HV55" s="289" t="n">
        <v>5048.1</v>
      </c>
      <c r="HW55" s="251" t="n"/>
      <c r="HX55" s="274" t="n"/>
      <c r="HY55" s="255" t="n"/>
      <c r="HZ55" s="253" t="n"/>
      <c r="IA55" s="246" t="n"/>
      <c r="IB55" s="253" t="n"/>
      <c r="IC55" s="246" t="n"/>
      <c r="ID55" s="289" t="n"/>
      <c r="IE55" s="251" t="n"/>
      <c r="IF55" s="253" t="n"/>
      <c r="IG55" s="246" t="n"/>
      <c r="IH55" s="253" t="n"/>
      <c r="II55" s="246" t="n"/>
      <c r="IJ55" s="253" t="n"/>
      <c r="IK55" s="246" t="n"/>
      <c r="IL55" s="253" t="n"/>
      <c r="IM55" s="246" t="n"/>
      <c r="IN55" s="253" t="n"/>
      <c r="IO55" s="246" t="n"/>
      <c r="IP55" s="253" t="n"/>
      <c r="IQ55" s="246" t="n"/>
      <c r="IR55" s="253" t="n"/>
      <c r="IS55" s="246" t="n"/>
      <c r="IT55" s="253" t="n"/>
      <c r="IU55" s="246" t="n"/>
      <c r="IV55" s="253" t="n"/>
      <c r="IW55" s="246" t="n"/>
      <c r="IX55" s="253" t="n"/>
      <c r="IY55" s="246" t="n"/>
      <c r="IZ55" s="253" t="n">
        <v>3230.82</v>
      </c>
      <c r="JA55" s="246" t="n"/>
      <c r="JB55" s="253" t="n">
        <v>27409.4</v>
      </c>
      <c r="JC55" s="246" t="n"/>
      <c r="JD55" s="253" t="n">
        <v>11735.45</v>
      </c>
      <c r="JE55" s="246" t="n"/>
      <c r="JF55" s="253" t="n">
        <v>38486.34</v>
      </c>
      <c r="JG55" s="246" t="n"/>
      <c r="JH55" s="253" t="n"/>
      <c r="JI55" s="246" t="n"/>
      <c r="JJ55" s="253" t="n"/>
      <c r="JK55" s="246" t="n"/>
      <c r="JL55" s="253">
        <f>178162+49964.7+14656.15+2647866.24+9076.39</f>
        <v/>
      </c>
      <c r="JM55" s="246" t="n"/>
      <c r="JN55" s="253">
        <f>70825.32+1502.9</f>
        <v/>
      </c>
      <c r="JO55" s="246" t="n"/>
      <c r="JP55" s="253">
        <f>5671.46+25423.54+4884.78</f>
        <v/>
      </c>
      <c r="JQ55" s="246" t="n"/>
      <c r="JR55" s="264" t="n"/>
      <c r="JS55" s="251" t="n"/>
      <c r="JT55" s="264" t="n"/>
      <c r="JU55" s="251" t="n"/>
      <c r="JV55" s="264" t="n"/>
      <c r="JW55" s="251" t="n"/>
      <c r="JX55" s="264" t="n"/>
      <c r="JY55" s="251" t="n"/>
      <c r="JZ55" s="302">
        <f>JN55+JP55+JR55+JT55+JV55+JX55</f>
        <v/>
      </c>
      <c r="KA55" s="246" t="n"/>
      <c r="KB55" s="303">
        <f>SUM(H55:JY55)</f>
        <v/>
      </c>
      <c r="KC55" s="246" t="n"/>
      <c r="KD55" s="2">
        <f>KB54-KB56</f>
        <v/>
      </c>
      <c r="KF55" s="97" t="n"/>
    </row>
    <row r="56" ht="29.25" customHeight="1" thickBot="1">
      <c r="A56" s="115" t="n"/>
      <c r="B56" s="76" t="inlineStr">
        <is>
          <t xml:space="preserve">Отклонение (+/-) к плану </t>
        </is>
      </c>
      <c r="C56" s="78" t="n"/>
      <c r="D56" s="112" t="n"/>
      <c r="E56" s="113" t="n"/>
      <c r="F56" s="250" t="n"/>
      <c r="G56" s="118" t="n"/>
      <c r="H56" s="273">
        <f>H54-H55</f>
        <v/>
      </c>
      <c r="I56" s="251" t="n"/>
      <c r="J56" s="245">
        <f>J54-J55</f>
        <v/>
      </c>
      <c r="K56" s="246" t="n"/>
      <c r="L56" s="245">
        <f>L54-L55</f>
        <v/>
      </c>
      <c r="M56" s="246" t="n"/>
      <c r="N56" s="254">
        <f>N54-N55</f>
        <v/>
      </c>
      <c r="O56" s="255" t="n"/>
      <c r="P56" s="245">
        <f>P54-P55</f>
        <v/>
      </c>
      <c r="Q56" s="246" t="n"/>
      <c r="R56" s="295">
        <f>R54-R55</f>
        <v/>
      </c>
      <c r="S56" s="263" t="n"/>
      <c r="T56" s="275">
        <f>T54-T55</f>
        <v/>
      </c>
      <c r="U56" s="266" t="n"/>
      <c r="V56" s="314">
        <f>V54-V55</f>
        <v/>
      </c>
      <c r="W56" s="266" t="n"/>
      <c r="X56" s="314">
        <f>X54-X55</f>
        <v/>
      </c>
      <c r="Y56" s="266" t="n"/>
      <c r="Z56" s="262">
        <f>Z54-Z55</f>
        <v/>
      </c>
      <c r="AA56" s="263" t="n"/>
      <c r="AB56" s="262">
        <f>AB54-AB55</f>
        <v/>
      </c>
      <c r="AC56" s="263" t="n"/>
      <c r="AD56" s="330">
        <f>AD54-AD55</f>
        <v/>
      </c>
      <c r="AE56" s="277" t="n"/>
      <c r="AF56" s="262">
        <f>AF54-AF55</f>
        <v/>
      </c>
      <c r="AG56" s="263" t="n"/>
      <c r="AH56" s="262">
        <f>AH54-AH55</f>
        <v/>
      </c>
      <c r="AI56" s="263" t="n"/>
      <c r="AJ56" s="262">
        <f>AJ54-AJ55</f>
        <v/>
      </c>
      <c r="AK56" s="263" t="n"/>
      <c r="AL56" s="245">
        <f>AL54-AL55</f>
        <v/>
      </c>
      <c r="AM56" s="246" t="n"/>
      <c r="AN56" s="250">
        <f>AN54-AN55</f>
        <v/>
      </c>
      <c r="AO56" s="251" t="n"/>
      <c r="AP56" s="250">
        <f>AP54-AP55</f>
        <v/>
      </c>
      <c r="AQ56" s="251" t="n"/>
      <c r="AR56" s="245">
        <f>AR54-AR55</f>
        <v/>
      </c>
      <c r="AS56" s="246" t="n"/>
      <c r="AT56" s="250">
        <f>AT54-AT55</f>
        <v/>
      </c>
      <c r="AU56" s="251" t="n"/>
      <c r="AV56" s="245">
        <f>AV54-AV55</f>
        <v/>
      </c>
      <c r="AW56" s="246" t="n"/>
      <c r="AX56" s="250">
        <f>AX54-AX55</f>
        <v/>
      </c>
      <c r="AY56" s="251" t="n"/>
      <c r="AZ56" s="245">
        <f>AZ54-AZ55</f>
        <v/>
      </c>
      <c r="BA56" s="246" t="n"/>
      <c r="BB56" s="250">
        <f>BB54-BB55</f>
        <v/>
      </c>
      <c r="BC56" s="251" t="n"/>
      <c r="BD56" s="245">
        <f>BD54-BD55</f>
        <v/>
      </c>
      <c r="BE56" s="246" t="n"/>
      <c r="BF56" s="250">
        <f>BF54-BF55</f>
        <v/>
      </c>
      <c r="BG56" s="251" t="n"/>
      <c r="BH56" s="250">
        <f>BH54-BH55</f>
        <v/>
      </c>
      <c r="BI56" s="251" t="n"/>
      <c r="BJ56" s="250">
        <f>BJ54-BJ55</f>
        <v/>
      </c>
      <c r="BK56" s="251" t="n"/>
      <c r="BL56" s="245">
        <f>BL54-BL55</f>
        <v/>
      </c>
      <c r="BM56" s="246" t="n"/>
      <c r="BN56" s="245">
        <f>BN54-BN55</f>
        <v/>
      </c>
      <c r="BO56" s="246" t="n"/>
      <c r="BP56" s="245">
        <f>BP54-BP55</f>
        <v/>
      </c>
      <c r="BQ56" s="246" t="n"/>
      <c r="BR56" s="245">
        <f>BR54-BR55</f>
        <v/>
      </c>
      <c r="BS56" s="246" t="n"/>
      <c r="BT56" s="245">
        <f>BT54-BT55</f>
        <v/>
      </c>
      <c r="BU56" s="246" t="n"/>
      <c r="BV56" s="245">
        <f>BV54-BV55</f>
        <v/>
      </c>
      <c r="BW56" s="246" t="n"/>
      <c r="BX56" s="245">
        <f>BX54-BX55</f>
        <v/>
      </c>
      <c r="BY56" s="246" t="n"/>
      <c r="BZ56" s="245">
        <f>BZ54-BZ55</f>
        <v/>
      </c>
      <c r="CA56" s="246" t="n"/>
      <c r="CB56" s="250">
        <f>CB54-CB55</f>
        <v/>
      </c>
      <c r="CC56" s="251" t="n"/>
      <c r="CD56" s="250">
        <f>CD54-CD55</f>
        <v/>
      </c>
      <c r="CE56" s="251" t="n"/>
      <c r="CF56" s="250">
        <f>CF54-CF55</f>
        <v/>
      </c>
      <c r="CG56" s="251" t="n"/>
      <c r="CH56" s="245">
        <f>CH54-CH55</f>
        <v/>
      </c>
      <c r="CI56" s="246" t="n"/>
      <c r="CJ56" s="245">
        <f>CJ54-CJ55</f>
        <v/>
      </c>
      <c r="CK56" s="246" t="n"/>
      <c r="CL56" s="245">
        <f>CL54-CL55</f>
        <v/>
      </c>
      <c r="CM56" s="246" t="n"/>
      <c r="CN56" s="245">
        <f>CN54-CN55</f>
        <v/>
      </c>
      <c r="CO56" s="246" t="n"/>
      <c r="CP56" s="290">
        <f>CP54-CP55</f>
        <v/>
      </c>
      <c r="CQ56" s="255" t="n"/>
      <c r="CR56" s="245">
        <f>CR54-CR55</f>
        <v/>
      </c>
      <c r="CS56" s="246" t="n"/>
      <c r="CT56" s="245">
        <f>CT54-CT55</f>
        <v/>
      </c>
      <c r="CU56" s="246" t="n"/>
      <c r="CV56" s="276">
        <f>CV54-CV55</f>
        <v/>
      </c>
      <c r="CW56" s="277" t="n"/>
      <c r="CX56" s="245">
        <f>CX54-CX55</f>
        <v/>
      </c>
      <c r="CY56" s="246" t="n"/>
      <c r="CZ56" s="250">
        <f>CZ54-CZ55</f>
        <v/>
      </c>
      <c r="DA56" s="251" t="n"/>
      <c r="DB56" s="250">
        <f>DB54-DB55</f>
        <v/>
      </c>
      <c r="DC56" s="251" t="n"/>
      <c r="DD56" s="245">
        <f>DD54-DD55</f>
        <v/>
      </c>
      <c r="DE56" s="246" t="n"/>
      <c r="DF56" s="250">
        <f>DF54-DF55</f>
        <v/>
      </c>
      <c r="DG56" s="251" t="n"/>
      <c r="DH56" s="245">
        <f>DH54-DH55</f>
        <v/>
      </c>
      <c r="DI56" s="246" t="n"/>
      <c r="DJ56" s="245">
        <f>DJ54-DJ55</f>
        <v/>
      </c>
      <c r="DK56" s="246" t="n"/>
      <c r="DL56" s="250">
        <f>DL54-DL55</f>
        <v/>
      </c>
      <c r="DM56" s="251" t="n"/>
      <c r="DN56" s="254">
        <f>DN54-DN55</f>
        <v/>
      </c>
      <c r="DO56" s="255" t="n"/>
      <c r="DP56" s="245">
        <f>DP54-DP55</f>
        <v/>
      </c>
      <c r="DQ56" s="246" t="n"/>
      <c r="DR56" s="245">
        <f>DR54-DR55</f>
        <v/>
      </c>
      <c r="DS56" s="246" t="n"/>
      <c r="DT56" s="250">
        <f>DT54-DT55</f>
        <v/>
      </c>
      <c r="DU56" s="251" t="n"/>
      <c r="DV56" s="245">
        <f>DV54-DV55</f>
        <v/>
      </c>
      <c r="DW56" s="246" t="n"/>
      <c r="DX56" s="254">
        <f>DX54-DX55</f>
        <v/>
      </c>
      <c r="DY56" s="255" t="n"/>
      <c r="DZ56" s="245">
        <f>DZ54-DZ55</f>
        <v/>
      </c>
      <c r="EA56" s="246" t="n"/>
      <c r="EB56" s="245">
        <f>EB54-EB55</f>
        <v/>
      </c>
      <c r="EC56" s="246" t="n"/>
      <c r="ED56" s="245">
        <f>ED54-ED55</f>
        <v/>
      </c>
      <c r="EE56" s="246" t="n"/>
      <c r="EF56" s="290">
        <f>EF54-EF55</f>
        <v/>
      </c>
      <c r="EG56" s="255" t="n"/>
      <c r="EH56" s="245">
        <f>EH54-EH55</f>
        <v/>
      </c>
      <c r="EI56" s="246" t="n"/>
      <c r="EJ56" s="245">
        <f>EJ54-EJ55</f>
        <v/>
      </c>
      <c r="EK56" s="246" t="n"/>
      <c r="EL56" s="245">
        <f>EL54-EL55</f>
        <v/>
      </c>
      <c r="EM56" s="246" t="n"/>
      <c r="EN56" s="245">
        <f>EN54-EN55</f>
        <v/>
      </c>
      <c r="EO56" s="246" t="n"/>
      <c r="EP56" s="245">
        <f>EP54-EP55</f>
        <v/>
      </c>
      <c r="EQ56" s="246" t="n"/>
      <c r="ER56" s="245">
        <f>ER54-ER55</f>
        <v/>
      </c>
      <c r="ES56" s="246" t="n"/>
      <c r="ET56" s="245">
        <f>ET54-ET55</f>
        <v/>
      </c>
      <c r="EU56" s="246" t="n"/>
      <c r="EV56" s="245">
        <f>EV54-EV55</f>
        <v/>
      </c>
      <c r="EW56" s="246" t="n"/>
      <c r="EX56" s="290">
        <f>EX54-EX55</f>
        <v/>
      </c>
      <c r="EY56" s="255" t="n"/>
      <c r="EZ56" s="245">
        <f>EZ54-EZ55</f>
        <v/>
      </c>
      <c r="FA56" s="246" t="n"/>
      <c r="FB56" s="245">
        <f>FB54-FB55</f>
        <v/>
      </c>
      <c r="FC56" s="246" t="n"/>
      <c r="FD56" s="245">
        <f>FD54-FD55</f>
        <v/>
      </c>
      <c r="FE56" s="246" t="n"/>
      <c r="FF56" s="245">
        <f>FF54-FF55</f>
        <v/>
      </c>
      <c r="FG56" s="246" t="n"/>
      <c r="FH56" s="245">
        <f>FH54-FH55</f>
        <v/>
      </c>
      <c r="FI56" s="246" t="n"/>
      <c r="FJ56" s="269">
        <f>FJ54-FJ55</f>
        <v/>
      </c>
      <c r="FK56" s="246" t="n"/>
      <c r="FL56" s="245">
        <f>FL54-FL55</f>
        <v/>
      </c>
      <c r="FM56" s="246" t="n"/>
      <c r="FN56" s="245">
        <f>FN54-FN55</f>
        <v/>
      </c>
      <c r="FO56" s="246" t="n"/>
      <c r="FP56" s="245">
        <f>FP54-FP55</f>
        <v/>
      </c>
      <c r="FQ56" s="246" t="n"/>
      <c r="FR56" s="245">
        <f>FR54-FR55</f>
        <v/>
      </c>
      <c r="FS56" s="246" t="n"/>
      <c r="FT56" s="245">
        <f>FT54-FT55</f>
        <v/>
      </c>
      <c r="FU56" s="246" t="n"/>
      <c r="FV56" s="245">
        <f>FV54-FV55</f>
        <v/>
      </c>
      <c r="FW56" s="246" t="n"/>
      <c r="FX56" s="254">
        <f>FX54-FX55</f>
        <v/>
      </c>
      <c r="FY56" s="255" t="n"/>
      <c r="FZ56" s="254">
        <f>FZ54-FZ55</f>
        <v/>
      </c>
      <c r="GA56" s="255" t="n"/>
      <c r="GB56" s="254">
        <f>GB54-GB55</f>
        <v/>
      </c>
      <c r="GC56" s="255" t="n"/>
      <c r="GD56" s="254">
        <f>GD54-GD55</f>
        <v/>
      </c>
      <c r="GE56" s="255" t="n"/>
      <c r="GF56" s="245">
        <f>GF54-GF55</f>
        <v/>
      </c>
      <c r="GG56" s="246" t="n"/>
      <c r="GH56" s="245">
        <f>GH54-GH55</f>
        <v/>
      </c>
      <c r="GI56" s="246" t="n"/>
      <c r="GJ56" s="245">
        <f>GJ54-GJ55</f>
        <v/>
      </c>
      <c r="GK56" s="246" t="n"/>
      <c r="GL56" s="245">
        <f>GL54-GL55</f>
        <v/>
      </c>
      <c r="GM56" s="246" t="n"/>
      <c r="GN56" s="245">
        <f>GN54-GN55</f>
        <v/>
      </c>
      <c r="GO56" s="246" t="n"/>
      <c r="GP56" s="245">
        <f>GP54-GP55</f>
        <v/>
      </c>
      <c r="GQ56" s="246" t="n"/>
      <c r="GR56" s="245">
        <f>GR54-GR55</f>
        <v/>
      </c>
      <c r="GS56" s="246" t="n"/>
      <c r="GT56" s="245">
        <f>GT54-GT55</f>
        <v/>
      </c>
      <c r="GU56" s="246" t="n"/>
      <c r="GV56" s="245">
        <f>GV54-GV55</f>
        <v/>
      </c>
      <c r="GW56" s="246" t="n"/>
      <c r="GX56" s="245">
        <f>GX54-GX55</f>
        <v/>
      </c>
      <c r="GY56" s="246" t="n"/>
      <c r="GZ56" s="245">
        <f>GZ54-GZ55</f>
        <v/>
      </c>
      <c r="HA56" s="246" t="n"/>
      <c r="HB56" s="245">
        <f>HB54-HB55</f>
        <v/>
      </c>
      <c r="HC56" s="246" t="n"/>
      <c r="HD56" s="245">
        <f>HD54-HD55</f>
        <v/>
      </c>
      <c r="HE56" s="246" t="n"/>
      <c r="HF56" s="245">
        <f>HF54-HF55</f>
        <v/>
      </c>
      <c r="HG56" s="246" t="n"/>
      <c r="HH56" s="245">
        <f>HH54-HH55</f>
        <v/>
      </c>
      <c r="HI56" s="246" t="n"/>
      <c r="HJ56" s="245">
        <f>HJ54-HJ55</f>
        <v/>
      </c>
      <c r="HK56" s="246" t="n"/>
      <c r="HL56" s="245">
        <f>HL54-HL55</f>
        <v/>
      </c>
      <c r="HM56" s="246" t="n"/>
      <c r="HN56" s="245">
        <f>HN54-HN55</f>
        <v/>
      </c>
      <c r="HO56" s="246" t="n"/>
      <c r="HP56" s="245">
        <f>HP54-HP55</f>
        <v/>
      </c>
      <c r="HQ56" s="246" t="n"/>
      <c r="HR56" s="245">
        <f>HR54-HR55</f>
        <v/>
      </c>
      <c r="HS56" s="246" t="n"/>
      <c r="HT56" s="245">
        <f>HT54-HT55</f>
        <v/>
      </c>
      <c r="HU56" s="246" t="n"/>
      <c r="HV56" s="273">
        <f>HV54-HV55</f>
        <v/>
      </c>
      <c r="HW56" s="251" t="n"/>
      <c r="HX56" s="254">
        <f>HX54-HX55</f>
        <v/>
      </c>
      <c r="HY56" s="255" t="n"/>
      <c r="HZ56" s="254">
        <f>HZ54-HZ55</f>
        <v/>
      </c>
      <c r="IA56" s="255" t="n"/>
      <c r="IB56" s="245">
        <f>IB54-IB55</f>
        <v/>
      </c>
      <c r="IC56" s="246" t="n"/>
      <c r="ID56" s="273">
        <f>ID54-ID55</f>
        <v/>
      </c>
      <c r="IE56" s="251" t="n"/>
      <c r="IF56" s="245">
        <f>IF54-IF55</f>
        <v/>
      </c>
      <c r="IG56" s="246" t="n"/>
      <c r="IH56" s="245">
        <f>IH54-IH55</f>
        <v/>
      </c>
      <c r="II56" s="246" t="n"/>
      <c r="IJ56" s="245">
        <f>IJ54-IJ55</f>
        <v/>
      </c>
      <c r="IK56" s="246" t="n"/>
      <c r="IL56" s="245">
        <f>IL54-IL55</f>
        <v/>
      </c>
      <c r="IM56" s="246" t="n"/>
      <c r="IN56" s="245">
        <f>IN54-IN55</f>
        <v/>
      </c>
      <c r="IO56" s="246" t="n"/>
      <c r="IP56" s="245">
        <f>IP54-IP55</f>
        <v/>
      </c>
      <c r="IQ56" s="246" t="n"/>
      <c r="IR56" s="245">
        <f>IR54-IR55</f>
        <v/>
      </c>
      <c r="IS56" s="246" t="n"/>
      <c r="IT56" s="245">
        <f>IT54-IT55</f>
        <v/>
      </c>
      <c r="IU56" s="246" t="n"/>
      <c r="IV56" s="245">
        <f>IV54-IV55</f>
        <v/>
      </c>
      <c r="IW56" s="246" t="n"/>
      <c r="IX56" s="245">
        <f>IX54-IX55</f>
        <v/>
      </c>
      <c r="IY56" s="246" t="n"/>
      <c r="IZ56" s="245">
        <f>IZ54-IZ55</f>
        <v/>
      </c>
      <c r="JA56" s="246" t="n"/>
      <c r="JB56" s="245">
        <f>JB54-JB55</f>
        <v/>
      </c>
      <c r="JC56" s="246" t="n"/>
      <c r="JD56" s="245">
        <f>JD54-JD55</f>
        <v/>
      </c>
      <c r="JE56" s="246" t="n"/>
      <c r="JF56" s="245">
        <f>JF54-JF55</f>
        <v/>
      </c>
      <c r="JG56" s="246" t="n"/>
      <c r="JH56" s="245">
        <f>JH54-JH55</f>
        <v/>
      </c>
      <c r="JI56" s="246" t="n"/>
      <c r="JJ56" s="245">
        <f>JJ54-JJ55</f>
        <v/>
      </c>
      <c r="JK56" s="246" t="n"/>
      <c r="JL56" s="245">
        <f>JL54-JL55</f>
        <v/>
      </c>
      <c r="JM56" s="246" t="n"/>
      <c r="JN56" s="245">
        <f>JN54-JN55</f>
        <v/>
      </c>
      <c r="JO56" s="246" t="n"/>
      <c r="JP56" s="245">
        <f>JP54-JP55</f>
        <v/>
      </c>
      <c r="JQ56" s="246" t="n"/>
      <c r="JR56" s="245">
        <f>JR54-JR55</f>
        <v/>
      </c>
      <c r="JS56" s="246" t="n"/>
      <c r="JT56" s="245">
        <f>JT54-JT55</f>
        <v/>
      </c>
      <c r="JU56" s="246" t="n"/>
      <c r="JV56" s="245">
        <f>JV54-JV55</f>
        <v/>
      </c>
      <c r="JW56" s="246" t="n"/>
      <c r="JX56" s="250">
        <f>JX54-JX55</f>
        <v/>
      </c>
      <c r="JY56" s="251" t="n"/>
      <c r="JZ56" s="245">
        <f>JZ54-JZ55</f>
        <v/>
      </c>
      <c r="KA56" s="246" t="n"/>
      <c r="KB56" s="298">
        <f>SUM(H56:JY56)</f>
        <v/>
      </c>
      <c r="KC56" s="246" t="n"/>
      <c r="KD56" s="2" t="n"/>
      <c r="KF56" s="97" t="n"/>
    </row>
    <row r="57" ht="11.25" customHeight="1">
      <c r="B57" s="32" t="n"/>
      <c r="D57" s="279" t="inlineStr">
        <is>
          <t>частично актован</t>
        </is>
      </c>
      <c r="M57" s="279" t="n"/>
      <c r="CT57" s="279" t="n"/>
      <c r="CU57" s="279" t="n"/>
      <c r="KB57" s="307" t="n"/>
      <c r="KC57" s="308" t="n"/>
    </row>
    <row r="58" ht="11.25" customHeight="1">
      <c r="B58" s="33" t="n"/>
      <c r="D58" s="279" t="inlineStr">
        <is>
          <t>НЗП</t>
        </is>
      </c>
      <c r="M58" s="279" t="n"/>
      <c r="CT58" s="279" t="n"/>
      <c r="CU58" s="279" t="n"/>
    </row>
    <row r="59" ht="11.25" customHeight="1">
      <c r="B59" s="34" t="n"/>
      <c r="D59" s="279" t="inlineStr">
        <is>
          <t>актовка</t>
        </is>
      </c>
      <c r="M59" s="279" t="n"/>
      <c r="CT59" s="279" t="n"/>
      <c r="CU59" s="279" t="n"/>
    </row>
    <row r="60" ht="11.25" customHeight="1">
      <c r="B60" s="35" t="n"/>
      <c r="D60" s="279" t="inlineStr">
        <is>
          <t>для заполнения данными бухгалтерии</t>
        </is>
      </c>
      <c r="M60" s="279" t="n"/>
      <c r="CT60" s="279" t="n"/>
      <c r="CU60" s="279" t="n"/>
    </row>
    <row r="61" ht="29.25" customHeight="1">
      <c r="CT61" s="279" t="n"/>
      <c r="CU61" s="279" t="n"/>
    </row>
    <row r="62" ht="14.25" customHeight="1">
      <c r="CT62" s="279" t="n"/>
      <c r="CU62" s="279" t="n"/>
    </row>
    <row r="63" ht="13.2" customHeight="1">
      <c r="BF63" s="88" t="n"/>
      <c r="CD63" s="88" t="n"/>
      <c r="CR63" s="88" t="n"/>
      <c r="CT63" s="88" t="n"/>
      <c r="CU63" s="279" t="n"/>
      <c r="DL63" s="88" t="n"/>
      <c r="DX63" s="88" t="n"/>
      <c r="EJ63" s="88" t="n"/>
      <c r="EP63" s="88" t="n"/>
      <c r="EX63" s="88" t="n"/>
      <c r="GX63" s="88" t="n"/>
      <c r="GZ63" s="88" t="n"/>
      <c r="HB63" s="88" t="n"/>
      <c r="HD63" s="88" t="n"/>
      <c r="HF63" s="88" t="n"/>
      <c r="HH63" s="88" t="n"/>
      <c r="HJ63" s="88" t="n"/>
      <c r="HL63" s="88" t="n"/>
      <c r="KF63" s="88" t="n"/>
    </row>
    <row r="64" ht="13.2" customHeight="1">
      <c r="CT64" s="279" t="n"/>
      <c r="CU64" s="279" t="n"/>
    </row>
    <row r="65" ht="13.2" customHeight="1">
      <c r="CT65" s="279" t="n"/>
      <c r="CU65" s="279" t="n"/>
    </row>
    <row r="66" ht="13.2" customHeight="1">
      <c r="CT66" s="279" t="n"/>
      <c r="CU66" s="279" t="n"/>
    </row>
    <row r="67" ht="13.2" customHeight="1">
      <c r="CT67" s="279" t="n"/>
      <c r="CU67" s="279" t="n"/>
    </row>
    <row r="68" ht="13.2" customHeight="1">
      <c r="CT68" s="279" t="n"/>
      <c r="CU68" s="279" t="n"/>
    </row>
    <row r="69" ht="13.2" customHeight="1">
      <c r="CT69" s="279" t="n"/>
      <c r="CU69" s="279" t="n"/>
    </row>
    <row r="70" ht="13.2" customHeight="1">
      <c r="CT70" s="279" t="n"/>
      <c r="CU70" s="279" t="n"/>
    </row>
    <row r="71" ht="13.2" customHeight="1">
      <c r="CT71" s="279" t="n"/>
      <c r="CU71" s="279" t="n"/>
      <c r="JE71" s="301" t="n"/>
    </row>
    <row r="72" ht="13.2" customHeight="1">
      <c r="CT72" s="279" t="n"/>
      <c r="CU72" s="279" t="n"/>
      <c r="JE72" s="278" t="n"/>
    </row>
    <row r="73" ht="13.2" customHeight="1">
      <c r="CT73" s="279" t="n"/>
      <c r="CU73" s="279" t="n"/>
    </row>
    <row r="74" ht="13.2" customHeight="1">
      <c r="CT74" s="279" t="n"/>
      <c r="CU74" s="279" t="n"/>
    </row>
    <row r="75" ht="13.2" customHeight="1">
      <c r="CT75" s="279" t="n"/>
      <c r="CU75" s="279" t="n"/>
    </row>
    <row r="76" ht="13.2" customHeight="1">
      <c r="CT76" s="279" t="n"/>
      <c r="CU76" s="279" t="n"/>
    </row>
    <row r="77" ht="13.2" customHeight="1">
      <c r="CT77" s="279" t="n"/>
      <c r="CU77" s="279" t="n"/>
    </row>
    <row r="78" ht="13.2" customHeight="1">
      <c r="CT78" s="279" t="n"/>
      <c r="CU78" s="279" t="n"/>
    </row>
    <row r="79" ht="13.2" customHeight="1">
      <c r="CT79" s="279" t="n"/>
      <c r="CU79" s="279" t="n"/>
    </row>
    <row r="80" ht="13.2" customHeight="1">
      <c r="CT80" s="279" t="n"/>
      <c r="CU80" s="279" t="n"/>
    </row>
    <row r="81" ht="13.2" customHeight="1">
      <c r="CT81" s="279" t="n"/>
      <c r="CU81" s="279" t="n"/>
    </row>
    <row r="82" ht="13.2" customHeight="1">
      <c r="CT82" s="279" t="n"/>
      <c r="CU82" s="279" t="n"/>
    </row>
    <row r="83" ht="13.2" customHeight="1">
      <c r="CT83" s="279" t="n"/>
      <c r="CU83" s="279" t="n"/>
    </row>
    <row r="84" ht="13.2" customHeight="1">
      <c r="CT84" s="279" t="n"/>
      <c r="CU84" s="279" t="n"/>
    </row>
    <row r="85" ht="13.2" customHeight="1">
      <c r="CT85" s="279" t="n"/>
      <c r="CU85" s="279" t="n"/>
    </row>
    <row r="86" ht="13.2" customHeight="1">
      <c r="CT86" s="279" t="n"/>
      <c r="CU86" s="279" t="n"/>
    </row>
    <row r="87" ht="13.2" customHeight="1">
      <c r="CT87" s="279" t="n"/>
      <c r="CU87" s="279" t="n"/>
    </row>
    <row r="88" ht="13.2" customHeight="1">
      <c r="CT88" s="279" t="n"/>
      <c r="CU88" s="279" t="n"/>
    </row>
    <row r="89" ht="13.2" customHeight="1">
      <c r="CT89" s="279" t="n"/>
      <c r="CU89" s="279" t="n"/>
    </row>
    <row r="90" ht="13.2" customHeight="1">
      <c r="CT90" s="279" t="n"/>
      <c r="CU90" s="279" t="n"/>
    </row>
    <row r="91" ht="13.2" customHeight="1">
      <c r="CT91" s="279" t="n"/>
      <c r="CU91" s="279" t="n"/>
    </row>
    <row r="92" ht="13.2" customHeight="1">
      <c r="CT92" s="279" t="n"/>
      <c r="CU92" s="279" t="n"/>
    </row>
    <row r="93" ht="13.2" customHeight="1">
      <c r="CT93" s="279" t="n"/>
      <c r="CU93" s="279" t="n"/>
    </row>
    <row r="94" ht="13.2" customHeight="1">
      <c r="CT94" s="279" t="n"/>
      <c r="CU94" s="279" t="n"/>
    </row>
    <row r="95" ht="13.2" customHeight="1">
      <c r="CT95" s="279" t="n"/>
      <c r="CU95" s="279" t="n"/>
    </row>
    <row r="96" ht="13.2" customHeight="1">
      <c r="CT96" s="279" t="n"/>
      <c r="CU96" s="279" t="n"/>
    </row>
    <row r="97" ht="13.2" customHeight="1">
      <c r="CT97" s="279" t="n"/>
      <c r="CU97" s="279" t="n"/>
    </row>
    <row r="98" ht="13.2" customHeight="1">
      <c r="CT98" s="279" t="n"/>
      <c r="CU98" s="279" t="n"/>
    </row>
    <row r="99" ht="13.2" customHeight="1">
      <c r="CT99" s="279" t="n"/>
      <c r="CU99" s="279" t="n"/>
    </row>
    <row r="100" ht="13.2" customHeight="1">
      <c r="CT100" s="279" t="n"/>
      <c r="CU100" s="279" t="n"/>
    </row>
    <row r="101" ht="13.2" customHeight="1">
      <c r="CT101" s="279" t="n"/>
      <c r="CU101" s="279" t="n"/>
    </row>
    <row r="102" ht="13.2" customHeight="1">
      <c r="CT102" s="279" t="n"/>
      <c r="CU102" s="279" t="n"/>
    </row>
    <row r="103" ht="13.2" customHeight="1">
      <c r="CT103" s="279" t="n"/>
      <c r="CU103" s="279" t="n"/>
    </row>
    <row r="104" ht="13.2" customHeight="1">
      <c r="CT104" s="279" t="n"/>
      <c r="CU104" s="279" t="n"/>
    </row>
    <row r="105" ht="13.2" customHeight="1">
      <c r="CT105" s="279" t="n"/>
      <c r="CU105" s="279" t="n"/>
    </row>
    <row r="106" ht="13.2" customHeight="1">
      <c r="CT106" s="279" t="n"/>
      <c r="CU106" s="279" t="n"/>
    </row>
    <row r="107" ht="13.2" customHeight="1">
      <c r="CT107" s="279" t="n"/>
      <c r="CU107" s="279" t="n"/>
    </row>
    <row r="108" ht="13.2" customHeight="1">
      <c r="CT108" s="279" t="n"/>
      <c r="CU108" s="279" t="n"/>
    </row>
    <row r="109" ht="13.2" customHeight="1">
      <c r="CT109" s="279" t="n"/>
      <c r="CU109" s="279" t="n"/>
    </row>
    <row r="110" ht="13.2" customHeight="1">
      <c r="CT110" s="279" t="n"/>
      <c r="CU110" s="279" t="n"/>
    </row>
    <row r="111" ht="13.2" customHeight="1">
      <c r="CT111" s="279" t="n"/>
      <c r="CU111" s="279" t="n"/>
    </row>
    <row r="112" ht="13.2" customHeight="1">
      <c r="CT112" s="279" t="n"/>
      <c r="CU112" s="279" t="n"/>
    </row>
    <row r="113" ht="13.2" customHeight="1">
      <c r="CT113" s="279" t="n"/>
      <c r="CU113" s="279" t="n"/>
    </row>
    <row r="114" ht="13.2" customHeight="1">
      <c r="CT114" s="279" t="n"/>
      <c r="CU114" s="279" t="n"/>
    </row>
    <row r="115" ht="13.2" customHeight="1">
      <c r="CT115" s="279" t="n"/>
      <c r="CU115" s="279" t="n"/>
    </row>
    <row r="116" ht="13.2" customHeight="1">
      <c r="CT116" s="279" t="n"/>
      <c r="CU116" s="279" t="n"/>
    </row>
    <row r="117" ht="13.2" customHeight="1">
      <c r="CT117" s="279" t="n"/>
      <c r="CU117" s="279" t="n"/>
    </row>
    <row r="118" ht="13.2" customHeight="1">
      <c r="CT118" s="279" t="n"/>
      <c r="CU118" s="279" t="n"/>
    </row>
    <row r="119" ht="13.2" customHeight="1">
      <c r="CT119" s="279" t="n"/>
      <c r="CU119" s="279" t="n"/>
    </row>
    <row r="120" ht="13.2" customHeight="1">
      <c r="CT120" s="279" t="n"/>
      <c r="CU120" s="279" t="n"/>
    </row>
    <row r="121" ht="13.2" customHeight="1">
      <c r="CT121" s="279" t="n"/>
      <c r="CU121" s="279" t="n"/>
    </row>
    <row r="122" ht="13.2" customHeight="1">
      <c r="CT122" s="279" t="n"/>
      <c r="CU122" s="279" t="n"/>
    </row>
    <row r="123" ht="13.2" customHeight="1">
      <c r="CT123" s="279" t="n"/>
      <c r="CU123" s="279" t="n"/>
    </row>
    <row r="124" ht="13.2" customHeight="1">
      <c r="CT124" s="279" t="n"/>
      <c r="CU124" s="279" t="n"/>
    </row>
    <row r="125" ht="13.2" customHeight="1">
      <c r="CT125" s="279" t="n"/>
      <c r="CU125" s="279" t="n"/>
    </row>
    <row r="126" ht="13.2" customHeight="1">
      <c r="CT126" s="279" t="n"/>
      <c r="CU126" s="279" t="n"/>
    </row>
    <row r="127" ht="13.2" customHeight="1">
      <c r="CT127" s="279" t="n"/>
      <c r="CU127" s="279" t="n"/>
    </row>
    <row r="128" ht="13.2" customHeight="1">
      <c r="CT128" s="279" t="n"/>
      <c r="CU128" s="279" t="n"/>
    </row>
    <row r="129" ht="13.2" customHeight="1">
      <c r="CT129" s="279" t="n"/>
      <c r="CU129" s="279" t="n"/>
    </row>
    <row r="130" ht="13.2" customHeight="1">
      <c r="CT130" s="279" t="n"/>
      <c r="CU130" s="279" t="n"/>
    </row>
    <row r="131" ht="13.2" customHeight="1">
      <c r="CT131" s="279" t="n"/>
      <c r="CU131" s="279" t="n"/>
    </row>
    <row r="132" ht="13.2" customHeight="1">
      <c r="CT132" s="279" t="n"/>
      <c r="CU132" s="279" t="n"/>
    </row>
    <row r="133" ht="13.2" customHeight="1">
      <c r="CT133" s="279" t="n"/>
      <c r="CU133" s="279" t="n"/>
    </row>
    <row r="134" ht="13.2" customHeight="1">
      <c r="CT134" s="279" t="n"/>
      <c r="CU134" s="279" t="n"/>
    </row>
    <row r="135" ht="13.2" customHeight="1">
      <c r="CT135" s="279" t="n"/>
      <c r="CU135" s="279" t="n"/>
    </row>
    <row r="136" ht="13.2" customHeight="1">
      <c r="CT136" s="279" t="n"/>
      <c r="CU136" s="279" t="n"/>
    </row>
    <row r="137" ht="13.2" customHeight="1">
      <c r="CT137" s="279" t="n"/>
      <c r="CU137" s="279" t="n"/>
    </row>
    <row r="138" ht="13.2" customHeight="1">
      <c r="CT138" s="279" t="n"/>
      <c r="CU138" s="279" t="n"/>
    </row>
    <row r="139" ht="13.2" customHeight="1">
      <c r="CT139" s="279" t="n"/>
      <c r="CU139" s="279" t="n"/>
    </row>
    <row r="140" ht="13.2" customHeight="1">
      <c r="CT140" s="279" t="n"/>
      <c r="CU140" s="279" t="n"/>
    </row>
    <row r="141" ht="13.2" customHeight="1">
      <c r="CT141" s="279" t="n"/>
      <c r="CU141" s="279" t="n"/>
    </row>
    <row r="142" ht="13.2" customHeight="1">
      <c r="CT142" s="279" t="n"/>
      <c r="CU142" s="279" t="n"/>
    </row>
    <row r="143" ht="13.2" customHeight="1">
      <c r="CT143" s="279" t="n"/>
      <c r="CU143" s="279" t="n"/>
    </row>
    <row r="144" ht="13.2" customHeight="1">
      <c r="CT144" s="279" t="n"/>
      <c r="CU144" s="279" t="n"/>
    </row>
    <row r="145" ht="13.2" customHeight="1">
      <c r="CT145" s="279" t="n"/>
      <c r="CU145" s="279" t="n"/>
    </row>
    <row r="146" ht="13.2" customHeight="1">
      <c r="CT146" s="279" t="n"/>
      <c r="CU146" s="279" t="n"/>
    </row>
    <row r="147" ht="13.2" customHeight="1">
      <c r="CT147" s="279" t="n"/>
      <c r="CU147" s="279" t="n"/>
    </row>
    <row r="148" ht="13.2" customHeight="1">
      <c r="CT148" s="279" t="n"/>
      <c r="CU148" s="279" t="n"/>
    </row>
    <row r="149" ht="13.2" customHeight="1">
      <c r="CT149" s="279" t="n"/>
      <c r="CU149" s="279" t="n"/>
    </row>
    <row r="150" ht="13.2" customHeight="1">
      <c r="CT150" s="279" t="n"/>
      <c r="CU150" s="279" t="n"/>
    </row>
    <row r="151" ht="13.2" customHeight="1">
      <c r="CT151" s="279" t="n"/>
      <c r="CU151" s="279" t="n"/>
    </row>
    <row r="152" ht="13.2" customHeight="1">
      <c r="CT152" s="279" t="n"/>
      <c r="CU152" s="279" t="n"/>
    </row>
    <row r="153" ht="13.2" customHeight="1">
      <c r="CT153" s="279" t="n"/>
      <c r="CU153" s="279" t="n"/>
    </row>
    <row r="154" ht="13.2" customHeight="1">
      <c r="CT154" s="279" t="n"/>
      <c r="CU154" s="279" t="n"/>
    </row>
    <row r="155" ht="13.2" customHeight="1">
      <c r="CT155" s="279" t="n"/>
      <c r="CU155" s="279" t="n"/>
    </row>
    <row r="156" ht="13.2" customHeight="1">
      <c r="CT156" s="279" t="n"/>
      <c r="CU156" s="279" t="n"/>
    </row>
    <row r="157" ht="13.2" customHeight="1">
      <c r="CT157" s="279" t="n"/>
      <c r="CU157" s="279" t="n"/>
    </row>
    <row r="158" ht="13.2" customHeight="1">
      <c r="CT158" s="279" t="n"/>
      <c r="CU158" s="279" t="n"/>
    </row>
    <row r="159" ht="13.2" customHeight="1">
      <c r="CT159" s="279" t="n"/>
      <c r="CU159" s="279" t="n"/>
    </row>
    <row r="160" ht="13.2" customHeight="1">
      <c r="CT160" s="279" t="n"/>
      <c r="CU160" s="279" t="n"/>
    </row>
    <row r="161" ht="13.2" customHeight="1">
      <c r="CT161" s="279" t="n"/>
      <c r="CU161" s="279" t="n"/>
    </row>
    <row r="162" ht="13.2" customHeight="1">
      <c r="CT162" s="279" t="n"/>
      <c r="CU162" s="279" t="n"/>
    </row>
    <row r="163" ht="13.2" customHeight="1">
      <c r="CT163" s="279" t="n"/>
      <c r="CU163" s="279" t="n"/>
    </row>
    <row r="164" ht="13.2" customHeight="1">
      <c r="CT164" s="279" t="n"/>
      <c r="CU164" s="279" t="n"/>
    </row>
    <row r="165" ht="13.2" customHeight="1">
      <c r="CT165" s="279" t="n"/>
      <c r="CU165" s="279" t="n"/>
    </row>
    <row r="166" ht="13.2" customHeight="1">
      <c r="CT166" s="279" t="n"/>
      <c r="CU166" s="279" t="n"/>
    </row>
    <row r="167" ht="13.2" customHeight="1">
      <c r="CT167" s="279" t="n"/>
      <c r="CU167" s="279" t="n"/>
    </row>
    <row r="168" ht="13.2" customHeight="1">
      <c r="CT168" s="279" t="n"/>
      <c r="CU168" s="279" t="n"/>
    </row>
    <row r="169" ht="13.2" customHeight="1">
      <c r="CT169" s="279" t="n"/>
      <c r="CU169" s="279" t="n"/>
    </row>
    <row r="170" ht="13.2" customHeight="1">
      <c r="CT170" s="279" t="n"/>
      <c r="CU170" s="279" t="n"/>
    </row>
    <row r="171" ht="13.2" customHeight="1">
      <c r="CT171" s="279" t="n"/>
      <c r="CU171" s="279" t="n"/>
    </row>
    <row r="172" ht="13.2" customHeight="1">
      <c r="CT172" s="279" t="n"/>
      <c r="CU172" s="279" t="n"/>
    </row>
    <row r="173" ht="13.2" customHeight="1">
      <c r="CT173" s="279" t="n"/>
      <c r="CU173" s="279" t="n"/>
    </row>
    <row r="174" ht="13.2" customHeight="1">
      <c r="CT174" s="279" t="n"/>
      <c r="CU174" s="279" t="n"/>
    </row>
    <row r="175" ht="13.2" customHeight="1">
      <c r="CT175" s="279" t="n"/>
      <c r="CU175" s="279" t="n"/>
    </row>
    <row r="176" ht="13.2" customHeight="1">
      <c r="CT176" s="279" t="n"/>
      <c r="CU176" s="279" t="n"/>
    </row>
    <row r="177" ht="13.2" customHeight="1">
      <c r="CT177" s="279" t="n"/>
      <c r="CU177" s="279" t="n"/>
    </row>
    <row r="178" ht="13.2" customHeight="1">
      <c r="CT178" s="279" t="n"/>
      <c r="CU178" s="279" t="n"/>
    </row>
    <row r="179" ht="13.2" customHeight="1">
      <c r="CT179" s="279" t="n"/>
      <c r="CU179" s="279" t="n"/>
    </row>
    <row r="180" ht="13.2" customHeight="1">
      <c r="CT180" s="279" t="n"/>
      <c r="CU180" s="279" t="n"/>
    </row>
    <row r="181" ht="13.2" customHeight="1">
      <c r="CT181" s="279" t="n"/>
      <c r="CU181" s="279" t="n"/>
    </row>
    <row r="182" ht="13.2" customHeight="1">
      <c r="CT182" s="279" t="n"/>
      <c r="CU182" s="279" t="n"/>
    </row>
    <row r="183" ht="13.2" customHeight="1">
      <c r="CT183" s="279" t="n"/>
      <c r="CU183" s="279" t="n"/>
    </row>
    <row r="184" ht="13.2" customHeight="1">
      <c r="CT184" s="279" t="n"/>
      <c r="CU184" s="279" t="n"/>
    </row>
    <row r="185" ht="13.2" customHeight="1">
      <c r="CT185" s="279" t="n"/>
      <c r="CU185" s="279" t="n"/>
    </row>
    <row r="186" ht="13.2" customHeight="1">
      <c r="CT186" s="279" t="n"/>
      <c r="CU186" s="279" t="n"/>
    </row>
    <row r="187" ht="13.2" customHeight="1">
      <c r="CT187" s="279" t="n"/>
      <c r="CU187" s="279" t="n"/>
    </row>
    <row r="188" ht="13.2" customHeight="1">
      <c r="CT188" s="279" t="n"/>
      <c r="CU188" s="279" t="n"/>
    </row>
    <row r="189" ht="13.2" customHeight="1">
      <c r="CT189" s="279" t="n"/>
      <c r="CU189" s="279" t="n"/>
    </row>
    <row r="190" ht="13.2" customHeight="1">
      <c r="CT190" s="279" t="n"/>
      <c r="CU190" s="279" t="n"/>
    </row>
    <row r="191" ht="13.2" customHeight="1">
      <c r="CT191" s="279" t="n"/>
      <c r="CU191" s="279" t="n"/>
    </row>
    <row r="192" ht="13.2" customHeight="1">
      <c r="CT192" s="279" t="n"/>
      <c r="CU192" s="279" t="n"/>
    </row>
    <row r="193" ht="13.2" customHeight="1">
      <c r="CT193" s="279" t="n"/>
      <c r="CU193" s="279" t="n"/>
    </row>
    <row r="194" ht="13.2" customHeight="1">
      <c r="CT194" s="279" t="n"/>
      <c r="CU194" s="279" t="n"/>
    </row>
    <row r="195" ht="13.2" customHeight="1">
      <c r="CT195" s="279" t="n"/>
      <c r="CU195" s="279" t="n"/>
    </row>
    <row r="196" ht="13.2" customHeight="1">
      <c r="CT196" s="279" t="n"/>
      <c r="CU196" s="279" t="n"/>
    </row>
    <row r="197" ht="13.2" customHeight="1">
      <c r="CT197" s="279" t="n"/>
      <c r="CU197" s="279" t="n"/>
    </row>
    <row r="198" ht="13.2" customHeight="1">
      <c r="CT198" s="279" t="n"/>
      <c r="CU198" s="279" t="n"/>
    </row>
    <row r="199" ht="13.2" customHeight="1">
      <c r="CT199" s="279" t="n"/>
      <c r="CU199" s="279" t="n"/>
    </row>
    <row r="200" ht="13.2" customHeight="1">
      <c r="CT200" s="279" t="n"/>
      <c r="CU200" s="279" t="n"/>
    </row>
    <row r="201" ht="13.2" customHeight="1">
      <c r="CT201" s="279" t="n"/>
      <c r="CU201" s="279" t="n"/>
    </row>
    <row r="202" ht="13.2" customHeight="1">
      <c r="CT202" s="279" t="n"/>
      <c r="CU202" s="279" t="n"/>
    </row>
    <row r="203" ht="13.2" customHeight="1">
      <c r="CT203" s="279" t="n"/>
      <c r="CU203" s="279" t="n"/>
    </row>
    <row r="204" ht="13.2" customHeight="1">
      <c r="CT204" s="279" t="n"/>
      <c r="CU204" s="279" t="n"/>
    </row>
    <row r="205" ht="13.2" customHeight="1">
      <c r="CT205" s="279" t="n"/>
      <c r="CU205" s="279" t="n"/>
    </row>
    <row r="206" ht="13.2" customHeight="1">
      <c r="CT206" s="279" t="n"/>
      <c r="CU206" s="279" t="n"/>
    </row>
    <row r="207" ht="13.2" customHeight="1">
      <c r="CT207" s="279" t="n"/>
      <c r="CU207" s="279" t="n"/>
    </row>
    <row r="208" ht="13.2" customHeight="1">
      <c r="CT208" s="279" t="n"/>
      <c r="CU208" s="279" t="n"/>
    </row>
    <row r="209" ht="13.2" customHeight="1">
      <c r="CT209" s="279" t="n"/>
      <c r="CU209" s="279" t="n"/>
    </row>
    <row r="210" ht="13.2" customHeight="1">
      <c r="CT210" s="279" t="n"/>
      <c r="CU210" s="279" t="n"/>
    </row>
    <row r="211" ht="13.2" customHeight="1">
      <c r="CT211" s="279" t="n"/>
      <c r="CU211" s="279" t="n"/>
    </row>
    <row r="212" ht="13.2" customHeight="1">
      <c r="CT212" s="279" t="n"/>
      <c r="CU212" s="279" t="n"/>
    </row>
    <row r="213" ht="13.2" customHeight="1">
      <c r="CT213" s="279" t="n"/>
      <c r="CU213" s="279" t="n"/>
    </row>
    <row r="214" ht="13.2" customHeight="1">
      <c r="CT214" s="279" t="n"/>
      <c r="CU214" s="279" t="n"/>
    </row>
    <row r="215" ht="13.2" customHeight="1">
      <c r="CT215" s="279" t="n"/>
      <c r="CU215" s="279" t="n"/>
    </row>
    <row r="216" ht="13.2" customHeight="1">
      <c r="CT216" s="279" t="n"/>
      <c r="CU216" s="279" t="n"/>
    </row>
    <row r="217" ht="13.2" customHeight="1">
      <c r="CT217" s="279" t="n"/>
      <c r="CU217" s="279" t="n"/>
    </row>
    <row r="218" ht="13.2" customHeight="1">
      <c r="CT218" s="279" t="n"/>
      <c r="CU218" s="279" t="n"/>
    </row>
    <row r="219" ht="13.2" customHeight="1">
      <c r="CT219" s="279" t="n"/>
      <c r="CU219" s="279" t="n"/>
    </row>
    <row r="220" ht="13.2" customHeight="1">
      <c r="CT220" s="279" t="n"/>
      <c r="CU220" s="279" t="n"/>
    </row>
    <row r="221" ht="13.2" customHeight="1">
      <c r="CT221" s="279" t="n"/>
      <c r="CU221" s="279" t="n"/>
    </row>
    <row r="222" ht="13.2" customHeight="1">
      <c r="CT222" s="279" t="n"/>
      <c r="CU222" s="279" t="n"/>
    </row>
    <row r="223" ht="13.2" customHeight="1">
      <c r="CT223" s="279" t="n"/>
      <c r="CU223" s="279" t="n"/>
    </row>
    <row r="224" ht="13.2" customHeight="1">
      <c r="CT224" s="279" t="n"/>
      <c r="CU224" s="279" t="n"/>
    </row>
    <row r="225" ht="13.2" customHeight="1">
      <c r="CT225" s="279" t="n"/>
      <c r="CU225" s="279" t="n"/>
    </row>
    <row r="226" ht="13.2" customHeight="1">
      <c r="CT226" s="279" t="n"/>
      <c r="CU226" s="279" t="n"/>
    </row>
    <row r="227" ht="13.2" customHeight="1">
      <c r="CT227" s="279" t="n"/>
      <c r="CU227" s="279" t="n"/>
    </row>
    <row r="228" ht="13.2" customHeight="1">
      <c r="CT228" s="279" t="n"/>
      <c r="CU228" s="279" t="n"/>
    </row>
    <row r="229" ht="13.2" customHeight="1">
      <c r="CT229" s="279" t="n"/>
      <c r="CU229" s="279" t="n"/>
    </row>
    <row r="230" ht="13.2" customHeight="1">
      <c r="CT230" s="279" t="n"/>
      <c r="CU230" s="279" t="n"/>
    </row>
    <row r="231" ht="13.2" customHeight="1">
      <c r="CT231" s="279" t="n"/>
      <c r="CU231" s="279" t="n"/>
    </row>
    <row r="232" ht="13.2" customHeight="1">
      <c r="CT232" s="279" t="n"/>
      <c r="CU232" s="279" t="n"/>
    </row>
    <row r="233" ht="13.2" customHeight="1">
      <c r="CT233" s="279" t="n"/>
      <c r="CU233" s="279" t="n"/>
    </row>
    <row r="234" ht="13.2" customHeight="1">
      <c r="CT234" s="279" t="n"/>
      <c r="CU234" s="279" t="n"/>
    </row>
    <row r="235" ht="13.2" customHeight="1">
      <c r="CT235" s="279" t="n"/>
      <c r="CU235" s="279" t="n"/>
    </row>
    <row r="236" ht="13.2" customHeight="1">
      <c r="CT236" s="279" t="n"/>
      <c r="CU236" s="279" t="n"/>
    </row>
    <row r="237" ht="13.2" customHeight="1">
      <c r="CT237" s="279" t="n"/>
      <c r="CU237" s="279" t="n"/>
    </row>
    <row r="238" ht="13.2" customHeight="1">
      <c r="CT238" s="279" t="n"/>
      <c r="CU238" s="279" t="n"/>
    </row>
    <row r="239" ht="13.2" customHeight="1">
      <c r="CT239" s="279" t="n"/>
      <c r="CU239" s="279" t="n"/>
    </row>
    <row r="240" ht="13.2" customHeight="1">
      <c r="CT240" s="279" t="n"/>
      <c r="CU240" s="279" t="n"/>
    </row>
    <row r="241" ht="13.2" customHeight="1">
      <c r="CT241" s="279" t="n"/>
      <c r="CU241" s="279" t="n"/>
    </row>
    <row r="242" ht="13.2" customHeight="1">
      <c r="CT242" s="279" t="n"/>
      <c r="CU242" s="279" t="n"/>
    </row>
    <row r="243" ht="13.2" customHeight="1">
      <c r="CT243" s="279" t="n"/>
      <c r="CU243" s="279" t="n"/>
    </row>
    <row r="244" ht="13.2" customHeight="1">
      <c r="CT244" s="279" t="n"/>
      <c r="CU244" s="279" t="n"/>
    </row>
    <row r="245" ht="13.2" customHeight="1">
      <c r="CT245" s="279" t="n"/>
      <c r="CU245" s="279" t="n"/>
    </row>
    <row r="246" ht="13.2" customHeight="1">
      <c r="CT246" s="279" t="n"/>
      <c r="CU246" s="279" t="n"/>
    </row>
    <row r="247" ht="13.2" customHeight="1">
      <c r="CT247" s="279" t="n"/>
      <c r="CU247" s="279" t="n"/>
    </row>
    <row r="248" ht="13.2" customHeight="1">
      <c r="CT248" s="279" t="n"/>
      <c r="CU248" s="279" t="n"/>
    </row>
    <row r="249" ht="13.2" customHeight="1">
      <c r="CT249" s="279" t="n"/>
      <c r="CU249" s="279" t="n"/>
    </row>
    <row r="250" ht="13.2" customHeight="1">
      <c r="CT250" s="279" t="n"/>
      <c r="CU250" s="279" t="n"/>
    </row>
    <row r="251" ht="13.2" customHeight="1">
      <c r="CT251" s="279" t="n"/>
      <c r="CU251" s="279" t="n"/>
    </row>
    <row r="252" ht="13.2" customHeight="1">
      <c r="CT252" s="279" t="n"/>
      <c r="CU252" s="279" t="n"/>
    </row>
    <row r="253" ht="13.2" customHeight="1">
      <c r="CT253" s="279" t="n"/>
      <c r="CU253" s="279" t="n"/>
    </row>
    <row r="254" ht="13.2" customHeight="1">
      <c r="CT254" s="279" t="n"/>
      <c r="CU254" s="279" t="n"/>
    </row>
    <row r="255" ht="13.2" customHeight="1">
      <c r="CT255" s="279" t="n"/>
      <c r="CU255" s="279" t="n"/>
    </row>
    <row r="256" ht="13.2" customHeight="1">
      <c r="CT256" s="279" t="n"/>
      <c r="CU256" s="279" t="n"/>
    </row>
    <row r="257" ht="13.2" customHeight="1">
      <c r="CT257" s="279" t="n"/>
      <c r="CU257" s="279" t="n"/>
    </row>
    <row r="258" ht="13.2" customHeight="1">
      <c r="CT258" s="279" t="n"/>
      <c r="CU258" s="279" t="n"/>
    </row>
    <row r="259" ht="13.2" customHeight="1">
      <c r="CT259" s="279" t="n"/>
      <c r="CU259" s="279" t="n"/>
    </row>
    <row r="260" ht="13.2" customHeight="1">
      <c r="CT260" s="279" t="n"/>
      <c r="CU260" s="279" t="n"/>
    </row>
    <row r="261" ht="13.2" customHeight="1">
      <c r="CT261" s="279" t="n"/>
      <c r="CU261" s="279" t="n"/>
    </row>
    <row r="262" ht="13.2" customHeight="1">
      <c r="CT262" s="279" t="n"/>
      <c r="CU262" s="279" t="n"/>
    </row>
    <row r="263" ht="13.2" customHeight="1">
      <c r="CT263" s="279" t="n"/>
      <c r="CU263" s="279" t="n"/>
    </row>
    <row r="264" ht="13.2" customHeight="1">
      <c r="CT264" s="279" t="n"/>
      <c r="CU264" s="279" t="n"/>
    </row>
    <row r="265" ht="13.2" customHeight="1">
      <c r="CT265" s="279" t="n"/>
      <c r="CU265" s="279" t="n"/>
    </row>
    <row r="266" ht="13.2" customHeight="1">
      <c r="CT266" s="279" t="n"/>
      <c r="CU266" s="279" t="n"/>
    </row>
    <row r="267" ht="13.2" customHeight="1">
      <c r="CT267" s="279" t="n"/>
      <c r="CU267" s="279" t="n"/>
    </row>
    <row r="268" ht="13.2" customHeight="1">
      <c r="CT268" s="279" t="n"/>
      <c r="CU268" s="279" t="n"/>
    </row>
    <row r="269" ht="13.2" customHeight="1">
      <c r="CT269" s="279" t="n"/>
      <c r="CU269" s="279" t="n"/>
    </row>
    <row r="270" ht="13.2" customHeight="1">
      <c r="CT270" s="279" t="n"/>
      <c r="CU270" s="279" t="n"/>
    </row>
    <row r="271" ht="13.2" customHeight="1">
      <c r="CT271" s="279" t="n"/>
      <c r="CU271" s="279" t="n"/>
    </row>
    <row r="272" ht="13.2" customHeight="1">
      <c r="CT272" s="279" t="n"/>
      <c r="CU272" s="279" t="n"/>
    </row>
    <row r="273" ht="13.2" customHeight="1">
      <c r="CT273" s="279" t="n"/>
      <c r="CU273" s="279" t="n"/>
    </row>
    <row r="274" ht="13.2" customHeight="1">
      <c r="CT274" s="279" t="n"/>
      <c r="CU274" s="279" t="n"/>
    </row>
    <row r="275" ht="13.2" customHeight="1">
      <c r="CT275" s="279" t="n"/>
      <c r="CU275" s="279" t="n"/>
    </row>
    <row r="276" ht="13.2" customHeight="1">
      <c r="CT276" s="279" t="n"/>
      <c r="CU276" s="279" t="n"/>
    </row>
    <row r="277" ht="13.2" customHeight="1">
      <c r="CT277" s="279" t="n"/>
      <c r="CU277" s="279" t="n"/>
    </row>
    <row r="278" ht="13.2" customHeight="1">
      <c r="CT278" s="279" t="n"/>
      <c r="CU278" s="279" t="n"/>
    </row>
    <row r="279" ht="13.2" customHeight="1">
      <c r="CT279" s="279" t="n"/>
      <c r="CU279" s="279" t="n"/>
    </row>
    <row r="280" ht="13.2" customHeight="1">
      <c r="CT280" s="279" t="n"/>
      <c r="CU280" s="279" t="n"/>
    </row>
    <row r="281" ht="13.2" customHeight="1">
      <c r="CT281" s="279" t="n"/>
      <c r="CU281" s="279" t="n"/>
    </row>
    <row r="282" ht="13.2" customHeight="1">
      <c r="CT282" s="279" t="n"/>
      <c r="CU282" s="279" t="n"/>
    </row>
    <row r="283" ht="13.2" customHeight="1">
      <c r="CT283" s="279" t="n"/>
      <c r="CU283" s="279" t="n"/>
    </row>
    <row r="284" ht="13.2" customHeight="1">
      <c r="CT284" s="279" t="n"/>
      <c r="CU284" s="279" t="n"/>
    </row>
    <row r="285" ht="13.2" customHeight="1">
      <c r="CT285" s="279" t="n"/>
      <c r="CU285" s="279" t="n"/>
    </row>
    <row r="286" ht="13.2" customHeight="1">
      <c r="CT286" s="279" t="n"/>
      <c r="CU286" s="279" t="n"/>
    </row>
    <row r="287" ht="13.2" customHeight="1">
      <c r="CT287" s="279" t="n"/>
      <c r="CU287" s="279" t="n"/>
    </row>
    <row r="288" ht="13.2" customHeight="1">
      <c r="CT288" s="279" t="n"/>
      <c r="CU288" s="279" t="n"/>
    </row>
    <row r="289" ht="13.2" customHeight="1">
      <c r="CT289" s="279" t="n"/>
      <c r="CU289" s="279" t="n"/>
    </row>
    <row r="290" ht="13.2" customHeight="1">
      <c r="CT290" s="279" t="n"/>
      <c r="CU290" s="279" t="n"/>
    </row>
    <row r="291" ht="13.2" customHeight="1">
      <c r="CT291" s="279" t="n"/>
      <c r="CU291" s="279" t="n"/>
    </row>
    <row r="292" ht="13.2" customHeight="1">
      <c r="CT292" s="279" t="n"/>
      <c r="CU292" s="279" t="n"/>
    </row>
    <row r="293" ht="13.2" customHeight="1">
      <c r="CT293" s="279" t="n"/>
      <c r="CU293" s="279" t="n"/>
    </row>
    <row r="294" ht="13.2" customHeight="1">
      <c r="CT294" s="279" t="n"/>
      <c r="CU294" s="279" t="n"/>
    </row>
    <row r="295" ht="13.2" customHeight="1">
      <c r="CT295" s="279" t="n"/>
      <c r="CU295" s="279" t="n"/>
    </row>
    <row r="296" ht="13.2" customHeight="1">
      <c r="CT296" s="279" t="n"/>
      <c r="CU296" s="279" t="n"/>
    </row>
    <row r="297" ht="13.2" customHeight="1">
      <c r="CT297" s="279" t="n"/>
      <c r="CU297" s="279" t="n"/>
    </row>
    <row r="298" ht="13.2" customHeight="1">
      <c r="CT298" s="279" t="n"/>
      <c r="CU298" s="279" t="n"/>
    </row>
    <row r="299" ht="13.2" customHeight="1">
      <c r="CT299" s="279" t="n"/>
      <c r="CU299" s="279" t="n"/>
    </row>
    <row r="300" ht="13.2" customHeight="1">
      <c r="CT300" s="279" t="n"/>
      <c r="CU300" s="279" t="n"/>
    </row>
    <row r="301" ht="13.2" customHeight="1">
      <c r="CT301" s="279" t="n"/>
      <c r="CU301" s="279" t="n"/>
    </row>
    <row r="302" ht="13.2" customHeight="1">
      <c r="CT302" s="279" t="n"/>
      <c r="CU302" s="279" t="n"/>
    </row>
    <row r="303" ht="13.2" customHeight="1">
      <c r="CT303" s="279" t="n"/>
      <c r="CU303" s="279" t="n"/>
    </row>
    <row r="304" ht="13.2" customHeight="1">
      <c r="CT304" s="279" t="n"/>
      <c r="CU304" s="279" t="n"/>
    </row>
    <row r="305" ht="13.2" customHeight="1">
      <c r="CT305" s="279" t="n"/>
      <c r="CU305" s="279" t="n"/>
    </row>
    <row r="306" ht="13.2" customHeight="1">
      <c r="CT306" s="279" t="n"/>
      <c r="CU306" s="279" t="n"/>
    </row>
    <row r="307" ht="13.2" customHeight="1">
      <c r="CT307" s="279" t="n"/>
      <c r="CU307" s="279" t="n"/>
    </row>
    <row r="308" ht="13.2" customHeight="1">
      <c r="CT308" s="279" t="n"/>
      <c r="CU308" s="279" t="n"/>
    </row>
    <row r="309" ht="13.2" customHeight="1">
      <c r="CT309" s="279" t="n"/>
      <c r="CU309" s="279" t="n"/>
    </row>
    <row r="310" ht="13.2" customHeight="1">
      <c r="CT310" s="279" t="n"/>
      <c r="CU310" s="279" t="n"/>
    </row>
    <row r="311" ht="13.2" customHeight="1">
      <c r="CT311" s="279" t="n"/>
      <c r="CU311" s="279" t="n"/>
    </row>
    <row r="312" ht="13.2" customHeight="1">
      <c r="CT312" s="279" t="n"/>
      <c r="CU312" s="279" t="n"/>
    </row>
    <row r="313" ht="13.2" customHeight="1">
      <c r="CT313" s="279" t="n"/>
      <c r="CU313" s="279" t="n"/>
    </row>
    <row r="314" ht="13.2" customHeight="1">
      <c r="CT314" s="279" t="n"/>
      <c r="CU314" s="279" t="n"/>
    </row>
    <row r="315" ht="13.2" customHeight="1">
      <c r="CT315" s="279" t="n"/>
      <c r="CU315" s="279" t="n"/>
    </row>
    <row r="316" ht="13.2" customHeight="1">
      <c r="CT316" s="279" t="n"/>
      <c r="CU316" s="279" t="n"/>
    </row>
    <row r="317" ht="13.2" customHeight="1">
      <c r="CT317" s="279" t="n"/>
      <c r="CU317" s="279" t="n"/>
    </row>
    <row r="318" ht="13.2" customHeight="1">
      <c r="CT318" s="279" t="n"/>
      <c r="CU318" s="279" t="n"/>
    </row>
    <row r="319" ht="13.2" customHeight="1">
      <c r="CT319" s="279" t="n"/>
      <c r="CU319" s="279" t="n"/>
    </row>
    <row r="320" ht="13.2" customHeight="1">
      <c r="CT320" s="279" t="n"/>
      <c r="CU320" s="279" t="n"/>
    </row>
    <row r="321" ht="13.2" customHeight="1">
      <c r="CT321" s="279" t="n"/>
      <c r="CU321" s="279" t="n"/>
    </row>
    <row r="322" ht="13.2" customHeight="1">
      <c r="CT322" s="279" t="n"/>
      <c r="CU322" s="279" t="n"/>
    </row>
    <row r="323" ht="13.2" customHeight="1">
      <c r="CT323" s="279" t="n"/>
      <c r="CU323" s="279" t="n"/>
    </row>
    <row r="324" ht="13.2" customHeight="1">
      <c r="CT324" s="279" t="n"/>
      <c r="CU324" s="279" t="n"/>
    </row>
    <row r="325" ht="13.2" customHeight="1">
      <c r="CT325" s="279" t="n"/>
      <c r="CU325" s="279" t="n"/>
    </row>
    <row r="326" ht="13.2" customHeight="1">
      <c r="CT326" s="279" t="n"/>
      <c r="CU326" s="279" t="n"/>
    </row>
    <row r="327" ht="13.2" customHeight="1">
      <c r="CT327" s="279" t="n"/>
      <c r="CU327" s="279" t="n"/>
    </row>
    <row r="328" ht="13.2" customHeight="1">
      <c r="CT328" s="279" t="n"/>
      <c r="CU328" s="279" t="n"/>
    </row>
    <row r="329" ht="13.2" customHeight="1">
      <c r="CT329" s="279" t="n"/>
      <c r="CU329" s="279" t="n"/>
    </row>
    <row r="330" ht="13.2" customHeight="1">
      <c r="CT330" s="279" t="n"/>
      <c r="CU330" s="279" t="n"/>
    </row>
    <row r="331" ht="13.2" customHeight="1">
      <c r="CT331" s="279" t="n"/>
      <c r="CU331" s="279" t="n"/>
    </row>
    <row r="332" ht="13.2" customHeight="1">
      <c r="CT332" s="279" t="n"/>
      <c r="CU332" s="279" t="n"/>
    </row>
    <row r="333" ht="13.2" customHeight="1">
      <c r="CT333" s="279" t="n"/>
      <c r="CU333" s="279" t="n"/>
    </row>
    <row r="334" ht="13.2" customHeight="1">
      <c r="CT334" s="279" t="n"/>
      <c r="CU334" s="279" t="n"/>
    </row>
    <row r="335" ht="13.2" customHeight="1">
      <c r="CT335" s="279" t="n"/>
      <c r="CU335" s="279" t="n"/>
    </row>
    <row r="336" ht="13.2" customHeight="1">
      <c r="CT336" s="279" t="n"/>
      <c r="CU336" s="279" t="n"/>
    </row>
    <row r="337" ht="13.2" customHeight="1">
      <c r="CT337" s="279" t="n"/>
      <c r="CU337" s="279" t="n"/>
    </row>
    <row r="338" ht="13.2" customHeight="1">
      <c r="CT338" s="279" t="n"/>
      <c r="CU338" s="279" t="n"/>
    </row>
    <row r="339" ht="13.2" customHeight="1">
      <c r="CT339" s="279" t="n"/>
      <c r="CU339" s="279" t="n"/>
    </row>
    <row r="340" ht="13.2" customHeight="1">
      <c r="CT340" s="279" t="n"/>
      <c r="CU340" s="279" t="n"/>
    </row>
    <row r="341" ht="13.2" customHeight="1">
      <c r="CT341" s="279" t="n"/>
      <c r="CU341" s="279" t="n"/>
    </row>
    <row r="342" ht="13.2" customHeight="1">
      <c r="CT342" s="279" t="n"/>
      <c r="CU342" s="279" t="n"/>
    </row>
    <row r="343" ht="13.2" customHeight="1">
      <c r="CT343" s="279" t="n"/>
      <c r="CU343" s="279" t="n"/>
    </row>
    <row r="344" ht="13.2" customHeight="1">
      <c r="CT344" s="279" t="n"/>
      <c r="CU344" s="279" t="n"/>
    </row>
    <row r="345" ht="13.2" customHeight="1">
      <c r="CT345" s="279" t="n"/>
      <c r="CU345" s="279" t="n"/>
    </row>
    <row r="346" ht="13.2" customHeight="1">
      <c r="CT346" s="279" t="n"/>
      <c r="CU346" s="279" t="n"/>
    </row>
    <row r="347" ht="13.2" customHeight="1">
      <c r="CT347" s="279" t="n"/>
      <c r="CU347" s="279" t="n"/>
    </row>
    <row r="348" ht="13.2" customHeight="1">
      <c r="CT348" s="279" t="n"/>
      <c r="CU348" s="279" t="n"/>
    </row>
    <row r="349" ht="13.2" customHeight="1">
      <c r="CT349" s="279" t="n"/>
      <c r="CU349" s="279" t="n"/>
    </row>
    <row r="350" ht="13.2" customHeight="1">
      <c r="CT350" s="279" t="n"/>
      <c r="CU350" s="279" t="n"/>
    </row>
    <row r="351" ht="13.2" customHeight="1">
      <c r="CT351" s="279" t="n"/>
      <c r="CU351" s="279" t="n"/>
    </row>
    <row r="352" ht="13.2" customHeight="1">
      <c r="CT352" s="279" t="n"/>
      <c r="CU352" s="279" t="n"/>
    </row>
    <row r="353" ht="13.2" customHeight="1">
      <c r="CT353" s="279" t="n"/>
      <c r="CU353" s="279" t="n"/>
    </row>
    <row r="354" ht="13.2" customHeight="1">
      <c r="CT354" s="279" t="n"/>
      <c r="CU354" s="279" t="n"/>
    </row>
    <row r="355" ht="13.2" customHeight="1">
      <c r="CT355" s="279" t="n"/>
      <c r="CU355" s="279" t="n"/>
    </row>
    <row r="356" ht="13.2" customHeight="1">
      <c r="CT356" s="279" t="n"/>
      <c r="CU356" s="279" t="n"/>
    </row>
    <row r="357" ht="13.2" customHeight="1">
      <c r="CT357" s="279" t="n"/>
      <c r="CU357" s="279" t="n"/>
    </row>
    <row r="358" ht="13.2" customHeight="1">
      <c r="CT358" s="279" t="n"/>
      <c r="CU358" s="279" t="n"/>
    </row>
    <row r="359" ht="13.2" customHeight="1">
      <c r="CT359" s="279" t="n"/>
      <c r="CU359" s="279" t="n"/>
    </row>
    <row r="360" ht="13.2" customHeight="1">
      <c r="CT360" s="279" t="n"/>
      <c r="CU360" s="279" t="n"/>
    </row>
    <row r="361" ht="13.2" customHeight="1">
      <c r="CT361" s="279" t="n"/>
      <c r="CU361" s="279" t="n"/>
    </row>
    <row r="362" ht="13.2" customHeight="1">
      <c r="CT362" s="279" t="n"/>
      <c r="CU362" s="279" t="n"/>
    </row>
    <row r="363" ht="13.2" customHeight="1">
      <c r="CT363" s="279" t="n"/>
      <c r="CU363" s="279" t="n"/>
    </row>
    <row r="364" ht="13.2" customHeight="1">
      <c r="CT364" s="279" t="n"/>
      <c r="CU364" s="279" t="n"/>
    </row>
    <row r="365" ht="13.2" customHeight="1">
      <c r="CT365" s="279" t="n"/>
      <c r="CU365" s="279" t="n"/>
    </row>
    <row r="366" ht="13.2" customHeight="1">
      <c r="CT366" s="279" t="n"/>
      <c r="CU366" s="279" t="n"/>
    </row>
    <row r="367" ht="13.2" customHeight="1">
      <c r="CT367" s="279" t="n"/>
      <c r="CU367" s="279" t="n"/>
    </row>
    <row r="368" ht="13.2" customHeight="1">
      <c r="CT368" s="279" t="n"/>
      <c r="CU368" s="279" t="n"/>
    </row>
    <row r="369" ht="13.2" customHeight="1">
      <c r="CT369" s="279" t="n"/>
      <c r="CU369" s="279" t="n"/>
    </row>
    <row r="370" ht="13.2" customHeight="1">
      <c r="CT370" s="279" t="n"/>
      <c r="CU370" s="279" t="n"/>
    </row>
    <row r="371" ht="13.2" customHeight="1">
      <c r="CT371" s="279" t="n"/>
      <c r="CU371" s="279" t="n"/>
    </row>
    <row r="372" ht="13.2" customHeight="1">
      <c r="CT372" s="279" t="n"/>
      <c r="CU372" s="279" t="n"/>
    </row>
    <row r="373" ht="13.2" customHeight="1">
      <c r="CT373" s="279" t="n"/>
      <c r="CU373" s="279" t="n"/>
    </row>
    <row r="374" ht="13.2" customHeight="1">
      <c r="CT374" s="279" t="n"/>
      <c r="CU374" s="279" t="n"/>
    </row>
    <row r="375" ht="13.2" customHeight="1">
      <c r="CT375" s="279" t="n"/>
      <c r="CU375" s="279" t="n"/>
    </row>
    <row r="376" ht="13.2" customHeight="1">
      <c r="CT376" s="279" t="n"/>
      <c r="CU376" s="279" t="n"/>
    </row>
    <row r="377" ht="13.2" customHeight="1">
      <c r="CT377" s="279" t="n"/>
      <c r="CU377" s="279" t="n"/>
    </row>
    <row r="378" ht="13.2" customHeight="1">
      <c r="CT378" s="279" t="n"/>
      <c r="CU378" s="279" t="n"/>
    </row>
    <row r="379" ht="13.2" customHeight="1">
      <c r="CT379" s="279" t="n"/>
      <c r="CU379" s="279" t="n"/>
    </row>
    <row r="380" ht="13.2" customHeight="1">
      <c r="CT380" s="279" t="n"/>
      <c r="CU380" s="279" t="n"/>
    </row>
    <row r="381" ht="13.2" customHeight="1">
      <c r="CT381" s="279" t="n"/>
      <c r="CU381" s="279" t="n"/>
    </row>
    <row r="382" ht="13.2" customHeight="1">
      <c r="CT382" s="279" t="n"/>
      <c r="CU382" s="279" t="n"/>
    </row>
    <row r="383" ht="13.2" customHeight="1">
      <c r="CT383" s="279" t="n"/>
      <c r="CU383" s="279" t="n"/>
    </row>
    <row r="384" ht="13.2" customHeight="1">
      <c r="CT384" s="279" t="n"/>
      <c r="CU384" s="279" t="n"/>
    </row>
    <row r="385" ht="13.2" customHeight="1">
      <c r="CT385" s="279" t="n"/>
      <c r="CU385" s="279" t="n"/>
    </row>
    <row r="386" ht="13.2" customHeight="1">
      <c r="CT386" s="279" t="n"/>
      <c r="CU386" s="279" t="n"/>
    </row>
    <row r="387" ht="13.2" customHeight="1">
      <c r="CT387" s="279" t="n"/>
      <c r="CU387" s="279" t="n"/>
    </row>
    <row r="388" ht="13.2" customHeight="1">
      <c r="CT388" s="279" t="n"/>
      <c r="CU388" s="279" t="n"/>
    </row>
    <row r="389" ht="13.2" customHeight="1">
      <c r="CT389" s="279" t="n"/>
      <c r="CU389" s="279" t="n"/>
    </row>
    <row r="390" ht="13.2" customHeight="1">
      <c r="CT390" s="279" t="n"/>
      <c r="CU390" s="279" t="n"/>
    </row>
    <row r="391" ht="13.2" customHeight="1">
      <c r="CT391" s="279" t="n"/>
      <c r="CU391" s="279" t="n"/>
    </row>
    <row r="392" ht="13.2" customHeight="1">
      <c r="CT392" s="279" t="n"/>
      <c r="CU392" s="279" t="n"/>
    </row>
    <row r="393" ht="13.2" customHeight="1">
      <c r="CT393" s="279" t="n"/>
      <c r="CU393" s="279" t="n"/>
    </row>
    <row r="394" ht="13.2" customHeight="1">
      <c r="CT394" s="279" t="n"/>
      <c r="CU394" s="279" t="n"/>
    </row>
    <row r="395" ht="13.2" customHeight="1">
      <c r="CT395" s="279" t="n"/>
      <c r="CU395" s="279" t="n"/>
    </row>
    <row r="396" ht="13.2" customHeight="1">
      <c r="CT396" s="279" t="n"/>
      <c r="CU396" s="279" t="n"/>
    </row>
    <row r="397" ht="13.2" customHeight="1">
      <c r="CT397" s="279" t="n"/>
      <c r="CU397" s="279" t="n"/>
    </row>
    <row r="398" ht="13.2" customHeight="1">
      <c r="CT398" s="279" t="n"/>
      <c r="CU398" s="279" t="n"/>
    </row>
    <row r="399" ht="13.2" customHeight="1">
      <c r="CT399" s="279" t="n"/>
      <c r="CU399" s="279" t="n"/>
    </row>
    <row r="400" ht="13.2" customHeight="1">
      <c r="CT400" s="279" t="n"/>
      <c r="CU400" s="279" t="n"/>
    </row>
    <row r="401" ht="13.2" customHeight="1">
      <c r="CT401" s="279" t="n"/>
      <c r="CU401" s="279" t="n"/>
    </row>
    <row r="402" ht="13.2" customHeight="1">
      <c r="CT402" s="279" t="n"/>
      <c r="CU402" s="279" t="n"/>
    </row>
    <row r="403" ht="13.2" customHeight="1">
      <c r="CT403" s="279" t="n"/>
      <c r="CU403" s="279" t="n"/>
    </row>
    <row r="404" ht="13.2" customHeight="1">
      <c r="CT404" s="279" t="n"/>
      <c r="CU404" s="279" t="n"/>
    </row>
    <row r="405" ht="13.2" customHeight="1">
      <c r="CT405" s="279" t="n"/>
      <c r="CU405" s="279" t="n"/>
    </row>
    <row r="406" ht="13.2" customHeight="1">
      <c r="CT406" s="279" t="n"/>
      <c r="CU406" s="279" t="n"/>
    </row>
    <row r="407" ht="13.2" customHeight="1">
      <c r="CT407" s="279" t="n"/>
      <c r="CU407" s="279" t="n"/>
    </row>
    <row r="408" ht="13.2" customHeight="1">
      <c r="CT408" s="279" t="n"/>
      <c r="CU408" s="279" t="n"/>
    </row>
    <row r="409" ht="13.2" customHeight="1">
      <c r="CT409" s="279" t="n"/>
      <c r="CU409" s="279" t="n"/>
    </row>
    <row r="410" ht="13.2" customHeight="1">
      <c r="CT410" s="279" t="n"/>
      <c r="CU410" s="279" t="n"/>
    </row>
    <row r="411" ht="13.2" customHeight="1">
      <c r="CT411" s="279" t="n"/>
      <c r="CU411" s="279" t="n"/>
    </row>
    <row r="412" ht="13.2" customHeight="1">
      <c r="CT412" s="279" t="n"/>
      <c r="CU412" s="279" t="n"/>
    </row>
    <row r="413" ht="13.2" customHeight="1">
      <c r="CT413" s="279" t="n"/>
      <c r="CU413" s="279" t="n"/>
    </row>
    <row r="414" ht="13.2" customHeight="1">
      <c r="CT414" s="279" t="n"/>
      <c r="CU414" s="279" t="n"/>
    </row>
    <row r="415" ht="13.2" customHeight="1">
      <c r="CT415" s="279" t="n"/>
      <c r="CU415" s="279" t="n"/>
    </row>
    <row r="416" ht="13.2" customHeight="1">
      <c r="CT416" s="279" t="n"/>
      <c r="CU416" s="279" t="n"/>
    </row>
    <row r="417" ht="13.2" customHeight="1">
      <c r="CT417" s="279" t="n"/>
      <c r="CU417" s="279" t="n"/>
    </row>
    <row r="418" ht="13.2" customHeight="1">
      <c r="CT418" s="279" t="n"/>
      <c r="CU418" s="279" t="n"/>
    </row>
    <row r="419" ht="13.2" customHeight="1">
      <c r="CT419" s="279" t="n"/>
      <c r="CU419" s="279" t="n"/>
    </row>
    <row r="420" ht="13.2" customHeight="1">
      <c r="CT420" s="279" t="n"/>
      <c r="CU420" s="279" t="n"/>
    </row>
    <row r="421" ht="13.2" customHeight="1">
      <c r="CT421" s="279" t="n"/>
      <c r="CU421" s="279" t="n"/>
    </row>
    <row r="422" ht="13.2" customHeight="1">
      <c r="CT422" s="279" t="n"/>
      <c r="CU422" s="279" t="n"/>
    </row>
    <row r="423" ht="13.2" customHeight="1">
      <c r="CT423" s="279" t="n"/>
      <c r="CU423" s="279" t="n"/>
    </row>
    <row r="424" ht="13.2" customHeight="1">
      <c r="CT424" s="279" t="n"/>
      <c r="CU424" s="279" t="n"/>
    </row>
    <row r="425" ht="13.2" customHeight="1">
      <c r="CT425" s="279" t="n"/>
      <c r="CU425" s="279" t="n"/>
    </row>
    <row r="426" ht="13.2" customHeight="1">
      <c r="CT426" s="279" t="n"/>
      <c r="CU426" s="279" t="n"/>
    </row>
    <row r="427" ht="13.2" customHeight="1">
      <c r="CT427" s="279" t="n"/>
      <c r="CU427" s="279" t="n"/>
    </row>
    <row r="428" ht="13.2" customHeight="1">
      <c r="CT428" s="279" t="n"/>
      <c r="CU428" s="279" t="n"/>
    </row>
    <row r="429" ht="13.2" customHeight="1">
      <c r="CT429" s="279" t="n"/>
      <c r="CU429" s="279" t="n"/>
    </row>
    <row r="430" ht="13.2" customHeight="1">
      <c r="CT430" s="279" t="n"/>
      <c r="CU430" s="279" t="n"/>
    </row>
    <row r="431" ht="13.2" customHeight="1">
      <c r="CT431" s="279" t="n"/>
      <c r="CU431" s="279" t="n"/>
    </row>
    <row r="432" ht="13.2" customHeight="1">
      <c r="CT432" s="279" t="n"/>
      <c r="CU432" s="279" t="n"/>
    </row>
    <row r="433" ht="13.2" customHeight="1">
      <c r="CT433" s="279" t="n"/>
      <c r="CU433" s="279" t="n"/>
    </row>
    <row r="434" ht="13.2" customHeight="1">
      <c r="CT434" s="279" t="n"/>
      <c r="CU434" s="279" t="n"/>
    </row>
    <row r="435" ht="13.2" customHeight="1">
      <c r="CT435" s="279" t="n"/>
      <c r="CU435" s="279" t="n"/>
    </row>
    <row r="436" ht="13.2" customHeight="1">
      <c r="CT436" s="279" t="n"/>
      <c r="CU436" s="279" t="n"/>
    </row>
    <row r="437" ht="13.2" customHeight="1">
      <c r="CT437" s="279" t="n"/>
      <c r="CU437" s="279" t="n"/>
    </row>
    <row r="438" ht="13.2" customHeight="1">
      <c r="CT438" s="279" t="n"/>
      <c r="CU438" s="279" t="n"/>
    </row>
    <row r="439" ht="13.2" customHeight="1">
      <c r="CT439" s="279" t="n"/>
      <c r="CU439" s="279" t="n"/>
    </row>
    <row r="440" ht="13.2" customHeight="1">
      <c r="CT440" s="279" t="n"/>
      <c r="CU440" s="279" t="n"/>
    </row>
    <row r="441" ht="13.2" customHeight="1">
      <c r="CT441" s="279" t="n"/>
      <c r="CU441" s="279" t="n"/>
    </row>
    <row r="442" ht="13.2" customHeight="1">
      <c r="CT442" s="279" t="n"/>
      <c r="CU442" s="279" t="n"/>
    </row>
    <row r="443" ht="13.2" customHeight="1">
      <c r="CT443" s="279" t="n"/>
      <c r="CU443" s="279" t="n"/>
    </row>
    <row r="444" ht="13.2" customHeight="1">
      <c r="CT444" s="279" t="n"/>
      <c r="CU444" s="279" t="n"/>
    </row>
    <row r="445" ht="13.2" customHeight="1">
      <c r="CT445" s="279" t="n"/>
      <c r="CU445" s="279" t="n"/>
    </row>
    <row r="446" ht="13.2" customHeight="1">
      <c r="CT446" s="279" t="n"/>
      <c r="CU446" s="279" t="n"/>
    </row>
    <row r="447" ht="13.2" customHeight="1">
      <c r="CT447" s="279" t="n"/>
      <c r="CU447" s="279" t="n"/>
    </row>
    <row r="448" ht="13.2" customHeight="1">
      <c r="CT448" s="279" t="n"/>
      <c r="CU448" s="279" t="n"/>
    </row>
    <row r="449" ht="13.2" customHeight="1">
      <c r="CT449" s="279" t="n"/>
      <c r="CU449" s="279" t="n"/>
    </row>
    <row r="450" ht="13.2" customHeight="1">
      <c r="CT450" s="279" t="n"/>
      <c r="CU450" s="279" t="n"/>
    </row>
    <row r="451" ht="13.2" customHeight="1">
      <c r="CT451" s="279" t="n"/>
      <c r="CU451" s="279" t="n"/>
    </row>
    <row r="452" ht="13.2" customHeight="1">
      <c r="CT452" s="279" t="n"/>
      <c r="CU452" s="279" t="n"/>
    </row>
    <row r="453" ht="13.2" customHeight="1">
      <c r="CT453" s="279" t="n"/>
      <c r="CU453" s="279" t="n"/>
    </row>
    <row r="454" ht="13.2" customHeight="1">
      <c r="CT454" s="279" t="n"/>
      <c r="CU454" s="279" t="n"/>
    </row>
    <row r="455" ht="13.2" customHeight="1">
      <c r="CT455" s="279" t="n"/>
      <c r="CU455" s="279" t="n"/>
    </row>
    <row r="456" ht="13.2" customHeight="1">
      <c r="CT456" s="279" t="n"/>
      <c r="CU456" s="279" t="n"/>
    </row>
    <row r="457" ht="13.2" customHeight="1">
      <c r="CT457" s="279" t="n"/>
      <c r="CU457" s="279" t="n"/>
    </row>
    <row r="458" ht="13.2" customHeight="1">
      <c r="CT458" s="279" t="n"/>
      <c r="CU458" s="279" t="n"/>
    </row>
    <row r="459" ht="13.2" customHeight="1">
      <c r="CT459" s="279" t="n"/>
      <c r="CU459" s="279" t="n"/>
    </row>
    <row r="460" ht="12.75" customHeight="1">
      <c r="CT460" s="279" t="n"/>
      <c r="CU460" s="279" t="n"/>
    </row>
    <row r="461" ht="12.75" customHeight="1">
      <c r="CT461" s="279" t="n"/>
      <c r="CU461" s="279" t="n"/>
    </row>
  </sheetData>
  <autoFilter ref="A8:KF60"/>
  <mergeCells count="729">
    <mergeCell ref="ER54:ES54"/>
    <mergeCell ref="FB54:FC54"/>
    <mergeCell ref="ET54:EU54"/>
    <mergeCell ref="GP56:GQ56"/>
    <mergeCell ref="GR56:GS56"/>
    <mergeCell ref="JJ55:JK55"/>
    <mergeCell ref="JL55:JM55"/>
    <mergeCell ref="IX54:IY54"/>
    <mergeCell ref="JJ5:JK5"/>
    <mergeCell ref="EZ56:FA56"/>
    <mergeCell ref="FB56:FC56"/>
    <mergeCell ref="ET56:EU56"/>
    <mergeCell ref="IX4:IY4"/>
    <mergeCell ref="CP5:CQ5"/>
    <mergeCell ref="CR5:CS5"/>
    <mergeCell ref="IX56:IY56"/>
    <mergeCell ref="GD54:GE54"/>
    <mergeCell ref="AZ5:BA5"/>
    <mergeCell ref="GF54:GG54"/>
    <mergeCell ref="BB5:BC5"/>
    <mergeCell ref="AT5:AU5"/>
    <mergeCell ref="BD5:BE5"/>
    <mergeCell ref="JR4:JS5"/>
    <mergeCell ref="JT4:JU5"/>
    <mergeCell ref="HR54:HS54"/>
    <mergeCell ref="JP56:JQ56"/>
    <mergeCell ref="J4:K4"/>
    <mergeCell ref="BT55:BU55"/>
    <mergeCell ref="L4:M4"/>
    <mergeCell ref="BL55:BM55"/>
    <mergeCell ref="EB5:EC5"/>
    <mergeCell ref="BN55:BO55"/>
    <mergeCell ref="ED5:EE5"/>
    <mergeCell ref="HZ56:IA56"/>
    <mergeCell ref="HR56:HS56"/>
    <mergeCell ref="BR4:BS4"/>
    <mergeCell ref="BT4:BU4"/>
    <mergeCell ref="JD54:JE54"/>
    <mergeCell ref="GJ5:GK5"/>
    <mergeCell ref="CX55:CY55"/>
    <mergeCell ref="JD6:JE6"/>
    <mergeCell ref="CZ55:DA55"/>
    <mergeCell ref="EZ4:FA4"/>
    <mergeCell ref="CL54:CM54"/>
    <mergeCell ref="CN54:CO54"/>
    <mergeCell ref="HB55:HC55"/>
    <mergeCell ref="JF56:JG56"/>
    <mergeCell ref="HD55:HE55"/>
    <mergeCell ref="CR56:CS56"/>
    <mergeCell ref="CJ56:CK56"/>
    <mergeCell ref="DD4:DE4"/>
    <mergeCell ref="CL56:CM56"/>
    <mergeCell ref="EJ55:EK55"/>
    <mergeCell ref="HJ4:HK4"/>
    <mergeCell ref="HB4:HC4"/>
    <mergeCell ref="DV54:DW54"/>
    <mergeCell ref="DX54:DY54"/>
    <mergeCell ref="IN55:IO55"/>
    <mergeCell ref="IP55:IQ55"/>
    <mergeCell ref="IH55:II55"/>
    <mergeCell ref="IB54:IC54"/>
    <mergeCell ref="DV56:DW56"/>
    <mergeCell ref="DX56:DY56"/>
    <mergeCell ref="IB56:IC56"/>
    <mergeCell ref="GR5:GS5"/>
    <mergeCell ref="A1:G1"/>
    <mergeCell ref="GD4:GE4"/>
    <mergeCell ref="FH54:FI54"/>
    <mergeCell ref="JL6:JM6"/>
    <mergeCell ref="JN3:KA3"/>
    <mergeCell ref="FJ54:FK54"/>
    <mergeCell ref="X5:Y5"/>
    <mergeCell ref="Z5:AA5"/>
    <mergeCell ref="JT55:JU55"/>
    <mergeCell ref="JN54:JO54"/>
    <mergeCell ref="JF54:JG54"/>
    <mergeCell ref="JF4:JG4"/>
    <mergeCell ref="JH4:JI4"/>
    <mergeCell ref="AR55:AS55"/>
    <mergeCell ref="HP4:HQ4"/>
    <mergeCell ref="HD5:HE5"/>
    <mergeCell ref="BJ5:BK5"/>
    <mergeCell ref="BL5:BM5"/>
    <mergeCell ref="IV55:IW55"/>
    <mergeCell ref="AD56:AE56"/>
    <mergeCell ref="AV4:AW4"/>
    <mergeCell ref="AX4:AY4"/>
    <mergeCell ref="AF56:AG56"/>
    <mergeCell ref="FN5:FO5"/>
    <mergeCell ref="FP5:FQ5"/>
    <mergeCell ref="FF5:FG5"/>
    <mergeCell ref="FH5:FI5"/>
    <mergeCell ref="CD55:CE55"/>
    <mergeCell ref="CF55:CG55"/>
    <mergeCell ref="BP54:BQ54"/>
    <mergeCell ref="BR54:BS54"/>
    <mergeCell ref="DX4:DY4"/>
    <mergeCell ref="IJ56:IK56"/>
    <mergeCell ref="FZ55:GA55"/>
    <mergeCell ref="IP5:IQ5"/>
    <mergeCell ref="GB55:GC55"/>
    <mergeCell ref="T54:U54"/>
    <mergeCell ref="BP56:BQ56"/>
    <mergeCell ref="CH4:CI4"/>
    <mergeCell ref="CJ4:CK4"/>
    <mergeCell ref="BR56:BS56"/>
    <mergeCell ref="EL55:EM55"/>
    <mergeCell ref="GT5:GU5"/>
    <mergeCell ref="DN55:DO55"/>
    <mergeCell ref="DP55:DQ55"/>
    <mergeCell ref="GF4:GG4"/>
    <mergeCell ref="DB54:DC54"/>
    <mergeCell ref="CT54:CU54"/>
    <mergeCell ref="DD54:DE54"/>
    <mergeCell ref="CV54:CW54"/>
    <mergeCell ref="HL55:HM55"/>
    <mergeCell ref="HN55:HO55"/>
    <mergeCell ref="GX54:GY54"/>
    <mergeCell ref="GZ54:HA54"/>
    <mergeCell ref="HL5:HM5"/>
    <mergeCell ref="BF54:BG54"/>
    <mergeCell ref="DB56:DC56"/>
    <mergeCell ref="CT56:CU56"/>
    <mergeCell ref="GX4:GY4"/>
    <mergeCell ref="DD56:DE56"/>
    <mergeCell ref="CV56:CW56"/>
    <mergeCell ref="AT55:AU55"/>
    <mergeCell ref="GX56:GY56"/>
    <mergeCell ref="HR4:HS4"/>
    <mergeCell ref="GZ56:HA56"/>
    <mergeCell ref="D5:E5"/>
    <mergeCell ref="IX55:IY55"/>
    <mergeCell ref="IJ54:IK54"/>
    <mergeCell ref="IL54:IM54"/>
    <mergeCell ref="IJ4:IK4"/>
    <mergeCell ref="CZ5:DA5"/>
    <mergeCell ref="DB5:DC5"/>
    <mergeCell ref="V55:W55"/>
    <mergeCell ref="JE71:JH71"/>
    <mergeCell ref="IL56:IM56"/>
    <mergeCell ref="AH5:AI5"/>
    <mergeCell ref="AB4:AC4"/>
    <mergeCell ref="R4:S4"/>
    <mergeCell ref="JZ56:KA56"/>
    <mergeCell ref="T4:U4"/>
    <mergeCell ref="JX54:JY54"/>
    <mergeCell ref="V4:W4"/>
    <mergeCell ref="EJ5:EK5"/>
    <mergeCell ref="EL5:EM5"/>
    <mergeCell ref="BH55:BI55"/>
    <mergeCell ref="AZ55:BA55"/>
    <mergeCell ref="DZ4:EA4"/>
    <mergeCell ref="BB55:BC55"/>
    <mergeCell ref="DB4:DC4"/>
    <mergeCell ref="AN54:AO54"/>
    <mergeCell ref="HF56:HG56"/>
    <mergeCell ref="FD55:FE55"/>
    <mergeCell ref="J55:K55"/>
    <mergeCell ref="FF55:FG55"/>
    <mergeCell ref="L55:M55"/>
    <mergeCell ref="BD4:BE4"/>
    <mergeCell ref="AL56:AM56"/>
    <mergeCell ref="BF4:BG4"/>
    <mergeCell ref="FV5:FW5"/>
    <mergeCell ref="FX5:FY5"/>
    <mergeCell ref="A2:A7"/>
    <mergeCell ref="C2:C7"/>
    <mergeCell ref="FJ4:FK4"/>
    <mergeCell ref="ER56:ES56"/>
    <mergeCell ref="FL4:FM4"/>
    <mergeCell ref="BP1:BQ1"/>
    <mergeCell ref="BX54:BY54"/>
    <mergeCell ref="BZ54:CA54"/>
    <mergeCell ref="GP55:GQ55"/>
    <mergeCell ref="GR55:GS55"/>
    <mergeCell ref="BX56:BY56"/>
    <mergeCell ref="IL4:IM4"/>
    <mergeCell ref="BZ56:CA56"/>
    <mergeCell ref="EF54:EG54"/>
    <mergeCell ref="GB56:GC56"/>
    <mergeCell ref="GD56:GE56"/>
    <mergeCell ref="GV4:GW4"/>
    <mergeCell ref="EH54:EI54"/>
    <mergeCell ref="IX5:IY5"/>
    <mergeCell ref="IB55:IC55"/>
    <mergeCell ref="EF56:EG56"/>
    <mergeCell ref="HN54:HO54"/>
    <mergeCell ref="HF54:HG54"/>
    <mergeCell ref="HP54:HQ54"/>
    <mergeCell ref="HH54:HI54"/>
    <mergeCell ref="CD5:CE5"/>
    <mergeCell ref="CF5:CG5"/>
    <mergeCell ref="FR54:FS54"/>
    <mergeCell ref="HN56:HO56"/>
    <mergeCell ref="HP56:HQ56"/>
    <mergeCell ref="HH56:HI56"/>
    <mergeCell ref="L5:M5"/>
    <mergeCell ref="JP54:JQ54"/>
    <mergeCell ref="N5:O5"/>
    <mergeCell ref="JD56:JE56"/>
    <mergeCell ref="JN4:JO4"/>
    <mergeCell ref="JP4:JQ4"/>
    <mergeCell ref="DP5:DQ5"/>
    <mergeCell ref="DR5:DS5"/>
    <mergeCell ref="AF55:AG55"/>
    <mergeCell ref="R54:S54"/>
    <mergeCell ref="HN5:HO5"/>
    <mergeCell ref="BT5:BU5"/>
    <mergeCell ref="IR54:IS54"/>
    <mergeCell ref="AJ4:AK4"/>
    <mergeCell ref="R56:S56"/>
    <mergeCell ref="AL4:AM4"/>
    <mergeCell ref="CL55:CM55"/>
    <mergeCell ref="T56:U56"/>
    <mergeCell ref="FB5:FC5"/>
    <mergeCell ref="CN55:CO55"/>
    <mergeCell ref="ET5:EU5"/>
    <mergeCell ref="FD5:FE5"/>
    <mergeCell ref="EN4:EO4"/>
    <mergeCell ref="EV5:EW5"/>
    <mergeCell ref="EF4:EG4"/>
    <mergeCell ref="IR56:IS56"/>
    <mergeCell ref="EH4:EI4"/>
    <mergeCell ref="IT56:IU56"/>
    <mergeCell ref="BD54:BE54"/>
    <mergeCell ref="IZ5:JA5"/>
    <mergeCell ref="FL55:FM55"/>
    <mergeCell ref="FN55:FO55"/>
    <mergeCell ref="FP55:FQ55"/>
    <mergeCell ref="EZ54:FA54"/>
    <mergeCell ref="BD56:BE56"/>
    <mergeCell ref="H54:I54"/>
    <mergeCell ref="JR55:JS55"/>
    <mergeCell ref="DX55:DY55"/>
    <mergeCell ref="DZ55:EA55"/>
    <mergeCell ref="DJ54:DK54"/>
    <mergeCell ref="DL54:DM54"/>
    <mergeCell ref="FR4:FS4"/>
    <mergeCell ref="FT4:FU4"/>
    <mergeCell ref="H56:I56"/>
    <mergeCell ref="HV55:HW55"/>
    <mergeCell ref="IB5:IC5"/>
    <mergeCell ref="HT5:HU5"/>
    <mergeCell ref="DJ56:DK56"/>
    <mergeCell ref="HV5:HW5"/>
    <mergeCell ref="DL56:DM56"/>
    <mergeCell ref="HH4:HI4"/>
    <mergeCell ref="GL54:GM54"/>
    <mergeCell ref="B2:B7"/>
    <mergeCell ref="GN54:GO54"/>
    <mergeCell ref="AH55:AI55"/>
    <mergeCell ref="GJ56:GK56"/>
    <mergeCell ref="GL56:GM56"/>
    <mergeCell ref="JH55:JI55"/>
    <mergeCell ref="IT54:IU54"/>
    <mergeCell ref="JF5:JG5"/>
    <mergeCell ref="JH5:JI5"/>
    <mergeCell ref="IR4:IS4"/>
    <mergeCell ref="IT4:IU4"/>
    <mergeCell ref="CL5:CM5"/>
    <mergeCell ref="CN5:CO5"/>
    <mergeCell ref="JZ55:KA55"/>
    <mergeCell ref="BZ4:CA4"/>
    <mergeCell ref="CB4:CC4"/>
    <mergeCell ref="JL54:JM54"/>
    <mergeCell ref="DF55:DG55"/>
    <mergeCell ref="DH55:DI55"/>
    <mergeCell ref="AD4:AE4"/>
    <mergeCell ref="N4:O4"/>
    <mergeCell ref="JL56:JM56"/>
    <mergeCell ref="P4:Q4"/>
    <mergeCell ref="BP55:BQ55"/>
    <mergeCell ref="JN56:JO56"/>
    <mergeCell ref="BR55:BS55"/>
    <mergeCell ref="DX5:DY5"/>
    <mergeCell ref="BJ55:BK55"/>
    <mergeCell ref="DZ5:EA5"/>
    <mergeCell ref="DL4:DM4"/>
    <mergeCell ref="DN4:DO4"/>
    <mergeCell ref="Z54:AA54"/>
    <mergeCell ref="ID5:IE5"/>
    <mergeCell ref="AB54:AC54"/>
    <mergeCell ref="ER55:ES55"/>
    <mergeCell ref="AT56:AU56"/>
    <mergeCell ref="ET55:EU55"/>
    <mergeCell ref="BF56:BG56"/>
    <mergeCell ref="AV56:AW56"/>
    <mergeCell ref="BP4:BQ4"/>
    <mergeCell ref="GF5:GG5"/>
    <mergeCell ref="CV55:CW55"/>
    <mergeCell ref="JB6:JC6"/>
    <mergeCell ref="CF54:CG54"/>
    <mergeCell ref="EV4:EW4"/>
    <mergeCell ref="CH54:CI54"/>
    <mergeCell ref="ED56:EE56"/>
    <mergeCell ref="EX4:EY4"/>
    <mergeCell ref="GX55:GY55"/>
    <mergeCell ref="CJ54:CK54"/>
    <mergeCell ref="GZ55:HA55"/>
    <mergeCell ref="JL3:JM4"/>
    <mergeCell ref="CH56:CI56"/>
    <mergeCell ref="IV4:IW4"/>
    <mergeCell ref="FP54:FQ54"/>
    <mergeCell ref="AF5:AG5"/>
    <mergeCell ref="KB55:KC55"/>
    <mergeCell ref="HF4:HG4"/>
    <mergeCell ref="GN56:GO56"/>
    <mergeCell ref="DR54:DS54"/>
    <mergeCell ref="DT54:DU54"/>
    <mergeCell ref="FP56:FQ56"/>
    <mergeCell ref="IJ55:IK55"/>
    <mergeCell ref="IL55:IM55"/>
    <mergeCell ref="HX54:HY54"/>
    <mergeCell ref="IJ5:IK5"/>
    <mergeCell ref="HZ54:IA54"/>
    <mergeCell ref="IL5:IM5"/>
    <mergeCell ref="DT56:DU56"/>
    <mergeCell ref="HX4:HY4"/>
    <mergeCell ref="JE72:JH72"/>
    <mergeCell ref="BR5:BS5"/>
    <mergeCell ref="HX56:HY56"/>
    <mergeCell ref="JH6:JI6"/>
    <mergeCell ref="FF54:FG54"/>
    <mergeCell ref="T5:U5"/>
    <mergeCell ref="V5:W5"/>
    <mergeCell ref="H4:I4"/>
    <mergeCell ref="JJ4:JK4"/>
    <mergeCell ref="JB4:JC4"/>
    <mergeCell ref="AN55:AO55"/>
    <mergeCell ref="CT5:CU5"/>
    <mergeCell ref="DD5:DE5"/>
    <mergeCell ref="AP55:AQ55"/>
    <mergeCell ref="GZ5:HA5"/>
    <mergeCell ref="JV54:JW54"/>
    <mergeCell ref="HB5:HC5"/>
    <mergeCell ref="GL4:GM4"/>
    <mergeCell ref="BH5:BI5"/>
    <mergeCell ref="AR4:AS4"/>
    <mergeCell ref="GN4:GO4"/>
    <mergeCell ref="Z56:AA56"/>
    <mergeCell ref="AT4:AU4"/>
    <mergeCell ref="AB56:AC56"/>
    <mergeCell ref="KB56:KC56"/>
    <mergeCell ref="HT55:HU55"/>
    <mergeCell ref="BZ55:CA55"/>
    <mergeCell ref="EP4:EQ4"/>
    <mergeCell ref="CB55:CC55"/>
    <mergeCell ref="BL54:BM54"/>
    <mergeCell ref="BN54:BO54"/>
    <mergeCell ref="IF56:IG56"/>
    <mergeCell ref="GD55:GE55"/>
    <mergeCell ref="DT4:DU4"/>
    <mergeCell ref="GF55:GG55"/>
    <mergeCell ref="FV55:FW55"/>
    <mergeCell ref="FX55:FY55"/>
    <mergeCell ref="BL56:BM56"/>
    <mergeCell ref="HZ4:IA4"/>
    <mergeCell ref="DM1:DP1"/>
    <mergeCell ref="BN56:BO56"/>
    <mergeCell ref="EN54:EO54"/>
    <mergeCell ref="EP54:EQ54"/>
    <mergeCell ref="JF55:JG55"/>
    <mergeCell ref="FH56:FI56"/>
    <mergeCell ref="FR56:FS56"/>
    <mergeCell ref="GB4:GC4"/>
    <mergeCell ref="FJ56:FK56"/>
    <mergeCell ref="JJ6:JK6"/>
    <mergeCell ref="CX54:CY54"/>
    <mergeCell ref="CZ54:DA54"/>
    <mergeCell ref="CR54:CS54"/>
    <mergeCell ref="HH55:HI55"/>
    <mergeCell ref="HJ55:HK55"/>
    <mergeCell ref="GT54:GU54"/>
    <mergeCell ref="GV54:GW54"/>
    <mergeCell ref="CX56:CY56"/>
    <mergeCell ref="CZ56:DA56"/>
    <mergeCell ref="GT4:GU4"/>
    <mergeCell ref="AN5:AO5"/>
    <mergeCell ref="GT56:GU56"/>
    <mergeCell ref="AP5:AQ5"/>
    <mergeCell ref="GV56:GW56"/>
    <mergeCell ref="ER5:ES5"/>
    <mergeCell ref="IF54:IG54"/>
    <mergeCell ref="JD4:JE4"/>
    <mergeCell ref="IH54:II54"/>
    <mergeCell ref="IF4:IG4"/>
    <mergeCell ref="CV5:CW5"/>
    <mergeCell ref="R55:S55"/>
    <mergeCell ref="BL4:BM4"/>
    <mergeCell ref="IH56:II56"/>
    <mergeCell ref="BN4:BO4"/>
    <mergeCell ref="GD5:GE5"/>
    <mergeCell ref="DR55:DS55"/>
    <mergeCell ref="JT56:JU56"/>
    <mergeCell ref="CT55:CU55"/>
    <mergeCell ref="JV56:JW56"/>
    <mergeCell ref="EF5:EG5"/>
    <mergeCell ref="EH5:EI5"/>
    <mergeCell ref="BF55:BG55"/>
    <mergeCell ref="DV4:DW4"/>
    <mergeCell ref="AX55:AY55"/>
    <mergeCell ref="AR54:AS54"/>
    <mergeCell ref="AH54:AI54"/>
    <mergeCell ref="CX4:CY4"/>
    <mergeCell ref="IN5:IO5"/>
    <mergeCell ref="AJ54:AK54"/>
    <mergeCell ref="AL54:AM54"/>
    <mergeCell ref="EZ55:FA55"/>
    <mergeCell ref="CF56:CG56"/>
    <mergeCell ref="HP5:HQ5"/>
    <mergeCell ref="FB55:FC55"/>
    <mergeCell ref="AP56:AQ56"/>
    <mergeCell ref="AH56:AI56"/>
    <mergeCell ref="AR56:AS56"/>
    <mergeCell ref="AJ56:AK56"/>
    <mergeCell ref="FT5:FU5"/>
    <mergeCell ref="FD4:FE4"/>
    <mergeCell ref="EL56:EM56"/>
    <mergeCell ref="FF4:FG4"/>
    <mergeCell ref="EN56:EO56"/>
    <mergeCell ref="BJ1:BK1"/>
    <mergeCell ref="FH4:FI4"/>
    <mergeCell ref="BT54:BU54"/>
    <mergeCell ref="BV54:BW54"/>
    <mergeCell ref="HH5:HI5"/>
    <mergeCell ref="GL55:GM55"/>
    <mergeCell ref="GN55:GO55"/>
    <mergeCell ref="KB3:KC6"/>
    <mergeCell ref="FZ54:GA54"/>
    <mergeCell ref="GB54:GC54"/>
    <mergeCell ref="BT56:BU56"/>
    <mergeCell ref="T55:U55"/>
    <mergeCell ref="FX56:FY56"/>
    <mergeCell ref="FZ56:GA56"/>
    <mergeCell ref="IZ54:JA54"/>
    <mergeCell ref="JB54:JC54"/>
    <mergeCell ref="IT5:IU5"/>
    <mergeCell ref="IV5:IW5"/>
    <mergeCell ref="HJ54:HK54"/>
    <mergeCell ref="IH4:II4"/>
    <mergeCell ref="HL54:HM54"/>
    <mergeCell ref="HD54:HE54"/>
    <mergeCell ref="BZ5:CA5"/>
    <mergeCell ref="CB5:CC5"/>
    <mergeCell ref="HL56:HM56"/>
    <mergeCell ref="H5:I5"/>
    <mergeCell ref="IZ56:JA56"/>
    <mergeCell ref="JZ4:KA6"/>
    <mergeCell ref="DL5:DM5"/>
    <mergeCell ref="DN5:DO5"/>
    <mergeCell ref="DF5:DG5"/>
    <mergeCell ref="Z55:AA55"/>
    <mergeCell ref="CP4:CQ4"/>
    <mergeCell ref="CZ4:DA4"/>
    <mergeCell ref="AB55:AC55"/>
    <mergeCell ref="CR4:CS4"/>
    <mergeCell ref="N54:O54"/>
    <mergeCell ref="GF56:GG56"/>
    <mergeCell ref="HJ5:HK5"/>
    <mergeCell ref="EF55:EG55"/>
    <mergeCell ref="EH55:EI55"/>
    <mergeCell ref="FZ4:GA4"/>
    <mergeCell ref="AF4:AG4"/>
    <mergeCell ref="N56:O56"/>
    <mergeCell ref="AH4:AI4"/>
    <mergeCell ref="P56:Q56"/>
    <mergeCell ref="ID55:IE55"/>
    <mergeCell ref="CJ55:CK55"/>
    <mergeCell ref="HF55:HG55"/>
    <mergeCell ref="DR56:DS56"/>
    <mergeCell ref="EB4:EC4"/>
    <mergeCell ref="G6:G7"/>
    <mergeCell ref="ED4:EE4"/>
    <mergeCell ref="AZ54:BA54"/>
    <mergeCell ref="BB54:BC54"/>
    <mergeCell ref="FR55:FS55"/>
    <mergeCell ref="FH55:FI55"/>
    <mergeCell ref="FJ55:FK55"/>
    <mergeCell ref="FT55:FU55"/>
    <mergeCell ref="FD54:FE54"/>
    <mergeCell ref="BV56:BW56"/>
    <mergeCell ref="EV54:EW54"/>
    <mergeCell ref="AX56:AY56"/>
    <mergeCell ref="EX54:EY54"/>
    <mergeCell ref="JN55:JO55"/>
    <mergeCell ref="JP55:JQ55"/>
    <mergeCell ref="JN5:JO5"/>
    <mergeCell ref="DH54:DI54"/>
    <mergeCell ref="FD56:FE56"/>
    <mergeCell ref="JP5:JQ5"/>
    <mergeCell ref="EV56:EW56"/>
    <mergeCell ref="FP4:FQ4"/>
    <mergeCell ref="EX56:EY56"/>
    <mergeCell ref="JB56:JC56"/>
    <mergeCell ref="HR5:HS5"/>
    <mergeCell ref="DH56:DI56"/>
    <mergeCell ref="HD4:HE4"/>
    <mergeCell ref="GH54:GI54"/>
    <mergeCell ref="GJ54:GK54"/>
    <mergeCell ref="AV5:AW5"/>
    <mergeCell ref="BF5:BG5"/>
    <mergeCell ref="AX5:AY5"/>
    <mergeCell ref="D6:D7"/>
    <mergeCell ref="AD55:AE55"/>
    <mergeCell ref="JV4:JW5"/>
    <mergeCell ref="F6:F7"/>
    <mergeCell ref="JX4:JY5"/>
    <mergeCell ref="P54:Q54"/>
    <mergeCell ref="F2:G5"/>
    <mergeCell ref="J5:K5"/>
    <mergeCell ref="IN4:IO4"/>
    <mergeCell ref="HV56:HW56"/>
    <mergeCell ref="IP4:IQ4"/>
    <mergeCell ref="CH5:CI5"/>
    <mergeCell ref="CJ5:CK5"/>
    <mergeCell ref="JV55:JW55"/>
    <mergeCell ref="BV4:BW4"/>
    <mergeCell ref="BX4:BY4"/>
    <mergeCell ref="GL5:GM5"/>
    <mergeCell ref="JH54:JI54"/>
    <mergeCell ref="GN5:GO5"/>
    <mergeCell ref="GP5:GQ5"/>
    <mergeCell ref="H6:AA6"/>
    <mergeCell ref="DB55:DC55"/>
    <mergeCell ref="DD55:DE55"/>
    <mergeCell ref="CP54:CQ54"/>
    <mergeCell ref="JH56:JI56"/>
    <mergeCell ref="JJ56:JK56"/>
    <mergeCell ref="DT5:DU5"/>
    <mergeCell ref="DF4:DG4"/>
    <mergeCell ref="CN56:CO56"/>
    <mergeCell ref="DH4:DI4"/>
    <mergeCell ref="AT54:AU54"/>
    <mergeCell ref="CP56:CQ56"/>
    <mergeCell ref="DJ4:DK4"/>
    <mergeCell ref="AD54:AE54"/>
    <mergeCell ref="V54:W54"/>
    <mergeCell ref="HZ5:IA5"/>
    <mergeCell ref="HL4:HM4"/>
    <mergeCell ref="EN55:EO55"/>
    <mergeCell ref="AZ56:BA56"/>
    <mergeCell ref="EP55:EQ55"/>
    <mergeCell ref="BB56:BC56"/>
    <mergeCell ref="DZ54:EA54"/>
    <mergeCell ref="EB54:EC54"/>
    <mergeCell ref="ED54:EE54"/>
    <mergeCell ref="IR55:IS55"/>
    <mergeCell ref="AC6:AD6"/>
    <mergeCell ref="ER4:ES4"/>
    <mergeCell ref="DZ56:EA56"/>
    <mergeCell ref="ET4:EU4"/>
    <mergeCell ref="EB56:EC56"/>
    <mergeCell ref="GV55:GW55"/>
    <mergeCell ref="ID56:IE56"/>
    <mergeCell ref="IZ4:JA4"/>
    <mergeCell ref="FL54:FM54"/>
    <mergeCell ref="FN54:FO54"/>
    <mergeCell ref="AB5:AC5"/>
    <mergeCell ref="JN6:JY6"/>
    <mergeCell ref="GH56:GI56"/>
    <mergeCell ref="AD5:AE5"/>
    <mergeCell ref="H55:I55"/>
    <mergeCell ref="JX55:JY55"/>
    <mergeCell ref="JJ54:JK54"/>
    <mergeCell ref="AV55:AW55"/>
    <mergeCell ref="HT54:HU54"/>
    <mergeCell ref="IF5:IG5"/>
    <mergeCell ref="HV54:HW54"/>
    <mergeCell ref="IH5:II5"/>
    <mergeCell ref="HT4:HU4"/>
    <mergeCell ref="HN4:HO4"/>
    <mergeCell ref="BN5:BO5"/>
    <mergeCell ref="HT56:HU56"/>
    <mergeCell ref="BP5:BQ5"/>
    <mergeCell ref="IZ55:JA55"/>
    <mergeCell ref="AZ4:BA4"/>
    <mergeCell ref="BB4:BC4"/>
    <mergeCell ref="FR5:FS5"/>
    <mergeCell ref="FJ5:FK5"/>
    <mergeCell ref="FL5:FM5"/>
    <mergeCell ref="CH55:CI55"/>
    <mergeCell ref="DV5:DW5"/>
    <mergeCell ref="CX5:CY5"/>
    <mergeCell ref="AJ55:AK55"/>
    <mergeCell ref="AL55:AM55"/>
    <mergeCell ref="X54:Y54"/>
    <mergeCell ref="CL4:CM4"/>
    <mergeCell ref="CN4:CO4"/>
    <mergeCell ref="CD4:CE4"/>
    <mergeCell ref="CF4:CG4"/>
    <mergeCell ref="GV5:GW5"/>
    <mergeCell ref="JR54:JS54"/>
    <mergeCell ref="GX5:GY5"/>
    <mergeCell ref="GH4:GI4"/>
    <mergeCell ref="DT55:DU55"/>
    <mergeCell ref="V56:W56"/>
    <mergeCell ref="DJ55:DK55"/>
    <mergeCell ref="GJ4:GK4"/>
    <mergeCell ref="AP4:AQ4"/>
    <mergeCell ref="X56:Y56"/>
    <mergeCell ref="JX56:JY56"/>
    <mergeCell ref="HP55:HQ55"/>
    <mergeCell ref="BV55:BW55"/>
    <mergeCell ref="HR55:HS55"/>
    <mergeCell ref="HB54:HC54"/>
    <mergeCell ref="BX55:BY55"/>
    <mergeCell ref="BH54:BI54"/>
    <mergeCell ref="BJ54:BK54"/>
    <mergeCell ref="DF56:DG56"/>
    <mergeCell ref="HB56:HC56"/>
    <mergeCell ref="BH56:BI56"/>
    <mergeCell ref="HV4:HW4"/>
    <mergeCell ref="HD56:HE56"/>
    <mergeCell ref="BJ56:BK56"/>
    <mergeCell ref="EJ54:EK54"/>
    <mergeCell ref="FL56:FM56"/>
    <mergeCell ref="JB55:JC55"/>
    <mergeCell ref="FN56:FO56"/>
    <mergeCell ref="JD55:JE55"/>
    <mergeCell ref="FF56:FG56"/>
    <mergeCell ref="IN54:IO54"/>
    <mergeCell ref="H2:BC2"/>
    <mergeCell ref="JF6:JG6"/>
    <mergeCell ref="IP54:IQ54"/>
    <mergeCell ref="EP56:EQ56"/>
    <mergeCell ref="AL3:AM3"/>
    <mergeCell ref="GR54:GS54"/>
    <mergeCell ref="IN56:IO56"/>
    <mergeCell ref="IP56:IQ56"/>
    <mergeCell ref="GP4:GQ4"/>
    <mergeCell ref="AR5:AS5"/>
    <mergeCell ref="AJ5:AK5"/>
    <mergeCell ref="AL5:AM5"/>
    <mergeCell ref="JZ54:KA54"/>
    <mergeCell ref="X4:Y4"/>
    <mergeCell ref="KB54:KC54"/>
    <mergeCell ref="Z4:AA4"/>
    <mergeCell ref="EN5:EO5"/>
    <mergeCell ref="EP5:EQ5"/>
    <mergeCell ref="BD55:BE55"/>
    <mergeCell ref="ID54:IE54"/>
    <mergeCell ref="HJ56:HK56"/>
    <mergeCell ref="N55:O55"/>
    <mergeCell ref="P55:Q55"/>
    <mergeCell ref="BH4:BI4"/>
    <mergeCell ref="BJ4:BK4"/>
    <mergeCell ref="FZ5:GA5"/>
    <mergeCell ref="IV54:IW54"/>
    <mergeCell ref="DL55:DM55"/>
    <mergeCell ref="GB5:GC5"/>
    <mergeCell ref="FN4:FO4"/>
    <mergeCell ref="JR56:JS56"/>
    <mergeCell ref="CB54:CC54"/>
    <mergeCell ref="CD54:CE54"/>
    <mergeCell ref="GT55:GU55"/>
    <mergeCell ref="DP4:DQ4"/>
    <mergeCell ref="DR4:DS4"/>
    <mergeCell ref="D2:E4"/>
    <mergeCell ref="AF54:AG54"/>
    <mergeCell ref="CB56:CC56"/>
    <mergeCell ref="CD56:CE56"/>
    <mergeCell ref="EV55:EW55"/>
    <mergeCell ref="EX55:EY55"/>
    <mergeCell ref="GZ4:HA4"/>
    <mergeCell ref="EL54:EM54"/>
    <mergeCell ref="AN56:AO56"/>
    <mergeCell ref="GR4:GS4"/>
    <mergeCell ref="DN54:DO54"/>
    <mergeCell ref="IT55:IU55"/>
    <mergeCell ref="JB5:JC5"/>
    <mergeCell ref="EH56:EI56"/>
    <mergeCell ref="IF55:IG55"/>
    <mergeCell ref="FB4:FC4"/>
    <mergeCell ref="EJ56:EK56"/>
    <mergeCell ref="GH55:GI55"/>
    <mergeCell ref="GJ55:GK55"/>
    <mergeCell ref="FT54:FU54"/>
    <mergeCell ref="FV54:FW54"/>
    <mergeCell ref="FX54:FY54"/>
    <mergeCell ref="H3:AA3"/>
    <mergeCell ref="FT56:FU56"/>
    <mergeCell ref="P5:Q5"/>
    <mergeCell ref="JT54:JU54"/>
    <mergeCell ref="FV56:FW56"/>
    <mergeCell ref="R5:S5"/>
    <mergeCell ref="IR5:IS5"/>
    <mergeCell ref="IB4:IC4"/>
    <mergeCell ref="ID4:IE4"/>
    <mergeCell ref="BV5:BW5"/>
    <mergeCell ref="BX5:BY5"/>
    <mergeCell ref="AP54:AQ54"/>
    <mergeCell ref="AN4:AO4"/>
    <mergeCell ref="KB57:KC57"/>
    <mergeCell ref="CP55:CQ55"/>
    <mergeCell ref="CR55:CS55"/>
    <mergeCell ref="EX5:EY5"/>
    <mergeCell ref="EZ5:FA5"/>
    <mergeCell ref="EJ4:EK4"/>
    <mergeCell ref="E6:E7"/>
    <mergeCell ref="IV56:IW56"/>
    <mergeCell ref="EL4:EM4"/>
    <mergeCell ref="DH5:DI5"/>
    <mergeCell ref="JD5:JE5"/>
    <mergeCell ref="DJ5:DK5"/>
    <mergeCell ref="CT4:CU4"/>
    <mergeCell ref="CV4:CW4"/>
    <mergeCell ref="X55:Y55"/>
    <mergeCell ref="J54:K54"/>
    <mergeCell ref="L54:M54"/>
    <mergeCell ref="HF5:HG5"/>
    <mergeCell ref="EB55:EC55"/>
    <mergeCell ref="ED55:EE55"/>
    <mergeCell ref="DV55:DW55"/>
    <mergeCell ref="DP54:DQ54"/>
    <mergeCell ref="DF54:DG54"/>
    <mergeCell ref="FV4:FW4"/>
    <mergeCell ref="J56:K56"/>
    <mergeCell ref="FX4:FY4"/>
    <mergeCell ref="HX55:HY55"/>
    <mergeCell ref="L56:M56"/>
    <mergeCell ref="HZ55:IA55"/>
    <mergeCell ref="HX5:HY5"/>
    <mergeCell ref="DN56:DO56"/>
    <mergeCell ref="DP56:DQ56"/>
    <mergeCell ref="GP54:GQ54"/>
    <mergeCell ref="AV54:AW54"/>
    <mergeCell ref="AX54:AY54"/>
    <mergeCell ref="GH5:GI5"/>
    <mergeCell ref="JJ3:JK3"/>
  </mergeCells>
  <pageMargins left="0.3937007874015748" right="0.1181102362204725" top="0.7874015748031497" bottom="0.1968503937007874" header="0.3149606299212598" footer="0.3149606299212598"/>
  <pageSetup orientation="landscape" paperSize="9" scale="67"/>
  <rowBreaks count="1" manualBreakCount="1">
    <brk id="34" min="0" max="288" man="1"/>
  </rowBreaks>
  <colBreaks count="7" manualBreakCount="7">
    <brk id="39" min="0" max="58" man="1"/>
    <brk id="65" min="0" max="58" man="1"/>
    <brk id="93" min="0" max="58" man="1"/>
    <brk id="119" min="0" max="58" man="1"/>
    <brk id="145" min="0" max="58" man="1"/>
    <brk id="171" min="0" max="58" man="1"/>
    <brk id="225" min="0" max="58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O460"/>
  <sheetViews>
    <sheetView showGridLines="0" view="pageBreakPreview" zoomScale="80" zoomScaleNormal="80" zoomScaleSheetLayoutView="80" workbookViewId="0">
      <pane xSplit="7" ySplit="8" topLeftCell="H48" activePane="bottomRight" state="frozen"/>
      <selection pane="topRight" activeCell="H1" sqref="H1"/>
      <selection pane="bottomLeft" activeCell="A9" sqref="A9"/>
      <selection pane="bottomRight" activeCell="A51" sqref="A51:XFD51"/>
    </sheetView>
  </sheetViews>
  <sheetFormatPr baseColWidth="8" defaultColWidth="9.109375" defaultRowHeight="12.75" customHeight="1"/>
  <cols>
    <col width="4.33203125" customWidth="1" style="279" min="1" max="1"/>
    <col width="21.88671875" customWidth="1" style="279" min="2" max="2"/>
    <col width="12.44140625" customWidth="1" style="279" min="3" max="3"/>
    <col width="7.109375" customWidth="1" style="279" min="4" max="4"/>
    <col width="6.88671875" customWidth="1" style="279" min="5" max="5"/>
    <col width="9.5546875" customWidth="1" style="279" min="6" max="6"/>
    <col width="9" customWidth="1" style="279" min="7" max="7"/>
    <col width="6.5546875" customWidth="1" style="279" min="8" max="9"/>
    <col width="6" customWidth="1" style="279" min="10" max="12"/>
    <col width="6" customWidth="1" style="2" min="13" max="13"/>
    <col width="6" customWidth="1" style="279" min="14" max="17"/>
    <col collapsed="1" width="6.33203125" customWidth="1" style="279" min="18" max="18"/>
    <col width="6.33203125" customWidth="1" style="279" min="19" max="19"/>
    <col width="7.33203125" customWidth="1" style="279" min="20" max="27"/>
    <col width="6.6640625" customWidth="1" style="279" min="28" max="29"/>
    <col width="6.88671875" customWidth="1" style="279" min="30" max="31"/>
    <col collapsed="1" width="6.44140625" customWidth="1" style="279" min="32" max="32"/>
    <col width="6.44140625" customWidth="1" style="279" min="33" max="33"/>
    <col width="6.88671875" customWidth="1" style="279" min="34" max="35"/>
    <col width="7" customWidth="1" style="279" min="36" max="36"/>
    <col width="6.33203125" customWidth="1" style="279" min="37" max="37"/>
    <col width="6.44140625" customWidth="1" style="279" min="38" max="40"/>
    <col width="7.33203125" customWidth="1" style="279" min="41" max="41"/>
    <col collapsed="1" width="7.33203125" customWidth="1" style="279" min="42" max="42"/>
    <col width="7.33203125" customWidth="1" style="279" min="43" max="45"/>
    <col width="6.88671875" customWidth="1" style="279" min="46" max="49"/>
    <col width="6.44140625" customWidth="1" style="279" min="50" max="51"/>
    <col width="6" customWidth="1" style="279" min="52" max="53"/>
    <col collapsed="1" width="6" customWidth="1" style="279" min="54" max="54"/>
    <col width="6" customWidth="1" style="279" min="55" max="55"/>
    <col width="6.88671875" customWidth="1" style="279" min="56" max="57"/>
    <col collapsed="1" width="6.88671875" customWidth="1" style="279" min="58" max="58"/>
    <col width="6.88671875" customWidth="1" style="279" min="59" max="61"/>
    <col width="6.44140625" customWidth="1" style="279" min="62" max="65"/>
    <col width="7.33203125" customWidth="1" style="279" min="66" max="69"/>
    <col width="6.6640625" customWidth="1" style="279" min="70" max="83"/>
    <col width="6.5546875" customWidth="1" style="279" min="84" max="93"/>
    <col width="7.33203125" customWidth="1" style="279" min="94" max="97"/>
    <col width="7.33203125" customWidth="1" style="3" min="98" max="99"/>
    <col width="7.33203125" customWidth="1" style="279" min="100" max="109"/>
    <col width="6.33203125" customWidth="1" style="279" min="110" max="110"/>
    <col width="6.88671875" customWidth="1" style="279" min="111" max="111"/>
    <col width="6.33203125" customWidth="1" style="279" min="112" max="117"/>
    <col collapsed="1" width="6.33203125" customWidth="1" style="279" min="118" max="118"/>
    <col width="6.33203125" customWidth="1" style="279" min="119" max="123"/>
    <col width="7.6640625" customWidth="1" style="279" min="124" max="125"/>
    <col width="6.33203125" customWidth="1" style="279" min="126" max="127"/>
    <col width="7.109375" customWidth="1" style="279" min="128" max="129"/>
    <col width="6.6640625" customWidth="1" style="279" min="130" max="133"/>
    <col collapsed="1" width="6.6640625" customWidth="1" style="279" min="134" max="134"/>
    <col width="6.6640625" customWidth="1" style="279" min="135" max="135"/>
    <col collapsed="1" width="7.33203125" customWidth="1" style="279" min="136" max="136"/>
    <col width="7.33203125" customWidth="1" style="279" min="137" max="139"/>
    <col width="6.6640625" customWidth="1" style="279" min="140" max="143"/>
    <col width="6.109375" customWidth="1" style="279" min="144" max="145"/>
    <col width="6.5546875" customWidth="1" style="279" min="146" max="147"/>
    <col collapsed="1" width="7.33203125" customWidth="1" style="279" min="148" max="148"/>
    <col width="6.33203125" customWidth="1" style="279" min="149" max="149"/>
    <col width="7.33203125" customWidth="1" style="279" min="150" max="165"/>
    <col collapsed="1" width="7.33203125" customWidth="1" style="279" min="166" max="166"/>
    <col width="7.33203125" customWidth="1" style="279" min="167" max="191"/>
    <col collapsed="1" width="7.33203125" customWidth="1" style="279" min="192" max="192"/>
    <col width="7.33203125" customWidth="1" style="279" min="193" max="195"/>
    <col collapsed="1" width="7.33203125" customWidth="1" style="279" min="196" max="196"/>
    <col width="7.33203125" customWidth="1" style="279" min="197" max="231"/>
    <col collapsed="1" width="7.33203125" customWidth="1" style="279" min="232" max="232"/>
    <col width="7.33203125" customWidth="1" style="279" min="233" max="241"/>
    <col collapsed="1" width="7.33203125" customWidth="1" style="279" min="242" max="242"/>
    <col width="7.33203125" customWidth="1" style="279" min="243" max="263"/>
    <col width="7" customWidth="1" style="279" min="264" max="264"/>
    <col width="7.33203125" customWidth="1" style="279" min="265" max="271"/>
    <col width="6.88671875" customWidth="1" style="279" min="272" max="272"/>
    <col width="6.44140625" customWidth="1" style="279" min="273" max="273"/>
    <col hidden="1" outlineLevel="1" width="6.44140625" customWidth="1" style="279" min="274" max="274"/>
    <col hidden="1" outlineLevel="1" width="6.88671875" customWidth="1" style="279" min="275" max="275"/>
    <col hidden="1" outlineLevel="1" width="7.109375" customWidth="1" style="279" min="276" max="276"/>
    <col hidden="1" outlineLevel="1" width="6.5546875" customWidth="1" style="279" min="277" max="277"/>
    <col hidden="1" outlineLevel="1" width="6.44140625" customWidth="1" style="279" min="278" max="279"/>
    <col hidden="1" outlineLevel="1" width="6" customWidth="1" style="279" min="280" max="280"/>
    <col hidden="1" outlineLevel="1" width="5.5546875" customWidth="1" style="279" min="281" max="281"/>
    <col hidden="1" outlineLevel="1" width="5.88671875" customWidth="1" style="279" min="282" max="282"/>
    <col hidden="1" outlineLevel="1" width="6.5546875" customWidth="1" style="279" min="283" max="283"/>
    <col hidden="1" outlineLevel="1" width="5.44140625" customWidth="1" style="279" min="284" max="284"/>
    <col hidden="1" outlineLevel="1" width="6" customWidth="1" style="279" min="285" max="285"/>
    <col hidden="1" outlineLevel="1" width="7.33203125" customWidth="1" style="279" min="286" max="286"/>
    <col hidden="1" outlineLevel="1" width="9.88671875" customWidth="1" style="279" min="287" max="287"/>
    <col collapsed="1" width="9.44140625" customWidth="1" style="279" min="288" max="288"/>
    <col width="9.44140625" customWidth="1" style="279" min="289" max="289"/>
    <col width="17.5546875" customWidth="1" style="279" min="290" max="290"/>
    <col width="11" customWidth="1" style="279" min="291" max="291"/>
    <col width="15.44140625" customWidth="1" style="279" min="292" max="292"/>
    <col width="9.109375" customWidth="1" style="279" min="293" max="293"/>
    <col width="9.109375" customWidth="1" style="279" min="294" max="16384"/>
  </cols>
  <sheetData>
    <row r="1" ht="17.25" customFormat="1" customHeight="1" s="288" thickBot="1">
      <c r="A1" s="265" t="inlineStr">
        <is>
          <t>Расшифровка зарплаты рабочих за Апрель 2024 г</t>
        </is>
      </c>
      <c r="B1" s="266" t="n"/>
      <c r="C1" s="266" t="n"/>
      <c r="D1" s="266" t="n"/>
      <c r="E1" s="266" t="n"/>
      <c r="F1" s="266" t="n"/>
      <c r="G1" s="266" t="n"/>
      <c r="M1" s="5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V1" s="39" t="n"/>
      <c r="AW1" s="39" t="n"/>
      <c r="BB1" s="37" t="n"/>
      <c r="BC1" s="37" t="n"/>
      <c r="BD1" s="37" t="n"/>
      <c r="BE1" s="37" t="n"/>
      <c r="BJ1" s="287" t="n"/>
      <c r="BP1" s="287" t="n"/>
      <c r="CD1" s="36" t="n"/>
      <c r="DM1" s="310" t="n"/>
      <c r="DQ1" s="41" t="n"/>
      <c r="DR1" s="37" t="n"/>
      <c r="DS1" s="37" t="n"/>
      <c r="DT1" s="37" t="n"/>
      <c r="DU1" s="37" t="n"/>
      <c r="DV1" s="37" t="n"/>
      <c r="DW1" s="37" t="n"/>
      <c r="DX1" s="37" t="n"/>
      <c r="DY1" s="37" t="n"/>
      <c r="ER1" s="36" t="n"/>
      <c r="ES1" s="36" t="n"/>
      <c r="GZ1" s="39" t="n"/>
      <c r="HA1" s="39" t="n"/>
      <c r="HD1" s="37" t="n"/>
      <c r="HE1" s="37" t="n"/>
      <c r="HK1" s="39" t="n"/>
      <c r="HL1" s="39" t="n"/>
      <c r="HM1" s="40" t="n"/>
      <c r="HN1" s="39" t="n"/>
      <c r="HO1" s="39" t="n"/>
      <c r="HP1" s="39" t="n"/>
      <c r="HQ1" s="40" t="n"/>
      <c r="IO1" s="37" t="n"/>
      <c r="IQ1" s="37" t="n"/>
    </row>
    <row r="2" ht="11.25" customHeight="1" thickBot="1">
      <c r="A2" s="283" t="inlineStr">
        <is>
          <t>№ П/П</t>
        </is>
      </c>
      <c r="B2" s="299" t="inlineStr">
        <is>
          <t>Работники</t>
        </is>
      </c>
      <c r="C2" s="285" t="n"/>
      <c r="D2" s="337" t="inlineStr">
        <is>
          <t>Отработано часов</t>
        </is>
      </c>
      <c r="E2" s="305" t="n"/>
      <c r="F2" s="285" t="inlineStr">
        <is>
          <t>Оклад с РК</t>
        </is>
      </c>
      <c r="G2" s="308" t="n"/>
      <c r="H2" s="335" t="inlineStr">
        <is>
          <t>Распределение по заказам</t>
        </is>
      </c>
      <c r="I2" s="255" t="n"/>
      <c r="J2" s="255" t="n"/>
      <c r="K2" s="255" t="n"/>
      <c r="L2" s="255" t="n"/>
      <c r="M2" s="255" t="n"/>
      <c r="N2" s="255" t="n"/>
      <c r="O2" s="255" t="n"/>
      <c r="P2" s="255" t="n"/>
      <c r="Q2" s="255" t="n"/>
      <c r="R2" s="255" t="n"/>
      <c r="S2" s="255" t="n"/>
      <c r="T2" s="255" t="n"/>
      <c r="U2" s="255" t="n"/>
      <c r="V2" s="255" t="n"/>
      <c r="W2" s="255" t="n"/>
      <c r="X2" s="255" t="n"/>
      <c r="Y2" s="255" t="n"/>
      <c r="Z2" s="255" t="n"/>
      <c r="AA2" s="255" t="n"/>
      <c r="AB2" s="255" t="n"/>
      <c r="AC2" s="255" t="n"/>
      <c r="AD2" s="255" t="n"/>
      <c r="AE2" s="255" t="n"/>
      <c r="AF2" s="255" t="n"/>
      <c r="AG2" s="255" t="n"/>
      <c r="AH2" s="255" t="n"/>
      <c r="AI2" s="255" t="n"/>
      <c r="AJ2" s="255" t="n"/>
      <c r="AK2" s="255" t="n"/>
      <c r="AL2" s="255" t="n"/>
      <c r="AM2" s="255" t="n"/>
      <c r="AN2" s="255" t="n"/>
      <c r="AO2" s="255" t="n"/>
      <c r="AP2" s="255" t="n"/>
      <c r="AQ2" s="255" t="n"/>
      <c r="AR2" s="255" t="n"/>
      <c r="AS2" s="255" t="n"/>
      <c r="AT2" s="255" t="n"/>
      <c r="AU2" s="255" t="n"/>
      <c r="AV2" s="255" t="n"/>
      <c r="AW2" s="255" t="n"/>
      <c r="AX2" s="255" t="n"/>
      <c r="AY2" s="255" t="n"/>
      <c r="AZ2" s="255" t="n"/>
      <c r="BA2" s="255" t="n"/>
      <c r="BB2" s="255" t="n"/>
      <c r="BC2" s="255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  <c r="BN2" s="47" t="n"/>
      <c r="BO2" s="47" t="n"/>
      <c r="BP2" s="47" t="n"/>
      <c r="BQ2" s="47" t="n"/>
      <c r="BR2" s="47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  <c r="CO2" s="47" t="n"/>
      <c r="CP2" s="47" t="n"/>
      <c r="CQ2" s="47" t="n"/>
      <c r="CR2" s="47" t="n"/>
      <c r="CS2" s="47" t="n"/>
      <c r="CT2" s="47" t="n"/>
      <c r="CU2" s="47" t="n"/>
      <c r="CV2" s="47" t="n"/>
      <c r="CW2" s="47" t="n"/>
      <c r="CX2" s="47" t="n"/>
      <c r="CY2" s="47" t="n"/>
      <c r="CZ2" s="47" t="n"/>
      <c r="DA2" s="47" t="n"/>
      <c r="DB2" s="47" t="n"/>
      <c r="DC2" s="47" t="n"/>
      <c r="DD2" s="47" t="n"/>
      <c r="DE2" s="47" t="n"/>
      <c r="DF2" s="47" t="n"/>
      <c r="DG2" s="47" t="n"/>
      <c r="DH2" s="47" t="n"/>
      <c r="DI2" s="47" t="n"/>
      <c r="DJ2" s="47" t="n"/>
      <c r="DK2" s="47" t="n"/>
      <c r="DL2" s="47" t="n"/>
      <c r="DM2" s="47" t="n"/>
      <c r="DN2" s="47" t="n"/>
      <c r="DO2" s="47" t="n"/>
      <c r="DP2" s="47" t="n"/>
      <c r="DQ2" s="47" t="n"/>
      <c r="DR2" s="47" t="n"/>
      <c r="DS2" s="47" t="n"/>
      <c r="DT2" s="47" t="n"/>
      <c r="DU2" s="47" t="n"/>
      <c r="DV2" s="47" t="n"/>
      <c r="DW2" s="47" t="n"/>
      <c r="DX2" s="47" t="n"/>
      <c r="DY2" s="47" t="n"/>
      <c r="DZ2" s="47" t="n"/>
      <c r="EA2" s="47" t="n"/>
      <c r="EB2" s="47" t="n"/>
      <c r="EC2" s="47" t="n"/>
      <c r="ED2" s="47" t="n"/>
      <c r="EE2" s="47" t="n"/>
      <c r="EF2" s="47" t="n"/>
      <c r="EG2" s="47" t="n"/>
      <c r="EH2" s="47" t="n"/>
      <c r="EI2" s="47" t="n"/>
      <c r="EJ2" s="47" t="n"/>
      <c r="EK2" s="47" t="n"/>
      <c r="EL2" s="47" t="n"/>
      <c r="EM2" s="47" t="n"/>
      <c r="EN2" s="47" t="n"/>
      <c r="EO2" s="47" t="n"/>
      <c r="EP2" s="47" t="n"/>
      <c r="EQ2" s="47" t="n"/>
      <c r="ER2" s="47" t="n"/>
      <c r="ES2" s="47" t="n"/>
      <c r="ET2" s="47" t="n"/>
      <c r="EU2" s="47" t="n"/>
      <c r="EV2" s="47" t="n"/>
      <c r="EW2" s="47" t="n"/>
      <c r="EX2" s="47" t="n"/>
      <c r="EY2" s="47" t="n"/>
      <c r="EZ2" s="47" t="n"/>
      <c r="FA2" s="47" t="n"/>
      <c r="FB2" s="47" t="n"/>
      <c r="FC2" s="47" t="n"/>
      <c r="FD2" s="47" t="n"/>
      <c r="FE2" s="47" t="n"/>
      <c r="FF2" s="47" t="n"/>
      <c r="FG2" s="47" t="n"/>
      <c r="FH2" s="47" t="n"/>
      <c r="FI2" s="47" t="n"/>
      <c r="FJ2" s="47" t="n"/>
      <c r="FK2" s="47" t="n"/>
      <c r="FL2" s="47" t="n"/>
      <c r="FM2" s="47" t="n"/>
      <c r="FN2" s="47" t="n"/>
      <c r="FO2" s="47" t="n"/>
      <c r="FP2" s="47" t="n"/>
      <c r="FQ2" s="47" t="n"/>
      <c r="FR2" s="47" t="n"/>
      <c r="FS2" s="47" t="n"/>
      <c r="FT2" s="47" t="n"/>
      <c r="FU2" s="47" t="n"/>
      <c r="FV2" s="47" t="n"/>
      <c r="FW2" s="47" t="n"/>
      <c r="FX2" s="47" t="n"/>
      <c r="FY2" s="47" t="n"/>
      <c r="FZ2" s="47" t="n"/>
      <c r="GA2" s="47" t="n"/>
      <c r="GB2" s="47" t="n"/>
      <c r="GC2" s="47" t="n"/>
      <c r="GD2" s="47" t="n"/>
      <c r="GE2" s="47" t="n"/>
      <c r="GF2" s="47" t="n"/>
      <c r="GG2" s="47" t="n"/>
      <c r="GH2" s="47" t="n"/>
      <c r="GI2" s="47" t="n"/>
      <c r="GJ2" s="47" t="n"/>
      <c r="GK2" s="47" t="n"/>
      <c r="GL2" s="47" t="n"/>
      <c r="GM2" s="47" t="n"/>
      <c r="GN2" s="47" t="n"/>
      <c r="GO2" s="47" t="n"/>
      <c r="GP2" s="47" t="n"/>
      <c r="GQ2" s="47" t="n"/>
      <c r="GR2" s="47" t="n"/>
      <c r="GS2" s="47" t="n"/>
      <c r="GT2" s="47" t="n"/>
      <c r="GU2" s="47" t="n"/>
      <c r="GV2" s="47" t="n"/>
      <c r="GW2" s="47" t="n"/>
      <c r="GX2" s="47" t="n"/>
      <c r="GY2" s="47" t="n"/>
      <c r="GZ2" s="47" t="n"/>
      <c r="HA2" s="47" t="n"/>
      <c r="HB2" s="47" t="n"/>
      <c r="HC2" s="47" t="n"/>
      <c r="HD2" s="47" t="n"/>
      <c r="HE2" s="47" t="n"/>
      <c r="HF2" s="47" t="n"/>
      <c r="HG2" s="47" t="n"/>
      <c r="HH2" s="47" t="n"/>
      <c r="HI2" s="47" t="n"/>
      <c r="HJ2" s="47" t="n"/>
      <c r="HK2" s="47" t="n"/>
      <c r="HL2" s="47" t="n"/>
      <c r="HM2" s="47" t="n"/>
      <c r="HN2" s="47" t="n"/>
      <c r="HO2" s="47" t="n"/>
      <c r="HP2" s="47" t="n"/>
      <c r="HQ2" s="47" t="n"/>
      <c r="HR2" s="47" t="n"/>
      <c r="HS2" s="47" t="n"/>
      <c r="HT2" s="47" t="n"/>
      <c r="HU2" s="47" t="n"/>
      <c r="HV2" s="47" t="n"/>
      <c r="HW2" s="47" t="n"/>
      <c r="HX2" s="47" t="n"/>
      <c r="HY2" s="47" t="n"/>
      <c r="HZ2" s="47" t="n"/>
      <c r="IA2" s="47" t="n"/>
      <c r="IB2" s="47" t="n"/>
      <c r="IC2" s="47" t="n"/>
      <c r="ID2" s="47" t="n"/>
      <c r="IE2" s="47" t="n"/>
      <c r="IF2" s="47" t="n"/>
      <c r="IG2" s="47" t="n"/>
      <c r="IH2" s="47" t="n"/>
      <c r="II2" s="47" t="n"/>
      <c r="IJ2" s="47" t="n"/>
      <c r="IK2" s="47" t="n"/>
      <c r="IL2" s="47" t="n"/>
      <c r="IM2" s="47" t="n"/>
      <c r="IN2" s="47" t="n"/>
      <c r="IO2" s="47" t="n"/>
      <c r="IP2" s="47" t="n"/>
      <c r="IQ2" s="47" t="n"/>
      <c r="IR2" s="47" t="n"/>
      <c r="IS2" s="47" t="n"/>
      <c r="IT2" s="47" t="n"/>
      <c r="IU2" s="47" t="n"/>
      <c r="IV2" s="47" t="n"/>
      <c r="IW2" s="47" t="n"/>
      <c r="IX2" s="47" t="n"/>
      <c r="IY2" s="47" t="n"/>
      <c r="IZ2" s="47" t="n"/>
      <c r="JA2" s="47" t="n"/>
      <c r="JB2" s="47" t="n"/>
      <c r="JC2" s="47" t="n"/>
      <c r="JD2" s="47" t="n"/>
      <c r="JE2" s="47" t="n"/>
      <c r="JF2" s="47" t="n"/>
      <c r="JG2" s="47" t="n"/>
      <c r="JH2" s="47" t="n"/>
      <c r="JI2" s="47" t="n"/>
      <c r="JJ2" s="47" t="n"/>
      <c r="JK2" s="47" t="n"/>
      <c r="JL2" s="47" t="n"/>
      <c r="JM2" s="47" t="n"/>
      <c r="JN2" s="47" t="n"/>
      <c r="JO2" s="47" t="n"/>
      <c r="JP2" s="47" t="n"/>
      <c r="JQ2" s="47" t="n"/>
      <c r="JR2" s="47" t="n"/>
      <c r="JS2" s="47" t="n"/>
      <c r="JT2" s="47" t="n"/>
      <c r="JU2" s="47" t="n"/>
      <c r="JV2" s="47" t="n"/>
      <c r="JW2" s="47" t="n"/>
      <c r="JX2" s="47" t="n"/>
      <c r="JY2" s="47" t="n"/>
      <c r="JZ2" s="47" t="n"/>
      <c r="KA2" s="47" t="n"/>
      <c r="KB2" s="47" t="n"/>
      <c r="KC2" s="48" t="n"/>
    </row>
    <row r="3" ht="14.25" customHeight="1">
      <c r="A3" s="284" t="n"/>
      <c r="B3" s="284" t="n"/>
      <c r="C3" s="286" t="n"/>
      <c r="D3" s="286" t="n"/>
      <c r="E3" s="306" t="n"/>
      <c r="F3" s="286" t="n"/>
      <c r="H3" s="339" t="inlineStr">
        <is>
          <t>ОСНАСТКА</t>
        </is>
      </c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0" t="n"/>
      <c r="S3" s="340" t="n"/>
      <c r="T3" s="340" t="n"/>
      <c r="U3" s="340" t="n"/>
      <c r="V3" s="340" t="n"/>
      <c r="W3" s="340" t="n"/>
      <c r="X3" s="340" t="n"/>
      <c r="Y3" s="340" t="n"/>
      <c r="Z3" s="340" t="n"/>
      <c r="AA3" s="248" t="n"/>
      <c r="AB3" s="68" t="n"/>
      <c r="AC3" s="68" t="n"/>
      <c r="AD3" s="68" t="n"/>
      <c r="AE3" s="68" t="n"/>
      <c r="AF3" s="68" t="n"/>
      <c r="AG3" s="68" t="n"/>
      <c r="AH3" s="68" t="n"/>
      <c r="AI3" s="144" t="n"/>
      <c r="AJ3" s="145" t="n"/>
      <c r="AK3" s="145" t="n"/>
      <c r="AL3" s="336" t="n"/>
      <c r="AM3" s="271" t="n"/>
      <c r="AN3" s="68" t="n"/>
      <c r="AO3" s="68" t="n"/>
      <c r="AP3" s="68" t="n"/>
      <c r="AQ3" s="68" t="n"/>
      <c r="AR3" s="68" t="n"/>
      <c r="AS3" s="68" t="n"/>
      <c r="AT3" s="68" t="n"/>
      <c r="AU3" s="68" t="n"/>
      <c r="AV3" s="68" t="n"/>
      <c r="AW3" s="68" t="n"/>
      <c r="AX3" s="69" t="n"/>
      <c r="AY3" s="68" t="n"/>
      <c r="AZ3" s="68" t="n"/>
      <c r="BA3" s="68" t="n"/>
      <c r="BB3" s="68" t="n"/>
      <c r="BC3" s="68" t="n"/>
      <c r="BD3" s="43" t="n"/>
      <c r="BE3" s="43" t="n"/>
      <c r="BF3" s="43" t="n"/>
      <c r="BG3" s="43" t="n"/>
      <c r="BH3" s="43" t="n"/>
      <c r="BI3" s="43" t="n"/>
      <c r="BJ3" s="43" t="n"/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  <c r="CO3" s="43" t="n"/>
      <c r="CP3" s="43" t="n"/>
      <c r="CQ3" s="43" t="n"/>
      <c r="CR3" s="43" t="n"/>
      <c r="CS3" s="43" t="n"/>
      <c r="CT3" s="43" t="n"/>
      <c r="CU3" s="43" t="n"/>
      <c r="CV3" s="43" t="n"/>
      <c r="CW3" s="43" t="n"/>
      <c r="CX3" s="43" t="n"/>
      <c r="CY3" s="43" t="n"/>
      <c r="CZ3" s="43" t="n"/>
      <c r="DA3" s="43" t="n"/>
      <c r="DB3" s="43" t="n"/>
      <c r="DC3" s="43" t="n"/>
      <c r="DD3" s="43" t="n"/>
      <c r="DE3" s="43" t="n"/>
      <c r="DF3" s="43" t="n"/>
      <c r="DG3" s="43" t="n"/>
      <c r="DH3" s="43" t="n"/>
      <c r="DI3" s="43" t="n"/>
      <c r="DJ3" s="43" t="n"/>
      <c r="DK3" s="43" t="n"/>
      <c r="DL3" s="43" t="n"/>
      <c r="DM3" s="43" t="n"/>
      <c r="DN3" s="43" t="n"/>
      <c r="DO3" s="43" t="n"/>
      <c r="DP3" s="43" t="n"/>
      <c r="DQ3" s="43" t="n"/>
      <c r="DR3" s="43" t="n"/>
      <c r="DS3" s="43" t="n"/>
      <c r="DT3" s="43" t="n"/>
      <c r="DU3" s="43" t="n"/>
      <c r="DV3" s="43" t="n"/>
      <c r="DW3" s="43" t="n"/>
      <c r="DX3" s="43" t="n"/>
      <c r="DY3" s="43" t="n"/>
      <c r="DZ3" s="43" t="n"/>
      <c r="EA3" s="43" t="n"/>
      <c r="EB3" s="43" t="n"/>
      <c r="EC3" s="43" t="n"/>
      <c r="ED3" s="43" t="n"/>
      <c r="EE3" s="43" t="n"/>
      <c r="EF3" s="43" t="n"/>
      <c r="EG3" s="43" t="n"/>
      <c r="EH3" s="43" t="n"/>
      <c r="EI3" s="43" t="n"/>
      <c r="EJ3" s="43" t="n"/>
      <c r="EK3" s="43" t="n"/>
      <c r="EL3" s="43" t="n"/>
      <c r="EM3" s="43" t="n"/>
      <c r="EN3" s="43" t="n"/>
      <c r="EO3" s="43" t="n"/>
      <c r="EP3" s="43" t="n"/>
      <c r="EQ3" s="43" t="n"/>
      <c r="ER3" s="43" t="n"/>
      <c r="ES3" s="43" t="n"/>
      <c r="ET3" s="43" t="n"/>
      <c r="EU3" s="43" t="n"/>
      <c r="EV3" s="43" t="n"/>
      <c r="EW3" s="43" t="n"/>
      <c r="EX3" s="43" t="n"/>
      <c r="EY3" s="43" t="n"/>
      <c r="EZ3" s="43" t="n"/>
      <c r="FA3" s="62" t="n"/>
      <c r="FB3" s="63" t="n"/>
      <c r="FC3" s="62" t="n"/>
      <c r="FD3" s="63" t="n"/>
      <c r="FE3" s="62" t="n"/>
      <c r="FF3" s="63" t="n"/>
      <c r="FG3" s="62" t="n"/>
      <c r="FH3" s="43" t="n"/>
      <c r="FI3" s="62" t="n"/>
      <c r="FJ3" s="43" t="n"/>
      <c r="FK3" s="43" t="n"/>
      <c r="FL3" s="43" t="n"/>
      <c r="FM3" s="43" t="n"/>
      <c r="FN3" s="43" t="n"/>
      <c r="FO3" s="43" t="n"/>
      <c r="FP3" s="43" t="n"/>
      <c r="FQ3" s="43" t="n"/>
      <c r="FR3" s="43" t="n"/>
      <c r="FS3" s="43" t="n"/>
      <c r="FT3" s="43" t="n"/>
      <c r="FU3" s="43" t="n"/>
      <c r="FV3" s="43" t="n"/>
      <c r="FW3" s="43" t="n"/>
      <c r="FX3" s="43" t="n"/>
      <c r="FY3" s="43" t="n"/>
      <c r="FZ3" s="43" t="n"/>
      <c r="GA3" s="43" t="n"/>
      <c r="GB3" s="43" t="n"/>
      <c r="GC3" s="43" t="n"/>
      <c r="GD3" s="43" t="n"/>
      <c r="GE3" s="43" t="n"/>
      <c r="GF3" s="43" t="n"/>
      <c r="GG3" s="43" t="n"/>
      <c r="GH3" s="43" t="n"/>
      <c r="GI3" s="54" t="n"/>
      <c r="GJ3" s="43" t="n"/>
      <c r="GK3" s="43" t="n"/>
      <c r="GL3" s="43" t="n"/>
      <c r="GM3" s="43" t="n"/>
      <c r="GN3" s="43" t="n"/>
      <c r="GO3" s="43" t="n"/>
      <c r="GP3" s="43" t="n"/>
      <c r="GQ3" s="43" t="n"/>
      <c r="GR3" s="43" t="n"/>
      <c r="GS3" s="43" t="n"/>
      <c r="GT3" s="43" t="n"/>
      <c r="GU3" s="43" t="n"/>
      <c r="GV3" s="50" t="n"/>
      <c r="GW3" s="50" t="n"/>
      <c r="GX3" s="50" t="n"/>
      <c r="GY3" s="50" t="n"/>
      <c r="GZ3" s="50" t="n"/>
      <c r="HA3" s="50" t="n"/>
      <c r="HB3" s="43" t="n"/>
      <c r="HC3" s="43" t="n"/>
      <c r="HD3" s="43" t="n"/>
      <c r="HE3" s="43" t="n"/>
      <c r="HF3" s="49" t="n"/>
      <c r="HG3" s="43" t="n"/>
      <c r="HH3" s="43" t="n"/>
      <c r="HI3" s="43" t="n"/>
      <c r="HJ3" s="43" t="n"/>
      <c r="HK3" s="43" t="n"/>
      <c r="HL3" s="43" t="n"/>
      <c r="HM3" s="43" t="n"/>
      <c r="HN3" s="43" t="n"/>
      <c r="HO3" s="43" t="n"/>
      <c r="HP3" s="43" t="n"/>
      <c r="HQ3" s="43" t="n"/>
      <c r="HR3" s="43" t="n"/>
      <c r="HS3" s="43" t="n"/>
      <c r="HT3" s="43" t="n"/>
      <c r="HU3" s="43" t="n"/>
      <c r="HV3" s="43" t="n"/>
      <c r="HW3" s="43" t="n"/>
      <c r="HX3" s="43" t="n"/>
      <c r="HY3" s="43" t="n"/>
      <c r="HZ3" s="43" t="n"/>
      <c r="IA3" s="43" t="n"/>
      <c r="IB3" s="43" t="n"/>
      <c r="IC3" s="43" t="n"/>
      <c r="ID3" s="43" t="n"/>
      <c r="IE3" s="43" t="n"/>
      <c r="IF3" s="43" t="n"/>
      <c r="IG3" s="43" t="n"/>
      <c r="IH3" s="43" t="n"/>
      <c r="II3" s="43" t="n"/>
      <c r="IJ3" s="43" t="n"/>
      <c r="IK3" s="43" t="n"/>
      <c r="IL3" s="43" t="n"/>
      <c r="IM3" s="43" t="n"/>
      <c r="IN3" s="43" t="n"/>
      <c r="IO3" s="43" t="n"/>
      <c r="IP3" s="43" t="n"/>
      <c r="IQ3" s="43" t="n"/>
      <c r="IR3" s="43" t="n"/>
      <c r="IS3" s="43" t="n"/>
      <c r="IT3" s="43" t="n"/>
      <c r="IU3" s="43" t="n"/>
      <c r="IV3" s="43" t="n"/>
      <c r="IW3" s="43" t="n"/>
      <c r="IX3" s="43" t="n"/>
      <c r="IY3" s="43" t="n"/>
      <c r="IZ3" s="50" t="n"/>
      <c r="JA3" s="50" t="n"/>
      <c r="JB3" s="50" t="n"/>
      <c r="JC3" s="50" t="n"/>
      <c r="JD3" s="50" t="n"/>
      <c r="JE3" s="50" t="n"/>
      <c r="JF3" s="42" t="n"/>
      <c r="JG3" s="42" t="n"/>
      <c r="JH3" s="42" t="n"/>
      <c r="JI3" s="42" t="n"/>
      <c r="JJ3" s="342" t="n"/>
      <c r="JK3" s="340" t="n"/>
      <c r="JL3" s="304" t="inlineStr">
        <is>
          <t>Работы с обслуживанием цеха и оборудования</t>
        </is>
      </c>
      <c r="JM3" s="305" t="n"/>
      <c r="JN3" s="270" t="inlineStr">
        <is>
          <t>Подготовительные работы по ОС</t>
        </is>
      </c>
      <c r="JO3" s="271" t="n"/>
      <c r="JP3" s="271" t="n"/>
      <c r="JQ3" s="271" t="n"/>
      <c r="JR3" s="271" t="n"/>
      <c r="JS3" s="271" t="n"/>
      <c r="JT3" s="271" t="n"/>
      <c r="JU3" s="271" t="n"/>
      <c r="JV3" s="271" t="n"/>
      <c r="JW3" s="271" t="n"/>
      <c r="JX3" s="271" t="n"/>
      <c r="JY3" s="271" t="n"/>
      <c r="JZ3" s="271" t="n"/>
      <c r="KA3" s="272" t="n"/>
      <c r="KB3" s="316" t="inlineStr">
        <is>
          <t>ВСЕГО</t>
        </is>
      </c>
      <c r="KC3" s="306" t="n"/>
    </row>
    <row r="4" ht="104.25" customHeight="1">
      <c r="A4" s="284" t="n"/>
      <c r="B4" s="284" t="n"/>
      <c r="C4" s="286" t="n"/>
      <c r="D4" s="338" t="n"/>
      <c r="E4" s="281" t="n"/>
      <c r="F4" s="286" t="n"/>
      <c r="H4" s="260" t="n"/>
      <c r="I4" s="248" t="n"/>
      <c r="J4" s="260" t="n"/>
      <c r="K4" s="248" t="n"/>
      <c r="L4" s="260" t="n"/>
      <c r="M4" s="248" t="n"/>
      <c r="N4" s="260" t="n"/>
      <c r="O4" s="248" t="n"/>
      <c r="P4" s="260" t="n"/>
      <c r="Q4" s="248" t="n"/>
      <c r="R4" s="260" t="n"/>
      <c r="S4" s="248" t="n"/>
      <c r="T4" s="260" t="n"/>
      <c r="U4" s="248" t="n"/>
      <c r="V4" s="260" t="n"/>
      <c r="W4" s="248" t="n"/>
      <c r="X4" s="260" t="n"/>
      <c r="Y4" s="248" t="n"/>
      <c r="Z4" s="260" t="n"/>
      <c r="AA4" s="248" t="n"/>
      <c r="AB4" s="260" t="n"/>
      <c r="AC4" s="248" t="n"/>
      <c r="AD4" s="260" t="n"/>
      <c r="AE4" s="248" t="n"/>
      <c r="AF4" s="260" t="n"/>
      <c r="AG4" s="248" t="n"/>
      <c r="AH4" s="260" t="n"/>
      <c r="AI4" s="248" t="n"/>
      <c r="AJ4" s="260" t="n"/>
      <c r="AK4" s="248" t="n"/>
      <c r="AL4" s="260" t="n"/>
      <c r="AM4" s="248" t="n"/>
      <c r="AN4" s="260" t="n"/>
      <c r="AO4" s="248" t="n"/>
      <c r="AP4" s="260" t="n"/>
      <c r="AQ4" s="248" t="n"/>
      <c r="AR4" s="260" t="n"/>
      <c r="AS4" s="248" t="n"/>
      <c r="AT4" s="260" t="n"/>
      <c r="AU4" s="248" t="n"/>
      <c r="AV4" s="260" t="n"/>
      <c r="AW4" s="248" t="n"/>
      <c r="AX4" s="260" t="n"/>
      <c r="AY4" s="248" t="n"/>
      <c r="AZ4" s="260" t="n"/>
      <c r="BA4" s="248" t="n"/>
      <c r="BB4" s="260" t="n"/>
      <c r="BC4" s="248" t="n"/>
      <c r="BD4" s="260" t="n"/>
      <c r="BE4" s="248" t="n"/>
      <c r="BF4" s="260" t="n"/>
      <c r="BG4" s="248" t="n"/>
      <c r="BH4" s="260" t="n"/>
      <c r="BI4" s="248" t="n"/>
      <c r="BJ4" s="260" t="n"/>
      <c r="BK4" s="248" t="n"/>
      <c r="BL4" s="260" t="n"/>
      <c r="BM4" s="248" t="n"/>
      <c r="BN4" s="260" t="n"/>
      <c r="BO4" s="248" t="n"/>
      <c r="BP4" s="260" t="n"/>
      <c r="BQ4" s="248" t="n"/>
      <c r="BR4" s="260" t="n"/>
      <c r="BS4" s="248" t="n"/>
      <c r="BT4" s="260" t="n"/>
      <c r="BU4" s="248" t="n"/>
      <c r="BV4" s="260" t="n"/>
      <c r="BW4" s="248" t="n"/>
      <c r="BX4" s="260" t="n"/>
      <c r="BY4" s="248" t="n"/>
      <c r="BZ4" s="260" t="n"/>
      <c r="CA4" s="248" t="n"/>
      <c r="CB4" s="260" t="n"/>
      <c r="CC4" s="248" t="n"/>
      <c r="CD4" s="260" t="n"/>
      <c r="CE4" s="248" t="n"/>
      <c r="CF4" s="260" t="n"/>
      <c r="CG4" s="248" t="n"/>
      <c r="CH4" s="260" t="n"/>
      <c r="CI4" s="248" t="n"/>
      <c r="CJ4" s="260" t="n"/>
      <c r="CK4" s="248" t="n"/>
      <c r="CL4" s="260" t="n"/>
      <c r="CM4" s="248" t="n"/>
      <c r="CN4" s="260" t="n"/>
      <c r="CO4" s="248" t="n"/>
      <c r="CP4" s="260" t="n"/>
      <c r="CQ4" s="248" t="n"/>
      <c r="CR4" s="260" t="n"/>
      <c r="CS4" s="248" t="n"/>
      <c r="CT4" s="260" t="n"/>
      <c r="CU4" s="248" t="n"/>
      <c r="CV4" s="260" t="n"/>
      <c r="CW4" s="248" t="n"/>
      <c r="CX4" s="260" t="n"/>
      <c r="CY4" s="248" t="n"/>
      <c r="CZ4" s="260" t="n"/>
      <c r="DA4" s="248" t="n"/>
      <c r="DB4" s="260" t="n"/>
      <c r="DC4" s="248" t="n"/>
      <c r="DD4" s="260" t="n"/>
      <c r="DE4" s="248" t="n"/>
      <c r="DF4" s="260" t="n"/>
      <c r="DG4" s="248" t="n"/>
      <c r="DH4" s="260" t="n"/>
      <c r="DI4" s="248" t="n"/>
      <c r="DJ4" s="260" t="n"/>
      <c r="DK4" s="248" t="n"/>
      <c r="DL4" s="260" t="n"/>
      <c r="DM4" s="248" t="n"/>
      <c r="DN4" s="260" t="n"/>
      <c r="DO4" s="248" t="n"/>
      <c r="DP4" s="260" t="n"/>
      <c r="DQ4" s="248" t="n"/>
      <c r="DR4" s="260" t="n"/>
      <c r="DS4" s="248" t="n"/>
      <c r="DT4" s="260" t="n"/>
      <c r="DU4" s="248" t="n"/>
      <c r="DV4" s="260" t="n"/>
      <c r="DW4" s="248" t="n"/>
      <c r="DX4" s="260" t="n"/>
      <c r="DY4" s="248" t="n"/>
      <c r="DZ4" s="260" t="n"/>
      <c r="EA4" s="248" t="n"/>
      <c r="EB4" s="260" t="n"/>
      <c r="EC4" s="248" t="n"/>
      <c r="ED4" s="260" t="n"/>
      <c r="EE4" s="248" t="n"/>
      <c r="EF4" s="260" t="n"/>
      <c r="EG4" s="248" t="n"/>
      <c r="EH4" s="260" t="n"/>
      <c r="EI4" s="248" t="n"/>
      <c r="EJ4" s="260" t="n"/>
      <c r="EK4" s="248" t="n"/>
      <c r="EL4" s="260" t="n"/>
      <c r="EM4" s="248" t="n"/>
      <c r="EN4" s="260" t="n"/>
      <c r="EO4" s="248" t="n"/>
      <c r="EP4" s="260" t="n"/>
      <c r="EQ4" s="248" t="n"/>
      <c r="ER4" s="260" t="n"/>
      <c r="ES4" s="248" t="n"/>
      <c r="ET4" s="260" t="n"/>
      <c r="EU4" s="248" t="n"/>
      <c r="EV4" s="260" t="n"/>
      <c r="EW4" s="248" t="n"/>
      <c r="EX4" s="260" t="n"/>
      <c r="EY4" s="248" t="n"/>
      <c r="EZ4" s="260" t="n"/>
      <c r="FA4" s="248" t="n"/>
      <c r="FB4" s="260" t="n"/>
      <c r="FC4" s="248" t="n"/>
      <c r="FD4" s="260" t="n"/>
      <c r="FE4" s="248" t="n"/>
      <c r="FF4" s="260" t="n"/>
      <c r="FG4" s="248" t="n"/>
      <c r="FH4" s="260" t="n"/>
      <c r="FI4" s="248" t="n"/>
      <c r="FJ4" s="260" t="n"/>
      <c r="FK4" s="248" t="n"/>
      <c r="FL4" s="260" t="n"/>
      <c r="FM4" s="248" t="n"/>
      <c r="FN4" s="260" t="n"/>
      <c r="FO4" s="248" t="n"/>
      <c r="FP4" s="260" t="n"/>
      <c r="FQ4" s="248" t="n"/>
      <c r="FR4" s="260" t="n"/>
      <c r="FS4" s="248" t="n"/>
      <c r="FT4" s="260" t="n"/>
      <c r="FU4" s="248" t="n"/>
      <c r="FV4" s="260" t="n"/>
      <c r="FW4" s="248" t="n"/>
      <c r="FX4" s="260" t="n"/>
      <c r="FY4" s="248" t="n"/>
      <c r="FZ4" s="260" t="n"/>
      <c r="GA4" s="248" t="n"/>
      <c r="GB4" s="260" t="n"/>
      <c r="GC4" s="248" t="n"/>
      <c r="GD4" s="260" t="n"/>
      <c r="GE4" s="248" t="n"/>
      <c r="GF4" s="260" t="n"/>
      <c r="GG4" s="248" t="n"/>
      <c r="GH4" s="260" t="n"/>
      <c r="GI4" s="248" t="n"/>
      <c r="GJ4" s="260" t="n"/>
      <c r="GK4" s="248" t="n"/>
      <c r="GL4" s="260" t="n"/>
      <c r="GM4" s="248" t="n"/>
      <c r="GN4" s="260" t="n"/>
      <c r="GO4" s="248" t="n"/>
      <c r="GP4" s="260" t="n"/>
      <c r="GQ4" s="248" t="n"/>
      <c r="GR4" s="260" t="n"/>
      <c r="GS4" s="248" t="n"/>
      <c r="GT4" s="260" t="n"/>
      <c r="GU4" s="248" t="n"/>
      <c r="GV4" s="260" t="n"/>
      <c r="GW4" s="248" t="n"/>
      <c r="GX4" s="260" t="n"/>
      <c r="GY4" s="248" t="n"/>
      <c r="GZ4" s="260" t="n"/>
      <c r="HA4" s="248" t="n"/>
      <c r="HB4" s="260" t="n"/>
      <c r="HC4" s="248" t="n"/>
      <c r="HD4" s="260" t="n"/>
      <c r="HE4" s="248" t="n"/>
      <c r="HF4" s="260" t="n"/>
      <c r="HG4" s="248" t="n"/>
      <c r="HH4" s="260" t="n"/>
      <c r="HI4" s="248" t="n"/>
      <c r="HJ4" s="260" t="n"/>
      <c r="HK4" s="248" t="n"/>
      <c r="HL4" s="260" t="n"/>
      <c r="HM4" s="248" t="n"/>
      <c r="HN4" s="260" t="n"/>
      <c r="HO4" s="248" t="n"/>
      <c r="HP4" s="260" t="n"/>
      <c r="HQ4" s="248" t="n"/>
      <c r="HR4" s="260" t="n"/>
      <c r="HS4" s="248" t="n"/>
      <c r="HT4" s="260" t="n"/>
      <c r="HU4" s="248" t="n"/>
      <c r="HV4" s="260" t="n"/>
      <c r="HW4" s="248" t="n"/>
      <c r="HX4" s="260" t="n"/>
      <c r="HY4" s="248" t="n"/>
      <c r="HZ4" s="260" t="n"/>
      <c r="IA4" s="248" t="n"/>
      <c r="IB4" s="260" t="n"/>
      <c r="IC4" s="248" t="n"/>
      <c r="ID4" s="260" t="n"/>
      <c r="IE4" s="248" t="n"/>
      <c r="IF4" s="260" t="n"/>
      <c r="IG4" s="248" t="n"/>
      <c r="IH4" s="260" t="n"/>
      <c r="II4" s="248" t="n"/>
      <c r="IJ4" s="260" t="n"/>
      <c r="IK4" s="248" t="n"/>
      <c r="IL4" s="260" t="n"/>
      <c r="IM4" s="248" t="n"/>
      <c r="IN4" s="260" t="n"/>
      <c r="IO4" s="248" t="n"/>
      <c r="IP4" s="260" t="n"/>
      <c r="IQ4" s="248" t="n"/>
      <c r="IR4" s="260" t="n"/>
      <c r="IS4" s="248" t="n"/>
      <c r="IT4" s="260" t="n"/>
      <c r="IU4" s="248" t="n"/>
      <c r="IV4" s="260" t="n"/>
      <c r="IW4" s="248" t="n"/>
      <c r="IX4" s="260" t="n"/>
      <c r="IY4" s="248" t="n"/>
      <c r="IZ4" s="260" t="n"/>
      <c r="JA4" s="248" t="n"/>
      <c r="JB4" s="260" t="n"/>
      <c r="JC4" s="248" t="n"/>
      <c r="JD4" s="260" t="n"/>
      <c r="JE4" s="248" t="n"/>
      <c r="JF4" s="260" t="n"/>
      <c r="JG4" s="248" t="n"/>
      <c r="JH4" s="260" t="n"/>
      <c r="JI4" s="248" t="n"/>
      <c r="JJ4" s="260" t="n"/>
      <c r="JK4" s="248" t="n"/>
      <c r="JL4" s="286" t="n"/>
      <c r="JM4" s="306" t="n"/>
      <c r="JN4" s="327" t="n"/>
      <c r="JO4" s="257" t="n"/>
      <c r="JP4" s="256" t="n"/>
      <c r="JQ4" s="257" t="n"/>
      <c r="JR4" s="256" t="n"/>
      <c r="JS4" s="257" t="n"/>
      <c r="JT4" s="256" t="n"/>
      <c r="JU4" s="257" t="n"/>
      <c r="JV4" s="256" t="n"/>
      <c r="JW4" s="257" t="n"/>
      <c r="JX4" s="256" t="n"/>
      <c r="JY4" s="257" t="n"/>
      <c r="JZ4" s="317" t="inlineStr">
        <is>
          <t>Итого сч. 08</t>
        </is>
      </c>
      <c r="KA4" s="268" t="n"/>
      <c r="KC4" s="306" t="n"/>
      <c r="KF4" s="6" t="n"/>
    </row>
    <row r="5" ht="30.75" customHeight="1">
      <c r="A5" s="284" t="n"/>
      <c r="B5" s="284" t="n"/>
      <c r="C5" s="286" t="n"/>
      <c r="D5" s="280" t="n">
        <v>168</v>
      </c>
      <c r="E5" s="281" t="n"/>
      <c r="F5" s="286" t="n"/>
      <c r="H5" s="247" t="n"/>
      <c r="I5" s="248" t="n"/>
      <c r="J5" s="247" t="n"/>
      <c r="K5" s="248" t="n"/>
      <c r="L5" s="247" t="n"/>
      <c r="M5" s="248" t="n"/>
      <c r="N5" s="247" t="n"/>
      <c r="O5" s="248" t="n"/>
      <c r="P5" s="247" t="n"/>
      <c r="Q5" s="248" t="n"/>
      <c r="R5" s="247" t="n"/>
      <c r="S5" s="248" t="n"/>
      <c r="T5" s="247" t="n"/>
      <c r="U5" s="248" t="n"/>
      <c r="V5" s="247" t="n"/>
      <c r="W5" s="248" t="n"/>
      <c r="X5" s="247" t="n"/>
      <c r="Y5" s="248" t="n"/>
      <c r="Z5" s="247" t="n"/>
      <c r="AA5" s="248" t="n"/>
      <c r="AB5" s="247" t="n"/>
      <c r="AC5" s="248" t="n"/>
      <c r="AD5" s="247" t="n"/>
      <c r="AE5" s="248" t="n"/>
      <c r="AF5" s="247" t="n"/>
      <c r="AG5" s="248" t="n"/>
      <c r="AH5" s="247" t="n"/>
      <c r="AI5" s="248" t="n"/>
      <c r="AJ5" s="247" t="n"/>
      <c r="AK5" s="248" t="n"/>
      <c r="AL5" s="247" t="n"/>
      <c r="AM5" s="248" t="n"/>
      <c r="AN5" s="247" t="n"/>
      <c r="AO5" s="248" t="n"/>
      <c r="AP5" s="247" t="n"/>
      <c r="AQ5" s="248" t="n"/>
      <c r="AR5" s="247" t="n"/>
      <c r="AS5" s="248" t="n"/>
      <c r="AT5" s="247" t="n"/>
      <c r="AU5" s="248" t="n"/>
      <c r="AV5" s="247" t="n"/>
      <c r="AW5" s="248" t="n"/>
      <c r="AX5" s="247" t="n"/>
      <c r="AY5" s="248" t="n"/>
      <c r="AZ5" s="247" t="n"/>
      <c r="BA5" s="248" t="n"/>
      <c r="BB5" s="247" t="n"/>
      <c r="BC5" s="248" t="n"/>
      <c r="BD5" s="247" t="n"/>
      <c r="BE5" s="248" t="n"/>
      <c r="BF5" s="247" t="n"/>
      <c r="BG5" s="248" t="n"/>
      <c r="BH5" s="247" t="n"/>
      <c r="BI5" s="248" t="n"/>
      <c r="BJ5" s="247" t="n"/>
      <c r="BK5" s="248" t="n"/>
      <c r="BL5" s="247" t="n"/>
      <c r="BM5" s="248" t="n"/>
      <c r="BN5" s="247" t="n"/>
      <c r="BO5" s="248" t="n"/>
      <c r="BP5" s="247" t="n"/>
      <c r="BQ5" s="248" t="n"/>
      <c r="BR5" s="247" t="n"/>
      <c r="BS5" s="248" t="n"/>
      <c r="BT5" s="247" t="n"/>
      <c r="BU5" s="248" t="n"/>
      <c r="BV5" s="247" t="n"/>
      <c r="BW5" s="248" t="n"/>
      <c r="BX5" s="247" t="n"/>
      <c r="BY5" s="248" t="n"/>
      <c r="BZ5" s="247" t="n"/>
      <c r="CA5" s="248" t="n"/>
      <c r="CB5" s="247" t="n"/>
      <c r="CC5" s="248" t="n"/>
      <c r="CD5" s="247" t="n"/>
      <c r="CE5" s="248" t="n"/>
      <c r="CF5" s="247" t="n"/>
      <c r="CG5" s="248" t="n"/>
      <c r="CH5" s="247" t="n"/>
      <c r="CI5" s="248" t="n"/>
      <c r="CJ5" s="247" t="n"/>
      <c r="CK5" s="248" t="n"/>
      <c r="CL5" s="247" t="n"/>
      <c r="CM5" s="248" t="n"/>
      <c r="CN5" s="247" t="n"/>
      <c r="CO5" s="248" t="n"/>
      <c r="CP5" s="247" t="n"/>
      <c r="CQ5" s="248" t="n"/>
      <c r="CR5" s="247" t="n"/>
      <c r="CS5" s="248" t="n"/>
      <c r="CT5" s="247" t="n"/>
      <c r="CU5" s="248" t="n"/>
      <c r="CV5" s="247" t="n"/>
      <c r="CW5" s="248" t="n"/>
      <c r="CX5" s="247" t="n"/>
      <c r="CY5" s="248" t="n"/>
      <c r="CZ5" s="247" t="n"/>
      <c r="DA5" s="248" t="n"/>
      <c r="DB5" s="247" t="n"/>
      <c r="DC5" s="248" t="n"/>
      <c r="DD5" s="247" t="n"/>
      <c r="DE5" s="248" t="n"/>
      <c r="DF5" s="247" t="n"/>
      <c r="DG5" s="248" t="n"/>
      <c r="DH5" s="247" t="n"/>
      <c r="DI5" s="248" t="n"/>
      <c r="DJ5" s="247" t="n"/>
      <c r="DK5" s="248" t="n"/>
      <c r="DL5" s="247" t="n"/>
      <c r="DM5" s="248" t="n"/>
      <c r="DN5" s="247" t="n"/>
      <c r="DO5" s="248" t="n"/>
      <c r="DP5" s="247" t="n"/>
      <c r="DQ5" s="248" t="n"/>
      <c r="DR5" s="247" t="n"/>
      <c r="DS5" s="248" t="n"/>
      <c r="DT5" s="247" t="n"/>
      <c r="DU5" s="248" t="n"/>
      <c r="DV5" s="247" t="n"/>
      <c r="DW5" s="248" t="n"/>
      <c r="DX5" s="247" t="n"/>
      <c r="DY5" s="248" t="n"/>
      <c r="DZ5" s="247" t="n"/>
      <c r="EA5" s="248" t="n"/>
      <c r="EB5" s="247" t="n"/>
      <c r="EC5" s="248" t="n"/>
      <c r="ED5" s="247" t="n"/>
      <c r="EE5" s="248" t="n"/>
      <c r="EF5" s="247" t="n"/>
      <c r="EG5" s="248" t="n"/>
      <c r="EH5" s="247" t="n"/>
      <c r="EI5" s="248" t="n"/>
      <c r="EJ5" s="247" t="n"/>
      <c r="EK5" s="248" t="n"/>
      <c r="EL5" s="247" t="n"/>
      <c r="EM5" s="248" t="n"/>
      <c r="EN5" s="247" t="n"/>
      <c r="EO5" s="248" t="n"/>
      <c r="EP5" s="247" t="n"/>
      <c r="EQ5" s="248" t="n"/>
      <c r="ER5" s="247" t="n"/>
      <c r="ES5" s="248" t="n"/>
      <c r="ET5" s="247" t="n"/>
      <c r="EU5" s="248" t="n"/>
      <c r="EV5" s="247" t="n"/>
      <c r="EW5" s="248" t="n"/>
      <c r="EX5" s="247" t="n"/>
      <c r="EY5" s="248" t="n"/>
      <c r="EZ5" s="247" t="n"/>
      <c r="FA5" s="248" t="n"/>
      <c r="FB5" s="247" t="n"/>
      <c r="FC5" s="248" t="n"/>
      <c r="FD5" s="247" t="n"/>
      <c r="FE5" s="248" t="n"/>
      <c r="FF5" s="247" t="n"/>
      <c r="FG5" s="248" t="n"/>
      <c r="FH5" s="247" t="n"/>
      <c r="FI5" s="248" t="n"/>
      <c r="FJ5" s="247" t="n"/>
      <c r="FK5" s="248" t="n"/>
      <c r="FL5" s="247" t="n"/>
      <c r="FM5" s="248" t="n"/>
      <c r="FN5" s="247" t="n"/>
      <c r="FO5" s="248" t="n"/>
      <c r="FP5" s="247" t="n"/>
      <c r="FQ5" s="248" t="n"/>
      <c r="FR5" s="247" t="n"/>
      <c r="FS5" s="248" t="n"/>
      <c r="FT5" s="247" t="n"/>
      <c r="FU5" s="248" t="n"/>
      <c r="FV5" s="247" t="n"/>
      <c r="FW5" s="248" t="n"/>
      <c r="FX5" s="247" t="n"/>
      <c r="FY5" s="248" t="n"/>
      <c r="FZ5" s="247" t="n"/>
      <c r="GA5" s="248" t="n"/>
      <c r="GB5" s="247" t="n"/>
      <c r="GC5" s="248" t="n"/>
      <c r="GD5" s="247" t="n"/>
      <c r="GE5" s="248" t="n"/>
      <c r="GF5" s="247" t="n"/>
      <c r="GG5" s="248" t="n"/>
      <c r="GH5" s="247" t="n"/>
      <c r="GI5" s="248" t="n"/>
      <c r="GJ5" s="247" t="n"/>
      <c r="GK5" s="248" t="n"/>
      <c r="GL5" s="247" t="n"/>
      <c r="GM5" s="248" t="n"/>
      <c r="GN5" s="247" t="n"/>
      <c r="GO5" s="248" t="n"/>
      <c r="GP5" s="247" t="n"/>
      <c r="GQ5" s="248" t="n"/>
      <c r="GR5" s="247" t="n"/>
      <c r="GS5" s="248" t="n"/>
      <c r="GT5" s="247" t="n"/>
      <c r="GU5" s="248" t="n"/>
      <c r="GV5" s="247" t="n"/>
      <c r="GW5" s="248" t="n"/>
      <c r="GX5" s="247" t="n"/>
      <c r="GY5" s="248" t="n"/>
      <c r="GZ5" s="247" t="n"/>
      <c r="HA5" s="248" t="n"/>
      <c r="HB5" s="247" t="n"/>
      <c r="HC5" s="248" t="n"/>
      <c r="HD5" s="247" t="n"/>
      <c r="HE5" s="248" t="n"/>
      <c r="HF5" s="247" t="n"/>
      <c r="HG5" s="248" t="n"/>
      <c r="HH5" s="247" t="n"/>
      <c r="HI5" s="248" t="n"/>
      <c r="HJ5" s="247" t="n"/>
      <c r="HK5" s="248" t="n"/>
      <c r="HL5" s="247" t="n"/>
      <c r="HM5" s="248" t="n"/>
      <c r="HN5" s="247" t="n"/>
      <c r="HO5" s="248" t="n"/>
      <c r="HP5" s="247" t="n"/>
      <c r="HQ5" s="248" t="n"/>
      <c r="HR5" s="247" t="n"/>
      <c r="HS5" s="248" t="n"/>
      <c r="HT5" s="247" t="n"/>
      <c r="HU5" s="248" t="n"/>
      <c r="HV5" s="247" t="n"/>
      <c r="HW5" s="248" t="n"/>
      <c r="HX5" s="247" t="n"/>
      <c r="HY5" s="248" t="n"/>
      <c r="HZ5" s="247" t="n"/>
      <c r="IA5" s="248" t="n"/>
      <c r="IB5" s="247" t="n"/>
      <c r="IC5" s="248" t="n"/>
      <c r="ID5" s="247" t="n"/>
      <c r="IE5" s="248" t="n"/>
      <c r="IF5" s="247" t="n"/>
      <c r="IG5" s="248" t="n"/>
      <c r="IH5" s="247" t="n"/>
      <c r="II5" s="248" t="n"/>
      <c r="IJ5" s="247" t="n"/>
      <c r="IK5" s="248" t="n"/>
      <c r="IL5" s="247" t="n"/>
      <c r="IM5" s="248" t="n"/>
      <c r="IN5" s="247" t="n"/>
      <c r="IO5" s="248" t="n"/>
      <c r="IP5" s="247" t="n"/>
      <c r="IQ5" s="248" t="n"/>
      <c r="IR5" s="247" t="n"/>
      <c r="IS5" s="248" t="n"/>
      <c r="IT5" s="247" t="n"/>
      <c r="IU5" s="248" t="n"/>
      <c r="IV5" s="247" t="n"/>
      <c r="IW5" s="248" t="n"/>
      <c r="IX5" s="247" t="n"/>
      <c r="IY5" s="248" t="n"/>
      <c r="IZ5" s="247" t="n"/>
      <c r="JA5" s="248" t="n"/>
      <c r="JB5" s="247" t="n"/>
      <c r="JC5" s="248" t="n"/>
      <c r="JD5" s="247" t="n"/>
      <c r="JE5" s="248" t="n"/>
      <c r="JF5" s="247" t="n"/>
      <c r="JG5" s="248" t="n"/>
      <c r="JH5" s="247" t="n"/>
      <c r="JI5" s="248" t="n"/>
      <c r="JJ5" s="247" t="n"/>
      <c r="JK5" s="248" t="n"/>
      <c r="JL5" s="173" t="n"/>
      <c r="JM5" s="109" t="n"/>
      <c r="JN5" s="328" t="n"/>
      <c r="JO5" s="259" t="n"/>
      <c r="JP5" s="258" t="n"/>
      <c r="JQ5" s="259" t="n"/>
      <c r="JR5" s="258" t="n"/>
      <c r="JS5" s="259" t="n"/>
      <c r="JT5" s="258" t="n"/>
      <c r="JU5" s="259" t="n"/>
      <c r="JV5" s="258" t="n"/>
      <c r="JW5" s="259" t="n"/>
      <c r="JX5" s="258" t="n"/>
      <c r="JY5" s="259" t="n"/>
      <c r="JZ5" s="318" t="n"/>
      <c r="KA5" s="306" t="n"/>
      <c r="KC5" s="306" t="n"/>
      <c r="KF5" s="7" t="n"/>
    </row>
    <row r="6" ht="17.25" customHeight="1" thickBot="1">
      <c r="A6" s="284" t="n"/>
      <c r="B6" s="284" t="n"/>
      <c r="C6" s="286" t="n"/>
      <c r="D6" s="324" t="inlineStr">
        <is>
          <t>План</t>
        </is>
      </c>
      <c r="E6" s="341" t="inlineStr">
        <is>
          <t>Факт</t>
        </is>
      </c>
      <c r="F6" s="326" t="inlineStr">
        <is>
          <t>Месяц</t>
        </is>
      </c>
      <c r="G6" s="321" t="inlineStr">
        <is>
          <t>Часовая ставка</t>
        </is>
      </c>
      <c r="H6" s="329" t="inlineStr">
        <is>
          <t>23 счет</t>
        </is>
      </c>
      <c r="I6" s="328" t="n"/>
      <c r="J6" s="328" t="n"/>
      <c r="K6" s="328" t="n"/>
      <c r="L6" s="328" t="n"/>
      <c r="M6" s="328" t="n"/>
      <c r="N6" s="328" t="n"/>
      <c r="O6" s="328" t="n"/>
      <c r="P6" s="328" t="n"/>
      <c r="Q6" s="328" t="n"/>
      <c r="R6" s="328" t="n"/>
      <c r="S6" s="328" t="n"/>
      <c r="T6" s="328" t="n"/>
      <c r="U6" s="328" t="n"/>
      <c r="V6" s="328" t="n"/>
      <c r="W6" s="328" t="n"/>
      <c r="X6" s="328" t="n"/>
      <c r="Y6" s="328" t="n"/>
      <c r="Z6" s="328" t="n"/>
      <c r="AA6" s="259" t="n"/>
      <c r="AB6" s="134" t="n"/>
      <c r="AC6" s="331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34" t="n"/>
      <c r="CC6" s="134" t="n"/>
      <c r="CD6" s="134" t="n"/>
      <c r="CE6" s="134" t="n"/>
      <c r="CF6" s="134" t="n"/>
      <c r="CG6" s="134" t="n"/>
      <c r="CH6" s="134" t="n"/>
      <c r="CI6" s="134" t="n"/>
      <c r="CJ6" s="134" t="n"/>
      <c r="CK6" s="134" t="n"/>
      <c r="CL6" s="134" t="n"/>
      <c r="CM6" s="134" t="n"/>
      <c r="CN6" s="134" t="n"/>
      <c r="CO6" s="134" t="n"/>
      <c r="CP6" s="134" t="n"/>
      <c r="CQ6" s="134" t="n"/>
      <c r="CR6" s="134" t="n"/>
      <c r="CS6" s="134" t="n"/>
      <c r="CT6" s="134" t="n"/>
      <c r="CU6" s="134" t="n"/>
      <c r="CV6" s="134" t="n"/>
      <c r="CW6" s="134" t="n"/>
      <c r="CX6" s="134" t="n"/>
      <c r="CY6" s="134" t="n"/>
      <c r="CZ6" s="134" t="n"/>
      <c r="DA6" s="134" t="n"/>
      <c r="DB6" s="134" t="n"/>
      <c r="DC6" s="134" t="n"/>
      <c r="DD6" s="134" t="n"/>
      <c r="DE6" s="134" t="n"/>
      <c r="DF6" s="134" t="n"/>
      <c r="DG6" s="134" t="n"/>
      <c r="DH6" s="134" t="n"/>
      <c r="DI6" s="134" t="n"/>
      <c r="DJ6" s="134" t="n"/>
      <c r="DK6" s="134" t="n"/>
      <c r="DL6" s="134" t="n"/>
      <c r="DM6" s="134" t="n"/>
      <c r="DN6" s="134" t="n"/>
      <c r="DO6" s="134" t="n"/>
      <c r="DP6" s="134" t="n"/>
      <c r="DQ6" s="134" t="n"/>
      <c r="DR6" s="134" t="n"/>
      <c r="DS6" s="134" t="n"/>
      <c r="DT6" s="134" t="n"/>
      <c r="DU6" s="134" t="n"/>
      <c r="DV6" s="134" t="n"/>
      <c r="DW6" s="134" t="n"/>
      <c r="DX6" s="134" t="n"/>
      <c r="DY6" s="134" t="n"/>
      <c r="DZ6" s="134" t="n"/>
      <c r="EA6" s="134" t="n"/>
      <c r="EB6" s="134" t="n"/>
      <c r="EC6" s="134" t="n"/>
      <c r="ED6" s="134" t="n"/>
      <c r="EE6" s="134" t="n"/>
      <c r="EF6" s="134" t="n"/>
      <c r="EG6" s="134" t="n"/>
      <c r="EH6" s="134" t="n"/>
      <c r="EI6" s="134" t="n"/>
      <c r="EJ6" s="134" t="n"/>
      <c r="EK6" s="134" t="n"/>
      <c r="EL6" s="134" t="n"/>
      <c r="EM6" s="134" t="n"/>
      <c r="EN6" s="134" t="n"/>
      <c r="EO6" s="134" t="n"/>
      <c r="EP6" s="134" t="n"/>
      <c r="EQ6" s="134" t="n"/>
      <c r="ER6" s="134" t="n"/>
      <c r="ES6" s="134" t="n"/>
      <c r="ET6" s="134" t="n"/>
      <c r="EU6" s="134" t="n"/>
      <c r="EV6" s="134" t="n"/>
      <c r="EW6" s="174" t="n"/>
      <c r="EX6" s="174" t="n"/>
      <c r="EY6" s="174" t="n"/>
      <c r="EZ6" s="174" t="n"/>
      <c r="FA6" s="174" t="n"/>
      <c r="FB6" s="174" t="n"/>
      <c r="FC6" s="174" t="n"/>
      <c r="FD6" s="134" t="n"/>
      <c r="FE6" s="134" t="n"/>
      <c r="FF6" s="134" t="n"/>
      <c r="FG6" s="134" t="n"/>
      <c r="FH6" s="134" t="n"/>
      <c r="FI6" s="134" t="n"/>
      <c r="FJ6" s="134" t="n"/>
      <c r="FK6" s="134" t="n"/>
      <c r="FL6" s="134" t="n"/>
      <c r="FM6" s="134" t="n"/>
      <c r="FN6" s="134" t="n"/>
      <c r="FO6" s="134" t="n"/>
      <c r="FP6" s="134" t="n"/>
      <c r="FQ6" s="134" t="n"/>
      <c r="FR6" s="134" t="n"/>
      <c r="FS6" s="134" t="n"/>
      <c r="FT6" s="134" t="n"/>
      <c r="FU6" s="134" t="n"/>
      <c r="FV6" s="134" t="n"/>
      <c r="FW6" s="134" t="n"/>
      <c r="FX6" s="134" t="n"/>
      <c r="FY6" s="134" t="n"/>
      <c r="FZ6" s="134" t="n"/>
      <c r="GA6" s="134" t="n"/>
      <c r="GB6" s="134" t="n"/>
      <c r="GC6" s="134" t="n"/>
      <c r="GD6" s="134" t="n"/>
      <c r="GE6" s="134" t="n"/>
      <c r="GF6" s="134" t="n"/>
      <c r="GG6" s="134" t="n"/>
      <c r="GH6" s="134" t="n"/>
      <c r="GI6" s="134" t="n"/>
      <c r="GJ6" s="134" t="n"/>
      <c r="GK6" s="134" t="n"/>
      <c r="GL6" s="134" t="n"/>
      <c r="GM6" s="134" t="n"/>
      <c r="GN6" s="134" t="n"/>
      <c r="GO6" s="134" t="n"/>
      <c r="GP6" s="134" t="n"/>
      <c r="GQ6" s="134" t="n"/>
      <c r="GR6" s="134" t="n"/>
      <c r="GS6" s="134" t="n"/>
      <c r="GT6" s="134" t="n"/>
      <c r="GU6" s="134" t="n"/>
      <c r="GV6" s="134" t="n"/>
      <c r="GW6" s="134" t="n"/>
      <c r="GX6" s="134" t="n"/>
      <c r="GY6" s="134" t="n"/>
      <c r="GZ6" s="134" t="n"/>
      <c r="HA6" s="134" t="n"/>
      <c r="HB6" s="134" t="n"/>
      <c r="HC6" s="134" t="n"/>
      <c r="HD6" s="134" t="n"/>
      <c r="HE6" s="134" t="n"/>
      <c r="HF6" s="134" t="n"/>
      <c r="HG6" s="134" t="n"/>
      <c r="HH6" s="134" t="n"/>
      <c r="HI6" s="134" t="n"/>
      <c r="HJ6" s="134" t="n"/>
      <c r="HK6" s="134" t="n"/>
      <c r="HL6" s="134" t="n"/>
      <c r="HM6" s="134" t="n"/>
      <c r="HN6" s="134" t="n"/>
      <c r="HO6" s="134" t="n"/>
      <c r="HP6" s="134" t="n"/>
      <c r="HQ6" s="134" t="n"/>
      <c r="HR6" s="134" t="n"/>
      <c r="HS6" s="134" t="n"/>
      <c r="HT6" s="134" t="n"/>
      <c r="HU6" s="134" t="n"/>
      <c r="HV6" s="134" t="n"/>
      <c r="HW6" s="134" t="n"/>
      <c r="HX6" s="134" t="n"/>
      <c r="HY6" s="134" t="n"/>
      <c r="HZ6" s="134" t="n"/>
      <c r="IA6" s="134" t="n"/>
      <c r="IB6" s="134" t="n"/>
      <c r="IC6" s="134" t="n"/>
      <c r="ID6" s="134" t="n"/>
      <c r="IE6" s="134" t="n"/>
      <c r="IF6" s="134" t="n"/>
      <c r="IG6" s="134" t="n"/>
      <c r="IH6" s="134" t="n"/>
      <c r="II6" s="134" t="n"/>
      <c r="IJ6" s="134" t="n"/>
      <c r="IK6" s="134" t="n"/>
      <c r="IL6" s="134" t="n"/>
      <c r="IM6" s="134" t="n"/>
      <c r="IN6" s="134" t="n"/>
      <c r="IO6" s="134" t="n"/>
      <c r="IP6" s="134" t="n"/>
      <c r="IQ6" s="134" t="n"/>
      <c r="IR6" s="134" t="n"/>
      <c r="IS6" s="134" t="n"/>
      <c r="IT6" s="134" t="n"/>
      <c r="IU6" s="134" t="n"/>
      <c r="IV6" s="134" t="n"/>
      <c r="IW6" s="134" t="n"/>
      <c r="IX6" s="134" t="n"/>
      <c r="IY6" s="134" t="n"/>
      <c r="IZ6" s="134" t="n"/>
      <c r="JA6" s="134" t="n"/>
      <c r="JB6" s="134" t="n"/>
      <c r="JC6" s="134" t="n"/>
      <c r="JD6" s="134" t="n"/>
      <c r="JE6" s="134" t="n"/>
      <c r="JF6" s="309" t="inlineStr">
        <is>
          <t>28 сч</t>
        </is>
      </c>
      <c r="JG6" s="263" t="n"/>
      <c r="JH6" s="309" t="inlineStr">
        <is>
          <t>28 сч</t>
        </is>
      </c>
      <c r="JI6" s="263" t="n"/>
      <c r="JJ6" s="312" t="n"/>
      <c r="JK6" s="306" t="n"/>
      <c r="JL6" s="267" t="inlineStr">
        <is>
          <t>25 счет</t>
        </is>
      </c>
      <c r="JM6" s="268" t="n"/>
      <c r="JN6" s="333" t="inlineStr">
        <is>
          <t>08 cч</t>
        </is>
      </c>
      <c r="JO6" s="334" t="n"/>
      <c r="JP6" s="334" t="n"/>
      <c r="JQ6" s="334" t="n"/>
      <c r="JR6" s="334" t="n"/>
      <c r="JS6" s="334" t="n"/>
      <c r="JT6" s="334" t="n"/>
      <c r="JU6" s="334" t="n"/>
      <c r="JV6" s="334" t="n"/>
      <c r="JW6" s="334" t="n"/>
      <c r="JX6" s="334" t="n"/>
      <c r="JY6" s="257" t="n"/>
      <c r="JZ6" s="319" t="n"/>
      <c r="KA6" s="263" t="n"/>
      <c r="KC6" s="306" t="n"/>
      <c r="KE6" s="2" t="n"/>
    </row>
    <row r="7" ht="18.75" customHeight="1" thickBot="1">
      <c r="A7" s="284" t="n"/>
      <c r="B7" s="284" t="n"/>
      <c r="C7" s="286" t="n"/>
      <c r="D7" s="325" t="n"/>
      <c r="E7" s="322" t="n"/>
      <c r="F7" s="325" t="n"/>
      <c r="G7" s="322" t="n"/>
      <c r="H7" s="149" t="inlineStr">
        <is>
          <t>часы</t>
        </is>
      </c>
      <c r="I7" s="150" t="inlineStr">
        <is>
          <t>доля</t>
        </is>
      </c>
      <c r="J7" s="149" t="inlineStr">
        <is>
          <t>часы</t>
        </is>
      </c>
      <c r="K7" s="150" t="inlineStr">
        <is>
          <t>доля</t>
        </is>
      </c>
      <c r="L7" s="149" t="inlineStr">
        <is>
          <t>часы</t>
        </is>
      </c>
      <c r="M7" s="151" t="inlineStr">
        <is>
          <t>доля</t>
        </is>
      </c>
      <c r="N7" s="152" t="inlineStr">
        <is>
          <t>часы</t>
        </is>
      </c>
      <c r="O7" s="151" t="inlineStr">
        <is>
          <t>доля</t>
        </is>
      </c>
      <c r="P7" s="153" t="inlineStr">
        <is>
          <t>часы</t>
        </is>
      </c>
      <c r="Q7" s="154" t="inlineStr">
        <is>
          <t>доля</t>
        </is>
      </c>
      <c r="R7" s="155" t="inlineStr">
        <is>
          <t>часы</t>
        </is>
      </c>
      <c r="S7" s="156" t="inlineStr">
        <is>
          <t>доля</t>
        </is>
      </c>
      <c r="T7" s="156" t="inlineStr">
        <is>
          <t>часы</t>
        </is>
      </c>
      <c r="U7" s="156" t="inlineStr">
        <is>
          <t>доля</t>
        </is>
      </c>
      <c r="V7" s="156" t="inlineStr">
        <is>
          <t>часы</t>
        </is>
      </c>
      <c r="W7" s="156" t="inlineStr">
        <is>
          <t>доля</t>
        </is>
      </c>
      <c r="X7" s="156" t="inlineStr">
        <is>
          <t>часы</t>
        </is>
      </c>
      <c r="Y7" s="156" t="inlineStr">
        <is>
          <t>доля</t>
        </is>
      </c>
      <c r="Z7" s="156" t="inlineStr">
        <is>
          <t>часы</t>
        </is>
      </c>
      <c r="AA7" s="157" t="inlineStr">
        <is>
          <t>доля</t>
        </is>
      </c>
      <c r="AB7" s="158" t="inlineStr">
        <is>
          <t>часы</t>
        </is>
      </c>
      <c r="AC7" s="154" t="inlineStr">
        <is>
          <t>доля</t>
        </is>
      </c>
      <c r="AD7" s="159" t="inlineStr">
        <is>
          <t>часы</t>
        </is>
      </c>
      <c r="AE7" s="160" t="inlineStr">
        <is>
          <t>доля</t>
        </is>
      </c>
      <c r="AF7" s="161" t="inlineStr">
        <is>
          <t>часы</t>
        </is>
      </c>
      <c r="AG7" s="162" t="inlineStr">
        <is>
          <t>доля</t>
        </is>
      </c>
      <c r="AH7" s="161" t="inlineStr">
        <is>
          <t>часы</t>
        </is>
      </c>
      <c r="AI7" s="162" t="inlineStr">
        <is>
          <t>доля</t>
        </is>
      </c>
      <c r="AJ7" s="161" t="inlineStr">
        <is>
          <t>часы</t>
        </is>
      </c>
      <c r="AK7" s="162" t="inlineStr">
        <is>
          <t>доля</t>
        </is>
      </c>
      <c r="AL7" s="161" t="inlineStr">
        <is>
          <t>часы</t>
        </is>
      </c>
      <c r="AM7" s="162" t="inlineStr">
        <is>
          <t>доля</t>
        </is>
      </c>
      <c r="AN7" s="161" t="inlineStr">
        <is>
          <t>часы</t>
        </is>
      </c>
      <c r="AO7" s="162" t="inlineStr">
        <is>
          <t>доля</t>
        </is>
      </c>
      <c r="AP7" s="161" t="inlineStr">
        <is>
          <t>часы</t>
        </is>
      </c>
      <c r="AQ7" s="162" t="inlineStr">
        <is>
          <t>доля</t>
        </is>
      </c>
      <c r="AR7" s="161" t="inlineStr">
        <is>
          <t>часы</t>
        </is>
      </c>
      <c r="AS7" s="162" t="inlineStr">
        <is>
          <t>доля</t>
        </is>
      </c>
      <c r="AT7" s="161" t="inlineStr">
        <is>
          <t>часы</t>
        </is>
      </c>
      <c r="AU7" s="162" t="inlineStr">
        <is>
          <t>доля</t>
        </is>
      </c>
      <c r="AV7" s="161" t="inlineStr">
        <is>
          <t>часы</t>
        </is>
      </c>
      <c r="AW7" s="162" t="inlineStr">
        <is>
          <t>доля</t>
        </is>
      </c>
      <c r="AX7" s="161" t="inlineStr">
        <is>
          <t>часы</t>
        </is>
      </c>
      <c r="AY7" s="162" t="inlineStr">
        <is>
          <t>доля</t>
        </is>
      </c>
      <c r="AZ7" s="161" t="inlineStr">
        <is>
          <t>часы</t>
        </is>
      </c>
      <c r="BA7" s="162" t="inlineStr">
        <is>
          <t>доля</t>
        </is>
      </c>
      <c r="BB7" s="161" t="inlineStr">
        <is>
          <t>часы</t>
        </is>
      </c>
      <c r="BC7" s="162" t="inlineStr">
        <is>
          <t>доля</t>
        </is>
      </c>
      <c r="BD7" s="161" t="inlineStr">
        <is>
          <t>часы</t>
        </is>
      </c>
      <c r="BE7" s="162" t="inlineStr">
        <is>
          <t>доля</t>
        </is>
      </c>
      <c r="BF7" s="161" t="inlineStr">
        <is>
          <t>часы</t>
        </is>
      </c>
      <c r="BG7" s="162" t="inlineStr">
        <is>
          <t>доля</t>
        </is>
      </c>
      <c r="BH7" s="161" t="inlineStr">
        <is>
          <t>часы</t>
        </is>
      </c>
      <c r="BI7" s="162" t="inlineStr">
        <is>
          <t>доля</t>
        </is>
      </c>
      <c r="BJ7" s="161" t="inlineStr">
        <is>
          <t>часы</t>
        </is>
      </c>
      <c r="BK7" s="162" t="inlineStr">
        <is>
          <t>доля</t>
        </is>
      </c>
      <c r="BL7" s="161" t="inlineStr">
        <is>
          <t>часы</t>
        </is>
      </c>
      <c r="BM7" s="163" t="inlineStr">
        <is>
          <t>доля</t>
        </is>
      </c>
      <c r="BN7" s="161" t="inlineStr">
        <is>
          <t>часы</t>
        </is>
      </c>
      <c r="BO7" s="163" t="inlineStr">
        <is>
          <t>доля</t>
        </is>
      </c>
      <c r="BP7" s="161" t="inlineStr">
        <is>
          <t>часы</t>
        </is>
      </c>
      <c r="BQ7" s="163" t="inlineStr">
        <is>
          <t>доля</t>
        </is>
      </c>
      <c r="BR7" s="161" t="inlineStr">
        <is>
          <t>часы</t>
        </is>
      </c>
      <c r="BS7" s="163" t="inlineStr">
        <is>
          <t>доля</t>
        </is>
      </c>
      <c r="BT7" s="161" t="inlineStr">
        <is>
          <t>часы</t>
        </is>
      </c>
      <c r="BU7" s="163" t="inlineStr">
        <is>
          <t>доля</t>
        </is>
      </c>
      <c r="BV7" s="161" t="inlineStr">
        <is>
          <t>часы</t>
        </is>
      </c>
      <c r="BW7" s="163" t="inlineStr">
        <is>
          <t>доля</t>
        </is>
      </c>
      <c r="BX7" s="161" t="inlineStr">
        <is>
          <t>часы</t>
        </is>
      </c>
      <c r="BY7" s="163" t="inlineStr">
        <is>
          <t>доля</t>
        </is>
      </c>
      <c r="BZ7" s="161" t="inlineStr">
        <is>
          <t>часы</t>
        </is>
      </c>
      <c r="CA7" s="163" t="inlineStr">
        <is>
          <t>доля</t>
        </is>
      </c>
      <c r="CB7" s="161" t="inlineStr">
        <is>
          <t>часы</t>
        </is>
      </c>
      <c r="CC7" s="162" t="inlineStr">
        <is>
          <t>доля</t>
        </is>
      </c>
      <c r="CD7" s="161" t="inlineStr">
        <is>
          <t>часы</t>
        </is>
      </c>
      <c r="CE7" s="162" t="inlineStr">
        <is>
          <t>доля</t>
        </is>
      </c>
      <c r="CF7" s="161" t="inlineStr">
        <is>
          <t>часы</t>
        </is>
      </c>
      <c r="CG7" s="163" t="inlineStr">
        <is>
          <t>доля</t>
        </is>
      </c>
      <c r="CH7" s="161" t="inlineStr">
        <is>
          <t>часы</t>
        </is>
      </c>
      <c r="CI7" s="163" t="inlineStr">
        <is>
          <t>доля</t>
        </is>
      </c>
      <c r="CJ7" s="161" t="inlineStr">
        <is>
          <t>часы</t>
        </is>
      </c>
      <c r="CK7" s="163" t="inlineStr">
        <is>
          <t>доля</t>
        </is>
      </c>
      <c r="CL7" s="161" t="inlineStr">
        <is>
          <t>часы</t>
        </is>
      </c>
      <c r="CM7" s="163" t="inlineStr">
        <is>
          <t>доля</t>
        </is>
      </c>
      <c r="CN7" s="153" t="inlineStr">
        <is>
          <t>часы</t>
        </is>
      </c>
      <c r="CO7" s="164" t="inlineStr">
        <is>
          <t>доля</t>
        </is>
      </c>
      <c r="CP7" s="165" t="inlineStr">
        <is>
          <t>часы</t>
        </is>
      </c>
      <c r="CQ7" s="166" t="inlineStr">
        <is>
          <t>доля</t>
        </is>
      </c>
      <c r="CR7" s="161" t="inlineStr">
        <is>
          <t>часы</t>
        </is>
      </c>
      <c r="CS7" s="163" t="inlineStr">
        <is>
          <t>доля</t>
        </is>
      </c>
      <c r="CT7" s="161" t="inlineStr">
        <is>
          <t>часы</t>
        </is>
      </c>
      <c r="CU7" s="163" t="inlineStr">
        <is>
          <t>доля</t>
        </is>
      </c>
      <c r="CV7" s="165" t="inlineStr">
        <is>
          <t>часы</t>
        </is>
      </c>
      <c r="CW7" s="166" t="inlineStr">
        <is>
          <t>доля</t>
        </is>
      </c>
      <c r="CX7" s="161" t="inlineStr">
        <is>
          <t>часы</t>
        </is>
      </c>
      <c r="CY7" s="163" t="inlineStr">
        <is>
          <t>доля</t>
        </is>
      </c>
      <c r="CZ7" s="161" t="inlineStr">
        <is>
          <t>часы</t>
        </is>
      </c>
      <c r="DA7" s="163" t="inlineStr">
        <is>
          <t>доля</t>
        </is>
      </c>
      <c r="DB7" s="165" t="inlineStr">
        <is>
          <t>часы</t>
        </is>
      </c>
      <c r="DC7" s="163" t="inlineStr">
        <is>
          <t>доля</t>
        </is>
      </c>
      <c r="DD7" s="161" t="inlineStr">
        <is>
          <t>часы</t>
        </is>
      </c>
      <c r="DE7" s="163" t="inlineStr">
        <is>
          <t>доля</t>
        </is>
      </c>
      <c r="DF7" s="161" t="inlineStr">
        <is>
          <t>часы</t>
        </is>
      </c>
      <c r="DG7" s="162" t="inlineStr">
        <is>
          <t>доля</t>
        </is>
      </c>
      <c r="DH7" s="161" t="inlineStr">
        <is>
          <t>часы</t>
        </is>
      </c>
      <c r="DI7" s="163" t="inlineStr">
        <is>
          <t>доля</t>
        </is>
      </c>
      <c r="DJ7" s="161" t="inlineStr">
        <is>
          <t>часы</t>
        </is>
      </c>
      <c r="DK7" s="163" t="inlineStr">
        <is>
          <t>доля</t>
        </is>
      </c>
      <c r="DL7" s="161" t="inlineStr">
        <is>
          <t>часы</t>
        </is>
      </c>
      <c r="DM7" s="162" t="inlineStr">
        <is>
          <t>доля</t>
        </is>
      </c>
      <c r="DN7" s="161" t="inlineStr">
        <is>
          <t>часы</t>
        </is>
      </c>
      <c r="DO7" s="166" t="inlineStr">
        <is>
          <t>доля</t>
        </is>
      </c>
      <c r="DP7" s="161" t="inlineStr">
        <is>
          <t>часы</t>
        </is>
      </c>
      <c r="DQ7" s="163" t="inlineStr">
        <is>
          <t>доля</t>
        </is>
      </c>
      <c r="DR7" s="161" t="inlineStr">
        <is>
          <t>доля</t>
        </is>
      </c>
      <c r="DS7" s="163" t="inlineStr">
        <is>
          <t>доля</t>
        </is>
      </c>
      <c r="DT7" s="161" t="inlineStr">
        <is>
          <t>часы</t>
        </is>
      </c>
      <c r="DU7" s="162" t="inlineStr">
        <is>
          <t>доля</t>
        </is>
      </c>
      <c r="DV7" s="161" t="inlineStr">
        <is>
          <t>часы</t>
        </is>
      </c>
      <c r="DW7" s="163" t="inlineStr">
        <is>
          <t>доля</t>
        </is>
      </c>
      <c r="DX7" s="153" t="inlineStr">
        <is>
          <t>часы</t>
        </is>
      </c>
      <c r="DY7" s="167" t="inlineStr">
        <is>
          <t>доля</t>
        </is>
      </c>
      <c r="DZ7" s="153" t="inlineStr">
        <is>
          <t>часы</t>
        </is>
      </c>
      <c r="EA7" s="167" t="inlineStr">
        <is>
          <t>доля</t>
        </is>
      </c>
      <c r="EB7" s="153" t="inlineStr">
        <is>
          <t>часы</t>
        </is>
      </c>
      <c r="EC7" s="167" t="inlineStr">
        <is>
          <t>доля</t>
        </is>
      </c>
      <c r="ED7" s="153" t="inlineStr">
        <is>
          <t>часы</t>
        </is>
      </c>
      <c r="EE7" s="167" t="inlineStr">
        <is>
          <t>доля</t>
        </is>
      </c>
      <c r="EF7" s="159" t="inlineStr">
        <is>
          <t>часы</t>
        </is>
      </c>
      <c r="EG7" s="168" t="inlineStr">
        <is>
          <t>доля</t>
        </is>
      </c>
      <c r="EH7" s="153" t="inlineStr">
        <is>
          <t>часы</t>
        </is>
      </c>
      <c r="EI7" s="167" t="inlineStr">
        <is>
          <t>доля</t>
        </is>
      </c>
      <c r="EJ7" s="153" t="inlineStr">
        <is>
          <t>часы</t>
        </is>
      </c>
      <c r="EK7" s="167" t="inlineStr">
        <is>
          <t>доля</t>
        </is>
      </c>
      <c r="EL7" s="153" t="inlineStr">
        <is>
          <t>часы</t>
        </is>
      </c>
      <c r="EM7" s="167" t="inlineStr">
        <is>
          <t>доля</t>
        </is>
      </c>
      <c r="EN7" s="153" t="inlineStr">
        <is>
          <t>часы</t>
        </is>
      </c>
      <c r="EO7" s="167" t="inlineStr">
        <is>
          <t>доля</t>
        </is>
      </c>
      <c r="EP7" s="153" t="inlineStr">
        <is>
          <t>часы</t>
        </is>
      </c>
      <c r="EQ7" s="167" t="inlineStr">
        <is>
          <t>доля</t>
        </is>
      </c>
      <c r="ER7" s="153" t="inlineStr">
        <is>
          <t>часы</t>
        </is>
      </c>
      <c r="ES7" s="167" t="inlineStr">
        <is>
          <t>доля</t>
        </is>
      </c>
      <c r="ET7" s="153" t="inlineStr">
        <is>
          <t>часы</t>
        </is>
      </c>
      <c r="EU7" s="167" t="inlineStr">
        <is>
          <t>доля</t>
        </is>
      </c>
      <c r="EV7" s="153" t="inlineStr">
        <is>
          <t>часы</t>
        </is>
      </c>
      <c r="EW7" s="167" t="inlineStr">
        <is>
          <t>доля</t>
        </is>
      </c>
      <c r="EX7" s="159" t="inlineStr">
        <is>
          <t>часы</t>
        </is>
      </c>
      <c r="EY7" s="169" t="inlineStr">
        <is>
          <t>доля</t>
        </is>
      </c>
      <c r="EZ7" s="153" t="inlineStr">
        <is>
          <t>часы</t>
        </is>
      </c>
      <c r="FA7" s="170" t="inlineStr">
        <is>
          <t>доля</t>
        </is>
      </c>
      <c r="FB7" s="153" t="inlineStr">
        <is>
          <t>часы</t>
        </is>
      </c>
      <c r="FC7" s="170" t="inlineStr">
        <is>
          <t>доля</t>
        </is>
      </c>
      <c r="FD7" s="153" t="inlineStr">
        <is>
          <t>часы</t>
        </is>
      </c>
      <c r="FE7" s="170" t="inlineStr">
        <is>
          <t>доля</t>
        </is>
      </c>
      <c r="FF7" s="153" t="inlineStr">
        <is>
          <t>часы</t>
        </is>
      </c>
      <c r="FG7" s="170" t="inlineStr">
        <is>
          <t>доля</t>
        </is>
      </c>
      <c r="FH7" s="153" t="inlineStr">
        <is>
          <t>часы</t>
        </is>
      </c>
      <c r="FI7" s="170" t="inlineStr">
        <is>
          <t>доля</t>
        </is>
      </c>
      <c r="FJ7" s="159" t="inlineStr">
        <is>
          <t>часы</t>
        </is>
      </c>
      <c r="FK7" s="171" t="inlineStr">
        <is>
          <t>доля</t>
        </is>
      </c>
      <c r="FL7" s="172" t="inlineStr">
        <is>
          <t>часы</t>
        </is>
      </c>
      <c r="FM7" s="170" t="inlineStr">
        <is>
          <t>доля</t>
        </is>
      </c>
      <c r="FN7" s="153" t="inlineStr">
        <is>
          <t>часы</t>
        </is>
      </c>
      <c r="FO7" s="167" t="inlineStr">
        <is>
          <t>доля</t>
        </is>
      </c>
      <c r="FP7" s="153" t="inlineStr">
        <is>
          <t>часы</t>
        </is>
      </c>
      <c r="FQ7" s="167" t="inlineStr">
        <is>
          <t>доля</t>
        </is>
      </c>
      <c r="FR7" s="153" t="inlineStr">
        <is>
          <t>часы</t>
        </is>
      </c>
      <c r="FS7" s="167" t="inlineStr">
        <is>
          <t>доля</t>
        </is>
      </c>
      <c r="FT7" s="153" t="inlineStr">
        <is>
          <t>часы</t>
        </is>
      </c>
      <c r="FU7" s="167" t="inlineStr">
        <is>
          <t>доля</t>
        </is>
      </c>
      <c r="FV7" s="153" t="inlineStr">
        <is>
          <t>часы</t>
        </is>
      </c>
      <c r="FW7" s="167" t="inlineStr">
        <is>
          <t>доля</t>
        </is>
      </c>
      <c r="FX7" s="153" t="inlineStr">
        <is>
          <t>часы</t>
        </is>
      </c>
      <c r="FY7" s="168" t="inlineStr">
        <is>
          <t>доля</t>
        </is>
      </c>
      <c r="FZ7" s="153" t="inlineStr">
        <is>
          <t>часы</t>
        </is>
      </c>
      <c r="GA7" s="168" t="inlineStr">
        <is>
          <t>доля</t>
        </is>
      </c>
      <c r="GB7" s="153" t="inlineStr">
        <is>
          <t>часы</t>
        </is>
      </c>
      <c r="GC7" s="168" t="inlineStr">
        <is>
          <t>доля</t>
        </is>
      </c>
      <c r="GD7" s="153" t="inlineStr">
        <is>
          <t>часы</t>
        </is>
      </c>
      <c r="GE7" s="168" t="inlineStr">
        <is>
          <t>доля</t>
        </is>
      </c>
      <c r="GF7" s="153" t="inlineStr">
        <is>
          <t>часы</t>
        </is>
      </c>
      <c r="GG7" s="167" t="inlineStr">
        <is>
          <t>доля</t>
        </is>
      </c>
      <c r="GH7" s="153" t="inlineStr">
        <is>
          <t>часы</t>
        </is>
      </c>
      <c r="GI7" s="170" t="inlineStr">
        <is>
          <t>доля</t>
        </is>
      </c>
      <c r="GJ7" s="153" t="inlineStr">
        <is>
          <t>часы</t>
        </is>
      </c>
      <c r="GK7" s="167" t="inlineStr">
        <is>
          <t>доля</t>
        </is>
      </c>
      <c r="GL7" s="153" t="inlineStr">
        <is>
          <t>часы</t>
        </is>
      </c>
      <c r="GM7" s="167" t="inlineStr">
        <is>
          <t>доля</t>
        </is>
      </c>
      <c r="GN7" s="153" t="inlineStr">
        <is>
          <t>часы</t>
        </is>
      </c>
      <c r="GO7" s="167" t="inlineStr">
        <is>
          <t>доля</t>
        </is>
      </c>
      <c r="GP7" s="153" t="inlineStr">
        <is>
          <t>часы</t>
        </is>
      </c>
      <c r="GQ7" s="167" t="inlineStr">
        <is>
          <t>доля</t>
        </is>
      </c>
      <c r="GR7" s="153" t="inlineStr">
        <is>
          <t>часы</t>
        </is>
      </c>
      <c r="GS7" s="167" t="inlineStr">
        <is>
          <t>доля</t>
        </is>
      </c>
      <c r="GT7" s="153" t="inlineStr">
        <is>
          <t>часы</t>
        </is>
      </c>
      <c r="GU7" s="167" t="inlineStr">
        <is>
          <t>доля</t>
        </is>
      </c>
      <c r="GV7" s="153" t="inlineStr">
        <is>
          <t>часы</t>
        </is>
      </c>
      <c r="GW7" s="167" t="inlineStr">
        <is>
          <t>доля</t>
        </is>
      </c>
      <c r="GX7" s="153" t="inlineStr">
        <is>
          <t>часы</t>
        </is>
      </c>
      <c r="GY7" s="167" t="inlineStr">
        <is>
          <t>доля</t>
        </is>
      </c>
      <c r="GZ7" s="153" t="inlineStr">
        <is>
          <t>часы</t>
        </is>
      </c>
      <c r="HA7" s="167" t="inlineStr">
        <is>
          <t>доля</t>
        </is>
      </c>
      <c r="HB7" s="153" t="inlineStr">
        <is>
          <t>часы</t>
        </is>
      </c>
      <c r="HC7" s="167" t="inlineStr">
        <is>
          <t>доля</t>
        </is>
      </c>
      <c r="HD7" s="153" t="inlineStr">
        <is>
          <t>часы</t>
        </is>
      </c>
      <c r="HE7" s="167" t="inlineStr">
        <is>
          <t>доля</t>
        </is>
      </c>
      <c r="HF7" s="153" t="inlineStr">
        <is>
          <t>часы</t>
        </is>
      </c>
      <c r="HG7" s="167" t="inlineStr">
        <is>
          <t>доля</t>
        </is>
      </c>
      <c r="HH7" s="153" t="inlineStr">
        <is>
          <t>часы</t>
        </is>
      </c>
      <c r="HI7" s="167" t="inlineStr">
        <is>
          <t>доля</t>
        </is>
      </c>
      <c r="HJ7" s="153" t="inlineStr">
        <is>
          <t>часы</t>
        </is>
      </c>
      <c r="HK7" s="167" t="inlineStr">
        <is>
          <t>доля</t>
        </is>
      </c>
      <c r="HL7" s="153" t="inlineStr">
        <is>
          <t>часы</t>
        </is>
      </c>
      <c r="HM7" s="167" t="inlineStr">
        <is>
          <t>доля</t>
        </is>
      </c>
      <c r="HN7" s="153" t="inlineStr">
        <is>
          <t>часы</t>
        </is>
      </c>
      <c r="HO7" s="167" t="inlineStr">
        <is>
          <t>доля</t>
        </is>
      </c>
      <c r="HP7" s="153" t="inlineStr">
        <is>
          <t>часы</t>
        </is>
      </c>
      <c r="HQ7" s="167" t="inlineStr">
        <is>
          <t>доля</t>
        </is>
      </c>
      <c r="HR7" s="153" t="inlineStr">
        <is>
          <t>часы</t>
        </is>
      </c>
      <c r="HS7" s="167" t="inlineStr">
        <is>
          <t>доля</t>
        </is>
      </c>
      <c r="HT7" s="153" t="inlineStr">
        <is>
          <t>часы</t>
        </is>
      </c>
      <c r="HU7" s="168" t="inlineStr">
        <is>
          <t>доля</t>
        </is>
      </c>
      <c r="HV7" s="153" t="inlineStr">
        <is>
          <t>часы</t>
        </is>
      </c>
      <c r="HW7" s="167" t="inlineStr">
        <is>
          <t>доля</t>
        </is>
      </c>
      <c r="HX7" s="153" t="inlineStr">
        <is>
          <t>часы</t>
        </is>
      </c>
      <c r="HY7" s="168" t="inlineStr">
        <is>
          <t>доля</t>
        </is>
      </c>
      <c r="HZ7" s="153" t="inlineStr">
        <is>
          <t>часы</t>
        </is>
      </c>
      <c r="IA7" s="168" t="inlineStr">
        <is>
          <t>доля</t>
        </is>
      </c>
      <c r="IB7" s="153" t="inlineStr">
        <is>
          <t>часы</t>
        </is>
      </c>
      <c r="IC7" s="167" t="inlineStr">
        <is>
          <t>доля</t>
        </is>
      </c>
      <c r="ID7" s="159" t="inlineStr">
        <is>
          <t>часы</t>
        </is>
      </c>
      <c r="IE7" s="167" t="inlineStr">
        <is>
          <t>доля</t>
        </is>
      </c>
      <c r="IF7" s="153" t="inlineStr">
        <is>
          <t>часы</t>
        </is>
      </c>
      <c r="IG7" s="167" t="inlineStr">
        <is>
          <t>доля</t>
        </is>
      </c>
      <c r="IH7" s="153" t="inlineStr">
        <is>
          <t>часы</t>
        </is>
      </c>
      <c r="II7" s="167" t="inlineStr">
        <is>
          <t>доля</t>
        </is>
      </c>
      <c r="IJ7" s="153" t="inlineStr">
        <is>
          <t>часы</t>
        </is>
      </c>
      <c r="IK7" s="167" t="inlineStr">
        <is>
          <t>доля</t>
        </is>
      </c>
      <c r="IL7" s="153" t="inlineStr">
        <is>
          <t>часы</t>
        </is>
      </c>
      <c r="IM7" s="167" t="inlineStr">
        <is>
          <t>доля</t>
        </is>
      </c>
      <c r="IN7" s="153" t="inlineStr">
        <is>
          <t>часы</t>
        </is>
      </c>
      <c r="IO7" s="167" t="inlineStr">
        <is>
          <t>доля</t>
        </is>
      </c>
      <c r="IP7" s="153" t="inlineStr">
        <is>
          <t>часы</t>
        </is>
      </c>
      <c r="IQ7" s="167" t="inlineStr">
        <is>
          <t>доля</t>
        </is>
      </c>
      <c r="IR7" s="153" t="inlineStr">
        <is>
          <t>часы</t>
        </is>
      </c>
      <c r="IS7" s="167" t="inlineStr">
        <is>
          <t>доля</t>
        </is>
      </c>
      <c r="IT7" s="153" t="inlineStr">
        <is>
          <t>часы</t>
        </is>
      </c>
      <c r="IU7" s="167" t="inlineStr">
        <is>
          <t>доля</t>
        </is>
      </c>
      <c r="IV7" s="153" t="inlineStr">
        <is>
          <t>часы</t>
        </is>
      </c>
      <c r="IW7" s="167" t="inlineStr">
        <is>
          <t>доля</t>
        </is>
      </c>
      <c r="IX7" s="153" t="inlineStr">
        <is>
          <t>часы</t>
        </is>
      </c>
      <c r="IY7" s="167" t="inlineStr">
        <is>
          <t>доля</t>
        </is>
      </c>
      <c r="IZ7" s="153" t="inlineStr">
        <is>
          <t>часы</t>
        </is>
      </c>
      <c r="JA7" s="167" t="inlineStr">
        <is>
          <t>доля</t>
        </is>
      </c>
      <c r="JB7" s="153" t="inlineStr">
        <is>
          <t>часы</t>
        </is>
      </c>
      <c r="JC7" s="167" t="inlineStr">
        <is>
          <t>доля</t>
        </is>
      </c>
      <c r="JD7" s="153" t="inlineStr">
        <is>
          <t>часы</t>
        </is>
      </c>
      <c r="JE7" s="167" t="inlineStr">
        <is>
          <t>доля</t>
        </is>
      </c>
      <c r="JF7" s="72" t="inlineStr">
        <is>
          <t>часы</t>
        </is>
      </c>
      <c r="JG7" s="146" t="inlineStr">
        <is>
          <t>доля</t>
        </is>
      </c>
      <c r="JH7" s="70" t="inlineStr">
        <is>
          <t>часы</t>
        </is>
      </c>
      <c r="JI7" s="147" t="inlineStr">
        <is>
          <t>доля</t>
        </is>
      </c>
      <c r="JJ7" s="72" t="inlineStr">
        <is>
          <t>часы</t>
        </is>
      </c>
      <c r="JK7" s="73" t="inlineStr">
        <is>
          <t>доля</t>
        </is>
      </c>
      <c r="JL7" s="72" t="inlineStr">
        <is>
          <t>часы</t>
        </is>
      </c>
      <c r="JM7" s="73" t="inlineStr">
        <is>
          <t>доля</t>
        </is>
      </c>
      <c r="JN7" s="72" t="inlineStr">
        <is>
          <t>часы</t>
        </is>
      </c>
      <c r="JO7" s="71" t="inlineStr">
        <is>
          <t>доля</t>
        </is>
      </c>
      <c r="JP7" s="71" t="inlineStr">
        <is>
          <t>часы</t>
        </is>
      </c>
      <c r="JQ7" s="71" t="inlineStr">
        <is>
          <t>доля</t>
        </is>
      </c>
      <c r="JR7" s="71" t="inlineStr">
        <is>
          <t>часы</t>
        </is>
      </c>
      <c r="JS7" s="71" t="inlineStr">
        <is>
          <t>доля</t>
        </is>
      </c>
      <c r="JT7" s="71" t="inlineStr">
        <is>
          <t>часы</t>
        </is>
      </c>
      <c r="JU7" s="71" t="inlineStr">
        <is>
          <t>доля</t>
        </is>
      </c>
      <c r="JV7" s="71" t="inlineStr">
        <is>
          <t>часы</t>
        </is>
      </c>
      <c r="JW7" s="71" t="inlineStr">
        <is>
          <t>доля</t>
        </is>
      </c>
      <c r="JX7" s="71" t="inlineStr">
        <is>
          <t>часы</t>
        </is>
      </c>
      <c r="JY7" s="73" t="inlineStr">
        <is>
          <t>доля</t>
        </is>
      </c>
      <c r="JZ7" s="72" t="inlineStr">
        <is>
          <t>часы</t>
        </is>
      </c>
      <c r="KA7" s="73" t="inlineStr">
        <is>
          <t>доля</t>
        </is>
      </c>
      <c r="KB7" s="74" t="inlineStr">
        <is>
          <t>часы</t>
        </is>
      </c>
      <c r="KC7" s="75" t="inlineStr">
        <is>
          <t>доля</t>
        </is>
      </c>
      <c r="KE7" s="279" t="inlineStr">
        <is>
          <t>проверка</t>
        </is>
      </c>
    </row>
    <row r="8" ht="16.5" customHeight="1" thickBot="1">
      <c r="A8" s="283" t="n"/>
      <c r="B8" s="299" t="n"/>
      <c r="C8" s="285" t="n"/>
      <c r="D8" s="127" t="n"/>
      <c r="E8" s="128" t="n"/>
      <c r="F8" s="80" t="n"/>
      <c r="G8" s="79" t="n"/>
      <c r="H8" s="56" t="n"/>
      <c r="I8" s="61" t="n"/>
      <c r="J8" s="56" t="n"/>
      <c r="K8" s="61" t="n"/>
      <c r="L8" s="56" t="n"/>
      <c r="M8" s="81" t="n"/>
      <c r="N8" s="8" t="n"/>
      <c r="O8" s="82" t="n"/>
      <c r="P8" s="8" t="n"/>
      <c r="Q8" s="85" t="n"/>
      <c r="R8" s="84" t="n"/>
      <c r="S8" s="83" t="n"/>
      <c r="T8" s="83" t="n"/>
      <c r="U8" s="83" t="n"/>
      <c r="V8" s="84" t="n"/>
      <c r="W8" s="83" t="n"/>
      <c r="X8" s="83" t="n"/>
      <c r="Y8" s="83" t="n"/>
      <c r="Z8" s="83" t="n"/>
      <c r="AA8" s="85" t="n"/>
      <c r="AB8" s="84" t="n"/>
      <c r="AC8" s="85" t="n"/>
      <c r="AD8" s="56" t="n"/>
      <c r="AE8" s="82" t="n"/>
      <c r="AF8" s="38" t="n"/>
      <c r="AG8" s="84" t="n"/>
      <c r="AH8" s="38" t="n"/>
      <c r="AI8" s="84" t="n"/>
      <c r="AJ8" s="38" t="n"/>
      <c r="AK8" s="84" t="n"/>
      <c r="AL8" s="38" t="n"/>
      <c r="AM8" s="84" t="n"/>
      <c r="AN8" s="38" t="n"/>
      <c r="AO8" s="84" t="n"/>
      <c r="AP8" s="38" t="n"/>
      <c r="AQ8" s="84" t="n"/>
      <c r="AR8" s="38" t="n"/>
      <c r="AS8" s="84" t="n"/>
      <c r="AT8" s="38" t="n"/>
      <c r="AU8" s="84" t="n"/>
      <c r="AV8" s="38" t="n"/>
      <c r="AW8" s="84" t="n"/>
      <c r="AX8" s="38" t="n"/>
      <c r="AY8" s="84" t="n"/>
      <c r="AZ8" s="38" t="n"/>
      <c r="BA8" s="84" t="n"/>
      <c r="BB8" s="38" t="n"/>
      <c r="BC8" s="84" t="n"/>
      <c r="BD8" s="38" t="n"/>
      <c r="BE8" s="84" t="n"/>
      <c r="BF8" s="38" t="n"/>
      <c r="BG8" s="84" t="n"/>
      <c r="BH8" s="38" t="n"/>
      <c r="BI8" s="84" t="n"/>
      <c r="BJ8" s="38" t="n"/>
      <c r="BK8" s="84" t="n"/>
      <c r="BL8" s="38" t="n"/>
      <c r="BM8" s="86" t="n"/>
      <c r="BN8" s="38" t="n"/>
      <c r="BO8" s="86" t="n"/>
      <c r="BP8" s="38" t="n"/>
      <c r="BQ8" s="86" t="n"/>
      <c r="BR8" s="38" t="n"/>
      <c r="BS8" s="86" t="n"/>
      <c r="BT8" s="38" t="n"/>
      <c r="BU8" s="58" t="n"/>
      <c r="BV8" s="38" t="n"/>
      <c r="BW8" s="86" t="n"/>
      <c r="BX8" s="38" t="n"/>
      <c r="BY8" s="86" t="n"/>
      <c r="BZ8" s="38" t="n"/>
      <c r="CA8" s="86" t="n"/>
      <c r="CB8" s="38" t="n"/>
      <c r="CC8" s="84" t="n"/>
      <c r="CD8" s="38" t="n"/>
      <c r="CE8" s="84" t="n"/>
      <c r="CF8" s="38" t="n"/>
      <c r="CG8" s="86" t="n"/>
      <c r="CH8" s="38" t="n"/>
      <c r="CI8" s="86" t="n"/>
      <c r="CJ8" s="136" t="n"/>
      <c r="CK8" s="86" t="n"/>
      <c r="CL8" s="136" t="n"/>
      <c r="CM8" s="86" t="n"/>
      <c r="CN8" s="8" t="n"/>
      <c r="CO8" s="86" t="n"/>
      <c r="CP8" s="60" t="n"/>
      <c r="CQ8" s="81" t="n"/>
      <c r="CR8" s="136" t="n"/>
      <c r="CS8" s="86" t="n"/>
      <c r="CT8" s="136" t="n"/>
      <c r="CU8" s="86" t="n"/>
      <c r="CV8" s="60" t="n"/>
      <c r="CW8" s="81" t="n"/>
      <c r="CX8" s="136" t="n"/>
      <c r="CY8" s="86" t="n"/>
      <c r="CZ8" s="38" t="n"/>
      <c r="DA8" s="86" t="n"/>
      <c r="DB8" s="59" t="n"/>
      <c r="DC8" s="81" t="n"/>
      <c r="DD8" s="38" t="n"/>
      <c r="DE8" s="86" t="n"/>
      <c r="DF8" s="38" t="n"/>
      <c r="DG8" s="84" t="n"/>
      <c r="DH8" s="38" t="n"/>
      <c r="DI8" s="86" t="n"/>
      <c r="DJ8" s="38" t="n"/>
      <c r="DK8" s="86" t="n"/>
      <c r="DL8" s="38" t="n"/>
      <c r="DM8" s="84" t="n"/>
      <c r="DN8" s="38" t="n"/>
      <c r="DO8" s="81" t="n"/>
      <c r="DP8" s="38" t="n"/>
      <c r="DQ8" s="58" t="n"/>
      <c r="DR8" s="136" t="n"/>
      <c r="DS8" s="86" t="n"/>
      <c r="DT8" s="38" t="n"/>
      <c r="DU8" s="57" t="n"/>
      <c r="DV8" s="38" t="n"/>
      <c r="DW8" s="58" t="n"/>
      <c r="DX8" s="136" t="n"/>
      <c r="DY8" s="60" t="n"/>
      <c r="DZ8" s="136" t="n"/>
      <c r="EA8" s="137" t="n"/>
      <c r="EB8" s="136" t="n"/>
      <c r="EC8" s="137" t="n"/>
      <c r="ED8" s="8" t="n"/>
      <c r="EE8" s="10" t="n"/>
      <c r="EF8" s="56" t="n"/>
      <c r="EG8" s="9" t="n"/>
      <c r="EH8" s="8" t="n"/>
      <c r="EI8" s="10" t="n"/>
      <c r="EJ8" s="8" t="n"/>
      <c r="EK8" s="10" t="n"/>
      <c r="EL8" s="8" t="n"/>
      <c r="EM8" s="10" t="n"/>
      <c r="EN8" s="136" t="n"/>
      <c r="EO8" s="137" t="n"/>
      <c r="EP8" s="136" t="n"/>
      <c r="EQ8" s="137" t="n"/>
      <c r="ER8" s="136" t="n"/>
      <c r="ES8" s="137" t="n"/>
      <c r="ET8" s="136" t="n"/>
      <c r="EU8" s="137" t="n"/>
      <c r="EV8" s="136" t="n"/>
      <c r="EW8" s="137" t="n"/>
      <c r="EX8" s="56" t="n"/>
      <c r="EY8" s="60" t="n"/>
      <c r="EZ8" s="8" t="n"/>
      <c r="FA8" s="137" t="n"/>
      <c r="FB8" s="8" t="n"/>
      <c r="FC8" s="137" t="n"/>
      <c r="FD8" s="8" t="n"/>
      <c r="FE8" s="137" t="n"/>
      <c r="FF8" s="8" t="n"/>
      <c r="FG8" s="137" t="n"/>
      <c r="FH8" s="8" t="n"/>
      <c r="FI8" s="137" t="n"/>
      <c r="FJ8" s="56" t="n"/>
      <c r="FK8" s="56" t="n"/>
      <c r="FL8" s="61" t="n"/>
      <c r="FM8" s="60" t="n"/>
      <c r="FN8" s="136" t="n"/>
      <c r="FO8" s="137" t="n"/>
      <c r="FP8" s="136" t="n"/>
      <c r="FQ8" s="137" t="n"/>
      <c r="FR8" s="136" t="n"/>
      <c r="FS8" s="137" t="n"/>
      <c r="FT8" s="136" t="n"/>
      <c r="FU8" s="137" t="n"/>
      <c r="FV8" s="136" t="n"/>
      <c r="FW8" s="137" t="n"/>
      <c r="FX8" s="136" t="n"/>
      <c r="FY8" s="60" t="n"/>
      <c r="FZ8" s="136" t="n"/>
      <c r="GA8" s="60" t="n"/>
      <c r="GB8" s="136" t="n"/>
      <c r="GC8" s="60" t="n"/>
      <c r="GD8" s="136" t="n"/>
      <c r="GE8" s="60" t="n"/>
      <c r="GF8" s="136" t="n"/>
      <c r="GG8" s="60" t="n"/>
      <c r="GH8" s="8" t="n"/>
      <c r="GI8" s="60" t="n"/>
      <c r="GJ8" s="8" t="n"/>
      <c r="GK8" s="60" t="n"/>
      <c r="GL8" s="136" t="n"/>
      <c r="GM8" s="60" t="n"/>
      <c r="GN8" s="136" t="n"/>
      <c r="GO8" s="137" t="n"/>
      <c r="GP8" s="136" t="n"/>
      <c r="GQ8" s="60" t="n"/>
      <c r="GR8" s="136" t="n"/>
      <c r="GS8" s="60" t="n"/>
      <c r="GT8" s="136" t="n"/>
      <c r="GU8" s="60" t="n"/>
      <c r="GV8" s="136" t="n"/>
      <c r="GW8" s="137" t="n"/>
      <c r="GX8" s="136" t="n"/>
      <c r="GY8" s="60" t="n"/>
      <c r="GZ8" s="136" t="n"/>
      <c r="HA8" s="60" t="n"/>
      <c r="HB8" s="136" t="n"/>
      <c r="HC8" s="60" t="n"/>
      <c r="HD8" s="136" t="n"/>
      <c r="HE8" s="60" t="n"/>
      <c r="HF8" s="136" t="n"/>
      <c r="HG8" s="60" t="n"/>
      <c r="HH8" s="136" t="n"/>
      <c r="HI8" s="60" t="n"/>
      <c r="HJ8" s="136" t="n"/>
      <c r="HK8" s="60" t="n"/>
      <c r="HL8" s="136" t="n"/>
      <c r="HM8" s="60" t="n"/>
      <c r="HN8" s="136" t="n"/>
      <c r="HO8" s="60" t="n"/>
      <c r="HP8" s="136" t="n"/>
      <c r="HQ8" s="60" t="n"/>
      <c r="HR8" s="136" t="n"/>
      <c r="HS8" s="60" t="n"/>
      <c r="HT8" s="136" t="n"/>
      <c r="HU8" s="60" t="n"/>
      <c r="HV8" s="8" t="n"/>
      <c r="HW8" s="137" t="n"/>
      <c r="HX8" s="136" t="n"/>
      <c r="HY8" s="60" t="n"/>
      <c r="HZ8" s="8" t="n"/>
      <c r="IA8" s="60" t="n"/>
      <c r="IB8" s="8" t="n"/>
      <c r="IC8" s="137" t="n"/>
      <c r="ID8" s="56" t="n"/>
      <c r="IE8" s="60" t="n"/>
      <c r="IF8" s="136" t="n"/>
      <c r="IG8" s="60" t="n"/>
      <c r="IH8" s="136" t="n"/>
      <c r="II8" s="60" t="n"/>
      <c r="IJ8" s="136" t="n"/>
      <c r="IK8" s="60" t="n"/>
      <c r="IL8" s="136" t="n"/>
      <c r="IM8" s="60" t="n"/>
      <c r="IN8" s="136" t="n"/>
      <c r="IO8" s="60" t="n"/>
      <c r="IP8" s="8" t="n"/>
      <c r="IQ8" s="137" t="n"/>
      <c r="IR8" s="8" t="n"/>
      <c r="IS8" s="60" t="n"/>
      <c r="IT8" s="136" t="n"/>
      <c r="IU8" s="137" t="n"/>
      <c r="IV8" s="136" t="n"/>
      <c r="IW8" s="137" t="n"/>
      <c r="IX8" s="8" t="n"/>
      <c r="IY8" s="137" t="n"/>
      <c r="IZ8" s="136" t="n"/>
      <c r="JA8" s="137" t="n"/>
      <c r="JB8" s="136" t="n"/>
      <c r="JC8" s="137" t="n"/>
      <c r="JD8" s="8" t="n"/>
      <c r="JE8" s="60" t="n"/>
      <c r="JF8" s="136" t="n"/>
      <c r="JG8" s="137" t="n"/>
      <c r="JH8" s="110" t="n"/>
      <c r="JI8" s="137" t="n"/>
      <c r="JJ8" s="8" t="n"/>
      <c r="JK8" s="10" t="n"/>
      <c r="JL8" s="136" t="n"/>
      <c r="JM8" s="137" t="n"/>
      <c r="JN8" s="136" t="n"/>
      <c r="JO8" s="61" t="n"/>
      <c r="JP8" s="61" t="n"/>
      <c r="JQ8" s="61" t="n"/>
      <c r="JR8" s="61" t="n"/>
      <c r="JS8" s="61" t="n"/>
      <c r="JT8" s="61" t="n"/>
      <c r="JU8" s="61" t="n"/>
      <c r="JV8" s="61" t="n"/>
      <c r="JW8" s="61" t="n"/>
      <c r="JX8" s="61" t="n"/>
      <c r="JY8" s="10" t="n"/>
      <c r="JZ8" s="8" t="n"/>
      <c r="KA8" s="10" t="n"/>
      <c r="KB8" s="65" t="n"/>
      <c r="KC8" s="87" t="n"/>
    </row>
    <row r="9" ht="21.75" customFormat="1" customHeight="1" s="11">
      <c r="A9" s="126" t="n">
        <v>1</v>
      </c>
      <c r="B9" s="175" t="inlineStr">
        <is>
          <t>Батурин А.Ю.</t>
        </is>
      </c>
      <c r="C9" s="176" t="inlineStr">
        <is>
          <t>термист</t>
        </is>
      </c>
      <c r="D9" s="177">
        <f>$D$5</f>
        <v/>
      </c>
      <c r="E9" s="202" t="n"/>
      <c r="F9" s="197" t="n">
        <v>68902.87</v>
      </c>
      <c r="G9" s="51">
        <f>F9/D9</f>
        <v/>
      </c>
      <c r="H9" s="124" t="n"/>
      <c r="I9" s="90">
        <f>H9*100/$E$9</f>
        <v/>
      </c>
      <c r="J9" s="117" t="n"/>
      <c r="K9" s="90">
        <f>J9*100/$E$9</f>
        <v/>
      </c>
      <c r="L9" s="117" t="n"/>
      <c r="M9" s="90">
        <f>L9*100/$E$9</f>
        <v/>
      </c>
      <c r="N9" s="117" t="n"/>
      <c r="O9" s="90">
        <f>N9*100/$E$9</f>
        <v/>
      </c>
      <c r="P9" s="117" t="n"/>
      <c r="Q9" s="121">
        <f>P9*100/$E$9</f>
        <v/>
      </c>
      <c r="R9" s="117" t="n"/>
      <c r="S9" s="120">
        <f>R9*100/$E$9</f>
        <v/>
      </c>
      <c r="T9" s="117" t="n"/>
      <c r="U9" s="90">
        <f>T9*100/$E$9</f>
        <v/>
      </c>
      <c r="V9" s="117" t="n"/>
      <c r="W9" s="90">
        <f>V9*100/$E$9</f>
        <v/>
      </c>
      <c r="X9" s="117" t="n"/>
      <c r="Y9" s="90">
        <f>X9*100/$E$9</f>
        <v/>
      </c>
      <c r="Z9" s="117" t="n"/>
      <c r="AA9" s="90">
        <f>Z9*100/$E$9</f>
        <v/>
      </c>
      <c r="AB9" s="117" t="n"/>
      <c r="AC9" s="90">
        <f>AB9*100/$E$9</f>
        <v/>
      </c>
      <c r="AD9" s="117" t="n"/>
      <c r="AE9" s="120">
        <f>AD9*100/$E$9</f>
        <v/>
      </c>
      <c r="AF9" s="117" t="n"/>
      <c r="AG9" s="120">
        <f>AF9*100/$E$9</f>
        <v/>
      </c>
      <c r="AH9" s="117" t="n"/>
      <c r="AI9" s="90">
        <f>AH9*100/$E$9</f>
        <v/>
      </c>
      <c r="AJ9" s="117" t="n"/>
      <c r="AK9" s="90">
        <f>AJ9*100/$E$9</f>
        <v/>
      </c>
      <c r="AL9" s="117" t="n"/>
      <c r="AM9" s="90">
        <f>AL9*100/$E$9</f>
        <v/>
      </c>
      <c r="AN9" s="117" t="n"/>
      <c r="AO9" s="90">
        <f>AN9*100/$E$9</f>
        <v/>
      </c>
      <c r="AP9" s="117" t="n"/>
      <c r="AQ9" s="90">
        <f>AP9*100/$E$9</f>
        <v/>
      </c>
      <c r="AR9" s="117" t="n"/>
      <c r="AS9" s="90">
        <f>AR9*100/$E$9</f>
        <v/>
      </c>
      <c r="AT9" s="117" t="n"/>
      <c r="AU9" s="90">
        <f>AT9*100/$E$9</f>
        <v/>
      </c>
      <c r="AV9" s="117" t="n"/>
      <c r="AW9" s="90">
        <f>AV9*100/$E$9</f>
        <v/>
      </c>
      <c r="AX9" s="117" t="n"/>
      <c r="AY9" s="90">
        <f>AX9*100/$E$9</f>
        <v/>
      </c>
      <c r="AZ9" s="117" t="n"/>
      <c r="BA9" s="90">
        <f>AZ9*100/$E$9</f>
        <v/>
      </c>
      <c r="BB9" s="117" t="n"/>
      <c r="BC9" s="90">
        <f>BB9*100/$E$9</f>
        <v/>
      </c>
      <c r="BD9" s="117" t="n"/>
      <c r="BE9" s="90">
        <f>BD9*100/$E$9</f>
        <v/>
      </c>
      <c r="BF9" s="117" t="n"/>
      <c r="BG9" s="90">
        <f>BF9*100/$E$9</f>
        <v/>
      </c>
      <c r="BH9" s="117" t="n"/>
      <c r="BI9" s="90">
        <f>BH9*100/$E$9</f>
        <v/>
      </c>
      <c r="BJ9" s="117" t="n"/>
      <c r="BK9" s="90">
        <f>BJ9*100/$E$9</f>
        <v/>
      </c>
      <c r="BL9" s="117" t="n"/>
      <c r="BM9" s="90">
        <f>BL9*100/$E$9</f>
        <v/>
      </c>
      <c r="BN9" s="117" t="n"/>
      <c r="BO9" s="90">
        <f>BN9*100/$E$9</f>
        <v/>
      </c>
      <c r="BP9" s="117" t="n"/>
      <c r="BQ9" s="90">
        <f>BP9*100/$E$9</f>
        <v/>
      </c>
      <c r="BR9" s="117" t="n"/>
      <c r="BS9" s="90">
        <f>BR9*100/$E$9</f>
        <v/>
      </c>
      <c r="BT9" s="117" t="n"/>
      <c r="BU9" s="90">
        <f>BT9*100/$E$9</f>
        <v/>
      </c>
      <c r="BV9" s="117" t="n"/>
      <c r="BW9" s="90">
        <f>BV9*100/$E$9</f>
        <v/>
      </c>
      <c r="BX9" s="117" t="n"/>
      <c r="BY9" s="90">
        <f>BX9*100/$E$9</f>
        <v/>
      </c>
      <c r="BZ9" s="117" t="n"/>
      <c r="CA9" s="90">
        <f>BZ9*100/$E$9</f>
        <v/>
      </c>
      <c r="CB9" s="117" t="n"/>
      <c r="CC9" s="90">
        <f>CB9*100/$E$9</f>
        <v/>
      </c>
      <c r="CD9" s="117" t="n"/>
      <c r="CE9" s="123">
        <f>CD9*100/$E$9</f>
        <v/>
      </c>
      <c r="CF9" s="117" t="n"/>
      <c r="CG9" s="90">
        <f>CF9*100/$E$9</f>
        <v/>
      </c>
      <c r="CH9" s="117" t="n"/>
      <c r="CI9" s="90">
        <f>CH9*100/$E$9</f>
        <v/>
      </c>
      <c r="CJ9" s="117" t="n"/>
      <c r="CK9" s="90">
        <f>CJ9*100/$E$9</f>
        <v/>
      </c>
      <c r="CL9" s="117" t="n"/>
      <c r="CM9" s="90">
        <f>CL9*100/$E$9</f>
        <v/>
      </c>
      <c r="CN9" s="117" t="n"/>
      <c r="CO9" s="122">
        <f>CN9*100/$E$9</f>
        <v/>
      </c>
      <c r="CP9" s="117" t="n"/>
      <c r="CQ9" s="90">
        <f>CP9*100/$E$9</f>
        <v/>
      </c>
      <c r="CR9" s="117" t="n"/>
      <c r="CS9" s="121">
        <f>CR9*100/$E$9</f>
        <v/>
      </c>
      <c r="CT9" s="117" t="n"/>
      <c r="CU9" s="121">
        <f>CT9*100/$E$9</f>
        <v/>
      </c>
      <c r="CV9" s="117" t="n"/>
      <c r="CW9" s="121">
        <f>CV9*100/$E$9</f>
        <v/>
      </c>
      <c r="CX9" s="117" t="n"/>
      <c r="CY9" s="121">
        <f>CX9*100/$E$9</f>
        <v/>
      </c>
      <c r="CZ9" s="117" t="n"/>
      <c r="DA9" s="121">
        <f>CZ9*100/$E$9</f>
        <v/>
      </c>
      <c r="DB9" s="117" t="n"/>
      <c r="DC9" s="121">
        <f>DB9*100/$E$9</f>
        <v/>
      </c>
      <c r="DD9" s="117" t="n"/>
      <c r="DE9" s="121">
        <f>DD9*100/$E$9</f>
        <v/>
      </c>
      <c r="DF9" s="117" t="n"/>
      <c r="DG9" s="121">
        <f>DF9*100/$E$9</f>
        <v/>
      </c>
      <c r="DH9" s="117" t="n"/>
      <c r="DI9" s="121">
        <f>DH9*100/$E$9</f>
        <v/>
      </c>
      <c r="DJ9" s="117" t="n"/>
      <c r="DK9" s="121">
        <f>DJ9*100/$E$9</f>
        <v/>
      </c>
      <c r="DL9" s="117" t="n"/>
      <c r="DM9" s="121">
        <f>DL9*100/$E$9</f>
        <v/>
      </c>
      <c r="DN9" s="117" t="n"/>
      <c r="DO9" s="121">
        <f>DN9*100/$E$9</f>
        <v/>
      </c>
      <c r="DP9" s="117" t="n"/>
      <c r="DQ9" s="121">
        <f>DP9*100/$E$9</f>
        <v/>
      </c>
      <c r="DR9" s="117" t="n"/>
      <c r="DS9" s="121">
        <f>DR9*100/$E$9</f>
        <v/>
      </c>
      <c r="DT9" s="117" t="n"/>
      <c r="DU9" s="121">
        <f>DT9*100/$E$9</f>
        <v/>
      </c>
      <c r="DV9" s="117" t="n"/>
      <c r="DW9" s="121">
        <f>DV9*100/$E$9</f>
        <v/>
      </c>
      <c r="DX9" s="117" t="n"/>
      <c r="DY9" s="121">
        <f>DX9*100/$E$9</f>
        <v/>
      </c>
      <c r="DZ9" s="117" t="n"/>
      <c r="EA9" s="121">
        <f>DZ9*100/$E$9</f>
        <v/>
      </c>
      <c r="EB9" s="117" t="n"/>
      <c r="EC9" s="121">
        <f>EB9*100/$E$9</f>
        <v/>
      </c>
      <c r="ED9" s="117" t="n"/>
      <c r="EE9" s="121">
        <f>ED9*100/$E$9</f>
        <v/>
      </c>
      <c r="EF9" s="117" t="n"/>
      <c r="EG9" s="121">
        <f>EF9*100/$E$9</f>
        <v/>
      </c>
      <c r="EH9" s="117" t="n"/>
      <c r="EI9" s="121">
        <f>EH9*100/$E$9</f>
        <v/>
      </c>
      <c r="EJ9" s="117" t="n"/>
      <c r="EK9" s="121">
        <f>EJ9*100/$E$9</f>
        <v/>
      </c>
      <c r="EL9" s="117" t="n"/>
      <c r="EM9" s="121">
        <f>EL9*100/$E$9</f>
        <v/>
      </c>
      <c r="EN9" s="117" t="n"/>
      <c r="EO9" s="121">
        <f>EN9*100/$E$9</f>
        <v/>
      </c>
      <c r="EP9" s="117" t="n"/>
      <c r="EQ9" s="121">
        <f>EP9*100/$E$9</f>
        <v/>
      </c>
      <c r="ER9" s="117" t="n"/>
      <c r="ES9" s="121">
        <f>ER9*100/$E$9</f>
        <v/>
      </c>
      <c r="ET9" s="117" t="n"/>
      <c r="EU9" s="121">
        <f>ET9*100/$E$9</f>
        <v/>
      </c>
      <c r="EV9" s="117" t="n"/>
      <c r="EW9" s="121">
        <f>EV9*100/$E$9</f>
        <v/>
      </c>
      <c r="EX9" s="117" t="n"/>
      <c r="EY9" s="121">
        <f>EX9*100/$E$9</f>
        <v/>
      </c>
      <c r="EZ9" s="117" t="n"/>
      <c r="FA9" s="121">
        <f>EZ9*100/$E$9</f>
        <v/>
      </c>
      <c r="FB9" s="117" t="n"/>
      <c r="FC9" s="121">
        <f>FB9*100/$E$9</f>
        <v/>
      </c>
      <c r="FD9" s="117" t="n"/>
      <c r="FE9" s="121">
        <f>FD9*100/$E$9</f>
        <v/>
      </c>
      <c r="FF9" s="117" t="n"/>
      <c r="FG9" s="121">
        <f>FF9*100/$E$9</f>
        <v/>
      </c>
      <c r="FH9" s="117" t="n"/>
      <c r="FI9" s="121">
        <f>FH9*100/$E$9</f>
        <v/>
      </c>
      <c r="FJ9" s="117" t="n"/>
      <c r="FK9" s="121">
        <f>FJ9*100/$E$9</f>
        <v/>
      </c>
      <c r="FL9" s="117" t="n"/>
      <c r="FM9" s="121">
        <f>FL9*100/$E$9</f>
        <v/>
      </c>
      <c r="FN9" s="117" t="n"/>
      <c r="FO9" s="121">
        <f>FN9*100/$E$9</f>
        <v/>
      </c>
      <c r="FP9" s="117" t="n"/>
      <c r="FQ9" s="121">
        <f>FP9*100/$E$9</f>
        <v/>
      </c>
      <c r="FR9" s="117" t="n"/>
      <c r="FS9" s="121">
        <f>FR9*100/$E$9</f>
        <v/>
      </c>
      <c r="FT9" s="117" t="n"/>
      <c r="FU9" s="121">
        <f>FT9*100/$E$9</f>
        <v/>
      </c>
      <c r="FV9" s="117" t="n"/>
      <c r="FW9" s="121">
        <f>FV9*100/$E$9</f>
        <v/>
      </c>
      <c r="FX9" s="117" t="n"/>
      <c r="FY9" s="90">
        <f>FX9*100/$E$9</f>
        <v/>
      </c>
      <c r="FZ9" s="117" t="n"/>
      <c r="GA9" s="90">
        <f>FZ9*100/$E$9</f>
        <v/>
      </c>
      <c r="GB9" s="117" t="n"/>
      <c r="GC9" s="90">
        <f>GB9*100/$E$9</f>
        <v/>
      </c>
      <c r="GD9" s="117" t="n"/>
      <c r="GE9" s="90">
        <f>GD9*100/$E$9</f>
        <v/>
      </c>
      <c r="GF9" s="117" t="n"/>
      <c r="GG9" s="90">
        <f>GF9*100/$E$9</f>
        <v/>
      </c>
      <c r="GH9" s="117" t="n"/>
      <c r="GI9" s="90">
        <f>GH9*100/$E$9</f>
        <v/>
      </c>
      <c r="GJ9" s="117" t="n"/>
      <c r="GK9" s="121">
        <f>GJ9*100/$E$9</f>
        <v/>
      </c>
      <c r="GL9" s="117" t="n"/>
      <c r="GM9" s="90">
        <f>GL9*100/$E$9</f>
        <v/>
      </c>
      <c r="GN9" s="117" t="n"/>
      <c r="GO9" s="121">
        <f>GN9*100/$E$9</f>
        <v/>
      </c>
      <c r="GP9" s="117" t="n"/>
      <c r="GQ9" s="90">
        <f>GP9*100/$E$9</f>
        <v/>
      </c>
      <c r="GR9" s="117" t="n"/>
      <c r="GS9" s="121">
        <f>GR9*100/$E$9</f>
        <v/>
      </c>
      <c r="GT9" s="117" t="n"/>
      <c r="GU9" s="121">
        <f>GT9*100/$E$9</f>
        <v/>
      </c>
      <c r="GV9" s="117" t="n"/>
      <c r="GW9" s="121">
        <f>GV9*100/$E$9</f>
        <v/>
      </c>
      <c r="GX9" s="117" t="n"/>
      <c r="GY9" s="90">
        <f>GX9*100/$E$9</f>
        <v/>
      </c>
      <c r="GZ9" s="117" t="n"/>
      <c r="HA9" s="90">
        <f>GZ9*100/$E$9</f>
        <v/>
      </c>
      <c r="HB9" s="117" t="n"/>
      <c r="HC9" s="90">
        <f>HB9*100/$E$9</f>
        <v/>
      </c>
      <c r="HD9" s="117" t="n"/>
      <c r="HE9" s="90">
        <f>HD9*100/$E$9</f>
        <v/>
      </c>
      <c r="HF9" s="117" t="n"/>
      <c r="HG9" s="90">
        <f>HF9*100/$E$9</f>
        <v/>
      </c>
      <c r="HH9" s="117" t="n"/>
      <c r="HI9" s="90">
        <f>HH9*100/$E$9</f>
        <v/>
      </c>
      <c r="HJ9" s="117" t="n"/>
      <c r="HK9" s="90">
        <f>HJ9*100/$E$9</f>
        <v/>
      </c>
      <c r="HL9" s="117" t="n"/>
      <c r="HM9" s="90">
        <f>HL9*100/$E$9</f>
        <v/>
      </c>
      <c r="HN9" s="117" t="n"/>
      <c r="HO9" s="90">
        <f>HN9*100/$E$9</f>
        <v/>
      </c>
      <c r="HP9" s="117" t="n"/>
      <c r="HQ9" s="90">
        <f>HP9*100/$E$9</f>
        <v/>
      </c>
      <c r="HR9" s="117" t="n"/>
      <c r="HS9" s="90">
        <f>HR9*100/$E$9</f>
        <v/>
      </c>
      <c r="HT9" s="117" t="n"/>
      <c r="HU9" s="90">
        <f>HT9*100/$E$9</f>
        <v/>
      </c>
      <c r="HV9" s="117" t="n"/>
      <c r="HW9" s="90">
        <f>HV9*100/$E$9</f>
        <v/>
      </c>
      <c r="HX9" s="117" t="n"/>
      <c r="HY9" s="90">
        <f>HX9*100/$E$9</f>
        <v/>
      </c>
      <c r="HZ9" s="117" t="n"/>
      <c r="IA9" s="121">
        <f>HZ9*100/$E$9</f>
        <v/>
      </c>
      <c r="IB9" s="117" t="n"/>
      <c r="IC9" s="121">
        <f>IB9*100/$E$9</f>
        <v/>
      </c>
      <c r="ID9" s="117" t="n"/>
      <c r="IE9" s="121">
        <f>ID9*100/$E$9</f>
        <v/>
      </c>
      <c r="IF9" s="117" t="n"/>
      <c r="IG9" s="121">
        <f>IF9*100/$E$9</f>
        <v/>
      </c>
      <c r="IH9" s="117" t="n"/>
      <c r="II9" s="121">
        <f>IH9*100/$E$9</f>
        <v/>
      </c>
      <c r="IJ9" s="117" t="n"/>
      <c r="IK9" s="121">
        <f>IJ9*100/$E$9</f>
        <v/>
      </c>
      <c r="IL9" s="117" t="n"/>
      <c r="IM9" s="90">
        <f>IL9*100/$E$9</f>
        <v/>
      </c>
      <c r="IN9" s="117" t="n"/>
      <c r="IO9" s="90">
        <f>IN9*100/$E$9</f>
        <v/>
      </c>
      <c r="IP9" s="117" t="n"/>
      <c r="IQ9" s="121">
        <f>IP9*100/$E$9</f>
        <v/>
      </c>
      <c r="IR9" s="117" t="n"/>
      <c r="IS9" s="121">
        <f>IR9*100/$E$9</f>
        <v/>
      </c>
      <c r="IT9" s="117" t="n"/>
      <c r="IU9" s="121">
        <f>IT9*100/$E$9</f>
        <v/>
      </c>
      <c r="IV9" s="117" t="n"/>
      <c r="IW9" s="121">
        <f>IV9*100/$E$9</f>
        <v/>
      </c>
      <c r="IX9" s="117" t="n"/>
      <c r="IY9" s="121">
        <f>IX9*100/$E$9</f>
        <v/>
      </c>
      <c r="IZ9" s="117" t="n"/>
      <c r="JA9" s="121">
        <f>IZ9*100/$E$9</f>
        <v/>
      </c>
      <c r="JB9" s="117" t="n"/>
      <c r="JC9" s="121">
        <f>JB9*100/$E$9</f>
        <v/>
      </c>
      <c r="JD9" s="117" t="n"/>
      <c r="JE9" s="121">
        <f>JD9*100/$E$9</f>
        <v/>
      </c>
      <c r="JF9" s="119" t="n"/>
      <c r="JG9" s="121">
        <f>JF9*100/$E$9</f>
        <v/>
      </c>
      <c r="JH9" s="117" t="n"/>
      <c r="JI9" s="121">
        <f>JH9*100/$E$9</f>
        <v/>
      </c>
      <c r="JJ9" s="117" t="n"/>
      <c r="JK9" s="121">
        <f>JJ9*100/$E$9</f>
        <v/>
      </c>
      <c r="JL9" s="117" t="n"/>
      <c r="JM9" s="121">
        <f>JL9*100/$E$9</f>
        <v/>
      </c>
      <c r="JN9" s="117" t="n"/>
      <c r="JO9" s="122">
        <f>JN9*100/$E$9</f>
        <v/>
      </c>
      <c r="JP9" s="117" t="n"/>
      <c r="JQ9" s="122">
        <f>JP9*100/$E$9</f>
        <v/>
      </c>
      <c r="JR9" s="117" t="n"/>
      <c r="JS9" s="122">
        <f>JR9*100/$E$9</f>
        <v/>
      </c>
      <c r="JT9" s="117" t="n"/>
      <c r="JU9" s="122">
        <f>JT9*100/$E$9</f>
        <v/>
      </c>
      <c r="JV9" s="108" t="n"/>
      <c r="JW9" s="122">
        <f>JV9*100/$E$9</f>
        <v/>
      </c>
      <c r="JX9" s="108" t="n"/>
      <c r="JY9" s="122">
        <f>JX9*100/$E$9</f>
        <v/>
      </c>
      <c r="JZ9" s="55">
        <f>JN9+JP9+JR9+JT9+JV9+JX9</f>
        <v/>
      </c>
      <c r="KA9" s="53">
        <f>JO9+JQ9+JS9+JU9+JW9+JY9</f>
        <v/>
      </c>
      <c r="KB9" s="64">
        <f>H9+J9+L9+N9+P9+R9+T9+V9+X9+Z9+AB9+AD9+AF9+AH9+AJ9+AL9+AN9+AP9+AR9+AT9+AV9+AX9+AZ9+BB9+BD9+BF9+BH9+BJ9+BL9+BN9+BP9+BR9+BT9+BV9+BX9+BZ9+CB9+CD9+CF9+CH9+CZ9+DB9+DD9+DF9+DH9+DJ9+DL9+DN9+DP9+DR9+DT9+DV9+DX9+DZ9+EB9+ED9+EF9+EH9+EJ9+EL9+EN9+EP9+ER9+ET9+EV9+FN9+FP9+FR9+FT9+FV9+FX9+FZ9+GB9+GD9+GF9+GH9+GJ9+GL9+GN9+GP9+GR9+GT9+GV9+GX9+GZ9+HB9+HD9+HF9+HH9+HJ9+HL9+HN9+HP9+HR9+HT9+HV9+HX9+HZ9+IB9+ID9+IF9+IH9+IJ9+IL9+IN9+IP9+IR9+IT9+IV9+IX9+IZ9+JB9+JD9+JF9+JH9+JJ9+JL9+JZ9+CJ9+CL9+CN9+CP9+CR9+CT9+CV9+CX9+EX9+EZ9+FB9+FD9+FF9+FH9+FJ9+FL9</f>
        <v/>
      </c>
      <c r="KC9" s="66">
        <f>I9+K9+M9+O9+Q9+S9+U9+W9+Y9+AA9+AC9+AE9+AG9+AI9+AK9+AM9+AO9+AQ9+AS9+AU9+AW9+AY9+BA9+BC9+BE9+BG9+BI9+BK9+BM9+BO9+BQ9+BS9+BU9+BW9+BY9+CA9+CC9+CE9+CG9+CI9+DA9+DC9+DE9+DG9+DI9+DK9+DM9+DO9+DQ9+DS9+DU9+DW9+DY9+EA9+EC9+EE9+EG9+EI9+EK9+EM9+EO9+EQ9+ES9+EU9+EW9+FO9+FS9+FU9+FW9+FQ9+FY9+GA9+GC9+GE9+GG9+GI9+GK9+GM9+GO9+GQ9+GS9+GU9+GW9+GY9+HA9+HC9+HE9+HG9+HI9+HK9+HM9+HO9+HQ9+HS9+HU9+HW9+HY9+IA9+IC9+IE9+IG9+II9+IK9+IM9+IO9+IQ9+IS9+IU9+IW9+IY9+JA9+JC9+JE9+JG9+JI9+JK9+JM9+KA9+CK9+CM9+CO9+CQ9+CS9+CU9+CW9+CY9+EY9+FA9+FC9+FE9+FG9+FI9+FK9+FM9</f>
        <v/>
      </c>
      <c r="KD9" s="44">
        <f>JO9+JQ9+JS9+JU9+JW9+JY9</f>
        <v/>
      </c>
      <c r="KE9" s="45">
        <f>KB9=E9</f>
        <v/>
      </c>
      <c r="KF9" s="101">
        <f>E9-KB9</f>
        <v/>
      </c>
    </row>
    <row r="10" ht="21.75" customFormat="1" customHeight="1" s="12">
      <c r="A10" s="126">
        <f>A9+1</f>
        <v/>
      </c>
      <c r="B10" s="175" t="inlineStr">
        <is>
          <t>Бецких А. В.</t>
        </is>
      </c>
      <c r="C10" s="176" t="inlineStr">
        <is>
          <t>слесарь МСР</t>
        </is>
      </c>
      <c r="D10" s="177">
        <f>$D$5</f>
        <v/>
      </c>
      <c r="E10" s="202" t="n"/>
      <c r="F10" s="178" t="n">
        <v>49335</v>
      </c>
      <c r="G10" s="52">
        <f>F10/D10</f>
        <v/>
      </c>
      <c r="H10" s="125" t="n"/>
      <c r="I10" s="90">
        <f>H10*100/$E$10</f>
        <v/>
      </c>
      <c r="J10" s="108" t="n"/>
      <c r="K10" s="90">
        <f>J10*100/$E$10</f>
        <v/>
      </c>
      <c r="L10" s="108" t="n"/>
      <c r="M10" s="90">
        <f>L10*100/$E$10</f>
        <v/>
      </c>
      <c r="N10" s="108" t="n"/>
      <c r="O10" s="90">
        <f>N10*100/$E$10</f>
        <v/>
      </c>
      <c r="P10" s="108" t="n"/>
      <c r="Q10" s="121">
        <f>P10*100/$E$10</f>
        <v/>
      </c>
      <c r="R10" s="108" t="n"/>
      <c r="S10" s="121">
        <f>R10*100/$E$10</f>
        <v/>
      </c>
      <c r="T10" s="108" t="n"/>
      <c r="U10" s="90">
        <f>T10*100/$E$10</f>
        <v/>
      </c>
      <c r="V10" s="108" t="n"/>
      <c r="W10" s="90">
        <f>V10*100/$E$10</f>
        <v/>
      </c>
      <c r="X10" s="108" t="n"/>
      <c r="Y10" s="90">
        <f>X10*100/$E$10</f>
        <v/>
      </c>
      <c r="Z10" s="108" t="n"/>
      <c r="AA10" s="90">
        <f>Z10*100/$E$10</f>
        <v/>
      </c>
      <c r="AB10" s="108" t="n"/>
      <c r="AC10" s="90">
        <f>AB10*100/$E$10</f>
        <v/>
      </c>
      <c r="AD10" s="108" t="n"/>
      <c r="AE10" s="121">
        <f>AD10*100/$E$10</f>
        <v/>
      </c>
      <c r="AF10" s="108" t="n"/>
      <c r="AG10" s="121">
        <f>AF10*100/$E$10</f>
        <v/>
      </c>
      <c r="AH10" s="108" t="n"/>
      <c r="AI10" s="90">
        <f>AH10*100/$E$10</f>
        <v/>
      </c>
      <c r="AJ10" s="108" t="n"/>
      <c r="AK10" s="90">
        <f>AJ10*100/$E$10</f>
        <v/>
      </c>
      <c r="AL10" s="108" t="n"/>
      <c r="AM10" s="90">
        <f>AL10*100/$E$10</f>
        <v/>
      </c>
      <c r="AN10" s="108" t="n"/>
      <c r="AO10" s="90">
        <f>AN10*100/$E$10</f>
        <v/>
      </c>
      <c r="AP10" s="108" t="n"/>
      <c r="AQ10" s="90">
        <f>AP10*100/$E$10</f>
        <v/>
      </c>
      <c r="AR10" s="108" t="n"/>
      <c r="AS10" s="90">
        <f>AR10*100/$E$10</f>
        <v/>
      </c>
      <c r="AT10" s="108" t="n"/>
      <c r="AU10" s="90">
        <f>AT10*100/$E$10</f>
        <v/>
      </c>
      <c r="AV10" s="108" t="n"/>
      <c r="AW10" s="90">
        <f>AV10*100/$E$10</f>
        <v/>
      </c>
      <c r="AX10" s="108" t="n"/>
      <c r="AY10" s="90">
        <f>AX10*100/$E$10</f>
        <v/>
      </c>
      <c r="AZ10" s="108" t="n"/>
      <c r="BA10" s="90">
        <f>AZ10*100/$E$10</f>
        <v/>
      </c>
      <c r="BB10" s="108" t="n"/>
      <c r="BC10" s="90">
        <f>BB10*100/$E$10</f>
        <v/>
      </c>
      <c r="BD10" s="108" t="n"/>
      <c r="BE10" s="90">
        <f>BD10*100/$E$10</f>
        <v/>
      </c>
      <c r="BF10" s="108" t="n"/>
      <c r="BG10" s="90">
        <f>BF10*100/$E$10</f>
        <v/>
      </c>
      <c r="BH10" s="108" t="n"/>
      <c r="BI10" s="90">
        <f>BH10*100/$E$10</f>
        <v/>
      </c>
      <c r="BJ10" s="108" t="n"/>
      <c r="BK10" s="90">
        <f>BJ10*100/$E$10</f>
        <v/>
      </c>
      <c r="BL10" s="108" t="n"/>
      <c r="BM10" s="90">
        <f>BL10*100/$E$10</f>
        <v/>
      </c>
      <c r="BN10" s="108" t="n"/>
      <c r="BO10" s="90">
        <f>BN10*100/$E$10</f>
        <v/>
      </c>
      <c r="BP10" s="108" t="n"/>
      <c r="BQ10" s="90">
        <f>BP10*100/$E$10</f>
        <v/>
      </c>
      <c r="BR10" s="108" t="n"/>
      <c r="BS10" s="90">
        <f>BR10*100/$E$10</f>
        <v/>
      </c>
      <c r="BT10" s="108" t="n"/>
      <c r="BU10" s="90">
        <f>BT10*100/$E$10</f>
        <v/>
      </c>
      <c r="BV10" s="108" t="n"/>
      <c r="BW10" s="90">
        <f>BV10*100/$E$10</f>
        <v/>
      </c>
      <c r="BX10" s="108" t="n"/>
      <c r="BY10" s="90">
        <f>BX10*100/$E$10</f>
        <v/>
      </c>
      <c r="BZ10" s="108" t="n"/>
      <c r="CA10" s="90">
        <f>BZ10*100/$E$10</f>
        <v/>
      </c>
      <c r="CB10" s="108" t="n"/>
      <c r="CC10" s="90">
        <f>CB10*100/$E$10</f>
        <v/>
      </c>
      <c r="CD10" s="108" t="n"/>
      <c r="CE10" s="90">
        <f>CD10*100/$E$10</f>
        <v/>
      </c>
      <c r="CF10" s="108" t="n"/>
      <c r="CG10" s="90">
        <f>CF10*100/$E$10</f>
        <v/>
      </c>
      <c r="CH10" s="108" t="n"/>
      <c r="CI10" s="90">
        <f>CH10*100/$E$10</f>
        <v/>
      </c>
      <c r="CJ10" s="108" t="n"/>
      <c r="CK10" s="90">
        <f>CJ10*100/$E$10</f>
        <v/>
      </c>
      <c r="CL10" s="108" t="n"/>
      <c r="CM10" s="90">
        <f>CL10*100/$E$10</f>
        <v/>
      </c>
      <c r="CN10" s="108" t="n"/>
      <c r="CO10" s="122">
        <f>CN10*100/$E$10</f>
        <v/>
      </c>
      <c r="CP10" s="108" t="n"/>
      <c r="CQ10" s="90">
        <f>CP10*100/$E$10</f>
        <v/>
      </c>
      <c r="CR10" s="108" t="n"/>
      <c r="CS10" s="121">
        <f>CR10*100/$E$10</f>
        <v/>
      </c>
      <c r="CT10" s="108" t="n"/>
      <c r="CU10" s="121">
        <f>CT10*100/$E$10</f>
        <v/>
      </c>
      <c r="CV10" s="108" t="n"/>
      <c r="CW10" s="121">
        <f>CV10*100/$E$10</f>
        <v/>
      </c>
      <c r="CX10" s="108" t="n"/>
      <c r="CY10" s="121">
        <f>CX10*100/$E$10</f>
        <v/>
      </c>
      <c r="CZ10" s="108" t="n"/>
      <c r="DA10" s="121">
        <f>CZ10*100/$E$10</f>
        <v/>
      </c>
      <c r="DB10" s="108" t="n"/>
      <c r="DC10" s="121">
        <f>DB10*100/$E$10</f>
        <v/>
      </c>
      <c r="DD10" s="108" t="n"/>
      <c r="DE10" s="121">
        <f>DD10*100/$E$10</f>
        <v/>
      </c>
      <c r="DF10" s="108" t="n"/>
      <c r="DG10" s="121">
        <f>DF10*100/$E$10</f>
        <v/>
      </c>
      <c r="DH10" s="108" t="n"/>
      <c r="DI10" s="121">
        <f>DH10*100/$E$10</f>
        <v/>
      </c>
      <c r="DJ10" s="108" t="n"/>
      <c r="DK10" s="121">
        <f>DJ10*100/$E$10</f>
        <v/>
      </c>
      <c r="DL10" s="108" t="n"/>
      <c r="DM10" s="121">
        <f>DL10*100/$E$10</f>
        <v/>
      </c>
      <c r="DN10" s="108" t="n"/>
      <c r="DO10" s="121">
        <f>DN10*100/$E$10</f>
        <v/>
      </c>
      <c r="DP10" s="108" t="n"/>
      <c r="DQ10" s="121">
        <f>DP10*100/$E$10</f>
        <v/>
      </c>
      <c r="DR10" s="108" t="n"/>
      <c r="DS10" s="121">
        <f>DR10*100/$E$10</f>
        <v/>
      </c>
      <c r="DT10" s="108" t="n"/>
      <c r="DU10" s="121">
        <f>DT10*100/$E$10</f>
        <v/>
      </c>
      <c r="DV10" s="108" t="n"/>
      <c r="DW10" s="121">
        <f>DV10*100/$E$10</f>
        <v/>
      </c>
      <c r="DX10" s="108" t="n"/>
      <c r="DY10" s="121">
        <f>DX10*100/$E$10</f>
        <v/>
      </c>
      <c r="DZ10" s="108" t="n"/>
      <c r="EA10" s="121">
        <f>DZ10*100/$E$10</f>
        <v/>
      </c>
      <c r="EB10" s="108" t="n"/>
      <c r="EC10" s="121">
        <f>EB10*100/$E$10</f>
        <v/>
      </c>
      <c r="ED10" s="108" t="n"/>
      <c r="EE10" s="121">
        <f>ED10*100/$E$10</f>
        <v/>
      </c>
      <c r="EF10" s="108" t="n"/>
      <c r="EG10" s="121">
        <f>EF10*100/$E$10</f>
        <v/>
      </c>
      <c r="EH10" s="108" t="n"/>
      <c r="EI10" s="121">
        <f>EH10*100/$E$10</f>
        <v/>
      </c>
      <c r="EJ10" s="108" t="n"/>
      <c r="EK10" s="121">
        <f>EJ10*100/$E$10</f>
        <v/>
      </c>
      <c r="EL10" s="108" t="n"/>
      <c r="EM10" s="121">
        <f>EL10*100/$E$10</f>
        <v/>
      </c>
      <c r="EN10" s="108" t="n"/>
      <c r="EO10" s="121">
        <f>EN10*100/$E$10</f>
        <v/>
      </c>
      <c r="EP10" s="108" t="n"/>
      <c r="EQ10" s="121">
        <f>EP10*100/$E$10</f>
        <v/>
      </c>
      <c r="ER10" s="108" t="n"/>
      <c r="ES10" s="121">
        <f>ER10*100/$E$10</f>
        <v/>
      </c>
      <c r="ET10" s="108" t="n"/>
      <c r="EU10" s="121">
        <f>ET10*100/$E$10</f>
        <v/>
      </c>
      <c r="EV10" s="108" t="n"/>
      <c r="EW10" s="121">
        <f>EV10*100/$E$10</f>
        <v/>
      </c>
      <c r="EX10" s="108" t="n"/>
      <c r="EY10" s="121">
        <f>EX10*100/$E$10</f>
        <v/>
      </c>
      <c r="EZ10" s="108" t="n"/>
      <c r="FA10" s="121">
        <f>EZ10*100/$E$10</f>
        <v/>
      </c>
      <c r="FB10" s="108" t="n"/>
      <c r="FC10" s="121">
        <f>FB10*100/$E$10</f>
        <v/>
      </c>
      <c r="FD10" s="108" t="n"/>
      <c r="FE10" s="121">
        <f>FD10*100/$E$10</f>
        <v/>
      </c>
      <c r="FF10" s="108" t="n"/>
      <c r="FG10" s="121">
        <f>FF10*100/$E$10</f>
        <v/>
      </c>
      <c r="FH10" s="108" t="n"/>
      <c r="FI10" s="121">
        <f>FH10*100/$E$10</f>
        <v/>
      </c>
      <c r="FJ10" s="108" t="n"/>
      <c r="FK10" s="121">
        <f>FJ10*100/$E$10</f>
        <v/>
      </c>
      <c r="FL10" s="108" t="n"/>
      <c r="FM10" s="121">
        <f>FL10*100/$E$10</f>
        <v/>
      </c>
      <c r="FN10" s="108" t="n"/>
      <c r="FO10" s="121">
        <f>FN10*100/$E$10</f>
        <v/>
      </c>
      <c r="FP10" s="108" t="n"/>
      <c r="FQ10" s="121">
        <f>FP10*100/$E$10</f>
        <v/>
      </c>
      <c r="FR10" s="108" t="n"/>
      <c r="FS10" s="121">
        <f>FR10*100/$E$10</f>
        <v/>
      </c>
      <c r="FT10" s="108" t="n"/>
      <c r="FU10" s="121">
        <f>FT10*100/$E$10</f>
        <v/>
      </c>
      <c r="FV10" s="108" t="n"/>
      <c r="FW10" s="121">
        <f>FV10*100/$E$10</f>
        <v/>
      </c>
      <c r="FX10" s="108" t="n"/>
      <c r="FY10" s="90">
        <f>FX10*100/$E$10</f>
        <v/>
      </c>
      <c r="FZ10" s="108" t="n"/>
      <c r="GA10" s="90">
        <f>FZ10*100/$E$10</f>
        <v/>
      </c>
      <c r="GB10" s="108" t="n"/>
      <c r="GC10" s="90">
        <f>GB10*100/$E$10</f>
        <v/>
      </c>
      <c r="GD10" s="108" t="n"/>
      <c r="GE10" s="90">
        <f>GD10*100/$E$10</f>
        <v/>
      </c>
      <c r="GF10" s="108" t="n"/>
      <c r="GG10" s="90">
        <f>GF10*100/$E$10</f>
        <v/>
      </c>
      <c r="GH10" s="108" t="n"/>
      <c r="GI10" s="90">
        <f>GH10*100/$E$10</f>
        <v/>
      </c>
      <c r="GJ10" s="108" t="n"/>
      <c r="GK10" s="121">
        <f>GJ10*100/$E$10</f>
        <v/>
      </c>
      <c r="GL10" s="108" t="n"/>
      <c r="GM10" s="90">
        <f>GL10*100/$E$10</f>
        <v/>
      </c>
      <c r="GN10" s="108" t="n"/>
      <c r="GO10" s="121">
        <f>GN10*100/$E$10</f>
        <v/>
      </c>
      <c r="GP10" s="108" t="n"/>
      <c r="GQ10" s="90">
        <f>GP10*100/$E$10</f>
        <v/>
      </c>
      <c r="GR10" s="108" t="n"/>
      <c r="GS10" s="121">
        <f>GR10*100/$E$10</f>
        <v/>
      </c>
      <c r="GT10" s="108" t="n"/>
      <c r="GU10" s="121">
        <f>GT10*100/$E$10</f>
        <v/>
      </c>
      <c r="GV10" s="108" t="n"/>
      <c r="GW10" s="121">
        <f>GV10*100/$E$10</f>
        <v/>
      </c>
      <c r="GX10" s="108" t="n"/>
      <c r="GY10" s="90">
        <f>GX10*100/$E$10</f>
        <v/>
      </c>
      <c r="GZ10" s="108" t="n"/>
      <c r="HA10" s="90">
        <f>GZ10*100/$E$10</f>
        <v/>
      </c>
      <c r="HB10" s="108" t="n"/>
      <c r="HC10" s="90">
        <f>HB10*100/$E$10</f>
        <v/>
      </c>
      <c r="HD10" s="108" t="n"/>
      <c r="HE10" s="90">
        <f>HD10*100/$E$10</f>
        <v/>
      </c>
      <c r="HF10" s="108" t="n"/>
      <c r="HG10" s="90">
        <f>HF10*100/$E$10</f>
        <v/>
      </c>
      <c r="HH10" s="108" t="n"/>
      <c r="HI10" s="90">
        <f>HH10*100/$E$10</f>
        <v/>
      </c>
      <c r="HJ10" s="108" t="n"/>
      <c r="HK10" s="90">
        <f>HJ10*100/$E$10</f>
        <v/>
      </c>
      <c r="HL10" s="108" t="n"/>
      <c r="HM10" s="90">
        <f>HL10*100/$E$10</f>
        <v/>
      </c>
      <c r="HN10" s="108" t="n"/>
      <c r="HO10" s="90">
        <f>HN10*100/$E$10</f>
        <v/>
      </c>
      <c r="HP10" s="108" t="n"/>
      <c r="HQ10" s="90">
        <f>HP10*100/$E$10</f>
        <v/>
      </c>
      <c r="HR10" s="108" t="n"/>
      <c r="HS10" s="90">
        <f>HR10*100/$E$10</f>
        <v/>
      </c>
      <c r="HT10" s="108" t="n"/>
      <c r="HU10" s="90">
        <f>HT10*100/$E$10</f>
        <v/>
      </c>
      <c r="HV10" s="108" t="n"/>
      <c r="HW10" s="90">
        <f>HV10*100/$E$10</f>
        <v/>
      </c>
      <c r="HX10" s="108" t="n"/>
      <c r="HY10" s="90">
        <f>HX10*100/$E$10</f>
        <v/>
      </c>
      <c r="HZ10" s="108" t="n"/>
      <c r="IA10" s="121">
        <f>HZ10*100/$E$10</f>
        <v/>
      </c>
      <c r="IB10" s="108" t="n"/>
      <c r="IC10" s="121">
        <f>IB10*100/$E$10</f>
        <v/>
      </c>
      <c r="ID10" s="108" t="n"/>
      <c r="IE10" s="121">
        <f>ID10*100/$E$10</f>
        <v/>
      </c>
      <c r="IF10" s="108" t="n"/>
      <c r="IG10" s="121">
        <f>IF10*100/$E$10</f>
        <v/>
      </c>
      <c r="IH10" s="108" t="n"/>
      <c r="II10" s="121">
        <f>IH10*100/$E$10</f>
        <v/>
      </c>
      <c r="IJ10" s="108" t="n"/>
      <c r="IK10" s="121">
        <f>IJ10*100/$E$10</f>
        <v/>
      </c>
      <c r="IL10" s="108" t="n"/>
      <c r="IM10" s="90">
        <f>IL10*100/$E$10</f>
        <v/>
      </c>
      <c r="IN10" s="108" t="n"/>
      <c r="IO10" s="90">
        <f>IN10*100/$E$10</f>
        <v/>
      </c>
      <c r="IP10" s="108" t="n"/>
      <c r="IQ10" s="121">
        <f>IP10*100/$E$10</f>
        <v/>
      </c>
      <c r="IR10" s="108" t="n"/>
      <c r="IS10" s="121">
        <f>IR10*100/$E$10</f>
        <v/>
      </c>
      <c r="IT10" s="108" t="n"/>
      <c r="IU10" s="121">
        <f>IT10*100/$E$10</f>
        <v/>
      </c>
      <c r="IV10" s="108" t="n"/>
      <c r="IW10" s="121">
        <f>IV10*100/$E$10</f>
        <v/>
      </c>
      <c r="IX10" s="108" t="n"/>
      <c r="IY10" s="121">
        <f>IX10*100/$E$10</f>
        <v/>
      </c>
      <c r="IZ10" s="108" t="n"/>
      <c r="JA10" s="121">
        <f>IZ10*100/$E$10</f>
        <v/>
      </c>
      <c r="JB10" s="108" t="n"/>
      <c r="JC10" s="121">
        <f>JB10*100/$E$10</f>
        <v/>
      </c>
      <c r="JD10" s="108" t="n"/>
      <c r="JE10" s="121">
        <f>JD10*100/$E$10</f>
        <v/>
      </c>
      <c r="JF10" s="108" t="n"/>
      <c r="JG10" s="121">
        <f>JF10*100/$E$10</f>
        <v/>
      </c>
      <c r="JH10" s="108" t="n"/>
      <c r="JI10" s="121">
        <f>JH10*100/$E$10</f>
        <v/>
      </c>
      <c r="JJ10" s="108" t="n"/>
      <c r="JK10" s="121">
        <f>JJ10*100/$E$10</f>
        <v/>
      </c>
      <c r="JL10" s="108" t="n"/>
      <c r="JM10" s="121">
        <f>JL10*100/$E$10</f>
        <v/>
      </c>
      <c r="JN10" s="108" t="n"/>
      <c r="JO10" s="122">
        <f>JN10*100/$E$10</f>
        <v/>
      </c>
      <c r="JP10" s="108" t="n"/>
      <c r="JQ10" s="122">
        <f>JP10*100/$E$10</f>
        <v/>
      </c>
      <c r="JR10" s="108" t="n"/>
      <c r="JS10" s="122">
        <f>JR10*100/$E$10</f>
        <v/>
      </c>
      <c r="JT10" s="108" t="n"/>
      <c r="JU10" s="122">
        <f>JT10*100/$E$10</f>
        <v/>
      </c>
      <c r="JV10" s="108" t="n"/>
      <c r="JW10" s="122">
        <f>JV10*100/$E$10</f>
        <v/>
      </c>
      <c r="JX10" s="108" t="n"/>
      <c r="JY10" s="122">
        <f>JX10*100/$E$10</f>
        <v/>
      </c>
      <c r="JZ10" s="55">
        <f>JN10+JP10+JR10+JT10+JV10+JX10</f>
        <v/>
      </c>
      <c r="KA10" s="53">
        <f>JO10+JQ10+JS10+JU10+JW10+JY10</f>
        <v/>
      </c>
      <c r="KB10" s="64">
        <f>H10+J10+L10+N10+P10+R10+T10+V10+X10+Z10+AB10+AD10+AF10+AH10+AJ10+AL10+AN10+AP10+AR10+AT10+AV10+AX10+AZ10+BB10+BD10+BF10+BH10+BJ10+BL10+BN10+BP10+BR10+BT10+BV10+BX10+BZ10+CB10+CD10+CF10+CH10+CZ10+DB10+DD10+DF10+DH10+DJ10+DL10+DN10+DP10+DR10+DT10+DV10+DX10+DZ10+EB10+ED10+EF10+EH10+EJ10+EL10+EN10+EP10+ER10+ET10+EV10+FN10+FP10+FR10+FT10+FV10+FX10+FZ10+GB10+GD10+GF10+GH10+GJ10+GL10+GN10+GP10+GR10+GT10+GV10+GX10+GZ10+HB10+HD10+HF10+HH10+HJ10+HL10+HN10+HP10+HR10+HT10+HV10+HX10+HZ10+IB10+ID10+IF10+IH10+IJ10+IL10+IN10+IP10+IR10+IT10+IV10+IX10+IZ10+JB10+JD10+JF10+JH10+JJ10+JL10+JZ10+CJ10+CL10+CN10+CP10+CR10+CT10+CV10+CX10+EX10+EZ10+FB10+FD10+FF10+FH10+FJ10+FL10</f>
        <v/>
      </c>
      <c r="KC10" s="66">
        <f>I10+K10+M10+O10+Q10+S10+U10+W10+Y10+AA10+AC10+AE10+AG10+AI10+AK10+AM10+AO10+AQ10+AS10+AU10+AW10+AY10+BA10+BC10+BE10+BG10+BI10+BK10+BM10+BO10+BQ10+BS10+BU10+BW10+BY10+CA10+CC10+CE10+CG10+CI10+DA10+DC10+DE10+DG10+DI10+DK10+DM10+DO10+DQ10+DS10+DU10+DW10+DY10+EA10+EC10+EE10+EG10+EI10+EK10+EM10+EO10+EQ10+ES10+EU10+EW10+FO10+FS10+FU10+FW10+FQ10+FY10+GA10+GC10+GE10+GG10+GI10+GK10+GM10+GO10+GQ10+GS10+GU10+GW10+GY10+HA10+HC10+HE10+HG10+HI10+HK10+HM10+HO10+HQ10+HS10+HU10+HW10+HY10+IA10+IC10+IE10+IG10+II10+IK10+IM10+IO10+IQ10+IS10+IU10+IW10+IY10+JA10+JC10+JE10+JG10+JI10+JK10+JM10+KA10+CK10+CM10+CO10+CQ10+CS10+CU10+CW10+CY10+EY10+FA10+FC10+FE10+FG10+FI10+FK10+FM10</f>
        <v/>
      </c>
      <c r="KD10" s="44">
        <f>JO10+JQ10+JS10+JU10+JW10+JY10</f>
        <v/>
      </c>
      <c r="KE10" s="45">
        <f>KB10=E10</f>
        <v/>
      </c>
      <c r="KF10" s="101">
        <f>E10-KB10</f>
        <v/>
      </c>
    </row>
    <row r="11" ht="21.75" customFormat="1" customHeight="1" s="17">
      <c r="A11" s="126">
        <f>A10+1</f>
        <v/>
      </c>
      <c r="B11" s="175" t="inlineStr">
        <is>
          <t>Блощинский С.В.</t>
        </is>
      </c>
      <c r="C11" s="176" t="inlineStr">
        <is>
          <t>слесарь</t>
        </is>
      </c>
      <c r="D11" s="177">
        <f>$D$5</f>
        <v/>
      </c>
      <c r="E11" s="202" t="n"/>
      <c r="F11" s="178" t="n">
        <v>68902.87</v>
      </c>
      <c r="G11" s="52">
        <f>F11/D11</f>
        <v/>
      </c>
      <c r="H11" s="125" t="n"/>
      <c r="I11" s="90">
        <f>H11*100/$E$11</f>
        <v/>
      </c>
      <c r="J11" s="108" t="n"/>
      <c r="K11" s="90">
        <f>J11*100/$E$10</f>
        <v/>
      </c>
      <c r="L11" s="108" t="n"/>
      <c r="M11" s="90">
        <f>L11*100/$E$10</f>
        <v/>
      </c>
      <c r="N11" s="108" t="n"/>
      <c r="O11" s="90">
        <f>N11*100/$E$10</f>
        <v/>
      </c>
      <c r="P11" s="108" t="n"/>
      <c r="Q11" s="121">
        <f>P11*100/$E$10</f>
        <v/>
      </c>
      <c r="R11" s="108" t="n"/>
      <c r="S11" s="121">
        <f>R11*100/$E$10</f>
        <v/>
      </c>
      <c r="T11" s="108" t="n"/>
      <c r="U11" s="90">
        <f>T11*100/$E$11</f>
        <v/>
      </c>
      <c r="V11" s="108" t="n"/>
      <c r="W11" s="90">
        <f>V11*100/$E$10</f>
        <v/>
      </c>
      <c r="X11" s="108" t="n"/>
      <c r="Y11" s="90">
        <f>X11*100/$E$11</f>
        <v/>
      </c>
      <c r="Z11" s="108" t="n"/>
      <c r="AA11" s="90">
        <f>Z11*100/$E$11</f>
        <v/>
      </c>
      <c r="AB11" s="108" t="n"/>
      <c r="AC11" s="90">
        <f>AB11*100/$E$11</f>
        <v/>
      </c>
      <c r="AD11" s="108" t="n"/>
      <c r="AE11" s="121">
        <f>AD11*100/$E$11</f>
        <v/>
      </c>
      <c r="AF11" s="108" t="n"/>
      <c r="AG11" s="121">
        <f>AF11*100/$E$11</f>
        <v/>
      </c>
      <c r="AH11" s="108" t="n"/>
      <c r="AI11" s="90">
        <f>AH11*100/$E$11</f>
        <v/>
      </c>
      <c r="AJ11" s="108" t="n"/>
      <c r="AK11" s="90">
        <f>AJ11*100/$E$11</f>
        <v/>
      </c>
      <c r="AL11" s="108" t="n"/>
      <c r="AM11" s="90">
        <f>AL11*100/$E$11</f>
        <v/>
      </c>
      <c r="AN11" s="108" t="n"/>
      <c r="AO11" s="90">
        <f>AN11*100/$E$11</f>
        <v/>
      </c>
      <c r="AP11" s="108" t="n"/>
      <c r="AQ11" s="90">
        <f>AP11*100/$E$11</f>
        <v/>
      </c>
      <c r="AR11" s="108" t="n"/>
      <c r="AS11" s="90">
        <f>AR11*100/$E$11</f>
        <v/>
      </c>
      <c r="AT11" s="108" t="n"/>
      <c r="AU11" s="90">
        <f>AT11*100/$E$11</f>
        <v/>
      </c>
      <c r="AV11" s="108" t="n"/>
      <c r="AW11" s="90">
        <f>AV11*100/$E$11</f>
        <v/>
      </c>
      <c r="AX11" s="108" t="n"/>
      <c r="AY11" s="90">
        <f>AX11*100/$E$11</f>
        <v/>
      </c>
      <c r="AZ11" s="108" t="n"/>
      <c r="BA11" s="90">
        <f>AZ11*100/$E$11</f>
        <v/>
      </c>
      <c r="BB11" s="108" t="n"/>
      <c r="BC11" s="90">
        <f>BB11*100/$E$11</f>
        <v/>
      </c>
      <c r="BD11" s="108" t="n"/>
      <c r="BE11" s="90">
        <f>BD11*100/$E$11</f>
        <v/>
      </c>
      <c r="BF11" s="108" t="n"/>
      <c r="BG11" s="90">
        <f>BF11*100/$E$11</f>
        <v/>
      </c>
      <c r="BH11" s="108" t="n"/>
      <c r="BI11" s="90">
        <f>BH11*100/$E$11</f>
        <v/>
      </c>
      <c r="BJ11" s="108" t="n"/>
      <c r="BK11" s="90">
        <f>BJ11*100/$E$11</f>
        <v/>
      </c>
      <c r="BL11" s="108" t="n"/>
      <c r="BM11" s="90">
        <f>BL11*100/$E$11</f>
        <v/>
      </c>
      <c r="BN11" s="108" t="n"/>
      <c r="BO11" s="90">
        <f>BN11*100/$E$11</f>
        <v/>
      </c>
      <c r="BP11" s="108" t="n"/>
      <c r="BQ11" s="90">
        <f>BP11*100/$E$11</f>
        <v/>
      </c>
      <c r="BR11" s="108" t="n"/>
      <c r="BS11" s="90">
        <f>BR11*100/$E$11</f>
        <v/>
      </c>
      <c r="BT11" s="108" t="n"/>
      <c r="BU11" s="90">
        <f>BT11*100/$E$11</f>
        <v/>
      </c>
      <c r="BV11" s="108" t="n"/>
      <c r="BW11" s="90">
        <f>BV11*100/$E$11</f>
        <v/>
      </c>
      <c r="BX11" s="108" t="n"/>
      <c r="BY11" s="90">
        <f>BX11*100/$E$11</f>
        <v/>
      </c>
      <c r="BZ11" s="108" t="n"/>
      <c r="CA11" s="90">
        <f>BZ11*100/$E$11</f>
        <v/>
      </c>
      <c r="CB11" s="108" t="n"/>
      <c r="CC11" s="90">
        <f>CB11*100/$E$11</f>
        <v/>
      </c>
      <c r="CD11" s="108" t="n"/>
      <c r="CE11" s="90">
        <f>CD11*100/$E$10</f>
        <v/>
      </c>
      <c r="CF11" s="108" t="n"/>
      <c r="CG11" s="90">
        <f>CF11*100/$E$11</f>
        <v/>
      </c>
      <c r="CH11" s="108" t="n"/>
      <c r="CI11" s="90">
        <f>CH11*100/$E$11</f>
        <v/>
      </c>
      <c r="CJ11" s="108" t="n"/>
      <c r="CK11" s="90">
        <f>CJ11*100/$E$11</f>
        <v/>
      </c>
      <c r="CL11" s="108" t="n"/>
      <c r="CM11" s="90">
        <f>CL11*100/$E$11</f>
        <v/>
      </c>
      <c r="CN11" s="108" t="n"/>
      <c r="CO11" s="122">
        <f>CN11*100/$E$11</f>
        <v/>
      </c>
      <c r="CP11" s="108" t="n"/>
      <c r="CQ11" s="90">
        <f>CP11*100/$E$11</f>
        <v/>
      </c>
      <c r="CR11" s="108" t="n"/>
      <c r="CS11" s="121">
        <f>CR11*100/$E$11</f>
        <v/>
      </c>
      <c r="CT11" s="108" t="n"/>
      <c r="CU11" s="121">
        <f>CT11*100/$E$11</f>
        <v/>
      </c>
      <c r="CV11" s="108" t="n"/>
      <c r="CW11" s="121">
        <f>CV11*100/$E$11</f>
        <v/>
      </c>
      <c r="CX11" s="108" t="n"/>
      <c r="CY11" s="121">
        <f>CX11*100/$E$11</f>
        <v/>
      </c>
      <c r="CZ11" s="108" t="n"/>
      <c r="DA11" s="121">
        <f>CZ11*100/$E$11</f>
        <v/>
      </c>
      <c r="DB11" s="108" t="n"/>
      <c r="DC11" s="121">
        <f>DB11*100/$E$11</f>
        <v/>
      </c>
      <c r="DD11" s="108" t="n"/>
      <c r="DE11" s="121">
        <f>DD11*100/$E$11</f>
        <v/>
      </c>
      <c r="DF11" s="108" t="n"/>
      <c r="DG11" s="121">
        <f>DF11*100/$E$11</f>
        <v/>
      </c>
      <c r="DH11" s="108" t="n"/>
      <c r="DI11" s="121">
        <f>DH11*100/$E$11</f>
        <v/>
      </c>
      <c r="DJ11" s="108" t="n"/>
      <c r="DK11" s="121">
        <f>DJ11*100/$E$11</f>
        <v/>
      </c>
      <c r="DL11" s="108" t="n"/>
      <c r="DM11" s="121">
        <f>DL11*100/$E$11</f>
        <v/>
      </c>
      <c r="DN11" s="108" t="n"/>
      <c r="DO11" s="121">
        <f>DN11*100/$E$11</f>
        <v/>
      </c>
      <c r="DP11" s="108" t="n"/>
      <c r="DQ11" s="121">
        <f>DP11*100/$E$11</f>
        <v/>
      </c>
      <c r="DR11" s="108" t="n"/>
      <c r="DS11" s="121">
        <f>DR11*100/$E$11</f>
        <v/>
      </c>
      <c r="DT11" s="108" t="n"/>
      <c r="DU11" s="121">
        <f>DT11*100/$E$11</f>
        <v/>
      </c>
      <c r="DV11" s="108" t="n"/>
      <c r="DW11" s="121">
        <f>DV11*100/$E$11</f>
        <v/>
      </c>
      <c r="DX11" s="108" t="n"/>
      <c r="DY11" s="121">
        <f>DX11*100/$E$11</f>
        <v/>
      </c>
      <c r="DZ11" s="108" t="n"/>
      <c r="EA11" s="121">
        <f>DZ11*100/$E$11</f>
        <v/>
      </c>
      <c r="EB11" s="108" t="n"/>
      <c r="EC11" s="121">
        <f>EB11*100/$E$11</f>
        <v/>
      </c>
      <c r="ED11" s="108" t="n"/>
      <c r="EE11" s="121">
        <f>ED11*100/$E$11</f>
        <v/>
      </c>
      <c r="EF11" s="108" t="n"/>
      <c r="EG11" s="121">
        <f>EF11*100/$E$11</f>
        <v/>
      </c>
      <c r="EH11" s="108" t="n"/>
      <c r="EI11" s="121">
        <f>EH11*100/$E$11</f>
        <v/>
      </c>
      <c r="EJ11" s="108" t="n"/>
      <c r="EK11" s="121">
        <f>EJ11*100/$E$10</f>
        <v/>
      </c>
      <c r="EL11" s="108" t="n"/>
      <c r="EM11" s="121">
        <f>EL11*100/$E$11</f>
        <v/>
      </c>
      <c r="EN11" s="108" t="n"/>
      <c r="EO11" s="121">
        <f>EN11*100/$E$11</f>
        <v/>
      </c>
      <c r="EP11" s="108" t="n"/>
      <c r="EQ11" s="121">
        <f>EP11*100/$E$11</f>
        <v/>
      </c>
      <c r="ER11" s="108" t="n"/>
      <c r="ES11" s="121">
        <f>ER11*100/$E$11</f>
        <v/>
      </c>
      <c r="ET11" s="108" t="n"/>
      <c r="EU11" s="121">
        <f>ET11*100/$E$11</f>
        <v/>
      </c>
      <c r="EV11" s="108" t="n"/>
      <c r="EW11" s="121">
        <f>EV11*100/$E$11</f>
        <v/>
      </c>
      <c r="EX11" s="108" t="n"/>
      <c r="EY11" s="121">
        <f>EX11*100/$E$11</f>
        <v/>
      </c>
      <c r="EZ11" s="108" t="n"/>
      <c r="FA11" s="121">
        <f>EZ11*100/$E$11</f>
        <v/>
      </c>
      <c r="FB11" s="108" t="n"/>
      <c r="FC11" s="121">
        <f>FB11*100/$E$11</f>
        <v/>
      </c>
      <c r="FD11" s="108" t="n"/>
      <c r="FE11" s="121">
        <f>FD11*100/$E$11</f>
        <v/>
      </c>
      <c r="FF11" s="108" t="n"/>
      <c r="FG11" s="121">
        <f>FF11*100/$E$11</f>
        <v/>
      </c>
      <c r="FH11" s="108" t="n"/>
      <c r="FI11" s="121">
        <f>FH11*100/$E$11</f>
        <v/>
      </c>
      <c r="FJ11" s="108" t="n"/>
      <c r="FK11" s="121">
        <f>FJ11*100/$E$11</f>
        <v/>
      </c>
      <c r="FL11" s="108" t="n"/>
      <c r="FM11" s="121">
        <f>FL11*100/$E$11</f>
        <v/>
      </c>
      <c r="FN11" s="108" t="n"/>
      <c r="FO11" s="121">
        <f>FN11*100/$E$11</f>
        <v/>
      </c>
      <c r="FP11" s="108" t="n"/>
      <c r="FQ11" s="121">
        <f>FP11*100/$E$11</f>
        <v/>
      </c>
      <c r="FR11" s="108" t="n"/>
      <c r="FS11" s="121">
        <f>FR11*100/$E$11</f>
        <v/>
      </c>
      <c r="FT11" s="108" t="n"/>
      <c r="FU11" s="121">
        <f>FT11*100/$E$11</f>
        <v/>
      </c>
      <c r="FV11" s="108" t="n"/>
      <c r="FW11" s="121">
        <f>FV11*100/$E$11</f>
        <v/>
      </c>
      <c r="FX11" s="108" t="n"/>
      <c r="FY11" s="121">
        <f>FX11*100/$E$11</f>
        <v/>
      </c>
      <c r="FZ11" s="108" t="n"/>
      <c r="GA11" s="121">
        <f>FZ11*100/$E$11</f>
        <v/>
      </c>
      <c r="GB11" s="108" t="n"/>
      <c r="GC11" s="121">
        <f>GB11*100/$E$11</f>
        <v/>
      </c>
      <c r="GD11" s="108" t="n"/>
      <c r="GE11" s="121">
        <f>GD11*100/$E$11</f>
        <v/>
      </c>
      <c r="GF11" s="108" t="n"/>
      <c r="GG11" s="121">
        <f>GF11*100/$E$11</f>
        <v/>
      </c>
      <c r="GH11" s="108" t="n"/>
      <c r="GI11" s="121">
        <f>GH11*100/$E$11</f>
        <v/>
      </c>
      <c r="GJ11" s="108" t="n"/>
      <c r="GK11" s="121">
        <f>GJ11*100/$E$11</f>
        <v/>
      </c>
      <c r="GL11" s="108" t="n"/>
      <c r="GM11" s="121">
        <f>GL11*100/$E$11</f>
        <v/>
      </c>
      <c r="GN11" s="108" t="n"/>
      <c r="GO11" s="121">
        <f>GN11*100/$E$11</f>
        <v/>
      </c>
      <c r="GP11" s="108" t="n"/>
      <c r="GQ11" s="121">
        <f>GP11*100/$E$11</f>
        <v/>
      </c>
      <c r="GR11" s="108" t="n"/>
      <c r="GS11" s="121">
        <f>GR11*100/$E$11</f>
        <v/>
      </c>
      <c r="GT11" s="108" t="n"/>
      <c r="GU11" s="121">
        <f>GT11*100/$E$11</f>
        <v/>
      </c>
      <c r="GV11" s="108" t="n"/>
      <c r="GW11" s="121">
        <f>GV11*100/$E$11</f>
        <v/>
      </c>
      <c r="GX11" s="108" t="n"/>
      <c r="GY11" s="121">
        <f>GX11*100/$E$11</f>
        <v/>
      </c>
      <c r="GZ11" s="108" t="n"/>
      <c r="HA11" s="121">
        <f>GZ11*100/$E$11</f>
        <v/>
      </c>
      <c r="HB11" s="108" t="n"/>
      <c r="HC11" s="121">
        <f>HB11*100/$E$11</f>
        <v/>
      </c>
      <c r="HD11" s="108" t="n"/>
      <c r="HE11" s="121">
        <f>HD11*100/$E$11</f>
        <v/>
      </c>
      <c r="HF11" s="108" t="n"/>
      <c r="HG11" s="121">
        <f>HF11*100/$E$11</f>
        <v/>
      </c>
      <c r="HH11" s="108" t="n"/>
      <c r="HI11" s="121">
        <f>HH11*100/$E$11</f>
        <v/>
      </c>
      <c r="HJ11" s="108" t="n"/>
      <c r="HK11" s="121">
        <f>HJ11*100/$E$11</f>
        <v/>
      </c>
      <c r="HL11" s="108" t="n"/>
      <c r="HM11" s="121">
        <f>HL11*100/$E$11</f>
        <v/>
      </c>
      <c r="HN11" s="108" t="n"/>
      <c r="HO11" s="121">
        <f>HN11*100/$E$11</f>
        <v/>
      </c>
      <c r="HP11" s="108" t="n"/>
      <c r="HQ11" s="121">
        <f>HP11*100/$E$11</f>
        <v/>
      </c>
      <c r="HR11" s="108" t="n"/>
      <c r="HS11" s="121">
        <f>HR11*100/$E$11</f>
        <v/>
      </c>
      <c r="HT11" s="108" t="n"/>
      <c r="HU11" s="121">
        <f>HT11*100/$E$11</f>
        <v/>
      </c>
      <c r="HV11" s="108" t="n"/>
      <c r="HW11" s="121">
        <f>HV11*100/$E$11</f>
        <v/>
      </c>
      <c r="HX11" s="108" t="n"/>
      <c r="HY11" s="121">
        <f>HX11*100/$E$11</f>
        <v/>
      </c>
      <c r="HZ11" s="108" t="n"/>
      <c r="IA11" s="121">
        <f>HZ11*100/$E$11</f>
        <v/>
      </c>
      <c r="IB11" s="108" t="n"/>
      <c r="IC11" s="121">
        <f>IB11*100/$E$11</f>
        <v/>
      </c>
      <c r="ID11" s="108" t="n"/>
      <c r="IE11" s="121">
        <f>ID11*100/$E$11</f>
        <v/>
      </c>
      <c r="IF11" s="108" t="n"/>
      <c r="IG11" s="121">
        <f>IF11*100/$E$11</f>
        <v/>
      </c>
      <c r="IH11" s="108" t="n"/>
      <c r="II11" s="121">
        <f>IH11*100/$E$11</f>
        <v/>
      </c>
      <c r="IJ11" s="108" t="n"/>
      <c r="IK11" s="121">
        <f>IJ11*100/$E$11</f>
        <v/>
      </c>
      <c r="IL11" s="108" t="n"/>
      <c r="IM11" s="121">
        <f>IL11*100/$E$11</f>
        <v/>
      </c>
      <c r="IN11" s="108" t="n"/>
      <c r="IO11" s="121">
        <f>IN11*100/$E$11</f>
        <v/>
      </c>
      <c r="IP11" s="108" t="n"/>
      <c r="IQ11" s="121">
        <f>IP11*100/$E$11</f>
        <v/>
      </c>
      <c r="IR11" s="108" t="n"/>
      <c r="IS11" s="121">
        <f>IR11*100/$E$11</f>
        <v/>
      </c>
      <c r="IT11" s="108" t="n"/>
      <c r="IU11" s="121">
        <f>IT11*100/$E$11</f>
        <v/>
      </c>
      <c r="IV11" s="108" t="n"/>
      <c r="IW11" s="121">
        <f>IV11*100/$E$11</f>
        <v/>
      </c>
      <c r="IX11" s="108" t="n"/>
      <c r="IY11" s="121">
        <f>IX11*100/$E$11</f>
        <v/>
      </c>
      <c r="IZ11" s="108" t="n"/>
      <c r="JA11" s="121">
        <f>IZ11*100/$E$11</f>
        <v/>
      </c>
      <c r="JB11" s="108" t="n"/>
      <c r="JC11" s="121">
        <f>JB11*100/$E$11</f>
        <v/>
      </c>
      <c r="JD11" s="108" t="n"/>
      <c r="JE11" s="121">
        <f>JD11*100/$E$11</f>
        <v/>
      </c>
      <c r="JF11" s="108" t="n"/>
      <c r="JG11" s="121">
        <f>JF11*100/$E$11</f>
        <v/>
      </c>
      <c r="JH11" s="108" t="n"/>
      <c r="JI11" s="121">
        <f>JH11*100/$E$11</f>
        <v/>
      </c>
      <c r="JJ11" s="108" t="n"/>
      <c r="JK11" s="121">
        <f>JJ11*100/$E$11</f>
        <v/>
      </c>
      <c r="JL11" s="108" t="n"/>
      <c r="JM11" s="121">
        <f>JL11*100/$E$11</f>
        <v/>
      </c>
      <c r="JN11" s="108" t="n"/>
      <c r="JO11" s="122">
        <f>JN11*100/$E$11</f>
        <v/>
      </c>
      <c r="JP11" s="108" t="n"/>
      <c r="JQ11" s="122">
        <f>JP11*100/$E$11</f>
        <v/>
      </c>
      <c r="JR11" s="108" t="n"/>
      <c r="JS11" s="122">
        <f>JR11*100/$E$11</f>
        <v/>
      </c>
      <c r="JT11" s="108" t="n"/>
      <c r="JU11" s="122">
        <f>JT11*100/$E$11</f>
        <v/>
      </c>
      <c r="JV11" s="108" t="n"/>
      <c r="JW11" s="122">
        <f>JV11*100/$E$11</f>
        <v/>
      </c>
      <c r="JX11" s="108" t="n"/>
      <c r="JY11" s="122">
        <f>JX11*100/$E$11</f>
        <v/>
      </c>
      <c r="JZ11" s="55">
        <f>JN11+JP11+JR11+JT11+JV11+JX11</f>
        <v/>
      </c>
      <c r="KA11" s="53">
        <f>JO11+JQ11+JS11+JU11+JW11+JY11</f>
        <v/>
      </c>
      <c r="KB11" s="64">
        <f>H11+J11+L11+N11+P11+R11+T11+V11+X11+Z11+AB11+AD11+AF11+AH11+AJ11+AL11+AN11+AP11+AR11+AT11+AV11+AX11+AZ11+BB11+BD11+BF11+BH11+BJ11+BL11+BN11+BP11+BR11+BT11+BV11+BX11+BZ11+CB11+CD11+CF11+CH11+CZ11+DB11+DD11+DF11+DH11+DJ11+DL11+DN11+DP11+DR11+DT11+DV11+DX11+DZ11+EB11+ED11+EF11+EH11+EJ11+EL11+EN11+EP11+ER11+ET11+EV11+FN11+FP11+FR11+FT11+FV11+FX11+FZ11+GB11+GD11+GF11+GH11+GJ11+GL11+GN11+GP11+GR11+GT11+GV11+GX11+GZ11+HB11+HD11+HF11+HH11+HJ11+HL11+HN11+HP11+HR11+HT11+HV11+HX11+HZ11+IB11+ID11+IF11+IH11+IJ11+IL11+IN11+IP11+IR11+IT11+IV11+IX11+IZ11+JB11+JD11+JF11+JH11+JJ11+JL11+JZ11+CJ11+CL11+CN11+CP11+CR11+CT11+CV11+CX11+EX11+EZ11+FB11+FD11+FF11+FH11+FJ11+FL11</f>
        <v/>
      </c>
      <c r="KC11" s="66">
        <f>I11+K11+M11+O11+Q11+S11+U11+W11+Y11+AA11+AC11+AE11+AG11+AI11+AK11+AM11+AO11+AQ11+AS11+AU11+AW11+AY11+BA11+BC11+BE11+BG11+BI11+BK11+BM11+BO11+BQ11+BS11+BU11+BW11+BY11+CA11+CC11+CE11+CG11+CI11+DA11+DC11+DE11+DG11+DI11+DK11+DM11+DO11+DQ11+DS11+DU11+DW11+DY11+EA11+EC11+EE11+EG11+EI11+EK11+EM11+EO11+EQ11+ES11+EU11+EW11+FO11+FS11+FU11+FW11+FQ11+FY11+GA11+GC11+GE11+GG11+GI11+GK11+GM11+GO11+GQ11+GS11+GU11+GW11+GY11+HA11+HC11+HE11+HG11+HI11+HK11+HM11+HO11+HQ11+HS11+HU11+HW11+HY11+IA11+IC11+IE11+IG11+II11+IK11+IM11+IO11+IQ11+IS11+IU11+IW11+IY11+JA11+JC11+JE11+JG11+JI11+JK11+JM11+KA11+CK11+CM11+CO11+CQ11+CS11+CU11+CW11+CY11+EY11+FA11+FC11+FE11+FG11+FI11+FK11+FM11</f>
        <v/>
      </c>
      <c r="KD11" s="44">
        <f>JO11+JQ11+JS11+JU11+JW11+JY11</f>
        <v/>
      </c>
      <c r="KE11" s="45">
        <f>KB11=E11</f>
        <v/>
      </c>
      <c r="KF11" s="101">
        <f>E11-KB11</f>
        <v/>
      </c>
    </row>
    <row r="12" ht="21.75" customFormat="1" customHeight="1" s="11">
      <c r="A12" s="126">
        <f>A11+1</f>
        <v/>
      </c>
      <c r="B12" s="175" t="inlineStr">
        <is>
          <t>Бреев И.И.</t>
        </is>
      </c>
      <c r="C12" s="194" t="inlineStr">
        <is>
          <t>токарь</t>
        </is>
      </c>
      <c r="D12" s="177">
        <f>$D$5</f>
        <v/>
      </c>
      <c r="E12" s="202" t="n"/>
      <c r="F12" s="191" t="n">
        <v>101150.45</v>
      </c>
      <c r="G12" s="52">
        <f>F12/D12</f>
        <v/>
      </c>
      <c r="H12" s="125" t="n"/>
      <c r="I12" s="90">
        <f>H12*100/$E$12</f>
        <v/>
      </c>
      <c r="J12" s="108" t="n"/>
      <c r="K12" s="90">
        <f>J12*100/$E$12</f>
        <v/>
      </c>
      <c r="L12" s="108" t="n"/>
      <c r="M12" s="90">
        <f>L12*100/$E$12</f>
        <v/>
      </c>
      <c r="N12" s="108" t="n"/>
      <c r="O12" s="90">
        <f>N12*100/$E$12</f>
        <v/>
      </c>
      <c r="P12" s="108" t="n"/>
      <c r="Q12" s="121">
        <f>P12*100/$E$12</f>
        <v/>
      </c>
      <c r="R12" s="108" t="n"/>
      <c r="S12" s="121">
        <f>R12*100/$E$12</f>
        <v/>
      </c>
      <c r="T12" s="108" t="n"/>
      <c r="U12" s="90">
        <f>T12*100/$E$12</f>
        <v/>
      </c>
      <c r="V12" s="108" t="n"/>
      <c r="W12" s="90">
        <f>V12*100/$E$12</f>
        <v/>
      </c>
      <c r="X12" s="108" t="n"/>
      <c r="Y12" s="90">
        <f>X12*100/$E$12</f>
        <v/>
      </c>
      <c r="Z12" s="108" t="n"/>
      <c r="AA12" s="90">
        <f>Z12*100/$E$12</f>
        <v/>
      </c>
      <c r="AB12" s="108" t="n"/>
      <c r="AC12" s="90">
        <f>AB12*100/$E$12</f>
        <v/>
      </c>
      <c r="AD12" s="108" t="n"/>
      <c r="AE12" s="121">
        <f>AD12*100/$E$12</f>
        <v/>
      </c>
      <c r="AF12" s="108" t="n"/>
      <c r="AG12" s="121">
        <f>AF12*100/$E$12</f>
        <v/>
      </c>
      <c r="AH12" s="108" t="n"/>
      <c r="AI12" s="90">
        <f>AH12*100/$E$12</f>
        <v/>
      </c>
      <c r="AJ12" s="108" t="n"/>
      <c r="AK12" s="90">
        <f>AJ12*100/$E$12</f>
        <v/>
      </c>
      <c r="AL12" s="108" t="n"/>
      <c r="AM12" s="90">
        <f>AL12*100/$E$12</f>
        <v/>
      </c>
      <c r="AN12" s="108" t="n"/>
      <c r="AO12" s="90">
        <f>AN12*100/$E$12</f>
        <v/>
      </c>
      <c r="AP12" s="108" t="n"/>
      <c r="AQ12" s="90">
        <f>AP12*100/$E$12</f>
        <v/>
      </c>
      <c r="AR12" s="108" t="n"/>
      <c r="AS12" s="90">
        <f>AR12*100/$E$12</f>
        <v/>
      </c>
      <c r="AT12" s="108" t="n"/>
      <c r="AU12" s="90">
        <f>AT12*100/$E$12</f>
        <v/>
      </c>
      <c r="AV12" s="108" t="n"/>
      <c r="AW12" s="90">
        <f>AV12*100/$E$12</f>
        <v/>
      </c>
      <c r="AX12" s="108" t="n"/>
      <c r="AY12" s="90">
        <f>AX12*100/$E$12</f>
        <v/>
      </c>
      <c r="AZ12" s="108" t="n"/>
      <c r="BA12" s="90">
        <f>AZ12*100/$E$12</f>
        <v/>
      </c>
      <c r="BB12" s="108" t="n"/>
      <c r="BC12" s="90">
        <f>BB12*100/$E$12</f>
        <v/>
      </c>
      <c r="BD12" s="108" t="n"/>
      <c r="BE12" s="90">
        <f>BD12*100/$E$12</f>
        <v/>
      </c>
      <c r="BF12" s="108" t="n"/>
      <c r="BG12" s="90">
        <f>BF12*100/$E$12</f>
        <v/>
      </c>
      <c r="BH12" s="108" t="n"/>
      <c r="BI12" s="90">
        <f>BH12*100/$E$12</f>
        <v/>
      </c>
      <c r="BJ12" s="108" t="n"/>
      <c r="BK12" s="90">
        <f>BJ12*100/$E$12</f>
        <v/>
      </c>
      <c r="BL12" s="108" t="n"/>
      <c r="BM12" s="90">
        <f>BL12*100/$E$12</f>
        <v/>
      </c>
      <c r="BN12" s="108" t="n"/>
      <c r="BO12" s="90">
        <f>BN12*100/$E$12</f>
        <v/>
      </c>
      <c r="BP12" s="108" t="n"/>
      <c r="BQ12" s="90">
        <f>BP12*100/$E$12</f>
        <v/>
      </c>
      <c r="BR12" s="108" t="n"/>
      <c r="BS12" s="90">
        <f>BR12*100/$E$12</f>
        <v/>
      </c>
      <c r="BT12" s="108" t="n"/>
      <c r="BU12" s="90">
        <f>BT12*100/$E$12</f>
        <v/>
      </c>
      <c r="BV12" s="108" t="n"/>
      <c r="BW12" s="90">
        <f>BV12*100/$E$12</f>
        <v/>
      </c>
      <c r="BX12" s="108" t="n"/>
      <c r="BY12" s="90">
        <f>BX12*100/$E$12</f>
        <v/>
      </c>
      <c r="BZ12" s="108" t="n"/>
      <c r="CA12" s="90">
        <f>BZ12*100/$E$12</f>
        <v/>
      </c>
      <c r="CB12" s="108" t="n"/>
      <c r="CC12" s="90">
        <f>CB12*100/$E$12</f>
        <v/>
      </c>
      <c r="CD12" s="108" t="n"/>
      <c r="CE12" s="90">
        <f>CD12*100/$E$12</f>
        <v/>
      </c>
      <c r="CF12" s="108" t="n"/>
      <c r="CG12" s="90">
        <f>CF12*100/$E$12</f>
        <v/>
      </c>
      <c r="CH12" s="108" t="n"/>
      <c r="CI12" s="90">
        <f>CH12*100/$E$12</f>
        <v/>
      </c>
      <c r="CJ12" s="108" t="n"/>
      <c r="CK12" s="90">
        <f>CJ12*100/$E$12</f>
        <v/>
      </c>
      <c r="CL12" s="108" t="n"/>
      <c r="CM12" s="90">
        <f>CL12*100/$E$12</f>
        <v/>
      </c>
      <c r="CN12" s="108" t="n"/>
      <c r="CO12" s="122">
        <f>CN12*100/$E$12</f>
        <v/>
      </c>
      <c r="CP12" s="108" t="n"/>
      <c r="CQ12" s="90">
        <f>CP12*100/$E$12</f>
        <v/>
      </c>
      <c r="CR12" s="108" t="n"/>
      <c r="CS12" s="121">
        <f>CR12*100/$E$12</f>
        <v/>
      </c>
      <c r="CT12" s="108" t="n"/>
      <c r="CU12" s="121">
        <f>CT12*100/$E$12</f>
        <v/>
      </c>
      <c r="CV12" s="108" t="n"/>
      <c r="CW12" s="121">
        <f>CV12*100/$E$12</f>
        <v/>
      </c>
      <c r="CX12" s="108" t="n"/>
      <c r="CY12" s="121">
        <f>CX12*100/$E$12</f>
        <v/>
      </c>
      <c r="CZ12" s="108" t="n"/>
      <c r="DA12" s="121">
        <f>CZ12*100/$E$12</f>
        <v/>
      </c>
      <c r="DB12" s="108" t="n"/>
      <c r="DC12" s="121">
        <f>DB12*100/$E$12</f>
        <v/>
      </c>
      <c r="DD12" s="108" t="n"/>
      <c r="DE12" s="121">
        <f>DD12*100/$E$12</f>
        <v/>
      </c>
      <c r="DF12" s="108" t="n"/>
      <c r="DG12" s="121">
        <f>DF12*100/$E$12</f>
        <v/>
      </c>
      <c r="DH12" s="108" t="n"/>
      <c r="DI12" s="121">
        <f>DH12*100/$E$12</f>
        <v/>
      </c>
      <c r="DJ12" s="108" t="n"/>
      <c r="DK12" s="121">
        <f>DJ12*100/$E$12</f>
        <v/>
      </c>
      <c r="DL12" s="108" t="n"/>
      <c r="DM12" s="121">
        <f>DL12*100/$E$12</f>
        <v/>
      </c>
      <c r="DN12" s="108" t="n"/>
      <c r="DO12" s="121">
        <f>DN12*100/$E$12</f>
        <v/>
      </c>
      <c r="DP12" s="108" t="n"/>
      <c r="DQ12" s="121">
        <f>DP12*100/$E$12</f>
        <v/>
      </c>
      <c r="DR12" s="108" t="n"/>
      <c r="DS12" s="121">
        <f>DR12*100/$E$12</f>
        <v/>
      </c>
      <c r="DT12" s="108" t="n"/>
      <c r="DU12" s="121">
        <f>DT12*100/$E$12</f>
        <v/>
      </c>
      <c r="DV12" s="108" t="n"/>
      <c r="DW12" s="121">
        <f>DV12*100/$E$12</f>
        <v/>
      </c>
      <c r="DX12" s="108" t="n"/>
      <c r="DY12" s="121">
        <f>DX12*100/$E$12</f>
        <v/>
      </c>
      <c r="DZ12" s="108" t="n"/>
      <c r="EA12" s="121">
        <f>DZ12*100/$E$12</f>
        <v/>
      </c>
      <c r="EB12" s="108" t="n"/>
      <c r="EC12" s="121">
        <f>EB12*100/$E$12</f>
        <v/>
      </c>
      <c r="ED12" s="108" t="n"/>
      <c r="EE12" s="121">
        <f>ED12*100/$E$12</f>
        <v/>
      </c>
      <c r="EF12" s="108" t="n"/>
      <c r="EG12" s="121">
        <f>EF12*100/$E$12</f>
        <v/>
      </c>
      <c r="EH12" s="108" t="n"/>
      <c r="EI12" s="121">
        <f>EH12*100/$E$12</f>
        <v/>
      </c>
      <c r="EJ12" s="108" t="n"/>
      <c r="EK12" s="121">
        <f>EJ12*100/$E$12</f>
        <v/>
      </c>
      <c r="EL12" s="108" t="n"/>
      <c r="EM12" s="121">
        <f>EL12*100/$E$12</f>
        <v/>
      </c>
      <c r="EN12" s="108" t="n"/>
      <c r="EO12" s="121">
        <f>EN12*100/$E$12</f>
        <v/>
      </c>
      <c r="EP12" s="108" t="n"/>
      <c r="EQ12" s="121">
        <f>EP12*100/$E$12</f>
        <v/>
      </c>
      <c r="ER12" s="108" t="n"/>
      <c r="ES12" s="121">
        <f>ER12*100/$E$12</f>
        <v/>
      </c>
      <c r="ET12" s="108" t="n"/>
      <c r="EU12" s="121">
        <f>ET12*100/$E$12</f>
        <v/>
      </c>
      <c r="EV12" s="108" t="n"/>
      <c r="EW12" s="121">
        <f>EV12*100/$E$12</f>
        <v/>
      </c>
      <c r="EX12" s="108" t="n"/>
      <c r="EY12" s="121">
        <f>EX12*100/$E$12</f>
        <v/>
      </c>
      <c r="EZ12" s="108" t="n"/>
      <c r="FA12" s="121">
        <f>EZ12*100/$E$12</f>
        <v/>
      </c>
      <c r="FB12" s="108" t="n"/>
      <c r="FC12" s="121">
        <f>FB12*100/$E$12</f>
        <v/>
      </c>
      <c r="FD12" s="108" t="n"/>
      <c r="FE12" s="121">
        <f>FD12*100/$E$12</f>
        <v/>
      </c>
      <c r="FF12" s="108" t="n"/>
      <c r="FG12" s="121">
        <f>FF12*100/$E$12</f>
        <v/>
      </c>
      <c r="FH12" s="108" t="n"/>
      <c r="FI12" s="121">
        <f>FH12*100/$E$12</f>
        <v/>
      </c>
      <c r="FJ12" s="108" t="n"/>
      <c r="FK12" s="121">
        <f>FJ12*100/$E$12</f>
        <v/>
      </c>
      <c r="FL12" s="108" t="n"/>
      <c r="FM12" s="121">
        <f>FL12*100/$E$12</f>
        <v/>
      </c>
      <c r="FN12" s="108" t="n"/>
      <c r="FO12" s="121">
        <f>FN12*100/$E$12</f>
        <v/>
      </c>
      <c r="FP12" s="108" t="n"/>
      <c r="FQ12" s="121">
        <f>FP12*100/$E$12</f>
        <v/>
      </c>
      <c r="FR12" s="108" t="n"/>
      <c r="FS12" s="121">
        <f>FR12*100/$E$12</f>
        <v/>
      </c>
      <c r="FT12" s="108" t="n"/>
      <c r="FU12" s="121">
        <f>FT12*100/$E$12</f>
        <v/>
      </c>
      <c r="FV12" s="108" t="n"/>
      <c r="FW12" s="121">
        <f>FV12*100/$E$12</f>
        <v/>
      </c>
      <c r="FX12" s="108" t="n"/>
      <c r="FY12" s="90">
        <f>FX12*100/$E$12</f>
        <v/>
      </c>
      <c r="FZ12" s="108" t="n"/>
      <c r="GA12" s="90">
        <f>FZ12*100/$E$12</f>
        <v/>
      </c>
      <c r="GB12" s="108" t="n"/>
      <c r="GC12" s="90">
        <f>GB12*100/$E$12</f>
        <v/>
      </c>
      <c r="GD12" s="108" t="n"/>
      <c r="GE12" s="90">
        <f>GD12*100/$E$12</f>
        <v/>
      </c>
      <c r="GF12" s="108" t="n"/>
      <c r="GG12" s="90">
        <f>GF12*100/$E$12</f>
        <v/>
      </c>
      <c r="GH12" s="108" t="n"/>
      <c r="GI12" s="90">
        <f>GH12*100/$E$12</f>
        <v/>
      </c>
      <c r="GJ12" s="108" t="n"/>
      <c r="GK12" s="121">
        <f>GJ12*100/$E$12</f>
        <v/>
      </c>
      <c r="GL12" s="108" t="n"/>
      <c r="GM12" s="90">
        <f>GL12*100/$E$12</f>
        <v/>
      </c>
      <c r="GN12" s="108" t="n"/>
      <c r="GO12" s="121">
        <f>GN12*100/$E$12</f>
        <v/>
      </c>
      <c r="GP12" s="108" t="n"/>
      <c r="GQ12" s="90">
        <f>GP12*100/$E$12</f>
        <v/>
      </c>
      <c r="GR12" s="108" t="n"/>
      <c r="GS12" s="121">
        <f>GR12*100/$E$12</f>
        <v/>
      </c>
      <c r="GT12" s="108" t="n"/>
      <c r="GU12" s="121">
        <f>GT12*100/$E$12</f>
        <v/>
      </c>
      <c r="GV12" s="108" t="n"/>
      <c r="GW12" s="121">
        <f>GV12*100/$E$12</f>
        <v/>
      </c>
      <c r="GX12" s="108" t="n"/>
      <c r="GY12" s="90">
        <f>GX12*100/$E$12</f>
        <v/>
      </c>
      <c r="GZ12" s="108" t="n"/>
      <c r="HA12" s="90">
        <f>GZ12*100/$E$12</f>
        <v/>
      </c>
      <c r="HB12" s="108" t="n"/>
      <c r="HC12" s="90">
        <f>HB12*100/$E$12</f>
        <v/>
      </c>
      <c r="HD12" s="108" t="n"/>
      <c r="HE12" s="90">
        <f>HD12*100/$E$12</f>
        <v/>
      </c>
      <c r="HF12" s="108" t="n"/>
      <c r="HG12" s="90">
        <f>HF12*100/$E$12</f>
        <v/>
      </c>
      <c r="HH12" s="108" t="n"/>
      <c r="HI12" s="90">
        <f>HH12*100/$E$12</f>
        <v/>
      </c>
      <c r="HJ12" s="108" t="n"/>
      <c r="HK12" s="90">
        <f>HJ12*100/$E$12</f>
        <v/>
      </c>
      <c r="HL12" s="108" t="n"/>
      <c r="HM12" s="90">
        <f>HL12*100/$E$12</f>
        <v/>
      </c>
      <c r="HN12" s="108" t="n"/>
      <c r="HO12" s="90">
        <f>HN12*100/$E$12</f>
        <v/>
      </c>
      <c r="HP12" s="108" t="n"/>
      <c r="HQ12" s="90">
        <f>HP12*100/$E$12</f>
        <v/>
      </c>
      <c r="HR12" s="108" t="n"/>
      <c r="HS12" s="90">
        <f>HR12*100/$E$12</f>
        <v/>
      </c>
      <c r="HT12" s="108" t="n"/>
      <c r="HU12" s="90">
        <f>HT12*100/$E$12</f>
        <v/>
      </c>
      <c r="HV12" s="108" t="n"/>
      <c r="HW12" s="90">
        <f>HV12*100/$E$12</f>
        <v/>
      </c>
      <c r="HX12" s="108" t="n"/>
      <c r="HY12" s="90">
        <f>HX12*100/$E$12</f>
        <v/>
      </c>
      <c r="HZ12" s="108" t="n"/>
      <c r="IA12" s="121">
        <f>HZ12*100/$E$12</f>
        <v/>
      </c>
      <c r="IB12" s="108" t="n"/>
      <c r="IC12" s="121">
        <f>IB12*100/$E$12</f>
        <v/>
      </c>
      <c r="ID12" s="108" t="n"/>
      <c r="IE12" s="121">
        <f>ID12*100/$E$12</f>
        <v/>
      </c>
      <c r="IF12" s="108" t="n"/>
      <c r="IG12" s="121">
        <f>IF12*100/$E$12</f>
        <v/>
      </c>
      <c r="IH12" s="108" t="n"/>
      <c r="II12" s="121">
        <f>IH12*100/$E$12</f>
        <v/>
      </c>
      <c r="IJ12" s="108" t="n"/>
      <c r="IK12" s="121">
        <f>IJ12*100/$E$12</f>
        <v/>
      </c>
      <c r="IL12" s="108" t="n"/>
      <c r="IM12" s="90">
        <f>IL12*100/$E$12</f>
        <v/>
      </c>
      <c r="IN12" s="108" t="n"/>
      <c r="IO12" s="90">
        <f>IN12*100/$E$12</f>
        <v/>
      </c>
      <c r="IP12" s="108" t="n"/>
      <c r="IQ12" s="121">
        <f>IP12*100/$E$12</f>
        <v/>
      </c>
      <c r="IR12" s="108" t="n"/>
      <c r="IS12" s="121">
        <f>IR12*100/$E$12</f>
        <v/>
      </c>
      <c r="IT12" s="108" t="n"/>
      <c r="IU12" s="121">
        <f>IT12*100/$E$12</f>
        <v/>
      </c>
      <c r="IV12" s="108" t="n"/>
      <c r="IW12" s="121">
        <f>IV12*100/$E$12</f>
        <v/>
      </c>
      <c r="IX12" s="108" t="n"/>
      <c r="IY12" s="121">
        <f>IX12*100/$E$12</f>
        <v/>
      </c>
      <c r="IZ12" s="108" t="n"/>
      <c r="JA12" s="121">
        <f>IZ12*100/$E$12</f>
        <v/>
      </c>
      <c r="JB12" s="108" t="n"/>
      <c r="JC12" s="121">
        <f>JB12*100/$E$12</f>
        <v/>
      </c>
      <c r="JD12" s="108" t="n"/>
      <c r="JE12" s="121">
        <f>JD12*100/$E$12</f>
        <v/>
      </c>
      <c r="JF12" s="108" t="n"/>
      <c r="JG12" s="121">
        <f>JF12*100/$E$12</f>
        <v/>
      </c>
      <c r="JH12" s="108" t="n"/>
      <c r="JI12" s="121">
        <f>JH12*100/$E$12</f>
        <v/>
      </c>
      <c r="JJ12" s="108" t="n"/>
      <c r="JK12" s="121">
        <f>JJ12*100/$E$12</f>
        <v/>
      </c>
      <c r="JL12" s="108" t="n"/>
      <c r="JM12" s="121">
        <f>JL12*100/$E$12</f>
        <v/>
      </c>
      <c r="JN12" s="108" t="n"/>
      <c r="JO12" s="122">
        <f>JN12*100/$E$12</f>
        <v/>
      </c>
      <c r="JP12" s="108" t="n"/>
      <c r="JQ12" s="122">
        <f>JP12*100/$E$12</f>
        <v/>
      </c>
      <c r="JR12" s="108" t="n"/>
      <c r="JS12" s="122">
        <f>JR12*100/$E$12</f>
        <v/>
      </c>
      <c r="JT12" s="108" t="n"/>
      <c r="JU12" s="122">
        <f>JT12*100/$E$12</f>
        <v/>
      </c>
      <c r="JV12" s="108" t="n"/>
      <c r="JW12" s="122">
        <f>JV12*100/$E$12</f>
        <v/>
      </c>
      <c r="JX12" s="108" t="n"/>
      <c r="JY12" s="122">
        <f>JX12*100/$E$12</f>
        <v/>
      </c>
      <c r="JZ12" s="55">
        <f>JN12+JP12+JR12+JT12+JV12+JX12</f>
        <v/>
      </c>
      <c r="KA12" s="53">
        <f>JO12+JQ12+JS12+JU12+JW12+JY12</f>
        <v/>
      </c>
      <c r="KB12" s="64">
        <f>H12+J12+L12+N12+P12+R12+T12+V12+X12+Z12+AB12+AD12+AF12+AH12+AJ12+AL12+AN12+AP12+AR12+AT12+AV12+AX12+AZ12+BB12+BD12+BF12+BH12+BJ12+BL12+BN12+BP12+BR12+BT12+BV12+BX12+BZ12+CB12+CD12+CF12+CH12+CZ12+DB12+DD12+DF12+DH12+DJ12+DL12+DN12+DP12+DR12+DT12+DV12+DX12+DZ12+EB12+ED12+EF12+EH12+EJ12+EL12+EN12+EP12+ER12+ET12+EV12+FN12+FP12+FR12+FT12+FV12+FX12+FZ12+GB12+GD12+GF12+GH12+GJ12+GL12+GN12+GP12+GR12+GT12+GV12+GX12+GZ12+HB12+HD12+HF12+HH12+HJ12+HL12+HN12+HP12+HR12+HT12+HV12+HX12+HZ12+IB12+ID12+IF12+IH12+IJ12+IL12+IN12+IP12+IR12+IT12+IV12+IX12+IZ12+JB12+JD12+JF12+JH12+JJ12+JL12+JZ12+CJ12+CL12+CN12+CP12+CR12+CT12+CV12+CX12+EX12+EZ12+FB12+FD12+FF12+FH12+FJ12+FL12</f>
        <v/>
      </c>
      <c r="KC12" s="66">
        <f>I12+K12+M12+O12+Q12+S12+U12+W12+Y12+AA12+AC12+AE12+AG12+AI12+AK12+AM12+AO12+AQ12+AS12+AU12+AW12+AY12+BA12+BC12+BE12+BG12+BI12+BK12+BM12+BO12+BQ12+BS12+BU12+BW12+BY12+CA12+CC12+CE12+CG12+CI12+DA12+DC12+DE12+DG12+DI12+DK12+DM12+DO12+DQ12+DS12+DU12+DW12+DY12+EA12+EC12+EE12+EG12+EI12+EK12+EM12+EO12+EQ12+ES12+EU12+EW12+FO12+FS12+FU12+FW12+FQ12+FY12+GA12+GC12+GE12+GG12+GI12+GK12+GM12+GO12+GQ12+GS12+GU12+GW12+GY12+HA12+HC12+HE12+HG12+HI12+HK12+HM12+HO12+HQ12+HS12+HU12+HW12+HY12+IA12+IC12+IE12+IG12+II12+IK12+IM12+IO12+IQ12+IS12+IU12+IW12+IY12+JA12+JC12+JE12+JG12+JI12+JK12+JM12+KA12+CK12+CM12+CO12+CQ12+CS12+CU12+CW12+CY12+EY12+FA12+FC12+FE12+FG12+FI12+FK12+FM12</f>
        <v/>
      </c>
      <c r="KD12" s="44">
        <f>JO12+JQ12+JS12+JU12+JW12+JY12</f>
        <v/>
      </c>
      <c r="KE12" s="45">
        <f>KB12=E12</f>
        <v/>
      </c>
      <c r="KF12" s="101">
        <f>E12-KB12</f>
        <v/>
      </c>
    </row>
    <row r="13" ht="21.75" customFormat="1" customHeight="1" s="13">
      <c r="A13" s="126">
        <f>A12+1</f>
        <v/>
      </c>
      <c r="B13" s="175" t="inlineStr">
        <is>
          <t>Будников К.С.</t>
        </is>
      </c>
      <c r="C13" s="194" t="inlineStr">
        <is>
          <t>токарь</t>
        </is>
      </c>
      <c r="D13" s="177">
        <f>$D$5</f>
        <v/>
      </c>
      <c r="E13" s="202" t="n"/>
      <c r="F13" s="178" t="n">
        <v>101150.45</v>
      </c>
      <c r="G13" s="52">
        <f>F13/D13</f>
        <v/>
      </c>
      <c r="H13" s="125" t="n"/>
      <c r="I13" s="107">
        <f>H13*100/$E$13</f>
        <v/>
      </c>
      <c r="J13" s="108" t="n"/>
      <c r="K13" s="107">
        <f>J13*100/$E$13</f>
        <v/>
      </c>
      <c r="L13" s="108" t="n"/>
      <c r="M13" s="107">
        <f>L13*100/$E$13</f>
        <v/>
      </c>
      <c r="N13" s="108" t="n"/>
      <c r="O13" s="107">
        <f>N13*100/$E$13</f>
        <v/>
      </c>
      <c r="P13" s="108" t="n"/>
      <c r="Q13" s="122">
        <f>P13*100/$E$13</f>
        <v/>
      </c>
      <c r="R13" s="108" t="n"/>
      <c r="S13" s="122">
        <f>R13*100/$E$13</f>
        <v/>
      </c>
      <c r="T13" s="108" t="n"/>
      <c r="U13" s="107">
        <f>T13*100/$E$13</f>
        <v/>
      </c>
      <c r="V13" s="108" t="n"/>
      <c r="W13" s="107">
        <f>V13*100/$E$13</f>
        <v/>
      </c>
      <c r="X13" s="108" t="n"/>
      <c r="Y13" s="107">
        <f>X13*100/$E$13</f>
        <v/>
      </c>
      <c r="Z13" s="108" t="n"/>
      <c r="AA13" s="107">
        <f>Z13*100/$E$13</f>
        <v/>
      </c>
      <c r="AB13" s="108" t="n"/>
      <c r="AC13" s="107">
        <f>AB13*100/$E$13</f>
        <v/>
      </c>
      <c r="AD13" s="108" t="n"/>
      <c r="AE13" s="122">
        <f>AD13*100/$E$13</f>
        <v/>
      </c>
      <c r="AF13" s="108" t="n"/>
      <c r="AG13" s="122">
        <f>AF13*100/$E$13</f>
        <v/>
      </c>
      <c r="AH13" s="108" t="n"/>
      <c r="AI13" s="107">
        <f>AH13*100/$E$13</f>
        <v/>
      </c>
      <c r="AJ13" s="108" t="n"/>
      <c r="AK13" s="107">
        <f>AJ13*100/$E$13</f>
        <v/>
      </c>
      <c r="AL13" s="108" t="n"/>
      <c r="AM13" s="107">
        <f>AL13*100/$E$13</f>
        <v/>
      </c>
      <c r="AN13" s="108" t="n"/>
      <c r="AO13" s="107">
        <f>AN13*100/$E$13</f>
        <v/>
      </c>
      <c r="AP13" s="108" t="n"/>
      <c r="AQ13" s="107">
        <f>AP13*100/$E$13</f>
        <v/>
      </c>
      <c r="AR13" s="108" t="n"/>
      <c r="AS13" s="107">
        <f>AR13*100/$E$13</f>
        <v/>
      </c>
      <c r="AT13" s="108" t="n"/>
      <c r="AU13" s="90">
        <f>AT13*100/$E$13</f>
        <v/>
      </c>
      <c r="AV13" s="108" t="n"/>
      <c r="AW13" s="107">
        <f>AV13*100/$E$13</f>
        <v/>
      </c>
      <c r="AX13" s="108" t="n"/>
      <c r="AY13" s="107">
        <f>AX13*100/$E$13</f>
        <v/>
      </c>
      <c r="AZ13" s="108" t="n"/>
      <c r="BA13" s="107">
        <f>AZ13*100/$E$13</f>
        <v/>
      </c>
      <c r="BB13" s="108" t="n"/>
      <c r="BC13" s="107">
        <f>BB13*100/$E$13</f>
        <v/>
      </c>
      <c r="BD13" s="108" t="n"/>
      <c r="BE13" s="107">
        <f>BD13*100/$E$13</f>
        <v/>
      </c>
      <c r="BF13" s="108" t="n"/>
      <c r="BG13" s="107">
        <f>BF13*100/$E$13</f>
        <v/>
      </c>
      <c r="BH13" s="108" t="n"/>
      <c r="BI13" s="107">
        <f>BH13*100/$E$13</f>
        <v/>
      </c>
      <c r="BJ13" s="108" t="n"/>
      <c r="BK13" s="107">
        <f>BJ13*100/$E$13</f>
        <v/>
      </c>
      <c r="BL13" s="108" t="n"/>
      <c r="BM13" s="107">
        <f>BL13*100/$E$13</f>
        <v/>
      </c>
      <c r="BN13" s="108" t="n"/>
      <c r="BO13" s="107">
        <f>BN13*100/$E$13</f>
        <v/>
      </c>
      <c r="BP13" s="108" t="n"/>
      <c r="BQ13" s="107">
        <f>BP13*100/$E$13</f>
        <v/>
      </c>
      <c r="BR13" s="108" t="n"/>
      <c r="BS13" s="107">
        <f>BR13*100/$E$13</f>
        <v/>
      </c>
      <c r="BT13" s="108" t="n"/>
      <c r="BU13" s="107">
        <f>BT13*100/$E$13</f>
        <v/>
      </c>
      <c r="BV13" s="108" t="n"/>
      <c r="BW13" s="107">
        <f>BV13*100/$E$13</f>
        <v/>
      </c>
      <c r="BX13" s="108" t="n"/>
      <c r="BY13" s="107">
        <f>BX13*100/$E$13</f>
        <v/>
      </c>
      <c r="BZ13" s="108" t="n"/>
      <c r="CA13" s="107">
        <f>BZ13*100/$E$13</f>
        <v/>
      </c>
      <c r="CB13" s="108" t="n"/>
      <c r="CC13" s="107">
        <f>CB13*100/$E$13</f>
        <v/>
      </c>
      <c r="CD13" s="108" t="n"/>
      <c r="CE13" s="107">
        <f>CD13*100/$E$13</f>
        <v/>
      </c>
      <c r="CF13" s="108" t="n"/>
      <c r="CG13" s="107">
        <f>CF13*100/$E$13</f>
        <v/>
      </c>
      <c r="CH13" s="108" t="n"/>
      <c r="CI13" s="107">
        <f>CH13*100/$E$13</f>
        <v/>
      </c>
      <c r="CJ13" s="108" t="n"/>
      <c r="CK13" s="107">
        <f>CJ13*100/$E$13</f>
        <v/>
      </c>
      <c r="CL13" s="108" t="n"/>
      <c r="CM13" s="107">
        <f>CL13*100/$E$13</f>
        <v/>
      </c>
      <c r="CN13" s="108" t="n"/>
      <c r="CO13" s="122">
        <f>CN13*100/$E$13</f>
        <v/>
      </c>
      <c r="CP13" s="108" t="n"/>
      <c r="CQ13" s="107">
        <f>CP13*100/$E$13</f>
        <v/>
      </c>
      <c r="CR13" s="108" t="n"/>
      <c r="CS13" s="122">
        <f>CR13*100/$E$13</f>
        <v/>
      </c>
      <c r="CT13" s="108" t="n"/>
      <c r="CU13" s="122">
        <f>CT13*100/$E$13</f>
        <v/>
      </c>
      <c r="CV13" s="108" t="n"/>
      <c r="CW13" s="122">
        <f>CV13*100/$E$13</f>
        <v/>
      </c>
      <c r="CX13" s="108" t="n"/>
      <c r="CY13" s="122">
        <f>CX13*100/$E$13</f>
        <v/>
      </c>
      <c r="CZ13" s="108" t="n"/>
      <c r="DA13" s="122">
        <f>CZ13*100/$E$13</f>
        <v/>
      </c>
      <c r="DB13" s="108" t="n"/>
      <c r="DC13" s="122">
        <f>DB13*100/$E$13</f>
        <v/>
      </c>
      <c r="DD13" s="108" t="n"/>
      <c r="DE13" s="122">
        <f>DD13*100/$E$13</f>
        <v/>
      </c>
      <c r="DF13" s="108" t="n"/>
      <c r="DG13" s="122">
        <f>DF13*100/$E$13</f>
        <v/>
      </c>
      <c r="DH13" s="108" t="n"/>
      <c r="DI13" s="122">
        <f>DH13*100/$E$13</f>
        <v/>
      </c>
      <c r="DJ13" s="108" t="n"/>
      <c r="DK13" s="122">
        <f>DJ13*100/$E$13</f>
        <v/>
      </c>
      <c r="DL13" s="108" t="n"/>
      <c r="DM13" s="122">
        <f>DL13*100/$E$13</f>
        <v/>
      </c>
      <c r="DN13" s="108" t="n"/>
      <c r="DO13" s="122">
        <f>DN13*100/$E$13</f>
        <v/>
      </c>
      <c r="DP13" s="108" t="n"/>
      <c r="DQ13" s="122">
        <f>DP13*100/$E$13</f>
        <v/>
      </c>
      <c r="DR13" s="108" t="n"/>
      <c r="DS13" s="122">
        <f>DR13*100/$E$13</f>
        <v/>
      </c>
      <c r="DT13" s="108" t="n"/>
      <c r="DU13" s="122">
        <f>DT13*100/$E$13</f>
        <v/>
      </c>
      <c r="DV13" s="108" t="n"/>
      <c r="DW13" s="122">
        <f>DV13*100/$E$13</f>
        <v/>
      </c>
      <c r="DX13" s="108" t="n"/>
      <c r="DY13" s="122">
        <f>DX13*100/$E$13</f>
        <v/>
      </c>
      <c r="DZ13" s="108" t="n"/>
      <c r="EA13" s="122">
        <f>DZ13*100/$E$13</f>
        <v/>
      </c>
      <c r="EB13" s="108" t="n"/>
      <c r="EC13" s="122">
        <f>EB13*100/$E$13</f>
        <v/>
      </c>
      <c r="ED13" s="108" t="n"/>
      <c r="EE13" s="122">
        <f>ED13*100/$E$13</f>
        <v/>
      </c>
      <c r="EF13" s="108" t="n"/>
      <c r="EG13" s="122">
        <f>EF13*100/$E$13</f>
        <v/>
      </c>
      <c r="EH13" s="108" t="n"/>
      <c r="EI13" s="122">
        <f>EH13*100/$E$13</f>
        <v/>
      </c>
      <c r="EJ13" s="108" t="n"/>
      <c r="EK13" s="122">
        <f>EJ13*100/$E$13</f>
        <v/>
      </c>
      <c r="EL13" s="108" t="n"/>
      <c r="EM13" s="122">
        <f>EL13*100/$E$13</f>
        <v/>
      </c>
      <c r="EN13" s="108" t="n"/>
      <c r="EO13" s="122">
        <f>EN13*100/$E$13</f>
        <v/>
      </c>
      <c r="EP13" s="108" t="n"/>
      <c r="EQ13" s="122">
        <f>EP13*100/$E$13</f>
        <v/>
      </c>
      <c r="ER13" s="108" t="n"/>
      <c r="ES13" s="122">
        <f>ER13*100/$E$13</f>
        <v/>
      </c>
      <c r="ET13" s="108" t="n"/>
      <c r="EU13" s="122">
        <f>ET13*100/$E$13</f>
        <v/>
      </c>
      <c r="EV13" s="108" t="n"/>
      <c r="EW13" s="122">
        <f>EV13*100/$E$13</f>
        <v/>
      </c>
      <c r="EX13" s="108" t="n"/>
      <c r="EY13" s="122">
        <f>EX13*100/$E$13</f>
        <v/>
      </c>
      <c r="EZ13" s="108" t="n"/>
      <c r="FA13" s="122">
        <f>EZ13*100/$E$13</f>
        <v/>
      </c>
      <c r="FB13" s="108" t="n"/>
      <c r="FC13" s="122">
        <f>FB13*100/$E$13</f>
        <v/>
      </c>
      <c r="FD13" s="108" t="n"/>
      <c r="FE13" s="122">
        <f>FD13*100/$E$13</f>
        <v/>
      </c>
      <c r="FF13" s="108" t="n"/>
      <c r="FG13" s="122">
        <f>FF13*100/$E$13</f>
        <v/>
      </c>
      <c r="FH13" s="108" t="n"/>
      <c r="FI13" s="122">
        <f>FH13*100/$E$13</f>
        <v/>
      </c>
      <c r="FJ13" s="108" t="n"/>
      <c r="FK13" s="122">
        <f>FJ13*100/$E$13</f>
        <v/>
      </c>
      <c r="FL13" s="108" t="n"/>
      <c r="FM13" s="122">
        <f>FL13*100/$E$13</f>
        <v/>
      </c>
      <c r="FN13" s="108" t="n"/>
      <c r="FO13" s="122">
        <f>FN13*100/$E$13</f>
        <v/>
      </c>
      <c r="FP13" s="108" t="n"/>
      <c r="FQ13" s="122">
        <f>FP13*100/$E$13</f>
        <v/>
      </c>
      <c r="FR13" s="108" t="n"/>
      <c r="FS13" s="122">
        <f>FR13*100/$E$13</f>
        <v/>
      </c>
      <c r="FT13" s="108" t="n"/>
      <c r="FU13" s="122">
        <f>FT13*100/$E$13</f>
        <v/>
      </c>
      <c r="FV13" s="108" t="n"/>
      <c r="FW13" s="122">
        <f>FV13*100/$E$13</f>
        <v/>
      </c>
      <c r="FX13" s="108" t="n"/>
      <c r="FY13" s="107">
        <f>FX13*100/$E$13</f>
        <v/>
      </c>
      <c r="FZ13" s="108" t="n"/>
      <c r="GA13" s="107">
        <f>FZ13*100/$E$13</f>
        <v/>
      </c>
      <c r="GB13" s="108" t="n"/>
      <c r="GC13" s="107">
        <f>GB13*100/$E$13</f>
        <v/>
      </c>
      <c r="GD13" s="108" t="n"/>
      <c r="GE13" s="107">
        <f>GD13*100/$E$13</f>
        <v/>
      </c>
      <c r="GF13" s="108" t="n"/>
      <c r="GG13" s="107">
        <f>GF13*100/$E$13</f>
        <v/>
      </c>
      <c r="GH13" s="108" t="n"/>
      <c r="GI13" s="107">
        <f>GH13*100/$E$13</f>
        <v/>
      </c>
      <c r="GJ13" s="108" t="n"/>
      <c r="GK13" s="122">
        <f>GJ13*100/$E$13</f>
        <v/>
      </c>
      <c r="GL13" s="108" t="n"/>
      <c r="GM13" s="107">
        <f>GL13*100/$E$13</f>
        <v/>
      </c>
      <c r="GN13" s="108" t="n"/>
      <c r="GO13" s="122">
        <f>GN13*100/$E$13</f>
        <v/>
      </c>
      <c r="GP13" s="108" t="n"/>
      <c r="GQ13" s="107">
        <f>GP13*100/$E$13</f>
        <v/>
      </c>
      <c r="GR13" s="108" t="n"/>
      <c r="GS13" s="122">
        <f>GR13*100/$E$13</f>
        <v/>
      </c>
      <c r="GT13" s="108" t="n"/>
      <c r="GU13" s="122">
        <f>GT13*100/$E$13</f>
        <v/>
      </c>
      <c r="GV13" s="108" t="n"/>
      <c r="GW13" s="122">
        <f>GV13*100/$E$13</f>
        <v/>
      </c>
      <c r="GX13" s="108" t="n"/>
      <c r="GY13" s="107">
        <f>GX13*100/$E$13</f>
        <v/>
      </c>
      <c r="GZ13" s="108" t="n"/>
      <c r="HA13" s="107">
        <f>GZ13*100/$E$13</f>
        <v/>
      </c>
      <c r="HB13" s="108" t="n"/>
      <c r="HC13" s="107">
        <f>HB13*100/$E$13</f>
        <v/>
      </c>
      <c r="HD13" s="108" t="n"/>
      <c r="HE13" s="107">
        <f>HD13*100/$E$13</f>
        <v/>
      </c>
      <c r="HF13" s="108" t="n"/>
      <c r="HG13" s="107">
        <f>HF13*100/$E$13</f>
        <v/>
      </c>
      <c r="HH13" s="108" t="n"/>
      <c r="HI13" s="107">
        <f>HH13*100/$E$13</f>
        <v/>
      </c>
      <c r="HJ13" s="108" t="n"/>
      <c r="HK13" s="107">
        <f>HJ13*100/$E$13</f>
        <v/>
      </c>
      <c r="HL13" s="108" t="n"/>
      <c r="HM13" s="107">
        <f>HL13*100/$E$13</f>
        <v/>
      </c>
      <c r="HN13" s="108" t="n"/>
      <c r="HO13" s="107">
        <f>HN13*100/$E$13</f>
        <v/>
      </c>
      <c r="HP13" s="108" t="n"/>
      <c r="HQ13" s="107">
        <f>HP13*100/$E$13</f>
        <v/>
      </c>
      <c r="HR13" s="108" t="n"/>
      <c r="HS13" s="107">
        <f>HR13*100/$E$13</f>
        <v/>
      </c>
      <c r="HT13" s="108" t="n"/>
      <c r="HU13" s="107">
        <f>HT13*100/$E$13</f>
        <v/>
      </c>
      <c r="HV13" s="108" t="n"/>
      <c r="HW13" s="107">
        <f>HV13*100/$E$13</f>
        <v/>
      </c>
      <c r="HX13" s="108" t="n"/>
      <c r="HY13" s="107">
        <f>HX13*100/$E$13</f>
        <v/>
      </c>
      <c r="HZ13" s="108" t="n"/>
      <c r="IA13" s="122">
        <f>HZ13*100/$E$13</f>
        <v/>
      </c>
      <c r="IB13" s="108" t="n"/>
      <c r="IC13" s="122">
        <f>IB13*100/$E$13</f>
        <v/>
      </c>
      <c r="ID13" s="108" t="n"/>
      <c r="IE13" s="122">
        <f>ID13*100/$E$13</f>
        <v/>
      </c>
      <c r="IF13" s="108" t="n"/>
      <c r="IG13" s="122">
        <f>IF13*100/$E$13</f>
        <v/>
      </c>
      <c r="IH13" s="108" t="n"/>
      <c r="II13" s="122">
        <f>IH13*100/$E$13</f>
        <v/>
      </c>
      <c r="IJ13" s="108" t="n"/>
      <c r="IK13" s="122">
        <f>IJ13*100/$E$13</f>
        <v/>
      </c>
      <c r="IL13" s="108" t="n"/>
      <c r="IM13" s="107">
        <f>IL13*100/$E$13</f>
        <v/>
      </c>
      <c r="IN13" s="108" t="n"/>
      <c r="IO13" s="107">
        <f>IN13*100/$E$13</f>
        <v/>
      </c>
      <c r="IP13" s="108" t="n"/>
      <c r="IQ13" s="122">
        <f>IP13*100/$E$13</f>
        <v/>
      </c>
      <c r="IR13" s="108" t="n"/>
      <c r="IS13" s="122">
        <f>IR13*100/$E$13</f>
        <v/>
      </c>
      <c r="IT13" s="108" t="n"/>
      <c r="IU13" s="122">
        <f>IT13*100/$E$13</f>
        <v/>
      </c>
      <c r="IV13" s="108" t="n"/>
      <c r="IW13" s="122">
        <f>IV13*100/$E$13</f>
        <v/>
      </c>
      <c r="IX13" s="108" t="n"/>
      <c r="IY13" s="122">
        <f>IX13*100/$E$13</f>
        <v/>
      </c>
      <c r="IZ13" s="108" t="n"/>
      <c r="JA13" s="122">
        <f>IZ13*100/$E$13</f>
        <v/>
      </c>
      <c r="JB13" s="108" t="n"/>
      <c r="JC13" s="122">
        <f>JB13*100/$E$13</f>
        <v/>
      </c>
      <c r="JD13" s="108" t="n"/>
      <c r="JE13" s="122">
        <f>JD13*100/$E$13</f>
        <v/>
      </c>
      <c r="JF13" s="108" t="n"/>
      <c r="JG13" s="122">
        <f>JF13*100/$E$13</f>
        <v/>
      </c>
      <c r="JH13" s="108" t="n"/>
      <c r="JI13" s="122">
        <f>JH13*100/$E$13</f>
        <v/>
      </c>
      <c r="JJ13" s="108" t="n"/>
      <c r="JK13" s="122">
        <f>JJ13*100/$E$13</f>
        <v/>
      </c>
      <c r="JL13" s="108" t="n"/>
      <c r="JM13" s="122">
        <f>JL13*100/$E$13</f>
        <v/>
      </c>
      <c r="JN13" s="108" t="n"/>
      <c r="JO13" s="122">
        <f>JN13*100/$E$13</f>
        <v/>
      </c>
      <c r="JP13" s="108" t="n"/>
      <c r="JQ13" s="122">
        <f>JP13*100/$E$13</f>
        <v/>
      </c>
      <c r="JR13" s="108" t="n"/>
      <c r="JS13" s="122">
        <f>JR13*100/$E$13</f>
        <v/>
      </c>
      <c r="JT13" s="108" t="n"/>
      <c r="JU13" s="122">
        <f>JT13*100/$E$13</f>
        <v/>
      </c>
      <c r="JV13" s="108" t="n"/>
      <c r="JW13" s="122">
        <f>JV13*100/$E$13</f>
        <v/>
      </c>
      <c r="JX13" s="108" t="n"/>
      <c r="JY13" s="122">
        <f>JX13*100/$E$13</f>
        <v/>
      </c>
      <c r="JZ13" s="55">
        <f>JN13+JP13+JR13+JT13+JV13+JX13</f>
        <v/>
      </c>
      <c r="KA13" s="53">
        <f>JO13+JQ13+JS13+JU13+JW13+JY13</f>
        <v/>
      </c>
      <c r="KB13" s="64">
        <f>H13+J13+L13+N13+P13+R13+T13+V13+X13+Z13+AB13+AD13+AF13+AH13+AJ13+AL13+AN13+AP13+AR13+AT13+AV13+AX13+AZ13+BB13+BD13+BF13+BH13+BJ13+BL13+BN13+BP13+BR13+BT13+BV13+BX13+BZ13+CB13+CD13+CF13+CH13+CZ13+DB13+DD13+DF13+DH13+DJ13+DL13+DN13+DP13+DR13+DT13+DV13+DX13+DZ13+EB13+ED13+EF13+EH13+EJ13+EL13+EN13+EP13+ER13+ET13+EV13+FN13+FP13+FR13+FT13+FV13+FX13+FZ13+GB13+GD13+GF13+GH13+GJ13+GL13+GN13+GP13+GR13+GT13+GV13+GX13+GZ13+HB13+HD13+HF13+HH13+HJ13+HL13+HN13+HP13+HR13+HT13+HV13+HX13+HZ13+IB13+ID13+IF13+IH13+IJ13+IL13+IN13+IP13+IR13+IT13+IV13+IX13+IZ13+JB13+JD13+JF13+JH13+JJ13+JL13+JZ13+CJ13+CL13+CN13+CP13+CR13+CT13+CV13+CX13+EX13+EZ13+FB13+FD13+FF13+FH13+FJ13+FL13</f>
        <v/>
      </c>
      <c r="KC13" s="66">
        <f>I13+K13+M13+O13+Q13+S13+U13+W13+Y13+AA13+AC13+AE13+AG13+AI13+AK13+AM13+AO13+AQ13+AS13+AU13+AW13+AY13+BA13+BC13+BE13+BG13+BI13+BK13+BM13+BO13+BQ13+BS13+BU13+BW13+BY13+CA13+CC13+CE13+CG13+CI13+DA13+DC13+DE13+DG13+DI13+DK13+DM13+DO13+DQ13+DS13+DU13+DW13+DY13+EA13+EC13+EE13+EG13+EI13+EK13+EM13+EO13+EQ13+ES13+EU13+EW13+FO13+FS13+FU13+FW13+FQ13+FY13+GA13+GC13+GE13+GG13+GI13+GK13+GM13+GO13+GQ13+GS13+GU13+GW13+GY13+HA13+HC13+HE13+HG13+HI13+HK13+HM13+HO13+HQ13+HS13+HU13+HW13+HY13+IA13+IC13+IE13+IG13+II13+IK13+IM13+IO13+IQ13+IS13+IU13+IW13+IY13+JA13+JC13+JE13+JG13+JI13+JK13+JM13+KA13+CK13+CM13+CO13+CQ13+CS13+CU13+CW13+CY13+EY13+FA13+FC13+FE13+FG13+FI13+FK13+FM13</f>
        <v/>
      </c>
      <c r="KD13" s="44">
        <f>JO13+JQ13+JS13+JU13+JW13+JY13</f>
        <v/>
      </c>
      <c r="KE13" s="45">
        <f>KB13=E13</f>
        <v/>
      </c>
      <c r="KF13" s="101">
        <f>E13-KB13</f>
        <v/>
      </c>
      <c r="KG13" s="12" t="n"/>
      <c r="KH13" s="23" t="n"/>
      <c r="KI13" s="23" t="n"/>
      <c r="KJ13" s="23" t="n"/>
      <c r="KK13" s="23" t="n"/>
      <c r="KL13" s="23" t="n"/>
      <c r="KM13" s="23" t="n"/>
      <c r="KN13" s="23" t="n"/>
      <c r="KO13" s="23" t="n"/>
    </row>
    <row r="14" ht="21.75" customFormat="1" customHeight="1" s="23">
      <c r="A14" s="126">
        <f>A13+1</f>
        <v/>
      </c>
      <c r="B14" s="175" t="inlineStr">
        <is>
          <t>Войко А.Л.</t>
        </is>
      </c>
      <c r="C14" s="194" t="inlineStr">
        <is>
          <t>Фрезеровщик</t>
        </is>
      </c>
      <c r="D14" s="177">
        <f>$D$5</f>
        <v/>
      </c>
      <c r="E14" s="202" t="n"/>
      <c r="F14" s="191" t="n">
        <v>101150.05</v>
      </c>
      <c r="G14" s="52">
        <f>F14/D14</f>
        <v/>
      </c>
      <c r="H14" s="125" t="n"/>
      <c r="I14" s="107">
        <f>H14*100/$E$14</f>
        <v/>
      </c>
      <c r="J14" s="108" t="n"/>
      <c r="K14" s="107">
        <f>J14*100/$E$14</f>
        <v/>
      </c>
      <c r="L14" s="108" t="n"/>
      <c r="M14" s="107">
        <f>L14*100/$E$14</f>
        <v/>
      </c>
      <c r="N14" s="108" t="n"/>
      <c r="O14" s="107">
        <f>N14*100/$E$14</f>
        <v/>
      </c>
      <c r="P14" s="108" t="n"/>
      <c r="Q14" s="122">
        <f>P14*100/$E$14</f>
        <v/>
      </c>
      <c r="R14" s="108" t="n"/>
      <c r="S14" s="107">
        <f>R14*100/$E$14</f>
        <v/>
      </c>
      <c r="T14" s="108" t="n"/>
      <c r="U14" s="107">
        <f>T14*100/$E$14</f>
        <v/>
      </c>
      <c r="V14" s="108" t="n"/>
      <c r="W14" s="107">
        <f>V14*100/$E$14</f>
        <v/>
      </c>
      <c r="X14" s="108" t="n"/>
      <c r="Y14" s="107">
        <f>X14*100/$E$14</f>
        <v/>
      </c>
      <c r="Z14" s="108" t="n"/>
      <c r="AA14" s="107">
        <f>Z14*100/$E$14</f>
        <v/>
      </c>
      <c r="AB14" s="108" t="n"/>
      <c r="AC14" s="107">
        <f>AB14*100/$E$14</f>
        <v/>
      </c>
      <c r="AD14" s="108" t="n"/>
      <c r="AE14" s="107">
        <f>AD14*100/$E$14</f>
        <v/>
      </c>
      <c r="AF14" s="108" t="n"/>
      <c r="AG14" s="107">
        <f>AF14*100/$E$14</f>
        <v/>
      </c>
      <c r="AH14" s="108" t="n"/>
      <c r="AI14" s="107">
        <f>AH14*100/$E$14</f>
        <v/>
      </c>
      <c r="AJ14" s="108" t="n"/>
      <c r="AK14" s="107">
        <f>AJ14*100/$E$14</f>
        <v/>
      </c>
      <c r="AL14" s="108" t="n"/>
      <c r="AM14" s="107">
        <f>AL14*100/$E$14</f>
        <v/>
      </c>
      <c r="AN14" s="108" t="n"/>
      <c r="AO14" s="107">
        <f>AN14*100/$E$14</f>
        <v/>
      </c>
      <c r="AP14" s="108" t="n"/>
      <c r="AQ14" s="107">
        <f>AP14*100/$E$14</f>
        <v/>
      </c>
      <c r="AR14" s="108" t="n"/>
      <c r="AS14" s="107">
        <f>AR14*100/$E$14</f>
        <v/>
      </c>
      <c r="AT14" s="108" t="n"/>
      <c r="AU14" s="90">
        <f>AT14*100/$E$14</f>
        <v/>
      </c>
      <c r="AV14" s="108" t="n"/>
      <c r="AW14" s="107">
        <f>AV14*100/$E$14</f>
        <v/>
      </c>
      <c r="AX14" s="108" t="n"/>
      <c r="AY14" s="107">
        <f>AX14*100/$E$14</f>
        <v/>
      </c>
      <c r="AZ14" s="108" t="n"/>
      <c r="BA14" s="107">
        <f>AZ14*100/$E$14</f>
        <v/>
      </c>
      <c r="BB14" s="108" t="n"/>
      <c r="BC14" s="107">
        <f>BB14*100/$E$14</f>
        <v/>
      </c>
      <c r="BD14" s="108" t="n"/>
      <c r="BE14" s="107">
        <f>BD14*100/$E$14</f>
        <v/>
      </c>
      <c r="BF14" s="108" t="n"/>
      <c r="BG14" s="107">
        <f>BF14*100/$E$14</f>
        <v/>
      </c>
      <c r="BH14" s="108" t="n"/>
      <c r="BI14" s="107">
        <f>BH14*100/$E$14</f>
        <v/>
      </c>
      <c r="BJ14" s="108" t="n"/>
      <c r="BK14" s="107">
        <f>BJ14*100/$E$14</f>
        <v/>
      </c>
      <c r="BL14" s="108" t="n"/>
      <c r="BM14" s="107">
        <f>BL14*100/$E$14</f>
        <v/>
      </c>
      <c r="BN14" s="108" t="n"/>
      <c r="BO14" s="107">
        <f>BN14*100/$E$14</f>
        <v/>
      </c>
      <c r="BP14" s="108" t="n"/>
      <c r="BQ14" s="107">
        <f>BP14*100/$E$14</f>
        <v/>
      </c>
      <c r="BR14" s="108" t="n"/>
      <c r="BS14" s="107">
        <f>BR14*100/$E$14</f>
        <v/>
      </c>
      <c r="BT14" s="108" t="n"/>
      <c r="BU14" s="107">
        <f>BT14*100/$E$14</f>
        <v/>
      </c>
      <c r="BV14" s="108" t="n"/>
      <c r="BW14" s="107">
        <f>BV14*100/$E$14</f>
        <v/>
      </c>
      <c r="BX14" s="108" t="n"/>
      <c r="BY14" s="107">
        <f>BX14*100/$E$14</f>
        <v/>
      </c>
      <c r="BZ14" s="108" t="n"/>
      <c r="CA14" s="107">
        <f>BZ14*100/$E$14</f>
        <v/>
      </c>
      <c r="CB14" s="108" t="n"/>
      <c r="CC14" s="107">
        <f>CB14*100/$E$14</f>
        <v/>
      </c>
      <c r="CD14" s="108" t="n"/>
      <c r="CE14" s="107">
        <f>CD14*100/$E$14</f>
        <v/>
      </c>
      <c r="CF14" s="108" t="n"/>
      <c r="CG14" s="107">
        <f>CF14*100/$E$14</f>
        <v/>
      </c>
      <c r="CH14" s="108" t="n"/>
      <c r="CI14" s="107">
        <f>CH14*100/$E$14</f>
        <v/>
      </c>
      <c r="CJ14" s="108" t="n"/>
      <c r="CK14" s="107">
        <f>CJ14*100/$E$14</f>
        <v/>
      </c>
      <c r="CL14" s="108" t="n"/>
      <c r="CM14" s="107">
        <f>CL14*100/$E$14</f>
        <v/>
      </c>
      <c r="CN14" s="108" t="n"/>
      <c r="CO14" s="122">
        <f>CN14*100/$E$14</f>
        <v/>
      </c>
      <c r="CP14" s="108" t="n"/>
      <c r="CQ14" s="107">
        <f>CP14*100/$E$14</f>
        <v/>
      </c>
      <c r="CR14" s="108" t="n"/>
      <c r="CS14" s="122">
        <f>CR14*100/$E$14</f>
        <v/>
      </c>
      <c r="CT14" s="108" t="n"/>
      <c r="CU14" s="122">
        <f>CT14*100/$E$14</f>
        <v/>
      </c>
      <c r="CV14" s="108" t="n"/>
      <c r="CW14" s="122">
        <f>CV14*100/$E$14</f>
        <v/>
      </c>
      <c r="CX14" s="108" t="n"/>
      <c r="CY14" s="122">
        <f>CX14*100/$E$14</f>
        <v/>
      </c>
      <c r="CZ14" s="108" t="n"/>
      <c r="DA14" s="122">
        <f>CZ14*100/$E$14</f>
        <v/>
      </c>
      <c r="DB14" s="108" t="n"/>
      <c r="DC14" s="122">
        <f>DB14*100/$E$14</f>
        <v/>
      </c>
      <c r="DD14" s="108" t="n"/>
      <c r="DE14" s="122">
        <f>DD14*100/$E$14</f>
        <v/>
      </c>
      <c r="DF14" s="108" t="n"/>
      <c r="DG14" s="122">
        <f>DF14*100/$E$14</f>
        <v/>
      </c>
      <c r="DH14" s="108" t="n"/>
      <c r="DI14" s="122">
        <f>DH14*100/$E$14</f>
        <v/>
      </c>
      <c r="DJ14" s="108" t="n"/>
      <c r="DK14" s="122">
        <f>DJ14*100/$E$14</f>
        <v/>
      </c>
      <c r="DL14" s="108" t="n"/>
      <c r="DM14" s="122">
        <f>DL14*100/$E$14</f>
        <v/>
      </c>
      <c r="DN14" s="108" t="n"/>
      <c r="DO14" s="122">
        <f>DN14*100/$E$14</f>
        <v/>
      </c>
      <c r="DP14" s="108" t="n"/>
      <c r="DQ14" s="122">
        <f>DP14*100/$E$14</f>
        <v/>
      </c>
      <c r="DR14" s="108" t="n"/>
      <c r="DS14" s="107">
        <f>DR14*100/$E$14</f>
        <v/>
      </c>
      <c r="DT14" s="108" t="n"/>
      <c r="DU14" s="122">
        <f>DT14*100/$E$14</f>
        <v/>
      </c>
      <c r="DV14" s="108" t="n"/>
      <c r="DW14" s="122">
        <f>DV14*100/$E$14</f>
        <v/>
      </c>
      <c r="DX14" s="108" t="n"/>
      <c r="DY14" s="122">
        <f>DX14*100/$E$14</f>
        <v/>
      </c>
      <c r="DZ14" s="108" t="n"/>
      <c r="EA14" s="122">
        <f>DZ14*100/$E$14</f>
        <v/>
      </c>
      <c r="EB14" s="108" t="n"/>
      <c r="EC14" s="122">
        <f>EB14*100/$E$14</f>
        <v/>
      </c>
      <c r="ED14" s="108" t="n"/>
      <c r="EE14" s="122">
        <f>ED14*100/$E$14</f>
        <v/>
      </c>
      <c r="EF14" s="108" t="n"/>
      <c r="EG14" s="122">
        <f>EF14*100/$E$14</f>
        <v/>
      </c>
      <c r="EH14" s="108" t="n"/>
      <c r="EI14" s="107">
        <f>EH14*100/$E$14</f>
        <v/>
      </c>
      <c r="EJ14" s="108" t="n"/>
      <c r="EK14" s="107">
        <f>EJ14*100/$E$14</f>
        <v/>
      </c>
      <c r="EL14" s="108" t="n"/>
      <c r="EM14" s="107">
        <f>EL14*100/$E$14</f>
        <v/>
      </c>
      <c r="EN14" s="108" t="n"/>
      <c r="EO14" s="107">
        <f>EN14*100/$E$14</f>
        <v/>
      </c>
      <c r="EP14" s="108" t="n"/>
      <c r="EQ14" s="107">
        <f>EP14*100/$E$14</f>
        <v/>
      </c>
      <c r="ER14" s="108" t="n"/>
      <c r="ES14" s="107">
        <f>ER14*100/$E$14</f>
        <v/>
      </c>
      <c r="ET14" s="108" t="n"/>
      <c r="EU14" s="107">
        <f>ET14*100/$E$14</f>
        <v/>
      </c>
      <c r="EV14" s="108" t="n"/>
      <c r="EW14" s="122">
        <f>EV14*100/$E$14</f>
        <v/>
      </c>
      <c r="EX14" s="108" t="n"/>
      <c r="EY14" s="122">
        <f>EX14*100/$E$14</f>
        <v/>
      </c>
      <c r="EZ14" s="108" t="n"/>
      <c r="FA14" s="122">
        <f>EZ14*100/$E$14</f>
        <v/>
      </c>
      <c r="FB14" s="108" t="n"/>
      <c r="FC14" s="122">
        <f>FB14*100/$E$14</f>
        <v/>
      </c>
      <c r="FD14" s="108" t="n"/>
      <c r="FE14" s="122">
        <f>FD14*100/$E$14</f>
        <v/>
      </c>
      <c r="FF14" s="108" t="n"/>
      <c r="FG14" s="122">
        <f>FF14*100/$E$14</f>
        <v/>
      </c>
      <c r="FH14" s="108" t="n"/>
      <c r="FI14" s="122">
        <f>FH14*100/$E$14</f>
        <v/>
      </c>
      <c r="FJ14" s="108" t="n"/>
      <c r="FK14" s="122">
        <f>FJ14*100/$E$14</f>
        <v/>
      </c>
      <c r="FL14" s="108" t="n"/>
      <c r="FM14" s="122">
        <f>FL14*100/$E$14</f>
        <v/>
      </c>
      <c r="FN14" s="108" t="n"/>
      <c r="FO14" s="122">
        <f>FN14*100/$E$14</f>
        <v/>
      </c>
      <c r="FP14" s="108" t="n"/>
      <c r="FQ14" s="107">
        <f>FP14*100/$E$14</f>
        <v/>
      </c>
      <c r="FR14" s="108" t="n"/>
      <c r="FS14" s="107">
        <f>FR14*100/$E$14</f>
        <v/>
      </c>
      <c r="FT14" s="108" t="n"/>
      <c r="FU14" s="107">
        <f>FT14*100/$E$14</f>
        <v/>
      </c>
      <c r="FV14" s="108" t="n"/>
      <c r="FW14" s="107">
        <f>FV14*100/$E$14</f>
        <v/>
      </c>
      <c r="FX14" s="108" t="n"/>
      <c r="FY14" s="107">
        <f>FX14*100/$E$14</f>
        <v/>
      </c>
      <c r="FZ14" s="108" t="n"/>
      <c r="GA14" s="107">
        <f>FZ14*100/$E$14</f>
        <v/>
      </c>
      <c r="GB14" s="108" t="n"/>
      <c r="GC14" s="107">
        <f>GB14*100/$E$14</f>
        <v/>
      </c>
      <c r="GD14" s="108" t="n"/>
      <c r="GE14" s="107">
        <f>GD14*100/$E$14</f>
        <v/>
      </c>
      <c r="GF14" s="108" t="n"/>
      <c r="GG14" s="107">
        <f>GF14*100/$E$14</f>
        <v/>
      </c>
      <c r="GH14" s="108" t="n"/>
      <c r="GI14" s="107">
        <f>GH14*100/$E$14</f>
        <v/>
      </c>
      <c r="GJ14" s="108" t="n"/>
      <c r="GK14" s="122">
        <f>GJ14*100/$E$14</f>
        <v/>
      </c>
      <c r="GL14" s="108" t="n"/>
      <c r="GM14" s="107">
        <f>GL14*100/$E$14</f>
        <v/>
      </c>
      <c r="GN14" s="108" t="n"/>
      <c r="GO14" s="122">
        <f>GN14*100/$E$14</f>
        <v/>
      </c>
      <c r="GP14" s="108" t="n"/>
      <c r="GQ14" s="107">
        <f>GP14*100/$E$14</f>
        <v/>
      </c>
      <c r="GR14" s="108" t="n"/>
      <c r="GS14" s="122">
        <f>GR14*100/$E$14</f>
        <v/>
      </c>
      <c r="GT14" s="108" t="n"/>
      <c r="GU14" s="122">
        <f>GT14*100/$E$14</f>
        <v/>
      </c>
      <c r="GV14" s="108" t="n"/>
      <c r="GW14" s="107">
        <f>GV14*100/$E$14</f>
        <v/>
      </c>
      <c r="GX14" s="108" t="n"/>
      <c r="GY14" s="107">
        <f>GX14*100/$E$14</f>
        <v/>
      </c>
      <c r="GZ14" s="108" t="n"/>
      <c r="HA14" s="107">
        <f>GZ14*100/$E$14</f>
        <v/>
      </c>
      <c r="HB14" s="108" t="n"/>
      <c r="HC14" s="107">
        <f>HB14*100/$E$14</f>
        <v/>
      </c>
      <c r="HD14" s="108" t="n"/>
      <c r="HE14" s="107">
        <f>HD14*100/$E$14</f>
        <v/>
      </c>
      <c r="HF14" s="108" t="n"/>
      <c r="HG14" s="107">
        <f>HF14*100/$E$14</f>
        <v/>
      </c>
      <c r="HH14" s="108" t="n"/>
      <c r="HI14" s="107">
        <f>HH14*100/$E$14</f>
        <v/>
      </c>
      <c r="HJ14" s="108" t="n"/>
      <c r="HK14" s="107">
        <f>HJ14*100/$E$14</f>
        <v/>
      </c>
      <c r="HL14" s="108" t="n"/>
      <c r="HM14" s="107">
        <f>HL14*100/$E$14</f>
        <v/>
      </c>
      <c r="HN14" s="108" t="n"/>
      <c r="HO14" s="107">
        <f>HN14*100/$E$14</f>
        <v/>
      </c>
      <c r="HP14" s="108" t="n"/>
      <c r="HQ14" s="107">
        <f>HP14*100/$E$14</f>
        <v/>
      </c>
      <c r="HR14" s="108" t="n"/>
      <c r="HS14" s="107">
        <f>HR14*100/$E$14</f>
        <v/>
      </c>
      <c r="HT14" s="108" t="n"/>
      <c r="HU14" s="107">
        <f>HT14*100/$E$14</f>
        <v/>
      </c>
      <c r="HV14" s="108" t="n"/>
      <c r="HW14" s="107">
        <f>HV14*100/$E$14</f>
        <v/>
      </c>
      <c r="HX14" s="108" t="n"/>
      <c r="HY14" s="107">
        <f>HX14*100/$E$14</f>
        <v/>
      </c>
      <c r="HZ14" s="108" t="n"/>
      <c r="IA14" s="122">
        <f>HZ14*100/$E$14</f>
        <v/>
      </c>
      <c r="IB14" s="108" t="n"/>
      <c r="IC14" s="122">
        <f>IB14*100/$E$14</f>
        <v/>
      </c>
      <c r="ID14" s="108" t="n"/>
      <c r="IE14" s="122">
        <f>ID14*100/$E$14</f>
        <v/>
      </c>
      <c r="IF14" s="108" t="n"/>
      <c r="IG14" s="122">
        <f>IF14*100/$E$14</f>
        <v/>
      </c>
      <c r="IH14" s="108" t="n"/>
      <c r="II14" s="122">
        <f>IH14*100/$E$14</f>
        <v/>
      </c>
      <c r="IJ14" s="108" t="n"/>
      <c r="IK14" s="122">
        <f>IJ14*100/$E$14</f>
        <v/>
      </c>
      <c r="IL14" s="108" t="n"/>
      <c r="IM14" s="107">
        <f>IL14*100/$E$14</f>
        <v/>
      </c>
      <c r="IN14" s="108" t="n"/>
      <c r="IO14" s="107">
        <f>IN14*100/$E$14</f>
        <v/>
      </c>
      <c r="IP14" s="108" t="n"/>
      <c r="IQ14" s="122">
        <f>IP14*100/$E$14</f>
        <v/>
      </c>
      <c r="IR14" s="108" t="n"/>
      <c r="IS14" s="122">
        <f>IR14*100/$E$14</f>
        <v/>
      </c>
      <c r="IT14" s="108" t="n"/>
      <c r="IU14" s="122">
        <f>IT14*100/$E$14</f>
        <v/>
      </c>
      <c r="IV14" s="108" t="n"/>
      <c r="IW14" s="122">
        <f>IV14*100/$E$14</f>
        <v/>
      </c>
      <c r="IX14" s="108" t="n"/>
      <c r="IY14" s="122">
        <f>IX14*100/$E$14</f>
        <v/>
      </c>
      <c r="IZ14" s="108" t="n"/>
      <c r="JA14" s="122">
        <f>IZ14*100/$E$14</f>
        <v/>
      </c>
      <c r="JB14" s="108" t="n"/>
      <c r="JC14" s="122">
        <f>JB14*100/$E$14</f>
        <v/>
      </c>
      <c r="JD14" s="108" t="n"/>
      <c r="JE14" s="122">
        <f>JD14*100/$E$14</f>
        <v/>
      </c>
      <c r="JF14" s="108" t="n"/>
      <c r="JG14" s="107">
        <f>JF14*100/$E$14</f>
        <v/>
      </c>
      <c r="JH14" s="108" t="n"/>
      <c r="JI14" s="122">
        <f>JH14*100/$E$14</f>
        <v/>
      </c>
      <c r="JJ14" s="108" t="n"/>
      <c r="JK14" s="107">
        <f>JJ14*100/$E$14</f>
        <v/>
      </c>
      <c r="JL14" s="108" t="n"/>
      <c r="JM14" s="122">
        <f>JL14*100/$E$14</f>
        <v/>
      </c>
      <c r="JN14" s="108" t="n"/>
      <c r="JO14" s="122">
        <f>JN14*100/$E$14</f>
        <v/>
      </c>
      <c r="JP14" s="108" t="n"/>
      <c r="JQ14" s="122">
        <f>JP14*100/$E$14</f>
        <v/>
      </c>
      <c r="JR14" s="108" t="n"/>
      <c r="JS14" s="122">
        <f>JR14*100/$E$14</f>
        <v/>
      </c>
      <c r="JT14" s="108" t="n"/>
      <c r="JU14" s="122">
        <f>JT14*100/$E$14</f>
        <v/>
      </c>
      <c r="JV14" s="108" t="n"/>
      <c r="JW14" s="122">
        <f>JV14*100/$E$14</f>
        <v/>
      </c>
      <c r="JX14" s="108" t="n"/>
      <c r="JY14" s="122">
        <f>JX14*100/$E$14</f>
        <v/>
      </c>
      <c r="JZ14" s="55">
        <f>JN14+JP14+JR14+JT14+JV14+JX14</f>
        <v/>
      </c>
      <c r="KA14" s="53">
        <f>JO14+JQ14+JS14+JU14+JW14+JY14</f>
        <v/>
      </c>
      <c r="KB14" s="64">
        <f>H14+J14+L14+N14+P14+R14+T14+V14+X14+Z14+AB14+AD14+AF14+AH14+AJ14+AL14+AN14+AP14+AR14+AT14+AV14+AX14+AZ14+BB14+BD14+BF14+BH14+BJ14+BL14+BN14+BP14+BR14+BT14+BV14+BX14+BZ14+CB14+CD14+CF14+CH14+CZ14+DB14+DD14+DF14+DH14+DJ14+DL14+DN14+DP14+DR14+DT14+DV14+DX14+DZ14+EB14+ED14+EF14+EH14+EJ14+EL14+EN14+EP14+ER14+ET14+EV14+FN14+FP14+FR14+FT14+FV14+FX14+FZ14+GB14+GD14+GF14+GH14+GJ14+GL14+GN14+GP14+GR14+GT14+GV14+GX14+GZ14+HB14+HD14+HF14+HH14+HJ14+HL14+HN14+HP14+HR14+HT14+HV14+HX14+HZ14+IB14+ID14+IF14+IH14+IJ14+IL14+IN14+IP14+IR14+IT14+IV14+IX14+IZ14+JB14+JD14+JF14+JH14+JJ14+JL14+JZ14+CJ14+CL14+CN14+CP14+CR14+CT14+CV14+CX14+EX14+EZ14+FB14+FD14+FF14+FH14+FJ14+FL14</f>
        <v/>
      </c>
      <c r="KC14" s="66">
        <f>I14+K14+M14+O14+Q14+S14+U14+W14+Y14+AA14+AC14+AE14+AG14+AI14+AK14+AM14+AO14+AQ14+AS14+AU14+AW14+AY14+BA14+BC14+BE14+BG14+BI14+BK14+BM14+BO14+BQ14+BS14+BU14+BW14+BY14+CA14+CC14+CE14+CG14+CI14+DA14+DC14+DE14+DG14+DI14+DK14+DM14+DO14+DQ14+DS14+DU14+DW14+DY14+EA14+EC14+EE14+EG14+EI14+EK14+EM14+EO14+EQ14+ES14+EU14+EW14+FO14+FS14+FU14+FW14+FQ14+FY14+GA14+GC14+GE14+GG14+GI14+GK14+GM14+GO14+GQ14+GS14+GU14+GW14+GY14+HA14+HC14+HE14+HG14+HI14+HK14+HM14+HO14+HQ14+HS14+HU14+HW14+HY14+IA14+IC14+IE14+IG14+II14+IK14+IM14+IO14+IQ14+IS14+IU14+IW14+IY14+JA14+JC14+JE14+JG14+JI14+JK14+JM14+KA14+CK14+CM14+CO14+CQ14+CS14+CU14+CW14+CY14+EY14+FA14+FC14+FE14+FG14+FI14+FK14+FM14</f>
        <v/>
      </c>
      <c r="KD14" s="44">
        <f>JO14+JQ14+JS14+JU14+JW14+JY14</f>
        <v/>
      </c>
      <c r="KE14" s="45">
        <f>KB14=E14</f>
        <v/>
      </c>
      <c r="KF14" s="101">
        <f>E14-KB14</f>
        <v/>
      </c>
      <c r="KG14" s="12" t="n"/>
    </row>
    <row r="15" ht="21.75" customFormat="1" customHeight="1" s="12">
      <c r="A15" s="126">
        <f>A14+1</f>
        <v/>
      </c>
      <c r="B15" s="175" t="inlineStr">
        <is>
          <t>Войтехо М. Н.</t>
        </is>
      </c>
      <c r="C15" s="194" t="inlineStr">
        <is>
          <t>Слесарь МСР</t>
        </is>
      </c>
      <c r="D15" s="177">
        <f>$D$5</f>
        <v/>
      </c>
      <c r="E15" s="202" t="n"/>
      <c r="F15" s="190" t="n">
        <v>68902.87</v>
      </c>
      <c r="G15" s="52">
        <f>F15/D15</f>
        <v/>
      </c>
      <c r="H15" s="125" t="n"/>
      <c r="I15" s="107">
        <f>H15*100/$E$15</f>
        <v/>
      </c>
      <c r="J15" s="108" t="n"/>
      <c r="K15" s="107">
        <f>J15*100/$E$15</f>
        <v/>
      </c>
      <c r="L15" s="108" t="n"/>
      <c r="M15" s="107">
        <f>L15*100/$E$15</f>
        <v/>
      </c>
      <c r="N15" s="108" t="n"/>
      <c r="O15" s="107">
        <f>N15*100/$E$15</f>
        <v/>
      </c>
      <c r="P15" s="108" t="n"/>
      <c r="Q15" s="122">
        <f>P15*100/$E$15</f>
        <v/>
      </c>
      <c r="R15" s="108" t="n"/>
      <c r="S15" s="122">
        <f>R15*100/$E$15</f>
        <v/>
      </c>
      <c r="T15" s="108" t="n"/>
      <c r="U15" s="107">
        <f>T15*100/$E$15</f>
        <v/>
      </c>
      <c r="V15" s="108" t="n"/>
      <c r="W15" s="107">
        <f>V15*100/$E$15</f>
        <v/>
      </c>
      <c r="X15" s="108" t="n"/>
      <c r="Y15" s="107">
        <f>X15*100/$E$15</f>
        <v/>
      </c>
      <c r="Z15" s="108" t="n"/>
      <c r="AA15" s="107">
        <f>Z15*100/$E$15</f>
        <v/>
      </c>
      <c r="AB15" s="108" t="n"/>
      <c r="AC15" s="107">
        <f>AB15*100/$E$15</f>
        <v/>
      </c>
      <c r="AD15" s="108" t="n"/>
      <c r="AE15" s="122">
        <f>AD15*100/$E$15</f>
        <v/>
      </c>
      <c r="AF15" s="108" t="n"/>
      <c r="AG15" s="122">
        <f>AF15*100/$E$15</f>
        <v/>
      </c>
      <c r="AH15" s="108" t="n"/>
      <c r="AI15" s="107">
        <f>AH15*100/$E$15</f>
        <v/>
      </c>
      <c r="AJ15" s="108" t="n"/>
      <c r="AK15" s="107">
        <f>AJ15*100/$E$15</f>
        <v/>
      </c>
      <c r="AL15" s="108" t="n"/>
      <c r="AM15" s="107">
        <f>AL15*100/$E$15</f>
        <v/>
      </c>
      <c r="AN15" s="108" t="n"/>
      <c r="AO15" s="107">
        <f>AN15*100/$E$15</f>
        <v/>
      </c>
      <c r="AP15" s="108" t="n"/>
      <c r="AQ15" s="107">
        <f>AP15*100/$E$15</f>
        <v/>
      </c>
      <c r="AR15" s="108" t="n"/>
      <c r="AS15" s="107">
        <f>AR15*100/$E$15</f>
        <v/>
      </c>
      <c r="AT15" s="108" t="n"/>
      <c r="AU15" s="90">
        <f>AT15*100/$E$15</f>
        <v/>
      </c>
      <c r="AV15" s="108" t="n"/>
      <c r="AW15" s="107">
        <f>AV15*100/$E$15</f>
        <v/>
      </c>
      <c r="AX15" s="108" t="n"/>
      <c r="AY15" s="107">
        <f>AX15*100/$E$15</f>
        <v/>
      </c>
      <c r="AZ15" s="108" t="n"/>
      <c r="BA15" s="107">
        <f>AZ15*100/$E$15</f>
        <v/>
      </c>
      <c r="BB15" s="108" t="n"/>
      <c r="BC15" s="107">
        <f>BB15*100/$E$15</f>
        <v/>
      </c>
      <c r="BD15" s="108" t="n"/>
      <c r="BE15" s="107">
        <f>BD15*100/$E$15</f>
        <v/>
      </c>
      <c r="BF15" s="108" t="n"/>
      <c r="BG15" s="107">
        <f>BF15*100/$E$15</f>
        <v/>
      </c>
      <c r="BH15" s="108" t="n"/>
      <c r="BI15" s="107">
        <f>BH15*100/$E$15</f>
        <v/>
      </c>
      <c r="BJ15" s="108" t="n"/>
      <c r="BK15" s="107">
        <f>BJ15*100/$E$15</f>
        <v/>
      </c>
      <c r="BL15" s="108" t="n"/>
      <c r="BM15" s="107">
        <f>BL15*100/$E$15</f>
        <v/>
      </c>
      <c r="BN15" s="108" t="n"/>
      <c r="BO15" s="107">
        <f>BN15*100/$E$15</f>
        <v/>
      </c>
      <c r="BP15" s="108" t="n"/>
      <c r="BQ15" s="107">
        <f>BP15*100/$E$15</f>
        <v/>
      </c>
      <c r="BR15" s="108" t="n"/>
      <c r="BS15" s="107">
        <f>BR15*100/$E$15</f>
        <v/>
      </c>
      <c r="BT15" s="108" t="n"/>
      <c r="BU15" s="107">
        <f>BT15*100/$E$15</f>
        <v/>
      </c>
      <c r="BV15" s="108" t="n"/>
      <c r="BW15" s="107">
        <f>BV15*100/$E$15</f>
        <v/>
      </c>
      <c r="BX15" s="108" t="n"/>
      <c r="BY15" s="107">
        <f>BX15*100/$E$15</f>
        <v/>
      </c>
      <c r="BZ15" s="108" t="n"/>
      <c r="CA15" s="107">
        <f>BZ15*100/$E$15</f>
        <v/>
      </c>
      <c r="CB15" s="108" t="n"/>
      <c r="CC15" s="107">
        <f>CB15*100/$E$15</f>
        <v/>
      </c>
      <c r="CD15" s="108" t="n"/>
      <c r="CE15" s="107">
        <f>CD15*100/$E$15</f>
        <v/>
      </c>
      <c r="CF15" s="108" t="n"/>
      <c r="CG15" s="107">
        <f>CF15*100/$E$15</f>
        <v/>
      </c>
      <c r="CH15" s="108" t="n"/>
      <c r="CI15" s="107">
        <f>CH15*100/$E$15</f>
        <v/>
      </c>
      <c r="CJ15" s="108" t="n"/>
      <c r="CK15" s="107">
        <f>CJ15*100/$E$15</f>
        <v/>
      </c>
      <c r="CL15" s="108" t="n"/>
      <c r="CM15" s="107">
        <f>CL15*100/$E$15</f>
        <v/>
      </c>
      <c r="CN15" s="108" t="n"/>
      <c r="CO15" s="122">
        <f>CN15*100/$E$15</f>
        <v/>
      </c>
      <c r="CP15" s="108" t="n"/>
      <c r="CQ15" s="107">
        <f>CP15*100/$E$15</f>
        <v/>
      </c>
      <c r="CR15" s="108" t="n"/>
      <c r="CS15" s="122">
        <f>CR15*100/$E$15</f>
        <v/>
      </c>
      <c r="CT15" s="108" t="n"/>
      <c r="CU15" s="122">
        <f>CT15*100/$E$15</f>
        <v/>
      </c>
      <c r="CV15" s="108" t="n"/>
      <c r="CW15" s="122">
        <f>CV15*100/$E$15</f>
        <v/>
      </c>
      <c r="CX15" s="108" t="n"/>
      <c r="CY15" s="122">
        <f>CX15*100/$E$15</f>
        <v/>
      </c>
      <c r="CZ15" s="108" t="n"/>
      <c r="DA15" s="122">
        <f>CZ15*100/$E$15</f>
        <v/>
      </c>
      <c r="DB15" s="108" t="n"/>
      <c r="DC15" s="122">
        <f>DB15*100/$E$15</f>
        <v/>
      </c>
      <c r="DD15" s="108" t="n"/>
      <c r="DE15" s="122">
        <f>DD15*100/$E$15</f>
        <v/>
      </c>
      <c r="DF15" s="108" t="n"/>
      <c r="DG15" s="122">
        <f>DF15*100/$E$15</f>
        <v/>
      </c>
      <c r="DH15" s="108" t="n"/>
      <c r="DI15" s="122">
        <f>DH15*100/$E$15</f>
        <v/>
      </c>
      <c r="DJ15" s="108" t="n"/>
      <c r="DK15" s="122">
        <f>DJ15*100/$E$15</f>
        <v/>
      </c>
      <c r="DL15" s="108" t="n"/>
      <c r="DM15" s="122">
        <f>DL15*100/$E$15</f>
        <v/>
      </c>
      <c r="DN15" s="108" t="n"/>
      <c r="DO15" s="122">
        <f>DN15*100/$E$15</f>
        <v/>
      </c>
      <c r="DP15" s="108" t="n"/>
      <c r="DQ15" s="122">
        <f>DP15*100/$E$15</f>
        <v/>
      </c>
      <c r="DR15" s="108" t="n"/>
      <c r="DS15" s="122">
        <f>DR15*100/$E$15</f>
        <v/>
      </c>
      <c r="DT15" s="108" t="n"/>
      <c r="DU15" s="122">
        <f>DT15*100/$E$15</f>
        <v/>
      </c>
      <c r="DV15" s="108" t="n"/>
      <c r="DW15" s="122">
        <f>DV15*100/$E$15</f>
        <v/>
      </c>
      <c r="DX15" s="108" t="n"/>
      <c r="DY15" s="122">
        <f>DX15*100/$E$15</f>
        <v/>
      </c>
      <c r="DZ15" s="108" t="n"/>
      <c r="EA15" s="122">
        <f>DZ15*100/$E$15</f>
        <v/>
      </c>
      <c r="EB15" s="108" t="n"/>
      <c r="EC15" s="122">
        <f>EB15*100/$E$15</f>
        <v/>
      </c>
      <c r="ED15" s="108" t="n"/>
      <c r="EE15" s="122">
        <f>ED15*100/$E$15</f>
        <v/>
      </c>
      <c r="EF15" s="108" t="n"/>
      <c r="EG15" s="122">
        <f>EF15*100/$E$15</f>
        <v/>
      </c>
      <c r="EH15" s="108" t="n"/>
      <c r="EI15" s="122">
        <f>EH15*100/$E$15</f>
        <v/>
      </c>
      <c r="EJ15" s="108" t="n"/>
      <c r="EK15" s="122">
        <f>EJ15*100/$E$15</f>
        <v/>
      </c>
      <c r="EL15" s="108" t="n"/>
      <c r="EM15" s="122">
        <f>EL15*100/$E$15</f>
        <v/>
      </c>
      <c r="EN15" s="108" t="n"/>
      <c r="EO15" s="122">
        <f>EN15*100/$E$15</f>
        <v/>
      </c>
      <c r="EP15" s="108" t="n"/>
      <c r="EQ15" s="122">
        <f>EP15*100/$E$15</f>
        <v/>
      </c>
      <c r="ER15" s="108" t="n"/>
      <c r="ES15" s="122">
        <f>ER15*100/$E$15</f>
        <v/>
      </c>
      <c r="ET15" s="108" t="n"/>
      <c r="EU15" s="122">
        <f>ET15*100/$E$15</f>
        <v/>
      </c>
      <c r="EV15" s="108" t="n"/>
      <c r="EW15" s="122">
        <f>EV15*100/$E$15</f>
        <v/>
      </c>
      <c r="EX15" s="108" t="n"/>
      <c r="EY15" s="122">
        <f>EX15*100/$E$15</f>
        <v/>
      </c>
      <c r="EZ15" s="108" t="n"/>
      <c r="FA15" s="122">
        <f>EZ15*100/$E$15</f>
        <v/>
      </c>
      <c r="FB15" s="108" t="n"/>
      <c r="FC15" s="122">
        <f>FB15*100/$E$15</f>
        <v/>
      </c>
      <c r="FD15" s="108" t="n"/>
      <c r="FE15" s="122">
        <f>FD15*100/$E$15</f>
        <v/>
      </c>
      <c r="FF15" s="108" t="n"/>
      <c r="FG15" s="122">
        <f>FF15*100/$E$15</f>
        <v/>
      </c>
      <c r="FH15" s="108" t="n"/>
      <c r="FI15" s="122">
        <f>FH15*100/$E$15</f>
        <v/>
      </c>
      <c r="FJ15" s="108" t="n"/>
      <c r="FK15" s="122">
        <f>FJ15*100/$E$15</f>
        <v/>
      </c>
      <c r="FL15" s="108" t="n"/>
      <c r="FM15" s="122">
        <f>FL15*100/$E$15</f>
        <v/>
      </c>
      <c r="FN15" s="108" t="n"/>
      <c r="FO15" s="122">
        <f>FN15*100/$E$15</f>
        <v/>
      </c>
      <c r="FP15" s="108" t="n"/>
      <c r="FQ15" s="122">
        <f>FP15*100/$E$15</f>
        <v/>
      </c>
      <c r="FR15" s="108" t="n"/>
      <c r="FS15" s="122">
        <f>FR15*100/$E$15</f>
        <v/>
      </c>
      <c r="FT15" s="108" t="n"/>
      <c r="FU15" s="122">
        <f>FT15*100/$E$15</f>
        <v/>
      </c>
      <c r="FV15" s="108" t="n"/>
      <c r="FW15" s="122">
        <f>FV15*100/$E$15</f>
        <v/>
      </c>
      <c r="FX15" s="108" t="n"/>
      <c r="FY15" s="107">
        <f>FX15*100/$E$15</f>
        <v/>
      </c>
      <c r="FZ15" s="108" t="n"/>
      <c r="GA15" s="107">
        <f>FZ15*100/$E$15</f>
        <v/>
      </c>
      <c r="GB15" s="108" t="n"/>
      <c r="GC15" s="107">
        <f>GB15*100/$E$15</f>
        <v/>
      </c>
      <c r="GD15" s="108" t="n"/>
      <c r="GE15" s="107">
        <f>GD15*100/$E$15</f>
        <v/>
      </c>
      <c r="GF15" s="108" t="n"/>
      <c r="GG15" s="107">
        <f>GF15*100/$E$15</f>
        <v/>
      </c>
      <c r="GH15" s="108" t="n"/>
      <c r="GI15" s="107">
        <f>GH15*100/$E$15</f>
        <v/>
      </c>
      <c r="GJ15" s="108" t="n"/>
      <c r="GK15" s="122">
        <f>GJ15*100/$E$15</f>
        <v/>
      </c>
      <c r="GL15" s="108" t="n"/>
      <c r="GM15" s="107">
        <f>GL15*100/$E$15</f>
        <v/>
      </c>
      <c r="GN15" s="108" t="n"/>
      <c r="GO15" s="122">
        <f>GN15*100/$E$15</f>
        <v/>
      </c>
      <c r="GP15" s="108" t="n"/>
      <c r="GQ15" s="107">
        <f>GP15*100/$E$15</f>
        <v/>
      </c>
      <c r="GR15" s="108" t="n"/>
      <c r="GS15" s="122">
        <f>GR15*100/$E$15</f>
        <v/>
      </c>
      <c r="GT15" s="108" t="n"/>
      <c r="GU15" s="122">
        <f>GT15*100/$E$15</f>
        <v/>
      </c>
      <c r="GV15" s="108" t="n"/>
      <c r="GW15" s="122">
        <f>GV15*100/$E$15</f>
        <v/>
      </c>
      <c r="GX15" s="108" t="n"/>
      <c r="GY15" s="107">
        <f>GX15*100/$E$15</f>
        <v/>
      </c>
      <c r="GZ15" s="108" t="n"/>
      <c r="HA15" s="107">
        <f>GZ15*100/$E$15</f>
        <v/>
      </c>
      <c r="HB15" s="108" t="n"/>
      <c r="HC15" s="107">
        <f>HB15*100/$E$15</f>
        <v/>
      </c>
      <c r="HD15" s="108" t="n"/>
      <c r="HE15" s="107">
        <f>HD15*100/$E$15</f>
        <v/>
      </c>
      <c r="HF15" s="108" t="n"/>
      <c r="HG15" s="107">
        <f>HF15*100/$E$15</f>
        <v/>
      </c>
      <c r="HH15" s="108" t="n"/>
      <c r="HI15" s="107">
        <f>HH15*100/$E$15</f>
        <v/>
      </c>
      <c r="HJ15" s="108" t="n"/>
      <c r="HK15" s="107">
        <f>HJ15*100/$E$15</f>
        <v/>
      </c>
      <c r="HL15" s="108" t="n"/>
      <c r="HM15" s="107">
        <f>HL15*100/$E$15</f>
        <v/>
      </c>
      <c r="HN15" s="108" t="n"/>
      <c r="HO15" s="107">
        <f>HN15*100/$E$15</f>
        <v/>
      </c>
      <c r="HP15" s="108" t="n"/>
      <c r="HQ15" s="107">
        <f>HP15*100/$E$15</f>
        <v/>
      </c>
      <c r="HR15" s="108" t="n"/>
      <c r="HS15" s="107">
        <f>HR15*100/$E$15</f>
        <v/>
      </c>
      <c r="HT15" s="108" t="n"/>
      <c r="HU15" s="107">
        <f>HT15*100/$E$15</f>
        <v/>
      </c>
      <c r="HV15" s="108" t="n"/>
      <c r="HW15" s="107">
        <f>HV15*100/$E$15</f>
        <v/>
      </c>
      <c r="HX15" s="108" t="n"/>
      <c r="HY15" s="107">
        <f>HX15*100/$E$15</f>
        <v/>
      </c>
      <c r="HZ15" s="108" t="n"/>
      <c r="IA15" s="122">
        <f>HZ15*100/$E$15</f>
        <v/>
      </c>
      <c r="IB15" s="108" t="n"/>
      <c r="IC15" s="122">
        <f>IB15*100/$E$15</f>
        <v/>
      </c>
      <c r="ID15" s="108" t="n"/>
      <c r="IE15" s="122">
        <f>ID15*100/$E$15</f>
        <v/>
      </c>
      <c r="IF15" s="108" t="n"/>
      <c r="IG15" s="122">
        <f>IF15*100/$E$15</f>
        <v/>
      </c>
      <c r="IH15" s="108" t="n"/>
      <c r="II15" s="122">
        <f>IH15*100/$E$15</f>
        <v/>
      </c>
      <c r="IJ15" s="108" t="n"/>
      <c r="IK15" s="122">
        <f>IJ15*100/$E$15</f>
        <v/>
      </c>
      <c r="IL15" s="108" t="n"/>
      <c r="IM15" s="107">
        <f>IL15*100/$E$15</f>
        <v/>
      </c>
      <c r="IN15" s="108" t="n"/>
      <c r="IO15" s="107">
        <f>IN15*100/$E$15</f>
        <v/>
      </c>
      <c r="IP15" s="108" t="n"/>
      <c r="IQ15" s="122">
        <f>IP15*100/$E$15</f>
        <v/>
      </c>
      <c r="IR15" s="108" t="n"/>
      <c r="IS15" s="122">
        <f>IR15*100/$E$15</f>
        <v/>
      </c>
      <c r="IT15" s="108" t="n"/>
      <c r="IU15" s="122">
        <f>IT15*100/$E$15</f>
        <v/>
      </c>
      <c r="IV15" s="108" t="n"/>
      <c r="IW15" s="122">
        <f>IV15*100/$E$15</f>
        <v/>
      </c>
      <c r="IX15" s="108" t="n"/>
      <c r="IY15" s="122">
        <f>IX15*100/$E$15</f>
        <v/>
      </c>
      <c r="IZ15" s="108" t="n"/>
      <c r="JA15" s="122">
        <f>IZ15*100/$E$15</f>
        <v/>
      </c>
      <c r="JB15" s="108" t="n"/>
      <c r="JC15" s="122">
        <f>JB15*100/$E$15</f>
        <v/>
      </c>
      <c r="JD15" s="108" t="n"/>
      <c r="JE15" s="122">
        <f>JD15*100/$E$15</f>
        <v/>
      </c>
      <c r="JF15" s="108" t="n"/>
      <c r="JG15" s="122">
        <f>JF15*100/$E$15</f>
        <v/>
      </c>
      <c r="JH15" s="108" t="n"/>
      <c r="JI15" s="122">
        <f>JH15*100/$E$15</f>
        <v/>
      </c>
      <c r="JJ15" s="108" t="n"/>
      <c r="JK15" s="122">
        <f>JJ15*100/$E$15</f>
        <v/>
      </c>
      <c r="JL15" s="108" t="n"/>
      <c r="JM15" s="122">
        <f>JL15*100/$E$15</f>
        <v/>
      </c>
      <c r="JN15" s="108" t="n"/>
      <c r="JO15" s="122">
        <f>JN15*100/$E$15</f>
        <v/>
      </c>
      <c r="JP15" s="108" t="n"/>
      <c r="JQ15" s="122">
        <f>JP15*100/$E$15</f>
        <v/>
      </c>
      <c r="JR15" s="108" t="n"/>
      <c r="JS15" s="122">
        <f>JR15*100/$E$15</f>
        <v/>
      </c>
      <c r="JT15" s="108" t="n"/>
      <c r="JU15" s="122">
        <f>JT15*100/$E$15</f>
        <v/>
      </c>
      <c r="JV15" s="132" t="n"/>
      <c r="JW15" s="122">
        <f>JV15*100/$E$15</f>
        <v/>
      </c>
      <c r="JX15" s="132" t="n"/>
      <c r="JY15" s="122">
        <f>JX15*100/$E$15</f>
        <v/>
      </c>
      <c r="JZ15" s="55">
        <f>JN15+JP15+JR15+JT15+JV15+JX15</f>
        <v/>
      </c>
      <c r="KA15" s="53">
        <f>JO15+JQ15+JS15+JU15+JW15+JY15</f>
        <v/>
      </c>
      <c r="KB15" s="64">
        <f>H15+J15+L15+N15+P15+R15+T15+V15+X15+Z15+AB15+AD15+AF15+AH15+AJ15+AL15+AN15+AP15+AR15+AT15+AV15+AX15+AZ15+BB15+BD15+BF15+BH15+BJ15+BL15+BN15+BP15+BR15+BT15+BV15+BX15+BZ15+CB15+CD15+CF15+CH15+CZ15+DB15+DD15+DF15+DH15+DJ15+DL15+DN15+DP15+DR15+DT15+DV15+DX15+DZ15+EB15+ED15+EF15+EH15+EJ15+EL15+EN15+EP15+ER15+ET15+EV15+FN15+FP15+FR15+FT15+FV15+FX15+FZ15+GB15+GD15+GF15+GH15+GJ15+GL15+GN15+GP15+GR15+GT15+GV15+GX15+GZ15+HB15+HD15+HF15+HH15+HJ15+HL15+HN15+HP15+HR15+HT15+HV15+HX15+HZ15+IB15+ID15+IF15+IH15+IJ15+IL15+IN15+IP15+IR15+IT15+IV15+IX15+IZ15+JB15+JD15+JF15+JH15+JJ15+JL15+JZ15+CJ15+CL15+CN15+CP15+CR15+CT15+CV15+CX15+EX15+EZ15+FB15+FD15+FF15+FH15+FJ15+FL15</f>
        <v/>
      </c>
      <c r="KC15" s="66">
        <f>I15+K15+M15+O15+Q15+S15+U15+W15+Y15+AA15+AC15+AE15+AG15+AI15+AK15+AM15+AO15+AQ15+AS15+AU15+AW15+AY15+BA15+BC15+BE15+BG15+BI15+BK15+BM15+BO15+BQ15+BS15+BU15+BW15+BY15+CA15+CC15+CE15+CG15+CI15+DA15+DC15+DE15+DG15+DI15+DK15+DM15+DO15+DQ15+DS15+DU15+DW15+DY15+EA15+EC15+EE15+EG15+EI15+EK15+EM15+EO15+EQ15+ES15+EU15+EW15+FO15+FS15+FU15+FW15+FQ15+FY15+GA15+GC15+GE15+GG15+GI15+GK15+GM15+GO15+GQ15+GS15+GU15+GW15+GY15+HA15+HC15+HE15+HG15+HI15+HK15+HM15+HO15+HQ15+HS15+HU15+HW15+HY15+IA15+IC15+IE15+IG15+II15+IK15+IM15+IO15+IQ15+IS15+IU15+IW15+IY15+JA15+JC15+JE15+JG15+JI15+JK15+JM15+KA15+CK15+CM15+CO15+CQ15+CS15+CU15+CW15+CY15+EY15+FA15+FC15+FE15+FG15+FI15+FK15+FM15</f>
        <v/>
      </c>
      <c r="KD15" s="44">
        <f>JO15+JQ15+JS15+JU15+JW15+JY15</f>
        <v/>
      </c>
      <c r="KE15" s="45">
        <f>KB15=E15</f>
        <v/>
      </c>
      <c r="KF15" s="101">
        <f>E15-KB15</f>
        <v/>
      </c>
      <c r="KG15" s="14" t="n"/>
    </row>
    <row r="16" ht="21.75" customFormat="1" customHeight="1" s="12">
      <c r="A16" s="126">
        <f>A15+1</f>
        <v/>
      </c>
      <c r="B16" s="175" t="inlineStr">
        <is>
          <t>Волков М. А.</t>
        </is>
      </c>
      <c r="C16" s="176" t="inlineStr">
        <is>
          <t>Эл.сварщик</t>
        </is>
      </c>
      <c r="D16" s="177">
        <f>$D$5</f>
        <v/>
      </c>
      <c r="E16" s="202" t="n"/>
      <c r="F16" s="190" t="n">
        <v>55770</v>
      </c>
      <c r="G16" s="52">
        <f>F16/D16</f>
        <v/>
      </c>
      <c r="H16" s="125" t="n"/>
      <c r="I16" s="107">
        <f>H16*100/$E$16</f>
        <v/>
      </c>
      <c r="J16" s="108" t="n"/>
      <c r="K16" s="107">
        <f>J16*100/$E$16</f>
        <v/>
      </c>
      <c r="L16" s="108" t="n"/>
      <c r="M16" s="107">
        <f>L16*100/$E$16</f>
        <v/>
      </c>
      <c r="N16" s="108" t="n"/>
      <c r="O16" s="107">
        <f>N16*100/$E$16</f>
        <v/>
      </c>
      <c r="P16" s="108" t="n"/>
      <c r="Q16" s="122">
        <f>P16*100/$E$16</f>
        <v/>
      </c>
      <c r="R16" s="108" t="n"/>
      <c r="S16" s="107">
        <f>R16*100/$E$16</f>
        <v/>
      </c>
      <c r="T16" s="108" t="n"/>
      <c r="U16" s="107">
        <f>T16*100/$E$16</f>
        <v/>
      </c>
      <c r="V16" s="108" t="n"/>
      <c r="W16" s="107">
        <f>V16*100/$E$16</f>
        <v/>
      </c>
      <c r="X16" s="108" t="n"/>
      <c r="Y16" s="107">
        <f>X16*100/$E$16</f>
        <v/>
      </c>
      <c r="Z16" s="108" t="n"/>
      <c r="AA16" s="107">
        <f>Z16*100/$E$16</f>
        <v/>
      </c>
      <c r="AB16" s="108" t="n"/>
      <c r="AC16" s="107">
        <f>AB16*100/$E$16</f>
        <v/>
      </c>
      <c r="AD16" s="108" t="n"/>
      <c r="AE16" s="107">
        <f>AD16*100/$E$16</f>
        <v/>
      </c>
      <c r="AF16" s="108" t="n"/>
      <c r="AG16" s="107">
        <f>AF16*100/$E$16</f>
        <v/>
      </c>
      <c r="AH16" s="108" t="n"/>
      <c r="AI16" s="107">
        <f>AH16*100/$E$16</f>
        <v/>
      </c>
      <c r="AJ16" s="108" t="n"/>
      <c r="AK16" s="107">
        <f>AJ16*100/$E$16</f>
        <v/>
      </c>
      <c r="AL16" s="108" t="n"/>
      <c r="AM16" s="107">
        <f>AL16*100/$E$16</f>
        <v/>
      </c>
      <c r="AN16" s="108" t="n"/>
      <c r="AO16" s="107">
        <f>AN16*100/$E$16</f>
        <v/>
      </c>
      <c r="AP16" s="108" t="n"/>
      <c r="AQ16" s="107">
        <f>AP16*100/$E$16</f>
        <v/>
      </c>
      <c r="AR16" s="108" t="n"/>
      <c r="AS16" s="107">
        <f>AR16*100/$E$16</f>
        <v/>
      </c>
      <c r="AT16" s="108" t="n"/>
      <c r="AU16" s="90">
        <f>AT16*100/$E$16</f>
        <v/>
      </c>
      <c r="AV16" s="108" t="n"/>
      <c r="AW16" s="107">
        <f>AV16*100/$E$16</f>
        <v/>
      </c>
      <c r="AX16" s="108" t="n"/>
      <c r="AY16" s="107">
        <f>AX16*100/$E$16</f>
        <v/>
      </c>
      <c r="AZ16" s="108" t="n"/>
      <c r="BA16" s="107">
        <f>AZ16*100/$E$16</f>
        <v/>
      </c>
      <c r="BB16" s="108" t="n"/>
      <c r="BC16" s="107">
        <f>BB16*100/$E$16</f>
        <v/>
      </c>
      <c r="BD16" s="108" t="n"/>
      <c r="BE16" s="107">
        <f>BD16*100/$E$16</f>
        <v/>
      </c>
      <c r="BF16" s="108" t="n"/>
      <c r="BG16" s="107">
        <f>BF16*100/$E$16</f>
        <v/>
      </c>
      <c r="BH16" s="108" t="n"/>
      <c r="BI16" s="107">
        <f>BH16*100/$E$16</f>
        <v/>
      </c>
      <c r="BJ16" s="108" t="n"/>
      <c r="BK16" s="107">
        <f>BJ16*100/$E$16</f>
        <v/>
      </c>
      <c r="BL16" s="108" t="n"/>
      <c r="BM16" s="107">
        <f>BL16*100/$E$16</f>
        <v/>
      </c>
      <c r="BN16" s="108" t="n"/>
      <c r="BO16" s="107">
        <f>BN16*100/$E$16</f>
        <v/>
      </c>
      <c r="BP16" s="108" t="n"/>
      <c r="BQ16" s="107">
        <f>BP16*100/$E$16</f>
        <v/>
      </c>
      <c r="BR16" s="108" t="n"/>
      <c r="BS16" s="107">
        <f>BR16*100/$E$16</f>
        <v/>
      </c>
      <c r="BT16" s="108" t="n"/>
      <c r="BU16" s="107">
        <f>BT16*100/$E$16</f>
        <v/>
      </c>
      <c r="BV16" s="108" t="n"/>
      <c r="BW16" s="107">
        <f>BV16*100/$E$16</f>
        <v/>
      </c>
      <c r="BX16" s="108" t="n"/>
      <c r="BY16" s="107">
        <f>BX16*100/$E$16</f>
        <v/>
      </c>
      <c r="BZ16" s="108" t="n"/>
      <c r="CA16" s="107">
        <f>BZ16*100/$E$16</f>
        <v/>
      </c>
      <c r="CB16" s="108" t="n"/>
      <c r="CC16" s="107">
        <f>CB16*100/$E$16</f>
        <v/>
      </c>
      <c r="CD16" s="108" t="n"/>
      <c r="CE16" s="107">
        <f>CD16*100/$E$16</f>
        <v/>
      </c>
      <c r="CF16" s="108" t="n"/>
      <c r="CG16" s="107">
        <f>CF16*100/$E$16</f>
        <v/>
      </c>
      <c r="CH16" s="108" t="n"/>
      <c r="CI16" s="107">
        <f>CH16*100/$E$16</f>
        <v/>
      </c>
      <c r="CJ16" s="108" t="n"/>
      <c r="CK16" s="107">
        <f>CJ16*100/$E$16</f>
        <v/>
      </c>
      <c r="CL16" s="108" t="n"/>
      <c r="CM16" s="107">
        <f>CL16*100/$E$16</f>
        <v/>
      </c>
      <c r="CN16" s="108" t="n"/>
      <c r="CO16" s="122">
        <f>CN16*100/$E$16</f>
        <v/>
      </c>
      <c r="CP16" s="108" t="n"/>
      <c r="CQ16" s="107">
        <f>CP16*100/$E$16</f>
        <v/>
      </c>
      <c r="CR16" s="108" t="n"/>
      <c r="CS16" s="122">
        <f>CR16*100/$E$16</f>
        <v/>
      </c>
      <c r="CT16" s="108" t="n"/>
      <c r="CU16" s="122">
        <f>CT16*100/$E$16</f>
        <v/>
      </c>
      <c r="CV16" s="108" t="n"/>
      <c r="CW16" s="122">
        <f>CV16*100/$E$16</f>
        <v/>
      </c>
      <c r="CX16" s="108" t="n"/>
      <c r="CY16" s="122">
        <f>CX16*100/$E$16</f>
        <v/>
      </c>
      <c r="CZ16" s="108" t="n"/>
      <c r="DA16" s="122">
        <f>CZ16*100/$E$16</f>
        <v/>
      </c>
      <c r="DB16" s="108" t="n"/>
      <c r="DC16" s="122">
        <f>DB16*100/$E$16</f>
        <v/>
      </c>
      <c r="DD16" s="108" t="n"/>
      <c r="DE16" s="122">
        <f>DD16*100/$E$16</f>
        <v/>
      </c>
      <c r="DF16" s="108" t="n"/>
      <c r="DG16" s="122">
        <f>DF16*100/$E$16</f>
        <v/>
      </c>
      <c r="DH16" s="108" t="n"/>
      <c r="DI16" s="122">
        <f>DH16*100/$E$16</f>
        <v/>
      </c>
      <c r="DJ16" s="108" t="n"/>
      <c r="DK16" s="122">
        <f>DJ16*100/$E$16</f>
        <v/>
      </c>
      <c r="DL16" s="108" t="n"/>
      <c r="DM16" s="122">
        <f>DL16*100/$E$16</f>
        <v/>
      </c>
      <c r="DN16" s="108" t="n"/>
      <c r="DO16" s="122">
        <f>DN16*100/$E$16</f>
        <v/>
      </c>
      <c r="DP16" s="108" t="n"/>
      <c r="DQ16" s="122">
        <f>DP16*100/$E$16</f>
        <v/>
      </c>
      <c r="DR16" s="108" t="n"/>
      <c r="DS16" s="107">
        <f>DR16*100/$E$16</f>
        <v/>
      </c>
      <c r="DT16" s="108" t="n"/>
      <c r="DU16" s="122">
        <f>DT16*100/$E$16</f>
        <v/>
      </c>
      <c r="DV16" s="108" t="n"/>
      <c r="DW16" s="122">
        <f>DV16*100/$E$16</f>
        <v/>
      </c>
      <c r="DX16" s="108" t="n"/>
      <c r="DY16" s="122">
        <f>DX16*100/$E$16</f>
        <v/>
      </c>
      <c r="DZ16" s="108" t="n"/>
      <c r="EA16" s="122">
        <f>DZ16*100/$E$16</f>
        <v/>
      </c>
      <c r="EB16" s="108" t="n"/>
      <c r="EC16" s="122">
        <f>EB16*100/$E$16</f>
        <v/>
      </c>
      <c r="ED16" s="108" t="n"/>
      <c r="EE16" s="122">
        <f>ED16*100/$E$16</f>
        <v/>
      </c>
      <c r="EF16" s="108" t="n"/>
      <c r="EG16" s="122">
        <f>EF16*100/$E$16</f>
        <v/>
      </c>
      <c r="EH16" s="108" t="n"/>
      <c r="EI16" s="107">
        <f>EH16*100/$E$16</f>
        <v/>
      </c>
      <c r="EJ16" s="108" t="n"/>
      <c r="EK16" s="107">
        <f>EJ16*100/$E$16</f>
        <v/>
      </c>
      <c r="EL16" s="108" t="n"/>
      <c r="EM16" s="107">
        <f>EL16*100/$E$16</f>
        <v/>
      </c>
      <c r="EN16" s="108" t="n"/>
      <c r="EO16" s="107">
        <f>EN16*100/$E$16</f>
        <v/>
      </c>
      <c r="EP16" s="108" t="n"/>
      <c r="EQ16" s="107">
        <f>EP16*100/$E$16</f>
        <v/>
      </c>
      <c r="ER16" s="108" t="n"/>
      <c r="ES16" s="107">
        <f>ER16*100/$E$16</f>
        <v/>
      </c>
      <c r="ET16" s="108" t="n"/>
      <c r="EU16" s="107">
        <f>ET16*100/$E$16</f>
        <v/>
      </c>
      <c r="EV16" s="108" t="n"/>
      <c r="EW16" s="122">
        <f>EV16*100/$E$16</f>
        <v/>
      </c>
      <c r="EX16" s="108" t="n"/>
      <c r="EY16" s="122">
        <f>EX16*100/$E$16</f>
        <v/>
      </c>
      <c r="EZ16" s="108" t="n"/>
      <c r="FA16" s="122">
        <f>EZ16*100/$E$16</f>
        <v/>
      </c>
      <c r="FB16" s="108" t="n"/>
      <c r="FC16" s="122">
        <f>FB16*100/$E$16</f>
        <v/>
      </c>
      <c r="FD16" s="108" t="n"/>
      <c r="FE16" s="122">
        <f>FD16*100/$E$16</f>
        <v/>
      </c>
      <c r="FF16" s="108" t="n"/>
      <c r="FG16" s="122">
        <f>FF16*100/$E$16</f>
        <v/>
      </c>
      <c r="FH16" s="108" t="n"/>
      <c r="FI16" s="122">
        <f>FH16*100/$E$16</f>
        <v/>
      </c>
      <c r="FJ16" s="108" t="n"/>
      <c r="FK16" s="122">
        <f>FJ16*100/$E$16</f>
        <v/>
      </c>
      <c r="FL16" s="108" t="n"/>
      <c r="FM16" s="122">
        <f>FL16*100/$E$16</f>
        <v/>
      </c>
      <c r="FN16" s="108" t="n"/>
      <c r="FO16" s="122">
        <f>FN16*100/$E$16</f>
        <v/>
      </c>
      <c r="FP16" s="108" t="n"/>
      <c r="FQ16" s="107">
        <f>FP16*100/$E$16</f>
        <v/>
      </c>
      <c r="FR16" s="108" t="n"/>
      <c r="FS16" s="107">
        <f>FR16*100/$E$16</f>
        <v/>
      </c>
      <c r="FT16" s="108" t="n"/>
      <c r="FU16" s="107">
        <f>FT16*100/$E$16</f>
        <v/>
      </c>
      <c r="FV16" s="108" t="n"/>
      <c r="FW16" s="107">
        <f>FV16*100/$E$16</f>
        <v/>
      </c>
      <c r="FX16" s="108" t="n"/>
      <c r="FY16" s="107">
        <f>FX16*100/$E$16</f>
        <v/>
      </c>
      <c r="FZ16" s="108" t="n"/>
      <c r="GA16" s="107">
        <f>FZ16*100/$E$16</f>
        <v/>
      </c>
      <c r="GB16" s="108" t="n"/>
      <c r="GC16" s="107">
        <f>GB16*100/$E$16</f>
        <v/>
      </c>
      <c r="GD16" s="108" t="n"/>
      <c r="GE16" s="107">
        <f>GD16*100/$E$16</f>
        <v/>
      </c>
      <c r="GF16" s="108" t="n"/>
      <c r="GG16" s="107">
        <f>GF16*100/$E$16</f>
        <v/>
      </c>
      <c r="GH16" s="108" t="n"/>
      <c r="GI16" s="107">
        <f>GH16*100/$E$16</f>
        <v/>
      </c>
      <c r="GJ16" s="108" t="n"/>
      <c r="GK16" s="122">
        <f>GJ16*100/$E$16</f>
        <v/>
      </c>
      <c r="GL16" s="108" t="n"/>
      <c r="GM16" s="107">
        <f>GL16*100/$E$16</f>
        <v/>
      </c>
      <c r="GN16" s="108" t="n"/>
      <c r="GO16" s="122">
        <f>GN16*100/$E$16</f>
        <v/>
      </c>
      <c r="GP16" s="108" t="n"/>
      <c r="GQ16" s="107">
        <f>GP16*100/$E$16</f>
        <v/>
      </c>
      <c r="GR16" s="108" t="n"/>
      <c r="GS16" s="122">
        <f>GR16*100/$E$16</f>
        <v/>
      </c>
      <c r="GT16" s="108" t="n"/>
      <c r="GU16" s="122">
        <f>GT16*100/$E$16</f>
        <v/>
      </c>
      <c r="GV16" s="108" t="n"/>
      <c r="GW16" s="122">
        <f>GV16*100/$E$16</f>
        <v/>
      </c>
      <c r="GX16" s="108" t="n"/>
      <c r="GY16" s="107">
        <f>GX16*100/$E$16</f>
        <v/>
      </c>
      <c r="GZ16" s="108" t="n"/>
      <c r="HA16" s="107">
        <f>GZ16*100/$E$16</f>
        <v/>
      </c>
      <c r="HB16" s="108" t="n"/>
      <c r="HC16" s="107">
        <f>HB16*100/$E$16</f>
        <v/>
      </c>
      <c r="HD16" s="108" t="n"/>
      <c r="HE16" s="107">
        <f>HD16*100/$E$16</f>
        <v/>
      </c>
      <c r="HF16" s="108" t="n"/>
      <c r="HG16" s="107">
        <f>HF16*100/$E$16</f>
        <v/>
      </c>
      <c r="HH16" s="108" t="n"/>
      <c r="HI16" s="107">
        <f>HH16*100/$E$16</f>
        <v/>
      </c>
      <c r="HJ16" s="108" t="n"/>
      <c r="HK16" s="107">
        <f>HJ16*100/$E$16</f>
        <v/>
      </c>
      <c r="HL16" s="108" t="n"/>
      <c r="HM16" s="107">
        <f>HL16*100/$E$16</f>
        <v/>
      </c>
      <c r="HN16" s="108" t="n"/>
      <c r="HO16" s="107">
        <f>HN16*100/$E$16</f>
        <v/>
      </c>
      <c r="HP16" s="108" t="n"/>
      <c r="HQ16" s="107">
        <f>HP16*100/$E$16</f>
        <v/>
      </c>
      <c r="HR16" s="108" t="n"/>
      <c r="HS16" s="107">
        <f>HR16*100/$E$16</f>
        <v/>
      </c>
      <c r="HT16" s="108" t="n"/>
      <c r="HU16" s="107">
        <f>HT16*100/$E$16</f>
        <v/>
      </c>
      <c r="HV16" s="108" t="n"/>
      <c r="HW16" s="107">
        <f>HV16*100/$E$16</f>
        <v/>
      </c>
      <c r="HX16" s="108" t="n"/>
      <c r="HY16" s="107">
        <f>HX16*100/$E$16</f>
        <v/>
      </c>
      <c r="HZ16" s="108" t="n"/>
      <c r="IA16" s="122">
        <f>HZ16*100/$E$16</f>
        <v/>
      </c>
      <c r="IB16" s="108" t="n"/>
      <c r="IC16" s="122">
        <f>IB16*100/$E$16</f>
        <v/>
      </c>
      <c r="ID16" s="108" t="n"/>
      <c r="IE16" s="122">
        <f>ID16*100/$E$16</f>
        <v/>
      </c>
      <c r="IF16" s="108" t="n"/>
      <c r="IG16" s="122">
        <f>IF16*100/$E$16</f>
        <v/>
      </c>
      <c r="IH16" s="108" t="n"/>
      <c r="II16" s="122">
        <f>IH16*100/$E$16</f>
        <v/>
      </c>
      <c r="IJ16" s="108" t="n"/>
      <c r="IK16" s="122">
        <f>IJ16*100/$E$16</f>
        <v/>
      </c>
      <c r="IL16" s="108" t="n"/>
      <c r="IM16" s="107">
        <f>IL16*100/$E$16</f>
        <v/>
      </c>
      <c r="IN16" s="108" t="n"/>
      <c r="IO16" s="107">
        <f>IN16*100/$E$16</f>
        <v/>
      </c>
      <c r="IP16" s="108" t="n"/>
      <c r="IQ16" s="122">
        <f>IP16*100/$E$16</f>
        <v/>
      </c>
      <c r="IR16" s="108" t="n"/>
      <c r="IS16" s="122">
        <f>IR16*100/$E$16</f>
        <v/>
      </c>
      <c r="IT16" s="108" t="n"/>
      <c r="IU16" s="122">
        <f>IT16*100/$E$16</f>
        <v/>
      </c>
      <c r="IV16" s="108" t="n"/>
      <c r="IW16" s="122">
        <f>IV16*100/$E$16</f>
        <v/>
      </c>
      <c r="IX16" s="108" t="n"/>
      <c r="IY16" s="122">
        <f>IX16*100/$E$16</f>
        <v/>
      </c>
      <c r="IZ16" s="108" t="n"/>
      <c r="JA16" s="122">
        <f>IZ16*100/$E$16</f>
        <v/>
      </c>
      <c r="JB16" s="108" t="n"/>
      <c r="JC16" s="122">
        <f>JB16*100/$E$16</f>
        <v/>
      </c>
      <c r="JD16" s="108" t="n"/>
      <c r="JE16" s="122">
        <f>JD16*100/$E$16</f>
        <v/>
      </c>
      <c r="JF16" s="108" t="n"/>
      <c r="JG16" s="122">
        <f>JF16*100/$E$16</f>
        <v/>
      </c>
      <c r="JH16" s="108" t="n"/>
      <c r="JI16" s="122">
        <f>JH16*100/$E$16</f>
        <v/>
      </c>
      <c r="JJ16" s="108" t="n"/>
      <c r="JK16" s="122">
        <f>JJ16*100/$E$16</f>
        <v/>
      </c>
      <c r="JL16" s="108" t="n"/>
      <c r="JM16" s="122">
        <f>JL16*100/$E$16</f>
        <v/>
      </c>
      <c r="JN16" s="108" t="n"/>
      <c r="JO16" s="121">
        <f>JN16*100/$E$16</f>
        <v/>
      </c>
      <c r="JP16" s="108" t="n"/>
      <c r="JQ16" s="121">
        <f>JP16*100/$E$16</f>
        <v/>
      </c>
      <c r="JR16" s="108" t="n"/>
      <c r="JS16" s="121">
        <f>JR16*100/$E$16</f>
        <v/>
      </c>
      <c r="JT16" s="108" t="n"/>
      <c r="JU16" s="121">
        <f>JT16*100/$E$16</f>
        <v/>
      </c>
      <c r="JV16" s="108" t="n"/>
      <c r="JW16" s="121">
        <f>JV16*100/$E$16</f>
        <v/>
      </c>
      <c r="JX16" s="108" t="n"/>
      <c r="JY16" s="121">
        <f>JX16*100/$E$16</f>
        <v/>
      </c>
      <c r="JZ16" s="55">
        <f>JN16+JP16+JR16+JT16+JV16+JX16</f>
        <v/>
      </c>
      <c r="KA16" s="53">
        <f>JO16+JQ16+JS16+JU16+JW16+JY16</f>
        <v/>
      </c>
      <c r="KB16" s="64">
        <f>H16+J16+L16+N16+P16+R16+T16+V16+X16+Z16+AB16+AD16+AF16+AH16+AJ16+AL16+AN16+AP16+AR16+AT16+AV16+AX16+AZ16+BB16+BD16+BF16+BH16+BJ16+BL16+BN16+BP16+BR16+BT16+BV16+BX16+BZ16+CB16+CD16+CF16+CH16+CZ16+DB16+DD16+DF16+DH16+DJ16+DL16+DN16+DP16+DR16+DT16+DV16+DX16+DZ16+EB16+ED16+EF16+EH16+EJ16+EL16+EN16+EP16+ER16+ET16+EV16+FN16+FP16+FR16+FT16+FV16+FX16+FZ16+GB16+GD16+GF16+GH16+GJ16+GL16+GN16+GP16+GR16+GT16+GV16+GX16+GZ16+HB16+HD16+HF16+HH16+HJ16+HL16+HN16+HP16+HR16+HT16+HV16+HX16+HZ16+IB16+ID16+IF16+IH16+IJ16+IL16+IN16+IP16+IR16+IT16+IV16+IX16+IZ16+JB16+JD16+JF16+JH16+JJ16+JL16+JZ16+CJ16+CL16+CN16+CP16+CR16+CT16+CV16+CX16+EX16+EZ16+FB16+FD16+FF16+FH16+FJ16+FL16</f>
        <v/>
      </c>
      <c r="KC16" s="66">
        <f>I16+K16+M16+O16+Q16+S16+U16+W16+Y16+AA16+AC16+AE16+AG16+AI16+AK16+AM16+AO16+AQ16+AS16+AU16+AW16+AY16+BA16+BC16+BE16+BG16+BI16+BK16+BM16+BO16+BQ16+BS16+BU16+BW16+BY16+CA16+CC16+CE16+CG16+CI16+DA16+DC16+DE16+DG16+DI16+DK16+DM16+DO16+DQ16+DS16+DU16+DW16+DY16+EA16+EC16+EE16+EG16+EI16+EK16+EM16+EO16+EQ16+ES16+EU16+EW16+FO16+FS16+FU16+FW16+FQ16+FY16+GA16+GC16+GE16+GG16+GI16+GK16+GM16+GO16+GQ16+GS16+GU16+GW16+GY16+HA16+HC16+HE16+HG16+HI16+HK16+HM16+HO16+HQ16+HS16+HU16+HW16+HY16+IA16+IC16+IE16+IG16+II16+IK16+IM16+IO16+IQ16+IS16+IU16+IW16+IY16+JA16+JC16+JE16+JG16+JI16+JK16+JM16+KA16+CK16+CM16+CO16+CQ16+CS16+CU16+CW16+CY16+EY16+FA16+FC16+FE16+FG16+FI16+FK16+FM16</f>
        <v/>
      </c>
      <c r="KD16" s="44">
        <f>JO16+JQ16+JS16+JU16+JW16+JY16</f>
        <v/>
      </c>
      <c r="KE16" s="45">
        <f>KB16=E16</f>
        <v/>
      </c>
      <c r="KF16" s="101">
        <f>E16-KB16</f>
        <v/>
      </c>
      <c r="KG16" s="67" t="n"/>
    </row>
    <row r="17" ht="21.75" customFormat="1" customHeight="1" s="14">
      <c r="A17" s="126">
        <f>A16+1</f>
        <v/>
      </c>
      <c r="B17" s="175" t="inlineStr">
        <is>
          <t>Гринев В.Н.</t>
        </is>
      </c>
      <c r="C17" s="176" t="inlineStr">
        <is>
          <t>сварщик</t>
        </is>
      </c>
      <c r="D17" s="177">
        <f>$D$5</f>
        <v/>
      </c>
      <c r="E17" s="202" t="n"/>
      <c r="F17" s="190" t="n">
        <v>61252.7</v>
      </c>
      <c r="G17" s="52">
        <f>F17/D17</f>
        <v/>
      </c>
      <c r="H17" s="125" t="n"/>
      <c r="I17" s="107">
        <f>H17*100/$E$17</f>
        <v/>
      </c>
      <c r="J17" s="108" t="n"/>
      <c r="K17" s="107">
        <f>J17*100/$E$17</f>
        <v/>
      </c>
      <c r="L17" s="108" t="n"/>
      <c r="M17" s="107">
        <f>L17*100/$E$17</f>
        <v/>
      </c>
      <c r="N17" s="108" t="n"/>
      <c r="O17" s="107">
        <f>N17*100/$E$17</f>
        <v/>
      </c>
      <c r="P17" s="108" t="n"/>
      <c r="Q17" s="122">
        <f>P17*100/$E$17</f>
        <v/>
      </c>
      <c r="R17" s="108" t="n"/>
      <c r="S17" s="122">
        <f>R17*100/$E$17</f>
        <v/>
      </c>
      <c r="T17" s="108" t="n"/>
      <c r="U17" s="107">
        <f>T17*100/$E$17</f>
        <v/>
      </c>
      <c r="V17" s="108" t="n"/>
      <c r="W17" s="107">
        <f>V17*100/$E$17</f>
        <v/>
      </c>
      <c r="X17" s="108" t="n"/>
      <c r="Y17" s="107">
        <f>X17*100/$E$17</f>
        <v/>
      </c>
      <c r="Z17" s="108" t="n"/>
      <c r="AA17" s="107">
        <f>Z17*100/$E$17</f>
        <v/>
      </c>
      <c r="AB17" s="108" t="n"/>
      <c r="AC17" s="107">
        <f>AB17*100/$E$17</f>
        <v/>
      </c>
      <c r="AD17" s="108" t="n"/>
      <c r="AE17" s="122">
        <f>AD17*100/$E$17</f>
        <v/>
      </c>
      <c r="AF17" s="108" t="n"/>
      <c r="AG17" s="122">
        <f>AF17*100/$E$17</f>
        <v/>
      </c>
      <c r="AH17" s="108" t="n"/>
      <c r="AI17" s="107">
        <f>AH17*100/$E$17</f>
        <v/>
      </c>
      <c r="AJ17" s="108" t="n"/>
      <c r="AK17" s="107">
        <f>AJ17*100/$E$17</f>
        <v/>
      </c>
      <c r="AL17" s="108" t="n"/>
      <c r="AM17" s="107">
        <f>AL17*100/$E$17</f>
        <v/>
      </c>
      <c r="AN17" s="108" t="n"/>
      <c r="AO17" s="107">
        <f>AN17*100/$E$17</f>
        <v/>
      </c>
      <c r="AP17" s="108" t="n"/>
      <c r="AQ17" s="107">
        <f>AP17*100/$E$17</f>
        <v/>
      </c>
      <c r="AR17" s="108" t="n"/>
      <c r="AS17" s="107">
        <f>AR17*100/$E$17</f>
        <v/>
      </c>
      <c r="AT17" s="108" t="n"/>
      <c r="AU17" s="90">
        <f>AT17*100/$E$17</f>
        <v/>
      </c>
      <c r="AV17" s="108" t="n"/>
      <c r="AW17" s="107">
        <f>AV17*100/$E$17</f>
        <v/>
      </c>
      <c r="AX17" s="108" t="n"/>
      <c r="AY17" s="107">
        <f>AX17*100/$E$17</f>
        <v/>
      </c>
      <c r="AZ17" s="108" t="n"/>
      <c r="BA17" s="107">
        <f>AZ17*100/$E$17</f>
        <v/>
      </c>
      <c r="BB17" s="108" t="n"/>
      <c r="BC17" s="107">
        <f>BB17*100/$E$17</f>
        <v/>
      </c>
      <c r="BD17" s="108" t="n"/>
      <c r="BE17" s="107">
        <f>BD17*100/$E$17</f>
        <v/>
      </c>
      <c r="BF17" s="108" t="n"/>
      <c r="BG17" s="107">
        <f>BF17*100/$E$17</f>
        <v/>
      </c>
      <c r="BH17" s="108" t="n"/>
      <c r="BI17" s="107">
        <f>BH17*100/$E$17</f>
        <v/>
      </c>
      <c r="BJ17" s="108" t="n"/>
      <c r="BK17" s="107">
        <f>BJ17*100/$E$17</f>
        <v/>
      </c>
      <c r="BL17" s="108" t="n"/>
      <c r="BM17" s="107">
        <f>BL17*100/$E$17</f>
        <v/>
      </c>
      <c r="BN17" s="108" t="n"/>
      <c r="BO17" s="107">
        <f>BN17*100/$E$17</f>
        <v/>
      </c>
      <c r="BP17" s="108" t="n"/>
      <c r="BQ17" s="107">
        <f>BP17*100/$E$17</f>
        <v/>
      </c>
      <c r="BR17" s="108" t="n"/>
      <c r="BS17" s="107">
        <f>BR17*100/$E$17</f>
        <v/>
      </c>
      <c r="BT17" s="108" t="n"/>
      <c r="BU17" s="107">
        <f>BT17*100/$E$17</f>
        <v/>
      </c>
      <c r="BV17" s="108" t="n"/>
      <c r="BW17" s="107">
        <f>BV17*100/$E$17</f>
        <v/>
      </c>
      <c r="BX17" s="108" t="n"/>
      <c r="BY17" s="107">
        <f>BX17*100/$E$17</f>
        <v/>
      </c>
      <c r="BZ17" s="108" t="n"/>
      <c r="CA17" s="107">
        <f>BZ17*100/$E$17</f>
        <v/>
      </c>
      <c r="CB17" s="108" t="n"/>
      <c r="CC17" s="107">
        <f>CB17*100/$E$17</f>
        <v/>
      </c>
      <c r="CD17" s="108" t="n"/>
      <c r="CE17" s="107">
        <f>CD17*100/$E$17</f>
        <v/>
      </c>
      <c r="CF17" s="108" t="n"/>
      <c r="CG17" s="107">
        <f>CF17*100/$E$17</f>
        <v/>
      </c>
      <c r="CH17" s="108" t="n"/>
      <c r="CI17" s="107">
        <f>CH17*100/$E$17</f>
        <v/>
      </c>
      <c r="CJ17" s="108" t="n"/>
      <c r="CK17" s="107">
        <f>CJ17*100/$E$17</f>
        <v/>
      </c>
      <c r="CL17" s="108" t="n"/>
      <c r="CM17" s="107">
        <f>CL17*100/$E$17</f>
        <v/>
      </c>
      <c r="CN17" s="108" t="n"/>
      <c r="CO17" s="122">
        <f>CN17*100/$E$17</f>
        <v/>
      </c>
      <c r="CP17" s="108" t="n"/>
      <c r="CQ17" s="107">
        <f>CP17*100/$E$17</f>
        <v/>
      </c>
      <c r="CR17" s="108" t="n"/>
      <c r="CS17" s="122">
        <f>CR17*100/$E$17</f>
        <v/>
      </c>
      <c r="CT17" s="108" t="n"/>
      <c r="CU17" s="122">
        <f>CT17*100/$E$17</f>
        <v/>
      </c>
      <c r="CV17" s="108" t="n"/>
      <c r="CW17" s="122">
        <f>CV17*100/$E$17</f>
        <v/>
      </c>
      <c r="CX17" s="108" t="n"/>
      <c r="CY17" s="122">
        <f>CX17*100/$E$17</f>
        <v/>
      </c>
      <c r="CZ17" s="108" t="n"/>
      <c r="DA17" s="122">
        <f>CZ17*100/$E$17</f>
        <v/>
      </c>
      <c r="DB17" s="108" t="n"/>
      <c r="DC17" s="122">
        <f>DB17*100/$E$17</f>
        <v/>
      </c>
      <c r="DD17" s="108" t="n"/>
      <c r="DE17" s="122">
        <f>DD17*100/$E$17</f>
        <v/>
      </c>
      <c r="DF17" s="108" t="n"/>
      <c r="DG17" s="122">
        <f>DF17*100/$E$17</f>
        <v/>
      </c>
      <c r="DH17" s="108" t="n"/>
      <c r="DI17" s="122">
        <f>DH17*100/$E$17</f>
        <v/>
      </c>
      <c r="DJ17" s="108" t="n"/>
      <c r="DK17" s="122">
        <f>DJ17*100/$E$17</f>
        <v/>
      </c>
      <c r="DL17" s="108" t="n"/>
      <c r="DM17" s="122">
        <f>DL17*100/$E$17</f>
        <v/>
      </c>
      <c r="DN17" s="108" t="n"/>
      <c r="DO17" s="122">
        <f>DN17*100/$E$17</f>
        <v/>
      </c>
      <c r="DP17" s="108" t="n"/>
      <c r="DQ17" s="122">
        <f>DP17*100/$E$17</f>
        <v/>
      </c>
      <c r="DR17" s="108" t="n"/>
      <c r="DS17" s="122">
        <f>DR17*100/$E$17</f>
        <v/>
      </c>
      <c r="DT17" s="108" t="n"/>
      <c r="DU17" s="122">
        <f>DT17*100/$E$17</f>
        <v/>
      </c>
      <c r="DV17" s="108" t="n"/>
      <c r="DW17" s="122">
        <f>DV17*100/$E$17</f>
        <v/>
      </c>
      <c r="DX17" s="108" t="n"/>
      <c r="DY17" s="122">
        <f>DX17*100/$E$17</f>
        <v/>
      </c>
      <c r="DZ17" s="108" t="n"/>
      <c r="EA17" s="122">
        <f>DZ17*100/$E$17</f>
        <v/>
      </c>
      <c r="EB17" s="108" t="n"/>
      <c r="EC17" s="122">
        <f>EB17*100/$E$17</f>
        <v/>
      </c>
      <c r="ED17" s="108" t="n"/>
      <c r="EE17" s="122">
        <f>ED17*100/$E$17</f>
        <v/>
      </c>
      <c r="EF17" s="108" t="n"/>
      <c r="EG17" s="122">
        <f>EF17*100/$E$17</f>
        <v/>
      </c>
      <c r="EH17" s="108" t="n"/>
      <c r="EI17" s="122">
        <f>EH17*100/$E$17</f>
        <v/>
      </c>
      <c r="EJ17" s="108" t="n"/>
      <c r="EK17" s="122">
        <f>EJ17*100/$E$17</f>
        <v/>
      </c>
      <c r="EL17" s="108" t="n"/>
      <c r="EM17" s="122">
        <f>EL17*100/$E$17</f>
        <v/>
      </c>
      <c r="EN17" s="108" t="n"/>
      <c r="EO17" s="122">
        <f>EN17*100/$E$17</f>
        <v/>
      </c>
      <c r="EP17" s="108" t="n"/>
      <c r="EQ17" s="122">
        <f>EP17*100/$E$17</f>
        <v/>
      </c>
      <c r="ER17" s="108" t="n"/>
      <c r="ES17" s="122">
        <f>ER17*100/$E$17</f>
        <v/>
      </c>
      <c r="ET17" s="108" t="n"/>
      <c r="EU17" s="122">
        <f>ET17*100/$E$17</f>
        <v/>
      </c>
      <c r="EV17" s="108" t="n"/>
      <c r="EW17" s="122">
        <f>EV17*100/$E$17</f>
        <v/>
      </c>
      <c r="EX17" s="108" t="n"/>
      <c r="EY17" s="122">
        <f>EX17*100/$E$17</f>
        <v/>
      </c>
      <c r="EZ17" s="108" t="n"/>
      <c r="FA17" s="122">
        <f>EZ17*100/$E$17</f>
        <v/>
      </c>
      <c r="FB17" s="108" t="n"/>
      <c r="FC17" s="122">
        <f>FB17*100/$E$17</f>
        <v/>
      </c>
      <c r="FD17" s="108" t="n"/>
      <c r="FE17" s="122">
        <f>FD17*100/$E$17</f>
        <v/>
      </c>
      <c r="FF17" s="108" t="n"/>
      <c r="FG17" s="122">
        <f>FF17*100/$E$17</f>
        <v/>
      </c>
      <c r="FH17" s="108" t="n"/>
      <c r="FI17" s="122">
        <f>FH17*100/$E$17</f>
        <v/>
      </c>
      <c r="FJ17" s="108" t="n"/>
      <c r="FK17" s="122">
        <f>FJ17*100/$E$17</f>
        <v/>
      </c>
      <c r="FL17" s="108" t="n"/>
      <c r="FM17" s="122">
        <f>FL17*100/$E$17</f>
        <v/>
      </c>
      <c r="FN17" s="108" t="n"/>
      <c r="FO17" s="122">
        <f>FN17*100/$E$17</f>
        <v/>
      </c>
      <c r="FP17" s="108" t="n"/>
      <c r="FQ17" s="122">
        <f>FP17*100/$E$17</f>
        <v/>
      </c>
      <c r="FR17" s="108" t="n"/>
      <c r="FS17" s="122">
        <f>FR17*100/$E$17</f>
        <v/>
      </c>
      <c r="FT17" s="108" t="n"/>
      <c r="FU17" s="122">
        <f>FT17*100/$E$17</f>
        <v/>
      </c>
      <c r="FV17" s="108" t="n"/>
      <c r="FW17" s="122">
        <f>FV17*100/$E$17</f>
        <v/>
      </c>
      <c r="FX17" s="108" t="n"/>
      <c r="FY17" s="107">
        <f>FX17*100/$E$17</f>
        <v/>
      </c>
      <c r="FZ17" s="108" t="n"/>
      <c r="GA17" s="107">
        <f>FZ17*100/$E$17</f>
        <v/>
      </c>
      <c r="GB17" s="108" t="n"/>
      <c r="GC17" s="107">
        <f>GB17*100/$E$17</f>
        <v/>
      </c>
      <c r="GD17" s="108" t="n"/>
      <c r="GE17" s="107">
        <f>GD17*100/$E$17</f>
        <v/>
      </c>
      <c r="GF17" s="108" t="n"/>
      <c r="GG17" s="107">
        <f>GF17*100/$E$17</f>
        <v/>
      </c>
      <c r="GH17" s="108" t="n"/>
      <c r="GI17" s="107">
        <f>GH17*100/$E$17</f>
        <v/>
      </c>
      <c r="GJ17" s="108" t="n"/>
      <c r="GK17" s="122">
        <f>GJ17*100/$E$17</f>
        <v/>
      </c>
      <c r="GL17" s="108" t="n"/>
      <c r="GM17" s="107">
        <f>GL17*100/$E$17</f>
        <v/>
      </c>
      <c r="GN17" s="108" t="n"/>
      <c r="GO17" s="122">
        <f>GN17*100/$E$17</f>
        <v/>
      </c>
      <c r="GP17" s="108" t="n"/>
      <c r="GQ17" s="107">
        <f>GP17*100/$E$17</f>
        <v/>
      </c>
      <c r="GR17" s="108" t="n"/>
      <c r="GS17" s="122">
        <f>GR17*100/$E$17</f>
        <v/>
      </c>
      <c r="GT17" s="108" t="n"/>
      <c r="GU17" s="122">
        <f>GT17*100/$E$17</f>
        <v/>
      </c>
      <c r="GV17" s="108" t="n"/>
      <c r="GW17" s="122">
        <f>GV17*100/$E$17</f>
        <v/>
      </c>
      <c r="GX17" s="108" t="n"/>
      <c r="GY17" s="107">
        <f>GX17*100/$E$17</f>
        <v/>
      </c>
      <c r="GZ17" s="108" t="n"/>
      <c r="HA17" s="107">
        <f>GZ17*100/$E$17</f>
        <v/>
      </c>
      <c r="HB17" s="108" t="n"/>
      <c r="HC17" s="107">
        <f>HB17*100/$E$17</f>
        <v/>
      </c>
      <c r="HD17" s="108" t="n"/>
      <c r="HE17" s="107">
        <f>HD17*100/$E$17</f>
        <v/>
      </c>
      <c r="HF17" s="108" t="n"/>
      <c r="HG17" s="107">
        <f>HF17*100/$E$17</f>
        <v/>
      </c>
      <c r="HH17" s="108" t="n"/>
      <c r="HI17" s="107">
        <f>HH17*100/$E$17</f>
        <v/>
      </c>
      <c r="HJ17" s="108" t="n"/>
      <c r="HK17" s="107">
        <f>HJ17*100/$E$17</f>
        <v/>
      </c>
      <c r="HL17" s="108" t="n"/>
      <c r="HM17" s="107">
        <f>HL17*100/$E$17</f>
        <v/>
      </c>
      <c r="HN17" s="108" t="n"/>
      <c r="HO17" s="107">
        <f>HN17*100/$E$17</f>
        <v/>
      </c>
      <c r="HP17" s="108" t="n"/>
      <c r="HQ17" s="107">
        <f>HP17*100/$E$17</f>
        <v/>
      </c>
      <c r="HR17" s="108" t="n"/>
      <c r="HS17" s="107">
        <f>HR17*100/$E$17</f>
        <v/>
      </c>
      <c r="HT17" s="108" t="n"/>
      <c r="HU17" s="107">
        <f>HT17*100/$E$17</f>
        <v/>
      </c>
      <c r="HV17" s="108" t="n"/>
      <c r="HW17" s="107">
        <f>HV17*100/$E$17</f>
        <v/>
      </c>
      <c r="HX17" s="108" t="n"/>
      <c r="HY17" s="107">
        <f>HX17*100/$E$17</f>
        <v/>
      </c>
      <c r="HZ17" s="108" t="n"/>
      <c r="IA17" s="122">
        <f>HZ17*100/$E$17</f>
        <v/>
      </c>
      <c r="IB17" s="108" t="n"/>
      <c r="IC17" s="122">
        <f>IB17*100/$E$17</f>
        <v/>
      </c>
      <c r="ID17" s="108" t="n"/>
      <c r="IE17" s="122">
        <f>ID17*100/$E$17</f>
        <v/>
      </c>
      <c r="IF17" s="108" t="n"/>
      <c r="IG17" s="122">
        <f>IF17*100/$E$17</f>
        <v/>
      </c>
      <c r="IH17" s="108" t="n"/>
      <c r="II17" s="122">
        <f>IH17*100/$E$17</f>
        <v/>
      </c>
      <c r="IJ17" s="108" t="n"/>
      <c r="IK17" s="122">
        <f>IJ17*100/$E$17</f>
        <v/>
      </c>
      <c r="IL17" s="108" t="n"/>
      <c r="IM17" s="107">
        <f>IL17*100/E17</f>
        <v/>
      </c>
      <c r="IN17" s="108" t="n"/>
      <c r="IO17" s="107">
        <f>IN17*100/$E$17</f>
        <v/>
      </c>
      <c r="IP17" s="108" t="n"/>
      <c r="IQ17" s="122">
        <f>IP17*100/$E$17</f>
        <v/>
      </c>
      <c r="IR17" s="108" t="n"/>
      <c r="IS17" s="122">
        <f>IR17*100/$E$17</f>
        <v/>
      </c>
      <c r="IT17" s="108" t="n"/>
      <c r="IU17" s="122">
        <f>IT17*100/$E$17</f>
        <v/>
      </c>
      <c r="IV17" s="108" t="n"/>
      <c r="IW17" s="122">
        <f>IV17*100/$E$17</f>
        <v/>
      </c>
      <c r="IX17" s="108" t="n"/>
      <c r="IY17" s="122">
        <f>IX17*100/$E$17</f>
        <v/>
      </c>
      <c r="IZ17" s="108" t="n"/>
      <c r="JA17" s="122">
        <f>IZ17*100/$E$17</f>
        <v/>
      </c>
      <c r="JB17" s="108" t="n"/>
      <c r="JC17" s="122">
        <f>JB17*100/$E$17</f>
        <v/>
      </c>
      <c r="JD17" s="108" t="n"/>
      <c r="JE17" s="122">
        <f>JD17*100/$E$17</f>
        <v/>
      </c>
      <c r="JF17" s="108" t="n"/>
      <c r="JG17" s="122">
        <f>JF17*100/$E$17</f>
        <v/>
      </c>
      <c r="JH17" s="108" t="n"/>
      <c r="JI17" s="122">
        <f>JH17*100/$E$17</f>
        <v/>
      </c>
      <c r="JJ17" s="108" t="n"/>
      <c r="JK17" s="122">
        <f>JJ17*100/$E$17</f>
        <v/>
      </c>
      <c r="JL17" s="108" t="n"/>
      <c r="JM17" s="122">
        <f>JL17*100/$E$17</f>
        <v/>
      </c>
      <c r="JN17" s="108" t="n"/>
      <c r="JO17" s="121">
        <f>JN17*100/$E$17</f>
        <v/>
      </c>
      <c r="JP17" s="108" t="n"/>
      <c r="JQ17" s="121">
        <f>JP17*100/$E$17</f>
        <v/>
      </c>
      <c r="JR17" s="108" t="n"/>
      <c r="JS17" s="121">
        <f>JR17*100/$E$17</f>
        <v/>
      </c>
      <c r="JT17" s="108" t="n"/>
      <c r="JU17" s="121">
        <f>JT17*100/$E$17</f>
        <v/>
      </c>
      <c r="JV17" s="108" t="n"/>
      <c r="JW17" s="121">
        <f>JV17*100/$E$17</f>
        <v/>
      </c>
      <c r="JX17" s="108" t="n"/>
      <c r="JY17" s="121">
        <f>JX17*100/$E$17</f>
        <v/>
      </c>
      <c r="JZ17" s="55">
        <f>JN17+JP17+JR17+JT17+JV17+JX17</f>
        <v/>
      </c>
      <c r="KA17" s="53">
        <f>JO17+JQ17+JS17+JU17+JW17+JY17</f>
        <v/>
      </c>
      <c r="KB17" s="64">
        <f>H17+J17+L17+N17+P17+R17+T17+V17+X17+Z17+AB17+AD17+AF17+AH17+AJ17+AL17+AN17+AP17+AR17+AT17+AV17+AX17+AZ17+BB17+BD17+BF17+BH17+BJ17+BL17+BN17+BP17+BR17+BT17+BV17+BX17+BZ17+CB17+CD17+CF17+CH17+CZ17+DB17+DD17+DF17+DH17+DJ17+DL17+DN17+DP17+DR17+DT17+DV17+DX17+DZ17+EB17+ED17+EF17+EH17+EJ17+EL17+EN17+EP17+ER17+ET17+EV17+FN17+FP17+FR17+FT17+FV17+FX17+FZ17+GB17+GD17+GF17+GH17+GJ17+GL17+GN17+GP17+GR17+GT17+GV17+GX17+GZ17+HB17+HD17+HF17+HH17+HJ17+HL17+HN17+HP17+HR17+HT17+HV17+HX17+HZ17+IB17+ID17+IF17+IH17+IJ17+IL17+IN17+IP17+IR17+IT17+IV17+IX17+IZ17+JB17+JD17+JF17+JH17+JJ17+JL17+JZ17+CJ17+CL17+CN17+CP17+CR17+CT17+CV17+CX17+EX17+EZ17+FB17+FD17+FF17+FH17+FJ17+FL17</f>
        <v/>
      </c>
      <c r="KC17" s="66">
        <f>I17+K17+M17+O17+Q17+S17+U17+W17+Y17+AA17+AC17+AE17+AG17+AI17+AK17+AM17+AO17+AQ17+AS17+AU17+AW17+AY17+BA17+BC17+BE17+BG17+BI17+BK17+BM17+BO17+BQ17+BS17+BU17+BW17+BY17+CA17+CC17+CE17+CG17+CI17+DA17+DC17+DE17+DG17+DI17+DK17+DM17+DO17+DQ17+DS17+DU17+DW17+DY17+EA17+EC17+EE17+EG17+EI17+EK17+EM17+EO17+EQ17+ES17+EU17+EW17+FO17+FS17+FU17+FW17+FQ17+FY17+GA17+GC17+GE17+GG17+GI17+GK17+GM17+GO17+GQ17+GS17+GU17+GW17+GY17+HA17+HC17+HE17+HG17+HI17+HK17+HM17+HO17+HQ17+HS17+HU17+HW17+HY17+IA17+IC17+IE17+IG17+II17+IK17+IM17+IO17+IQ17+IS17+IU17+IW17+IY17+JA17+JC17+JE17+JG17+JI17+JK17+JM17+KA17+CK17+CM17+CO17+CQ17+CS17+CU17+CW17+CY17+EY17+FA17+FC17+FE17+FG17+FI17+FK17+FM17</f>
        <v/>
      </c>
      <c r="KD17" s="44">
        <f>JO17+JQ17+JS17+JU17+JW17+JY17</f>
        <v/>
      </c>
      <c r="KE17" s="45">
        <f>KB17=E17</f>
        <v/>
      </c>
      <c r="KF17" s="101">
        <f>E17-KB17</f>
        <v/>
      </c>
      <c r="KG17" s="15" t="n"/>
    </row>
    <row r="18" ht="21.75" customFormat="1" customHeight="1" s="15">
      <c r="A18" s="126">
        <f>A17+1</f>
        <v/>
      </c>
      <c r="B18" s="175" t="inlineStr">
        <is>
          <t>Гулиев Б.Н</t>
        </is>
      </c>
      <c r="C18" s="176" t="inlineStr">
        <is>
          <t>сварщик</t>
        </is>
      </c>
      <c r="D18" s="177">
        <f>$D$5</f>
        <v/>
      </c>
      <c r="E18" s="202" t="n"/>
      <c r="F18" s="190" t="n">
        <v>61252.7</v>
      </c>
      <c r="G18" s="52">
        <f>F18/D18</f>
        <v/>
      </c>
      <c r="H18" s="125" t="n"/>
      <c r="I18" s="107">
        <f>H18*100/$E$18</f>
        <v/>
      </c>
      <c r="J18" s="108" t="n"/>
      <c r="K18" s="107">
        <f>J18*100/$E$18</f>
        <v/>
      </c>
      <c r="L18" s="108" t="n"/>
      <c r="M18" s="107">
        <f>L18*100/$E$18</f>
        <v/>
      </c>
      <c r="N18" s="108" t="n"/>
      <c r="O18" s="107">
        <f>N18*100/$E$18</f>
        <v/>
      </c>
      <c r="P18" s="108" t="n"/>
      <c r="Q18" s="122">
        <f>P18*100/$E$18</f>
        <v/>
      </c>
      <c r="R18" s="108" t="n"/>
      <c r="S18" s="122">
        <f>R18*100/$E$18</f>
        <v/>
      </c>
      <c r="T18" s="108" t="n"/>
      <c r="U18" s="107">
        <f>T18*100/$E$18</f>
        <v/>
      </c>
      <c r="V18" s="108" t="n"/>
      <c r="W18" s="107">
        <f>V18*100/$E$18</f>
        <v/>
      </c>
      <c r="X18" s="108" t="n"/>
      <c r="Y18" s="107">
        <f>X18*100/$E$18</f>
        <v/>
      </c>
      <c r="Z18" s="108" t="n"/>
      <c r="AA18" s="107">
        <f>Z18*100/$E$18</f>
        <v/>
      </c>
      <c r="AB18" s="108" t="n"/>
      <c r="AC18" s="107">
        <f>AB18*100/$E$18</f>
        <v/>
      </c>
      <c r="AD18" s="108" t="n"/>
      <c r="AE18" s="122">
        <f>AD18*100/$E$18</f>
        <v/>
      </c>
      <c r="AF18" s="108" t="n"/>
      <c r="AG18" s="122">
        <f>AF18*100/$E$18</f>
        <v/>
      </c>
      <c r="AH18" s="108" t="n"/>
      <c r="AI18" s="107">
        <f>AH18*100/$E$18</f>
        <v/>
      </c>
      <c r="AJ18" s="108" t="n"/>
      <c r="AK18" s="107">
        <f>AJ18*100/$E$18</f>
        <v/>
      </c>
      <c r="AL18" s="108" t="n"/>
      <c r="AM18" s="107">
        <f>AL18*100/$E$18</f>
        <v/>
      </c>
      <c r="AN18" s="108" t="n"/>
      <c r="AO18" s="107">
        <f>AN18*100/$E$18</f>
        <v/>
      </c>
      <c r="AP18" s="108" t="n"/>
      <c r="AQ18" s="107">
        <f>AP18*100/$E$18</f>
        <v/>
      </c>
      <c r="AR18" s="108" t="n"/>
      <c r="AS18" s="107">
        <f>AR18*100/$E$18</f>
        <v/>
      </c>
      <c r="AT18" s="108" t="n"/>
      <c r="AU18" s="90">
        <f>AT18*100/$E$18</f>
        <v/>
      </c>
      <c r="AV18" s="108" t="n"/>
      <c r="AW18" s="107">
        <f>AV18*100/$E$18</f>
        <v/>
      </c>
      <c r="AX18" s="108" t="n"/>
      <c r="AY18" s="107">
        <f>AX18*100/$E$18</f>
        <v/>
      </c>
      <c r="AZ18" s="108" t="n"/>
      <c r="BA18" s="107">
        <f>AZ18*100/$E$18</f>
        <v/>
      </c>
      <c r="BB18" s="108" t="n"/>
      <c r="BC18" s="107">
        <f>BB18*100/$E$18</f>
        <v/>
      </c>
      <c r="BD18" s="108" t="n"/>
      <c r="BE18" s="107">
        <f>BD18*100/$E$18</f>
        <v/>
      </c>
      <c r="BF18" s="108" t="n"/>
      <c r="BG18" s="107">
        <f>BF18*100/$E$18</f>
        <v/>
      </c>
      <c r="BH18" s="108" t="n"/>
      <c r="BI18" s="107">
        <f>BH18*100/$E$18</f>
        <v/>
      </c>
      <c r="BJ18" s="108" t="n"/>
      <c r="BK18" s="107">
        <f>BJ18*100/$E$18</f>
        <v/>
      </c>
      <c r="BL18" s="108" t="n"/>
      <c r="BM18" s="107">
        <f>BL18*100/$E$18</f>
        <v/>
      </c>
      <c r="BN18" s="108" t="n"/>
      <c r="BO18" s="107">
        <f>BN18*100/$E$18</f>
        <v/>
      </c>
      <c r="BP18" s="108" t="n"/>
      <c r="BQ18" s="107">
        <f>BP18*100/$E$18</f>
        <v/>
      </c>
      <c r="BR18" s="108" t="n"/>
      <c r="BS18" s="107">
        <f>BR18*100/$E$18</f>
        <v/>
      </c>
      <c r="BT18" s="108" t="n"/>
      <c r="BU18" s="107">
        <f>BT18*100/$E$18</f>
        <v/>
      </c>
      <c r="BV18" s="108" t="n"/>
      <c r="BW18" s="107">
        <f>BV18*100/$E$18</f>
        <v/>
      </c>
      <c r="BX18" s="108" t="n"/>
      <c r="BY18" s="107">
        <f>BX18*100/$E$18</f>
        <v/>
      </c>
      <c r="BZ18" s="108" t="n"/>
      <c r="CA18" s="107">
        <f>BZ18*100/$E$18</f>
        <v/>
      </c>
      <c r="CB18" s="108" t="n"/>
      <c r="CC18" s="107">
        <f>CB18*100/$E$18</f>
        <v/>
      </c>
      <c r="CD18" s="108" t="n"/>
      <c r="CE18" s="107">
        <f>CD18*100/$E$18</f>
        <v/>
      </c>
      <c r="CF18" s="108" t="n"/>
      <c r="CG18" s="107">
        <f>CF18*100/$E$18</f>
        <v/>
      </c>
      <c r="CH18" s="108" t="n"/>
      <c r="CI18" s="107">
        <f>CH18*100/$E$18</f>
        <v/>
      </c>
      <c r="CJ18" s="108" t="n"/>
      <c r="CK18" s="107">
        <f>CJ18*100/$E$18</f>
        <v/>
      </c>
      <c r="CL18" s="108" t="n"/>
      <c r="CM18" s="107">
        <f>CL18*100/$E$18</f>
        <v/>
      </c>
      <c r="CN18" s="108" t="n"/>
      <c r="CO18" s="122">
        <f>CN18*100/$E$18</f>
        <v/>
      </c>
      <c r="CP18" s="108" t="n"/>
      <c r="CQ18" s="107">
        <f>CP18*100/$E$18</f>
        <v/>
      </c>
      <c r="CR18" s="108" t="n"/>
      <c r="CS18" s="122">
        <f>CR18*100/$E$18</f>
        <v/>
      </c>
      <c r="CT18" s="108" t="n"/>
      <c r="CU18" s="122">
        <f>CT18*100/$E$18</f>
        <v/>
      </c>
      <c r="CV18" s="108" t="n"/>
      <c r="CW18" s="122">
        <f>CV18*100/$E$18</f>
        <v/>
      </c>
      <c r="CX18" s="108" t="n"/>
      <c r="CY18" s="122">
        <f>CX18*100/$E$18</f>
        <v/>
      </c>
      <c r="CZ18" s="108" t="n"/>
      <c r="DA18" s="122">
        <f>CZ18*100/$E$18</f>
        <v/>
      </c>
      <c r="DB18" s="108" t="n"/>
      <c r="DC18" s="122">
        <f>DB18*100/$E$18</f>
        <v/>
      </c>
      <c r="DD18" s="108" t="n"/>
      <c r="DE18" s="122">
        <f>DD18*100/$E$18</f>
        <v/>
      </c>
      <c r="DF18" s="108" t="n"/>
      <c r="DG18" s="122">
        <f>DF18*100/$E$18</f>
        <v/>
      </c>
      <c r="DH18" s="108" t="n"/>
      <c r="DI18" s="122">
        <f>DH18*100/$E$18</f>
        <v/>
      </c>
      <c r="DJ18" s="108" t="n"/>
      <c r="DK18" s="122">
        <f>DJ18*100/$E$18</f>
        <v/>
      </c>
      <c r="DL18" s="108" t="n"/>
      <c r="DM18" s="122">
        <f>DL18*100/$E$18</f>
        <v/>
      </c>
      <c r="DN18" s="108" t="n"/>
      <c r="DO18" s="122">
        <f>DN18*100/$E$18</f>
        <v/>
      </c>
      <c r="DP18" s="108" t="n"/>
      <c r="DQ18" s="122">
        <f>DP18*100/$E$18</f>
        <v/>
      </c>
      <c r="DR18" s="108" t="n"/>
      <c r="DS18" s="122">
        <f>DR18*100/$E$18</f>
        <v/>
      </c>
      <c r="DT18" s="108" t="n"/>
      <c r="DU18" s="122">
        <f>DT18*100/$E$18</f>
        <v/>
      </c>
      <c r="DV18" s="108" t="n"/>
      <c r="DW18" s="122">
        <f>DV18*100/$E$18</f>
        <v/>
      </c>
      <c r="DX18" s="108" t="n"/>
      <c r="DY18" s="122">
        <f>DX18*100/$E$18</f>
        <v/>
      </c>
      <c r="DZ18" s="108" t="n"/>
      <c r="EA18" s="122">
        <f>DZ18*100/$E$18</f>
        <v/>
      </c>
      <c r="EB18" s="108" t="n"/>
      <c r="EC18" s="122">
        <f>EB18*100/$E$18</f>
        <v/>
      </c>
      <c r="ED18" s="108" t="n"/>
      <c r="EE18" s="122">
        <f>ED18*100/$E$18</f>
        <v/>
      </c>
      <c r="EF18" s="108" t="n"/>
      <c r="EG18" s="122">
        <f>EF18*100/$E$18</f>
        <v/>
      </c>
      <c r="EH18" s="108" t="n"/>
      <c r="EI18" s="122">
        <f>EH18*100/$E$18</f>
        <v/>
      </c>
      <c r="EJ18" s="108" t="n"/>
      <c r="EK18" s="122">
        <f>EJ18*100/$E$18</f>
        <v/>
      </c>
      <c r="EL18" s="108" t="n"/>
      <c r="EM18" s="122">
        <f>EL18*100/$E$18</f>
        <v/>
      </c>
      <c r="EN18" s="108" t="n"/>
      <c r="EO18" s="122">
        <f>EN18*100/$E$18</f>
        <v/>
      </c>
      <c r="EP18" s="108" t="n"/>
      <c r="EQ18" s="122">
        <f>EP18*100/$E$18</f>
        <v/>
      </c>
      <c r="ER18" s="108" t="n"/>
      <c r="ES18" s="122">
        <f>ER18*100/$E$18</f>
        <v/>
      </c>
      <c r="ET18" s="108" t="n"/>
      <c r="EU18" s="122">
        <f>ET18*100/$E$18</f>
        <v/>
      </c>
      <c r="EV18" s="108" t="n"/>
      <c r="EW18" s="122">
        <f>EV18*100/$E$18</f>
        <v/>
      </c>
      <c r="EX18" s="108" t="n"/>
      <c r="EY18" s="122">
        <f>EX18*100/$E$18</f>
        <v/>
      </c>
      <c r="EZ18" s="108" t="n"/>
      <c r="FA18" s="122">
        <f>EZ18*100/$E$18</f>
        <v/>
      </c>
      <c r="FB18" s="108" t="n"/>
      <c r="FC18" s="122">
        <f>FB18*100/$E$18</f>
        <v/>
      </c>
      <c r="FD18" s="108" t="n"/>
      <c r="FE18" s="122">
        <f>FD18*100/$E$18</f>
        <v/>
      </c>
      <c r="FF18" s="108" t="n"/>
      <c r="FG18" s="122">
        <f>FF18*100/$E$18</f>
        <v/>
      </c>
      <c r="FH18" s="108" t="n"/>
      <c r="FI18" s="122">
        <f>FH18*100/$E$18</f>
        <v/>
      </c>
      <c r="FJ18" s="108" t="n"/>
      <c r="FK18" s="122">
        <f>FJ18*100/$E$18</f>
        <v/>
      </c>
      <c r="FL18" s="108" t="n"/>
      <c r="FM18" s="122">
        <f>FL18*100/$E$18</f>
        <v/>
      </c>
      <c r="FN18" s="108" t="n"/>
      <c r="FO18" s="122">
        <f>FN18*100/$E$18</f>
        <v/>
      </c>
      <c r="FP18" s="108" t="n"/>
      <c r="FQ18" s="122">
        <f>FP18*100/$E$18</f>
        <v/>
      </c>
      <c r="FR18" s="108" t="n"/>
      <c r="FS18" s="122">
        <f>FR18*100/$E$18</f>
        <v/>
      </c>
      <c r="FT18" s="108" t="n"/>
      <c r="FU18" s="122">
        <f>FT18*100/$E$18</f>
        <v/>
      </c>
      <c r="FV18" s="108" t="n"/>
      <c r="FW18" s="122">
        <f>FV18*100/$E$18</f>
        <v/>
      </c>
      <c r="FX18" s="108" t="n"/>
      <c r="FY18" s="107">
        <f>FX18*100/$E$18</f>
        <v/>
      </c>
      <c r="FZ18" s="108" t="n"/>
      <c r="GA18" s="107">
        <f>FZ18*100/$E$18</f>
        <v/>
      </c>
      <c r="GB18" s="108" t="n"/>
      <c r="GC18" s="107">
        <f>GB18*100/$E$18</f>
        <v/>
      </c>
      <c r="GD18" s="108" t="n"/>
      <c r="GE18" s="107">
        <f>GD18*100/$E$18</f>
        <v/>
      </c>
      <c r="GF18" s="108" t="n"/>
      <c r="GG18" s="107">
        <f>GF18*100/$E$18</f>
        <v/>
      </c>
      <c r="GH18" s="108" t="n"/>
      <c r="GI18" s="107">
        <f>GH18*100/$E$18</f>
        <v/>
      </c>
      <c r="GJ18" s="108" t="n"/>
      <c r="GK18" s="122">
        <f>GJ18*100/$E$18</f>
        <v/>
      </c>
      <c r="GL18" s="108" t="n"/>
      <c r="GM18" s="107">
        <f>GL18*100/$E$18</f>
        <v/>
      </c>
      <c r="GN18" s="108" t="n"/>
      <c r="GO18" s="122">
        <f>GN18*100/$E$18</f>
        <v/>
      </c>
      <c r="GP18" s="108" t="n"/>
      <c r="GQ18" s="107">
        <f>GP18*100/$E$18</f>
        <v/>
      </c>
      <c r="GR18" s="108" t="n"/>
      <c r="GS18" s="122">
        <f>GR18*100/$E$18</f>
        <v/>
      </c>
      <c r="GT18" s="108" t="n"/>
      <c r="GU18" s="122">
        <f>GT18*100/$E$18</f>
        <v/>
      </c>
      <c r="GV18" s="108" t="n"/>
      <c r="GW18" s="122">
        <f>GV18*100/$E$18</f>
        <v/>
      </c>
      <c r="GX18" s="108" t="n"/>
      <c r="GY18" s="107">
        <f>GX18*100/$E$18</f>
        <v/>
      </c>
      <c r="GZ18" s="108" t="n"/>
      <c r="HA18" s="107">
        <f>GZ18*100/$E$18</f>
        <v/>
      </c>
      <c r="HB18" s="108" t="n"/>
      <c r="HC18" s="107">
        <f>HB18*100/$E$18</f>
        <v/>
      </c>
      <c r="HD18" s="108" t="n"/>
      <c r="HE18" s="107">
        <f>HD18*100/$E$18</f>
        <v/>
      </c>
      <c r="HF18" s="108" t="n"/>
      <c r="HG18" s="107">
        <f>HF18*100/$E$18</f>
        <v/>
      </c>
      <c r="HH18" s="108" t="n"/>
      <c r="HI18" s="107">
        <f>HH18*100/$E$18</f>
        <v/>
      </c>
      <c r="HJ18" s="108" t="n"/>
      <c r="HK18" s="107">
        <f>HJ18*100/$E$18</f>
        <v/>
      </c>
      <c r="HL18" s="108" t="n"/>
      <c r="HM18" s="107">
        <f>HL18*100/$E$18</f>
        <v/>
      </c>
      <c r="HN18" s="108" t="n"/>
      <c r="HO18" s="107">
        <f>HN18*100/$E$18</f>
        <v/>
      </c>
      <c r="HP18" s="108" t="n"/>
      <c r="HQ18" s="107">
        <f>HP18*100/$E$18</f>
        <v/>
      </c>
      <c r="HR18" s="108" t="n"/>
      <c r="HS18" s="107">
        <f>HR18*100/$E$18</f>
        <v/>
      </c>
      <c r="HT18" s="108" t="n"/>
      <c r="HU18" s="107">
        <f>HT18*100/$E$18</f>
        <v/>
      </c>
      <c r="HV18" s="108" t="n"/>
      <c r="HW18" s="107">
        <f>HV18*100/$E$18</f>
        <v/>
      </c>
      <c r="HX18" s="108" t="n"/>
      <c r="HY18" s="107">
        <f>HX18*100/$E$18</f>
        <v/>
      </c>
      <c r="HZ18" s="108" t="n"/>
      <c r="IA18" s="122">
        <f>HZ18*100/$E$18</f>
        <v/>
      </c>
      <c r="IB18" s="108" t="n"/>
      <c r="IC18" s="122">
        <f>IB18*100/$E$18</f>
        <v/>
      </c>
      <c r="ID18" s="108" t="n"/>
      <c r="IE18" s="122">
        <f>ID18*100/$E$18</f>
        <v/>
      </c>
      <c r="IF18" s="108" t="n"/>
      <c r="IG18" s="122">
        <f>IF18*100/$E$18</f>
        <v/>
      </c>
      <c r="IH18" s="108" t="n"/>
      <c r="II18" s="122">
        <f>IH18*100/$E$18</f>
        <v/>
      </c>
      <c r="IJ18" s="108" t="n"/>
      <c r="IK18" s="122">
        <f>IJ18*100/$E$18</f>
        <v/>
      </c>
      <c r="IL18" s="108" t="n"/>
      <c r="IM18" s="107">
        <f>IL18*100/E18</f>
        <v/>
      </c>
      <c r="IN18" s="108" t="n"/>
      <c r="IO18" s="107">
        <f>IN18*100/$E$18</f>
        <v/>
      </c>
      <c r="IP18" s="108" t="n"/>
      <c r="IQ18" s="122">
        <f>IP18*100/$E$18</f>
        <v/>
      </c>
      <c r="IR18" s="108" t="n"/>
      <c r="IS18" s="122">
        <f>IR18*100/$E$18</f>
        <v/>
      </c>
      <c r="IT18" s="108" t="n"/>
      <c r="IU18" s="122">
        <f>IT18*100/$E$18</f>
        <v/>
      </c>
      <c r="IV18" s="108" t="n"/>
      <c r="IW18" s="122">
        <f>IV18*100/$E$18</f>
        <v/>
      </c>
      <c r="IX18" s="108" t="n"/>
      <c r="IY18" s="122">
        <f>IX18*100/$E$18</f>
        <v/>
      </c>
      <c r="IZ18" s="108" t="n"/>
      <c r="JA18" s="122">
        <f>IZ18*100/$E$18</f>
        <v/>
      </c>
      <c r="JB18" s="108" t="n"/>
      <c r="JC18" s="122">
        <f>JB18*100/$E$18</f>
        <v/>
      </c>
      <c r="JD18" s="108" t="n"/>
      <c r="JE18" s="122">
        <f>JD18*100/$E$18</f>
        <v/>
      </c>
      <c r="JF18" s="108" t="n"/>
      <c r="JG18" s="122">
        <f>JF18*100/$E$18</f>
        <v/>
      </c>
      <c r="JH18" s="108" t="n"/>
      <c r="JI18" s="122">
        <f>JH18*100/$E$18</f>
        <v/>
      </c>
      <c r="JJ18" s="108" t="n"/>
      <c r="JK18" s="122">
        <f>JJ18*100/$E$18</f>
        <v/>
      </c>
      <c r="JL18" s="108" t="n"/>
      <c r="JM18" s="122">
        <f>JL18*100/$E$18</f>
        <v/>
      </c>
      <c r="JN18" s="108" t="n"/>
      <c r="JO18" s="122">
        <f>JN18*100/$E$18</f>
        <v/>
      </c>
      <c r="JP18" s="108" t="n"/>
      <c r="JQ18" s="122">
        <f>JP18*100/$E$18</f>
        <v/>
      </c>
      <c r="JR18" s="108" t="n"/>
      <c r="JS18" s="122">
        <f>JR18*100/$E$18</f>
        <v/>
      </c>
      <c r="JT18" s="108" t="n"/>
      <c r="JU18" s="122">
        <f>JT18*100/$E$18</f>
        <v/>
      </c>
      <c r="JV18" s="108" t="n"/>
      <c r="JW18" s="122">
        <f>JV18*100/$E$18</f>
        <v/>
      </c>
      <c r="JX18" s="108" t="n"/>
      <c r="JY18" s="122">
        <f>JX18*100/$E$18</f>
        <v/>
      </c>
      <c r="JZ18" s="55">
        <f>JN18+JP18+JR18+JT18+JV18+JX18</f>
        <v/>
      </c>
      <c r="KA18" s="53">
        <f>JO18+JQ18+JS18+JU18+JW18+JY18</f>
        <v/>
      </c>
      <c r="KB18" s="64">
        <f>H18+J18+L18+N18+P18+R18+T18+V18+X18+Z18+AB18+AD18+AF18+AH18+AJ18+AL18+AN18+AP18+AR18+AT18+AV18+AX18+AZ18+BB18+BD18+BF18+BH18+BJ18+BL18+BN18+BP18+BR18+BT18+BV18+BX18+BZ18+CB18+CD18+CF18+CH18+CZ18+DB18+DD18+DF18+DH18+DJ18+DL18+DN18+DP18+DR18+DT18+DV18+DX18+DZ18+EB18+ED18+EF18+EH18+EJ18+EL18+EN18+EP18+ER18+ET18+EV18+FN18+FP18+FR18+FT18+FV18+FX18+FZ18+GB18+GD18+GF18+GH18+GJ18+GL18+GN18+GP18+GR18+GT18+GV18+GX18+GZ18+HB18+HD18+HF18+HH18+HJ18+HL18+HN18+HP18+HR18+HT18+HV18+HX18+HZ18+IB18+ID18+IF18+IH18+IJ18+IL18+IN18+IP18+IR18+IT18+IV18+IX18+IZ18+JB18+JD18+JF18+JH18+JJ18+JL18+JZ18+CJ18+CL18+CN18+CP18+CR18+CT18+CV18+CX18+EX18+EZ18+FB18+FD18+FF18+FH18+FJ18+FL18</f>
        <v/>
      </c>
      <c r="KC18" s="66">
        <f>I18+K18+M18+O18+Q18+S18+U18+W18+Y18+AA18+AC18+AE18+AG18+AI18+AK18+AM18+AO18+AQ18+AS18+AU18+AW18+AY18+BA18+BC18+BE18+BG18+BI18+BK18+BM18+BO18+BQ18+BS18+BU18+BW18+BY18+CA18+CC18+CE18+CG18+CI18+DA18+DC18+DE18+DG18+DI18+DK18+DM18+DO18+DQ18+DS18+DU18+DW18+DY18+EA18+EC18+EE18+EG18+EI18+EK18+EM18+EO18+EQ18+ES18+EU18+EW18+FO18+FS18+FU18+FW18+FQ18+FY18+GA18+GC18+GE18+GG18+GI18+GK18+GM18+GO18+GQ18+GS18+GU18+GW18+GY18+HA18+HC18+HE18+HG18+HI18+HK18+HM18+HO18+HQ18+HS18+HU18+HW18+HY18+IA18+IC18+IE18+IG18+II18+IK18+IM18+IO18+IQ18+IS18+IU18+IW18+IY18+JA18+JC18+JE18+JG18+JI18+JK18+JM18+KA18+CK18+CM18+CO18+CQ18+CS18+CU18+CW18+CY18+EY18+FA18+FC18+FE18+FG18+FI18+FK18+FM18</f>
        <v/>
      </c>
      <c r="KD18" s="44">
        <f>JO18+JQ18+JS18+JU18+JW18+JY18</f>
        <v/>
      </c>
      <c r="KE18" s="45">
        <f>KB18=E18</f>
        <v/>
      </c>
      <c r="KF18" s="101">
        <f>E18-KB18</f>
        <v/>
      </c>
      <c r="KG18" s="14" t="n"/>
    </row>
    <row r="19" ht="21.75" customFormat="1" customHeight="1" s="16">
      <c r="A19" s="126">
        <f>A18+1</f>
        <v/>
      </c>
      <c r="B19" s="175" t="inlineStr">
        <is>
          <t>Демин С.С.</t>
        </is>
      </c>
      <c r="C19" s="176" t="inlineStr">
        <is>
          <t>слесарь МСР</t>
        </is>
      </c>
      <c r="D19" s="177">
        <f>$D$5</f>
        <v/>
      </c>
      <c r="E19" s="202" t="n"/>
      <c r="F19" s="190" t="n">
        <v>61252.7</v>
      </c>
      <c r="G19" s="52">
        <f>F19/D19</f>
        <v/>
      </c>
      <c r="H19" s="125" t="n"/>
      <c r="I19" s="107">
        <f>H19*100/$E$19</f>
        <v/>
      </c>
      <c r="J19" s="108" t="n"/>
      <c r="K19" s="107">
        <f>J19*100/$E$19</f>
        <v/>
      </c>
      <c r="L19" s="108" t="n"/>
      <c r="M19" s="107">
        <f>L19*100/$E$19</f>
        <v/>
      </c>
      <c r="N19" s="108" t="n"/>
      <c r="O19" s="107">
        <f>N19*100/$E$19</f>
        <v/>
      </c>
      <c r="P19" s="108" t="n"/>
      <c r="Q19" s="122">
        <f>P19*100/$E$19</f>
        <v/>
      </c>
      <c r="R19" s="108" t="n"/>
      <c r="S19" s="122">
        <f>R19*100/$E$19</f>
        <v/>
      </c>
      <c r="T19" s="108" t="n"/>
      <c r="U19" s="107">
        <f>T19*100/$E$19</f>
        <v/>
      </c>
      <c r="V19" s="108" t="n"/>
      <c r="W19" s="107">
        <f>V19*100/$E$19</f>
        <v/>
      </c>
      <c r="X19" s="108" t="n"/>
      <c r="Y19" s="107">
        <f>X19*100/$E$19</f>
        <v/>
      </c>
      <c r="Z19" s="108" t="n"/>
      <c r="AA19" s="107">
        <f>Z19*100/$E$19</f>
        <v/>
      </c>
      <c r="AB19" s="108" t="n"/>
      <c r="AC19" s="107">
        <f>AB19*100/$E$19</f>
        <v/>
      </c>
      <c r="AD19" s="108" t="n"/>
      <c r="AE19" s="122">
        <f>AD19*100/$E$19</f>
        <v/>
      </c>
      <c r="AF19" s="108" t="n"/>
      <c r="AG19" s="122">
        <f>AF19*100/$E$19</f>
        <v/>
      </c>
      <c r="AH19" s="108" t="n"/>
      <c r="AI19" s="107">
        <f>AH19*100/$E$19</f>
        <v/>
      </c>
      <c r="AJ19" s="108" t="n"/>
      <c r="AK19" s="107">
        <f>AJ19*100/$E$19</f>
        <v/>
      </c>
      <c r="AL19" s="108" t="n"/>
      <c r="AM19" s="122">
        <f>AL19*100/$E$19</f>
        <v/>
      </c>
      <c r="AN19" s="108" t="n"/>
      <c r="AO19" s="107">
        <f>AN19*100/$E$19</f>
        <v/>
      </c>
      <c r="AP19" s="108" t="n"/>
      <c r="AQ19" s="107">
        <f>AP19*100/$E$19</f>
        <v/>
      </c>
      <c r="AR19" s="108" t="n"/>
      <c r="AS19" s="107">
        <f>AR19*100/$E$19</f>
        <v/>
      </c>
      <c r="AT19" s="108" t="n"/>
      <c r="AU19" s="90">
        <f>AT19*100/$E$19</f>
        <v/>
      </c>
      <c r="AV19" s="108" t="n"/>
      <c r="AW19" s="107">
        <f>AV19*100/$E$19</f>
        <v/>
      </c>
      <c r="AX19" s="108" t="n"/>
      <c r="AY19" s="107">
        <f>AX19*100/$E$19</f>
        <v/>
      </c>
      <c r="AZ19" s="108" t="n"/>
      <c r="BA19" s="107">
        <f>AZ19*100/$E$19</f>
        <v/>
      </c>
      <c r="BB19" s="108" t="n"/>
      <c r="BC19" s="107">
        <f>BB19*100/$E$19</f>
        <v/>
      </c>
      <c r="BD19" s="108" t="n"/>
      <c r="BE19" s="107">
        <f>BD19*100/$E$19</f>
        <v/>
      </c>
      <c r="BF19" s="108" t="n"/>
      <c r="BG19" s="107">
        <f>BF19*100/$E$19</f>
        <v/>
      </c>
      <c r="BH19" s="108" t="n"/>
      <c r="BI19" s="107">
        <f>BH19*100/$E$19</f>
        <v/>
      </c>
      <c r="BJ19" s="108" t="n"/>
      <c r="BK19" s="107">
        <f>BJ19*100/$E$19</f>
        <v/>
      </c>
      <c r="BL19" s="108" t="n"/>
      <c r="BM19" s="107">
        <f>BL19*100/$E$19</f>
        <v/>
      </c>
      <c r="BN19" s="108" t="n"/>
      <c r="BO19" s="107">
        <f>BN19*100/$E$19</f>
        <v/>
      </c>
      <c r="BP19" s="108" t="n"/>
      <c r="BQ19" s="107">
        <f>BP19*100/$E$19</f>
        <v/>
      </c>
      <c r="BR19" s="108" t="n"/>
      <c r="BS19" s="107">
        <f>BR19*100/$E$19</f>
        <v/>
      </c>
      <c r="BT19" s="108" t="n"/>
      <c r="BU19" s="107">
        <f>BT19*100/$E$19</f>
        <v/>
      </c>
      <c r="BV19" s="108" t="n"/>
      <c r="BW19" s="107">
        <f>BV19*100/$E$19</f>
        <v/>
      </c>
      <c r="BX19" s="108" t="n"/>
      <c r="BY19" s="107">
        <f>BX19*100/$E$19</f>
        <v/>
      </c>
      <c r="BZ19" s="108" t="n"/>
      <c r="CA19" s="107">
        <f>BZ19*100/$E$19</f>
        <v/>
      </c>
      <c r="CB19" s="108" t="n"/>
      <c r="CC19" s="107">
        <f>CB19*100/$E$19</f>
        <v/>
      </c>
      <c r="CD19" s="108" t="n"/>
      <c r="CE19" s="107">
        <f>CD19*100/$E$19</f>
        <v/>
      </c>
      <c r="CF19" s="108" t="n"/>
      <c r="CG19" s="107">
        <f>CF19*100/$E$19</f>
        <v/>
      </c>
      <c r="CH19" s="108" t="n"/>
      <c r="CI19" s="107">
        <f>CH19*100/$E$19</f>
        <v/>
      </c>
      <c r="CJ19" s="108" t="n"/>
      <c r="CK19" s="107">
        <f>CJ19*100/$E$19</f>
        <v/>
      </c>
      <c r="CL19" s="108" t="n"/>
      <c r="CM19" s="107">
        <f>CL19*100/$E$19</f>
        <v/>
      </c>
      <c r="CN19" s="108" t="n"/>
      <c r="CO19" s="122">
        <f>CN19*100/$E$19</f>
        <v/>
      </c>
      <c r="CP19" s="108" t="n"/>
      <c r="CQ19" s="107">
        <f>CP19*100/$E$19</f>
        <v/>
      </c>
      <c r="CR19" s="108" t="n"/>
      <c r="CS19" s="122">
        <f>CR19*100/$E$19</f>
        <v/>
      </c>
      <c r="CT19" s="108" t="n"/>
      <c r="CU19" s="122">
        <f>CT19*100/$E$19</f>
        <v/>
      </c>
      <c r="CV19" s="108" t="n"/>
      <c r="CW19" s="122">
        <f>CV19*100/$E$19</f>
        <v/>
      </c>
      <c r="CX19" s="108" t="n"/>
      <c r="CY19" s="122">
        <f>CX19*100/$E$19</f>
        <v/>
      </c>
      <c r="CZ19" s="108" t="n"/>
      <c r="DA19" s="122">
        <f>CZ19*100/$E$19</f>
        <v/>
      </c>
      <c r="DB19" s="108" t="n"/>
      <c r="DC19" s="122">
        <f>DB19*100/$E$19</f>
        <v/>
      </c>
      <c r="DD19" s="108" t="n"/>
      <c r="DE19" s="122">
        <f>DD19*100/$E$19</f>
        <v/>
      </c>
      <c r="DF19" s="108" t="n"/>
      <c r="DG19" s="122">
        <f>DF19*100/$E$19</f>
        <v/>
      </c>
      <c r="DH19" s="108" t="n"/>
      <c r="DI19" s="122">
        <f>DH19*100/$E$19</f>
        <v/>
      </c>
      <c r="DJ19" s="108" t="n"/>
      <c r="DK19" s="122">
        <f>DJ19*100/$E$19</f>
        <v/>
      </c>
      <c r="DL19" s="108" t="n"/>
      <c r="DM19" s="122">
        <f>DL19*100/$E$19</f>
        <v/>
      </c>
      <c r="DN19" s="108" t="n"/>
      <c r="DO19" s="122">
        <f>DN19*100/$E$19</f>
        <v/>
      </c>
      <c r="DP19" s="108" t="n"/>
      <c r="DQ19" s="122">
        <f>DP19*100/$E$19</f>
        <v/>
      </c>
      <c r="DR19" s="108" t="n"/>
      <c r="DS19" s="122">
        <f>DR19*100/$E$19</f>
        <v/>
      </c>
      <c r="DT19" s="108" t="n"/>
      <c r="DU19" s="122">
        <f>DT19*100/$E$19</f>
        <v/>
      </c>
      <c r="DV19" s="108" t="n"/>
      <c r="DW19" s="122">
        <f>DV19*100/$E$19</f>
        <v/>
      </c>
      <c r="DX19" s="108" t="n"/>
      <c r="DY19" s="122">
        <f>DX19*100/$E$19</f>
        <v/>
      </c>
      <c r="DZ19" s="108" t="n"/>
      <c r="EA19" s="122">
        <f>DZ19*100/$E$19</f>
        <v/>
      </c>
      <c r="EB19" s="108" t="n"/>
      <c r="EC19" s="122">
        <f>EB19*100/$E$19</f>
        <v/>
      </c>
      <c r="ED19" s="108" t="n"/>
      <c r="EE19" s="122">
        <f>ED19*100/$E$19</f>
        <v/>
      </c>
      <c r="EF19" s="108" t="n"/>
      <c r="EG19" s="122">
        <f>EF19*100/$E$19</f>
        <v/>
      </c>
      <c r="EH19" s="108" t="n"/>
      <c r="EI19" s="122">
        <f>EH19*100/$E$19</f>
        <v/>
      </c>
      <c r="EJ19" s="108" t="n"/>
      <c r="EK19" s="122">
        <f>EJ19*100/$E$19</f>
        <v/>
      </c>
      <c r="EL19" s="108" t="n"/>
      <c r="EM19" s="122">
        <f>EL19*100/$E$19</f>
        <v/>
      </c>
      <c r="EN19" s="108" t="n"/>
      <c r="EO19" s="122">
        <f>EN19*100/$E$19</f>
        <v/>
      </c>
      <c r="EP19" s="108" t="n"/>
      <c r="EQ19" s="122">
        <f>EP19*100/$E$19</f>
        <v/>
      </c>
      <c r="ER19" s="108" t="n"/>
      <c r="ES19" s="122">
        <f>ER19*100/$E$19</f>
        <v/>
      </c>
      <c r="ET19" s="108" t="n"/>
      <c r="EU19" s="122">
        <f>ET19*100/$E$19</f>
        <v/>
      </c>
      <c r="EV19" s="108" t="n"/>
      <c r="EW19" s="122">
        <f>EV19*100/$E$19</f>
        <v/>
      </c>
      <c r="EX19" s="108" t="n"/>
      <c r="EY19" s="122">
        <f>EX19*100/$E$19</f>
        <v/>
      </c>
      <c r="EZ19" s="108" t="n"/>
      <c r="FA19" s="122">
        <f>EZ19*100/$E$19</f>
        <v/>
      </c>
      <c r="FB19" s="108" t="n"/>
      <c r="FC19" s="122">
        <f>FB19*100/$E$19</f>
        <v/>
      </c>
      <c r="FD19" s="108" t="n"/>
      <c r="FE19" s="122">
        <f>FD19*100/$E$19</f>
        <v/>
      </c>
      <c r="FF19" s="108" t="n"/>
      <c r="FG19" s="122">
        <f>FF19*100/$E$19</f>
        <v/>
      </c>
      <c r="FH19" s="108" t="n"/>
      <c r="FI19" s="122">
        <f>FH19*100/$E$19</f>
        <v/>
      </c>
      <c r="FJ19" s="108" t="n"/>
      <c r="FK19" s="122">
        <f>FJ19*100/$E$19</f>
        <v/>
      </c>
      <c r="FL19" s="108" t="n"/>
      <c r="FM19" s="122">
        <f>FL19*100/$E$19</f>
        <v/>
      </c>
      <c r="FN19" s="108" t="n"/>
      <c r="FO19" s="122">
        <f>FN19*100/$E$19</f>
        <v/>
      </c>
      <c r="FP19" s="108" t="n"/>
      <c r="FQ19" s="122">
        <f>FP19*100/$E$19</f>
        <v/>
      </c>
      <c r="FR19" s="108" t="n"/>
      <c r="FS19" s="122">
        <f>FR19*100/$E$19</f>
        <v/>
      </c>
      <c r="FT19" s="108" t="n"/>
      <c r="FU19" s="122">
        <f>FT19*100/$E$19</f>
        <v/>
      </c>
      <c r="FV19" s="108" t="n"/>
      <c r="FW19" s="122">
        <f>FV19*100/$E$19</f>
        <v/>
      </c>
      <c r="FX19" s="108" t="n"/>
      <c r="FY19" s="107">
        <f>FX19*100/$E$19</f>
        <v/>
      </c>
      <c r="FZ19" s="108" t="n"/>
      <c r="GA19" s="107">
        <f>FZ19*100/$E$19</f>
        <v/>
      </c>
      <c r="GB19" s="108" t="n"/>
      <c r="GC19" s="107">
        <f>GB19*100/$E$19</f>
        <v/>
      </c>
      <c r="GD19" s="108" t="n"/>
      <c r="GE19" s="107">
        <f>GD19*100/$E$19</f>
        <v/>
      </c>
      <c r="GF19" s="108" t="n"/>
      <c r="GG19" s="107">
        <f>GF19*100/$E$19</f>
        <v/>
      </c>
      <c r="GH19" s="108" t="n"/>
      <c r="GI19" s="107">
        <f>GH19*100/$E$19</f>
        <v/>
      </c>
      <c r="GJ19" s="108" t="n"/>
      <c r="GK19" s="122">
        <f>GJ19*100/$E$19</f>
        <v/>
      </c>
      <c r="GL19" s="108" t="n"/>
      <c r="GM19" s="107">
        <f>GL19*100/$E$19</f>
        <v/>
      </c>
      <c r="GN19" s="108" t="n"/>
      <c r="GO19" s="122">
        <f>GN19*100/$E$19</f>
        <v/>
      </c>
      <c r="GP19" s="108" t="n"/>
      <c r="GQ19" s="107">
        <f>GP19*100/$E$19</f>
        <v/>
      </c>
      <c r="GR19" s="108" t="n"/>
      <c r="GS19" s="122">
        <f>GR19*100/$E$19</f>
        <v/>
      </c>
      <c r="GT19" s="108" t="n"/>
      <c r="GU19" s="122">
        <f>GT19*100/$E$19</f>
        <v/>
      </c>
      <c r="GV19" s="108" t="n"/>
      <c r="GW19" s="122">
        <f>GV19*100/$E$19</f>
        <v/>
      </c>
      <c r="GX19" s="108" t="n"/>
      <c r="GY19" s="107">
        <f>GX19*100/$E$19</f>
        <v/>
      </c>
      <c r="GZ19" s="108" t="n"/>
      <c r="HA19" s="107">
        <f>GZ19*100/$E$19</f>
        <v/>
      </c>
      <c r="HB19" s="108" t="n"/>
      <c r="HC19" s="107">
        <f>HB19*100/$E$19</f>
        <v/>
      </c>
      <c r="HD19" s="108" t="n"/>
      <c r="HE19" s="107">
        <f>HD19*100/$E$19</f>
        <v/>
      </c>
      <c r="HF19" s="108" t="n"/>
      <c r="HG19" s="107">
        <f>HF19*100/$E$19</f>
        <v/>
      </c>
      <c r="HH19" s="108" t="n"/>
      <c r="HI19" s="107">
        <f>HH19*100/$E$19</f>
        <v/>
      </c>
      <c r="HJ19" s="108" t="n"/>
      <c r="HK19" s="107">
        <f>HJ19*100/$E$19</f>
        <v/>
      </c>
      <c r="HL19" s="108" t="n"/>
      <c r="HM19" s="107">
        <f>HL19*100/$E$19</f>
        <v/>
      </c>
      <c r="HN19" s="108" t="n"/>
      <c r="HO19" s="107">
        <f>HN19*100/$E$19</f>
        <v/>
      </c>
      <c r="HP19" s="108" t="n"/>
      <c r="HQ19" s="107">
        <f>HP19*100/$E$19</f>
        <v/>
      </c>
      <c r="HR19" s="108" t="n"/>
      <c r="HS19" s="107">
        <f>HR19*100/$E$19</f>
        <v/>
      </c>
      <c r="HT19" s="108" t="n"/>
      <c r="HU19" s="107">
        <f>HT19*100/$E$19</f>
        <v/>
      </c>
      <c r="HV19" s="108" t="n"/>
      <c r="HW19" s="107">
        <f>HV19*100/$E$19</f>
        <v/>
      </c>
      <c r="HX19" s="108" t="n"/>
      <c r="HY19" s="107">
        <f>HX19*100/$E$19</f>
        <v/>
      </c>
      <c r="HZ19" s="108" t="n"/>
      <c r="IA19" s="122">
        <f>HZ19*100/$E$19</f>
        <v/>
      </c>
      <c r="IB19" s="108" t="n"/>
      <c r="IC19" s="122">
        <f>IB19*100/$E$19</f>
        <v/>
      </c>
      <c r="ID19" s="108" t="n"/>
      <c r="IE19" s="122">
        <f>ID19*100/$E$19</f>
        <v/>
      </c>
      <c r="IF19" s="108" t="n"/>
      <c r="IG19" s="122">
        <f>IF19*100/$E$19</f>
        <v/>
      </c>
      <c r="IH19" s="108" t="n"/>
      <c r="II19" s="122">
        <f>IH19*100/$E$19</f>
        <v/>
      </c>
      <c r="IJ19" s="108" t="n"/>
      <c r="IK19" s="122">
        <f>IJ19*100/$E$19</f>
        <v/>
      </c>
      <c r="IL19" s="108" t="n"/>
      <c r="IM19" s="107">
        <f>IL19*100/$E$19</f>
        <v/>
      </c>
      <c r="IN19" s="108" t="n"/>
      <c r="IO19" s="107">
        <f>IN19*100/$E$19</f>
        <v/>
      </c>
      <c r="IP19" s="108" t="n"/>
      <c r="IQ19" s="122">
        <f>IP19*100/$E$19</f>
        <v/>
      </c>
      <c r="IR19" s="108" t="n"/>
      <c r="IS19" s="122">
        <f>IR19*100/$E$19</f>
        <v/>
      </c>
      <c r="IT19" s="108" t="n"/>
      <c r="IU19" s="122">
        <f>IT19*100/$E$19</f>
        <v/>
      </c>
      <c r="IV19" s="108" t="n"/>
      <c r="IW19" s="122">
        <f>IV19*100/$E$19</f>
        <v/>
      </c>
      <c r="IX19" s="108" t="n"/>
      <c r="IY19" s="122">
        <f>IX19*100/$E$19</f>
        <v/>
      </c>
      <c r="IZ19" s="108" t="n"/>
      <c r="JA19" s="122">
        <f>IZ19*100/$E$19</f>
        <v/>
      </c>
      <c r="JB19" s="108" t="n"/>
      <c r="JC19" s="122">
        <f>JB19*100/$E$19</f>
        <v/>
      </c>
      <c r="JD19" s="108" t="n"/>
      <c r="JE19" s="122">
        <f>JD19*100/$E$19</f>
        <v/>
      </c>
      <c r="JF19" s="108" t="n"/>
      <c r="JG19" s="122">
        <f>JF19*100/$E$19</f>
        <v/>
      </c>
      <c r="JH19" s="108" t="n"/>
      <c r="JI19" s="122">
        <f>JH19*100/$E$19</f>
        <v/>
      </c>
      <c r="JJ19" s="108" t="n"/>
      <c r="JK19" s="122">
        <f>JJ19*100/$E$19</f>
        <v/>
      </c>
      <c r="JL19" s="108" t="n"/>
      <c r="JM19" s="122">
        <f>JL19*100/$E$19</f>
        <v/>
      </c>
      <c r="JN19" s="108" t="n"/>
      <c r="JO19" s="122">
        <f>JN19*100/$E$19</f>
        <v/>
      </c>
      <c r="JP19" s="108" t="n"/>
      <c r="JQ19" s="122">
        <f>JP19*100/$E$19</f>
        <v/>
      </c>
      <c r="JR19" s="108" t="n"/>
      <c r="JS19" s="122">
        <f>JR19*100/$E$19</f>
        <v/>
      </c>
      <c r="JT19" s="108" t="n"/>
      <c r="JU19" s="122">
        <f>JT19*100/$E$19</f>
        <v/>
      </c>
      <c r="JV19" s="108" t="n"/>
      <c r="JW19" s="122">
        <f>JV19*100/$E$19</f>
        <v/>
      </c>
      <c r="JX19" s="108" t="n"/>
      <c r="JY19" s="122">
        <f>JX19*100/$E$19</f>
        <v/>
      </c>
      <c r="JZ19" s="55">
        <f>JN19+JP19+JR19+JT19+JV19+JX19</f>
        <v/>
      </c>
      <c r="KA19" s="53">
        <f>JO19+JQ19+JS19+JU19+JW19+JY19</f>
        <v/>
      </c>
      <c r="KB19" s="64">
        <f>H19+J19+L19+N19+P19+R19+T19+V19+X19+Z19+AB19+AD19+AF19+AH19+AJ19+AL19+AN19+AP19+AR19+AT19+AV19+AX19+AZ19+BB19+BD19+BF19+BH19+BJ19+BL19+BN19+BP19+BR19+BT19+BV19+BX19+BZ19+CB19+CD19+CF19+CH19+CZ19+DB19+DD19+DF19+DH19+DJ19+DL19+DN19+DP19+DR19+DT19+DV19+DX19+DZ19+EB19+ED19+EF19+EH19+EJ19+EL19+EN19+EP19+ER19+ET19+EV19+FN19+FP19+FR19+FT19+FV19+FX19+FZ19+GB19+GD19+GF19+GH19+GJ19+GL19+GN19+GP19+GR19+GT19+GV19+GX19+GZ19+HB19+HD19+HF19+HH19+HJ19+HL19+HN19+HP19+HR19+HT19+HV19+HX19+HZ19+IB19+ID19+IF19+IH19+IJ19+IL19+IN19+IP19+IR19+IT19+IV19+IX19+IZ19+JB19+JD19+JF19+JH19+JJ19+JL19+JZ19+CJ19+CL19+CN19+CP19+CR19+CT19+CV19+CX19+EX19+EZ19+FB19+FD19+FF19+FH19+FJ19+FL19</f>
        <v/>
      </c>
      <c r="KC19" s="66">
        <f>I19+K19+M19+O19+Q19+S19+U19+W19+Y19+AA19+AC19+AE19+AG19+AI19+AK19+AM19+AO19+AQ19+AS19+AU19+AW19+AY19+BA19+BC19+BE19+BG19+BI19+BK19+BM19+BO19+BQ19+BS19+BU19+BW19+BY19+CA19+CC19+CE19+CG19+CI19+DA19+DC19+DE19+DG19+DI19+DK19+DM19+DO19+DQ19+DS19+DU19+DW19+DY19+EA19+EC19+EE19+EG19+EI19+EK19+EM19+EO19+EQ19+ES19+EU19+EW19+FO19+FS19+FU19+FW19+FQ19+FY19+GA19+GC19+GE19+GG19+GI19+GK19+GM19+GO19+GQ19+GS19+GU19+GW19+GY19+HA19+HC19+HE19+HG19+HI19+HK19+HM19+HO19+HQ19+HS19+HU19+HW19+HY19+IA19+IC19+IE19+IG19+II19+IK19+IM19+IO19+IQ19+IS19+IU19+IW19+IY19+JA19+JC19+JE19+JG19+JI19+JK19+JM19+KA19+CK19+CM19+CO19+CQ19+CS19+CU19+CW19+CY19+EY19+FA19+FC19+FE19+FG19+FI19+FK19+FM19</f>
        <v/>
      </c>
      <c r="KD19" s="44">
        <f>JO19+JQ19+JS19+JU19+JW19+JY19</f>
        <v/>
      </c>
      <c r="KE19" s="45">
        <f>KB19=E19</f>
        <v/>
      </c>
      <c r="KF19" s="101">
        <f>E19-KB19</f>
        <v/>
      </c>
      <c r="KG19" s="14" t="n"/>
    </row>
    <row r="20" ht="21.75" customFormat="1" customHeight="1" s="14">
      <c r="A20" s="126">
        <f>A19+1</f>
        <v/>
      </c>
      <c r="B20" s="175" t="inlineStr">
        <is>
          <t>Евстратов Е.В.</t>
        </is>
      </c>
      <c r="C20" s="176" t="inlineStr">
        <is>
          <t>слесарь</t>
        </is>
      </c>
      <c r="D20" s="177">
        <f>$D$5</f>
        <v/>
      </c>
      <c r="E20" s="202" t="n"/>
      <c r="F20" s="190" t="n">
        <v>68902.87</v>
      </c>
      <c r="G20" s="52">
        <f>F20/D20</f>
        <v/>
      </c>
      <c r="H20" s="125" t="n"/>
      <c r="I20" s="107">
        <f>H20*100/$E$20</f>
        <v/>
      </c>
      <c r="J20" s="108" t="n"/>
      <c r="K20" s="107">
        <f>J20*100/$E$20</f>
        <v/>
      </c>
      <c r="L20" s="108" t="n"/>
      <c r="M20" s="107">
        <f>L20*100/$E$20</f>
        <v/>
      </c>
      <c r="N20" s="108" t="n"/>
      <c r="O20" s="107">
        <f>N20*100/$E$20</f>
        <v/>
      </c>
      <c r="P20" s="108" t="n"/>
      <c r="Q20" s="122">
        <f>P20*100/$E$20</f>
        <v/>
      </c>
      <c r="R20" s="108" t="n"/>
      <c r="S20" s="122">
        <f>R20*100/$E$20</f>
        <v/>
      </c>
      <c r="T20" s="108" t="n"/>
      <c r="U20" s="107">
        <f>T20*100/$E$20</f>
        <v/>
      </c>
      <c r="V20" s="108" t="n"/>
      <c r="W20" s="107">
        <f>V20*100/$E$20</f>
        <v/>
      </c>
      <c r="X20" s="108" t="n"/>
      <c r="Y20" s="107">
        <f>X20*100/$E$20</f>
        <v/>
      </c>
      <c r="Z20" s="108" t="n"/>
      <c r="AA20" s="107">
        <f>Z20*100/$E$20</f>
        <v/>
      </c>
      <c r="AB20" s="108" t="n"/>
      <c r="AC20" s="107">
        <f>AB20*100/$E$20</f>
        <v/>
      </c>
      <c r="AD20" s="108" t="n"/>
      <c r="AE20" s="122">
        <f>AD20*100/$E$20</f>
        <v/>
      </c>
      <c r="AF20" s="108" t="n"/>
      <c r="AG20" s="122">
        <f>AF20*100/$E$20</f>
        <v/>
      </c>
      <c r="AH20" s="108" t="n"/>
      <c r="AI20" s="107">
        <f>AH20*100/$E$20</f>
        <v/>
      </c>
      <c r="AJ20" s="108" t="n"/>
      <c r="AK20" s="107">
        <f>AJ20*100/$E$20</f>
        <v/>
      </c>
      <c r="AL20" s="108" t="n"/>
      <c r="AM20" s="107">
        <f>AL20*100/$E$20</f>
        <v/>
      </c>
      <c r="AN20" s="108" t="n"/>
      <c r="AO20" s="107">
        <f>AN20*100/$E$20</f>
        <v/>
      </c>
      <c r="AP20" s="108" t="n"/>
      <c r="AQ20" s="107">
        <f>AP20*100/$E$20</f>
        <v/>
      </c>
      <c r="AR20" s="108" t="n"/>
      <c r="AS20" s="107">
        <f>AR20*100/$E$20</f>
        <v/>
      </c>
      <c r="AT20" s="108" t="n"/>
      <c r="AU20" s="90">
        <f>AT20*100/$E$20</f>
        <v/>
      </c>
      <c r="AV20" s="108" t="n"/>
      <c r="AW20" s="107">
        <f>AV20*100/$E$20</f>
        <v/>
      </c>
      <c r="AX20" s="108" t="n"/>
      <c r="AY20" s="107">
        <f>AX20*100/$E$20</f>
        <v/>
      </c>
      <c r="AZ20" s="108" t="n"/>
      <c r="BA20" s="107">
        <f>AZ20*100/$E$20</f>
        <v/>
      </c>
      <c r="BB20" s="108" t="n"/>
      <c r="BC20" s="107">
        <f>BB20*100/$E$20</f>
        <v/>
      </c>
      <c r="BD20" s="108" t="n"/>
      <c r="BE20" s="107">
        <f>BD20*100/$E$20</f>
        <v/>
      </c>
      <c r="BF20" s="108" t="n"/>
      <c r="BG20" s="107">
        <f>BF20*100/$E$20</f>
        <v/>
      </c>
      <c r="BH20" s="108" t="n"/>
      <c r="BI20" s="107">
        <f>BH20*100/$E$20</f>
        <v/>
      </c>
      <c r="BJ20" s="108" t="n"/>
      <c r="BK20" s="107">
        <f>BJ20*100/$E$20</f>
        <v/>
      </c>
      <c r="BL20" s="108" t="n"/>
      <c r="BM20" s="107">
        <f>BL20*100/$E$20</f>
        <v/>
      </c>
      <c r="BN20" s="108" t="n"/>
      <c r="BO20" s="107">
        <f>BN20*100/$E$20</f>
        <v/>
      </c>
      <c r="BP20" s="108" t="n"/>
      <c r="BQ20" s="107">
        <f>BP20*100/$E$20</f>
        <v/>
      </c>
      <c r="BR20" s="108" t="n"/>
      <c r="BS20" s="107">
        <f>BR20*100/$E$20</f>
        <v/>
      </c>
      <c r="BT20" s="108" t="n"/>
      <c r="BU20" s="107">
        <f>BT20*100/$E$20</f>
        <v/>
      </c>
      <c r="BV20" s="108" t="n"/>
      <c r="BW20" s="107">
        <f>BV20*100/$E$20</f>
        <v/>
      </c>
      <c r="BX20" s="108" t="n"/>
      <c r="BY20" s="107">
        <f>BX20*100/$E$20</f>
        <v/>
      </c>
      <c r="BZ20" s="108" t="n"/>
      <c r="CA20" s="107">
        <f>BZ20*100/$E$20</f>
        <v/>
      </c>
      <c r="CB20" s="108" t="n"/>
      <c r="CC20" s="107">
        <f>CB20*100/$E$20</f>
        <v/>
      </c>
      <c r="CD20" s="108" t="n"/>
      <c r="CE20" s="107">
        <f>CD20*100/$E$20</f>
        <v/>
      </c>
      <c r="CF20" s="108" t="n"/>
      <c r="CG20" s="107">
        <f>CF20*100/$E$20</f>
        <v/>
      </c>
      <c r="CH20" s="108" t="n"/>
      <c r="CI20" s="107">
        <f>CH20*100/$E$20</f>
        <v/>
      </c>
      <c r="CJ20" s="108" t="n"/>
      <c r="CK20" s="107">
        <f>CJ20*100/$E$20</f>
        <v/>
      </c>
      <c r="CL20" s="108" t="n"/>
      <c r="CM20" s="107">
        <f>CL20*100/$E$20</f>
        <v/>
      </c>
      <c r="CN20" s="108" t="n"/>
      <c r="CO20" s="122">
        <f>CN20*100/$E$20</f>
        <v/>
      </c>
      <c r="CP20" s="108" t="n"/>
      <c r="CQ20" s="107">
        <f>CP20*100/$E$20</f>
        <v/>
      </c>
      <c r="CR20" s="108" t="n"/>
      <c r="CS20" s="122">
        <f>CR20*100/$E$20</f>
        <v/>
      </c>
      <c r="CT20" s="108" t="n"/>
      <c r="CU20" s="122">
        <f>CT20*100/$E$20</f>
        <v/>
      </c>
      <c r="CV20" s="108" t="n"/>
      <c r="CW20" s="122">
        <f>CV20*100/$E$20</f>
        <v/>
      </c>
      <c r="CX20" s="108" t="n"/>
      <c r="CY20" s="122">
        <f>CX20*100/$E$20</f>
        <v/>
      </c>
      <c r="CZ20" s="108" t="n"/>
      <c r="DA20" s="122">
        <f>CZ20*100/$E$20</f>
        <v/>
      </c>
      <c r="DB20" s="108" t="n"/>
      <c r="DC20" s="122">
        <f>DB20*100/$E$20</f>
        <v/>
      </c>
      <c r="DD20" s="108" t="n"/>
      <c r="DE20" s="122">
        <f>DD20*100/$E$20</f>
        <v/>
      </c>
      <c r="DF20" s="108" t="n"/>
      <c r="DG20" s="122">
        <f>DF20*100/$E$20</f>
        <v/>
      </c>
      <c r="DH20" s="108" t="n"/>
      <c r="DI20" s="122">
        <f>DH20*100/$E$20</f>
        <v/>
      </c>
      <c r="DJ20" s="108" t="n"/>
      <c r="DK20" s="122">
        <f>DJ20*100/$E$20</f>
        <v/>
      </c>
      <c r="DL20" s="108" t="n"/>
      <c r="DM20" s="122">
        <f>DL20*100/$E$20</f>
        <v/>
      </c>
      <c r="DN20" s="108" t="n"/>
      <c r="DO20" s="122">
        <f>DN20*100/$E$20</f>
        <v/>
      </c>
      <c r="DP20" s="108" t="n"/>
      <c r="DQ20" s="122">
        <f>DP20*100/$E$20</f>
        <v/>
      </c>
      <c r="DR20" s="108" t="n"/>
      <c r="DS20" s="122">
        <f>DR20*100/$E$20</f>
        <v/>
      </c>
      <c r="DT20" s="108" t="n"/>
      <c r="DU20" s="122">
        <f>DT20*100/$E$20</f>
        <v/>
      </c>
      <c r="DV20" s="108" t="n"/>
      <c r="DW20" s="122">
        <f>DV20*100/$E$20</f>
        <v/>
      </c>
      <c r="DX20" s="108" t="n"/>
      <c r="DY20" s="122">
        <f>DX20*100/$E$20</f>
        <v/>
      </c>
      <c r="DZ20" s="108" t="n"/>
      <c r="EA20" s="122">
        <f>DZ20*100/$E$20</f>
        <v/>
      </c>
      <c r="EB20" s="108" t="n"/>
      <c r="EC20" s="122">
        <f>EB20*100/$E$20</f>
        <v/>
      </c>
      <c r="ED20" s="108" t="n"/>
      <c r="EE20" s="122">
        <f>ED20*100/$E$20</f>
        <v/>
      </c>
      <c r="EF20" s="108" t="n"/>
      <c r="EG20" s="122">
        <f>EF20*100/$E$20</f>
        <v/>
      </c>
      <c r="EH20" s="108" t="n"/>
      <c r="EI20" s="122">
        <f>EH20*100/$E$20</f>
        <v/>
      </c>
      <c r="EJ20" s="108" t="n"/>
      <c r="EK20" s="122">
        <f>EJ20*100/$E$20</f>
        <v/>
      </c>
      <c r="EL20" s="108" t="n"/>
      <c r="EM20" s="122">
        <f>EL20*100/$E$20</f>
        <v/>
      </c>
      <c r="EN20" s="108" t="n"/>
      <c r="EO20" s="122">
        <f>EN20*100/$E$20</f>
        <v/>
      </c>
      <c r="EP20" s="108" t="n"/>
      <c r="EQ20" s="122">
        <f>EP20*100/$E$20</f>
        <v/>
      </c>
      <c r="ER20" s="108" t="n"/>
      <c r="ES20" s="122">
        <f>ER20*100/$E$20</f>
        <v/>
      </c>
      <c r="ET20" s="108" t="n"/>
      <c r="EU20" s="122">
        <f>ET20*100/$E$20</f>
        <v/>
      </c>
      <c r="EV20" s="108" t="n"/>
      <c r="EW20" s="122">
        <f>EV20*100/$E$20</f>
        <v/>
      </c>
      <c r="EX20" s="108" t="n"/>
      <c r="EY20" s="122">
        <f>EX20*100/$E$20</f>
        <v/>
      </c>
      <c r="EZ20" s="108" t="n"/>
      <c r="FA20" s="122">
        <f>EZ20*100/$E$20</f>
        <v/>
      </c>
      <c r="FB20" s="108" t="n"/>
      <c r="FC20" s="122">
        <f>FB20*100/$E$20</f>
        <v/>
      </c>
      <c r="FD20" s="108" t="n"/>
      <c r="FE20" s="122">
        <f>FD20*100/$E$20</f>
        <v/>
      </c>
      <c r="FF20" s="108" t="n"/>
      <c r="FG20" s="122">
        <f>FF20*100/$E$20</f>
        <v/>
      </c>
      <c r="FH20" s="108" t="n"/>
      <c r="FI20" s="122">
        <f>FH20*100/$E$20</f>
        <v/>
      </c>
      <c r="FJ20" s="108" t="n"/>
      <c r="FK20" s="122">
        <f>FJ20*100/$E$20</f>
        <v/>
      </c>
      <c r="FL20" s="108" t="n"/>
      <c r="FM20" s="122">
        <f>FL20*100/$E$20</f>
        <v/>
      </c>
      <c r="FN20" s="108" t="n"/>
      <c r="FO20" s="122">
        <f>FN20*100/$E$20</f>
        <v/>
      </c>
      <c r="FP20" s="108" t="n"/>
      <c r="FQ20" s="122">
        <f>FP20*100/$E$20</f>
        <v/>
      </c>
      <c r="FR20" s="108" t="n"/>
      <c r="FS20" s="122">
        <f>FR20*100/$E$20</f>
        <v/>
      </c>
      <c r="FT20" s="108" t="n"/>
      <c r="FU20" s="122">
        <f>FT20*100/$E$20</f>
        <v/>
      </c>
      <c r="FV20" s="108" t="n"/>
      <c r="FW20" s="122">
        <f>FV20*100/$E$20</f>
        <v/>
      </c>
      <c r="FX20" s="108" t="n"/>
      <c r="FY20" s="107">
        <f>FX20*100/$E$20</f>
        <v/>
      </c>
      <c r="FZ20" s="108" t="n"/>
      <c r="GA20" s="107">
        <f>FZ20*100/$E$20</f>
        <v/>
      </c>
      <c r="GB20" s="108" t="n"/>
      <c r="GC20" s="107">
        <f>GB20*100/$E$20</f>
        <v/>
      </c>
      <c r="GD20" s="108" t="n"/>
      <c r="GE20" s="107">
        <f>GD20*100/$E$20</f>
        <v/>
      </c>
      <c r="GF20" s="108" t="n"/>
      <c r="GG20" s="107">
        <f>GF20*100/$E$20</f>
        <v/>
      </c>
      <c r="GH20" s="108" t="n"/>
      <c r="GI20" s="107">
        <f>GH20*100/$E$20</f>
        <v/>
      </c>
      <c r="GJ20" s="108" t="n"/>
      <c r="GK20" s="122">
        <f>GJ20*100/$E$20</f>
        <v/>
      </c>
      <c r="GL20" s="108" t="n"/>
      <c r="GM20" s="107">
        <f>GL20*100/$E$20</f>
        <v/>
      </c>
      <c r="GN20" s="108" t="n"/>
      <c r="GO20" s="122">
        <f>GN20*100/$E$20</f>
        <v/>
      </c>
      <c r="GP20" s="108" t="n"/>
      <c r="GQ20" s="107">
        <f>GP20*100/$E$20</f>
        <v/>
      </c>
      <c r="GR20" s="108" t="n"/>
      <c r="GS20" s="122">
        <f>GR20*100/$E$20</f>
        <v/>
      </c>
      <c r="GT20" s="108" t="n"/>
      <c r="GU20" s="122">
        <f>GT20*100/$E$20</f>
        <v/>
      </c>
      <c r="GV20" s="108" t="n"/>
      <c r="GW20" s="122">
        <f>GV20*100/$E$20</f>
        <v/>
      </c>
      <c r="GX20" s="108" t="n"/>
      <c r="GY20" s="107">
        <f>GX20*100/$E$20</f>
        <v/>
      </c>
      <c r="GZ20" s="108" t="n"/>
      <c r="HA20" s="107">
        <f>GZ20*100/$E$20</f>
        <v/>
      </c>
      <c r="HB20" s="108" t="n"/>
      <c r="HC20" s="107">
        <f>HB20*100/$E$20</f>
        <v/>
      </c>
      <c r="HD20" s="108" t="n"/>
      <c r="HE20" s="107">
        <f>HD20*100/$E$20</f>
        <v/>
      </c>
      <c r="HF20" s="108" t="n"/>
      <c r="HG20" s="107">
        <f>HF20*100/$E$20</f>
        <v/>
      </c>
      <c r="HH20" s="108" t="n"/>
      <c r="HI20" s="107">
        <f>HH20*100/$E$20</f>
        <v/>
      </c>
      <c r="HJ20" s="108" t="n"/>
      <c r="HK20" s="107">
        <f>HJ20*100/$E$20</f>
        <v/>
      </c>
      <c r="HL20" s="108" t="n"/>
      <c r="HM20" s="107">
        <f>HL20*100/$E$20</f>
        <v/>
      </c>
      <c r="HN20" s="108" t="n"/>
      <c r="HO20" s="107">
        <f>HN20*100/$E$20</f>
        <v/>
      </c>
      <c r="HP20" s="108" t="n"/>
      <c r="HQ20" s="107">
        <f>HP20*100/$E$20</f>
        <v/>
      </c>
      <c r="HR20" s="108" t="n"/>
      <c r="HS20" s="107">
        <f>HR20*100/$E$20</f>
        <v/>
      </c>
      <c r="HT20" s="108" t="n"/>
      <c r="HU20" s="107">
        <f>HT20*100/$E$20</f>
        <v/>
      </c>
      <c r="HV20" s="108" t="n"/>
      <c r="HW20" s="107">
        <f>HV20*100/$E$20</f>
        <v/>
      </c>
      <c r="HX20" s="108" t="n"/>
      <c r="HY20" s="107">
        <f>HX20*100/$E$20</f>
        <v/>
      </c>
      <c r="HZ20" s="108" t="n"/>
      <c r="IA20" s="122">
        <f>HZ20*100/$E$20</f>
        <v/>
      </c>
      <c r="IB20" s="108" t="n"/>
      <c r="IC20" s="122">
        <f>IB20*100/$E$20</f>
        <v/>
      </c>
      <c r="ID20" s="108" t="n"/>
      <c r="IE20" s="122">
        <f>ID20*100/$E$20</f>
        <v/>
      </c>
      <c r="IF20" s="108" t="n"/>
      <c r="IG20" s="122">
        <f>IF20*100/$E$20</f>
        <v/>
      </c>
      <c r="IH20" s="108" t="n"/>
      <c r="II20" s="122">
        <f>IH20*100/$E$20</f>
        <v/>
      </c>
      <c r="IJ20" s="108" t="n"/>
      <c r="IK20" s="122">
        <f>IJ20*100/$E$20</f>
        <v/>
      </c>
      <c r="IL20" s="108" t="n"/>
      <c r="IM20" s="107">
        <f>IL20*100/$E$20</f>
        <v/>
      </c>
      <c r="IN20" s="108" t="n"/>
      <c r="IO20" s="107">
        <f>IN20*100/$E$20</f>
        <v/>
      </c>
      <c r="IP20" s="108" t="n"/>
      <c r="IQ20" s="122">
        <f>IP20*100/$E$20</f>
        <v/>
      </c>
      <c r="IR20" s="108" t="n"/>
      <c r="IS20" s="122">
        <f>IR20*100/$E$20</f>
        <v/>
      </c>
      <c r="IT20" s="108" t="n"/>
      <c r="IU20" s="122">
        <f>IT20*100/$E$20</f>
        <v/>
      </c>
      <c r="IV20" s="108" t="n"/>
      <c r="IW20" s="122">
        <f>IV20*100/$E$20</f>
        <v/>
      </c>
      <c r="IX20" s="108" t="n"/>
      <c r="IY20" s="122">
        <f>IX20*100/$E$20</f>
        <v/>
      </c>
      <c r="IZ20" s="108" t="n"/>
      <c r="JA20" s="122">
        <f>IZ20*100/$E$20</f>
        <v/>
      </c>
      <c r="JB20" s="108" t="n"/>
      <c r="JC20" s="122">
        <f>JB20*100/$E$20</f>
        <v/>
      </c>
      <c r="JD20" s="108" t="n"/>
      <c r="JE20" s="122">
        <f>JD20*100/$E$20</f>
        <v/>
      </c>
      <c r="JF20" s="108" t="n"/>
      <c r="JG20" s="122">
        <f>JF20*100/$E$20</f>
        <v/>
      </c>
      <c r="JH20" s="108" t="n"/>
      <c r="JI20" s="122">
        <f>JH20*100/$E$20</f>
        <v/>
      </c>
      <c r="JJ20" s="108" t="n"/>
      <c r="JK20" s="122">
        <f>JJ20*100/$E$20</f>
        <v/>
      </c>
      <c r="JL20" s="108" t="n"/>
      <c r="JM20" s="122">
        <f>JL20*100/$E$20</f>
        <v/>
      </c>
      <c r="JN20" s="108" t="n"/>
      <c r="JO20" s="122">
        <f>JN20*100/$E$20</f>
        <v/>
      </c>
      <c r="JP20" s="108" t="n"/>
      <c r="JQ20" s="122">
        <f>JP20*100/$E$20</f>
        <v/>
      </c>
      <c r="JR20" s="108" t="n"/>
      <c r="JS20" s="122">
        <f>JR20*100/$E$20</f>
        <v/>
      </c>
      <c r="JT20" s="108" t="n"/>
      <c r="JU20" s="122">
        <f>JT20*100/$E$20</f>
        <v/>
      </c>
      <c r="JV20" s="108" t="n"/>
      <c r="JW20" s="122">
        <f>JV20*100/$E$20</f>
        <v/>
      </c>
      <c r="JX20" s="108" t="n"/>
      <c r="JY20" s="122">
        <f>JX20*100/$E$20</f>
        <v/>
      </c>
      <c r="JZ20" s="55">
        <f>JN20+JP20+JR20+JT20+JV20+JX20</f>
        <v/>
      </c>
      <c r="KA20" s="53">
        <f>JO20+JQ20+JS20+JU20+JW20+JY20</f>
        <v/>
      </c>
      <c r="KB20" s="64">
        <f>H20+J20+L20+N20+P20+R20+T20+V20+X20+Z20+AB20+AD20+AF20+AH20+AJ20+AL20+AN20+AP20+AR20+AT20+AV20+AX20+AZ20+BB20+BD20+BF20+BH20+BJ20+BL20+BN20+BP20+BR20+BT20+BV20+BX20+BZ20+CB20+CD20+CF20+CH20+CZ20+DB20+DD20+DF20+DH20+DJ20+DL20+DN20+DP20+DR20+DT20+DV20+DX20+DZ20+EB20+ED20+EF20+EH20+EJ20+EL20+EN20+EP20+ER20+ET20+EV20+FN20+FP20+FR20+FT20+FV20+FX20+FZ20+GB20+GD20+GF20+GH20+GJ20+GL20+GN20+GP20+GR20+GT20+GV20+GX20+GZ20+HB20+HD20+HF20+HH20+HJ20+HL20+HN20+HP20+HR20+HT20+HV20+HX20+HZ20+IB20+ID20+IF20+IH20+IJ20+IL20+IN20+IP20+IR20+IT20+IV20+IX20+IZ20+JB20+JD20+JF20+JH20+JJ20+JL20+JZ20+CJ20+CL20+CN20+CP20+CR20+CT20+CV20+CX20+EX20+EZ20+FB20+FD20+FF20+FH20+FJ20+FL20</f>
        <v/>
      </c>
      <c r="KC20" s="66">
        <f>I20+K20+M20+O20+Q20+S20+U20+W20+Y20+AA20+AC20+AE20+AG20+AI20+AK20+AM20+AO20+AQ20+AS20+AU20+AW20+AY20+BA20+BC20+BE20+BG20+BI20+BK20+BM20+BO20+BQ20+BS20+BU20+BW20+BY20+CA20+CC20+CE20+CG20+CI20+DA20+DC20+DE20+DG20+DI20+DK20+DM20+DO20+DQ20+DS20+DU20+DW20+DY20+EA20+EC20+EE20+EG20+EI20+EK20+EM20+EO20+EQ20+ES20+EU20+EW20+FO20+FS20+FU20+FW20+FQ20+FY20+GA20+GC20+GE20+GG20+GI20+GK20+GM20+GO20+GQ20+GS20+GU20+GW20+GY20+HA20+HC20+HE20+HG20+HI20+HK20+HM20+HO20+HQ20+HS20+HU20+HW20+HY20+IA20+IC20+IE20+IG20+II20+IK20+IM20+IO20+IQ20+IS20+IU20+IW20+IY20+JA20+JC20+JE20+JG20+JI20+JK20+JM20+KA20+CK20+CM20+CO20+CQ20+CS20+CU20+CW20+CY20+EY20+FA20+FC20+FE20+FG20+FI20+FK20+FM20</f>
        <v/>
      </c>
      <c r="KD20" s="44">
        <f>JO20+JQ20+JS20+JU20+JW20+JY20</f>
        <v/>
      </c>
      <c r="KE20" s="45">
        <f>KB20=E20</f>
        <v/>
      </c>
      <c r="KF20" s="101">
        <f>E20-KB20</f>
        <v/>
      </c>
      <c r="KG20" s="17" t="n"/>
    </row>
    <row r="21" ht="21.75" customFormat="1" customHeight="1" s="67">
      <c r="A21" s="130">
        <f>A20+1</f>
        <v/>
      </c>
      <c r="B21" s="175" t="inlineStr">
        <is>
          <t>Еналов А.Д.</t>
        </is>
      </c>
      <c r="C21" s="176" t="inlineStr">
        <is>
          <t>слесарь</t>
        </is>
      </c>
      <c r="D21" s="177">
        <f>$D$5</f>
        <v/>
      </c>
      <c r="E21" s="202" t="n"/>
      <c r="F21" s="191" t="n">
        <v>68902.87</v>
      </c>
      <c r="G21" s="52">
        <f>F21/D21</f>
        <v/>
      </c>
      <c r="H21" s="125" t="n"/>
      <c r="I21" s="107">
        <f>H21*100/$E$21</f>
        <v/>
      </c>
      <c r="J21" s="108" t="n"/>
      <c r="K21" s="107">
        <f>J21*100/$E$21</f>
        <v/>
      </c>
      <c r="L21" s="108" t="n"/>
      <c r="M21" s="107">
        <f>L21*100/$E$21</f>
        <v/>
      </c>
      <c r="N21" s="108" t="n"/>
      <c r="O21" s="107">
        <f>N21*100/$E$21</f>
        <v/>
      </c>
      <c r="P21" s="108" t="n"/>
      <c r="Q21" s="122">
        <f>P21*100/$E$21</f>
        <v/>
      </c>
      <c r="R21" s="108" t="n"/>
      <c r="S21" s="122">
        <f>R21*100/$E$21</f>
        <v/>
      </c>
      <c r="T21" s="108" t="n"/>
      <c r="U21" s="122">
        <f>T21*100/$E$21</f>
        <v/>
      </c>
      <c r="V21" s="108" t="n"/>
      <c r="W21" s="122">
        <f>V21*100/$E$21</f>
        <v/>
      </c>
      <c r="X21" s="108" t="n"/>
      <c r="Y21" s="122">
        <f>X21*100/$E$21</f>
        <v/>
      </c>
      <c r="Z21" s="108" t="n"/>
      <c r="AA21" s="122">
        <f>Z21*100/$E$21</f>
        <v/>
      </c>
      <c r="AB21" s="108" t="n"/>
      <c r="AC21" s="122">
        <f>AB21*100/$E$21</f>
        <v/>
      </c>
      <c r="AD21" s="108" t="n"/>
      <c r="AE21" s="122">
        <f>AD21*100/$E$21</f>
        <v/>
      </c>
      <c r="AF21" s="108" t="n"/>
      <c r="AG21" s="122">
        <f>AF21*100/$E$21</f>
        <v/>
      </c>
      <c r="AH21" s="108" t="n"/>
      <c r="AI21" s="122">
        <f>AH21*100/$E$21</f>
        <v/>
      </c>
      <c r="AJ21" s="108" t="n"/>
      <c r="AK21" s="122">
        <f>AJ21*100/$E$21</f>
        <v/>
      </c>
      <c r="AL21" s="108" t="n"/>
      <c r="AM21" s="122">
        <f>AL21*100/$E$21</f>
        <v/>
      </c>
      <c r="AN21" s="108" t="n"/>
      <c r="AO21" s="122">
        <f>AN21*100/$E$21</f>
        <v/>
      </c>
      <c r="AP21" s="108" t="n"/>
      <c r="AQ21" s="122">
        <f>AP21*100/$E$21</f>
        <v/>
      </c>
      <c r="AR21" s="108" t="n"/>
      <c r="AS21" s="122">
        <f>AR21*100/$E$21</f>
        <v/>
      </c>
      <c r="AT21" s="108" t="n"/>
      <c r="AU21" s="90">
        <f>AT21*100/$E$21</f>
        <v/>
      </c>
      <c r="AV21" s="108" t="n"/>
      <c r="AW21" s="122">
        <f>AV21*100/$E$21</f>
        <v/>
      </c>
      <c r="AX21" s="108" t="n"/>
      <c r="AY21" s="122">
        <f>AX21*100/$E$21</f>
        <v/>
      </c>
      <c r="AZ21" s="108" t="n"/>
      <c r="BA21" s="122">
        <f>AZ21*100/$E$21</f>
        <v/>
      </c>
      <c r="BB21" s="108" t="n"/>
      <c r="BC21" s="122">
        <f>BB21*100/$E$21</f>
        <v/>
      </c>
      <c r="BD21" s="108" t="n"/>
      <c r="BE21" s="122">
        <f>BD21*100/$E$21</f>
        <v/>
      </c>
      <c r="BF21" s="108" t="n"/>
      <c r="BG21" s="122">
        <f>BF21*100/$E$21</f>
        <v/>
      </c>
      <c r="BH21" s="108" t="n"/>
      <c r="BI21" s="122">
        <f>BH21*100/$E$21</f>
        <v/>
      </c>
      <c r="BJ21" s="108" t="n"/>
      <c r="BK21" s="122">
        <f>BJ21*100/$E$21</f>
        <v/>
      </c>
      <c r="BL21" s="108" t="n"/>
      <c r="BM21" s="122">
        <f>BL21*100/$E$21</f>
        <v/>
      </c>
      <c r="BN21" s="108" t="n"/>
      <c r="BO21" s="122">
        <f>BN21*100/$E$21</f>
        <v/>
      </c>
      <c r="BP21" s="108" t="n"/>
      <c r="BQ21" s="122">
        <f>BP21*100/$E$21</f>
        <v/>
      </c>
      <c r="BR21" s="108" t="n"/>
      <c r="BS21" s="122">
        <f>BR21*100/$E$21</f>
        <v/>
      </c>
      <c r="BT21" s="108" t="n"/>
      <c r="BU21" s="122">
        <f>BT21*100/$E$21</f>
        <v/>
      </c>
      <c r="BV21" s="108" t="n"/>
      <c r="BW21" s="122">
        <f>BV21*100/$E$21</f>
        <v/>
      </c>
      <c r="BX21" s="108" t="n"/>
      <c r="BY21" s="122">
        <f>BX21*100/$E$21</f>
        <v/>
      </c>
      <c r="BZ21" s="108" t="n"/>
      <c r="CA21" s="122">
        <f>BZ21*100/$E$21</f>
        <v/>
      </c>
      <c r="CB21" s="108" t="n"/>
      <c r="CC21" s="122">
        <f>CB21*100/$E$21</f>
        <v/>
      </c>
      <c r="CD21" s="108" t="n"/>
      <c r="CE21" s="122">
        <f>CD21*100/$E$21</f>
        <v/>
      </c>
      <c r="CF21" s="108" t="n"/>
      <c r="CG21" s="122">
        <f>CF21*100/$E$21</f>
        <v/>
      </c>
      <c r="CH21" s="108" t="n"/>
      <c r="CI21" s="122">
        <f>CH21*100/$E$21</f>
        <v/>
      </c>
      <c r="CJ21" s="108" t="n"/>
      <c r="CK21" s="122">
        <f>CJ21*100/$E$21</f>
        <v/>
      </c>
      <c r="CL21" s="108" t="n"/>
      <c r="CM21" s="122">
        <f>CL21*100/$E$21</f>
        <v/>
      </c>
      <c r="CN21" s="108" t="n"/>
      <c r="CO21" s="122">
        <f>CN21*100/$E$21</f>
        <v/>
      </c>
      <c r="CP21" s="108" t="n"/>
      <c r="CQ21" s="122">
        <f>CP21*100/$E$21</f>
        <v/>
      </c>
      <c r="CR21" s="108" t="n"/>
      <c r="CS21" s="122">
        <f>CR21*100/$E$21</f>
        <v/>
      </c>
      <c r="CT21" s="108" t="n"/>
      <c r="CU21" s="122">
        <f>CT21*100/$E$21</f>
        <v/>
      </c>
      <c r="CV21" s="108" t="n"/>
      <c r="CW21" s="122">
        <f>CV21*100/$E$21</f>
        <v/>
      </c>
      <c r="CX21" s="108" t="n"/>
      <c r="CY21" s="122">
        <f>CX21*100/$E$21</f>
        <v/>
      </c>
      <c r="CZ21" s="108" t="n"/>
      <c r="DA21" s="122">
        <f>CZ21*100/$E$21</f>
        <v/>
      </c>
      <c r="DB21" s="108" t="n"/>
      <c r="DC21" s="122">
        <f>DB21*100/$E$21</f>
        <v/>
      </c>
      <c r="DD21" s="108" t="n"/>
      <c r="DE21" s="122">
        <f>DD21*100/$E$21</f>
        <v/>
      </c>
      <c r="DF21" s="108" t="n"/>
      <c r="DG21" s="122">
        <f>DF21*100/$E$21</f>
        <v/>
      </c>
      <c r="DH21" s="108" t="n"/>
      <c r="DI21" s="122">
        <f>DH21*100/$E$21</f>
        <v/>
      </c>
      <c r="DJ21" s="108" t="n"/>
      <c r="DK21" s="122">
        <f>DJ21*100/$E$21</f>
        <v/>
      </c>
      <c r="DL21" s="108" t="n"/>
      <c r="DM21" s="122">
        <f>DL21*100/$E$21</f>
        <v/>
      </c>
      <c r="DN21" s="108" t="n"/>
      <c r="DO21" s="122">
        <f>DN21*100/$E$21</f>
        <v/>
      </c>
      <c r="DP21" s="108" t="n"/>
      <c r="DQ21" s="122">
        <f>DP21*100/$E$21</f>
        <v/>
      </c>
      <c r="DR21" s="108" t="n"/>
      <c r="DS21" s="122">
        <f>DR21*100/$E$21</f>
        <v/>
      </c>
      <c r="DT21" s="108" t="n"/>
      <c r="DU21" s="122">
        <f>DT21*100/$E$21</f>
        <v/>
      </c>
      <c r="DV21" s="108" t="n"/>
      <c r="DW21" s="122">
        <f>DV21*100/$E$21</f>
        <v/>
      </c>
      <c r="DX21" s="108" t="n"/>
      <c r="DY21" s="122">
        <f>DX21*100/$E$21</f>
        <v/>
      </c>
      <c r="DZ21" s="108" t="n"/>
      <c r="EA21" s="122">
        <f>DZ21*100/$E$21</f>
        <v/>
      </c>
      <c r="EB21" s="108" t="n"/>
      <c r="EC21" s="122">
        <f>EB21*100/$E$21</f>
        <v/>
      </c>
      <c r="ED21" s="108" t="n"/>
      <c r="EE21" s="122">
        <f>ED21*100/$E$21</f>
        <v/>
      </c>
      <c r="EF21" s="108" t="n"/>
      <c r="EG21" s="122">
        <f>EF21*100/$E$21</f>
        <v/>
      </c>
      <c r="EH21" s="108" t="n"/>
      <c r="EI21" s="122">
        <f>EH21*100/$E$21</f>
        <v/>
      </c>
      <c r="EJ21" s="108" t="n"/>
      <c r="EK21" s="122">
        <f>EJ21*100/$E$21</f>
        <v/>
      </c>
      <c r="EL21" s="108" t="n"/>
      <c r="EM21" s="122">
        <f>EL21*100/$E$21</f>
        <v/>
      </c>
      <c r="EN21" s="108" t="n"/>
      <c r="EO21" s="122">
        <f>EN21*100/$E$21</f>
        <v/>
      </c>
      <c r="EP21" s="108" t="n"/>
      <c r="EQ21" s="122">
        <f>EP21*100/$E$21</f>
        <v/>
      </c>
      <c r="ER21" s="108" t="n"/>
      <c r="ES21" s="122">
        <f>ER21*100/$E$21</f>
        <v/>
      </c>
      <c r="ET21" s="108" t="n"/>
      <c r="EU21" s="122">
        <f>ET21*100/$E$21</f>
        <v/>
      </c>
      <c r="EV21" s="108" t="n"/>
      <c r="EW21" s="122">
        <f>EV21*100/$E$21</f>
        <v/>
      </c>
      <c r="EX21" s="108" t="n"/>
      <c r="EY21" s="122">
        <f>EX21*100/$E$21</f>
        <v/>
      </c>
      <c r="EZ21" s="108" t="n"/>
      <c r="FA21" s="122">
        <f>EZ21*100/$E$21</f>
        <v/>
      </c>
      <c r="FB21" s="108" t="n"/>
      <c r="FC21" s="122">
        <f>FB21*100/$E$21</f>
        <v/>
      </c>
      <c r="FD21" s="108" t="n"/>
      <c r="FE21" s="122">
        <f>FD21*100/$E$21</f>
        <v/>
      </c>
      <c r="FF21" s="108" t="n"/>
      <c r="FG21" s="122">
        <f>FF21*100/$E$21</f>
        <v/>
      </c>
      <c r="FH21" s="108" t="n"/>
      <c r="FI21" s="122">
        <f>FH21*100/$E$21</f>
        <v/>
      </c>
      <c r="FJ21" s="108" t="n"/>
      <c r="FK21" s="122">
        <f>FJ21*100/$E$21</f>
        <v/>
      </c>
      <c r="FL21" s="108" t="n"/>
      <c r="FM21" s="122">
        <f>FL21*100/$E$21</f>
        <v/>
      </c>
      <c r="FN21" s="108" t="n"/>
      <c r="FO21" s="122">
        <f>FN21*100/$E$21</f>
        <v/>
      </c>
      <c r="FP21" s="108" t="n"/>
      <c r="FQ21" s="122">
        <f>FP21*100/$E$21</f>
        <v/>
      </c>
      <c r="FR21" s="108" t="n"/>
      <c r="FS21" s="122">
        <f>FR21*100/$E$21</f>
        <v/>
      </c>
      <c r="FT21" s="108" t="n"/>
      <c r="FU21" s="122">
        <f>FT21*100/$E$21</f>
        <v/>
      </c>
      <c r="FV21" s="108" t="n"/>
      <c r="FW21" s="122">
        <f>FV21*100/$E$21</f>
        <v/>
      </c>
      <c r="FX21" s="108" t="n"/>
      <c r="FY21" s="122">
        <f>FX21*100/$E$21</f>
        <v/>
      </c>
      <c r="FZ21" s="108" t="n"/>
      <c r="GA21" s="122">
        <f>FZ21*100/$E$21</f>
        <v/>
      </c>
      <c r="GB21" s="108" t="n"/>
      <c r="GC21" s="122">
        <f>GB21*100/$E$21</f>
        <v/>
      </c>
      <c r="GD21" s="108" t="n"/>
      <c r="GE21" s="122">
        <f>GD21*100/$E$21</f>
        <v/>
      </c>
      <c r="GF21" s="108" t="n"/>
      <c r="GG21" s="122">
        <f>GF21*100/$E$21</f>
        <v/>
      </c>
      <c r="GH21" s="108" t="n"/>
      <c r="GI21" s="122">
        <f>GH21*100/$E$21</f>
        <v/>
      </c>
      <c r="GJ21" s="108" t="n"/>
      <c r="GK21" s="122">
        <f>GJ21*100/$E$21</f>
        <v/>
      </c>
      <c r="GL21" s="108" t="n"/>
      <c r="GM21" s="122">
        <f>GL21*100/$E$21</f>
        <v/>
      </c>
      <c r="GN21" s="108" t="n"/>
      <c r="GO21" s="122">
        <f>GN21*100/$E$21</f>
        <v/>
      </c>
      <c r="GP21" s="108" t="n"/>
      <c r="GQ21" s="122">
        <f>GP21*100/$E$21</f>
        <v/>
      </c>
      <c r="GR21" s="108" t="n"/>
      <c r="GS21" s="122">
        <f>GR21*100/$E$21</f>
        <v/>
      </c>
      <c r="GT21" s="108" t="n"/>
      <c r="GU21" s="122">
        <f>GT21*100/$E$21</f>
        <v/>
      </c>
      <c r="GV21" s="108" t="n"/>
      <c r="GW21" s="122">
        <f>GV21*100/$E$21</f>
        <v/>
      </c>
      <c r="GX21" s="108" t="n"/>
      <c r="GY21" s="122">
        <f>GX21*100/$E$21</f>
        <v/>
      </c>
      <c r="GZ21" s="108" t="n"/>
      <c r="HA21" s="122">
        <f>GZ21*100/$E$21</f>
        <v/>
      </c>
      <c r="HB21" s="108" t="n"/>
      <c r="HC21" s="122">
        <f>HB21*100/$E$21</f>
        <v/>
      </c>
      <c r="HD21" s="108" t="n"/>
      <c r="HE21" s="122">
        <f>HD21*100/$E$21</f>
        <v/>
      </c>
      <c r="HF21" s="108" t="n"/>
      <c r="HG21" s="122">
        <f>HF21*100/$E$21</f>
        <v/>
      </c>
      <c r="HH21" s="108" t="n"/>
      <c r="HI21" s="122">
        <f>HH21*100/$E$21</f>
        <v/>
      </c>
      <c r="HJ21" s="108" t="n"/>
      <c r="HK21" s="122">
        <f>HJ21*100/$E$21</f>
        <v/>
      </c>
      <c r="HL21" s="108" t="n"/>
      <c r="HM21" s="122">
        <f>HL21*100/$E$21</f>
        <v/>
      </c>
      <c r="HN21" s="108" t="n"/>
      <c r="HO21" s="122">
        <f>HN21*100/$E$21</f>
        <v/>
      </c>
      <c r="HP21" s="108" t="n"/>
      <c r="HQ21" s="122">
        <f>HP21*100/$E$21</f>
        <v/>
      </c>
      <c r="HR21" s="108" t="n"/>
      <c r="HS21" s="122">
        <f>HR21*100/$E$21</f>
        <v/>
      </c>
      <c r="HT21" s="108" t="n"/>
      <c r="HU21" s="122">
        <f>HT21*100/$E$21</f>
        <v/>
      </c>
      <c r="HV21" s="108" t="n"/>
      <c r="HW21" s="122">
        <f>HV21*100/$E$21</f>
        <v/>
      </c>
      <c r="HX21" s="108" t="n"/>
      <c r="HY21" s="122">
        <f>HX21*100/$E$21</f>
        <v/>
      </c>
      <c r="HZ21" s="108" t="n"/>
      <c r="IA21" s="122">
        <f>HZ21*100/$E$21</f>
        <v/>
      </c>
      <c r="IB21" s="108" t="n"/>
      <c r="IC21" s="122">
        <f>IB21*100/$E$21</f>
        <v/>
      </c>
      <c r="ID21" s="108" t="n"/>
      <c r="IE21" s="122">
        <f>ID21*100/$E$21</f>
        <v/>
      </c>
      <c r="IF21" s="108" t="n"/>
      <c r="IG21" s="122">
        <f>IF21*100/$E$21</f>
        <v/>
      </c>
      <c r="IH21" s="108" t="n"/>
      <c r="II21" s="122">
        <f>IH21*100/$E$21</f>
        <v/>
      </c>
      <c r="IJ21" s="108" t="n"/>
      <c r="IK21" s="122">
        <f>IJ21*100/$E$21</f>
        <v/>
      </c>
      <c r="IL21" s="108" t="n"/>
      <c r="IM21" s="122">
        <f>IL21*100/$E$21</f>
        <v/>
      </c>
      <c r="IN21" s="108" t="n"/>
      <c r="IO21" s="122">
        <f>IN21*100/$E$21</f>
        <v/>
      </c>
      <c r="IP21" s="108" t="n"/>
      <c r="IQ21" s="122">
        <f>IP21*100/$E$21</f>
        <v/>
      </c>
      <c r="IR21" s="108" t="n"/>
      <c r="IS21" s="122">
        <f>IR21*100/$E$21</f>
        <v/>
      </c>
      <c r="IT21" s="108" t="n"/>
      <c r="IU21" s="122">
        <f>IT21*100/$E$21</f>
        <v/>
      </c>
      <c r="IV21" s="108" t="n"/>
      <c r="IW21" s="122">
        <f>IV21*100/$E$21</f>
        <v/>
      </c>
      <c r="IX21" s="108" t="n"/>
      <c r="IY21" s="122">
        <f>IX21*100/$E$21</f>
        <v/>
      </c>
      <c r="IZ21" s="108" t="n"/>
      <c r="JA21" s="122">
        <f>IZ21*100/$E$21</f>
        <v/>
      </c>
      <c r="JB21" s="108" t="n"/>
      <c r="JC21" s="122">
        <f>JB21*100/$E$21</f>
        <v/>
      </c>
      <c r="JD21" s="108" t="n"/>
      <c r="JE21" s="122">
        <f>JD21*100/$E$21</f>
        <v/>
      </c>
      <c r="JF21" s="108" t="n"/>
      <c r="JG21" s="122">
        <f>JF21*100/$E$21</f>
        <v/>
      </c>
      <c r="JH21" s="108" t="n"/>
      <c r="JI21" s="122">
        <f>JH21*100/$E$21</f>
        <v/>
      </c>
      <c r="JJ21" s="108" t="n"/>
      <c r="JK21" s="122">
        <f>JJ21*100/$E$21</f>
        <v/>
      </c>
      <c r="JL21" s="108" t="n"/>
      <c r="JM21" s="122">
        <f>JL21*100/$E$21</f>
        <v/>
      </c>
      <c r="JN21" s="108" t="n"/>
      <c r="JO21" s="122">
        <f>JN21*100/$E$21</f>
        <v/>
      </c>
      <c r="JP21" s="108" t="n"/>
      <c r="JQ21" s="122">
        <f>JP21*100/$E$21</f>
        <v/>
      </c>
      <c r="JR21" s="108" t="n"/>
      <c r="JS21" s="122">
        <f>JR21*100/$E$21</f>
        <v/>
      </c>
      <c r="JT21" s="108" t="n"/>
      <c r="JU21" s="122">
        <f>JT21*100/$E$21</f>
        <v/>
      </c>
      <c r="JV21" s="108" t="n"/>
      <c r="JW21" s="122">
        <f>JV21*100/$E$21</f>
        <v/>
      </c>
      <c r="JX21" s="108" t="n"/>
      <c r="JY21" s="122">
        <f>JX21*100/$E$21</f>
        <v/>
      </c>
      <c r="JZ21" s="55">
        <f>JN21+JP21+JR21+JT21+JV21+JX21</f>
        <v/>
      </c>
      <c r="KA21" s="53">
        <f>JO21+JQ21+JS21+JU21+JW21+JY21</f>
        <v/>
      </c>
      <c r="KB21" s="64">
        <f>H21+J21+L21+N21+P21+R21+T21+V21+X21+Z21+AB21+AD21+AF21+AH21+AJ21+AL21+AN21+AP21+AR21+AT21+AV21+AX21+AZ21+BB21+BD21+BF21+BH21+BJ21+BL21+BN21+BP21+BR21+BT21+BV21+BX21+BZ21+CB21+CD21+CF21+CH21+CZ21+DB21+DD21+DF21+DH21+DJ21+DL21+DN21+DP21+DR21+DT21+DV21+DX21+DZ21+EB21+ED21+EF21+EH21+EJ21+EL21+EN21+EP21+ER21+ET21+EV21+FN21+FP21+FR21+FT21+FV21+FX21+FZ21+GB21+GD21+GF21+GH21+GJ21+GL21+GN21+GP21+GR21+GT21+GV21+GX21+GZ21+HB21+HD21+HF21+HH21+HJ21+HL21+HN21+HP21+HR21+HT21+HV21+HX21+HZ21+IB21+ID21+IF21+IH21+IJ21+IL21+IN21+IP21+IR21+IT21+IV21+IX21+IZ21+JB21+JD21+JF21+JH21+JJ21+JL21+JZ21+CJ21+CL21+CN21+CP21+CR21+CT21+CV21+CX21+EX21+EZ21+FB21+FD21+FF21+FH21+FJ21+FL21</f>
        <v/>
      </c>
      <c r="KC21" s="66">
        <f>I21+K21+M21+O21+Q21+S21+U21+W21+Y21+AA21+AC21+AE21+AG21+AI21+AK21+AM21+AO21+AQ21+AS21+AU21+AW21+AY21+BA21+BC21+BE21+BG21+BI21+BK21+BM21+BO21+BQ21+BS21+BU21+BW21+BY21+CA21+CC21+CE21+CG21+CI21+DA21+DC21+DE21+DG21+DI21+DK21+DM21+DO21+DQ21+DS21+DU21+DW21+DY21+EA21+EC21+EE21+EG21+EI21+EK21+EM21+EO21+EQ21+ES21+EU21+EW21+FO21+FS21+FU21+FW21+FQ21+FY21+GA21+GC21+GE21+GG21+GI21+GK21+GM21+GO21+GQ21+GS21+GU21+GW21+GY21+HA21+HC21+HE21+HG21+HI21+HK21+HM21+HO21+HQ21+HS21+HU21+HW21+HY21+IA21+IC21+IE21+IG21+II21+IK21+IM21+IO21+IQ21+IS21+IU21+IW21+IY21+JA21+JC21+JE21+JG21+JI21+JK21+JM21+KA21+CK21+CM21+CO21+CQ21+CS21+CU21+CW21+CY21+EY21+FA21+FC21+FE21+FG21+FI21+FK21+FM21</f>
        <v/>
      </c>
      <c r="KD21" s="44">
        <f>JO21+JQ21+JS21+JU21+JW21+JY21</f>
        <v/>
      </c>
      <c r="KE21" s="45">
        <f>KB21=E21</f>
        <v/>
      </c>
      <c r="KF21" s="101">
        <f>E21-KB21</f>
        <v/>
      </c>
      <c r="KG21" s="17" t="n"/>
    </row>
    <row r="22" ht="21.75" customFormat="1" customHeight="1" s="67">
      <c r="A22" s="130">
        <f>A21+1</f>
        <v/>
      </c>
      <c r="B22" s="175" t="inlineStr">
        <is>
          <t>Еналов Д.А.</t>
        </is>
      </c>
      <c r="C22" s="176" t="inlineStr">
        <is>
          <t>слесарь</t>
        </is>
      </c>
      <c r="D22" s="177">
        <f>$D$5</f>
        <v/>
      </c>
      <c r="E22" s="202" t="n"/>
      <c r="F22" s="191" t="n">
        <v>97702.28</v>
      </c>
      <c r="G22" s="52">
        <f>F22/D22</f>
        <v/>
      </c>
      <c r="H22" s="125" t="n"/>
      <c r="I22" s="107">
        <f>H22*100/$E$22</f>
        <v/>
      </c>
      <c r="J22" s="108" t="n"/>
      <c r="K22" s="107">
        <f>J22*100/$E$22</f>
        <v/>
      </c>
      <c r="L22" s="108" t="n"/>
      <c r="M22" s="107">
        <f>L22*100/$E$22</f>
        <v/>
      </c>
      <c r="N22" s="108" t="n"/>
      <c r="O22" s="107">
        <f>N22*100/$E$22</f>
        <v/>
      </c>
      <c r="P22" s="108" t="n"/>
      <c r="Q22" s="122">
        <f>P22*100/$E$22</f>
        <v/>
      </c>
      <c r="R22" s="108" t="n"/>
      <c r="S22" s="107">
        <f>R22*100/$E$22</f>
        <v/>
      </c>
      <c r="T22" s="108" t="n"/>
      <c r="U22" s="107">
        <f>T22*100/$E$22</f>
        <v/>
      </c>
      <c r="V22" s="108" t="n"/>
      <c r="W22" s="107">
        <f>V22*100/$E$22</f>
        <v/>
      </c>
      <c r="X22" s="108" t="n"/>
      <c r="Y22" s="107">
        <f>X22*100/$E$22</f>
        <v/>
      </c>
      <c r="Z22" s="108" t="n"/>
      <c r="AA22" s="107">
        <f>Z22*100/$E$22</f>
        <v/>
      </c>
      <c r="AB22" s="108" t="n"/>
      <c r="AC22" s="107">
        <f>AB22*100/$E$22</f>
        <v/>
      </c>
      <c r="AD22" s="108" t="n"/>
      <c r="AE22" s="107">
        <f>AD22*100/$E$22</f>
        <v/>
      </c>
      <c r="AF22" s="108" t="n"/>
      <c r="AG22" s="107">
        <f>AF22*100/$E$22</f>
        <v/>
      </c>
      <c r="AH22" s="108" t="n"/>
      <c r="AI22" s="107">
        <f>AH22*100/$E$22</f>
        <v/>
      </c>
      <c r="AJ22" s="108" t="n"/>
      <c r="AK22" s="107">
        <f>AJ22*100/$E$22</f>
        <v/>
      </c>
      <c r="AL22" s="108" t="n"/>
      <c r="AM22" s="107">
        <f>AL22*100/$E$22</f>
        <v/>
      </c>
      <c r="AN22" s="108" t="n"/>
      <c r="AO22" s="107">
        <f>AN22*100/$E$22</f>
        <v/>
      </c>
      <c r="AP22" s="108" t="n"/>
      <c r="AQ22" s="107">
        <f>AP22*100/$E$22</f>
        <v/>
      </c>
      <c r="AR22" s="108" t="n"/>
      <c r="AS22" s="107">
        <f>AR22*100/$E$22</f>
        <v/>
      </c>
      <c r="AT22" s="108" t="n"/>
      <c r="AU22" s="90">
        <f>AT22*100/$E$22</f>
        <v/>
      </c>
      <c r="AV22" s="108" t="n"/>
      <c r="AW22" s="107">
        <f>AV22*100/$E$22</f>
        <v/>
      </c>
      <c r="AX22" s="108" t="n"/>
      <c r="AY22" s="107">
        <f>AX22*100/$E$22</f>
        <v/>
      </c>
      <c r="AZ22" s="108" t="n"/>
      <c r="BA22" s="107">
        <f>AZ22*100/$E$22</f>
        <v/>
      </c>
      <c r="BB22" s="108" t="n"/>
      <c r="BC22" s="107">
        <f>BB22*100/$E$22</f>
        <v/>
      </c>
      <c r="BD22" s="108" t="n"/>
      <c r="BE22" s="107">
        <f>BD22*100/$E$22</f>
        <v/>
      </c>
      <c r="BF22" s="108" t="n"/>
      <c r="BG22" s="107">
        <f>BF22*100/$E$22</f>
        <v/>
      </c>
      <c r="BH22" s="108" t="n"/>
      <c r="BI22" s="107">
        <f>BH22*100/$E$22</f>
        <v/>
      </c>
      <c r="BJ22" s="108" t="n"/>
      <c r="BK22" s="107">
        <f>BJ22*100/$E$22</f>
        <v/>
      </c>
      <c r="BL22" s="108" t="n"/>
      <c r="BM22" s="107">
        <f>BL22*100/$E$22</f>
        <v/>
      </c>
      <c r="BN22" s="108" t="n"/>
      <c r="BO22" s="107">
        <f>BN22*100/$E$22</f>
        <v/>
      </c>
      <c r="BP22" s="108" t="n"/>
      <c r="BQ22" s="107">
        <f>BP22*100/$E$22</f>
        <v/>
      </c>
      <c r="BR22" s="108" t="n"/>
      <c r="BS22" s="107">
        <f>BR22*100/$E$22</f>
        <v/>
      </c>
      <c r="BT22" s="108" t="n"/>
      <c r="BU22" s="107">
        <f>BT22*100/$E$22</f>
        <v/>
      </c>
      <c r="BV22" s="108" t="n"/>
      <c r="BW22" s="107">
        <f>BV22*100/$E$22</f>
        <v/>
      </c>
      <c r="BX22" s="108" t="n"/>
      <c r="BY22" s="107">
        <f>BX22*100/$E$22</f>
        <v/>
      </c>
      <c r="BZ22" s="108" t="n"/>
      <c r="CA22" s="107">
        <f>BZ22*100/$E$22</f>
        <v/>
      </c>
      <c r="CB22" s="108" t="n"/>
      <c r="CC22" s="107">
        <f>CB22*100/$E$22</f>
        <v/>
      </c>
      <c r="CD22" s="108" t="n"/>
      <c r="CE22" s="107">
        <f>CD22*100/$E$22</f>
        <v/>
      </c>
      <c r="CF22" s="108" t="n"/>
      <c r="CG22" s="107">
        <f>CF22*100/$E$22</f>
        <v/>
      </c>
      <c r="CH22" s="108" t="n"/>
      <c r="CI22" s="107">
        <f>CH22*100/$E$22</f>
        <v/>
      </c>
      <c r="CJ22" s="108" t="n"/>
      <c r="CK22" s="107">
        <f>CJ22*100/$E$22</f>
        <v/>
      </c>
      <c r="CL22" s="108" t="n"/>
      <c r="CM22" s="107">
        <f>CL22*100/$E$22</f>
        <v/>
      </c>
      <c r="CN22" s="108" t="n"/>
      <c r="CO22" s="122">
        <f>CN22*100/$E$22</f>
        <v/>
      </c>
      <c r="CP22" s="108" t="n"/>
      <c r="CQ22" s="107">
        <f>CP22*100/$E$22</f>
        <v/>
      </c>
      <c r="CR22" s="108" t="n"/>
      <c r="CS22" s="122">
        <f>CR22*100/$E$22</f>
        <v/>
      </c>
      <c r="CT22" s="108" t="n"/>
      <c r="CU22" s="122">
        <f>CT22*100/$E$22</f>
        <v/>
      </c>
      <c r="CV22" s="108" t="n"/>
      <c r="CW22" s="122">
        <f>CV22*100/$E$22</f>
        <v/>
      </c>
      <c r="CX22" s="108" t="n"/>
      <c r="CY22" s="122">
        <f>CX22*100/$E$22</f>
        <v/>
      </c>
      <c r="CZ22" s="108" t="n"/>
      <c r="DA22" s="122">
        <f>CZ22*100/$E$22</f>
        <v/>
      </c>
      <c r="DB22" s="108" t="n"/>
      <c r="DC22" s="122">
        <f>DB22*100/$E$22</f>
        <v/>
      </c>
      <c r="DD22" s="108" t="n"/>
      <c r="DE22" s="122">
        <f>DD22*100/$E$22</f>
        <v/>
      </c>
      <c r="DF22" s="108" t="n"/>
      <c r="DG22" s="122">
        <f>DF22*100/$E$22</f>
        <v/>
      </c>
      <c r="DH22" s="108" t="n"/>
      <c r="DI22" s="122">
        <f>DH22*100/$E$22</f>
        <v/>
      </c>
      <c r="DJ22" s="108" t="n"/>
      <c r="DK22" s="122">
        <f>DJ22*100/$E$22</f>
        <v/>
      </c>
      <c r="DL22" s="108" t="n"/>
      <c r="DM22" s="122">
        <f>DL22*100/$E$22</f>
        <v/>
      </c>
      <c r="DN22" s="108" t="n"/>
      <c r="DO22" s="122">
        <f>DN22*100/$E$22</f>
        <v/>
      </c>
      <c r="DP22" s="108" t="n"/>
      <c r="DQ22" s="122">
        <f>DP22*100/$E$22</f>
        <v/>
      </c>
      <c r="DR22" s="108" t="n"/>
      <c r="DS22" s="107">
        <f>DR22*100/$E$22</f>
        <v/>
      </c>
      <c r="DT22" s="108" t="n"/>
      <c r="DU22" s="122">
        <f>DT22*100/$E$22</f>
        <v/>
      </c>
      <c r="DV22" s="108" t="n"/>
      <c r="DW22" s="122">
        <f>DV22*100/$E$22</f>
        <v/>
      </c>
      <c r="DX22" s="108" t="n"/>
      <c r="DY22" s="122">
        <f>DX22*100/$E$22</f>
        <v/>
      </c>
      <c r="DZ22" s="108" t="n"/>
      <c r="EA22" s="122">
        <f>DZ22*100/$E$22</f>
        <v/>
      </c>
      <c r="EB22" s="108" t="n"/>
      <c r="EC22" s="122">
        <f>EB22*100/$E$22</f>
        <v/>
      </c>
      <c r="ED22" s="108" t="n"/>
      <c r="EE22" s="122">
        <f>ED22*100/$E$22</f>
        <v/>
      </c>
      <c r="EF22" s="108" t="n"/>
      <c r="EG22" s="122">
        <f>EF22*100/$E$22</f>
        <v/>
      </c>
      <c r="EH22" s="108" t="n"/>
      <c r="EI22" s="107">
        <f>EH22*100/$E$22</f>
        <v/>
      </c>
      <c r="EJ22" s="108" t="n"/>
      <c r="EK22" s="107">
        <f>EJ22*100/$E$22</f>
        <v/>
      </c>
      <c r="EL22" s="108" t="n"/>
      <c r="EM22" s="107">
        <f>EL22*100/$E$22</f>
        <v/>
      </c>
      <c r="EN22" s="108" t="n"/>
      <c r="EO22" s="107">
        <f>EN22*100/$E$22</f>
        <v/>
      </c>
      <c r="EP22" s="108" t="n"/>
      <c r="EQ22" s="107">
        <f>EP22*100/$E$22</f>
        <v/>
      </c>
      <c r="ER22" s="108" t="n"/>
      <c r="ES22" s="107">
        <f>ER22*100/$E$22</f>
        <v/>
      </c>
      <c r="ET22" s="108" t="n"/>
      <c r="EU22" s="107">
        <f>ET22*100/$E$22</f>
        <v/>
      </c>
      <c r="EV22" s="108" t="n"/>
      <c r="EW22" s="122">
        <f>EV22*100/$E$22</f>
        <v/>
      </c>
      <c r="EX22" s="108" t="n"/>
      <c r="EY22" s="122">
        <f>EX22*100/$E$22</f>
        <v/>
      </c>
      <c r="EZ22" s="108" t="n"/>
      <c r="FA22" s="122">
        <f>EZ22*100/$E$22</f>
        <v/>
      </c>
      <c r="FB22" s="108" t="n"/>
      <c r="FC22" s="122">
        <f>FB22*100/$E$22</f>
        <v/>
      </c>
      <c r="FD22" s="108" t="n"/>
      <c r="FE22" s="122">
        <f>FD22*100/$E$22</f>
        <v/>
      </c>
      <c r="FF22" s="108" t="n"/>
      <c r="FG22" s="122">
        <f>FF22*100/$E$22</f>
        <v/>
      </c>
      <c r="FH22" s="108" t="n"/>
      <c r="FI22" s="122">
        <f>FH22*100/$E$22</f>
        <v/>
      </c>
      <c r="FJ22" s="108" t="n"/>
      <c r="FK22" s="122">
        <f>FJ22*100/$E$22</f>
        <v/>
      </c>
      <c r="FL22" s="108" t="n"/>
      <c r="FM22" s="122">
        <f>FL22*100/$E$22</f>
        <v/>
      </c>
      <c r="FN22" s="108" t="n"/>
      <c r="FO22" s="122">
        <f>FN22*100/$E$22</f>
        <v/>
      </c>
      <c r="FP22" s="108" t="n"/>
      <c r="FQ22" s="107">
        <f>FP22*100/$E$22</f>
        <v/>
      </c>
      <c r="FR22" s="108" t="n"/>
      <c r="FS22" s="107">
        <f>FR22*100/$E$22</f>
        <v/>
      </c>
      <c r="FT22" s="108" t="n"/>
      <c r="FU22" s="107">
        <f>FT22*100/$E$22</f>
        <v/>
      </c>
      <c r="FV22" s="108" t="n"/>
      <c r="FW22" s="107">
        <f>FV22*100/$E$22</f>
        <v/>
      </c>
      <c r="FX22" s="108" t="n"/>
      <c r="FY22" s="107">
        <f>FX22*100/$E$22</f>
        <v/>
      </c>
      <c r="FZ22" s="108" t="n"/>
      <c r="GA22" s="107">
        <f>FZ22*100/$E$22</f>
        <v/>
      </c>
      <c r="GB22" s="108" t="n"/>
      <c r="GC22" s="107">
        <f>GB22*100/$E$22</f>
        <v/>
      </c>
      <c r="GD22" s="108" t="n"/>
      <c r="GE22" s="107">
        <f>GD22*100/$E$22</f>
        <v/>
      </c>
      <c r="GF22" s="108" t="n"/>
      <c r="GG22" s="107">
        <f>GF22*100/$E$22</f>
        <v/>
      </c>
      <c r="GH22" s="108" t="n"/>
      <c r="GI22" s="107">
        <f>GH22*100/$E$22</f>
        <v/>
      </c>
      <c r="GJ22" s="108" t="n"/>
      <c r="GK22" s="122">
        <f>GJ22*100/$E$22</f>
        <v/>
      </c>
      <c r="GL22" s="108" t="n"/>
      <c r="GM22" s="107">
        <f>GL22*100/$E$22</f>
        <v/>
      </c>
      <c r="GN22" s="108" t="n"/>
      <c r="GO22" s="122">
        <f>GN22*100/$E$22</f>
        <v/>
      </c>
      <c r="GP22" s="108" t="n"/>
      <c r="GQ22" s="107">
        <f>GP22*100/$E$22</f>
        <v/>
      </c>
      <c r="GR22" s="108" t="n"/>
      <c r="GS22" s="122">
        <f>GR22*100/$E$22</f>
        <v/>
      </c>
      <c r="GT22" s="108" t="n"/>
      <c r="GU22" s="122">
        <f>GT22*100/$E$22</f>
        <v/>
      </c>
      <c r="GV22" s="108" t="n"/>
      <c r="GW22" s="107">
        <f>GV22*100/$E$22</f>
        <v/>
      </c>
      <c r="GX22" s="108" t="n"/>
      <c r="GY22" s="107">
        <f>GX22*100/$E$22</f>
        <v/>
      </c>
      <c r="GZ22" s="108" t="n"/>
      <c r="HA22" s="107">
        <f>GZ22*100/$E$22</f>
        <v/>
      </c>
      <c r="HB22" s="108" t="n"/>
      <c r="HC22" s="107">
        <f>HB22*100/$E$22</f>
        <v/>
      </c>
      <c r="HD22" s="108" t="n"/>
      <c r="HE22" s="107">
        <f>HD22*100/$E$22</f>
        <v/>
      </c>
      <c r="HF22" s="108" t="n"/>
      <c r="HG22" s="107">
        <f>HF22*100/$E$22</f>
        <v/>
      </c>
      <c r="HH22" s="108" t="n"/>
      <c r="HI22" s="107">
        <f>HH22*100/$E$22</f>
        <v/>
      </c>
      <c r="HJ22" s="108" t="n"/>
      <c r="HK22" s="107">
        <f>HJ22*100/$E$22</f>
        <v/>
      </c>
      <c r="HL22" s="108" t="n"/>
      <c r="HM22" s="107">
        <f>HL22*100/$E$22</f>
        <v/>
      </c>
      <c r="HN22" s="108" t="n"/>
      <c r="HO22" s="107">
        <f>HN22*100/$E$22</f>
        <v/>
      </c>
      <c r="HP22" s="108" t="n"/>
      <c r="HQ22" s="107">
        <f>HP22*100/$E$22</f>
        <v/>
      </c>
      <c r="HR22" s="108" t="n"/>
      <c r="HS22" s="107">
        <f>HR22*100/$E$22</f>
        <v/>
      </c>
      <c r="HT22" s="108" t="n"/>
      <c r="HU22" s="107">
        <f>HT22*100/$E$22</f>
        <v/>
      </c>
      <c r="HV22" s="108" t="n"/>
      <c r="HW22" s="107">
        <f>HV22*100/$E$22</f>
        <v/>
      </c>
      <c r="HX22" s="108" t="n"/>
      <c r="HY22" s="107">
        <f>HX22*100/$E$22</f>
        <v/>
      </c>
      <c r="HZ22" s="108" t="n"/>
      <c r="IA22" s="122">
        <f>HZ22*100/$E$22</f>
        <v/>
      </c>
      <c r="IB22" s="108" t="n"/>
      <c r="IC22" s="122">
        <f>IB22*100/$E$22</f>
        <v/>
      </c>
      <c r="ID22" s="108" t="n"/>
      <c r="IE22" s="122">
        <f>ID22*100/$E$22</f>
        <v/>
      </c>
      <c r="IF22" s="108" t="n"/>
      <c r="IG22" s="122">
        <f>IF22*100/$E$22</f>
        <v/>
      </c>
      <c r="IH22" s="108" t="n"/>
      <c r="II22" s="122">
        <f>IH22*100/$E$22</f>
        <v/>
      </c>
      <c r="IJ22" s="108" t="n"/>
      <c r="IK22" s="122">
        <f>IJ22*100/$E$22</f>
        <v/>
      </c>
      <c r="IL22" s="108" t="n"/>
      <c r="IM22" s="107">
        <f>IL22*100/$E$22</f>
        <v/>
      </c>
      <c r="IN22" s="108" t="n"/>
      <c r="IO22" s="107">
        <f>IN22*100/$E$22</f>
        <v/>
      </c>
      <c r="IP22" s="108" t="n"/>
      <c r="IQ22" s="122">
        <f>IP22*100/$E$22</f>
        <v/>
      </c>
      <c r="IR22" s="108" t="n"/>
      <c r="IS22" s="122">
        <f>IR22*100/$E$22</f>
        <v/>
      </c>
      <c r="IT22" s="108" t="n"/>
      <c r="IU22" s="122">
        <f>IT22*100/$E$22</f>
        <v/>
      </c>
      <c r="IV22" s="108" t="n"/>
      <c r="IW22" s="122">
        <f>IV22*100/$E$22</f>
        <v/>
      </c>
      <c r="IX22" s="108" t="n"/>
      <c r="IY22" s="122">
        <f>IX22*100/$E$22</f>
        <v/>
      </c>
      <c r="IZ22" s="108" t="n"/>
      <c r="JA22" s="122">
        <f>IZ22*100/$E$22</f>
        <v/>
      </c>
      <c r="JB22" s="108" t="n"/>
      <c r="JC22" s="122">
        <f>JB22*100/$E$22</f>
        <v/>
      </c>
      <c r="JD22" s="108" t="n"/>
      <c r="JE22" s="122">
        <f>JD22*100/$E$22</f>
        <v/>
      </c>
      <c r="JF22" s="108" t="n"/>
      <c r="JG22" s="107">
        <f>JF22*100/$E$22</f>
        <v/>
      </c>
      <c r="JH22" s="108" t="n"/>
      <c r="JI22" s="122">
        <f>JH22*100/$E$22</f>
        <v/>
      </c>
      <c r="JJ22" s="108" t="n"/>
      <c r="JK22" s="107">
        <f>JJ22*100/$E$22</f>
        <v/>
      </c>
      <c r="JL22" s="108" t="n"/>
      <c r="JM22" s="122">
        <f>JL22*100/$E$22</f>
        <v/>
      </c>
      <c r="JN22" s="108" t="n"/>
      <c r="JO22" s="107">
        <f>JN22*100/$E$22</f>
        <v/>
      </c>
      <c r="JP22" s="108" t="n"/>
      <c r="JQ22" s="107">
        <f>JP22*100/$E$22</f>
        <v/>
      </c>
      <c r="JR22" s="108" t="n"/>
      <c r="JS22" s="107">
        <f>JR22*100/$E$22</f>
        <v/>
      </c>
      <c r="JT22" s="108" t="n"/>
      <c r="JU22" s="107">
        <f>JT22*100/$E$22</f>
        <v/>
      </c>
      <c r="JV22" s="108" t="n"/>
      <c r="JW22" s="107">
        <f>JV22*100/$E$22</f>
        <v/>
      </c>
      <c r="JX22" s="108" t="n"/>
      <c r="JY22" s="107">
        <f>JX22*100/$E$22</f>
        <v/>
      </c>
      <c r="JZ22" s="55">
        <f>JN22+JP22+JR22+JT22+JV22+JX22</f>
        <v/>
      </c>
      <c r="KA22" s="53">
        <f>JO22+JQ22+JS22+JU22+JW22+JY22</f>
        <v/>
      </c>
      <c r="KB22" s="64">
        <f>H22+J22+L22+N22+P22+R22+T22+V22+X22+Z22+AB22+AD22+AF22+AH22+AJ22+AL22+AN22+AP22+AR22+AT22+AV22+AX22+AZ22+BB22+BD22+BF22+BH22+BJ22+BL22+BN22+BP22+BR22+BT22+BV22+BX22+BZ22+CB22+CD22+CF22+CH22+CZ22+DB22+DD22+DF22+DH22+DJ22+DL22+DN22+DP22+DR22+DT22+DV22+DX22+DZ22+EB22+ED22+EF22+EH22+EJ22+EL22+EN22+EP22+ER22+ET22+EV22+FN22+FP22+FR22+FT22+FV22+FX22+FZ22+GB22+GD22+GF22+GH22+GJ22+GL22+GN22+GP22+GR22+GT22+GV22+GX22+GZ22+HB22+HD22+HF22+HH22+HJ22+HL22+HN22+HP22+HR22+HT22+HV22+HX22+HZ22+IB22+ID22+IF22+IH22+IJ22+IL22+IN22+IP22+IR22+IT22+IV22+IX22+IZ22+JB22+JD22+JF22+JH22+JJ22+JL22+JZ22+CJ22+CL22+CN22+CP22+CR22+CT22+CV22+CX22+EX22+EZ22+FB22+FD22+FF22+FH22+FJ22+FL22</f>
        <v/>
      </c>
      <c r="KC22" s="66">
        <f>I22+K22+M22+O22+Q22+S22+U22+W22+Y22+AA22+AC22+AE22+AG22+AI22+AK22+AM22+AO22+AQ22+AS22+AU22+AW22+AY22+BA22+BC22+BE22+BG22+BI22+BK22+BM22+BO22+BQ22+BS22+BU22+BW22+BY22+CA22+CC22+CE22+CG22+CI22+DA22+DC22+DE22+DG22+DI22+DK22+DM22+DO22+DQ22+DS22+DU22+DW22+DY22+EA22+EC22+EE22+EG22+EI22+EK22+EM22+EO22+EQ22+ES22+EU22+EW22+FO22+FS22+FU22+FW22+FQ22+FY22+GA22+GC22+GE22+GG22+GI22+GK22+GM22+GO22+GQ22+GS22+GU22+GW22+GY22+HA22+HC22+HE22+HG22+HI22+HK22+HM22+HO22+HQ22+HS22+HU22+HW22+HY22+IA22+IC22+IE22+IG22+II22+IK22+IM22+IO22+IQ22+IS22+IU22+IW22+IY22+JA22+JC22+JE22+JG22+JI22+JK22+JM22+KA22+CK22+CM22+CO22+CQ22+CS22+CU22+CW22+CY22+EY22+FA22+FC22+FE22+FG22+FI22+FK22+FM22</f>
        <v/>
      </c>
      <c r="KD22" s="44">
        <f>JO22+JQ22+JS22+JU22+JW22+JY22</f>
        <v/>
      </c>
      <c r="KE22" s="45">
        <f>KB22=E22</f>
        <v/>
      </c>
      <c r="KF22" s="101">
        <f>E22-KB22</f>
        <v/>
      </c>
      <c r="KG22" s="17" t="n"/>
    </row>
    <row r="23" ht="21.75" customFormat="1" customHeight="1" s="17">
      <c r="A23" s="130">
        <f>A22+1</f>
        <v/>
      </c>
      <c r="B23" s="199" t="inlineStr">
        <is>
          <t>Енин К.С.</t>
        </is>
      </c>
      <c r="C23" s="200" t="inlineStr">
        <is>
          <t>токарь</t>
        </is>
      </c>
      <c r="D23" s="177">
        <f>$D$5</f>
        <v/>
      </c>
      <c r="E23" s="203" t="n"/>
      <c r="F23" s="178" t="n">
        <v>101150.45</v>
      </c>
      <c r="G23" s="52">
        <f>F23/D23</f>
        <v/>
      </c>
      <c r="H23" s="125" t="n"/>
      <c r="I23" s="107">
        <f>H23*100/$E$23</f>
        <v/>
      </c>
      <c r="J23" s="108" t="n"/>
      <c r="K23" s="107">
        <f>J23*100/$E$23</f>
        <v/>
      </c>
      <c r="L23" s="108" t="n"/>
      <c r="M23" s="107">
        <f>L23*100/$E$23</f>
        <v/>
      </c>
      <c r="N23" s="108" t="n"/>
      <c r="O23" s="107">
        <f>N23*100/$E$23</f>
        <v/>
      </c>
      <c r="P23" s="108" t="n"/>
      <c r="Q23" s="122">
        <f>P23*100/$E$23</f>
        <v/>
      </c>
      <c r="R23" s="108" t="n"/>
      <c r="S23" s="122">
        <f>R23*100/$E$23</f>
        <v/>
      </c>
      <c r="T23" s="108" t="n"/>
      <c r="U23" s="107">
        <f>T23*100/$E$23</f>
        <v/>
      </c>
      <c r="V23" s="108" t="n"/>
      <c r="W23" s="107">
        <f>V23*100/$E$23</f>
        <v/>
      </c>
      <c r="X23" s="108" t="n"/>
      <c r="Y23" s="107">
        <f>X23*100/$E$23</f>
        <v/>
      </c>
      <c r="Z23" s="108" t="n"/>
      <c r="AA23" s="107">
        <f>Z23*100/$E$23</f>
        <v/>
      </c>
      <c r="AB23" s="108" t="n"/>
      <c r="AC23" s="107">
        <f>AB23*100/$E$23</f>
        <v/>
      </c>
      <c r="AD23" s="108" t="n"/>
      <c r="AE23" s="122">
        <f>AD23*100/$E$23</f>
        <v/>
      </c>
      <c r="AF23" s="108" t="n"/>
      <c r="AG23" s="122">
        <f>AF23*100/$E$23</f>
        <v/>
      </c>
      <c r="AH23" s="108" t="n"/>
      <c r="AI23" s="107">
        <f>AH23*100/$E$23</f>
        <v/>
      </c>
      <c r="AJ23" s="108" t="n"/>
      <c r="AK23" s="107">
        <f>AJ23*100/$E$23</f>
        <v/>
      </c>
      <c r="AL23" s="108" t="n"/>
      <c r="AM23" s="107">
        <f>AL23*100/$E$23</f>
        <v/>
      </c>
      <c r="AN23" s="108" t="n"/>
      <c r="AO23" s="107">
        <f>AN23*100/$E$23</f>
        <v/>
      </c>
      <c r="AP23" s="108" t="n"/>
      <c r="AQ23" s="107">
        <f>AP23*100/$E$23</f>
        <v/>
      </c>
      <c r="AR23" s="108" t="n"/>
      <c r="AS23" s="107">
        <f>AR23*100/$E$23</f>
        <v/>
      </c>
      <c r="AT23" s="108" t="n"/>
      <c r="AU23" s="90">
        <f>AT23*100/$E$23</f>
        <v/>
      </c>
      <c r="AV23" s="108" t="n"/>
      <c r="AW23" s="107">
        <f>AV23*100/$E$23</f>
        <v/>
      </c>
      <c r="AX23" s="108" t="n"/>
      <c r="AY23" s="107">
        <f>AX23*100/$E$23</f>
        <v/>
      </c>
      <c r="AZ23" s="108" t="n"/>
      <c r="BA23" s="107">
        <f>AZ23*100/$E$23</f>
        <v/>
      </c>
      <c r="BB23" s="108" t="n"/>
      <c r="BC23" s="107">
        <f>BB23*100/$E$23</f>
        <v/>
      </c>
      <c r="BD23" s="108" t="n"/>
      <c r="BE23" s="107">
        <f>BD23*100/$E$23</f>
        <v/>
      </c>
      <c r="BF23" s="108" t="n"/>
      <c r="BG23" s="107">
        <f>BF23*100/$E$23</f>
        <v/>
      </c>
      <c r="BH23" s="108" t="n"/>
      <c r="BI23" s="107">
        <f>BH23*100/$E$23</f>
        <v/>
      </c>
      <c r="BJ23" s="108" t="n"/>
      <c r="BK23" s="107">
        <f>BJ23*100/$E$23</f>
        <v/>
      </c>
      <c r="BL23" s="108" t="n"/>
      <c r="BM23" s="107">
        <f>BL23*100/$E$23</f>
        <v/>
      </c>
      <c r="BN23" s="108" t="n"/>
      <c r="BO23" s="107">
        <f>BN23*100/$E$23</f>
        <v/>
      </c>
      <c r="BP23" s="108" t="n"/>
      <c r="BQ23" s="107">
        <f>BP23*100/$E$23</f>
        <v/>
      </c>
      <c r="BR23" s="108" t="n"/>
      <c r="BS23" s="107">
        <f>BR23*100/$E$23</f>
        <v/>
      </c>
      <c r="BT23" s="108" t="n"/>
      <c r="BU23" s="107">
        <f>BT23*100/$E$23</f>
        <v/>
      </c>
      <c r="BV23" s="108" t="n"/>
      <c r="BW23" s="107">
        <f>BV23*100/$E$23</f>
        <v/>
      </c>
      <c r="BX23" s="108" t="n"/>
      <c r="BY23" s="107">
        <f>BX23*100/$E$23</f>
        <v/>
      </c>
      <c r="BZ23" s="108" t="n"/>
      <c r="CA23" s="107">
        <f>BZ23*100/$E$23</f>
        <v/>
      </c>
      <c r="CB23" s="108" t="n"/>
      <c r="CC23" s="107">
        <f>CB23*100/$E$23</f>
        <v/>
      </c>
      <c r="CD23" s="108" t="n"/>
      <c r="CE23" s="107">
        <f>CD23*100/$E$23</f>
        <v/>
      </c>
      <c r="CF23" s="108" t="n"/>
      <c r="CG23" s="107">
        <f>CF23*100/$E$23</f>
        <v/>
      </c>
      <c r="CH23" s="108" t="n"/>
      <c r="CI23" s="107">
        <f>CH23*100/$E$23</f>
        <v/>
      </c>
      <c r="CJ23" s="108" t="n"/>
      <c r="CK23" s="107">
        <f>CJ23*100/$E$23</f>
        <v/>
      </c>
      <c r="CL23" s="108" t="n"/>
      <c r="CM23" s="107">
        <f>CL23*100/$E$23</f>
        <v/>
      </c>
      <c r="CN23" s="108" t="n"/>
      <c r="CO23" s="122">
        <f>CN23*100/$E$23</f>
        <v/>
      </c>
      <c r="CP23" s="108" t="n"/>
      <c r="CQ23" s="107">
        <f>CP23*100/$E$23</f>
        <v/>
      </c>
      <c r="CR23" s="108" t="n"/>
      <c r="CS23" s="122">
        <f>CR23*100/$E$23</f>
        <v/>
      </c>
      <c r="CT23" s="108" t="n"/>
      <c r="CU23" s="122">
        <f>CT23*100/$E$23</f>
        <v/>
      </c>
      <c r="CV23" s="108" t="n"/>
      <c r="CW23" s="122">
        <f>CV23*100/$E$23</f>
        <v/>
      </c>
      <c r="CX23" s="108" t="n"/>
      <c r="CY23" s="122">
        <f>CX23*100/$E$23</f>
        <v/>
      </c>
      <c r="CZ23" s="108" t="n"/>
      <c r="DA23" s="122">
        <f>CZ23*100/$E$23</f>
        <v/>
      </c>
      <c r="DB23" s="108" t="n"/>
      <c r="DC23" s="122">
        <f>DB23*100/$E$23</f>
        <v/>
      </c>
      <c r="DD23" s="108" t="n"/>
      <c r="DE23" s="122">
        <f>DD23*100/$E$23</f>
        <v/>
      </c>
      <c r="DF23" s="108" t="n"/>
      <c r="DG23" s="122">
        <f>DF23*100/$E$23</f>
        <v/>
      </c>
      <c r="DH23" s="108" t="n"/>
      <c r="DI23" s="122">
        <f>DH23*100/$E$23</f>
        <v/>
      </c>
      <c r="DJ23" s="108" t="n"/>
      <c r="DK23" s="122">
        <f>DJ23*100/$E$23</f>
        <v/>
      </c>
      <c r="DL23" s="108" t="n"/>
      <c r="DM23" s="122">
        <f>DL23*100/$E$23</f>
        <v/>
      </c>
      <c r="DN23" s="108" t="n"/>
      <c r="DO23" s="122">
        <f>DN23*100/$E$23</f>
        <v/>
      </c>
      <c r="DP23" s="108" t="n"/>
      <c r="DQ23" s="122">
        <f>DP23*100/$E$23</f>
        <v/>
      </c>
      <c r="DR23" s="108" t="n"/>
      <c r="DS23" s="122">
        <f>DR23*100/$E$23</f>
        <v/>
      </c>
      <c r="DT23" s="108" t="n"/>
      <c r="DU23" s="122">
        <f>DT23*100/$E$23</f>
        <v/>
      </c>
      <c r="DV23" s="108" t="n"/>
      <c r="DW23" s="122">
        <f>DV23*100/$E$23</f>
        <v/>
      </c>
      <c r="DX23" s="108" t="n"/>
      <c r="DY23" s="122">
        <f>DX23*100/$E$23</f>
        <v/>
      </c>
      <c r="DZ23" s="108" t="n"/>
      <c r="EA23" s="122">
        <f>DZ23*100/$E$23</f>
        <v/>
      </c>
      <c r="EB23" s="108" t="n"/>
      <c r="EC23" s="122">
        <f>EB23*100/$E$23</f>
        <v/>
      </c>
      <c r="ED23" s="108" t="n"/>
      <c r="EE23" s="122">
        <f>ED23*100/$E$23</f>
        <v/>
      </c>
      <c r="EF23" s="108" t="n"/>
      <c r="EG23" s="122">
        <f>EF23*100/$E$23</f>
        <v/>
      </c>
      <c r="EH23" s="108" t="n"/>
      <c r="EI23" s="122">
        <f>EH23*100/$E$23</f>
        <v/>
      </c>
      <c r="EJ23" s="108" t="n"/>
      <c r="EK23" s="122">
        <f>EJ23*100/$E$23</f>
        <v/>
      </c>
      <c r="EL23" s="108" t="n"/>
      <c r="EM23" s="122">
        <f>EL23*100/$E$23</f>
        <v/>
      </c>
      <c r="EN23" s="108" t="n"/>
      <c r="EO23" s="122">
        <f>EN23*100/$E$23</f>
        <v/>
      </c>
      <c r="EP23" s="108" t="n"/>
      <c r="EQ23" s="122">
        <f>EP23*100/$E$23</f>
        <v/>
      </c>
      <c r="ER23" s="108" t="n"/>
      <c r="ES23" s="122">
        <f>ER23*100/$E$23</f>
        <v/>
      </c>
      <c r="ET23" s="108" t="n"/>
      <c r="EU23" s="122">
        <f>ET23*100/$E$23</f>
        <v/>
      </c>
      <c r="EV23" s="108" t="n"/>
      <c r="EW23" s="122">
        <f>EV23*100/$E$23</f>
        <v/>
      </c>
      <c r="EX23" s="108" t="n"/>
      <c r="EY23" s="122">
        <f>EX23*100/$E$23</f>
        <v/>
      </c>
      <c r="EZ23" s="108" t="n"/>
      <c r="FA23" s="122">
        <f>EZ23*100/$E$23</f>
        <v/>
      </c>
      <c r="FB23" s="108" t="n"/>
      <c r="FC23" s="122">
        <f>FB23*100/$E$23</f>
        <v/>
      </c>
      <c r="FD23" s="108" t="n"/>
      <c r="FE23" s="122">
        <f>FD23*100/$E$23</f>
        <v/>
      </c>
      <c r="FF23" s="108" t="n"/>
      <c r="FG23" s="122">
        <f>FF23*100/$E$23</f>
        <v/>
      </c>
      <c r="FH23" s="108" t="n"/>
      <c r="FI23" s="122">
        <f>FH23*100/$E$23</f>
        <v/>
      </c>
      <c r="FJ23" s="108" t="n"/>
      <c r="FK23" s="122">
        <f>FJ23*100/$E$23</f>
        <v/>
      </c>
      <c r="FL23" s="108" t="n"/>
      <c r="FM23" s="122">
        <f>FL23*100/$E$23</f>
        <v/>
      </c>
      <c r="FN23" s="108" t="n"/>
      <c r="FO23" s="122">
        <f>FN23*100/$E$23</f>
        <v/>
      </c>
      <c r="FP23" s="108" t="n"/>
      <c r="FQ23" s="122">
        <f>FP23*100/$E$23</f>
        <v/>
      </c>
      <c r="FR23" s="108" t="n"/>
      <c r="FS23" s="122">
        <f>FR23*100/$E$23</f>
        <v/>
      </c>
      <c r="FT23" s="108" t="n"/>
      <c r="FU23" s="122">
        <f>FT23*100/$E$23</f>
        <v/>
      </c>
      <c r="FV23" s="108" t="n"/>
      <c r="FW23" s="122">
        <f>FV23*100/$E$23</f>
        <v/>
      </c>
      <c r="FX23" s="108" t="n"/>
      <c r="FY23" s="107">
        <f>FX23*100/$E$23</f>
        <v/>
      </c>
      <c r="FZ23" s="108" t="n"/>
      <c r="GA23" s="107">
        <f>FZ23*100/$E$23</f>
        <v/>
      </c>
      <c r="GB23" s="108" t="n"/>
      <c r="GC23" s="107">
        <f>GB23*100/$E$23</f>
        <v/>
      </c>
      <c r="GD23" s="108" t="n"/>
      <c r="GE23" s="107">
        <f>GD23*100/$E$23</f>
        <v/>
      </c>
      <c r="GF23" s="108" t="n"/>
      <c r="GG23" s="107">
        <f>GF23*100/$E$23</f>
        <v/>
      </c>
      <c r="GH23" s="108" t="n"/>
      <c r="GI23" s="107">
        <f>GH23*100/$E$23</f>
        <v/>
      </c>
      <c r="GJ23" s="108" t="n"/>
      <c r="GK23" s="122">
        <f>GJ23*100/$E$23</f>
        <v/>
      </c>
      <c r="GL23" s="108" t="n"/>
      <c r="GM23" s="107">
        <f>GL23*100/$E$23</f>
        <v/>
      </c>
      <c r="GN23" s="108" t="n"/>
      <c r="GO23" s="122">
        <f>GN23*100/$E$23</f>
        <v/>
      </c>
      <c r="GP23" s="108" t="n"/>
      <c r="GQ23" s="107">
        <f>GP23*100/$E$23</f>
        <v/>
      </c>
      <c r="GR23" s="108" t="n"/>
      <c r="GS23" s="122">
        <f>GR23*100/$E$23</f>
        <v/>
      </c>
      <c r="GT23" s="108" t="n"/>
      <c r="GU23" s="122">
        <f>GT23*100/$E$23</f>
        <v/>
      </c>
      <c r="GV23" s="108" t="n"/>
      <c r="GW23" s="122">
        <f>GV23*100/$E$23</f>
        <v/>
      </c>
      <c r="GX23" s="108" t="n"/>
      <c r="GY23" s="107">
        <f>GX23*100/$E$23</f>
        <v/>
      </c>
      <c r="GZ23" s="108" t="n"/>
      <c r="HA23" s="107">
        <f>GZ23*100/$E$23</f>
        <v/>
      </c>
      <c r="HB23" s="108" t="n"/>
      <c r="HC23" s="107">
        <f>HB23*100/$E$23</f>
        <v/>
      </c>
      <c r="HD23" s="108" t="n"/>
      <c r="HE23" s="107">
        <f>HD23*100/$E$23</f>
        <v/>
      </c>
      <c r="HF23" s="108" t="n"/>
      <c r="HG23" s="107">
        <f>HF23*100/$E$23</f>
        <v/>
      </c>
      <c r="HH23" s="108" t="n"/>
      <c r="HI23" s="107">
        <f>HH23*100/$E$23</f>
        <v/>
      </c>
      <c r="HJ23" s="108" t="n"/>
      <c r="HK23" s="107">
        <f>HJ23*100/$E$23</f>
        <v/>
      </c>
      <c r="HL23" s="108" t="n"/>
      <c r="HM23" s="107">
        <f>HL23*100/$E$23</f>
        <v/>
      </c>
      <c r="HN23" s="108" t="n"/>
      <c r="HO23" s="107">
        <f>HN23*100/$E$23</f>
        <v/>
      </c>
      <c r="HP23" s="108" t="n"/>
      <c r="HQ23" s="107">
        <f>HP23*100/$E$23</f>
        <v/>
      </c>
      <c r="HR23" s="108" t="n"/>
      <c r="HS23" s="107">
        <f>HR23*100/$E$23</f>
        <v/>
      </c>
      <c r="HT23" s="108" t="n"/>
      <c r="HU23" s="107">
        <f>HT23*100/$E$23</f>
        <v/>
      </c>
      <c r="HV23" s="108" t="n"/>
      <c r="HW23" s="107">
        <f>HV23*100/$E$23</f>
        <v/>
      </c>
      <c r="HX23" s="108" t="n"/>
      <c r="HY23" s="107">
        <f>HX23*100/$E$23</f>
        <v/>
      </c>
      <c r="HZ23" s="108" t="n"/>
      <c r="IA23" s="122">
        <f>HZ23*100/$E$23</f>
        <v/>
      </c>
      <c r="IB23" s="108" t="n"/>
      <c r="IC23" s="122">
        <f>IB23*100/$E$23</f>
        <v/>
      </c>
      <c r="ID23" s="108" t="n"/>
      <c r="IE23" s="122">
        <f>ID23*100/$E$23</f>
        <v/>
      </c>
      <c r="IF23" s="108" t="n"/>
      <c r="IG23" s="122">
        <f>IF23*100/$E$23</f>
        <v/>
      </c>
      <c r="IH23" s="108" t="n"/>
      <c r="II23" s="122">
        <f>IH23*100/$E$23</f>
        <v/>
      </c>
      <c r="IJ23" s="108" t="n"/>
      <c r="IK23" s="122">
        <f>IJ23*100/$E$23</f>
        <v/>
      </c>
      <c r="IL23" s="108" t="n"/>
      <c r="IM23" s="107">
        <f>IL23*100/$E$23</f>
        <v/>
      </c>
      <c r="IN23" s="108" t="n"/>
      <c r="IO23" s="107">
        <f>IN23*100/$E$23</f>
        <v/>
      </c>
      <c r="IP23" s="108" t="n"/>
      <c r="IQ23" s="122">
        <f>IP23*100/$E$23</f>
        <v/>
      </c>
      <c r="IR23" s="108" t="n"/>
      <c r="IS23" s="122">
        <f>IR23*100/$E$23</f>
        <v/>
      </c>
      <c r="IT23" s="108" t="n"/>
      <c r="IU23" s="122">
        <f>IT23*100/$E$23</f>
        <v/>
      </c>
      <c r="IV23" s="108" t="n"/>
      <c r="IW23" s="122">
        <f>IV23*100/$E$23</f>
        <v/>
      </c>
      <c r="IX23" s="108" t="n"/>
      <c r="IY23" s="122">
        <f>IX23*100/$E$23</f>
        <v/>
      </c>
      <c r="IZ23" s="108" t="n"/>
      <c r="JA23" s="122">
        <f>IZ23*100/$E$23</f>
        <v/>
      </c>
      <c r="JB23" s="108" t="n"/>
      <c r="JC23" s="122">
        <f>JB23*100/$E$23</f>
        <v/>
      </c>
      <c r="JD23" s="108" t="n"/>
      <c r="JE23" s="122">
        <f>JD23*100/$E$23</f>
        <v/>
      </c>
      <c r="JF23" s="108" t="n"/>
      <c r="JG23" s="122">
        <f>JF23*100/$E$23</f>
        <v/>
      </c>
      <c r="JH23" s="108" t="n"/>
      <c r="JI23" s="122">
        <f>JH23*100/$E$23</f>
        <v/>
      </c>
      <c r="JJ23" s="108" t="n"/>
      <c r="JK23" s="122">
        <f>JJ23*100/$E$23</f>
        <v/>
      </c>
      <c r="JL23" s="108" t="n"/>
      <c r="JM23" s="122">
        <f>JL23*100/$E$23</f>
        <v/>
      </c>
      <c r="JN23" s="108" t="n"/>
      <c r="JO23" s="122">
        <f>JN23*100/$E$23</f>
        <v/>
      </c>
      <c r="JP23" s="108" t="n"/>
      <c r="JQ23" s="122">
        <f>JP23*100/$E$23</f>
        <v/>
      </c>
      <c r="JR23" s="108" t="n"/>
      <c r="JS23" s="122">
        <f>JR23*100/$E$23</f>
        <v/>
      </c>
      <c r="JT23" s="108" t="n"/>
      <c r="JU23" s="122">
        <f>JT23*100/$E$23</f>
        <v/>
      </c>
      <c r="JV23" s="108" t="n"/>
      <c r="JW23" s="122">
        <f>JV23*100/$E$23</f>
        <v/>
      </c>
      <c r="JX23" s="108" t="n"/>
      <c r="JY23" s="122">
        <f>JX23*100/$E$23</f>
        <v/>
      </c>
      <c r="JZ23" s="55">
        <f>JN23+JP23+JR23+JT23+JV23+JX23</f>
        <v/>
      </c>
      <c r="KA23" s="53">
        <f>JO23+JQ23+JS23+JU23+JW23+JY23</f>
        <v/>
      </c>
      <c r="KB23" s="64">
        <f>H23+J23+L23+N23+P23+R23+T23+V23+X23+Z23+AB23+AD23+AF23+AH23+AJ23+AL23+AN23+AP23+AR23+AT23+AV23+AX23+AZ23+BB23+BD23+BF23+BH23+BJ23+BL23+BN23+BP23+BR23+BT23+BV23+BX23+BZ23+CB23+CD23+CF23+CH23+CZ23+DB23+DD23+DF23+DH23+DJ23+DL23+DN23+DP23+DR23+DT23+DV23+DX23+DZ23+EB23+ED23+EF23+EH23+EJ23+EL23+EN23+EP23+ER23+ET23+EV23+FN23+FP23+FR23+FT23+FV23+FX23+FZ23+GB23+GD23+GF23+GH23+GJ23+GL23+GN23+GP23+GR23+GT23+GV23+GX23+GZ23+HB23+HD23+HF23+HH23+HJ23+HL23+HN23+HP23+HR23+HT23+HV23+HX23+HZ23+IB23+ID23+IF23+IH23+IJ23+IL23+IN23+IP23+IR23+IT23+IV23+IX23+IZ23+JB23+JD23+JF23+JH23+JJ23+JL23+JZ23+CJ23+CL23+CN23+CP23+CR23+CT23+CV23+CX23+EX23+EZ23+FB23+FD23+FF23+FH23+FJ23+FL23</f>
        <v/>
      </c>
      <c r="KC23" s="66">
        <f>I23+K23+M23+O23+Q23+S23+U23+W23+Y23+AA23+AC23+AE23+AG23+AI23+AK23+AM23+AO23+AQ23+AS23+AU23+AW23+AY23+BA23+BC23+BE23+BG23+BI23+BK23+BM23+BO23+BQ23+BS23+BU23+BW23+BY23+CA23+CC23+CE23+CG23+CI23+DA23+DC23+DE23+DG23+DI23+DK23+DM23+DO23+DQ23+DS23+DU23+DW23+DY23+EA23+EC23+EE23+EG23+EI23+EK23+EM23+EO23+EQ23+ES23+EU23+EW23+FO23+FS23+FU23+FW23+FQ23+FY23+GA23+GC23+GE23+GG23+GI23+GK23+GM23+GO23+GQ23+GS23+GU23+GW23+GY23+HA23+HC23+HE23+HG23+HI23+HK23+HM23+HO23+HQ23+HS23+HU23+HW23+HY23+IA23+IC23+IE23+IG23+II23+IK23+IM23+IO23+IQ23+IS23+IU23+IW23+IY23+JA23+JC23+JE23+JG23+JI23+JK23+JM23+KA23+CK23+CM23+CO23+CQ23+CS23+CU23+CW23+CY23+EY23+FA23+FC23+FE23+FG23+FI23+FK23+FM23</f>
        <v/>
      </c>
      <c r="KD23" s="44">
        <f>JO23+JQ23+JS23+JU23+JW23+JY23</f>
        <v/>
      </c>
      <c r="KE23" s="45">
        <f>KB23=E23</f>
        <v/>
      </c>
      <c r="KF23" s="101">
        <f>E23-KB23</f>
        <v/>
      </c>
      <c r="KG23" s="14" t="n"/>
    </row>
    <row r="24" ht="21.75" customFormat="1" customHeight="1" s="17">
      <c r="A24" s="130">
        <f>A23+1</f>
        <v/>
      </c>
      <c r="B24" s="199" t="inlineStr">
        <is>
          <t>Иванов А.И.</t>
        </is>
      </c>
      <c r="C24" s="200" t="inlineStr">
        <is>
          <t>токарь</t>
        </is>
      </c>
      <c r="D24" s="177">
        <f>$D$5</f>
        <v/>
      </c>
      <c r="E24" s="203" t="n"/>
      <c r="F24" s="178" t="n">
        <v>101150.45</v>
      </c>
      <c r="G24" s="52">
        <f>F24/D24</f>
        <v/>
      </c>
      <c r="H24" s="125" t="n"/>
      <c r="I24" s="122">
        <f>H24*100/$E$24</f>
        <v/>
      </c>
      <c r="J24" s="108" t="n"/>
      <c r="K24" s="122">
        <f>J24*100/$E$24</f>
        <v/>
      </c>
      <c r="L24" s="108" t="n"/>
      <c r="M24" s="122">
        <f>L24*100/$E$24</f>
        <v/>
      </c>
      <c r="N24" s="108" t="n"/>
      <c r="O24" s="122">
        <f>N24*100/$E$24</f>
        <v/>
      </c>
      <c r="P24" s="108" t="n"/>
      <c r="Q24" s="122">
        <f>P24*100/$E$24</f>
        <v/>
      </c>
      <c r="R24" s="108" t="n"/>
      <c r="S24" s="122">
        <f>R24*100/$E$24</f>
        <v/>
      </c>
      <c r="T24" s="108" t="n"/>
      <c r="U24" s="122">
        <f>T24*100/$E$24</f>
        <v/>
      </c>
      <c r="V24" s="108" t="n"/>
      <c r="W24" s="122">
        <f>V24*100/$E$24</f>
        <v/>
      </c>
      <c r="X24" s="108" t="n"/>
      <c r="Y24" s="122">
        <f>X24*100/$E$24</f>
        <v/>
      </c>
      <c r="Z24" s="108" t="n"/>
      <c r="AA24" s="122">
        <f>Z24*100/$E$24</f>
        <v/>
      </c>
      <c r="AB24" s="108" t="n"/>
      <c r="AC24" s="122">
        <f>AB24*100/$E$24</f>
        <v/>
      </c>
      <c r="AD24" s="108" t="n"/>
      <c r="AE24" s="122">
        <f>AD24*100/$E$24</f>
        <v/>
      </c>
      <c r="AF24" s="108" t="n"/>
      <c r="AG24" s="122">
        <f>AF24*100/$E$24</f>
        <v/>
      </c>
      <c r="AH24" s="108" t="n"/>
      <c r="AI24" s="122">
        <f>AH24*100/$E$24</f>
        <v/>
      </c>
      <c r="AJ24" s="108" t="n"/>
      <c r="AK24" s="122">
        <f>AJ24*100/$E$24</f>
        <v/>
      </c>
      <c r="AL24" s="108" t="n"/>
      <c r="AM24" s="122">
        <f>AL24*100/$E$24</f>
        <v/>
      </c>
      <c r="AN24" s="108" t="n"/>
      <c r="AO24" s="122">
        <f>AN24*100/$E$24</f>
        <v/>
      </c>
      <c r="AP24" s="108" t="n"/>
      <c r="AQ24" s="122">
        <f>AP24*100/$E$24</f>
        <v/>
      </c>
      <c r="AR24" s="108" t="n"/>
      <c r="AS24" s="122">
        <f>AR24*100/$E$24</f>
        <v/>
      </c>
      <c r="AT24" s="108" t="n"/>
      <c r="AU24" s="90">
        <f>AT24*100/$E$24</f>
        <v/>
      </c>
      <c r="AV24" s="108" t="n"/>
      <c r="AW24" s="122">
        <f>AV24*100/$E$24</f>
        <v/>
      </c>
      <c r="AX24" s="108" t="n"/>
      <c r="AY24" s="122">
        <f>AX24*100/$E$24</f>
        <v/>
      </c>
      <c r="AZ24" s="108" t="n"/>
      <c r="BA24" s="122">
        <f>AZ24*100/$E$24</f>
        <v/>
      </c>
      <c r="BB24" s="108" t="n"/>
      <c r="BC24" s="122">
        <f>BB24*100/$E$24</f>
        <v/>
      </c>
      <c r="BD24" s="108" t="n"/>
      <c r="BE24" s="122">
        <f>BD24*100/$E$24</f>
        <v/>
      </c>
      <c r="BF24" s="108" t="n"/>
      <c r="BG24" s="122">
        <f>BF24*100/$E$24</f>
        <v/>
      </c>
      <c r="BH24" s="108" t="n"/>
      <c r="BI24" s="122">
        <f>BH24*100/$E$24</f>
        <v/>
      </c>
      <c r="BJ24" s="108" t="n"/>
      <c r="BK24" s="122">
        <f>BJ24*100/$E$24</f>
        <v/>
      </c>
      <c r="BL24" s="108" t="n"/>
      <c r="BM24" s="122">
        <f>BL24*100/$E$24</f>
        <v/>
      </c>
      <c r="BN24" s="108" t="n"/>
      <c r="BO24" s="122">
        <f>BN24*100/$E$24</f>
        <v/>
      </c>
      <c r="BP24" s="108" t="n"/>
      <c r="BQ24" s="122">
        <f>BP24*100/$E$24</f>
        <v/>
      </c>
      <c r="BR24" s="108" t="n"/>
      <c r="BS24" s="122">
        <f>BR24*100/$E$24</f>
        <v/>
      </c>
      <c r="BT24" s="108" t="n"/>
      <c r="BU24" s="122">
        <f>BT24*100/$E$24</f>
        <v/>
      </c>
      <c r="BV24" s="108" t="n"/>
      <c r="BW24" s="122">
        <f>BV24*100/$E$24</f>
        <v/>
      </c>
      <c r="BX24" s="108" t="n"/>
      <c r="BY24" s="122">
        <f>BX24*100/$E$24</f>
        <v/>
      </c>
      <c r="BZ24" s="108" t="n"/>
      <c r="CA24" s="122">
        <f>BZ24*100/$E$24</f>
        <v/>
      </c>
      <c r="CB24" s="108" t="n"/>
      <c r="CC24" s="122">
        <f>CB24*100/$E$24</f>
        <v/>
      </c>
      <c r="CD24" s="108" t="n"/>
      <c r="CE24" s="122">
        <f>CD24*100/$E$24</f>
        <v/>
      </c>
      <c r="CF24" s="108" t="n"/>
      <c r="CG24" s="122">
        <f>CF24*100/$E$24</f>
        <v/>
      </c>
      <c r="CH24" s="108" t="n"/>
      <c r="CI24" s="122">
        <f>CH24*100/$E$24</f>
        <v/>
      </c>
      <c r="CJ24" s="108" t="n"/>
      <c r="CK24" s="122">
        <f>CJ24*100/$E$24</f>
        <v/>
      </c>
      <c r="CL24" s="108" t="n"/>
      <c r="CM24" s="122">
        <f>CL24*100/$E$24</f>
        <v/>
      </c>
      <c r="CN24" s="108" t="n"/>
      <c r="CO24" s="122">
        <f>CN24*100/$E$24</f>
        <v/>
      </c>
      <c r="CP24" s="108" t="n"/>
      <c r="CQ24" s="122">
        <f>CP24*100/$E$24</f>
        <v/>
      </c>
      <c r="CR24" s="108" t="n"/>
      <c r="CS24" s="122">
        <f>CR24*100/$E$24</f>
        <v/>
      </c>
      <c r="CT24" s="108" t="n"/>
      <c r="CU24" s="122">
        <f>CT24*100/$E$24</f>
        <v/>
      </c>
      <c r="CV24" s="108" t="n"/>
      <c r="CW24" s="122">
        <f>CV24*100/$E$24</f>
        <v/>
      </c>
      <c r="CX24" s="108" t="n"/>
      <c r="CY24" s="122">
        <f>CX24*100/$E$24</f>
        <v/>
      </c>
      <c r="CZ24" s="108" t="n"/>
      <c r="DA24" s="122">
        <f>CZ24*100/$E$24</f>
        <v/>
      </c>
      <c r="DB24" s="108" t="n"/>
      <c r="DC24" s="122">
        <f>DB24*100/$E$24</f>
        <v/>
      </c>
      <c r="DD24" s="108" t="n"/>
      <c r="DE24" s="122">
        <f>DD24*100/$E$24</f>
        <v/>
      </c>
      <c r="DF24" s="108" t="n"/>
      <c r="DG24" s="122">
        <f>DF24*100/$E$24</f>
        <v/>
      </c>
      <c r="DH24" s="108" t="n"/>
      <c r="DI24" s="122">
        <f>DH24*100/$E$24</f>
        <v/>
      </c>
      <c r="DJ24" s="108" t="n"/>
      <c r="DK24" s="122">
        <f>DJ24*100/$E$24</f>
        <v/>
      </c>
      <c r="DL24" s="108" t="n"/>
      <c r="DM24" s="122">
        <f>DL24*100/$E$24</f>
        <v/>
      </c>
      <c r="DN24" s="108" t="n"/>
      <c r="DO24" s="122">
        <f>DN24*100/$E$24</f>
        <v/>
      </c>
      <c r="DP24" s="108" t="n"/>
      <c r="DQ24" s="122">
        <f>DP24*100/$E$24</f>
        <v/>
      </c>
      <c r="DR24" s="108" t="n"/>
      <c r="DS24" s="122">
        <f>DR24*100/$E$24</f>
        <v/>
      </c>
      <c r="DT24" s="108" t="n"/>
      <c r="DU24" s="122">
        <f>DT24*100/$E$24</f>
        <v/>
      </c>
      <c r="DV24" s="108" t="n"/>
      <c r="DW24" s="122">
        <f>DV24*100/$E$24</f>
        <v/>
      </c>
      <c r="DX24" s="108" t="n"/>
      <c r="DY24" s="122">
        <f>DX24*100/$E$24</f>
        <v/>
      </c>
      <c r="DZ24" s="108" t="n"/>
      <c r="EA24" s="122">
        <f>DZ24*100/$E$24</f>
        <v/>
      </c>
      <c r="EB24" s="108" t="n"/>
      <c r="EC24" s="122">
        <f>EB24*100/$E$24</f>
        <v/>
      </c>
      <c r="ED24" s="108" t="n"/>
      <c r="EE24" s="122">
        <f>ED24*100/$E$24</f>
        <v/>
      </c>
      <c r="EF24" s="108" t="n"/>
      <c r="EG24" s="122">
        <f>EF24*100/$E$24</f>
        <v/>
      </c>
      <c r="EH24" s="108" t="n"/>
      <c r="EI24" s="122">
        <f>EH24*100/$E$24</f>
        <v/>
      </c>
      <c r="EJ24" s="108" t="n"/>
      <c r="EK24" s="122">
        <f>EJ24*100/$E$24</f>
        <v/>
      </c>
      <c r="EL24" s="108" t="n"/>
      <c r="EM24" s="122">
        <f>EL24*100/$E$24</f>
        <v/>
      </c>
      <c r="EN24" s="108" t="n"/>
      <c r="EO24" s="122">
        <f>EN24*100/$E$24</f>
        <v/>
      </c>
      <c r="EP24" s="108" t="n"/>
      <c r="EQ24" s="122">
        <f>EP24*100/$E$24</f>
        <v/>
      </c>
      <c r="ER24" s="108" t="n"/>
      <c r="ES24" s="122">
        <f>ER24*100/$E$24</f>
        <v/>
      </c>
      <c r="ET24" s="108" t="n"/>
      <c r="EU24" s="122">
        <f>ET24*100/$E$24</f>
        <v/>
      </c>
      <c r="EV24" s="108" t="n"/>
      <c r="EW24" s="122">
        <f>EV24*100/$E$24</f>
        <v/>
      </c>
      <c r="EX24" s="108" t="n"/>
      <c r="EY24" s="122">
        <f>EX24*100/$E$24</f>
        <v/>
      </c>
      <c r="EZ24" s="108" t="n"/>
      <c r="FA24" s="122">
        <f>EZ24*100/$E$24</f>
        <v/>
      </c>
      <c r="FB24" s="108" t="n"/>
      <c r="FC24" s="122">
        <f>FB24*100/$E$24</f>
        <v/>
      </c>
      <c r="FD24" s="108" t="n"/>
      <c r="FE24" s="122">
        <f>FD24*100/$E$24</f>
        <v/>
      </c>
      <c r="FF24" s="108" t="n"/>
      <c r="FG24" s="122">
        <f>FF24*100/$E$24</f>
        <v/>
      </c>
      <c r="FH24" s="108" t="n"/>
      <c r="FI24" s="122">
        <f>FH24*100/$E$24</f>
        <v/>
      </c>
      <c r="FJ24" s="108" t="n"/>
      <c r="FK24" s="122">
        <f>FJ24*100/$E$24</f>
        <v/>
      </c>
      <c r="FL24" s="108" t="n"/>
      <c r="FM24" s="122">
        <f>FL24*100/$E$24</f>
        <v/>
      </c>
      <c r="FN24" s="108" t="n"/>
      <c r="FO24" s="122">
        <f>FN24*100/$E$24</f>
        <v/>
      </c>
      <c r="FP24" s="108" t="n"/>
      <c r="FQ24" s="122">
        <f>FP24*100/$E$24</f>
        <v/>
      </c>
      <c r="FR24" s="108" t="n"/>
      <c r="FS24" s="122">
        <f>FR24*100/$E$24</f>
        <v/>
      </c>
      <c r="FT24" s="108" t="n"/>
      <c r="FU24" s="122">
        <f>FT24*100/$E$24</f>
        <v/>
      </c>
      <c r="FV24" s="108" t="n"/>
      <c r="FW24" s="122">
        <f>FV24*100/$E$24</f>
        <v/>
      </c>
      <c r="FX24" s="108" t="n"/>
      <c r="FY24" s="122">
        <f>FX24*100/$E$24</f>
        <v/>
      </c>
      <c r="FZ24" s="108" t="n"/>
      <c r="GA24" s="122">
        <f>FZ24*100/$E$24</f>
        <v/>
      </c>
      <c r="GB24" s="108" t="n"/>
      <c r="GC24" s="122">
        <f>GB24*100/$E$24</f>
        <v/>
      </c>
      <c r="GD24" s="108" t="n"/>
      <c r="GE24" s="122">
        <f>GD24*100/$E$24</f>
        <v/>
      </c>
      <c r="GF24" s="108" t="n"/>
      <c r="GG24" s="122">
        <f>GF24*100/$E$24</f>
        <v/>
      </c>
      <c r="GH24" s="108" t="n"/>
      <c r="GI24" s="122">
        <f>GH24*100/$E$24</f>
        <v/>
      </c>
      <c r="GJ24" s="108" t="n"/>
      <c r="GK24" s="122">
        <f>GJ24*100/$E$24</f>
        <v/>
      </c>
      <c r="GL24" s="108" t="n"/>
      <c r="GM24" s="122">
        <f>GL24*100/$E$24</f>
        <v/>
      </c>
      <c r="GN24" s="108" t="n"/>
      <c r="GO24" s="122">
        <f>GN24*100/$E$24</f>
        <v/>
      </c>
      <c r="GP24" s="108" t="n"/>
      <c r="GQ24" s="122">
        <f>GP24*100/$E$24</f>
        <v/>
      </c>
      <c r="GR24" s="108" t="n"/>
      <c r="GS24" s="122">
        <f>GR24*100/$E$24</f>
        <v/>
      </c>
      <c r="GT24" s="108" t="n"/>
      <c r="GU24" s="122">
        <f>GT24*100/$E$24</f>
        <v/>
      </c>
      <c r="GV24" s="108" t="n"/>
      <c r="GW24" s="122">
        <f>GV24*100/$E$24</f>
        <v/>
      </c>
      <c r="GX24" s="108" t="n"/>
      <c r="GY24" s="122">
        <f>GX24*100/$E$24</f>
        <v/>
      </c>
      <c r="GZ24" s="108" t="n"/>
      <c r="HA24" s="122">
        <f>GZ24*100/$E$24</f>
        <v/>
      </c>
      <c r="HB24" s="108" t="n"/>
      <c r="HC24" s="122">
        <f>HB24*100/$E$24</f>
        <v/>
      </c>
      <c r="HD24" s="108" t="n"/>
      <c r="HE24" s="122">
        <f>HD24*100/$E$24</f>
        <v/>
      </c>
      <c r="HF24" s="108" t="n"/>
      <c r="HG24" s="122">
        <f>HF24*100/$E$24</f>
        <v/>
      </c>
      <c r="HH24" s="108" t="n"/>
      <c r="HI24" s="122">
        <f>HH24*100/$E$24</f>
        <v/>
      </c>
      <c r="HJ24" s="108" t="n"/>
      <c r="HK24" s="122">
        <f>HJ24*100/$E$24</f>
        <v/>
      </c>
      <c r="HL24" s="108" t="n"/>
      <c r="HM24" s="122">
        <f>HL24*100/$E$24</f>
        <v/>
      </c>
      <c r="HN24" s="108" t="n"/>
      <c r="HO24" s="122">
        <f>HN24*100/$E$24</f>
        <v/>
      </c>
      <c r="HP24" s="108" t="n"/>
      <c r="HQ24" s="122">
        <f>HP24*100/$E$24</f>
        <v/>
      </c>
      <c r="HR24" s="108" t="n"/>
      <c r="HS24" s="122">
        <f>HR24*100/$E$24</f>
        <v/>
      </c>
      <c r="HT24" s="108" t="n"/>
      <c r="HU24" s="122">
        <f>HT24*100/$E$24</f>
        <v/>
      </c>
      <c r="HV24" s="108" t="n"/>
      <c r="HW24" s="122">
        <f>HV24*100/$E$24</f>
        <v/>
      </c>
      <c r="HX24" s="108" t="n"/>
      <c r="HY24" s="122">
        <f>HX24*100/$E$24</f>
        <v/>
      </c>
      <c r="HZ24" s="108" t="n"/>
      <c r="IA24" s="122">
        <f>HZ24*100/$E$24</f>
        <v/>
      </c>
      <c r="IB24" s="108" t="n"/>
      <c r="IC24" s="122">
        <f>IB24*100/$E$24</f>
        <v/>
      </c>
      <c r="ID24" s="108" t="n"/>
      <c r="IE24" s="122">
        <f>ID24*100/$E$24</f>
        <v/>
      </c>
      <c r="IF24" s="108" t="n"/>
      <c r="IG24" s="122">
        <f>IF24*100/$E$24</f>
        <v/>
      </c>
      <c r="IH24" s="108" t="n"/>
      <c r="II24" s="122">
        <f>IH24*100/$E$24</f>
        <v/>
      </c>
      <c r="IJ24" s="108" t="n"/>
      <c r="IK24" s="122">
        <f>IJ24*100/$E$24</f>
        <v/>
      </c>
      <c r="IL24" s="108" t="n"/>
      <c r="IM24" s="122">
        <f>IL24*100/$E$24</f>
        <v/>
      </c>
      <c r="IN24" s="108" t="n"/>
      <c r="IO24" s="122">
        <f>IN24*100/$E$24</f>
        <v/>
      </c>
      <c r="IP24" s="108" t="n"/>
      <c r="IQ24" s="122">
        <f>IP24*100/$E$24</f>
        <v/>
      </c>
      <c r="IR24" s="108" t="n"/>
      <c r="IS24" s="122">
        <f>IR24*100/$E$24</f>
        <v/>
      </c>
      <c r="IT24" s="108" t="n"/>
      <c r="IU24" s="122">
        <f>IT24*100/$E$24</f>
        <v/>
      </c>
      <c r="IV24" s="108" t="n"/>
      <c r="IW24" s="122">
        <f>IV24*100/$E$24</f>
        <v/>
      </c>
      <c r="IX24" s="108" t="n"/>
      <c r="IY24" s="122">
        <f>IX24*100/$E$24</f>
        <v/>
      </c>
      <c r="IZ24" s="108" t="n"/>
      <c r="JA24" s="122">
        <f>IZ24*100/$E$24</f>
        <v/>
      </c>
      <c r="JB24" s="108" t="n"/>
      <c r="JC24" s="122">
        <f>JB24*100/$E$24</f>
        <v/>
      </c>
      <c r="JD24" s="108" t="n"/>
      <c r="JE24" s="122">
        <f>JD24*100/$E$24</f>
        <v/>
      </c>
      <c r="JF24" s="108" t="n"/>
      <c r="JG24" s="122">
        <f>JF24*100/$E$24</f>
        <v/>
      </c>
      <c r="JH24" s="108" t="n"/>
      <c r="JI24" s="122">
        <f>JH24*100/$E$24</f>
        <v/>
      </c>
      <c r="JJ24" s="108" t="n"/>
      <c r="JK24" s="122">
        <f>JJ24*100/$E$24</f>
        <v/>
      </c>
      <c r="JL24" s="108" t="n"/>
      <c r="JM24" s="122">
        <f>JL24*100/$E$24</f>
        <v/>
      </c>
      <c r="JN24" s="108" t="n"/>
      <c r="JO24" s="122">
        <f>JN24*100/$E$24</f>
        <v/>
      </c>
      <c r="JP24" s="108" t="n"/>
      <c r="JQ24" s="122">
        <f>JP24*100/$E$24</f>
        <v/>
      </c>
      <c r="JR24" s="108" t="n"/>
      <c r="JS24" s="122">
        <f>JR24*100/$E$24</f>
        <v/>
      </c>
      <c r="JT24" s="108" t="n"/>
      <c r="JU24" s="122">
        <f>JT24*100/$E$24</f>
        <v/>
      </c>
      <c r="JV24" s="108" t="n"/>
      <c r="JW24" s="122">
        <f>JV24*100/$E$24</f>
        <v/>
      </c>
      <c r="JX24" s="108" t="n"/>
      <c r="JY24" s="122">
        <f>JX24*100/$E$24</f>
        <v/>
      </c>
      <c r="JZ24" s="55">
        <f>JN24+JP24+JR24+JT24+JV24+JX24</f>
        <v/>
      </c>
      <c r="KA24" s="53">
        <f>JO24+JQ24+JS24+JU24+JW24+JY24</f>
        <v/>
      </c>
      <c r="KB24" s="64">
        <f>H24+J24+L24+N24+P24+R24+T24+V24+X24+Z24+AB24+AD24+AF24+AH24+AJ24+AL24+AN24+AP24+AR24+AT24+AV24+AX24+AZ24+BB24+BD24+BF24+BH24+BJ24+BL24+BN24+BP24+BR24+BT24+BV24+BX24+BZ24+CB24+CD24+CF24+CH24+CZ24+DB24+DD24+DF24+DH24+DJ24+DL24+DN24+DP24+DR24+DT24+DV24+DX24+DZ24+EB24+ED24+EF24+EH24+EJ24+EL24+EN24+EP24+ER24+ET24+EV24+FN24+FP24+FR24+FT24+FV24+FX24+FZ24+GB24+GD24+GF24+GH24+GJ24+GL24+GN24+GP24+GR24+GT24+GV24+GX24+GZ24+HB24+HD24+HF24+HH24+HJ24+HL24+HN24+HP24+HR24+HT24+HV24+HX24+HZ24+IB24+ID24+IF24+IH24+IJ24+IL24+IN24+IP24+IR24+IT24+IV24+IX24+IZ24+JB24+JD24+JF24+JH24+JJ24+JL24+JZ24+CJ24+CL24+CN24+CP24+CR24+CT24+CV24+CX24+EX24+EZ24+FB24+FD24+FF24+FH24+FJ24+FL24</f>
        <v/>
      </c>
      <c r="KC24" s="66">
        <f>I24+K24+M24+O24+Q24+S24+U24+W24+Y24+AA24+AC24+AE24+AG24+AI24+AK24+AM24+AO24+AQ24+AS24+AU24+AW24+AY24+BA24+BC24+BE24+BG24+BI24+BK24+BM24+BO24+BQ24+BS24+BU24+BW24+BY24+CA24+CC24+CE24+CG24+CI24+DA24+DC24+DE24+DG24+DI24+DK24+DM24+DO24+DQ24+DS24+DU24+DW24+DY24+EA24+EC24+EE24+EG24+EI24+EK24+EM24+EO24+EQ24+ES24+EU24+EW24+FO24+FS24+FU24+FW24+FQ24+FY24+GA24+GC24+GE24+GG24+GI24+GK24+GM24+GO24+GQ24+GS24+GU24+GW24+GY24+HA24+HC24+HE24+HG24+HI24+HK24+HM24+HO24+HQ24+HS24+HU24+HW24+HY24+IA24+IC24+IE24+IG24+II24+IK24+IM24+IO24+IQ24+IS24+IU24+IW24+IY24+JA24+JC24+JE24+JG24+JI24+JK24+JM24+KA24+CK24+CM24+CO24+CQ24+CS24+CU24+CW24+CY24+EY24+FA24+FC24+FE24+FG24+FI24+FK24+FM24</f>
        <v/>
      </c>
      <c r="KD24" s="44">
        <f>JO24+JQ24+JS24+JU24+JW24+JY24</f>
        <v/>
      </c>
      <c r="KE24" s="45">
        <f>KB24=E24</f>
        <v/>
      </c>
      <c r="KF24" s="101">
        <f>E24-KB24</f>
        <v/>
      </c>
      <c r="KG24" s="67" t="n"/>
    </row>
    <row r="25" ht="21.75" customFormat="1" customHeight="1" s="18">
      <c r="A25" s="130">
        <f>A24+1</f>
        <v/>
      </c>
      <c r="B25" s="199" t="inlineStr">
        <is>
          <t>Ившин К.С.</t>
        </is>
      </c>
      <c r="C25" s="176" t="inlineStr">
        <is>
          <t>сварщик</t>
        </is>
      </c>
      <c r="D25" s="177">
        <f>$D$5</f>
        <v/>
      </c>
      <c r="E25" s="202" t="n"/>
      <c r="F25" s="178" t="n">
        <v>61252.7</v>
      </c>
      <c r="G25" s="52">
        <f>F25/D25</f>
        <v/>
      </c>
      <c r="H25" s="125" t="n"/>
      <c r="I25" s="107">
        <f>H25*100/$E$25</f>
        <v/>
      </c>
      <c r="J25" s="108" t="n"/>
      <c r="K25" s="107">
        <f>J25*100/$E$25</f>
        <v/>
      </c>
      <c r="L25" s="108" t="n"/>
      <c r="M25" s="107">
        <f>L25*100/$E$25</f>
        <v/>
      </c>
      <c r="N25" s="108" t="n"/>
      <c r="O25" s="107">
        <f>N25*100/$E$25</f>
        <v/>
      </c>
      <c r="P25" s="108" t="n"/>
      <c r="Q25" s="122">
        <f>P25*100/$E$25</f>
        <v/>
      </c>
      <c r="R25" s="108" t="n"/>
      <c r="S25" s="122">
        <f>R25*100/$E$25</f>
        <v/>
      </c>
      <c r="T25" s="108" t="n"/>
      <c r="U25" s="107">
        <f>T25*100/$E$25</f>
        <v/>
      </c>
      <c r="V25" s="108" t="n"/>
      <c r="W25" s="107">
        <f>V25*100/$E$25</f>
        <v/>
      </c>
      <c r="X25" s="108" t="n"/>
      <c r="Y25" s="107">
        <f>X25*100/$E$25</f>
        <v/>
      </c>
      <c r="Z25" s="108" t="n"/>
      <c r="AA25" s="107">
        <f>Z25*100/$E$25</f>
        <v/>
      </c>
      <c r="AB25" s="108" t="n"/>
      <c r="AC25" s="107">
        <f>AB25*100/$E$25</f>
        <v/>
      </c>
      <c r="AD25" s="108" t="n"/>
      <c r="AE25" s="122">
        <f>AD25*100/$E$25</f>
        <v/>
      </c>
      <c r="AF25" s="108" t="n"/>
      <c r="AG25" s="122">
        <f>AF25*100/$E$25</f>
        <v/>
      </c>
      <c r="AH25" s="108" t="n"/>
      <c r="AI25" s="107">
        <f>AH25*100/$E$25</f>
        <v/>
      </c>
      <c r="AJ25" s="108" t="n"/>
      <c r="AK25" s="107">
        <f>AJ25*100/$E$25</f>
        <v/>
      </c>
      <c r="AL25" s="108" t="n"/>
      <c r="AM25" s="107">
        <f>AL25*100/$E$25</f>
        <v/>
      </c>
      <c r="AN25" s="108" t="n"/>
      <c r="AO25" s="107">
        <f>AN25*100/$E$25</f>
        <v/>
      </c>
      <c r="AP25" s="108" t="n"/>
      <c r="AQ25" s="107">
        <f>AP25*100/$E$25</f>
        <v/>
      </c>
      <c r="AR25" s="108" t="n"/>
      <c r="AS25" s="107">
        <f>AR25*100/$E$25</f>
        <v/>
      </c>
      <c r="AT25" s="108" t="n"/>
      <c r="AU25" s="90">
        <f>AT25*100/$E$25</f>
        <v/>
      </c>
      <c r="AV25" s="108" t="n"/>
      <c r="AW25" s="107">
        <f>AV25*100/$E$25</f>
        <v/>
      </c>
      <c r="AX25" s="108" t="n"/>
      <c r="AY25" s="107">
        <f>AX25*100/$E$25</f>
        <v/>
      </c>
      <c r="AZ25" s="108" t="n"/>
      <c r="BA25" s="107">
        <f>AZ25*100/$E$25</f>
        <v/>
      </c>
      <c r="BB25" s="108" t="n"/>
      <c r="BC25" s="107">
        <f>BB25*100/$E$25</f>
        <v/>
      </c>
      <c r="BD25" s="108" t="n"/>
      <c r="BE25" s="107">
        <f>BD25*100/$E$25</f>
        <v/>
      </c>
      <c r="BF25" s="108" t="n"/>
      <c r="BG25" s="107">
        <f>BF25*100/$E$25</f>
        <v/>
      </c>
      <c r="BH25" s="108" t="n"/>
      <c r="BI25" s="107">
        <f>BH25*100/$E$25</f>
        <v/>
      </c>
      <c r="BJ25" s="108" t="n"/>
      <c r="BK25" s="107">
        <f>BJ25*100/$E$25</f>
        <v/>
      </c>
      <c r="BL25" s="108" t="n"/>
      <c r="BM25" s="107">
        <f>BL25*100/$E$25</f>
        <v/>
      </c>
      <c r="BN25" s="108" t="n"/>
      <c r="BO25" s="107">
        <f>BN25*100/$E$25</f>
        <v/>
      </c>
      <c r="BP25" s="108" t="n"/>
      <c r="BQ25" s="107">
        <f>BP25*100/$E$25</f>
        <v/>
      </c>
      <c r="BR25" s="108" t="n"/>
      <c r="BS25" s="107">
        <f>BR25*100/$E$25</f>
        <v/>
      </c>
      <c r="BT25" s="108" t="n"/>
      <c r="BU25" s="107">
        <f>BT25*100/$E$25</f>
        <v/>
      </c>
      <c r="BV25" s="108" t="n"/>
      <c r="BW25" s="107">
        <f>BV25*100/$E$25</f>
        <v/>
      </c>
      <c r="BX25" s="108" t="n"/>
      <c r="BY25" s="107">
        <f>BX25*100/$E$25</f>
        <v/>
      </c>
      <c r="BZ25" s="108" t="n"/>
      <c r="CA25" s="107">
        <f>BZ25*100/$E$25</f>
        <v/>
      </c>
      <c r="CB25" s="108" t="n"/>
      <c r="CC25" s="107">
        <f>CB25*100/$E$25</f>
        <v/>
      </c>
      <c r="CD25" s="108" t="n"/>
      <c r="CE25" s="107">
        <f>CD25*100/$E$25</f>
        <v/>
      </c>
      <c r="CF25" s="108" t="n"/>
      <c r="CG25" s="107">
        <f>CF25*100/$E$25</f>
        <v/>
      </c>
      <c r="CH25" s="108" t="n"/>
      <c r="CI25" s="107">
        <f>CH25*100/$E$25</f>
        <v/>
      </c>
      <c r="CJ25" s="108" t="n"/>
      <c r="CK25" s="107">
        <f>CJ25*100/$E$25</f>
        <v/>
      </c>
      <c r="CL25" s="108" t="n"/>
      <c r="CM25" s="107">
        <f>CL25*100/$E$25</f>
        <v/>
      </c>
      <c r="CN25" s="108" t="n"/>
      <c r="CO25" s="122">
        <f>CN25*100/$E$25</f>
        <v/>
      </c>
      <c r="CP25" s="108" t="n"/>
      <c r="CQ25" s="107">
        <f>CP25*100/$E$25</f>
        <v/>
      </c>
      <c r="CR25" s="108" t="n"/>
      <c r="CS25" s="122">
        <f>CR25*100/$E$25</f>
        <v/>
      </c>
      <c r="CT25" s="108" t="n"/>
      <c r="CU25" s="122">
        <f>CT25*100/$E$25</f>
        <v/>
      </c>
      <c r="CV25" s="108" t="n"/>
      <c r="CW25" s="122">
        <f>CV25*100/$E$25</f>
        <v/>
      </c>
      <c r="CX25" s="108" t="n"/>
      <c r="CY25" s="122">
        <f>CX25*100/$E$25</f>
        <v/>
      </c>
      <c r="CZ25" s="108" t="n"/>
      <c r="DA25" s="122">
        <f>CZ25*100/$E$25</f>
        <v/>
      </c>
      <c r="DB25" s="108" t="n"/>
      <c r="DC25" s="122">
        <f>DB25*100/$E$25</f>
        <v/>
      </c>
      <c r="DD25" s="108" t="n"/>
      <c r="DE25" s="122">
        <f>DD25*100/$E$25</f>
        <v/>
      </c>
      <c r="DF25" s="108" t="n"/>
      <c r="DG25" s="122">
        <f>DF25*100/$E$25</f>
        <v/>
      </c>
      <c r="DH25" s="108" t="n"/>
      <c r="DI25" s="122">
        <f>DH25*100/$E$25</f>
        <v/>
      </c>
      <c r="DJ25" s="108" t="n"/>
      <c r="DK25" s="122">
        <f>DJ25*100/$E$25</f>
        <v/>
      </c>
      <c r="DL25" s="108" t="n"/>
      <c r="DM25" s="122">
        <f>DL25*100/$E$25</f>
        <v/>
      </c>
      <c r="DN25" s="108" t="n"/>
      <c r="DO25" s="122">
        <f>DN25*100/$E$25</f>
        <v/>
      </c>
      <c r="DP25" s="108" t="n"/>
      <c r="DQ25" s="122">
        <f>DP25*100/$E$25</f>
        <v/>
      </c>
      <c r="DR25" s="108" t="n"/>
      <c r="DS25" s="122">
        <f>DR25*100/$E$25</f>
        <v/>
      </c>
      <c r="DT25" s="108" t="n"/>
      <c r="DU25" s="122">
        <f>DT25*100/$E$25</f>
        <v/>
      </c>
      <c r="DV25" s="108" t="n"/>
      <c r="DW25" s="122">
        <f>DV25*100/$E$25</f>
        <v/>
      </c>
      <c r="DX25" s="108" t="n"/>
      <c r="DY25" s="122">
        <f>DX25*100/$E$25</f>
        <v/>
      </c>
      <c r="DZ25" s="108" t="n"/>
      <c r="EA25" s="122">
        <f>DZ25*100/$E$25</f>
        <v/>
      </c>
      <c r="EB25" s="108" t="n"/>
      <c r="EC25" s="122">
        <f>EB25*100/$E$25</f>
        <v/>
      </c>
      <c r="ED25" s="108" t="n"/>
      <c r="EE25" s="122">
        <f>ED25*100/$E$25</f>
        <v/>
      </c>
      <c r="EF25" s="108" t="n"/>
      <c r="EG25" s="122">
        <f>EF25*100/$E$25</f>
        <v/>
      </c>
      <c r="EH25" s="108" t="n"/>
      <c r="EI25" s="122">
        <f>EH25*100/$E$25</f>
        <v/>
      </c>
      <c r="EJ25" s="108" t="n"/>
      <c r="EK25" s="122">
        <f>EJ25*100/$E$25</f>
        <v/>
      </c>
      <c r="EL25" s="108" t="n"/>
      <c r="EM25" s="122">
        <f>EL25*100/$E$25</f>
        <v/>
      </c>
      <c r="EN25" s="108" t="n"/>
      <c r="EO25" s="122">
        <f>EN25*100/$E$25</f>
        <v/>
      </c>
      <c r="EP25" s="108" t="n"/>
      <c r="EQ25" s="122">
        <f>EP25*100/$E$25</f>
        <v/>
      </c>
      <c r="ER25" s="108" t="n"/>
      <c r="ES25" s="122">
        <f>ER25*100/$E$25</f>
        <v/>
      </c>
      <c r="ET25" s="108" t="n"/>
      <c r="EU25" s="122">
        <f>ET25*100/$E$25</f>
        <v/>
      </c>
      <c r="EV25" s="108" t="n"/>
      <c r="EW25" s="122">
        <f>EV25*100/$E$25</f>
        <v/>
      </c>
      <c r="EX25" s="108" t="n"/>
      <c r="EY25" s="122">
        <f>EX25*100/$E$25</f>
        <v/>
      </c>
      <c r="EZ25" s="108" t="n"/>
      <c r="FA25" s="122">
        <f>EZ25*100/$E$25</f>
        <v/>
      </c>
      <c r="FB25" s="108" t="n"/>
      <c r="FC25" s="122">
        <f>FB25*100/$E$25</f>
        <v/>
      </c>
      <c r="FD25" s="108" t="n"/>
      <c r="FE25" s="122">
        <f>FD25*100/$E$25</f>
        <v/>
      </c>
      <c r="FF25" s="108" t="n"/>
      <c r="FG25" s="122">
        <f>FF25*100/$E$25</f>
        <v/>
      </c>
      <c r="FH25" s="108" t="n"/>
      <c r="FI25" s="122">
        <f>FH25*100/$E$25</f>
        <v/>
      </c>
      <c r="FJ25" s="108" t="n"/>
      <c r="FK25" s="122">
        <f>FJ25*100/$E$25</f>
        <v/>
      </c>
      <c r="FL25" s="108" t="n"/>
      <c r="FM25" s="122">
        <f>FL25*100/$E$25</f>
        <v/>
      </c>
      <c r="FN25" s="108" t="n"/>
      <c r="FO25" s="122">
        <f>FN25*100/$E$25</f>
        <v/>
      </c>
      <c r="FP25" s="108" t="n"/>
      <c r="FQ25" s="122">
        <f>FP25*100/$E$25</f>
        <v/>
      </c>
      <c r="FR25" s="108" t="n"/>
      <c r="FS25" s="122">
        <f>FR25*100/$E$25</f>
        <v/>
      </c>
      <c r="FT25" s="108" t="n"/>
      <c r="FU25" s="122">
        <f>FT25*100/$E$25</f>
        <v/>
      </c>
      <c r="FV25" s="108" t="n"/>
      <c r="FW25" s="122">
        <f>FV25*100/$E$25</f>
        <v/>
      </c>
      <c r="FX25" s="108" t="n"/>
      <c r="FY25" s="107">
        <f>FX25*100/$E$25</f>
        <v/>
      </c>
      <c r="FZ25" s="108" t="n"/>
      <c r="GA25" s="107">
        <f>FZ25*100/$E$25</f>
        <v/>
      </c>
      <c r="GB25" s="108" t="n"/>
      <c r="GC25" s="107">
        <f>GB25*100/$E$25</f>
        <v/>
      </c>
      <c r="GD25" s="108" t="n"/>
      <c r="GE25" s="107">
        <f>GD25*100/$E$25</f>
        <v/>
      </c>
      <c r="GF25" s="108" t="n"/>
      <c r="GG25" s="107">
        <f>GF25*100/$E$25</f>
        <v/>
      </c>
      <c r="GH25" s="108" t="n"/>
      <c r="GI25" s="107">
        <f>GH25*100/$E$25</f>
        <v/>
      </c>
      <c r="GJ25" s="108" t="n"/>
      <c r="GK25" s="122">
        <f>GJ25*100/$E$25</f>
        <v/>
      </c>
      <c r="GL25" s="108" t="n"/>
      <c r="GM25" s="107">
        <f>GL25*100/$E$25</f>
        <v/>
      </c>
      <c r="GN25" s="108" t="n"/>
      <c r="GO25" s="122">
        <f>GN25*100/$E$25</f>
        <v/>
      </c>
      <c r="GP25" s="108" t="n"/>
      <c r="GQ25" s="107">
        <f>GP25*100/$E$25</f>
        <v/>
      </c>
      <c r="GR25" s="108" t="n"/>
      <c r="GS25" s="122">
        <f>GR25*100/$E$25</f>
        <v/>
      </c>
      <c r="GT25" s="108" t="n"/>
      <c r="GU25" s="122">
        <f>GT25*100/$E$25</f>
        <v/>
      </c>
      <c r="GV25" s="108" t="n"/>
      <c r="GW25" s="122">
        <f>GV25*100/$E$25</f>
        <v/>
      </c>
      <c r="GX25" s="108" t="n"/>
      <c r="GY25" s="107">
        <f>GX25*100/$E$25</f>
        <v/>
      </c>
      <c r="GZ25" s="108" t="n"/>
      <c r="HA25" s="107">
        <f>GZ25*100/$E$25</f>
        <v/>
      </c>
      <c r="HB25" s="108" t="n"/>
      <c r="HC25" s="107">
        <f>HB25*100/$E$25</f>
        <v/>
      </c>
      <c r="HD25" s="108" t="n"/>
      <c r="HE25" s="107">
        <f>HD25*100/$E$25</f>
        <v/>
      </c>
      <c r="HF25" s="108" t="n"/>
      <c r="HG25" s="107">
        <f>HF25*100/$E$25</f>
        <v/>
      </c>
      <c r="HH25" s="108" t="n"/>
      <c r="HI25" s="107">
        <f>HH25*100/$E$25</f>
        <v/>
      </c>
      <c r="HJ25" s="108" t="n"/>
      <c r="HK25" s="107">
        <f>HJ25*100/$E$25</f>
        <v/>
      </c>
      <c r="HL25" s="108" t="n"/>
      <c r="HM25" s="107">
        <f>HL25*100/$E$25</f>
        <v/>
      </c>
      <c r="HN25" s="108" t="n"/>
      <c r="HO25" s="107">
        <f>HN25*100/$E$25</f>
        <v/>
      </c>
      <c r="HP25" s="108" t="n"/>
      <c r="HQ25" s="107">
        <f>HP25*100/$E$25</f>
        <v/>
      </c>
      <c r="HR25" s="108" t="n"/>
      <c r="HS25" s="107">
        <f>HR25*100/$E$25</f>
        <v/>
      </c>
      <c r="HT25" s="108" t="n"/>
      <c r="HU25" s="107">
        <f>HT25*100/$E$25</f>
        <v/>
      </c>
      <c r="HV25" s="108" t="n"/>
      <c r="HW25" s="107">
        <f>HV25*100/$E$25</f>
        <v/>
      </c>
      <c r="HX25" s="108" t="n"/>
      <c r="HY25" s="107">
        <f>HX25*100/$E$25</f>
        <v/>
      </c>
      <c r="HZ25" s="108" t="n"/>
      <c r="IA25" s="122">
        <f>HZ25*100/$E$25</f>
        <v/>
      </c>
      <c r="IB25" s="108" t="n"/>
      <c r="IC25" s="122">
        <f>IB25*100/$E$25</f>
        <v/>
      </c>
      <c r="ID25" s="108" t="n"/>
      <c r="IE25" s="122">
        <f>ID25*100/$E$25</f>
        <v/>
      </c>
      <c r="IF25" s="108" t="n"/>
      <c r="IG25" s="122">
        <f>IF25*100/$E$25</f>
        <v/>
      </c>
      <c r="IH25" s="108" t="n"/>
      <c r="II25" s="122">
        <f>IH25*100/$E$25</f>
        <v/>
      </c>
      <c r="IJ25" s="108" t="n"/>
      <c r="IK25" s="122">
        <f>IJ25*100/$E$25</f>
        <v/>
      </c>
      <c r="IL25" s="108" t="n"/>
      <c r="IM25" s="107">
        <f>IL25*100/$E$25</f>
        <v/>
      </c>
      <c r="IN25" s="108" t="n"/>
      <c r="IO25" s="107">
        <f>IN25*100/$E$25</f>
        <v/>
      </c>
      <c r="IP25" s="108" t="n"/>
      <c r="IQ25" s="122">
        <f>IP25*100/$E$25</f>
        <v/>
      </c>
      <c r="IR25" s="108" t="n"/>
      <c r="IS25" s="122">
        <f>IR25*100/$E$25</f>
        <v/>
      </c>
      <c r="IT25" s="108" t="n"/>
      <c r="IU25" s="122">
        <f>IT25*100/$E$25</f>
        <v/>
      </c>
      <c r="IV25" s="108" t="n"/>
      <c r="IW25" s="122">
        <f>IV25*100/$E$25</f>
        <v/>
      </c>
      <c r="IX25" s="108" t="n"/>
      <c r="IY25" s="122">
        <f>IX25*100/$E$25</f>
        <v/>
      </c>
      <c r="IZ25" s="108" t="n"/>
      <c r="JA25" s="122">
        <f>IZ25*100/$E$25</f>
        <v/>
      </c>
      <c r="JB25" s="108" t="n"/>
      <c r="JC25" s="122">
        <f>JB25*100/$E$25</f>
        <v/>
      </c>
      <c r="JD25" s="108" t="n"/>
      <c r="JE25" s="122">
        <f>JD25*100/$E$25</f>
        <v/>
      </c>
      <c r="JF25" s="108" t="n"/>
      <c r="JG25" s="122">
        <f>JF25*100/$E$25</f>
        <v/>
      </c>
      <c r="JH25" s="108" t="n"/>
      <c r="JI25" s="122">
        <f>JH25*100/$E$25</f>
        <v/>
      </c>
      <c r="JJ25" s="108" t="n"/>
      <c r="JK25" s="122">
        <f>JJ25*100/$E$25</f>
        <v/>
      </c>
      <c r="JL25" s="108" t="n"/>
      <c r="JM25" s="122">
        <f>JL25*100/$E$25</f>
        <v/>
      </c>
      <c r="JN25" s="108" t="n"/>
      <c r="JO25" s="122">
        <f>JN25*100/$E$25</f>
        <v/>
      </c>
      <c r="JP25" s="108" t="n"/>
      <c r="JQ25" s="122">
        <f>JP25*100/$E$25</f>
        <v/>
      </c>
      <c r="JR25" s="108" t="n"/>
      <c r="JS25" s="122">
        <f>JR25*100/$E$25</f>
        <v/>
      </c>
      <c r="JT25" s="108" t="n"/>
      <c r="JU25" s="122">
        <f>JT25*100/$E$25</f>
        <v/>
      </c>
      <c r="JV25" s="108" t="n"/>
      <c r="JW25" s="122">
        <f>JV25*100/$E$25</f>
        <v/>
      </c>
      <c r="JX25" s="108" t="n"/>
      <c r="JY25" s="122">
        <f>JX25*100/$E$25</f>
        <v/>
      </c>
      <c r="JZ25" s="55">
        <f>JN25+JP25+JR25+JT25+JV25+JX25</f>
        <v/>
      </c>
      <c r="KA25" s="53">
        <f>JO25+JQ25+JS25+JU25+JW25+JY25</f>
        <v/>
      </c>
      <c r="KB25" s="64">
        <f>H25+J25+L25+N25+P25+R25+T25+V25+X25+Z25+AB25+AD25+AF25+AH25+AJ25+AL25+AN25+AP25+AR25+AT25+AV25+AX25+AZ25+BB25+BD25+BF25+BH25+BJ25+BL25+BN25+BP25+BR25+BT25+BV25+BX25+BZ25+CB25+CD25+CF25+CH25+CZ25+DB25+DD25+DF25+DH25+DJ25+DL25+DN25+DP25+DR25+DT25+DV25+DX25+DZ25+EB25+ED25+EF25+EH25+EJ25+EL25+EN25+EP25+ER25+ET25+EV25+FN25+FP25+FR25+FT25+FV25+FX25+FZ25+GB25+GD25+GF25+GH25+GJ25+GL25+GN25+GP25+GR25+GT25+GV25+GX25+GZ25+HB25+HD25+HF25+HH25+HJ25+HL25+HN25+HP25+HR25+HT25+HV25+HX25+HZ25+IB25+ID25+IF25+IH25+IJ25+IL25+IN25+IP25+IR25+IT25+IV25+IX25+IZ25+JB25+JD25+JF25+JH25+JJ25+JL25+JZ25+CJ25+CL25+CN25+CP25+CR25+CT25+CV25+CX25+EX25+EZ25+FB25+FD25+FF25+FH25+FJ25+FL25</f>
        <v/>
      </c>
      <c r="KC25" s="66">
        <f>I25+K25+M25+O25+Q25+S25+U25+W25+Y25+AA25+AC25+AE25+AG25+AI25+AK25+AM25+AO25+AQ25+AS25+AU25+AW25+AY25+BA25+BC25+BE25+BG25+BI25+BK25+BM25+BO25+BQ25+BS25+BU25+BW25+BY25+CA25+CC25+CE25+CG25+CI25+DA25+DC25+DE25+DG25+DI25+DK25+DM25+DO25+DQ25+DS25+DU25+DW25+DY25+EA25+EC25+EE25+EG25+EI25+EK25+EM25+EO25+EQ25+ES25+EU25+EW25+FO25+FS25+FU25+FW25+FQ25+FY25+GA25+GC25+GE25+GG25+GI25+GK25+GM25+GO25+GQ25+GS25+GU25+GW25+GY25+HA25+HC25+HE25+HG25+HI25+HK25+HM25+HO25+HQ25+HS25+HU25+HW25+HY25+IA25+IC25+IE25+IG25+II25+IK25+IM25+IO25+IQ25+IS25+IU25+IW25+IY25+JA25+JC25+JE25+JG25+JI25+JK25+JM25+KA25+CK25+CM25+CO25+CQ25+CS25+CU25+CW25+CY25+EY25+FA25+FC25+FE25+FG25+FI25+FK25+FM25</f>
        <v/>
      </c>
      <c r="KD25" s="44">
        <f>JO25+JQ25+JS25+JU25+JW25+JY25</f>
        <v/>
      </c>
      <c r="KE25" s="46">
        <f>KB25=E25</f>
        <v/>
      </c>
      <c r="KF25" s="101">
        <f>E25-KB25</f>
        <v/>
      </c>
      <c r="KG25" s="19" t="n"/>
      <c r="KH25" s="11" t="n"/>
      <c r="KI25" s="11" t="n"/>
      <c r="KJ25" s="11" t="n"/>
      <c r="KK25" s="11" t="n"/>
      <c r="KL25" s="11" t="n"/>
      <c r="KM25" s="11" t="n"/>
      <c r="KN25" s="11" t="n"/>
      <c r="KO25" s="11" t="n"/>
    </row>
    <row r="26" ht="21.75" customFormat="1" customHeight="1" s="19">
      <c r="A26" s="126">
        <f>A25+1</f>
        <v/>
      </c>
      <c r="B26" s="192" t="inlineStr">
        <is>
          <t>Капичников А.С.</t>
        </is>
      </c>
      <c r="C26" s="176" t="inlineStr">
        <is>
          <t>слесарь</t>
        </is>
      </c>
      <c r="D26" s="177">
        <f>$D$5</f>
        <v/>
      </c>
      <c r="E26" s="202" t="n"/>
      <c r="F26" s="178" t="n">
        <v>68902.87</v>
      </c>
      <c r="G26" s="52">
        <f>F26/D26</f>
        <v/>
      </c>
      <c r="H26" s="125" t="n"/>
      <c r="I26" s="107">
        <f>H26*100/$E$26</f>
        <v/>
      </c>
      <c r="J26" s="108" t="n"/>
      <c r="K26" s="107">
        <f>J26*100/$E$26</f>
        <v/>
      </c>
      <c r="L26" s="108" t="n"/>
      <c r="M26" s="107">
        <f>L26*100/$E$26</f>
        <v/>
      </c>
      <c r="N26" s="108" t="n"/>
      <c r="O26" s="107">
        <f>N26*100/$E$26</f>
        <v/>
      </c>
      <c r="P26" s="108" t="n"/>
      <c r="Q26" s="122">
        <f>P26*100/$E$26</f>
        <v/>
      </c>
      <c r="R26" s="108" t="n"/>
      <c r="S26" s="122">
        <f>R26*100/$E$26</f>
        <v/>
      </c>
      <c r="T26" s="108" t="n"/>
      <c r="U26" s="107">
        <f>T26*100/$E$26</f>
        <v/>
      </c>
      <c r="V26" s="108" t="n"/>
      <c r="W26" s="107">
        <f>V26*100/$E$26</f>
        <v/>
      </c>
      <c r="X26" s="108" t="n"/>
      <c r="Y26" s="107">
        <f>X26*100/$E$26</f>
        <v/>
      </c>
      <c r="Z26" s="108" t="n"/>
      <c r="AA26" s="107">
        <f>Z26*100/$E$26</f>
        <v/>
      </c>
      <c r="AB26" s="108" t="n"/>
      <c r="AC26" s="107">
        <f>AB26*100/$E$26</f>
        <v/>
      </c>
      <c r="AD26" s="108" t="n"/>
      <c r="AE26" s="122">
        <f>AD26*100/$E$26</f>
        <v/>
      </c>
      <c r="AF26" s="108" t="n"/>
      <c r="AG26" s="122">
        <f>AF26*100/$E$26</f>
        <v/>
      </c>
      <c r="AH26" s="108" t="n"/>
      <c r="AI26" s="107">
        <f>AH26*100/$E$26</f>
        <v/>
      </c>
      <c r="AJ26" s="108" t="n"/>
      <c r="AK26" s="107">
        <f>AJ26*100/$E$26</f>
        <v/>
      </c>
      <c r="AL26" s="108" t="n"/>
      <c r="AM26" s="107">
        <f>AL26*100/$E$26</f>
        <v/>
      </c>
      <c r="AN26" s="108" t="n"/>
      <c r="AO26" s="107">
        <f>AN26*100/$E$26</f>
        <v/>
      </c>
      <c r="AP26" s="108" t="n"/>
      <c r="AQ26" s="107">
        <f>AP26*100/$E$26</f>
        <v/>
      </c>
      <c r="AR26" s="108" t="n"/>
      <c r="AS26" s="107">
        <f>AR26*100/$E$26</f>
        <v/>
      </c>
      <c r="AT26" s="108" t="n"/>
      <c r="AU26" s="90">
        <f>AT26*100/$E$26</f>
        <v/>
      </c>
      <c r="AV26" s="108" t="n"/>
      <c r="AW26" s="107">
        <f>AV26*100/$E$26</f>
        <v/>
      </c>
      <c r="AX26" s="108" t="n"/>
      <c r="AY26" s="107">
        <f>AX26*100/$E$26</f>
        <v/>
      </c>
      <c r="AZ26" s="108" t="n"/>
      <c r="BA26" s="107">
        <f>AZ26*100/$E$26</f>
        <v/>
      </c>
      <c r="BB26" s="108" t="n"/>
      <c r="BC26" s="107">
        <f>BB26*100/$E$26</f>
        <v/>
      </c>
      <c r="BD26" s="108" t="n"/>
      <c r="BE26" s="107">
        <f>BD26*100/$E$26</f>
        <v/>
      </c>
      <c r="BF26" s="108" t="n"/>
      <c r="BG26" s="107">
        <f>BF26*100/$E$26</f>
        <v/>
      </c>
      <c r="BH26" s="108" t="n"/>
      <c r="BI26" s="107">
        <f>BH26*100/$E$26</f>
        <v/>
      </c>
      <c r="BJ26" s="108" t="n"/>
      <c r="BK26" s="107">
        <f>BJ26*100/$E$26</f>
        <v/>
      </c>
      <c r="BL26" s="108" t="n"/>
      <c r="BM26" s="107">
        <f>BL26*100/$E$26</f>
        <v/>
      </c>
      <c r="BN26" s="108" t="n"/>
      <c r="BO26" s="107">
        <f>BN26*100/$E$26</f>
        <v/>
      </c>
      <c r="BP26" s="108" t="n"/>
      <c r="BQ26" s="107">
        <f>BP26*100/$E$26</f>
        <v/>
      </c>
      <c r="BR26" s="108" t="n"/>
      <c r="BS26" s="107">
        <f>BR26*100/$E$26</f>
        <v/>
      </c>
      <c r="BT26" s="108" t="n"/>
      <c r="BU26" s="107">
        <f>BT26*100/$E$26</f>
        <v/>
      </c>
      <c r="BV26" s="108" t="n"/>
      <c r="BW26" s="107">
        <f>BV26*100/$E$26</f>
        <v/>
      </c>
      <c r="BX26" s="108" t="n"/>
      <c r="BY26" s="107">
        <f>BX26*100/$E$26</f>
        <v/>
      </c>
      <c r="BZ26" s="108" t="n"/>
      <c r="CA26" s="107">
        <f>BZ26*100/$E$26</f>
        <v/>
      </c>
      <c r="CB26" s="108" t="n"/>
      <c r="CC26" s="107">
        <f>CB26*100/$E$26</f>
        <v/>
      </c>
      <c r="CD26" s="108" t="n"/>
      <c r="CE26" s="107">
        <f>CD26*100/$E$26</f>
        <v/>
      </c>
      <c r="CF26" s="108" t="n"/>
      <c r="CG26" s="107">
        <f>CF26*100/$E$26</f>
        <v/>
      </c>
      <c r="CH26" s="108" t="n"/>
      <c r="CI26" s="107">
        <f>CH26*100/$E$26</f>
        <v/>
      </c>
      <c r="CJ26" s="108" t="n"/>
      <c r="CK26" s="107">
        <f>CJ26*100/$E$26</f>
        <v/>
      </c>
      <c r="CL26" s="108" t="n"/>
      <c r="CM26" s="107">
        <f>CL26*100/$E$26</f>
        <v/>
      </c>
      <c r="CN26" s="108" t="n"/>
      <c r="CO26" s="122">
        <f>CN26*100/$E$26</f>
        <v/>
      </c>
      <c r="CP26" s="108" t="n"/>
      <c r="CQ26" s="107">
        <f>CP26*100/$E$26</f>
        <v/>
      </c>
      <c r="CR26" s="108" t="n"/>
      <c r="CS26" s="122">
        <f>CR26*100/$E$26</f>
        <v/>
      </c>
      <c r="CT26" s="108" t="n"/>
      <c r="CU26" s="122">
        <f>CT26*100/$E$26</f>
        <v/>
      </c>
      <c r="CV26" s="108" t="n"/>
      <c r="CW26" s="122">
        <f>CV26*100/$E$26</f>
        <v/>
      </c>
      <c r="CX26" s="108" t="n"/>
      <c r="CY26" s="122">
        <f>CX26*100/$E$26</f>
        <v/>
      </c>
      <c r="CZ26" s="108" t="n"/>
      <c r="DA26" s="122">
        <f>CZ26*100/$E$26</f>
        <v/>
      </c>
      <c r="DB26" s="108" t="n"/>
      <c r="DC26" s="122">
        <f>DB26*100/$E$26</f>
        <v/>
      </c>
      <c r="DD26" s="108" t="n"/>
      <c r="DE26" s="122">
        <f>DD26*100/$E$26</f>
        <v/>
      </c>
      <c r="DF26" s="108" t="n"/>
      <c r="DG26" s="122">
        <f>DF26*100/$E$26</f>
        <v/>
      </c>
      <c r="DH26" s="108" t="n"/>
      <c r="DI26" s="122">
        <f>DH26*100/$E$26</f>
        <v/>
      </c>
      <c r="DJ26" s="108" t="n"/>
      <c r="DK26" s="122">
        <f>DJ26*100/$E$26</f>
        <v/>
      </c>
      <c r="DL26" s="108" t="n"/>
      <c r="DM26" s="122">
        <f>DL26*100/$E$26</f>
        <v/>
      </c>
      <c r="DN26" s="108" t="n"/>
      <c r="DO26" s="122">
        <f>DN26*100/$E$26</f>
        <v/>
      </c>
      <c r="DP26" s="108" t="n"/>
      <c r="DQ26" s="122">
        <f>DP26*100/$E$26</f>
        <v/>
      </c>
      <c r="DR26" s="108" t="n"/>
      <c r="DS26" s="122">
        <f>DR26*100/$E$26</f>
        <v/>
      </c>
      <c r="DT26" s="108" t="n"/>
      <c r="DU26" s="122">
        <f>DT26*100/$E$26</f>
        <v/>
      </c>
      <c r="DV26" s="108" t="n"/>
      <c r="DW26" s="122">
        <f>DV26*100/$E$26</f>
        <v/>
      </c>
      <c r="DX26" s="108" t="n"/>
      <c r="DY26" s="122">
        <f>DX26*100/$E$26</f>
        <v/>
      </c>
      <c r="DZ26" s="108" t="n"/>
      <c r="EA26" s="122">
        <f>DZ26*100/$E$26</f>
        <v/>
      </c>
      <c r="EB26" s="108" t="n"/>
      <c r="EC26" s="122">
        <f>EB26*100/$E$26</f>
        <v/>
      </c>
      <c r="ED26" s="108" t="n"/>
      <c r="EE26" s="122">
        <f>ED26*100/$E$26</f>
        <v/>
      </c>
      <c r="EF26" s="108" t="n"/>
      <c r="EG26" s="122">
        <f>EF26*100/$E$26</f>
        <v/>
      </c>
      <c r="EH26" s="108" t="n"/>
      <c r="EI26" s="122">
        <f>EH26*100/$E$26</f>
        <v/>
      </c>
      <c r="EJ26" s="108" t="n"/>
      <c r="EK26" s="122">
        <f>EJ26*100/$E$26</f>
        <v/>
      </c>
      <c r="EL26" s="108" t="n"/>
      <c r="EM26" s="122">
        <f>EL26*100/$E$26</f>
        <v/>
      </c>
      <c r="EN26" s="108" t="n"/>
      <c r="EO26" s="122">
        <f>EN26*100/$E$26</f>
        <v/>
      </c>
      <c r="EP26" s="108" t="n"/>
      <c r="EQ26" s="122">
        <f>EP26*100/$E$26</f>
        <v/>
      </c>
      <c r="ER26" s="108" t="n"/>
      <c r="ES26" s="122">
        <f>ER26*100/$E$26</f>
        <v/>
      </c>
      <c r="ET26" s="108" t="n"/>
      <c r="EU26" s="122">
        <f>ET26*100/$E$26</f>
        <v/>
      </c>
      <c r="EV26" s="108" t="n"/>
      <c r="EW26" s="122">
        <f>EV26*100/$E$26</f>
        <v/>
      </c>
      <c r="EX26" s="108" t="n"/>
      <c r="EY26" s="122">
        <f>EX26*100/$E$26</f>
        <v/>
      </c>
      <c r="EZ26" s="108" t="n"/>
      <c r="FA26" s="122">
        <f>EZ26*100/$E$26</f>
        <v/>
      </c>
      <c r="FB26" s="108" t="n"/>
      <c r="FC26" s="122">
        <f>FB26*100/$E$26</f>
        <v/>
      </c>
      <c r="FD26" s="108" t="n"/>
      <c r="FE26" s="122">
        <f>FD26*100/$E$26</f>
        <v/>
      </c>
      <c r="FF26" s="108" t="n"/>
      <c r="FG26" s="122">
        <f>FF26*100/$E$26</f>
        <v/>
      </c>
      <c r="FH26" s="108" t="n"/>
      <c r="FI26" s="122">
        <f>FH26*100/$E$26</f>
        <v/>
      </c>
      <c r="FJ26" s="108" t="n"/>
      <c r="FK26" s="122">
        <f>FJ26*100/$E$26</f>
        <v/>
      </c>
      <c r="FL26" s="108" t="n"/>
      <c r="FM26" s="122">
        <f>FL26*100/$E$26</f>
        <v/>
      </c>
      <c r="FN26" s="108" t="n"/>
      <c r="FO26" s="122">
        <f>FN26*100/$E$26</f>
        <v/>
      </c>
      <c r="FP26" s="108" t="n"/>
      <c r="FQ26" s="122">
        <f>FP26*100/$E$26</f>
        <v/>
      </c>
      <c r="FR26" s="108" t="n"/>
      <c r="FS26" s="122">
        <f>FR26*100/$E$26</f>
        <v/>
      </c>
      <c r="FT26" s="108" t="n"/>
      <c r="FU26" s="122">
        <f>FT26*100/$E$26</f>
        <v/>
      </c>
      <c r="FV26" s="108" t="n"/>
      <c r="FW26" s="122">
        <f>FV26*100/$E$26</f>
        <v/>
      </c>
      <c r="FX26" s="108" t="n"/>
      <c r="FY26" s="107">
        <f>FX26*100/$E$26</f>
        <v/>
      </c>
      <c r="FZ26" s="108" t="n"/>
      <c r="GA26" s="107">
        <f>FZ26*100/$E$26</f>
        <v/>
      </c>
      <c r="GB26" s="108" t="n"/>
      <c r="GC26" s="107">
        <f>GB26*100/$E$26</f>
        <v/>
      </c>
      <c r="GD26" s="108" t="n"/>
      <c r="GE26" s="107">
        <f>GD26*100/$E$26</f>
        <v/>
      </c>
      <c r="GF26" s="108" t="n"/>
      <c r="GG26" s="107">
        <f>GF26*100/$E$26</f>
        <v/>
      </c>
      <c r="GH26" s="108" t="n"/>
      <c r="GI26" s="107">
        <f>GH26*100/$E$26</f>
        <v/>
      </c>
      <c r="GJ26" s="108" t="n"/>
      <c r="GK26" s="122">
        <f>GJ26*100/$E$26</f>
        <v/>
      </c>
      <c r="GL26" s="108" t="n"/>
      <c r="GM26" s="107">
        <f>GL26*100/$E$26</f>
        <v/>
      </c>
      <c r="GN26" s="108" t="n"/>
      <c r="GO26" s="122">
        <f>GN26*100/$E$26</f>
        <v/>
      </c>
      <c r="GP26" s="108" t="n"/>
      <c r="GQ26" s="107">
        <f>GP26*100/$E$26</f>
        <v/>
      </c>
      <c r="GR26" s="108" t="n"/>
      <c r="GS26" s="122">
        <f>GR26*100/$E$26</f>
        <v/>
      </c>
      <c r="GT26" s="108" t="n"/>
      <c r="GU26" s="122">
        <f>GT26*100/$E$26</f>
        <v/>
      </c>
      <c r="GV26" s="108" t="n"/>
      <c r="GW26" s="122">
        <f>GV26*100/$E$26</f>
        <v/>
      </c>
      <c r="GX26" s="108" t="n"/>
      <c r="GY26" s="107">
        <f>GX26*100/$E$26</f>
        <v/>
      </c>
      <c r="GZ26" s="108" t="n"/>
      <c r="HA26" s="107">
        <f>GZ26*100/$E$26</f>
        <v/>
      </c>
      <c r="HB26" s="108" t="n"/>
      <c r="HC26" s="107">
        <f>HB26*100/$E$26</f>
        <v/>
      </c>
      <c r="HD26" s="108" t="n"/>
      <c r="HE26" s="107">
        <f>HD26*100/$E$26</f>
        <v/>
      </c>
      <c r="HF26" s="108" t="n"/>
      <c r="HG26" s="107">
        <f>HF26*100/$E$26</f>
        <v/>
      </c>
      <c r="HH26" s="108" t="n"/>
      <c r="HI26" s="107">
        <f>HH26*100/$E$26</f>
        <v/>
      </c>
      <c r="HJ26" s="108" t="n"/>
      <c r="HK26" s="107">
        <f>HJ26*100/$E$26</f>
        <v/>
      </c>
      <c r="HL26" s="108" t="n"/>
      <c r="HM26" s="107">
        <f>HL26*100/$E$26</f>
        <v/>
      </c>
      <c r="HN26" s="108" t="n"/>
      <c r="HO26" s="107">
        <f>HN26*100/$E$26</f>
        <v/>
      </c>
      <c r="HP26" s="108" t="n"/>
      <c r="HQ26" s="107">
        <f>HP26*100/$E$26</f>
        <v/>
      </c>
      <c r="HR26" s="108" t="n"/>
      <c r="HS26" s="107">
        <f>HR26*100/$E$26</f>
        <v/>
      </c>
      <c r="HT26" s="108" t="n"/>
      <c r="HU26" s="107">
        <f>HT26*100/$E$26</f>
        <v/>
      </c>
      <c r="HV26" s="108" t="n"/>
      <c r="HW26" s="107">
        <f>HV26*100/$E$26</f>
        <v/>
      </c>
      <c r="HX26" s="108" t="n"/>
      <c r="HY26" s="107">
        <f>HX26*100/$E$26</f>
        <v/>
      </c>
      <c r="HZ26" s="108" t="n"/>
      <c r="IA26" s="122">
        <f>HZ26*100/$E$26</f>
        <v/>
      </c>
      <c r="IB26" s="108" t="n"/>
      <c r="IC26" s="122">
        <f>IB26*100/$E$26</f>
        <v/>
      </c>
      <c r="ID26" s="108" t="n"/>
      <c r="IE26" s="122">
        <f>ID26*100/$E$26</f>
        <v/>
      </c>
      <c r="IF26" s="108" t="n"/>
      <c r="IG26" s="122">
        <f>IF26*100/$E$26</f>
        <v/>
      </c>
      <c r="IH26" s="108" t="n"/>
      <c r="II26" s="122">
        <f>IH26*100/$E$26</f>
        <v/>
      </c>
      <c r="IJ26" s="108" t="n"/>
      <c r="IK26" s="122">
        <f>IJ26*100/$E$26</f>
        <v/>
      </c>
      <c r="IL26" s="108" t="n"/>
      <c r="IM26" s="107">
        <f>IL26*100/$E$26</f>
        <v/>
      </c>
      <c r="IN26" s="108" t="n"/>
      <c r="IO26" s="107">
        <f>IN26*100/$E$26</f>
        <v/>
      </c>
      <c r="IP26" s="108" t="n"/>
      <c r="IQ26" s="122">
        <f>IP26*100/$E$26</f>
        <v/>
      </c>
      <c r="IR26" s="108" t="n"/>
      <c r="IS26" s="122">
        <f>IR26*100/$E$26</f>
        <v/>
      </c>
      <c r="IT26" s="108" t="n"/>
      <c r="IU26" s="122">
        <f>IT26*100/$E$26</f>
        <v/>
      </c>
      <c r="IV26" s="108" t="n"/>
      <c r="IW26" s="122">
        <f>IV26*100/$E$26</f>
        <v/>
      </c>
      <c r="IX26" s="108" t="n"/>
      <c r="IY26" s="122">
        <f>IX26*100/$E$26</f>
        <v/>
      </c>
      <c r="IZ26" s="108" t="n"/>
      <c r="JA26" s="122">
        <f>IZ26*100/$E$26</f>
        <v/>
      </c>
      <c r="JB26" s="108" t="n"/>
      <c r="JC26" s="122">
        <f>JB26*100/$E$26</f>
        <v/>
      </c>
      <c r="JD26" s="108" t="n"/>
      <c r="JE26" s="122">
        <f>JD26*100/$E$26</f>
        <v/>
      </c>
      <c r="JF26" s="108" t="n"/>
      <c r="JG26" s="122">
        <f>JF26*100/$E$26</f>
        <v/>
      </c>
      <c r="JH26" s="108" t="n"/>
      <c r="JI26" s="122">
        <f>JH26*100/$E$26</f>
        <v/>
      </c>
      <c r="JJ26" s="108" t="n"/>
      <c r="JK26" s="122">
        <f>JJ26*100/$E$26</f>
        <v/>
      </c>
      <c r="JL26" s="108" t="n"/>
      <c r="JM26" s="122">
        <f>JL26*100/$E$26</f>
        <v/>
      </c>
      <c r="JN26" s="108" t="n"/>
      <c r="JO26" s="122">
        <f>JN26*100/$E$26</f>
        <v/>
      </c>
      <c r="JP26" s="108" t="n"/>
      <c r="JQ26" s="122">
        <f>JP26*100/$E$26</f>
        <v/>
      </c>
      <c r="JR26" s="108" t="n"/>
      <c r="JS26" s="122">
        <f>JR26*100/$E$26</f>
        <v/>
      </c>
      <c r="JT26" s="108" t="n"/>
      <c r="JU26" s="122">
        <f>JT26*100/$E$26</f>
        <v/>
      </c>
      <c r="JV26" s="132" t="n"/>
      <c r="JW26" s="122">
        <f>JV26*100/$E$26</f>
        <v/>
      </c>
      <c r="JX26" s="132" t="n"/>
      <c r="JY26" s="122">
        <f>JX26*100/$E$26</f>
        <v/>
      </c>
      <c r="JZ26" s="55">
        <f>JN26+JP26+JR26+JT26+JV26+JX26</f>
        <v/>
      </c>
      <c r="KA26" s="53">
        <f>JO26+JQ26+JS26+JU26+JW26+JY26</f>
        <v/>
      </c>
      <c r="KB26" s="64">
        <f>H26+J26+L26+N26+P26+R26+T26+V26+X26+Z26+AB26+AD26+AF26+AH26+AJ26+AL26+AN26+AP26+AR26+AT26+AV26+AX26+AZ26+BB26+BD26+BF26+BH26+BJ26+BL26+BN26+BP26+BR26+BT26+BV26+BX26+BZ26+CB26+CD26+CF26+CH26+CZ26+DB26+DD26+DF26+DH26+DJ26+DL26+DN26+DP26+DR26+DT26+DV26+DX26+DZ26+EB26+ED26+EF26+EH26+EJ26+EL26+EN26+EP26+ER26+ET26+EV26+FN26+FP26+FR26+FT26+FV26+FX26+FZ26+GB26+GD26+GF26+GH26+GJ26+GL26+GN26+GP26+GR26+GT26+GV26+GX26+GZ26+HB26+HD26+HF26+HH26+HJ26+HL26+HN26+HP26+HR26+HT26+HV26+HX26+HZ26+IB26+ID26+IF26+IH26+IJ26+IL26+IN26+IP26+IR26+IT26+IV26+IX26+IZ26+JB26+JD26+JF26+JH26+JJ26+JL26+JZ26+CJ26+CL26+CN26+CP26+CR26+CT26+CV26+CX26+EX26+EZ26+FB26+FD26+FF26+FH26+FJ26+FL26</f>
        <v/>
      </c>
      <c r="KC26" s="66">
        <f>I26+K26+M26+O26+Q26+S26+U26+W26+Y26+AA26+AC26+AE26+AG26+AI26+AK26+AM26+AO26+AQ26+AS26+AU26+AW26+AY26+BA26+BC26+BE26+BG26+BI26+BK26+BM26+BO26+BQ26+BS26+BU26+BW26+BY26+CA26+CC26+CE26+CG26+CI26+DA26+DC26+DE26+DG26+DI26+DK26+DM26+DO26+DQ26+DS26+DU26+DW26+DY26+EA26+EC26+EE26+EG26+EI26+EK26+EM26+EO26+EQ26+ES26+EU26+EW26+FO26+FS26+FU26+FW26+FQ26+FY26+GA26+GC26+GE26+GG26+GI26+GK26+GM26+GO26+GQ26+GS26+GU26+GW26+GY26+HA26+HC26+HE26+HG26+HI26+HK26+HM26+HO26+HQ26+HS26+HU26+HW26+HY26+IA26+IC26+IE26+IG26+II26+IK26+IM26+IO26+IQ26+IS26+IU26+IW26+IY26+JA26+JC26+JE26+JG26+JI26+JK26+JM26+KA26+CK26+CM26+CO26+CQ26+CS26+CU26+CW26+CY26+EY26+FA26+FC26+FE26+FG26+FI26+FK26+FM26</f>
        <v/>
      </c>
      <c r="KD26" s="44">
        <f>JO26+JQ26+JS26+JU26+JW26+JY26</f>
        <v/>
      </c>
      <c r="KE26" s="46">
        <f>KB26=E26</f>
        <v/>
      </c>
      <c r="KF26" s="101">
        <f>E26-KB26</f>
        <v/>
      </c>
      <c r="KG26" s="20" t="n"/>
    </row>
    <row r="27" ht="21.75" customFormat="1" customHeight="1" s="19">
      <c r="A27" s="126">
        <f>A26+1</f>
        <v/>
      </c>
      <c r="B27" s="192" t="inlineStr">
        <is>
          <t>Кожемякин Е.А.</t>
        </is>
      </c>
      <c r="C27" s="176" t="inlineStr">
        <is>
          <t>сварщик</t>
        </is>
      </c>
      <c r="D27" s="177">
        <f>$D$5</f>
        <v/>
      </c>
      <c r="E27" s="202" t="n"/>
      <c r="F27" s="193" t="n">
        <v>61252.7</v>
      </c>
      <c r="G27" s="52">
        <f>F27/D27</f>
        <v/>
      </c>
      <c r="H27" s="125" t="n"/>
      <c r="I27" s="107">
        <f>H27*100/$E$27</f>
        <v/>
      </c>
      <c r="J27" s="108" t="n"/>
      <c r="K27" s="122">
        <f>J27*100/$E$27</f>
        <v/>
      </c>
      <c r="L27" s="108" t="n"/>
      <c r="M27" s="122">
        <f>L27*100/$E$27</f>
        <v/>
      </c>
      <c r="N27" s="108" t="n"/>
      <c r="O27" s="122">
        <f>N27*100/$E$27</f>
        <v/>
      </c>
      <c r="P27" s="108" t="n"/>
      <c r="Q27" s="122">
        <f>P27*100/$E$27</f>
        <v/>
      </c>
      <c r="R27" s="108" t="n"/>
      <c r="S27" s="122">
        <f>R27*100/$E$27</f>
        <v/>
      </c>
      <c r="T27" s="108" t="n"/>
      <c r="U27" s="122">
        <f>T27*100/$E$27</f>
        <v/>
      </c>
      <c r="V27" s="108" t="n"/>
      <c r="W27" s="107">
        <f>V27*100/$E$27</f>
        <v/>
      </c>
      <c r="X27" s="108" t="n"/>
      <c r="Y27" s="107">
        <f>X27*100/$E$27</f>
        <v/>
      </c>
      <c r="Z27" s="108" t="n"/>
      <c r="AA27" s="122">
        <f>Z27*100/$E$27</f>
        <v/>
      </c>
      <c r="AB27" s="108" t="n"/>
      <c r="AC27" s="107">
        <f>AB27*100/$E$27</f>
        <v/>
      </c>
      <c r="AD27" s="108" t="n"/>
      <c r="AE27" s="122">
        <f>AD27*100/$E$27</f>
        <v/>
      </c>
      <c r="AF27" s="108" t="n"/>
      <c r="AG27" s="107">
        <f>AF27*100/$E$27</f>
        <v/>
      </c>
      <c r="AH27" s="108" t="n"/>
      <c r="AI27" s="107">
        <f>AH27*100/$E$27</f>
        <v/>
      </c>
      <c r="AJ27" s="108" t="n"/>
      <c r="AK27" s="107">
        <f>AJ27*100/$E$27</f>
        <v/>
      </c>
      <c r="AL27" s="108" t="n"/>
      <c r="AM27" s="107">
        <f>AL27*100/$E$27</f>
        <v/>
      </c>
      <c r="AN27" s="108" t="n"/>
      <c r="AO27" s="107">
        <f>AN27*100/$E$27</f>
        <v/>
      </c>
      <c r="AP27" s="108" t="n"/>
      <c r="AQ27" s="107">
        <f>AP27*100/$E$27</f>
        <v/>
      </c>
      <c r="AR27" s="108" t="n"/>
      <c r="AS27" s="107">
        <f>AR27*100/$E$27</f>
        <v/>
      </c>
      <c r="AT27" s="108" t="n"/>
      <c r="AU27" s="90">
        <f>AT27*100/$E$27</f>
        <v/>
      </c>
      <c r="AV27" s="108" t="n"/>
      <c r="AW27" s="107">
        <f>AV27*100/$E$27</f>
        <v/>
      </c>
      <c r="AX27" s="108" t="n"/>
      <c r="AY27" s="107">
        <f>AX27*100/$E$27</f>
        <v/>
      </c>
      <c r="AZ27" s="108" t="n"/>
      <c r="BA27" s="107">
        <f>AZ27*100/$E$27</f>
        <v/>
      </c>
      <c r="BB27" s="108" t="n"/>
      <c r="BC27" s="107">
        <f>BB27*100/$E$27</f>
        <v/>
      </c>
      <c r="BD27" s="108" t="n"/>
      <c r="BE27" s="107">
        <f>BD27*100/$E$27</f>
        <v/>
      </c>
      <c r="BF27" s="108" t="n"/>
      <c r="BG27" s="139">
        <f>BF27*100/$E$27</f>
        <v/>
      </c>
      <c r="BH27" s="108" t="n"/>
      <c r="BI27" s="107">
        <f>BH27*100/$E$27</f>
        <v/>
      </c>
      <c r="BJ27" s="108" t="n"/>
      <c r="BK27" s="107">
        <f>BJ27*100/$E$27</f>
        <v/>
      </c>
      <c r="BL27" s="108" t="n"/>
      <c r="BM27" s="107">
        <f>BL27*100/$E$27</f>
        <v/>
      </c>
      <c r="BN27" s="108" t="n"/>
      <c r="BO27" s="107">
        <f>BN27*100/$E$27</f>
        <v/>
      </c>
      <c r="BP27" s="108" t="n"/>
      <c r="BQ27" s="107">
        <f>BP27*100/$E$27</f>
        <v/>
      </c>
      <c r="BR27" s="108" t="n"/>
      <c r="BS27" s="107">
        <f>BR27*100/$E$27</f>
        <v/>
      </c>
      <c r="BT27" s="108" t="n"/>
      <c r="BU27" s="107">
        <f>BT27*100/$E$27</f>
        <v/>
      </c>
      <c r="BV27" s="108" t="n"/>
      <c r="BW27" s="107">
        <f>BV27*100/$E$27</f>
        <v/>
      </c>
      <c r="BX27" s="108" t="n"/>
      <c r="BY27" s="107">
        <f>BX27*100/$E$27</f>
        <v/>
      </c>
      <c r="BZ27" s="108" t="n"/>
      <c r="CA27" s="107">
        <f>BZ27*100/$E$27</f>
        <v/>
      </c>
      <c r="CB27" s="108" t="n"/>
      <c r="CC27" s="107">
        <f>CB27*100/$E$27</f>
        <v/>
      </c>
      <c r="CD27" s="108" t="n"/>
      <c r="CE27" s="139">
        <f>CD27*100/$E$27</f>
        <v/>
      </c>
      <c r="CF27" s="108" t="n"/>
      <c r="CG27" s="107">
        <f>CF27*100/$E$27</f>
        <v/>
      </c>
      <c r="CH27" s="108" t="n"/>
      <c r="CI27" s="107">
        <f>CH27*100/$E$27</f>
        <v/>
      </c>
      <c r="CJ27" s="108" t="n"/>
      <c r="CK27" s="107">
        <f>CJ27*100/$E$27</f>
        <v/>
      </c>
      <c r="CL27" s="108" t="n"/>
      <c r="CM27" s="107">
        <f>CL27*100/$E$27</f>
        <v/>
      </c>
      <c r="CN27" s="108" t="n"/>
      <c r="CO27" s="122">
        <f>CN27*100/$E$27</f>
        <v/>
      </c>
      <c r="CP27" s="108" t="n"/>
      <c r="CQ27" s="107">
        <f>CP27*100/$E$27</f>
        <v/>
      </c>
      <c r="CR27" s="108" t="n"/>
      <c r="CS27" s="122">
        <f>CR27*100/$E$27</f>
        <v/>
      </c>
      <c r="CT27" s="108" t="n"/>
      <c r="CU27" s="122">
        <f>CT27*100/$E$27</f>
        <v/>
      </c>
      <c r="CV27" s="108" t="n"/>
      <c r="CW27" s="122">
        <f>CV27*100/$E$27</f>
        <v/>
      </c>
      <c r="CX27" s="108" t="n"/>
      <c r="CY27" s="122">
        <f>CX27*100/$E$27</f>
        <v/>
      </c>
      <c r="CZ27" s="108" t="n"/>
      <c r="DA27" s="122">
        <f>CZ27*100/$E$27</f>
        <v/>
      </c>
      <c r="DB27" s="108" t="n"/>
      <c r="DC27" s="122">
        <f>DB27*100/$E$27</f>
        <v/>
      </c>
      <c r="DD27" s="108" t="n"/>
      <c r="DE27" s="122">
        <f>DD27*100/$E$27</f>
        <v/>
      </c>
      <c r="DF27" s="108" t="n"/>
      <c r="DG27" s="122">
        <f>DF27*100/$E$27</f>
        <v/>
      </c>
      <c r="DH27" s="108" t="n"/>
      <c r="DI27" s="122">
        <f>DH27*100/$E$27</f>
        <v/>
      </c>
      <c r="DJ27" s="108" t="n"/>
      <c r="DK27" s="122">
        <f>DJ27*100/$E$27</f>
        <v/>
      </c>
      <c r="DL27" s="108" t="n"/>
      <c r="DM27" s="122">
        <f>DL27*100/$E$27</f>
        <v/>
      </c>
      <c r="DN27" s="108" t="n"/>
      <c r="DO27" s="122">
        <f>DN27*100/$E$27</f>
        <v/>
      </c>
      <c r="DP27" s="108" t="n"/>
      <c r="DQ27" s="122">
        <f>DP27*100/$E$27</f>
        <v/>
      </c>
      <c r="DR27" s="108" t="n"/>
      <c r="DS27" s="139">
        <f>DR27*100/$E$27</f>
        <v/>
      </c>
      <c r="DT27" s="108" t="n"/>
      <c r="DU27" s="122">
        <f>DT27*100/$E$27</f>
        <v/>
      </c>
      <c r="DV27" s="108" t="n"/>
      <c r="DW27" s="122">
        <f>DV27*100/$E$27</f>
        <v/>
      </c>
      <c r="DX27" s="108" t="n"/>
      <c r="DY27" s="122">
        <f>DX27*100/$E$27</f>
        <v/>
      </c>
      <c r="DZ27" s="108" t="n"/>
      <c r="EA27" s="122">
        <f>DZ27*100/$E$27</f>
        <v/>
      </c>
      <c r="EB27" s="108" t="n"/>
      <c r="EC27" s="122">
        <f>EB27*100/$E$27</f>
        <v/>
      </c>
      <c r="ED27" s="108" t="n"/>
      <c r="EE27" s="122">
        <f>ED27*100/$E$27</f>
        <v/>
      </c>
      <c r="EF27" s="108" t="n"/>
      <c r="EG27" s="122">
        <f>EF27*100/$E$27</f>
        <v/>
      </c>
      <c r="EH27" s="108" t="n"/>
      <c r="EI27" s="139">
        <f>EH27*100/$E$27</f>
        <v/>
      </c>
      <c r="EJ27" s="108" t="n"/>
      <c r="EK27" s="139">
        <f>EJ27*100/$E$27</f>
        <v/>
      </c>
      <c r="EL27" s="108" t="n"/>
      <c r="EM27" s="139">
        <f>EL27*100/$E$27</f>
        <v/>
      </c>
      <c r="EN27" s="108" t="n"/>
      <c r="EO27" s="139">
        <f>EN27*100/$E$27</f>
        <v/>
      </c>
      <c r="EP27" s="108" t="n"/>
      <c r="EQ27" s="139">
        <f>EP27*100/$E$27</f>
        <v/>
      </c>
      <c r="ER27" s="108" t="n"/>
      <c r="ES27" s="139">
        <f>ER27*100/$E$27</f>
        <v/>
      </c>
      <c r="ET27" s="108" t="n"/>
      <c r="EU27" s="140">
        <f>ET27*100/$E$27</f>
        <v/>
      </c>
      <c r="EV27" s="108" t="n"/>
      <c r="EW27" s="122">
        <f>EV27*100/$E$27</f>
        <v/>
      </c>
      <c r="EX27" s="108" t="n"/>
      <c r="EY27" s="122">
        <f>EX27*100/$E$27</f>
        <v/>
      </c>
      <c r="EZ27" s="108" t="n"/>
      <c r="FA27" s="122">
        <f>EZ27*100/$E$27</f>
        <v/>
      </c>
      <c r="FB27" s="108" t="n"/>
      <c r="FC27" s="122">
        <f>FB27*100/$E$27</f>
        <v/>
      </c>
      <c r="FD27" s="108" t="n"/>
      <c r="FE27" s="122">
        <f>FD27*100/$E$27</f>
        <v/>
      </c>
      <c r="FF27" s="108" t="n"/>
      <c r="FG27" s="122">
        <f>FF27*100/$E$27</f>
        <v/>
      </c>
      <c r="FH27" s="108" t="n"/>
      <c r="FI27" s="122">
        <f>FH27*100/$E$27</f>
        <v/>
      </c>
      <c r="FJ27" s="108" t="n"/>
      <c r="FK27" s="122">
        <f>FJ27*100/$E$27</f>
        <v/>
      </c>
      <c r="FL27" s="108" t="n"/>
      <c r="FM27" s="122">
        <f>FL27*100/$E$27</f>
        <v/>
      </c>
      <c r="FN27" s="108" t="n"/>
      <c r="FO27" s="122">
        <f>FN27*100/$E$27</f>
        <v/>
      </c>
      <c r="FP27" s="108" t="n"/>
      <c r="FQ27" s="139">
        <f>FP27*100/$E$27</f>
        <v/>
      </c>
      <c r="FR27" s="108" t="n"/>
      <c r="FS27" s="139">
        <f>FR27*100/$E$27</f>
        <v/>
      </c>
      <c r="FT27" s="108" t="n"/>
      <c r="FU27" s="139">
        <f>FT27*100/$E$27</f>
        <v/>
      </c>
      <c r="FV27" s="108" t="n"/>
      <c r="FW27" s="139">
        <f>FV27*100/$E$27</f>
        <v/>
      </c>
      <c r="FX27" s="108" t="n"/>
      <c r="FY27" s="139">
        <f>FX27*100/$E$27</f>
        <v/>
      </c>
      <c r="FZ27" s="108" t="n"/>
      <c r="GA27" s="140">
        <f>FZ27*100/$E$27</f>
        <v/>
      </c>
      <c r="GB27" s="108" t="n"/>
      <c r="GC27" s="140">
        <f>GB27*100/$E$27</f>
        <v/>
      </c>
      <c r="GD27" s="108" t="n"/>
      <c r="GE27" s="139">
        <f>GD27*100/$E$27</f>
        <v/>
      </c>
      <c r="GF27" s="108" t="n"/>
      <c r="GG27" s="140">
        <f>GF27*100/$E$27</f>
        <v/>
      </c>
      <c r="GH27" s="108" t="n"/>
      <c r="GI27" s="139">
        <f>GH27*100/$E$27</f>
        <v/>
      </c>
      <c r="GJ27" s="108" t="n"/>
      <c r="GK27" s="122">
        <f>GJ27*100/$E$27</f>
        <v/>
      </c>
      <c r="GL27" s="108" t="n"/>
      <c r="GM27" s="139">
        <f>GL27*100/$E$27</f>
        <v/>
      </c>
      <c r="GN27" s="133" t="n"/>
      <c r="GO27" s="122">
        <f>GN27*100/$E$27</f>
        <v/>
      </c>
      <c r="GP27" s="133" t="n"/>
      <c r="GQ27" s="139">
        <f>GP27*100/$E$27</f>
        <v/>
      </c>
      <c r="GR27" s="133" t="n"/>
      <c r="GS27" s="122">
        <f>GR27*100/$E$27</f>
        <v/>
      </c>
      <c r="GT27" s="133" t="n"/>
      <c r="GU27" s="122">
        <f>GT27*100/$E$27</f>
        <v/>
      </c>
      <c r="GV27" s="133" t="n"/>
      <c r="GW27" s="139">
        <f>GV27*100/$E$27</f>
        <v/>
      </c>
      <c r="GX27" s="133" t="n"/>
      <c r="GY27" s="139">
        <f>GX27*100/$E$27</f>
        <v/>
      </c>
      <c r="GZ27" s="133" t="n"/>
      <c r="HA27" s="139">
        <f>GZ27*100/$E$27</f>
        <v/>
      </c>
      <c r="HB27" s="133" t="n"/>
      <c r="HC27" s="139">
        <f>HB27*100/$E$27</f>
        <v/>
      </c>
      <c r="HD27" s="133" t="n"/>
      <c r="HE27" s="139">
        <f>HD27*100/$E$27</f>
        <v/>
      </c>
      <c r="HF27" s="133" t="n"/>
      <c r="HG27" s="140">
        <f>HF27*100/$E$27</f>
        <v/>
      </c>
      <c r="HH27" s="133" t="n"/>
      <c r="HI27" s="140">
        <f>HH27*100/$E$27</f>
        <v/>
      </c>
      <c r="HJ27" s="133" t="n"/>
      <c r="HK27" s="139">
        <f>HJ27*100/$E$27</f>
        <v/>
      </c>
      <c r="HL27" s="133" t="n"/>
      <c r="HM27" s="140">
        <f>HL27*100/$E$27</f>
        <v/>
      </c>
      <c r="HN27" s="133" t="n"/>
      <c r="HO27" s="139">
        <f>HN27*100/$E$27</f>
        <v/>
      </c>
      <c r="HP27" s="133" t="n"/>
      <c r="HQ27" s="140">
        <f>HP27*100/$E$27</f>
        <v/>
      </c>
      <c r="HR27" s="133" t="n"/>
      <c r="HS27" s="139">
        <f>HR27*100/$E$27</f>
        <v/>
      </c>
      <c r="HT27" s="133" t="n"/>
      <c r="HU27" s="140">
        <f>HT27*100/$E$27</f>
        <v/>
      </c>
      <c r="HV27" s="133" t="n"/>
      <c r="HW27" s="139">
        <f>HV27*100/$E$27</f>
        <v/>
      </c>
      <c r="HX27" s="108" t="n"/>
      <c r="HY27" s="140">
        <f>HX27*100/$E$27</f>
        <v/>
      </c>
      <c r="HZ27" s="108" t="n"/>
      <c r="IA27" s="122">
        <f>HZ27*100/$E$27</f>
        <v/>
      </c>
      <c r="IB27" s="108" t="n"/>
      <c r="IC27" s="122">
        <f>IB27*100/$E$27</f>
        <v/>
      </c>
      <c r="ID27" s="133" t="n"/>
      <c r="IE27" s="122">
        <f>ID27*100/$E$27</f>
        <v/>
      </c>
      <c r="IF27" s="108" t="n"/>
      <c r="IG27" s="122">
        <f>IF27*100/$E$27</f>
        <v/>
      </c>
      <c r="IH27" s="108" t="n"/>
      <c r="II27" s="122">
        <f>IH27*100/$E$27</f>
        <v/>
      </c>
      <c r="IJ27" s="108" t="n"/>
      <c r="IK27" s="122">
        <f>IJ27*100/$E$27</f>
        <v/>
      </c>
      <c r="IL27" s="108" t="n"/>
      <c r="IM27" s="140">
        <f>IL27*100/$E$27</f>
        <v/>
      </c>
      <c r="IN27" s="108" t="n"/>
      <c r="IO27" s="140">
        <f>IN27*100/$E$27</f>
        <v/>
      </c>
      <c r="IP27" s="108" t="n"/>
      <c r="IQ27" s="122">
        <f>IP27*100/$E$27</f>
        <v/>
      </c>
      <c r="IR27" s="108" t="n"/>
      <c r="IS27" s="122">
        <f>IR27*100/$E$27</f>
        <v/>
      </c>
      <c r="IT27" s="108" t="n"/>
      <c r="IU27" s="122">
        <f>IT27*100/$E$27</f>
        <v/>
      </c>
      <c r="IV27" s="133" t="n"/>
      <c r="IW27" s="122">
        <f>IV27*100/$E$27</f>
        <v/>
      </c>
      <c r="IX27" s="133" t="n"/>
      <c r="IY27" s="122">
        <f>IX27*100/$E$27</f>
        <v/>
      </c>
      <c r="IZ27" s="133" t="n"/>
      <c r="JA27" s="122">
        <f>IZ27*100/$E$27</f>
        <v/>
      </c>
      <c r="JB27" s="108" t="n"/>
      <c r="JC27" s="122">
        <f>JB27*100/$E$27</f>
        <v/>
      </c>
      <c r="JD27" s="108" t="n"/>
      <c r="JE27" s="122">
        <f>JD27*100/$E$27</f>
        <v/>
      </c>
      <c r="JF27" s="133" t="n"/>
      <c r="JG27" s="139">
        <f>JF27*100/$E$27</f>
        <v/>
      </c>
      <c r="JH27" s="133" t="n"/>
      <c r="JI27" s="122">
        <f>JH27*100/$E$27</f>
        <v/>
      </c>
      <c r="JJ27" s="133" t="n"/>
      <c r="JK27" s="139">
        <f>JJ27*100/$E$27</f>
        <v/>
      </c>
      <c r="JL27" s="108" t="n"/>
      <c r="JM27" s="122">
        <f>JL27*100/$E$27</f>
        <v/>
      </c>
      <c r="JN27" s="108" t="n"/>
      <c r="JO27" s="122">
        <f>JN27*100/$E$27</f>
        <v/>
      </c>
      <c r="JP27" s="108" t="n"/>
      <c r="JQ27" s="122">
        <f>JP27*100/$E$27</f>
        <v/>
      </c>
      <c r="JR27" s="108" t="n"/>
      <c r="JS27" s="122">
        <f>JR27*100/$E$27</f>
        <v/>
      </c>
      <c r="JT27" s="108" t="n"/>
      <c r="JU27" s="122">
        <f>JT27*100/$E$27</f>
        <v/>
      </c>
      <c r="JV27" s="108" t="n"/>
      <c r="JW27" s="122">
        <f>JV27*100/$E$27</f>
        <v/>
      </c>
      <c r="JX27" s="108" t="n"/>
      <c r="JY27" s="122">
        <f>JX27*100/$E$27</f>
        <v/>
      </c>
      <c r="JZ27" s="55">
        <f>JN27+JP27+JR27+JT27+JV27+JX27</f>
        <v/>
      </c>
      <c r="KA27" s="53">
        <f>JO27+JQ27+JS27+JU27+JW27+JY27</f>
        <v/>
      </c>
      <c r="KB27" s="64">
        <f>H27+J27+L27+N27+P27+R27+T27+V27+X27+Z27+AB27+AD27+AF27+AH27+AJ27+AL27+AN27+AP27+AR27+AT27+AV27+AX27+AZ27+BB27+BD27+BF27+BH27+BJ27+BL27+BN27+BP27+BR27+BT27+BV27+BX27+BZ27+CB27+CD27+CF27+CH27+CZ27+DB27+DD27+DF27+DH27+DJ27+DL27+DN27+DP27+DR27+DT27+DV27+DX27+DZ27+EB27+ED27+EF27+EH27+EJ27+EL27+EN27+EP27+ER27+ET27+EV27+FN27+FP27+FR27+FT27+FV27+FX27+FZ27+GB27+GD27+GF27+GH27+GJ27+GL27+GN27+GP27+GR27+GT27+GV27+GX27+GZ27+HB27+HD27+HF27+HH27+HJ27+HL27+HN27+HP27+HR27+HT27+HV27+HX27+HZ27+IB27+ID27+IF27+IH27+IJ27+IL27+IN27+IP27+IR27+IT27+IV27+IX27+IZ27+JB27+JD27+JF27+JH27+JJ27+JL27+JZ27+CJ27+CL27+CN27+CP27+CR27+CT27+CV27+CX27+EX27+EZ27+FB27+FD27+FF27+FH27+FJ27+FL27</f>
        <v/>
      </c>
      <c r="KC27" s="66">
        <f>I27+K27+M27+O27+Q27+S27+U27+W27+Y27+AA27+AC27+AE27+AG27+AI27+AK27+AM27+AO27+AQ27+AS27+AU27+AW27+AY27+BA27+BC27+BE27+BG27+BI27+BK27+BM27+BO27+BQ27+BS27+BU27+BW27+BY27+CA27+CC27+CE27+CG27+CI27+DA27+DC27+DE27+DG27+DI27+DK27+DM27+DO27+DQ27+DS27+DU27+DW27+DY27+EA27+EC27+EE27+EG27+EI27+EK27+EM27+EO27+EQ27+ES27+EU27+EW27+FO27+FS27+FU27+FW27+FQ27+FY27+GA27+GC27+GE27+GG27+GI27+GK27+GM27+GO27+GQ27+GS27+GU27+GW27+GY27+HA27+HC27+HE27+HG27+HI27+HK27+HM27+HO27+HQ27+HS27+HU27+HW27+HY27+IA27+IC27+IE27+IG27+II27+IK27+IM27+IO27+IQ27+IS27+IU27+IW27+IY27+JA27+JC27+JE27+JG27+JI27+JK27+JM27+KA27+CK27+CM27+CO27+CQ27+CS27+CU27+CW27+CY27+EY27+FA27+FC27+FE27+FG27+FI27+FK27+FM27</f>
        <v/>
      </c>
      <c r="KD27" s="44">
        <f>JO27+JQ27+JS27+JU27+JW27+JY27</f>
        <v/>
      </c>
      <c r="KE27" s="46">
        <f>KB27=E27</f>
        <v/>
      </c>
      <c r="KF27" s="101">
        <f>E27-KB27</f>
        <v/>
      </c>
      <c r="KG27" s="138" t="n"/>
    </row>
    <row r="28" ht="21.75" customFormat="1" customHeight="1" s="15">
      <c r="A28" s="126">
        <f>A27+1</f>
        <v/>
      </c>
      <c r="B28" s="175" t="inlineStr">
        <is>
          <t>Корюков А.А.</t>
        </is>
      </c>
      <c r="C28" s="176" t="inlineStr">
        <is>
          <t>токарь</t>
        </is>
      </c>
      <c r="D28" s="177">
        <f>$D$5</f>
        <v/>
      </c>
      <c r="E28" s="202" t="n"/>
      <c r="F28" s="193" t="n">
        <v>126438.55</v>
      </c>
      <c r="G28" s="52">
        <f>F28/D28</f>
        <v/>
      </c>
      <c r="H28" s="125" t="n"/>
      <c r="I28" s="107">
        <f>H28*100/$E$28</f>
        <v/>
      </c>
      <c r="J28" s="108" t="n"/>
      <c r="K28" s="107">
        <f>J28*100/$E$28</f>
        <v/>
      </c>
      <c r="L28" s="108" t="n"/>
      <c r="M28" s="107">
        <f>L28*100/$E$28</f>
        <v/>
      </c>
      <c r="N28" s="108" t="n"/>
      <c r="O28" s="107">
        <f>N28*100/$E$28</f>
        <v/>
      </c>
      <c r="P28" s="108" t="n"/>
      <c r="Q28" s="122">
        <f>P28*100/$E$28</f>
        <v/>
      </c>
      <c r="R28" s="108" t="n"/>
      <c r="S28" s="122">
        <f>R28*100/$E$28</f>
        <v/>
      </c>
      <c r="T28" s="108" t="n"/>
      <c r="U28" s="107">
        <f>T28*100/$E$28</f>
        <v/>
      </c>
      <c r="V28" s="108" t="n"/>
      <c r="W28" s="107">
        <f>V28*100/$E$28</f>
        <v/>
      </c>
      <c r="X28" s="108" t="n"/>
      <c r="Y28" s="107">
        <f>X28*100/$E$28</f>
        <v/>
      </c>
      <c r="Z28" s="108" t="n"/>
      <c r="AA28" s="107">
        <f>Z28*100/$E$28</f>
        <v/>
      </c>
      <c r="AB28" s="108" t="n"/>
      <c r="AC28" s="107">
        <f>AB28*100/$E$28</f>
        <v/>
      </c>
      <c r="AD28" s="108" t="n"/>
      <c r="AE28" s="122">
        <f>AD28*100/$E$28</f>
        <v/>
      </c>
      <c r="AF28" s="108" t="n"/>
      <c r="AG28" s="122">
        <f>AF28*100/$E$28</f>
        <v/>
      </c>
      <c r="AH28" s="108" t="n"/>
      <c r="AI28" s="107">
        <f>AH28*100/$E$28</f>
        <v/>
      </c>
      <c r="AJ28" s="108" t="n"/>
      <c r="AK28" s="107">
        <f>AJ28*100/$E$28</f>
        <v/>
      </c>
      <c r="AL28" s="108" t="n"/>
      <c r="AM28" s="107">
        <f>AL28*100/$E$28</f>
        <v/>
      </c>
      <c r="AN28" s="108" t="n"/>
      <c r="AO28" s="107">
        <f>AN28*100/$E$28</f>
        <v/>
      </c>
      <c r="AP28" s="108" t="n"/>
      <c r="AQ28" s="107">
        <f>AP28*100/$E$28</f>
        <v/>
      </c>
      <c r="AR28" s="108" t="n"/>
      <c r="AS28" s="107">
        <f>AR28*100/$E$28</f>
        <v/>
      </c>
      <c r="AT28" s="108" t="n"/>
      <c r="AU28" s="90">
        <f>AT28*100/$E$28</f>
        <v/>
      </c>
      <c r="AV28" s="108" t="n"/>
      <c r="AW28" s="107">
        <f>AV28*100/$E$28</f>
        <v/>
      </c>
      <c r="AX28" s="108" t="n"/>
      <c r="AY28" s="107">
        <f>AX28*100/$E$28</f>
        <v/>
      </c>
      <c r="AZ28" s="108" t="n"/>
      <c r="BA28" s="107">
        <f>AZ28*100/$E$28</f>
        <v/>
      </c>
      <c r="BB28" s="108" t="n"/>
      <c r="BC28" s="107">
        <f>BB28*100/$E$28</f>
        <v/>
      </c>
      <c r="BD28" s="108" t="n"/>
      <c r="BE28" s="107">
        <f>BD28*100/$E$28</f>
        <v/>
      </c>
      <c r="BF28" s="108" t="n"/>
      <c r="BG28" s="107">
        <f>BF28*100/$E$28</f>
        <v/>
      </c>
      <c r="BH28" s="108" t="n"/>
      <c r="BI28" s="107">
        <f>BH28*100/$E$28</f>
        <v/>
      </c>
      <c r="BJ28" s="108" t="n"/>
      <c r="BK28" s="107">
        <f>BJ28*100/$E$28</f>
        <v/>
      </c>
      <c r="BL28" s="108" t="n"/>
      <c r="BM28" s="107">
        <f>BL28*100/$E$28</f>
        <v/>
      </c>
      <c r="BN28" s="108" t="n"/>
      <c r="BO28" s="107">
        <f>BN28*100/$E$28</f>
        <v/>
      </c>
      <c r="BP28" s="108" t="n"/>
      <c r="BQ28" s="107">
        <f>BP28*100/$E$28</f>
        <v/>
      </c>
      <c r="BR28" s="108" t="n"/>
      <c r="BS28" s="107">
        <f>BR28*100/$E$28</f>
        <v/>
      </c>
      <c r="BT28" s="108" t="n"/>
      <c r="BU28" s="107">
        <f>BT28*100/$E$28</f>
        <v/>
      </c>
      <c r="BV28" s="108" t="n"/>
      <c r="BW28" s="107">
        <f>BV28*100/$E$28</f>
        <v/>
      </c>
      <c r="BX28" s="108" t="n"/>
      <c r="BY28" s="107">
        <f>BX28*100/$E$28</f>
        <v/>
      </c>
      <c r="BZ28" s="108" t="n"/>
      <c r="CA28" s="107">
        <f>BZ28*100/$E$28</f>
        <v/>
      </c>
      <c r="CB28" s="108" t="n"/>
      <c r="CC28" s="107">
        <f>CB28*100/$E$28</f>
        <v/>
      </c>
      <c r="CD28" s="108" t="n"/>
      <c r="CE28" s="107">
        <f>CD28*100/$E$28</f>
        <v/>
      </c>
      <c r="CF28" s="108" t="n"/>
      <c r="CG28" s="107">
        <f>CF28*100/$E$28</f>
        <v/>
      </c>
      <c r="CH28" s="108" t="n"/>
      <c r="CI28" s="107">
        <f>CH28*100/$E$28</f>
        <v/>
      </c>
      <c r="CJ28" s="108" t="n"/>
      <c r="CK28" s="107">
        <f>CJ28*100/$E$28</f>
        <v/>
      </c>
      <c r="CL28" s="108" t="n"/>
      <c r="CM28" s="107">
        <f>CL28*100/$E$28</f>
        <v/>
      </c>
      <c r="CN28" s="108" t="n"/>
      <c r="CO28" s="122">
        <f>CN28*100/$E$28</f>
        <v/>
      </c>
      <c r="CP28" s="108" t="n"/>
      <c r="CQ28" s="107">
        <f>CP28*100/$E$28</f>
        <v/>
      </c>
      <c r="CR28" s="108" t="n"/>
      <c r="CS28" s="122">
        <f>CR28*100/$E$28</f>
        <v/>
      </c>
      <c r="CT28" s="108" t="n"/>
      <c r="CU28" s="122">
        <f>CT28*100/$E$28</f>
        <v/>
      </c>
      <c r="CV28" s="108" t="n"/>
      <c r="CW28" s="122">
        <f>CV28*100/$E$28</f>
        <v/>
      </c>
      <c r="CX28" s="108" t="n"/>
      <c r="CY28" s="122">
        <f>CX28*100/$E$28</f>
        <v/>
      </c>
      <c r="CZ28" s="108" t="n"/>
      <c r="DA28" s="122">
        <f>CZ28*100/$E$28</f>
        <v/>
      </c>
      <c r="DB28" s="108" t="n"/>
      <c r="DC28" s="122">
        <f>DB28*100/$E$28</f>
        <v/>
      </c>
      <c r="DD28" s="108" t="n"/>
      <c r="DE28" s="122">
        <f>DD28*100/$E$28</f>
        <v/>
      </c>
      <c r="DF28" s="108" t="n"/>
      <c r="DG28" s="122">
        <f>DF28*100/$E$28</f>
        <v/>
      </c>
      <c r="DH28" s="108" t="n"/>
      <c r="DI28" s="122">
        <f>DH28*100/$E$28</f>
        <v/>
      </c>
      <c r="DJ28" s="108" t="n"/>
      <c r="DK28" s="122">
        <f>DJ28*100/$E$28</f>
        <v/>
      </c>
      <c r="DL28" s="108" t="n"/>
      <c r="DM28" s="122">
        <f>DL28*100/$E$28</f>
        <v/>
      </c>
      <c r="DN28" s="108" t="n"/>
      <c r="DO28" s="122">
        <f>DN28*100/$E$28</f>
        <v/>
      </c>
      <c r="DP28" s="108" t="n"/>
      <c r="DQ28" s="122">
        <f>DP28*100/$E$28</f>
        <v/>
      </c>
      <c r="DR28" s="108" t="n"/>
      <c r="DS28" s="122">
        <f>DR28*100/$E$28</f>
        <v/>
      </c>
      <c r="DT28" s="108" t="n"/>
      <c r="DU28" s="122">
        <f>DT28*100/$E$28</f>
        <v/>
      </c>
      <c r="DV28" s="108" t="n"/>
      <c r="DW28" s="122">
        <f>DV28*100/$E$28</f>
        <v/>
      </c>
      <c r="DX28" s="108" t="n"/>
      <c r="DY28" s="122">
        <f>DX28*100/$E$28</f>
        <v/>
      </c>
      <c r="DZ28" s="108" t="n"/>
      <c r="EA28" s="122">
        <f>DZ28*100/$E$28</f>
        <v/>
      </c>
      <c r="EB28" s="108" t="n"/>
      <c r="EC28" s="122">
        <f>EB28*100/$E$28</f>
        <v/>
      </c>
      <c r="ED28" s="108" t="n"/>
      <c r="EE28" s="122">
        <f>ED28*100/$E$28</f>
        <v/>
      </c>
      <c r="EF28" s="108" t="n"/>
      <c r="EG28" s="122">
        <f>EF28*100/$E$28</f>
        <v/>
      </c>
      <c r="EH28" s="108" t="n"/>
      <c r="EI28" s="122">
        <f>EH28*100/$E$28</f>
        <v/>
      </c>
      <c r="EJ28" s="108" t="n"/>
      <c r="EK28" s="122">
        <f>EJ28*100/$E$28</f>
        <v/>
      </c>
      <c r="EL28" s="108" t="n"/>
      <c r="EM28" s="122">
        <f>EL28*100/$E$28</f>
        <v/>
      </c>
      <c r="EN28" s="108" t="n"/>
      <c r="EO28" s="122">
        <f>EN28*100/$E$28</f>
        <v/>
      </c>
      <c r="EP28" s="108" t="n"/>
      <c r="EQ28" s="122">
        <f>EP28*100/$E$28</f>
        <v/>
      </c>
      <c r="ER28" s="108" t="n"/>
      <c r="ES28" s="122">
        <f>ER28*100/$E$28</f>
        <v/>
      </c>
      <c r="ET28" s="108" t="n"/>
      <c r="EU28" s="122">
        <f>ET28*100/$E$28</f>
        <v/>
      </c>
      <c r="EV28" s="108" t="n"/>
      <c r="EW28" s="122">
        <f>EV28*100/$E$28</f>
        <v/>
      </c>
      <c r="EX28" s="108" t="n"/>
      <c r="EY28" s="122">
        <f>EX28*100/$E$28</f>
        <v/>
      </c>
      <c r="EZ28" s="108" t="n"/>
      <c r="FA28" s="122">
        <f>EZ28*100/$E$28</f>
        <v/>
      </c>
      <c r="FB28" s="108" t="n"/>
      <c r="FC28" s="122">
        <f>FB28*100/$E$28</f>
        <v/>
      </c>
      <c r="FD28" s="108" t="n"/>
      <c r="FE28" s="122">
        <f>FD28*100/$E$28</f>
        <v/>
      </c>
      <c r="FF28" s="108" t="n"/>
      <c r="FG28" s="122">
        <f>FF28*100/$E$28</f>
        <v/>
      </c>
      <c r="FH28" s="108" t="n"/>
      <c r="FI28" s="122">
        <f>FH28*100/$E$28</f>
        <v/>
      </c>
      <c r="FJ28" s="108" t="n"/>
      <c r="FK28" s="122">
        <f>FJ28*100/$E$28</f>
        <v/>
      </c>
      <c r="FL28" s="108" t="n"/>
      <c r="FM28" s="122">
        <f>FL28*100/$E$28</f>
        <v/>
      </c>
      <c r="FN28" s="108" t="n"/>
      <c r="FO28" s="122">
        <f>FN28*100/$E$28</f>
        <v/>
      </c>
      <c r="FP28" s="108" t="n"/>
      <c r="FQ28" s="122">
        <f>FP28*100/$E$28</f>
        <v/>
      </c>
      <c r="FR28" s="108" t="n"/>
      <c r="FS28" s="122">
        <f>FR28*100/$E$28</f>
        <v/>
      </c>
      <c r="FT28" s="108" t="n"/>
      <c r="FU28" s="122">
        <f>FT28*100/$E$28</f>
        <v/>
      </c>
      <c r="FV28" s="108" t="n"/>
      <c r="FW28" s="122">
        <f>FV28*100/$E$28</f>
        <v/>
      </c>
      <c r="FX28" s="108" t="n"/>
      <c r="FY28" s="107">
        <f>FX28*100/$E$28</f>
        <v/>
      </c>
      <c r="FZ28" s="108" t="n"/>
      <c r="GA28" s="107">
        <f>FZ28*100/$E$28</f>
        <v/>
      </c>
      <c r="GB28" s="108" t="n"/>
      <c r="GC28" s="107">
        <f>GB28*100/$E$28</f>
        <v/>
      </c>
      <c r="GD28" s="108" t="n"/>
      <c r="GE28" s="107">
        <f>GD28*100/$E$28</f>
        <v/>
      </c>
      <c r="GF28" s="108" t="n"/>
      <c r="GG28" s="107">
        <f>GF28*100/$E$28</f>
        <v/>
      </c>
      <c r="GH28" s="108" t="n"/>
      <c r="GI28" s="107">
        <f>GH28*100/$E$28</f>
        <v/>
      </c>
      <c r="GJ28" s="108" t="n"/>
      <c r="GK28" s="122">
        <f>GJ28*100/$E$28</f>
        <v/>
      </c>
      <c r="GL28" s="108" t="n"/>
      <c r="GM28" s="107">
        <f>GL28*100/$E$28</f>
        <v/>
      </c>
      <c r="GN28" s="108" t="n"/>
      <c r="GO28" s="122">
        <f>GN28*100/$E$28</f>
        <v/>
      </c>
      <c r="GP28" s="108" t="n"/>
      <c r="GQ28" s="107">
        <f>GP28*100/$E$28</f>
        <v/>
      </c>
      <c r="GR28" s="108" t="n"/>
      <c r="GS28" s="122">
        <f>GR28*100/$E$28</f>
        <v/>
      </c>
      <c r="GT28" s="108" t="n"/>
      <c r="GU28" s="122">
        <f>GT28*100/$E$28</f>
        <v/>
      </c>
      <c r="GV28" s="108" t="n"/>
      <c r="GW28" s="122">
        <f>GV28*100/$E$28</f>
        <v/>
      </c>
      <c r="GX28" s="108" t="n"/>
      <c r="GY28" s="107">
        <f>GX28*100/$E$28</f>
        <v/>
      </c>
      <c r="GZ28" s="108" t="n"/>
      <c r="HA28" s="107">
        <f>GZ28*100/$E$28</f>
        <v/>
      </c>
      <c r="HB28" s="108" t="n"/>
      <c r="HC28" s="107">
        <f>HB28*100/$E$28</f>
        <v/>
      </c>
      <c r="HD28" s="108" t="n"/>
      <c r="HE28" s="107">
        <f>HD28*100/$E$28</f>
        <v/>
      </c>
      <c r="HF28" s="108" t="n"/>
      <c r="HG28" s="107">
        <f>HF28*100/$E$28</f>
        <v/>
      </c>
      <c r="HH28" s="108" t="n"/>
      <c r="HI28" s="107">
        <f>HH28*100/$E$28</f>
        <v/>
      </c>
      <c r="HJ28" s="108" t="n"/>
      <c r="HK28" s="107">
        <f>HJ28*100/$E$28</f>
        <v/>
      </c>
      <c r="HL28" s="108" t="n"/>
      <c r="HM28" s="107">
        <f>HL28*100/$E$28</f>
        <v/>
      </c>
      <c r="HN28" s="108" t="n"/>
      <c r="HO28" s="107">
        <f>HN28*100/$E$28</f>
        <v/>
      </c>
      <c r="HP28" s="108" t="n"/>
      <c r="HQ28" s="107">
        <f>HP28*100/$E$28</f>
        <v/>
      </c>
      <c r="HR28" s="108" t="n"/>
      <c r="HS28" s="107">
        <f>HR28*100/$E$28</f>
        <v/>
      </c>
      <c r="HT28" s="108" t="n"/>
      <c r="HU28" s="107">
        <f>HT28*100/$E$28</f>
        <v/>
      </c>
      <c r="HV28" s="108" t="n"/>
      <c r="HW28" s="107">
        <f>HV28*100/$E$28</f>
        <v/>
      </c>
      <c r="HX28" s="108" t="n"/>
      <c r="HY28" s="107">
        <f>HX28*100/$E$28</f>
        <v/>
      </c>
      <c r="HZ28" s="108" t="n"/>
      <c r="IA28" s="122">
        <f>HZ28*100/$E$28</f>
        <v/>
      </c>
      <c r="IB28" s="108" t="n"/>
      <c r="IC28" s="122">
        <f>IB28*100/$E$28</f>
        <v/>
      </c>
      <c r="ID28" s="108" t="n"/>
      <c r="IE28" s="122">
        <f>ID28*100/$E$28</f>
        <v/>
      </c>
      <c r="IF28" s="108" t="n"/>
      <c r="IG28" s="122">
        <f>IF28*100/$E$28</f>
        <v/>
      </c>
      <c r="IH28" s="108" t="n"/>
      <c r="II28" s="122">
        <f>IH28*100/$E$28</f>
        <v/>
      </c>
      <c r="IJ28" s="108" t="n"/>
      <c r="IK28" s="122">
        <f>IJ28*100/$E$28</f>
        <v/>
      </c>
      <c r="IL28" s="108" t="n"/>
      <c r="IM28" s="107">
        <f>IL28*100/$E$28</f>
        <v/>
      </c>
      <c r="IN28" s="108" t="n"/>
      <c r="IO28" s="107">
        <f>IN28*100/$E$28</f>
        <v/>
      </c>
      <c r="IP28" s="108" t="n"/>
      <c r="IQ28" s="122">
        <f>IP28*100/$E$28</f>
        <v/>
      </c>
      <c r="IR28" s="108" t="n"/>
      <c r="IS28" s="122">
        <f>IR28*100/$E$28</f>
        <v/>
      </c>
      <c r="IT28" s="108" t="n"/>
      <c r="IU28" s="122">
        <f>IT28*100/$E$28</f>
        <v/>
      </c>
      <c r="IV28" s="108" t="n"/>
      <c r="IW28" s="122">
        <f>IV28*100/$E$28</f>
        <v/>
      </c>
      <c r="IX28" s="108" t="n"/>
      <c r="IY28" s="122">
        <f>IX28*100/$E$28</f>
        <v/>
      </c>
      <c r="IZ28" s="108" t="n"/>
      <c r="JA28" s="122">
        <f>IZ28*100/$E$28</f>
        <v/>
      </c>
      <c r="JB28" s="108" t="n"/>
      <c r="JC28" s="122">
        <f>JB28*100/$E$28</f>
        <v/>
      </c>
      <c r="JD28" s="108" t="n"/>
      <c r="JE28" s="122">
        <f>JD28*100/$E$28</f>
        <v/>
      </c>
      <c r="JF28" s="108" t="n"/>
      <c r="JG28" s="122">
        <f>JF28*100/$E$28</f>
        <v/>
      </c>
      <c r="JH28" s="108" t="n"/>
      <c r="JI28" s="122">
        <f>JH28*100/$E$28</f>
        <v/>
      </c>
      <c r="JJ28" s="108" t="n"/>
      <c r="JK28" s="122">
        <f>JJ28*100/$E$28</f>
        <v/>
      </c>
      <c r="JL28" s="108" t="n"/>
      <c r="JM28" s="122">
        <f>JL28*100/$E$28</f>
        <v/>
      </c>
      <c r="JN28" s="108" t="n"/>
      <c r="JO28" s="121">
        <f>JN28*100/$E$28</f>
        <v/>
      </c>
      <c r="JP28" s="108" t="n"/>
      <c r="JQ28" s="121">
        <f>JP28*100/$E$28</f>
        <v/>
      </c>
      <c r="JR28" s="108" t="n"/>
      <c r="JS28" s="121">
        <f>JR28*100/$E$28</f>
        <v/>
      </c>
      <c r="JT28" s="108" t="n"/>
      <c r="JU28" s="121">
        <f>JT28*100/$E$28</f>
        <v/>
      </c>
      <c r="JV28" s="108" t="n"/>
      <c r="JW28" s="121">
        <f>JV28*100/$E$28</f>
        <v/>
      </c>
      <c r="JX28" s="108" t="n"/>
      <c r="JY28" s="121">
        <f>JX28*100/$E$28</f>
        <v/>
      </c>
      <c r="JZ28" s="55">
        <f>JN28+JP28+JR28+JT28+JV28+JX28</f>
        <v/>
      </c>
      <c r="KA28" s="53">
        <f>JO28+JQ28+JS28+JU28+JW28+JY28</f>
        <v/>
      </c>
      <c r="KB28" s="64">
        <f>H28+J28+L28+N28+P28+R28+T28+V28+X28+Z28+AB28+AD28+AF28+AH28+AJ28+AL28+AN28+AP28+AR28+AT28+AV28+AX28+AZ28+BB28+BD28+BF28+BH28+BJ28+BL28+BN28+BP28+BR28+BT28+BV28+BX28+BZ28+CB28+CD28+CF28+CH28+CZ28+DB28+DD28+DF28+DH28+DJ28+DL28+DN28+DP28+DR28+DT28+DV28+DX28+DZ28+EB28+ED28+EF28+EH28+EJ28+EL28+EN28+EP28+ER28+ET28+EV28+FN28+FP28+FR28+FT28+FV28+FX28+FZ28+GB28+GD28+GF28+GH28+GJ28+GL28+GN28+GP28+GR28+GT28+GV28+GX28+GZ28+HB28+HD28+HF28+HH28+HJ28+HL28+HN28+HP28+HR28+HT28+HV28+HX28+HZ28+IB28+ID28+IF28+IH28+IJ28+IL28+IN28+IP28+IR28+IT28+IV28+IX28+IZ28+JB28+JD28+JF28+JH28+JJ28+JL28+JZ28+CJ28+CL28+CN28+CP28+CR28+CT28+CV28+CX28+EX28+EZ28+FB28+FD28+FF28+FH28+FJ28+FL28</f>
        <v/>
      </c>
      <c r="KC28" s="66">
        <f>I28+K28+M28+O28+Q28+S28+U28+W28+Y28+AA28+AC28+AE28+AG28+AI28+AK28+AM28+AO28+AQ28+AS28+AU28+AW28+AY28+BA28+BC28+BE28+BG28+BI28+BK28+BM28+BO28+BQ28+BS28+BU28+BW28+BY28+CA28+CC28+CE28+CG28+CI28+DA28+DC28+DE28+DG28+DI28+DK28+DM28+DO28+DQ28+DS28+DU28+DW28+DY28+EA28+EC28+EE28+EG28+EI28+EK28+EM28+EO28+EQ28+ES28+EU28+EW28+FO28+FS28+FU28+FW28+FQ28+FY28+GA28+GC28+GE28+GG28+GI28+GK28+GM28+GO28+GQ28+GS28+GU28+GW28+GY28+HA28+HC28+HE28+HG28+HI28+HK28+HM28+HO28+HQ28+HS28+HU28+HW28+HY28+IA28+IC28+IE28+IG28+II28+IK28+IM28+IO28+IQ28+IS28+IU28+IW28+IY28+JA28+JC28+JE28+JG28+JI28+JK28+JM28+KA28+CK28+CM28+CO28+CQ28+CS28+CU28+CW28+CY28+EY28+FA28+FC28+FE28+FG28+FI28+FK28+FM28</f>
        <v/>
      </c>
      <c r="KD28" s="44">
        <f>JO28+JQ28+JS28+JU28+JW28+JY28</f>
        <v/>
      </c>
      <c r="KE28" s="45">
        <f>KB28=E28</f>
        <v/>
      </c>
      <c r="KF28" s="101">
        <f>E28-KB28</f>
        <v/>
      </c>
      <c r="KG28" s="21" t="n"/>
    </row>
    <row r="29" ht="21.75" customFormat="1" customHeight="1" s="22">
      <c r="A29" s="126">
        <f>A28+1</f>
        <v/>
      </c>
      <c r="B29" s="175" t="inlineStr">
        <is>
          <t>Кузнецов И.Р.</t>
        </is>
      </c>
      <c r="C29" s="194" t="inlineStr">
        <is>
          <t>слесарь</t>
        </is>
      </c>
      <c r="D29" s="177">
        <f>$D$5</f>
        <v/>
      </c>
      <c r="E29" s="202" t="n"/>
      <c r="F29" s="193" t="n">
        <v>49335</v>
      </c>
      <c r="G29" s="52">
        <f>F29/D29</f>
        <v/>
      </c>
      <c r="H29" s="125" t="n"/>
      <c r="I29" s="107">
        <f>H29*100/$E$29</f>
        <v/>
      </c>
      <c r="J29" s="108" t="n"/>
      <c r="K29" s="107">
        <f>J29*100/$E$29</f>
        <v/>
      </c>
      <c r="L29" s="108" t="n"/>
      <c r="M29" s="107">
        <f>L29*100/$E$29</f>
        <v/>
      </c>
      <c r="N29" s="108" t="n"/>
      <c r="O29" s="107">
        <f>N29*100/$E$29</f>
        <v/>
      </c>
      <c r="P29" s="108" t="n"/>
      <c r="Q29" s="122">
        <f>P29*100/$E$29</f>
        <v/>
      </c>
      <c r="R29" s="108" t="n"/>
      <c r="S29" s="122">
        <f>R29*100/$E$29</f>
        <v/>
      </c>
      <c r="T29" s="108" t="n"/>
      <c r="U29" s="107">
        <f>T29*100/$E$29</f>
        <v/>
      </c>
      <c r="V29" s="108" t="n"/>
      <c r="W29" s="107">
        <f>V29*100/$E$29</f>
        <v/>
      </c>
      <c r="X29" s="108" t="n"/>
      <c r="Y29" s="107">
        <f>X29*100/$E$29</f>
        <v/>
      </c>
      <c r="Z29" s="108" t="n"/>
      <c r="AA29" s="107">
        <f>Z29*100/$E$29</f>
        <v/>
      </c>
      <c r="AB29" s="108" t="n"/>
      <c r="AC29" s="107">
        <f>AB29*100/$E$29</f>
        <v/>
      </c>
      <c r="AD29" s="108" t="n"/>
      <c r="AE29" s="122">
        <f>AD29*100/$E$29</f>
        <v/>
      </c>
      <c r="AF29" s="108" t="n"/>
      <c r="AG29" s="122">
        <f>AF29*100/$E$29</f>
        <v/>
      </c>
      <c r="AH29" s="108" t="n"/>
      <c r="AI29" s="107">
        <f>AH29*100/$E$29</f>
        <v/>
      </c>
      <c r="AJ29" s="108" t="n"/>
      <c r="AK29" s="107">
        <f>AJ29*100/$E$29</f>
        <v/>
      </c>
      <c r="AL29" s="108" t="n"/>
      <c r="AM29" s="107">
        <f>AL29*100/$E$29</f>
        <v/>
      </c>
      <c r="AN29" s="108" t="n"/>
      <c r="AO29" s="107">
        <f>AN29*100/$E$29</f>
        <v/>
      </c>
      <c r="AP29" s="108" t="n"/>
      <c r="AQ29" s="107">
        <f>AP29*100/$E$29</f>
        <v/>
      </c>
      <c r="AR29" s="108" t="n"/>
      <c r="AS29" s="107">
        <f>AR29*100/$E$29</f>
        <v/>
      </c>
      <c r="AT29" s="108" t="n"/>
      <c r="AU29" s="90">
        <f>AT29*100/$E$29</f>
        <v/>
      </c>
      <c r="AV29" s="108" t="n"/>
      <c r="AW29" s="107">
        <f>AV29*100/$E$29</f>
        <v/>
      </c>
      <c r="AX29" s="108" t="n"/>
      <c r="AY29" s="107">
        <f>AX29*100/$E$29</f>
        <v/>
      </c>
      <c r="AZ29" s="108" t="n"/>
      <c r="BA29" s="107">
        <f>AZ29*100/$E$29</f>
        <v/>
      </c>
      <c r="BB29" s="108" t="n"/>
      <c r="BC29" s="107">
        <f>BB29*100/$E$29</f>
        <v/>
      </c>
      <c r="BD29" s="108" t="n"/>
      <c r="BE29" s="107">
        <f>BD29*100/$E$29</f>
        <v/>
      </c>
      <c r="BF29" s="108" t="n"/>
      <c r="BG29" s="107">
        <f>BF29*100/$E$29</f>
        <v/>
      </c>
      <c r="BH29" s="108" t="n"/>
      <c r="BI29" s="107">
        <f>BH29*100/$E$29</f>
        <v/>
      </c>
      <c r="BJ29" s="108" t="n"/>
      <c r="BK29" s="107">
        <f>BJ29*100/$E$29</f>
        <v/>
      </c>
      <c r="BL29" s="108" t="n"/>
      <c r="BM29" s="107">
        <f>BL29*100/$E$29</f>
        <v/>
      </c>
      <c r="BN29" s="108" t="n"/>
      <c r="BO29" s="107">
        <f>BN29*100/$E$29</f>
        <v/>
      </c>
      <c r="BP29" s="108" t="n"/>
      <c r="BQ29" s="107">
        <f>BP29*100/$E$29</f>
        <v/>
      </c>
      <c r="BR29" s="108" t="n"/>
      <c r="BS29" s="107">
        <f>BR29*100/$E$29</f>
        <v/>
      </c>
      <c r="BT29" s="108" t="n"/>
      <c r="BU29" s="107">
        <f>BT29*100/$E$29</f>
        <v/>
      </c>
      <c r="BV29" s="108" t="n"/>
      <c r="BW29" s="107">
        <f>BV29*100/$E$29</f>
        <v/>
      </c>
      <c r="BX29" s="108" t="n"/>
      <c r="BY29" s="107">
        <f>BX29*100/$E$29</f>
        <v/>
      </c>
      <c r="BZ29" s="108" t="n"/>
      <c r="CA29" s="107">
        <f>BZ29*100/$E$29</f>
        <v/>
      </c>
      <c r="CB29" s="108" t="n"/>
      <c r="CC29" s="107">
        <f>CB29*100/$E$29</f>
        <v/>
      </c>
      <c r="CD29" s="108" t="n"/>
      <c r="CE29" s="107">
        <f>CD29*100/$E$29</f>
        <v/>
      </c>
      <c r="CF29" s="108" t="n"/>
      <c r="CG29" s="107">
        <f>CF29*100/$E$29</f>
        <v/>
      </c>
      <c r="CH29" s="108" t="n"/>
      <c r="CI29" s="107">
        <f>CH29*100/$E$29</f>
        <v/>
      </c>
      <c r="CJ29" s="108" t="n"/>
      <c r="CK29" s="107">
        <f>CJ29*100/$E$29</f>
        <v/>
      </c>
      <c r="CL29" s="108" t="n"/>
      <c r="CM29" s="107">
        <f>CL29*100/$E$29</f>
        <v/>
      </c>
      <c r="CN29" s="108" t="n"/>
      <c r="CO29" s="122">
        <f>CN29*100/$E$29</f>
        <v/>
      </c>
      <c r="CP29" s="108" t="n"/>
      <c r="CQ29" s="107">
        <f>CP29*100/$E$29</f>
        <v/>
      </c>
      <c r="CR29" s="108" t="n"/>
      <c r="CS29" s="122">
        <f>CR29*100/$E$29</f>
        <v/>
      </c>
      <c r="CT29" s="108" t="n"/>
      <c r="CU29" s="122">
        <f>CT29*100/$E$29</f>
        <v/>
      </c>
      <c r="CV29" s="108" t="n"/>
      <c r="CW29" s="122">
        <f>CV29*100/$E$29</f>
        <v/>
      </c>
      <c r="CX29" s="108" t="n"/>
      <c r="CY29" s="122">
        <f>CX29*100/$E$29</f>
        <v/>
      </c>
      <c r="CZ29" s="108" t="n"/>
      <c r="DA29" s="122">
        <f>CZ29*100/$E$29</f>
        <v/>
      </c>
      <c r="DB29" s="108" t="n"/>
      <c r="DC29" s="122">
        <f>DB29*100/$E$29</f>
        <v/>
      </c>
      <c r="DD29" s="108" t="n"/>
      <c r="DE29" s="122">
        <f>DD29*100/$E$29</f>
        <v/>
      </c>
      <c r="DF29" s="108" t="n"/>
      <c r="DG29" s="122">
        <f>DF29*100/$E$29</f>
        <v/>
      </c>
      <c r="DH29" s="108" t="n"/>
      <c r="DI29" s="122">
        <f>DH29*100/$E$29</f>
        <v/>
      </c>
      <c r="DJ29" s="108" t="n"/>
      <c r="DK29" s="122">
        <f>DJ29*100/$E$29</f>
        <v/>
      </c>
      <c r="DL29" s="108" t="n"/>
      <c r="DM29" s="122">
        <f>DL29*100/$E$29</f>
        <v/>
      </c>
      <c r="DN29" s="108" t="n"/>
      <c r="DO29" s="122">
        <f>DN29*100/$E$29</f>
        <v/>
      </c>
      <c r="DP29" s="108" t="n"/>
      <c r="DQ29" s="122">
        <f>DP29*100/$E$29</f>
        <v/>
      </c>
      <c r="DR29" s="108" t="n"/>
      <c r="DS29" s="122">
        <f>DR29*100/E29</f>
        <v/>
      </c>
      <c r="DT29" s="108" t="n"/>
      <c r="DU29" s="122">
        <f>DT29*100/$E$29</f>
        <v/>
      </c>
      <c r="DV29" s="108" t="n"/>
      <c r="DW29" s="122">
        <f>DV29*100/$E$29</f>
        <v/>
      </c>
      <c r="DX29" s="108" t="n"/>
      <c r="DY29" s="122">
        <f>DX29*100/$E$29</f>
        <v/>
      </c>
      <c r="DZ29" s="108" t="n"/>
      <c r="EA29" s="122">
        <f>DZ29*100/$E$29</f>
        <v/>
      </c>
      <c r="EB29" s="108" t="n"/>
      <c r="EC29" s="122">
        <f>EB29*100/$E$29</f>
        <v/>
      </c>
      <c r="ED29" s="108" t="n"/>
      <c r="EE29" s="122">
        <f>ED29*100/$E$29</f>
        <v/>
      </c>
      <c r="EF29" s="108" t="n"/>
      <c r="EG29" s="122">
        <f>EF29*100/$E$29</f>
        <v/>
      </c>
      <c r="EH29" s="108" t="n"/>
      <c r="EI29" s="122">
        <f>EH29*100/$E$29</f>
        <v/>
      </c>
      <c r="EJ29" s="108" t="n"/>
      <c r="EK29" s="122">
        <f>EJ29*100/$E$29</f>
        <v/>
      </c>
      <c r="EL29" s="108" t="n"/>
      <c r="EM29" s="122">
        <f>EL29*100/$E$29</f>
        <v/>
      </c>
      <c r="EN29" s="108" t="n"/>
      <c r="EO29" s="122">
        <f>EN29*100/$E$29</f>
        <v/>
      </c>
      <c r="EP29" s="108" t="n"/>
      <c r="EQ29" s="122">
        <f>EP29*100/$E$29</f>
        <v/>
      </c>
      <c r="ER29" s="108" t="n"/>
      <c r="ES29" s="122">
        <f>ER29*100/$E$29</f>
        <v/>
      </c>
      <c r="ET29" s="108" t="n"/>
      <c r="EU29" s="122">
        <f>ET29*100/$E$29</f>
        <v/>
      </c>
      <c r="EV29" s="108" t="n"/>
      <c r="EW29" s="122">
        <f>EV29*100/$E$29</f>
        <v/>
      </c>
      <c r="EX29" s="108" t="n"/>
      <c r="EY29" s="122">
        <f>EX29*100/$E$29</f>
        <v/>
      </c>
      <c r="EZ29" s="108" t="n"/>
      <c r="FA29" s="122">
        <f>EZ29*100/$E$29</f>
        <v/>
      </c>
      <c r="FB29" s="108" t="n"/>
      <c r="FC29" s="122">
        <f>FB29*100/$E$29</f>
        <v/>
      </c>
      <c r="FD29" s="108" t="n"/>
      <c r="FE29" s="122">
        <f>FD29*100/$E$29</f>
        <v/>
      </c>
      <c r="FF29" s="108" t="n"/>
      <c r="FG29" s="122">
        <f>FF29*100/$E$29</f>
        <v/>
      </c>
      <c r="FH29" s="108" t="n"/>
      <c r="FI29" s="122">
        <f>FH29*100/$E$29</f>
        <v/>
      </c>
      <c r="FJ29" s="108" t="n"/>
      <c r="FK29" s="122">
        <f>FJ29*100/$E$29</f>
        <v/>
      </c>
      <c r="FL29" s="108" t="n"/>
      <c r="FM29" s="122">
        <f>FL29*100/$E$29</f>
        <v/>
      </c>
      <c r="FN29" s="108" t="n"/>
      <c r="FO29" s="122">
        <f>FN29*100/$E$29</f>
        <v/>
      </c>
      <c r="FP29" s="108" t="n"/>
      <c r="FQ29" s="122">
        <f>FP29*100/$E$29</f>
        <v/>
      </c>
      <c r="FR29" s="108" t="n"/>
      <c r="FS29" s="122">
        <f>FR29*100/$E$29</f>
        <v/>
      </c>
      <c r="FT29" s="108" t="n"/>
      <c r="FU29" s="122">
        <f>FT29*100/$E$29</f>
        <v/>
      </c>
      <c r="FV29" s="108" t="n"/>
      <c r="FW29" s="122">
        <f>FV29*100/$E$29</f>
        <v/>
      </c>
      <c r="FX29" s="108" t="n"/>
      <c r="FY29" s="107">
        <f>FX29*100/$E$29</f>
        <v/>
      </c>
      <c r="FZ29" s="108" t="n"/>
      <c r="GA29" s="107">
        <f>FZ29*100/$E$29</f>
        <v/>
      </c>
      <c r="GB29" s="108" t="n"/>
      <c r="GC29" s="107">
        <f>GB29*100/$E$29</f>
        <v/>
      </c>
      <c r="GD29" s="108" t="n"/>
      <c r="GE29" s="107">
        <f>GD29*100/$E$29</f>
        <v/>
      </c>
      <c r="GF29" s="108" t="n"/>
      <c r="GG29" s="107">
        <f>GF29*100/$E$29</f>
        <v/>
      </c>
      <c r="GH29" s="108" t="n"/>
      <c r="GI29" s="107">
        <f>GH29*100/$E$29</f>
        <v/>
      </c>
      <c r="GJ29" s="108" t="n"/>
      <c r="GK29" s="122">
        <f>GJ29*100/$E$29</f>
        <v/>
      </c>
      <c r="GL29" s="108" t="n"/>
      <c r="GM29" s="107">
        <f>GL29*100/$E$29</f>
        <v/>
      </c>
      <c r="GN29" s="108" t="n"/>
      <c r="GO29" s="122">
        <f>GN29*100/$E$29</f>
        <v/>
      </c>
      <c r="GP29" s="108" t="n"/>
      <c r="GQ29" s="107">
        <f>GP29*100/$E$29</f>
        <v/>
      </c>
      <c r="GR29" s="108" t="n"/>
      <c r="GS29" s="122">
        <f>GR29*100/$E$29</f>
        <v/>
      </c>
      <c r="GT29" s="108" t="n"/>
      <c r="GU29" s="122">
        <f>GT29*100/$E$29</f>
        <v/>
      </c>
      <c r="GV29" s="108" t="n"/>
      <c r="GW29" s="122">
        <f>GV29*100/$E$29</f>
        <v/>
      </c>
      <c r="GX29" s="108" t="n"/>
      <c r="GY29" s="107">
        <f>GX29*100/$E$29</f>
        <v/>
      </c>
      <c r="GZ29" s="108" t="n"/>
      <c r="HA29" s="107">
        <f>GZ29*100/$E$29</f>
        <v/>
      </c>
      <c r="HB29" s="108" t="n"/>
      <c r="HC29" s="107">
        <f>HB29*100/$E$29</f>
        <v/>
      </c>
      <c r="HD29" s="108" t="n"/>
      <c r="HE29" s="107">
        <f>HD29*100/$E$29</f>
        <v/>
      </c>
      <c r="HF29" s="108" t="n"/>
      <c r="HG29" s="107">
        <f>HF29*100/$E$29</f>
        <v/>
      </c>
      <c r="HH29" s="108" t="n"/>
      <c r="HI29" s="107">
        <f>HH29*100/$E$29</f>
        <v/>
      </c>
      <c r="HJ29" s="108" t="n"/>
      <c r="HK29" s="107">
        <f>HJ29*100/$E$29</f>
        <v/>
      </c>
      <c r="HL29" s="108" t="n"/>
      <c r="HM29" s="107">
        <f>HL29*100/$E$29</f>
        <v/>
      </c>
      <c r="HN29" s="108" t="n"/>
      <c r="HO29" s="107">
        <f>HN29*100/$E$29</f>
        <v/>
      </c>
      <c r="HP29" s="108" t="n"/>
      <c r="HQ29" s="107">
        <f>HP29*100/$E$29</f>
        <v/>
      </c>
      <c r="HR29" s="108" t="n"/>
      <c r="HS29" s="107">
        <f>HR29*100/$E$29</f>
        <v/>
      </c>
      <c r="HT29" s="108" t="n"/>
      <c r="HU29" s="107">
        <f>HT29*100/$E$29</f>
        <v/>
      </c>
      <c r="HV29" s="108" t="n"/>
      <c r="HW29" s="107">
        <f>HV29*100/$E$29</f>
        <v/>
      </c>
      <c r="HX29" s="108" t="n"/>
      <c r="HY29" s="107">
        <f>HX29*100/$E$29</f>
        <v/>
      </c>
      <c r="HZ29" s="108" t="n"/>
      <c r="IA29" s="122">
        <f>HZ29*100/$E$29</f>
        <v/>
      </c>
      <c r="IB29" s="108" t="n"/>
      <c r="IC29" s="122">
        <f>IB29*100/$E$29</f>
        <v/>
      </c>
      <c r="ID29" s="108" t="n"/>
      <c r="IE29" s="122">
        <f>ID29*100/$E$29</f>
        <v/>
      </c>
      <c r="IF29" s="108" t="n"/>
      <c r="IG29" s="122">
        <f>IF29*100/$E$29</f>
        <v/>
      </c>
      <c r="IH29" s="108" t="n"/>
      <c r="II29" s="122">
        <f>IH29*100/$E$29</f>
        <v/>
      </c>
      <c r="IJ29" s="108" t="n"/>
      <c r="IK29" s="122">
        <f>IJ29*100/$E$29</f>
        <v/>
      </c>
      <c r="IL29" s="108" t="n"/>
      <c r="IM29" s="107">
        <f>IL29*100/$E$29</f>
        <v/>
      </c>
      <c r="IN29" s="108" t="n"/>
      <c r="IO29" s="107">
        <f>IN29*100/$E$29</f>
        <v/>
      </c>
      <c r="IP29" s="108" t="n"/>
      <c r="IQ29" s="122">
        <f>IP29*100/$E$29</f>
        <v/>
      </c>
      <c r="IR29" s="108" t="n"/>
      <c r="IS29" s="122">
        <f>IR29*100/$E$29</f>
        <v/>
      </c>
      <c r="IT29" s="108" t="n"/>
      <c r="IU29" s="122">
        <f>IT29*100/$E$29</f>
        <v/>
      </c>
      <c r="IV29" s="108" t="n"/>
      <c r="IW29" s="122">
        <f>IV29*100/$E$29</f>
        <v/>
      </c>
      <c r="IX29" s="108" t="n"/>
      <c r="IY29" s="122">
        <f>IX29*100/$E$29</f>
        <v/>
      </c>
      <c r="IZ29" s="108" t="n"/>
      <c r="JA29" s="122">
        <f>IZ29*100/$E$29</f>
        <v/>
      </c>
      <c r="JB29" s="108" t="n"/>
      <c r="JC29" s="122">
        <f>JB29*100/$E$29</f>
        <v/>
      </c>
      <c r="JD29" s="108" t="n"/>
      <c r="JE29" s="122">
        <f>JD29*100/$E$29</f>
        <v/>
      </c>
      <c r="JF29" s="108" t="n"/>
      <c r="JG29" s="122">
        <f>JF29*100/$E$29</f>
        <v/>
      </c>
      <c r="JH29" s="108" t="n"/>
      <c r="JI29" s="122">
        <f>JH29*100/$E$29</f>
        <v/>
      </c>
      <c r="JJ29" s="108" t="n"/>
      <c r="JK29" s="122">
        <f>JJ29*100/$E$29</f>
        <v/>
      </c>
      <c r="JL29" s="108" t="n"/>
      <c r="JM29" s="122">
        <f>JL29*100/$E$29</f>
        <v/>
      </c>
      <c r="JN29" s="108" t="n"/>
      <c r="JO29" s="121">
        <f>JN29*100/$E$29</f>
        <v/>
      </c>
      <c r="JP29" s="108" t="n"/>
      <c r="JQ29" s="121">
        <f>JP29*100/$E$29</f>
        <v/>
      </c>
      <c r="JR29" s="108" t="n"/>
      <c r="JS29" s="121">
        <f>JR29*100/$E$29</f>
        <v/>
      </c>
      <c r="JT29" s="108" t="n"/>
      <c r="JU29" s="121">
        <f>JT29*100/$E$29</f>
        <v/>
      </c>
      <c r="JV29" s="108" t="n"/>
      <c r="JW29" s="121">
        <f>JV29*100/$E$29</f>
        <v/>
      </c>
      <c r="JX29" s="108" t="n"/>
      <c r="JY29" s="121">
        <f>JX29*100/$E$29</f>
        <v/>
      </c>
      <c r="JZ29" s="55">
        <f>JN29+JP29+JR29+JT29+JV29+JX29</f>
        <v/>
      </c>
      <c r="KA29" s="53">
        <f>JO29+JQ29+JS29+JU29+JW29+JY29</f>
        <v/>
      </c>
      <c r="KB29" s="64">
        <f>H29+J29+L29+N29+P29+R29+T29+V29+X29+Z29+AB29+AD29+AF29+AH29+AJ29+AL29+AN29+AP29+AR29+AT29+AV29+AX29+AZ29+BB29+BD29+BF29+BH29+BJ29+BL29+BN29+BP29+BR29+BT29+BV29+BX29+BZ29+CB29+CD29+CF29+CH29+CZ29+DB29+DD29+DF29+DH29+DJ29+DL29+DN29+DP29+DR29+DT29+DV29+DX29+DZ29+EB29+ED29+EF29+EH29+EJ29+EL29+EN29+EP29+ER29+ET29+EV29+FN29+FP29+FR29+FT29+FV29+FX29+FZ29+GB29+GD29+GF29+GH29+GJ29+GL29+GN29+GP29+GR29+GT29+GV29+GX29+GZ29+HB29+HD29+HF29+HH29+HJ29+HL29+HN29+HP29+HR29+HT29+HV29+HX29+HZ29+IB29+ID29+IF29+IH29+IJ29+IL29+IN29+IP29+IR29+IT29+IV29+IX29+IZ29+JB29+JD29+JF29+JH29+JJ29+JL29+JZ29+CJ29+CL29+CN29+CP29+CR29+CT29+CV29+CX29+EX29+EZ29+FB29+FD29+FF29+FH29+FJ29+FL29</f>
        <v/>
      </c>
      <c r="KC29" s="66">
        <f>I29+K29+M29+O29+Q29+S29+U29+W29+Y29+AA29+AC29+AE29+AG29+AI29+AK29+AM29+AO29+AQ29+AS29+AU29+AW29+AY29+BA29+BC29+BE29+BG29+BI29+BK29+BM29+BO29+BQ29+BS29+BU29+BW29+BY29+CA29+CC29+CE29+CG29+CI29+DA29+DC29+DE29+DG29+DI29+DK29+DM29+DO29+DQ29+DS29+DU29+DW29+DY29+EA29+EC29+EE29+EG29+EI29+EK29+EM29+EO29+EQ29+ES29+EU29+EW29+FO29+FS29+FU29+FW29+FQ29+FY29+GA29+GC29+GE29+GG29+GI29+GK29+GM29+GO29+GQ29+GS29+GU29+GW29+GY29+HA29+HC29+HE29+HG29+HI29+HK29+HM29+HO29+HQ29+HS29+HU29+HW29+HY29+IA29+IC29+IE29+IG29+II29+IK29+IM29+IO29+IQ29+IS29+IU29+IW29+IY29+JA29+JC29+JE29+JG29+JI29+JK29+JM29+KA29+CK29+CM29+CO29+CQ29+CS29+CU29+CW29+CY29+EY29+FA29+FC29+FE29+FG29+FI29+FK29+FM29</f>
        <v/>
      </c>
      <c r="KD29" s="44">
        <f>JO29+JQ29+JS29+JU29+JW29+JY29</f>
        <v/>
      </c>
      <c r="KE29" s="45">
        <f>KB29=E29</f>
        <v/>
      </c>
      <c r="KF29" s="101">
        <f>E29-KB29</f>
        <v/>
      </c>
      <c r="KG29" s="21" t="n"/>
    </row>
    <row r="30" ht="21.75" customFormat="1" customHeight="1" s="22">
      <c r="A30" s="126">
        <f>A29+1</f>
        <v/>
      </c>
      <c r="B30" s="175" t="inlineStr">
        <is>
          <t>Кузнецов Р.А.</t>
        </is>
      </c>
      <c r="C30" s="176" t="inlineStr">
        <is>
          <t>сварщик</t>
        </is>
      </c>
      <c r="D30" s="177">
        <f>$D$5</f>
        <v/>
      </c>
      <c r="E30" s="202" t="n"/>
      <c r="F30" s="193" t="n">
        <v>84149.67999999999</v>
      </c>
      <c r="G30" s="52">
        <f>F30/D30</f>
        <v/>
      </c>
      <c r="H30" s="108" t="n"/>
      <c r="I30" s="122">
        <f>H30*100/$E$30</f>
        <v/>
      </c>
      <c r="J30" s="108" t="n"/>
      <c r="K30" s="122">
        <f>J30*100/$E$30</f>
        <v/>
      </c>
      <c r="L30" s="108" t="n"/>
      <c r="M30" s="122">
        <f>L30*100/$E$30</f>
        <v/>
      </c>
      <c r="N30" s="108" t="n"/>
      <c r="O30" s="122">
        <f>N30*100/$E$30</f>
        <v/>
      </c>
      <c r="P30" s="108" t="n"/>
      <c r="Q30" s="122">
        <f>P30*100/$E$30</f>
        <v/>
      </c>
      <c r="R30" s="108" t="n"/>
      <c r="S30" s="122">
        <f>R30*100/$E$30</f>
        <v/>
      </c>
      <c r="T30" s="108" t="n"/>
      <c r="U30" s="122">
        <f>T30*100/$E$30</f>
        <v/>
      </c>
      <c r="V30" s="108" t="n"/>
      <c r="W30" s="122">
        <f>V30*100/$E$30</f>
        <v/>
      </c>
      <c r="X30" s="108" t="n"/>
      <c r="Y30" s="122">
        <f>X30*100/$E$30</f>
        <v/>
      </c>
      <c r="Z30" s="108" t="n"/>
      <c r="AA30" s="122">
        <f>Z30*100/$E$30</f>
        <v/>
      </c>
      <c r="AB30" s="108" t="n"/>
      <c r="AC30" s="122">
        <f>AB30*100/$E$30</f>
        <v/>
      </c>
      <c r="AD30" s="108" t="n"/>
      <c r="AE30" s="122">
        <f>AD30*100/$E$30</f>
        <v/>
      </c>
      <c r="AF30" s="108" t="n"/>
      <c r="AG30" s="122">
        <f>AF30*100/$E$30</f>
        <v/>
      </c>
      <c r="AH30" s="108" t="n"/>
      <c r="AI30" s="122">
        <f>AH30*100/$E$30</f>
        <v/>
      </c>
      <c r="AJ30" s="108" t="n"/>
      <c r="AK30" s="122">
        <f>AJ30*100/$E$30</f>
        <v/>
      </c>
      <c r="AL30" s="108" t="n"/>
      <c r="AM30" s="122">
        <f>AL30*100/$E$30</f>
        <v/>
      </c>
      <c r="AN30" s="108" t="n"/>
      <c r="AO30" s="122">
        <f>AN30*100/$E$30</f>
        <v/>
      </c>
      <c r="AP30" s="108" t="n"/>
      <c r="AQ30" s="122">
        <f>AP30*100/$E$30</f>
        <v/>
      </c>
      <c r="AR30" s="108" t="n"/>
      <c r="AS30" s="122">
        <f>AR30*100/$E$30</f>
        <v/>
      </c>
      <c r="AT30" s="108" t="n"/>
      <c r="AU30" s="90">
        <f>AT30*100/$E$30</f>
        <v/>
      </c>
      <c r="AV30" s="108" t="n"/>
      <c r="AW30" s="122">
        <f>AV30*100/$E$30</f>
        <v/>
      </c>
      <c r="AX30" s="108" t="n"/>
      <c r="AY30" s="122">
        <f>AX30*100/$E$30</f>
        <v/>
      </c>
      <c r="AZ30" s="108" t="n"/>
      <c r="BA30" s="122">
        <f>AZ30*100/$E$30</f>
        <v/>
      </c>
      <c r="BB30" s="108" t="n"/>
      <c r="BC30" s="122">
        <f>BB30*100/$E$30</f>
        <v/>
      </c>
      <c r="BD30" s="108" t="n"/>
      <c r="BE30" s="122">
        <f>BD30*100/$E$30</f>
        <v/>
      </c>
      <c r="BF30" s="108" t="n"/>
      <c r="BG30" s="122">
        <f>BF30*100/$E$30</f>
        <v/>
      </c>
      <c r="BH30" s="108" t="n"/>
      <c r="BI30" s="122">
        <f>BH30*100/$E$30</f>
        <v/>
      </c>
      <c r="BJ30" s="108" t="n"/>
      <c r="BK30" s="122">
        <f>BJ30*100/$E$30</f>
        <v/>
      </c>
      <c r="BL30" s="108" t="n"/>
      <c r="BM30" s="122">
        <f>BL30*100/$E$30</f>
        <v/>
      </c>
      <c r="BN30" s="108" t="n"/>
      <c r="BO30" s="122">
        <f>BN30*100/$E$30</f>
        <v/>
      </c>
      <c r="BP30" s="108" t="n"/>
      <c r="BQ30" s="122">
        <f>BP30*100/$E$30</f>
        <v/>
      </c>
      <c r="BR30" s="108" t="n"/>
      <c r="BS30" s="122">
        <f>BR30*100/$E$30</f>
        <v/>
      </c>
      <c r="BT30" s="108" t="n"/>
      <c r="BU30" s="122">
        <f>BT30*100/$E$30</f>
        <v/>
      </c>
      <c r="BV30" s="108" t="n"/>
      <c r="BW30" s="122">
        <f>BV30*100/$E$30</f>
        <v/>
      </c>
      <c r="BX30" s="108" t="n"/>
      <c r="BY30" s="122">
        <f>BX30*100/$E$30</f>
        <v/>
      </c>
      <c r="BZ30" s="108" t="n"/>
      <c r="CA30" s="122">
        <f>BZ30*100/$E$30</f>
        <v/>
      </c>
      <c r="CB30" s="108" t="n"/>
      <c r="CC30" s="122">
        <f>CB30*100/$E$30</f>
        <v/>
      </c>
      <c r="CD30" s="108" t="n"/>
      <c r="CE30" s="122">
        <f>CD30*100/$E$30</f>
        <v/>
      </c>
      <c r="CF30" s="108" t="n"/>
      <c r="CG30" s="122">
        <f>CF30*100/$E$30</f>
        <v/>
      </c>
      <c r="CH30" s="108" t="n"/>
      <c r="CI30" s="122">
        <f>CH30*100/$E$30</f>
        <v/>
      </c>
      <c r="CJ30" s="108" t="n"/>
      <c r="CK30" s="122">
        <f>CJ30*100/$E$30</f>
        <v/>
      </c>
      <c r="CL30" s="108" t="n"/>
      <c r="CM30" s="122">
        <f>CL30*100/$E$30</f>
        <v/>
      </c>
      <c r="CN30" s="108" t="n"/>
      <c r="CO30" s="122">
        <f>CN30*100/$E$30</f>
        <v/>
      </c>
      <c r="CP30" s="108" t="n"/>
      <c r="CQ30" s="122">
        <f>CP30*100/$E$30</f>
        <v/>
      </c>
      <c r="CR30" s="108" t="n"/>
      <c r="CS30" s="122">
        <f>CR30*100/$E$30</f>
        <v/>
      </c>
      <c r="CT30" s="108" t="n"/>
      <c r="CU30" s="122">
        <f>CT30*100/$E$30</f>
        <v/>
      </c>
      <c r="CV30" s="108" t="n"/>
      <c r="CW30" s="122">
        <f>CV30*100/$E$30</f>
        <v/>
      </c>
      <c r="CX30" s="108" t="n"/>
      <c r="CY30" s="122">
        <f>CX30*100/$E$30</f>
        <v/>
      </c>
      <c r="CZ30" s="108" t="n"/>
      <c r="DA30" s="122">
        <f>CZ30*100/$E$30</f>
        <v/>
      </c>
      <c r="DB30" s="108" t="n"/>
      <c r="DC30" s="122">
        <f>DB30*100/$E$30</f>
        <v/>
      </c>
      <c r="DD30" s="108" t="n"/>
      <c r="DE30" s="122">
        <f>DD30*100/$E$30</f>
        <v/>
      </c>
      <c r="DF30" s="108" t="n"/>
      <c r="DG30" s="122">
        <f>DF30*100/$E$30</f>
        <v/>
      </c>
      <c r="DH30" s="108" t="n"/>
      <c r="DI30" s="122">
        <f>DH30*100/$E$30</f>
        <v/>
      </c>
      <c r="DJ30" s="108" t="n"/>
      <c r="DK30" s="122">
        <f>DJ30*100/$E$30</f>
        <v/>
      </c>
      <c r="DL30" s="108" t="n"/>
      <c r="DM30" s="122">
        <f>DL30*100/$E$30</f>
        <v/>
      </c>
      <c r="DN30" s="108" t="n"/>
      <c r="DO30" s="122">
        <f>DN30*100/$E$30</f>
        <v/>
      </c>
      <c r="DP30" s="108" t="n"/>
      <c r="DQ30" s="122">
        <f>DP30*100/$E$30</f>
        <v/>
      </c>
      <c r="DR30" s="108" t="n"/>
      <c r="DS30" s="122">
        <f>DR30*100/$E$30</f>
        <v/>
      </c>
      <c r="DT30" s="108" t="n"/>
      <c r="DU30" s="122">
        <f>DT30*100/$E$30</f>
        <v/>
      </c>
      <c r="DV30" s="108" t="n"/>
      <c r="DW30" s="122">
        <f>DV30*100/$E$30</f>
        <v/>
      </c>
      <c r="DX30" s="108" t="n"/>
      <c r="DY30" s="122">
        <f>DX30*100/$E$30</f>
        <v/>
      </c>
      <c r="DZ30" s="108" t="n"/>
      <c r="EA30" s="122">
        <f>DZ30*100/$E$30</f>
        <v/>
      </c>
      <c r="EB30" s="108" t="n"/>
      <c r="EC30" s="122">
        <f>EB30*100/$E$30</f>
        <v/>
      </c>
      <c r="ED30" s="108" t="n"/>
      <c r="EE30" s="122">
        <f>ED30*100/$E$30</f>
        <v/>
      </c>
      <c r="EF30" s="108" t="n"/>
      <c r="EG30" s="122">
        <f>EF30*100/$E$30</f>
        <v/>
      </c>
      <c r="EH30" s="108" t="n"/>
      <c r="EI30" s="122">
        <f>EH30*100/$E$30</f>
        <v/>
      </c>
      <c r="EJ30" s="108" t="n"/>
      <c r="EK30" s="122">
        <f>EJ30*100/$E$30</f>
        <v/>
      </c>
      <c r="EL30" s="108" t="n"/>
      <c r="EM30" s="122">
        <f>EL30*100/$E$30</f>
        <v/>
      </c>
      <c r="EN30" s="108" t="n"/>
      <c r="EO30" s="122">
        <f>EN30*100/$E$30</f>
        <v/>
      </c>
      <c r="EP30" s="108" t="n"/>
      <c r="EQ30" s="122">
        <f>EP30*100/$E$30</f>
        <v/>
      </c>
      <c r="ER30" s="108" t="n"/>
      <c r="ES30" s="122">
        <f>ER30*100/$E$30</f>
        <v/>
      </c>
      <c r="ET30" s="108" t="n"/>
      <c r="EU30" s="122">
        <f>ET30*100/$E$30</f>
        <v/>
      </c>
      <c r="EV30" s="108" t="n"/>
      <c r="EW30" s="122">
        <f>EV30*100/$E$30</f>
        <v/>
      </c>
      <c r="EX30" s="108" t="n"/>
      <c r="EY30" s="122">
        <f>EX30*100/$E$30</f>
        <v/>
      </c>
      <c r="EZ30" s="108" t="n"/>
      <c r="FA30" s="122">
        <f>EZ30*100/$E$30</f>
        <v/>
      </c>
      <c r="FB30" s="108" t="n"/>
      <c r="FC30" s="122">
        <f>FB30*100/$E$30</f>
        <v/>
      </c>
      <c r="FD30" s="108" t="n"/>
      <c r="FE30" s="122">
        <f>FD30*100/$E$30</f>
        <v/>
      </c>
      <c r="FF30" s="108" t="n"/>
      <c r="FG30" s="122">
        <f>FF30*100/$E$30</f>
        <v/>
      </c>
      <c r="FH30" s="108" t="n"/>
      <c r="FI30" s="122">
        <f>FH30*100/$E$30</f>
        <v/>
      </c>
      <c r="FJ30" s="108" t="n"/>
      <c r="FK30" s="122">
        <f>FJ30*100/$E$30</f>
        <v/>
      </c>
      <c r="FL30" s="108" t="n"/>
      <c r="FM30" s="122">
        <f>FL30*100/$E$30</f>
        <v/>
      </c>
      <c r="FN30" s="108" t="n"/>
      <c r="FO30" s="122">
        <f>FN30*100/$E$30</f>
        <v/>
      </c>
      <c r="FP30" s="108" t="n"/>
      <c r="FQ30" s="122">
        <f>FP30*100/$E$30</f>
        <v/>
      </c>
      <c r="FR30" s="108" t="n"/>
      <c r="FS30" s="122">
        <f>FR30*100/$E$30</f>
        <v/>
      </c>
      <c r="FT30" s="108" t="n"/>
      <c r="FU30" s="122">
        <f>FT30*100/$E$30</f>
        <v/>
      </c>
      <c r="FV30" s="108" t="n"/>
      <c r="FW30" s="122">
        <f>FV30*100/$E$30</f>
        <v/>
      </c>
      <c r="FX30" s="108" t="n"/>
      <c r="FY30" s="122">
        <f>FX30*100/$E$30</f>
        <v/>
      </c>
      <c r="FZ30" s="108" t="n"/>
      <c r="GA30" s="122">
        <f>FZ30*100/$E$30</f>
        <v/>
      </c>
      <c r="GB30" s="108" t="n"/>
      <c r="GC30" s="122">
        <f>GB30*100/$E$30</f>
        <v/>
      </c>
      <c r="GD30" s="108" t="n"/>
      <c r="GE30" s="122">
        <f>GD30*100/$E$30</f>
        <v/>
      </c>
      <c r="GF30" s="108" t="n"/>
      <c r="GG30" s="122">
        <f>GF30*100/$E$30</f>
        <v/>
      </c>
      <c r="GH30" s="108" t="n"/>
      <c r="GI30" s="122">
        <f>GH30*100/$E$30</f>
        <v/>
      </c>
      <c r="GJ30" s="108" t="n"/>
      <c r="GK30" s="122">
        <f>GJ30*100/$E$30</f>
        <v/>
      </c>
      <c r="GL30" s="108" t="n"/>
      <c r="GM30" s="122">
        <f>GL30*100/$E$30</f>
        <v/>
      </c>
      <c r="GN30" s="108" t="n"/>
      <c r="GO30" s="122">
        <f>GN30*100/$E$30</f>
        <v/>
      </c>
      <c r="GP30" s="108" t="n"/>
      <c r="GQ30" s="122">
        <f>GP30*100/$E$30</f>
        <v/>
      </c>
      <c r="GR30" s="108" t="n"/>
      <c r="GS30" s="122">
        <f>GR30*100/$E$30</f>
        <v/>
      </c>
      <c r="GT30" s="108" t="n"/>
      <c r="GU30" s="122">
        <f>GT30*100/$E$30</f>
        <v/>
      </c>
      <c r="GV30" s="108" t="n"/>
      <c r="GW30" s="122">
        <f>GV30*100/$E$30</f>
        <v/>
      </c>
      <c r="GX30" s="108" t="n"/>
      <c r="GY30" s="122">
        <f>GX30*100/$E$30</f>
        <v/>
      </c>
      <c r="GZ30" s="108" t="n"/>
      <c r="HA30" s="122">
        <f>GZ30*100/$E$30</f>
        <v/>
      </c>
      <c r="HB30" s="108" t="n"/>
      <c r="HC30" s="122">
        <f>HB30*100/$E$30</f>
        <v/>
      </c>
      <c r="HD30" s="108" t="n"/>
      <c r="HE30" s="122">
        <f>HD30*100/$E$30</f>
        <v/>
      </c>
      <c r="HF30" s="108" t="n"/>
      <c r="HG30" s="122">
        <f>HF30*100/$E$30</f>
        <v/>
      </c>
      <c r="HH30" s="108" t="n"/>
      <c r="HI30" s="122">
        <f>HH30*100/$E$30</f>
        <v/>
      </c>
      <c r="HJ30" s="108" t="n"/>
      <c r="HK30" s="122">
        <f>HJ30*100/$E$30</f>
        <v/>
      </c>
      <c r="HL30" s="108" t="n"/>
      <c r="HM30" s="122">
        <f>HL30*100/$E$30</f>
        <v/>
      </c>
      <c r="HN30" s="108" t="n"/>
      <c r="HO30" s="122">
        <f>HN30*100/$E$30</f>
        <v/>
      </c>
      <c r="HP30" s="108" t="n"/>
      <c r="HQ30" s="122">
        <f>HP30*100/$E$30</f>
        <v/>
      </c>
      <c r="HR30" s="108" t="n"/>
      <c r="HS30" s="122">
        <f>HR30*100/$E$30</f>
        <v/>
      </c>
      <c r="HT30" s="108" t="n"/>
      <c r="HU30" s="122">
        <f>HT30*100/$E$30</f>
        <v/>
      </c>
      <c r="HV30" s="108" t="n"/>
      <c r="HW30" s="122">
        <f>HV30*100/$E$30</f>
        <v/>
      </c>
      <c r="HX30" s="108" t="n"/>
      <c r="HY30" s="122">
        <f>HX30*100/$E$30</f>
        <v/>
      </c>
      <c r="HZ30" s="108" t="n"/>
      <c r="IA30" s="122">
        <f>HZ30*100/$E$30</f>
        <v/>
      </c>
      <c r="IB30" s="108" t="n"/>
      <c r="IC30" s="122">
        <f>IB30*100/$E$30</f>
        <v/>
      </c>
      <c r="ID30" s="108" t="n"/>
      <c r="IE30" s="122">
        <f>ID30*100/$E$30</f>
        <v/>
      </c>
      <c r="IF30" s="108" t="n"/>
      <c r="IG30" s="122">
        <f>IF30*100/$E$30</f>
        <v/>
      </c>
      <c r="IH30" s="108" t="n"/>
      <c r="II30" s="122">
        <f>IH30*100/$E$30</f>
        <v/>
      </c>
      <c r="IJ30" s="108" t="n"/>
      <c r="IK30" s="122">
        <f>IJ30*100/$E$30</f>
        <v/>
      </c>
      <c r="IL30" s="108" t="n"/>
      <c r="IM30" s="122">
        <f>IL30*100/$E$30</f>
        <v/>
      </c>
      <c r="IN30" s="108" t="n"/>
      <c r="IO30" s="122">
        <f>IN30*100/$E$30</f>
        <v/>
      </c>
      <c r="IP30" s="108" t="n"/>
      <c r="IQ30" s="122">
        <f>IP30*100/$E$30</f>
        <v/>
      </c>
      <c r="IR30" s="108" t="n"/>
      <c r="IS30" s="122">
        <f>IR30*100/$E$30</f>
        <v/>
      </c>
      <c r="IT30" s="108" t="n"/>
      <c r="IU30" s="122">
        <f>IT30*100/$E$30</f>
        <v/>
      </c>
      <c r="IV30" s="108" t="n"/>
      <c r="IW30" s="122">
        <f>IV30*100/$E$30</f>
        <v/>
      </c>
      <c r="IX30" s="108" t="n"/>
      <c r="IY30" s="122">
        <f>IX30*100/$E$30</f>
        <v/>
      </c>
      <c r="IZ30" s="108" t="n"/>
      <c r="JA30" s="122">
        <f>IZ30*100/$E$30</f>
        <v/>
      </c>
      <c r="JB30" s="108" t="n"/>
      <c r="JC30" s="122">
        <f>JB30*100/$E$30</f>
        <v/>
      </c>
      <c r="JD30" s="108" t="n"/>
      <c r="JE30" s="122">
        <f>JD30*100/$E$30</f>
        <v/>
      </c>
      <c r="JF30" s="108" t="n"/>
      <c r="JG30" s="122">
        <f>JF30*100/$E$30</f>
        <v/>
      </c>
      <c r="JH30" s="108" t="n"/>
      <c r="JI30" s="122">
        <f>JH30*100/$E$30</f>
        <v/>
      </c>
      <c r="JJ30" s="108" t="n"/>
      <c r="JK30" s="122">
        <f>JJ30*100/$E$30</f>
        <v/>
      </c>
      <c r="JL30" s="108" t="n"/>
      <c r="JM30" s="122">
        <f>JL30*100/$E$30</f>
        <v/>
      </c>
      <c r="JN30" s="108" t="n"/>
      <c r="JO30" s="122">
        <f>JN30*100/$E$30</f>
        <v/>
      </c>
      <c r="JP30" s="108" t="n"/>
      <c r="JQ30" s="122">
        <f>JP30*100/$E$30</f>
        <v/>
      </c>
      <c r="JR30" s="108" t="n"/>
      <c r="JS30" s="122">
        <f>JR30*100/$E$30</f>
        <v/>
      </c>
      <c r="JT30" s="108" t="n"/>
      <c r="JU30" s="122">
        <f>JT30*100/$E$30</f>
        <v/>
      </c>
      <c r="JV30" s="108" t="n"/>
      <c r="JW30" s="122">
        <f>JV30*100/$E$30</f>
        <v/>
      </c>
      <c r="JX30" s="108" t="n"/>
      <c r="JY30" s="122">
        <f>JX30*100/$E$30</f>
        <v/>
      </c>
      <c r="JZ30" s="55">
        <f>JN30+JP30+JR30+JT30+JV30+JX30</f>
        <v/>
      </c>
      <c r="KA30" s="53">
        <f>JO30+JQ30+JS30+JU30+JW30+JY30</f>
        <v/>
      </c>
      <c r="KB30" s="64">
        <f>H30+J30+L30+N30+P30+R30+T30+V30+X30+Z30+AB30+AD30+AF30+AH30+AJ30+AL30+AN30+AP30+AR30+AT30+AV30+AX30+AZ30+BB30+BD30+BF30+BH30+BJ30+BL30+BN30+BP30+BR30+BT30+BV30+BX30+BZ30+CB30+CD30+CF30+CH30+CZ30+DB30+DD30+DF30+DH30+DJ30+DL30+DN30+DP30+DR30+DT30+DV30+DX30+DZ30+EB30+ED30+EF30+EH30+EJ30+EL30+EN30+EP30+ER30+ET30+EV30+FN30+FP30+FR30+FT30+FV30+FX30+FZ30+GB30+GD30+GF30+GH30+GJ30+GL30+GN30+GP30+GR30+GT30+GV30+GX30+GZ30+HB30+HD30+HF30+HH30+HJ30+HL30+HN30+HP30+HR30+HT30+HV30+HX30+HZ30+IB30+ID30+IF30+IH30+IJ30+IL30+IN30+IP30+IR30+IT30+IV30+IX30+IZ30+JB30+JD30+JF30+JH30+JJ30+JL30+JZ30+CJ30+CL30+CN30+CP30+CR30+CT30+CV30+CX30+EX30+EZ30+FB30+FD30+FF30+FH30+FJ30+FL30</f>
        <v/>
      </c>
      <c r="KC30" s="66">
        <f>I30+K30+M30+O30+Q30+S30+U30+W30+Y30+AA30+AC30+AE30+AG30+AI30+AK30+AM30+AO30+AQ30+AS30+AU30+AW30+AY30+BA30+BC30+BE30+BG30+BI30+BK30+BM30+BO30+BQ30+BS30+BU30+BW30+BY30+CA30+CC30+CE30+CG30+CI30+DA30+DC30+DE30+DG30+DI30+DK30+DM30+DO30+DQ30+DS30+DU30+DW30+DY30+EA30+EC30+EE30+EG30+EI30+EK30+EM30+EO30+EQ30+ES30+EU30+EW30+FO30+FS30+FU30+FW30+FQ30+FY30+GA30+GC30+GE30+GG30+GI30+GK30+GM30+GO30+GQ30+GS30+GU30+GW30+GY30+HA30+HC30+HE30+HG30+HI30+HK30+HM30+HO30+HQ30+HS30+HU30+HW30+HY30+IA30+IC30+IE30+IG30+II30+IK30+IM30+IO30+IQ30+IS30+IU30+IW30+IY30+JA30+JC30+JE30+JG30+JI30+JK30+JM30+KA30+CK30+CM30+CO30+CQ30+CS30+CU30+CW30+CY30+EY30+FA30+FC30+FE30+FG30+FI30+FK30+FM30</f>
        <v/>
      </c>
      <c r="KD30" s="44">
        <f>JO30+JQ30+JS30+JU30+JW30+JY30</f>
        <v/>
      </c>
      <c r="KE30" s="45">
        <f>KB30=E30</f>
        <v/>
      </c>
      <c r="KF30" s="101">
        <f>E30-KB30</f>
        <v/>
      </c>
      <c r="KG30" s="21" t="n"/>
    </row>
    <row r="31" ht="29.25" customFormat="1" customHeight="1" s="21">
      <c r="A31" s="126">
        <f>A30+1</f>
        <v/>
      </c>
      <c r="B31" s="175" t="inlineStr">
        <is>
          <t>Ленинг И.Н.</t>
        </is>
      </c>
      <c r="C31" s="176" t="inlineStr">
        <is>
          <t xml:space="preserve">Оператор СПУ </t>
        </is>
      </c>
      <c r="D31" s="177">
        <f>$D$5</f>
        <v/>
      </c>
      <c r="E31" s="202" t="n"/>
      <c r="F31" s="193" t="n">
        <v>126855.63</v>
      </c>
      <c r="G31" s="52">
        <f>F31/D31</f>
        <v/>
      </c>
      <c r="H31" s="125" t="n"/>
      <c r="I31" s="107">
        <f>H31*100/$E$31</f>
        <v/>
      </c>
      <c r="J31" s="108" t="n"/>
      <c r="K31" s="107">
        <f>J31*100/$E$31</f>
        <v/>
      </c>
      <c r="L31" s="108" t="n"/>
      <c r="M31" s="107">
        <f>L31*100/$E$31</f>
        <v/>
      </c>
      <c r="N31" s="108" t="n"/>
      <c r="O31" s="107">
        <f>N31*100/$E$31</f>
        <v/>
      </c>
      <c r="P31" s="108" t="n"/>
      <c r="Q31" s="122">
        <f>P31*100/$E$31</f>
        <v/>
      </c>
      <c r="R31" s="108" t="n"/>
      <c r="S31" s="122">
        <f>R31*100/$E$31</f>
        <v/>
      </c>
      <c r="T31" s="108" t="n"/>
      <c r="U31" s="107">
        <f>T31*100/$E$31</f>
        <v/>
      </c>
      <c r="V31" s="108" t="n"/>
      <c r="W31" s="107">
        <f>V31*100/$E$31</f>
        <v/>
      </c>
      <c r="X31" s="108" t="n"/>
      <c r="Y31" s="107">
        <f>X31*100/$E$31</f>
        <v/>
      </c>
      <c r="Z31" s="108" t="n"/>
      <c r="AA31" s="107">
        <f>Z31*100/$E$31</f>
        <v/>
      </c>
      <c r="AB31" s="108" t="n"/>
      <c r="AC31" s="107">
        <f>AB31*100/$E$31</f>
        <v/>
      </c>
      <c r="AD31" s="108" t="n"/>
      <c r="AE31" s="122">
        <f>AD31*100/$E$31</f>
        <v/>
      </c>
      <c r="AF31" s="108" t="n"/>
      <c r="AG31" s="122">
        <f>AF31*100/$E$31</f>
        <v/>
      </c>
      <c r="AH31" s="108" t="n"/>
      <c r="AI31" s="107">
        <f>AH31*100/$E$31</f>
        <v/>
      </c>
      <c r="AJ31" s="108" t="n"/>
      <c r="AK31" s="107">
        <f>AJ31*100/$E$31</f>
        <v/>
      </c>
      <c r="AL31" s="108" t="n"/>
      <c r="AM31" s="107">
        <f>AL31*100/$E$31</f>
        <v/>
      </c>
      <c r="AN31" s="108" t="n"/>
      <c r="AO31" s="107">
        <f>AN31*100/$E$31</f>
        <v/>
      </c>
      <c r="AP31" s="108" t="n"/>
      <c r="AQ31" s="107">
        <f>AP31*100/$E$31</f>
        <v/>
      </c>
      <c r="AR31" s="108" t="n"/>
      <c r="AS31" s="107">
        <f>AR31*100/$E$31</f>
        <v/>
      </c>
      <c r="AT31" s="108" t="n"/>
      <c r="AU31" s="90">
        <f>AT31*100/$E$31</f>
        <v/>
      </c>
      <c r="AV31" s="108" t="n"/>
      <c r="AW31" s="107">
        <f>AV31*100/$E$31</f>
        <v/>
      </c>
      <c r="AX31" s="108" t="n"/>
      <c r="AY31" s="107">
        <f>AX31*100/$E$31</f>
        <v/>
      </c>
      <c r="AZ31" s="108" t="n"/>
      <c r="BA31" s="107">
        <f>AZ31*100/$E$31</f>
        <v/>
      </c>
      <c r="BB31" s="108" t="n"/>
      <c r="BC31" s="107">
        <f>BB31*100/$E$31</f>
        <v/>
      </c>
      <c r="BD31" s="108" t="n"/>
      <c r="BE31" s="107">
        <f>BD31*100/$E$31</f>
        <v/>
      </c>
      <c r="BF31" s="108" t="n"/>
      <c r="BG31" s="107">
        <f>BF31*100/$E$31</f>
        <v/>
      </c>
      <c r="BH31" s="108" t="n"/>
      <c r="BI31" s="107">
        <f>BH31*100/$E$31</f>
        <v/>
      </c>
      <c r="BJ31" s="108" t="n"/>
      <c r="BK31" s="107">
        <f>BJ31*100/$E$31</f>
        <v/>
      </c>
      <c r="BL31" s="108" t="n"/>
      <c r="BM31" s="107">
        <f>BL31*100/$E$31</f>
        <v/>
      </c>
      <c r="BN31" s="108" t="n"/>
      <c r="BO31" s="107">
        <f>BN31*100/$E$31</f>
        <v/>
      </c>
      <c r="BP31" s="108" t="n"/>
      <c r="BQ31" s="107">
        <f>BP31*100/$E$31</f>
        <v/>
      </c>
      <c r="BR31" s="108" t="n"/>
      <c r="BS31" s="107">
        <f>BR31*100/$E$31</f>
        <v/>
      </c>
      <c r="BT31" s="108" t="n"/>
      <c r="BU31" s="107">
        <f>BT31*100/$E$31</f>
        <v/>
      </c>
      <c r="BV31" s="108" t="n"/>
      <c r="BW31" s="107">
        <f>BV31*100/$E$31</f>
        <v/>
      </c>
      <c r="BX31" s="108" t="n"/>
      <c r="BY31" s="107">
        <f>BX31*100/$E$31</f>
        <v/>
      </c>
      <c r="BZ31" s="108" t="n"/>
      <c r="CA31" s="107">
        <f>BZ31*100/$E$31</f>
        <v/>
      </c>
      <c r="CB31" s="108" t="n"/>
      <c r="CC31" s="107">
        <f>CB31*100/$E$31</f>
        <v/>
      </c>
      <c r="CD31" s="108" t="n"/>
      <c r="CE31" s="107">
        <f>CD31*100/$E$31</f>
        <v/>
      </c>
      <c r="CF31" s="108" t="n"/>
      <c r="CG31" s="107">
        <f>CF31*100/$E$31</f>
        <v/>
      </c>
      <c r="CH31" s="108" t="n"/>
      <c r="CI31" s="107">
        <f>CH31*100/$E$31</f>
        <v/>
      </c>
      <c r="CJ31" s="108" t="n"/>
      <c r="CK31" s="107">
        <f>CJ31*100/$E$31</f>
        <v/>
      </c>
      <c r="CL31" s="108" t="n"/>
      <c r="CM31" s="107">
        <f>CL31*100/$E$31</f>
        <v/>
      </c>
      <c r="CN31" s="108" t="n"/>
      <c r="CO31" s="122">
        <f>CN31*100/$E$31</f>
        <v/>
      </c>
      <c r="CP31" s="108" t="n"/>
      <c r="CQ31" s="107">
        <f>CP31*100/$E$31</f>
        <v/>
      </c>
      <c r="CR31" s="108" t="n"/>
      <c r="CS31" s="122">
        <f>CR31*100/$E$31</f>
        <v/>
      </c>
      <c r="CT31" s="108" t="n"/>
      <c r="CU31" s="122">
        <f>CT31*100/$E$31</f>
        <v/>
      </c>
      <c r="CV31" s="108" t="n"/>
      <c r="CW31" s="122">
        <f>CV31*100/$E$31</f>
        <v/>
      </c>
      <c r="CX31" s="108" t="n"/>
      <c r="CY31" s="122">
        <f>CX31*100/$E$31</f>
        <v/>
      </c>
      <c r="CZ31" s="108" t="n"/>
      <c r="DA31" s="122">
        <f>CZ31*100/$E$31</f>
        <v/>
      </c>
      <c r="DB31" s="108" t="n"/>
      <c r="DC31" s="122">
        <f>DB31*100/$E$31</f>
        <v/>
      </c>
      <c r="DD31" s="108" t="n"/>
      <c r="DE31" s="122">
        <f>DD31*100/$E$31</f>
        <v/>
      </c>
      <c r="DF31" s="108" t="n"/>
      <c r="DG31" s="122">
        <f>DF31*100/$E$31</f>
        <v/>
      </c>
      <c r="DH31" s="108" t="n"/>
      <c r="DI31" s="122">
        <f>DH31*100/$E$31</f>
        <v/>
      </c>
      <c r="DJ31" s="108" t="n"/>
      <c r="DK31" s="122">
        <f>DJ31*100/$E$31</f>
        <v/>
      </c>
      <c r="DL31" s="108" t="n"/>
      <c r="DM31" s="122">
        <f>DL31*100/$E$31</f>
        <v/>
      </c>
      <c r="DN31" s="108" t="n"/>
      <c r="DO31" s="122">
        <f>DN31*100/$E$31</f>
        <v/>
      </c>
      <c r="DP31" s="108" t="n"/>
      <c r="DQ31" s="122">
        <f>DP31*100/$E$31</f>
        <v/>
      </c>
      <c r="DR31" s="108" t="n"/>
      <c r="DS31" s="122">
        <f>DR31*100/$E$31</f>
        <v/>
      </c>
      <c r="DT31" s="108" t="n"/>
      <c r="DU31" s="122">
        <f>DT31*100/$E$31</f>
        <v/>
      </c>
      <c r="DV31" s="108" t="n"/>
      <c r="DW31" s="122">
        <f>DV31*100/$E$31</f>
        <v/>
      </c>
      <c r="DX31" s="108" t="n"/>
      <c r="DY31" s="122">
        <f>DX31*100/$E$31</f>
        <v/>
      </c>
      <c r="DZ31" s="108" t="n"/>
      <c r="EA31" s="122">
        <f>DZ31*100/$E$31</f>
        <v/>
      </c>
      <c r="EB31" s="108" t="n"/>
      <c r="EC31" s="122">
        <f>EB31*100/$E$31</f>
        <v/>
      </c>
      <c r="ED31" s="108" t="n"/>
      <c r="EE31" s="122">
        <f>ED31*100/$E$31</f>
        <v/>
      </c>
      <c r="EF31" s="108" t="n"/>
      <c r="EG31" s="122">
        <f>EF31*100/$E$31</f>
        <v/>
      </c>
      <c r="EH31" s="108" t="n"/>
      <c r="EI31" s="122">
        <f>EH31*100/$E$31</f>
        <v/>
      </c>
      <c r="EJ31" s="108" t="n"/>
      <c r="EK31" s="122">
        <f>EJ31*100/$E$31</f>
        <v/>
      </c>
      <c r="EL31" s="108" t="n"/>
      <c r="EM31" s="122">
        <f>EL31*100/$E$31</f>
        <v/>
      </c>
      <c r="EN31" s="108" t="n"/>
      <c r="EO31" s="122">
        <f>EN31*100/$E$31</f>
        <v/>
      </c>
      <c r="EP31" s="108" t="n"/>
      <c r="EQ31" s="122">
        <f>EP31*100/$E$31</f>
        <v/>
      </c>
      <c r="ER31" s="108" t="n"/>
      <c r="ES31" s="122">
        <f>ER31*100/$E$31</f>
        <v/>
      </c>
      <c r="ET31" s="108" t="n"/>
      <c r="EU31" s="122">
        <f>ET31*100/$E$31</f>
        <v/>
      </c>
      <c r="EV31" s="108" t="n"/>
      <c r="EW31" s="122">
        <f>EV31*100/$E$31</f>
        <v/>
      </c>
      <c r="EX31" s="108" t="n"/>
      <c r="EY31" s="122">
        <f>EX31*100/$E$31</f>
        <v/>
      </c>
      <c r="EZ31" s="108" t="n"/>
      <c r="FA31" s="122">
        <f>EZ31*100/$E$31</f>
        <v/>
      </c>
      <c r="FB31" s="108" t="n"/>
      <c r="FC31" s="122">
        <f>FB31*100/$E$31</f>
        <v/>
      </c>
      <c r="FD31" s="108" t="n"/>
      <c r="FE31" s="122">
        <f>FD31*100/$E$31</f>
        <v/>
      </c>
      <c r="FF31" s="108" t="n"/>
      <c r="FG31" s="122">
        <f>FF31*100/$E$31</f>
        <v/>
      </c>
      <c r="FH31" s="108" t="n"/>
      <c r="FI31" s="122">
        <f>FH31*100/$E$31</f>
        <v/>
      </c>
      <c r="FJ31" s="108" t="n"/>
      <c r="FK31" s="122">
        <f>FJ31*100/$E$31</f>
        <v/>
      </c>
      <c r="FL31" s="108" t="n"/>
      <c r="FM31" s="122">
        <f>FL31*100/$E$31</f>
        <v/>
      </c>
      <c r="FN31" s="108" t="n"/>
      <c r="FO31" s="122">
        <f>FN31*100/$E$31</f>
        <v/>
      </c>
      <c r="FP31" s="108" t="n"/>
      <c r="FQ31" s="122">
        <f>FP31*100/$E$31</f>
        <v/>
      </c>
      <c r="FR31" s="108" t="n"/>
      <c r="FS31" s="122">
        <f>FR31*100/$E$31</f>
        <v/>
      </c>
      <c r="FT31" s="108" t="n"/>
      <c r="FU31" s="122">
        <f>FT31*100/$E$31</f>
        <v/>
      </c>
      <c r="FV31" s="108" t="n"/>
      <c r="FW31" s="122">
        <f>FV31*100/$E$31</f>
        <v/>
      </c>
      <c r="FX31" s="108" t="n"/>
      <c r="FY31" s="107">
        <f>FX31*100/$E$31</f>
        <v/>
      </c>
      <c r="FZ31" s="108" t="n"/>
      <c r="GA31" s="107">
        <f>FZ31*100/$E$31</f>
        <v/>
      </c>
      <c r="GB31" s="108" t="n"/>
      <c r="GC31" s="107">
        <f>GB31*100/$E$31</f>
        <v/>
      </c>
      <c r="GD31" s="108" t="n"/>
      <c r="GE31" s="107">
        <f>GD31*100/$E$31</f>
        <v/>
      </c>
      <c r="GF31" s="108" t="n"/>
      <c r="GG31" s="107">
        <f>GF31*100/$E$31</f>
        <v/>
      </c>
      <c r="GH31" s="108" t="n"/>
      <c r="GI31" s="107">
        <f>GH31*100/$E$31</f>
        <v/>
      </c>
      <c r="GJ31" s="108" t="n"/>
      <c r="GK31" s="122">
        <f>GJ31*100/$E$31</f>
        <v/>
      </c>
      <c r="GL31" s="108" t="n"/>
      <c r="GM31" s="107">
        <f>GL31*100/$E$31</f>
        <v/>
      </c>
      <c r="GN31" s="108" t="n"/>
      <c r="GO31" s="122">
        <f>GN31*100/$E$31</f>
        <v/>
      </c>
      <c r="GP31" s="108" t="n"/>
      <c r="GQ31" s="107">
        <f>GP31*100/$E$31</f>
        <v/>
      </c>
      <c r="GR31" s="108" t="n"/>
      <c r="GS31" s="122">
        <f>GR31*100/$E$31</f>
        <v/>
      </c>
      <c r="GT31" s="108" t="n"/>
      <c r="GU31" s="122">
        <f>GT31*100/$E$31</f>
        <v/>
      </c>
      <c r="GV31" s="108" t="n"/>
      <c r="GW31" s="122">
        <f>GV31*100/$E$31</f>
        <v/>
      </c>
      <c r="GX31" s="108" t="n"/>
      <c r="GY31" s="107">
        <f>GX31*100/$E$31</f>
        <v/>
      </c>
      <c r="GZ31" s="108" t="n"/>
      <c r="HA31" s="107">
        <f>GZ31*100/$E$31</f>
        <v/>
      </c>
      <c r="HB31" s="108" t="n"/>
      <c r="HC31" s="107">
        <f>HB31*100/$E$31</f>
        <v/>
      </c>
      <c r="HD31" s="108" t="n"/>
      <c r="HE31" s="107">
        <f>HD31*100/$E$31</f>
        <v/>
      </c>
      <c r="HF31" s="108" t="n"/>
      <c r="HG31" s="107">
        <f>HF31*100/$E$31</f>
        <v/>
      </c>
      <c r="HH31" s="108" t="n"/>
      <c r="HI31" s="107">
        <f>HH31*100/$E$31</f>
        <v/>
      </c>
      <c r="HJ31" s="108" t="n"/>
      <c r="HK31" s="107">
        <f>HJ31*100/$E$31</f>
        <v/>
      </c>
      <c r="HL31" s="108" t="n"/>
      <c r="HM31" s="107">
        <f>HL31*100/$E$31</f>
        <v/>
      </c>
      <c r="HN31" s="108" t="n"/>
      <c r="HO31" s="107">
        <f>HN31*100/$E$31</f>
        <v/>
      </c>
      <c r="HP31" s="108" t="n"/>
      <c r="HQ31" s="107">
        <f>HP31*100/$E$31</f>
        <v/>
      </c>
      <c r="HR31" s="108" t="n"/>
      <c r="HS31" s="107">
        <f>HR31*100/$E$31</f>
        <v/>
      </c>
      <c r="HT31" s="108" t="n"/>
      <c r="HU31" s="107">
        <f>HT31*100/$E$31</f>
        <v/>
      </c>
      <c r="HV31" s="108" t="n"/>
      <c r="HW31" s="107">
        <f>HV31*100/$E$31</f>
        <v/>
      </c>
      <c r="HX31" s="108" t="n"/>
      <c r="HY31" s="107">
        <f>HX31*100/$E$31</f>
        <v/>
      </c>
      <c r="HZ31" s="108" t="n"/>
      <c r="IA31" s="122">
        <f>HZ31*100/$E$31</f>
        <v/>
      </c>
      <c r="IB31" s="108" t="n"/>
      <c r="IC31" s="122">
        <f>IB31*100/$E$31</f>
        <v/>
      </c>
      <c r="ID31" s="108" t="n"/>
      <c r="IE31" s="122">
        <f>ID31*100/$E$31</f>
        <v/>
      </c>
      <c r="IF31" s="108" t="n"/>
      <c r="IG31" s="122">
        <f>IF31*100/$E$31</f>
        <v/>
      </c>
      <c r="IH31" s="108" t="n"/>
      <c r="II31" s="122">
        <f>IH31*100/$E$31</f>
        <v/>
      </c>
      <c r="IJ31" s="108" t="n"/>
      <c r="IK31" s="122">
        <f>IJ31*100/$E$31</f>
        <v/>
      </c>
      <c r="IL31" s="108" t="n"/>
      <c r="IM31" s="107">
        <f>IL31*100/$E$31</f>
        <v/>
      </c>
      <c r="IN31" s="108" t="n"/>
      <c r="IO31" s="107">
        <f>IN31*100/$E$31</f>
        <v/>
      </c>
      <c r="IP31" s="108" t="n"/>
      <c r="IQ31" s="122">
        <f>IP31*100/$E$31</f>
        <v/>
      </c>
      <c r="IR31" s="108" t="n"/>
      <c r="IS31" s="122">
        <f>IR31*100/$E$31</f>
        <v/>
      </c>
      <c r="IT31" s="108" t="n"/>
      <c r="IU31" s="122">
        <f>IT31*100/$E$31</f>
        <v/>
      </c>
      <c r="IV31" s="108" t="n"/>
      <c r="IW31" s="122">
        <f>IV31*100/$E$31</f>
        <v/>
      </c>
      <c r="IX31" s="108" t="n"/>
      <c r="IY31" s="122">
        <f>IX31*100/$E$31</f>
        <v/>
      </c>
      <c r="IZ31" s="108" t="n"/>
      <c r="JA31" s="122">
        <f>IZ31*100/$E$31</f>
        <v/>
      </c>
      <c r="JB31" s="108" t="n"/>
      <c r="JC31" s="122">
        <f>JB31*100/$E$31</f>
        <v/>
      </c>
      <c r="JD31" s="108" t="n"/>
      <c r="JE31" s="122">
        <f>JD31*100/$E$31</f>
        <v/>
      </c>
      <c r="JF31" s="108" t="n"/>
      <c r="JG31" s="122">
        <f>JF31*100/$E$31</f>
        <v/>
      </c>
      <c r="JH31" s="108" t="n"/>
      <c r="JI31" s="122">
        <f>JH31*100/$E$31</f>
        <v/>
      </c>
      <c r="JJ31" s="108" t="n"/>
      <c r="JK31" s="122">
        <f>JJ31*100/$E$31</f>
        <v/>
      </c>
      <c r="JL31" s="108" t="n"/>
      <c r="JM31" s="122">
        <f>JL31*100/$E$31</f>
        <v/>
      </c>
      <c r="JN31" s="132" t="n"/>
      <c r="JO31" s="121">
        <f>JN31*100/$E$31</f>
        <v/>
      </c>
      <c r="JP31" s="132" t="n"/>
      <c r="JQ31" s="121">
        <f>JP31*100/$E$31</f>
        <v/>
      </c>
      <c r="JR31" s="132" t="n"/>
      <c r="JS31" s="121">
        <f>JR31*100/$E$31</f>
        <v/>
      </c>
      <c r="JT31" s="132" t="n"/>
      <c r="JU31" s="121">
        <f>JT31*100/$E$31</f>
        <v/>
      </c>
      <c r="JV31" s="108" t="n"/>
      <c r="JW31" s="121">
        <f>JV31*100/$E$31</f>
        <v/>
      </c>
      <c r="JX31" s="108" t="n"/>
      <c r="JY31" s="121">
        <f>JX31*100/$E$31</f>
        <v/>
      </c>
      <c r="JZ31" s="55">
        <f>JN31+JP31+JR31+JT31+JV31+JX31</f>
        <v/>
      </c>
      <c r="KA31" s="53">
        <f>JO31+JQ31+JS31+JU31+JW31+JY31</f>
        <v/>
      </c>
      <c r="KB31" s="64">
        <f>H31+J31+L31+N31+P31+R31+T31+V31+X31+Z31+AB31+AD31+AF31+AH31+AJ31+AL31+AN31+AP31+AR31+AT31+AV31+AX31+AZ31+BB31+BD31+BF31+BH31+BJ31+BL31+BN31+BP31+BR31+BT31+BV31+BX31+BZ31+CB31+CD31+CF31+CH31+CZ31+DB31+DD31+DF31+DH31+DJ31+DL31+DN31+DP31+DR31+DT31+DV31+DX31+DZ31+EB31+ED31+EF31+EH31+EJ31+EL31+EN31+EP31+ER31+ET31+EV31+FN31+FP31+FR31+FT31+FV31+FX31+FZ31+GB31+GD31+GF31+GH31+GJ31+GL31+GN31+GP31+GR31+GT31+GV31+GX31+GZ31+HB31+HD31+HF31+HH31+HJ31+HL31+HN31+HP31+HR31+HT31+HV31+HX31+HZ31+IB31+ID31+IF31+IH31+IJ31+IL31+IN31+IP31+IR31+IT31+IV31+IX31+IZ31+JB31+JD31+JF31+JH31+JJ31+JL31+JZ31+CJ31+CL31+CN31+CP31+CR31+CT31+CV31+CX31+EX31+EZ31+FB31+FD31+FF31+FH31+FJ31+FL31</f>
        <v/>
      </c>
      <c r="KC31" s="66">
        <f>I31+K31+M31+O31+Q31+S31+U31+W31+Y31+AA31+AC31+AE31+AG31+AI31+AK31+AM31+AO31+AQ31+AS31+AU31+AW31+AY31+BA31+BC31+BE31+BG31+BI31+BK31+BM31+BO31+BQ31+BS31+BU31+BW31+BY31+CA31+CC31+CE31+CG31+CI31+DA31+DC31+DE31+DG31+DI31+DK31+DM31+DO31+DQ31+DS31+DU31+DW31+DY31+EA31+EC31+EE31+EG31+EI31+EK31+EM31+EO31+EQ31+ES31+EU31+EW31+FO31+FS31+FU31+FW31+FQ31+FY31+GA31+GC31+GE31+GG31+GI31+GK31+GM31+GO31+GQ31+GS31+GU31+GW31+GY31+HA31+HC31+HE31+HG31+HI31+HK31+HM31+HO31+HQ31+HS31+HU31+HW31+HY31+IA31+IC31+IE31+IG31+II31+IK31+IM31+IO31+IQ31+IS31+IU31+IW31+IY31+JA31+JC31+JE31+JG31+JI31+JK31+JM31+KA31+CK31+CM31+CO31+CQ31+CS31+CU31+CW31+CY31+EY31+FA31+FC31+FE31+FG31+FI31+FK31+FM31</f>
        <v/>
      </c>
      <c r="KD31" s="44">
        <f>JO31+JQ31+JS31+JU31+JW31+JY31</f>
        <v/>
      </c>
      <c r="KE31" s="45">
        <f>KB31=E31</f>
        <v/>
      </c>
      <c r="KF31" s="101">
        <f>E31-KB31</f>
        <v/>
      </c>
      <c r="KG31" s="23" t="n"/>
    </row>
    <row r="32" ht="21.75" customFormat="1" customHeight="1" s="21">
      <c r="A32" s="126">
        <f>A31+1</f>
        <v/>
      </c>
      <c r="B32" s="175" t="inlineStr">
        <is>
          <t>Маргиани Г.И.</t>
        </is>
      </c>
      <c r="C32" s="176" t="inlineStr">
        <is>
          <t xml:space="preserve">Оператор СПУ </t>
        </is>
      </c>
      <c r="D32" s="177">
        <f>$D$5</f>
        <v/>
      </c>
      <c r="E32" s="202" t="n"/>
      <c r="F32" s="193" t="n">
        <v>113793.54</v>
      </c>
      <c r="G32" s="52">
        <f>F32/D32</f>
        <v/>
      </c>
      <c r="H32" s="125" t="n"/>
      <c r="I32" s="107">
        <f>H32*100/$E$32</f>
        <v/>
      </c>
      <c r="J32" s="108" t="n"/>
      <c r="K32" s="107">
        <f>J32*100/$E$32</f>
        <v/>
      </c>
      <c r="L32" s="108" t="n"/>
      <c r="M32" s="107">
        <f>L32*100/$E$32</f>
        <v/>
      </c>
      <c r="N32" s="108" t="n"/>
      <c r="O32" s="107">
        <f>N32*100/$E$32</f>
        <v/>
      </c>
      <c r="P32" s="108" t="n"/>
      <c r="Q32" s="122">
        <f>P32*100/$E$32</f>
        <v/>
      </c>
      <c r="R32" s="108" t="n"/>
      <c r="S32" s="122">
        <f>R32*100/$E$32</f>
        <v/>
      </c>
      <c r="T32" s="108" t="n"/>
      <c r="U32" s="107">
        <f>T32*100/$E$32</f>
        <v/>
      </c>
      <c r="V32" s="108" t="n"/>
      <c r="W32" s="107">
        <f>V32*100/$E$32</f>
        <v/>
      </c>
      <c r="X32" s="108" t="n"/>
      <c r="Y32" s="107">
        <f>X32*100/$E$32</f>
        <v/>
      </c>
      <c r="Z32" s="108" t="n"/>
      <c r="AA32" s="107">
        <f>Z32*100/$E$32</f>
        <v/>
      </c>
      <c r="AB32" s="108" t="n"/>
      <c r="AC32" s="107">
        <f>AB32*100/$E$32</f>
        <v/>
      </c>
      <c r="AD32" s="108" t="n"/>
      <c r="AE32" s="122">
        <f>AD32*100/$E$32</f>
        <v/>
      </c>
      <c r="AF32" s="108" t="n"/>
      <c r="AG32" s="122">
        <f>AF32*100/$E$32</f>
        <v/>
      </c>
      <c r="AH32" s="108" t="n"/>
      <c r="AI32" s="107">
        <f>AH32*100/$E$32</f>
        <v/>
      </c>
      <c r="AJ32" s="108" t="n"/>
      <c r="AK32" s="107">
        <f>AJ32*100/$E$32</f>
        <v/>
      </c>
      <c r="AL32" s="108" t="n"/>
      <c r="AM32" s="107">
        <f>AL32*100/$E$32</f>
        <v/>
      </c>
      <c r="AN32" s="108" t="n"/>
      <c r="AO32" s="107">
        <f>AN32*100/$E$32</f>
        <v/>
      </c>
      <c r="AP32" s="108" t="n"/>
      <c r="AQ32" s="107">
        <f>AP32*100/$E$32</f>
        <v/>
      </c>
      <c r="AR32" s="108" t="n"/>
      <c r="AS32" s="107">
        <f>AR32*100/$E$32</f>
        <v/>
      </c>
      <c r="AT32" s="108" t="n"/>
      <c r="AU32" s="90">
        <f>AT32*100/$E$32</f>
        <v/>
      </c>
      <c r="AV32" s="108" t="n"/>
      <c r="AW32" s="107">
        <f>AV32*100/$E$32</f>
        <v/>
      </c>
      <c r="AX32" s="108" t="n"/>
      <c r="AY32" s="107">
        <f>AX32*100/$E$32</f>
        <v/>
      </c>
      <c r="AZ32" s="108" t="n"/>
      <c r="BA32" s="122">
        <f>AZ32*100/$E$32</f>
        <v/>
      </c>
      <c r="BB32" s="108" t="n"/>
      <c r="BC32" s="107">
        <f>BB32*100/$E$32</f>
        <v/>
      </c>
      <c r="BD32" s="108" t="n"/>
      <c r="BE32" s="107">
        <f>BD32*100/$E$32</f>
        <v/>
      </c>
      <c r="BF32" s="108" t="n"/>
      <c r="BG32" s="107">
        <f>BF32*100/$E$32</f>
        <v/>
      </c>
      <c r="BH32" s="108" t="n"/>
      <c r="BI32" s="107">
        <f>BH32*100/$E$32</f>
        <v/>
      </c>
      <c r="BJ32" s="108" t="n"/>
      <c r="BK32" s="107">
        <f>BJ32*100/$E$32</f>
        <v/>
      </c>
      <c r="BL32" s="108" t="n"/>
      <c r="BM32" s="107">
        <f>BL32*100/$E$32</f>
        <v/>
      </c>
      <c r="BN32" s="108" t="n"/>
      <c r="BO32" s="107">
        <f>BN32*100/$E$32</f>
        <v/>
      </c>
      <c r="BP32" s="108" t="n"/>
      <c r="BQ32" s="107">
        <f>BP32*100/$E$32</f>
        <v/>
      </c>
      <c r="BR32" s="108" t="n"/>
      <c r="BS32" s="107">
        <f>BR32*100/$E$32</f>
        <v/>
      </c>
      <c r="BT32" s="108" t="n"/>
      <c r="BU32" s="107">
        <f>BT32*100/$E$32</f>
        <v/>
      </c>
      <c r="BV32" s="108" t="n"/>
      <c r="BW32" s="107">
        <f>BV32*100/$E$32</f>
        <v/>
      </c>
      <c r="BX32" s="108" t="n"/>
      <c r="BY32" s="107">
        <f>BX32*100/$E$32</f>
        <v/>
      </c>
      <c r="BZ32" s="108" t="n"/>
      <c r="CA32" s="107">
        <f>BZ32*100/$E$32</f>
        <v/>
      </c>
      <c r="CB32" s="108" t="n"/>
      <c r="CC32" s="107">
        <f>CB32*100/$E$32</f>
        <v/>
      </c>
      <c r="CD32" s="108" t="n"/>
      <c r="CE32" s="107">
        <f>CD32*100/$E$32</f>
        <v/>
      </c>
      <c r="CF32" s="108" t="n"/>
      <c r="CG32" s="107">
        <f>CF32*100/$E$32</f>
        <v/>
      </c>
      <c r="CH32" s="108" t="n"/>
      <c r="CI32" s="107">
        <f>CH32*100/$E$32</f>
        <v/>
      </c>
      <c r="CJ32" s="108" t="n"/>
      <c r="CK32" s="107">
        <f>CJ32*100/$E$32</f>
        <v/>
      </c>
      <c r="CL32" s="108" t="n"/>
      <c r="CM32" s="107">
        <f>CL32*100/$E$32</f>
        <v/>
      </c>
      <c r="CN32" s="108" t="n"/>
      <c r="CO32" s="122">
        <f>CN32*100/$E$32</f>
        <v/>
      </c>
      <c r="CP32" s="108" t="n"/>
      <c r="CQ32" s="107">
        <f>CP32*100/$E$32</f>
        <v/>
      </c>
      <c r="CR32" s="108" t="n"/>
      <c r="CS32" s="122">
        <f>CR32*100/$E$32</f>
        <v/>
      </c>
      <c r="CT32" s="108" t="n"/>
      <c r="CU32" s="122">
        <f>CT32*100/$E$32</f>
        <v/>
      </c>
      <c r="CV32" s="108" t="n"/>
      <c r="CW32" s="122">
        <f>CV32*100/$E$32</f>
        <v/>
      </c>
      <c r="CX32" s="108" t="n"/>
      <c r="CY32" s="122">
        <f>CX32*100/$E$32</f>
        <v/>
      </c>
      <c r="CZ32" s="108" t="n"/>
      <c r="DA32" s="122">
        <f>CZ32*100/$E$32</f>
        <v/>
      </c>
      <c r="DB32" s="108" t="n"/>
      <c r="DC32" s="122">
        <f>DB32*100/$E$32</f>
        <v/>
      </c>
      <c r="DD32" s="108" t="n"/>
      <c r="DE32" s="122">
        <f>DD32*100/$E$32</f>
        <v/>
      </c>
      <c r="DF32" s="108" t="n"/>
      <c r="DG32" s="122">
        <f>DF32*100/$E$32</f>
        <v/>
      </c>
      <c r="DH32" s="108" t="n"/>
      <c r="DI32" s="122">
        <f>DH32*100/$E$32</f>
        <v/>
      </c>
      <c r="DJ32" s="108" t="n"/>
      <c r="DK32" s="122">
        <f>DJ32*100/$E$32</f>
        <v/>
      </c>
      <c r="DL32" s="108" t="n"/>
      <c r="DM32" s="122">
        <f>DL32*100/$E$32</f>
        <v/>
      </c>
      <c r="DN32" s="108" t="n"/>
      <c r="DO32" s="122">
        <f>DN32*100/$E$32</f>
        <v/>
      </c>
      <c r="DP32" s="108" t="n"/>
      <c r="DQ32" s="122">
        <f>DP32*100/$E$32</f>
        <v/>
      </c>
      <c r="DR32" s="108" t="n"/>
      <c r="DS32" s="107">
        <f>DR32*100/$E$32</f>
        <v/>
      </c>
      <c r="DT32" s="108" t="n"/>
      <c r="DU32" s="122">
        <f>DT32*100/$E$32</f>
        <v/>
      </c>
      <c r="DV32" s="108" t="n"/>
      <c r="DW32" s="122">
        <f>DV32*100/$E$32</f>
        <v/>
      </c>
      <c r="DX32" s="108" t="n"/>
      <c r="DY32" s="122">
        <f>DX32*100/$E$32</f>
        <v/>
      </c>
      <c r="DZ32" s="108" t="n"/>
      <c r="EA32" s="122">
        <f>DZ32*100/$E$32</f>
        <v/>
      </c>
      <c r="EB32" s="108" t="n"/>
      <c r="EC32" s="122">
        <f>EB32*100/$E$32</f>
        <v/>
      </c>
      <c r="ED32" s="108" t="n"/>
      <c r="EE32" s="122">
        <f>ED32*100/$E$32</f>
        <v/>
      </c>
      <c r="EF32" s="108" t="n"/>
      <c r="EG32" s="122">
        <f>EF32*100/$E$32</f>
        <v/>
      </c>
      <c r="EH32" s="108" t="n"/>
      <c r="EI32" s="122">
        <f>EH32*100/$E$32</f>
        <v/>
      </c>
      <c r="EJ32" s="108" t="n"/>
      <c r="EK32" s="122">
        <f>EJ32*100/$E$32</f>
        <v/>
      </c>
      <c r="EL32" s="108" t="n"/>
      <c r="EM32" s="122">
        <f>EL32*100/$E$32</f>
        <v/>
      </c>
      <c r="EN32" s="108" t="n"/>
      <c r="EO32" s="122">
        <f>EN32*100/$E$32</f>
        <v/>
      </c>
      <c r="EP32" s="108" t="n"/>
      <c r="EQ32" s="122">
        <f>EP32*100/$E$32</f>
        <v/>
      </c>
      <c r="ER32" s="108" t="n"/>
      <c r="ES32" s="107">
        <f>ER32*100/$E$32</f>
        <v/>
      </c>
      <c r="ET32" s="108" t="n"/>
      <c r="EU32" s="107">
        <f>ET32*100/$E$32</f>
        <v/>
      </c>
      <c r="EV32" s="108" t="n"/>
      <c r="EW32" s="122">
        <f>EV32*100/$E$32</f>
        <v/>
      </c>
      <c r="EX32" s="108" t="n"/>
      <c r="EY32" s="122">
        <f>EX32*100/$E$32</f>
        <v/>
      </c>
      <c r="EZ32" s="108" t="n"/>
      <c r="FA32" s="122">
        <f>EZ32*100/$E$32</f>
        <v/>
      </c>
      <c r="FB32" s="108" t="n"/>
      <c r="FC32" s="122">
        <f>FB32*100/$E$32</f>
        <v/>
      </c>
      <c r="FD32" s="108" t="n"/>
      <c r="FE32" s="122">
        <f>FD32*100/$E$32</f>
        <v/>
      </c>
      <c r="FF32" s="108" t="n"/>
      <c r="FG32" s="122">
        <f>FF32*100/$E$32</f>
        <v/>
      </c>
      <c r="FH32" s="108" t="n"/>
      <c r="FI32" s="122">
        <f>FH32*100/$E$32</f>
        <v/>
      </c>
      <c r="FJ32" s="108" t="n"/>
      <c r="FK32" s="122">
        <f>FJ32*100/$E$32</f>
        <v/>
      </c>
      <c r="FL32" s="108" t="n"/>
      <c r="FM32" s="122">
        <f>FL32*100/$E$32</f>
        <v/>
      </c>
      <c r="FN32" s="108" t="n"/>
      <c r="FO32" s="122">
        <f>FN32*100/$E$32</f>
        <v/>
      </c>
      <c r="FP32" s="108" t="n"/>
      <c r="FQ32" s="122">
        <f>FP32*100/$E$32</f>
        <v/>
      </c>
      <c r="FR32" s="108" t="n"/>
      <c r="FS32" s="122">
        <f>FR32*100/$E$32</f>
        <v/>
      </c>
      <c r="FT32" s="108" t="n"/>
      <c r="FU32" s="122">
        <f>FT32*100/$E$32</f>
        <v/>
      </c>
      <c r="FV32" s="108" t="n"/>
      <c r="FW32" s="122">
        <f>FV32*100/$E$32</f>
        <v/>
      </c>
      <c r="FX32" s="108" t="n"/>
      <c r="FY32" s="122">
        <f>FX32*100/$E$32</f>
        <v/>
      </c>
      <c r="FZ32" s="108" t="n"/>
      <c r="GA32" s="122">
        <f>FZ32*100/$E$32</f>
        <v/>
      </c>
      <c r="GB32" s="108" t="n"/>
      <c r="GC32" s="107">
        <f>GB32*100/$E$32</f>
        <v/>
      </c>
      <c r="GD32" s="108" t="n"/>
      <c r="GE32" s="107">
        <f>GD32*100/$E$32</f>
        <v/>
      </c>
      <c r="GF32" s="108" t="n"/>
      <c r="GG32" s="107">
        <f>GF32*100/$E$32</f>
        <v/>
      </c>
      <c r="GH32" s="108" t="n"/>
      <c r="GI32" s="107">
        <f>GH32*100/$E$32</f>
        <v/>
      </c>
      <c r="GJ32" s="108" t="n"/>
      <c r="GK32" s="122">
        <f>GJ32*100/$E$32</f>
        <v/>
      </c>
      <c r="GL32" s="108" t="n"/>
      <c r="GM32" s="107">
        <f>GL32*100/$E$32</f>
        <v/>
      </c>
      <c r="GN32" s="108" t="n"/>
      <c r="GO32" s="122">
        <f>GN32*100/$E$32</f>
        <v/>
      </c>
      <c r="GP32" s="125" t="n"/>
      <c r="GQ32" s="122">
        <f>GP32*100/$E$32</f>
        <v/>
      </c>
      <c r="GR32" s="108" t="n"/>
      <c r="GS32" s="122">
        <f>GR32*100/$E$32</f>
        <v/>
      </c>
      <c r="GT32" s="108" t="n"/>
      <c r="GU32" s="122">
        <f>GT32*100/$E$32</f>
        <v/>
      </c>
      <c r="GV32" s="108" t="n"/>
      <c r="GW32" s="107">
        <f>GV32*100/$E$32</f>
        <v/>
      </c>
      <c r="GX32" s="108" t="n"/>
      <c r="GY32" s="107">
        <f>GX32*100/$E$32</f>
        <v/>
      </c>
      <c r="GZ32" s="108" t="n"/>
      <c r="HA32" s="122">
        <f>GZ32*100/$E$32</f>
        <v/>
      </c>
      <c r="HB32" s="108" t="n"/>
      <c r="HC32" s="122">
        <f>HB32*100/$E$32</f>
        <v/>
      </c>
      <c r="HD32" s="108" t="n"/>
      <c r="HE32" s="122">
        <f>HD32*100/$E$32</f>
        <v/>
      </c>
      <c r="HF32" s="108" t="n"/>
      <c r="HG32" s="122">
        <f>HF32*100/$E$32</f>
        <v/>
      </c>
      <c r="HH32" s="108" t="n"/>
      <c r="HI32" s="122">
        <f>HH32*100/$E$32</f>
        <v/>
      </c>
      <c r="HJ32" s="108" t="n"/>
      <c r="HK32" s="122">
        <f>HJ32*100/$E$32</f>
        <v/>
      </c>
      <c r="HL32" s="108" t="n"/>
      <c r="HM32" s="107">
        <f>HL32*100/$E$32</f>
        <v/>
      </c>
      <c r="HN32" s="108" t="n"/>
      <c r="HO32" s="107">
        <f>HN32*100/$E$32</f>
        <v/>
      </c>
      <c r="HP32" s="108" t="n"/>
      <c r="HQ32" s="107">
        <f>HP32*100/$E$32</f>
        <v/>
      </c>
      <c r="HR32" s="108" t="n"/>
      <c r="HS32" s="107">
        <f>HR32*100/$E$32</f>
        <v/>
      </c>
      <c r="HT32" s="108" t="n"/>
      <c r="HU32" s="107">
        <f>HT32*100/$E$32</f>
        <v/>
      </c>
      <c r="HV32" s="108" t="n"/>
      <c r="HW32" s="107">
        <f>HV32*100/$E$32</f>
        <v/>
      </c>
      <c r="HX32" s="108" t="n"/>
      <c r="HY32" s="122">
        <f>HX32*100/$E$32</f>
        <v/>
      </c>
      <c r="HZ32" s="108" t="n"/>
      <c r="IA32" s="122">
        <f>HZ32*100/$E$32</f>
        <v/>
      </c>
      <c r="IB32" s="108" t="n"/>
      <c r="IC32" s="122">
        <f>IB32*100/$E$32</f>
        <v/>
      </c>
      <c r="ID32" s="108" t="n"/>
      <c r="IE32" s="122">
        <f>ID32*100/$E$32</f>
        <v/>
      </c>
      <c r="IF32" s="108" t="n"/>
      <c r="IG32" s="122">
        <f>IF32*100/$E$32</f>
        <v/>
      </c>
      <c r="IH32" s="108" t="n"/>
      <c r="II32" s="122">
        <f>IH32*100/$E$32</f>
        <v/>
      </c>
      <c r="IJ32" s="108" t="n"/>
      <c r="IK32" s="122">
        <f>IJ32*100/$E$32</f>
        <v/>
      </c>
      <c r="IL32" s="108" t="n"/>
      <c r="IM32" s="122">
        <f>IL32*100/$E$32</f>
        <v/>
      </c>
      <c r="IN32" s="108" t="n"/>
      <c r="IO32" s="122">
        <f>IN32*100/$E$32</f>
        <v/>
      </c>
      <c r="IP32" s="108" t="n"/>
      <c r="IQ32" s="122">
        <f>IP32*100/$E$32</f>
        <v/>
      </c>
      <c r="IR32" s="108" t="n"/>
      <c r="IS32" s="122">
        <f>IR32*100/$E$32</f>
        <v/>
      </c>
      <c r="IT32" s="108" t="n"/>
      <c r="IU32" s="122">
        <f>IT32*100/$E$32</f>
        <v/>
      </c>
      <c r="IV32" s="108" t="n"/>
      <c r="IW32" s="122">
        <f>IV32*100/$E$32</f>
        <v/>
      </c>
      <c r="IX32" s="108" t="n"/>
      <c r="IY32" s="122">
        <f>IX32*100/$E$32</f>
        <v/>
      </c>
      <c r="IZ32" s="108" t="n"/>
      <c r="JA32" s="122">
        <f>IZ32*100/$E$32</f>
        <v/>
      </c>
      <c r="JB32" s="108" t="n"/>
      <c r="JC32" s="122">
        <f>JB32*100/$E$32</f>
        <v/>
      </c>
      <c r="JD32" s="108" t="n"/>
      <c r="JE32" s="122">
        <f>JD32*100/$E$32</f>
        <v/>
      </c>
      <c r="JF32" s="108" t="n"/>
      <c r="JG32" s="107">
        <f>JF32*100/$E$32</f>
        <v/>
      </c>
      <c r="JH32" s="108" t="n"/>
      <c r="JI32" s="122">
        <f>JH32*100/$E$32</f>
        <v/>
      </c>
      <c r="JJ32" s="125" t="n"/>
      <c r="JK32" s="122">
        <f>JJ32*100/$E$32</f>
        <v/>
      </c>
      <c r="JL32" s="108" t="n"/>
      <c r="JM32" s="122">
        <f>JL32*100/$E$32</f>
        <v/>
      </c>
      <c r="JN32" s="108" t="n"/>
      <c r="JO32" s="107">
        <f>JN32*100/$E$32</f>
        <v/>
      </c>
      <c r="JP32" s="108" t="n"/>
      <c r="JQ32" s="107">
        <f>JP32*100/$E$32</f>
        <v/>
      </c>
      <c r="JR32" s="108" t="n"/>
      <c r="JS32" s="107">
        <f>JR32*100/$E$32</f>
        <v/>
      </c>
      <c r="JT32" s="108" t="n"/>
      <c r="JU32" s="122">
        <f>JT32*100/$E$32</f>
        <v/>
      </c>
      <c r="JV32" s="108" t="n"/>
      <c r="JW32" s="122">
        <f>JV32*100/$E$32</f>
        <v/>
      </c>
      <c r="JX32" s="108" t="n"/>
      <c r="JY32" s="122">
        <f>JX32*100/$E$32</f>
        <v/>
      </c>
      <c r="JZ32" s="55">
        <f>JN32+JP32+JR32+JT32+JV32+JX32</f>
        <v/>
      </c>
      <c r="KA32" s="53">
        <f>JO32+JQ32+JS32+JU32+JW32+JY32</f>
        <v/>
      </c>
      <c r="KB32" s="64">
        <f>H32+J32+L32+N32+P32+R32+T32+V32+X32+Z32+AB32+AD32+AF32+AH32+AJ32+AL32+AN32+AP32+AR32+AT32+AV32+AX32+AZ32+BB32+BD32+BF32+BH32+BJ32+BL32+BN32+BP32+BR32+BT32+BV32+BX32+BZ32+CB32+CD32+CF32+CH32+CZ32+DB32+DD32+DF32+DH32+DJ32+DL32+DN32+DP32+DR32+DT32+DV32+DX32+DZ32+EB32+ED32+EF32+EH32+EJ32+EL32+EN32+EP32+ER32+ET32+EV32+FN32+FP32+FR32+FT32+FV32+FX32+FZ32+GB32+GD32+GF32+GH32+GJ32+GL32+GN32+GP32+GR32+GT32+GV32+GX32+GZ32+HB32+HD32+HF32+HH32+HJ32+HL32+HN32+HP32+HR32+HT32+HV32+HX32+HZ32+IB32+ID32+IF32+IH32+IJ32+IL32+IN32+IP32+IR32+IT32+IV32+IX32+IZ32+JB32+JD32+JF32+JH32+JJ32+JL32+JZ32+CJ32+CL32+CN32+CP32+CR32+CT32+CV32+CX32+EX32+EZ32+FB32+FD32+FF32+FH32+FJ32+FL32</f>
        <v/>
      </c>
      <c r="KC32" s="66">
        <f>I32+K32+M32+O32+Q32+S32+U32+W32+Y32+AA32+AC32+AE32+AG32+AI32+AK32+AM32+AO32+AQ32+AS32+AU32+AW32+AY32+BA32+BC32+BE32+BG32+BI32+BK32+BM32+BO32+BQ32+BS32+BU32+BW32+BY32+CA32+CC32+CE32+CG32+CI32+DA32+DC32+DE32+DG32+DI32+DK32+DM32+DO32+DQ32+DS32+DU32+DW32+DY32+EA32+EC32+EE32+EG32+EI32+EK32+EM32+EO32+EQ32+ES32+EU32+EW32+FO32+FS32+FU32+FW32+FQ32+FY32+GA32+GC32+GE32+GG32+GI32+GK32+GM32+GO32+GQ32+GS32+GU32+GW32+GY32+HA32+HC32+HE32+HG32+HI32+HK32+HM32+HO32+HQ32+HS32+HU32+HW32+HY32+IA32+IC32+IE32+IG32+II32+IK32+IM32+IO32+IQ32+IS32+IU32+IW32+IY32+JA32+JC32+JE32+JG32+JI32+JK32+JM32+KA32+CK32+CM32+CO32+CQ32+CS32+CU32+CW32+CY32+EY32+FA32+FC32+FE32+FG32+FI32+FK32+FM32</f>
        <v/>
      </c>
      <c r="KD32" s="44">
        <f>JO32+JQ32+JS32+JU32+JW32+JY32</f>
        <v/>
      </c>
      <c r="KE32" s="45">
        <f>KB32=E32</f>
        <v/>
      </c>
      <c r="KF32" s="101">
        <f>E32-KB32</f>
        <v/>
      </c>
      <c r="KG32" s="23" t="n"/>
    </row>
    <row r="33" ht="21.75" customFormat="1" customHeight="1" s="23">
      <c r="A33" s="126">
        <f>A32+1</f>
        <v/>
      </c>
      <c r="B33" s="175" t="inlineStr">
        <is>
          <t>Михеев В.О.</t>
        </is>
      </c>
      <c r="C33" s="194" t="inlineStr">
        <is>
          <t>электрогазосварщик</t>
        </is>
      </c>
      <c r="D33" s="177">
        <f>$D$5</f>
        <v/>
      </c>
      <c r="E33" s="202" t="n"/>
      <c r="F33" s="193" t="n">
        <v>55633.55</v>
      </c>
      <c r="G33" s="52">
        <f>F33/D33</f>
        <v/>
      </c>
      <c r="H33" s="125" t="n"/>
      <c r="I33" s="107">
        <f>H33*100/$E$33</f>
        <v/>
      </c>
      <c r="J33" s="108" t="n"/>
      <c r="K33" s="107">
        <f>J33*100/$E$33</f>
        <v/>
      </c>
      <c r="L33" s="108" t="n"/>
      <c r="M33" s="107">
        <f>L33*100/$E$33</f>
        <v/>
      </c>
      <c r="N33" s="108" t="n"/>
      <c r="O33" s="107">
        <f>N33*100/$E$33</f>
        <v/>
      </c>
      <c r="P33" s="108" t="n"/>
      <c r="Q33" s="122">
        <f>P33*100/$E$33</f>
        <v/>
      </c>
      <c r="R33" s="108" t="n"/>
      <c r="S33" s="122">
        <f>R33*100/$E$33</f>
        <v/>
      </c>
      <c r="T33" s="108" t="n"/>
      <c r="U33" s="107">
        <f>T33*100/$E$33</f>
        <v/>
      </c>
      <c r="V33" s="108" t="n"/>
      <c r="W33" s="107">
        <f>V33*100/$E$33</f>
        <v/>
      </c>
      <c r="X33" s="108" t="n"/>
      <c r="Y33" s="107">
        <f>X33*100/$E$33</f>
        <v/>
      </c>
      <c r="Z33" s="108" t="n"/>
      <c r="AA33" s="107">
        <f>Z33*100/$E$33</f>
        <v/>
      </c>
      <c r="AB33" s="108" t="n"/>
      <c r="AC33" s="107">
        <f>AB33*100/$E$33</f>
        <v/>
      </c>
      <c r="AD33" s="108" t="n"/>
      <c r="AE33" s="122">
        <f>AD33*100/$E$33</f>
        <v/>
      </c>
      <c r="AF33" s="108" t="n"/>
      <c r="AG33" s="122">
        <f>AF33*100/$E$33</f>
        <v/>
      </c>
      <c r="AH33" s="108" t="n"/>
      <c r="AI33" s="107">
        <f>AH33*100/$E$33</f>
        <v/>
      </c>
      <c r="AJ33" s="108" t="n"/>
      <c r="AK33" s="107">
        <f>AJ33*100/$E$33</f>
        <v/>
      </c>
      <c r="AL33" s="108" t="n"/>
      <c r="AM33" s="107">
        <f>AL33*100/$E$33</f>
        <v/>
      </c>
      <c r="AN33" s="108" t="n"/>
      <c r="AO33" s="107">
        <f>AN33*100/$E$33</f>
        <v/>
      </c>
      <c r="AP33" s="108" t="n"/>
      <c r="AQ33" s="107">
        <f>AP33*100/$E$33</f>
        <v/>
      </c>
      <c r="AR33" s="108" t="n"/>
      <c r="AS33" s="107">
        <f>AR33*100/$E$33</f>
        <v/>
      </c>
      <c r="AT33" s="108" t="n"/>
      <c r="AU33" s="90">
        <f>AT33*100/$E$33</f>
        <v/>
      </c>
      <c r="AV33" s="108" t="n"/>
      <c r="AW33" s="107">
        <f>AV33*100/$E$33</f>
        <v/>
      </c>
      <c r="AX33" s="108" t="n"/>
      <c r="AY33" s="107">
        <f>AX33*100/$E$33</f>
        <v/>
      </c>
      <c r="AZ33" s="108" t="n"/>
      <c r="BA33" s="107">
        <f>AZ33*100/$E$33</f>
        <v/>
      </c>
      <c r="BB33" s="108" t="n"/>
      <c r="BC33" s="107">
        <f>BB33*100/$E$33</f>
        <v/>
      </c>
      <c r="BD33" s="108" t="n"/>
      <c r="BE33" s="107">
        <f>BD33*100/$E$33</f>
        <v/>
      </c>
      <c r="BF33" s="108" t="n"/>
      <c r="BG33" s="107">
        <f>BF33*100/$E$33</f>
        <v/>
      </c>
      <c r="BH33" s="108" t="n"/>
      <c r="BI33" s="107">
        <f>BH33*100/$E$33</f>
        <v/>
      </c>
      <c r="BJ33" s="108" t="n"/>
      <c r="BK33" s="107">
        <f>BJ33*100/$E$33</f>
        <v/>
      </c>
      <c r="BL33" s="108" t="n"/>
      <c r="BM33" s="107">
        <f>BL33*100/$E$33</f>
        <v/>
      </c>
      <c r="BN33" s="108" t="n"/>
      <c r="BO33" s="107">
        <f>BN33*100/$E$33</f>
        <v/>
      </c>
      <c r="BP33" s="108" t="n"/>
      <c r="BQ33" s="107">
        <f>BP33*100/$E$33</f>
        <v/>
      </c>
      <c r="BR33" s="108" t="n"/>
      <c r="BS33" s="107">
        <f>BR33*100/$E$33</f>
        <v/>
      </c>
      <c r="BT33" s="108" t="n"/>
      <c r="BU33" s="107">
        <f>BT33*100/$E$33</f>
        <v/>
      </c>
      <c r="BV33" s="108" t="n"/>
      <c r="BW33" s="107">
        <f>BV33*100/$E$33</f>
        <v/>
      </c>
      <c r="BX33" s="108" t="n"/>
      <c r="BY33" s="107">
        <f>BX33*100/$E$33</f>
        <v/>
      </c>
      <c r="BZ33" s="108" t="n"/>
      <c r="CA33" s="107">
        <f>BZ33*100/$E$33</f>
        <v/>
      </c>
      <c r="CB33" s="108" t="n"/>
      <c r="CC33" s="107">
        <f>CB33*100/$E$33</f>
        <v/>
      </c>
      <c r="CD33" s="108" t="n"/>
      <c r="CE33" s="107">
        <f>CD33*100/$E$33</f>
        <v/>
      </c>
      <c r="CF33" s="108" t="n"/>
      <c r="CG33" s="107">
        <f>CF33*100/$E$33</f>
        <v/>
      </c>
      <c r="CH33" s="108" t="n"/>
      <c r="CI33" s="107">
        <f>CH33*100/$E$33</f>
        <v/>
      </c>
      <c r="CJ33" s="108" t="n"/>
      <c r="CK33" s="107">
        <f>CJ33*100/$E$33</f>
        <v/>
      </c>
      <c r="CL33" s="108" t="n"/>
      <c r="CM33" s="107">
        <f>CL33*100/$E$33</f>
        <v/>
      </c>
      <c r="CN33" s="108" t="n"/>
      <c r="CO33" s="122">
        <f>CN33*100/$E$33</f>
        <v/>
      </c>
      <c r="CP33" s="108" t="n"/>
      <c r="CQ33" s="107">
        <f>CP33*100/$E$33</f>
        <v/>
      </c>
      <c r="CR33" s="108" t="n"/>
      <c r="CS33" s="122">
        <f>CR33*100/$E$33</f>
        <v/>
      </c>
      <c r="CT33" s="108" t="n"/>
      <c r="CU33" s="122">
        <f>CT33*100/$E$33</f>
        <v/>
      </c>
      <c r="CV33" s="108" t="n"/>
      <c r="CW33" s="122">
        <f>CV33*100/$E$33</f>
        <v/>
      </c>
      <c r="CX33" s="108" t="n"/>
      <c r="CY33" s="122">
        <f>CX33*100/$E$33</f>
        <v/>
      </c>
      <c r="CZ33" s="108" t="n"/>
      <c r="DA33" s="122">
        <f>CZ33*100/$E$33</f>
        <v/>
      </c>
      <c r="DB33" s="108" t="n"/>
      <c r="DC33" s="122">
        <f>DB33*100/$E$33</f>
        <v/>
      </c>
      <c r="DD33" s="108" t="n"/>
      <c r="DE33" s="122">
        <f>DD33*100/$E$33</f>
        <v/>
      </c>
      <c r="DF33" s="108" t="n"/>
      <c r="DG33" s="122">
        <f>DF33*100/$E$33</f>
        <v/>
      </c>
      <c r="DH33" s="108" t="n"/>
      <c r="DI33" s="122">
        <f>DH33*100/$E$33</f>
        <v/>
      </c>
      <c r="DJ33" s="108" t="n"/>
      <c r="DK33" s="122">
        <f>DJ33*100/$E$33</f>
        <v/>
      </c>
      <c r="DL33" s="108" t="n"/>
      <c r="DM33" s="122">
        <f>DL33*100/$E$33</f>
        <v/>
      </c>
      <c r="DN33" s="108" t="n"/>
      <c r="DO33" s="122">
        <f>DN33*100/$E$33</f>
        <v/>
      </c>
      <c r="DP33" s="108" t="n"/>
      <c r="DQ33" s="122">
        <f>DP33*100/$E$33</f>
        <v/>
      </c>
      <c r="DR33" s="108" t="n"/>
      <c r="DS33" s="122">
        <f>DR33*100/$E$33</f>
        <v/>
      </c>
      <c r="DT33" s="108" t="n"/>
      <c r="DU33" s="122">
        <f>DT33*100/$E$33</f>
        <v/>
      </c>
      <c r="DV33" s="108" t="n"/>
      <c r="DW33" s="122">
        <f>DV33*100/$E$33</f>
        <v/>
      </c>
      <c r="DX33" s="108" t="n"/>
      <c r="DY33" s="122">
        <f>DX33*100/$E$33</f>
        <v/>
      </c>
      <c r="DZ33" s="108" t="n"/>
      <c r="EA33" s="122">
        <f>DZ33*100/$E$33</f>
        <v/>
      </c>
      <c r="EB33" s="108" t="n"/>
      <c r="EC33" s="122">
        <f>EB33*100/$E$33</f>
        <v/>
      </c>
      <c r="ED33" s="108" t="n"/>
      <c r="EE33" s="122">
        <f>ED33*100/$E$33</f>
        <v/>
      </c>
      <c r="EF33" s="108" t="n"/>
      <c r="EG33" s="122">
        <f>EF33*100/$E$33</f>
        <v/>
      </c>
      <c r="EH33" s="108" t="n"/>
      <c r="EI33" s="122">
        <f>EH33*100/$E$33</f>
        <v/>
      </c>
      <c r="EJ33" s="108" t="n"/>
      <c r="EK33" s="122">
        <f>EJ33*100/$E$33</f>
        <v/>
      </c>
      <c r="EL33" s="108" t="n"/>
      <c r="EM33" s="122">
        <f>EL33*100/$E$33</f>
        <v/>
      </c>
      <c r="EN33" s="108" t="n"/>
      <c r="EO33" s="122">
        <f>EN33*100/$E$33</f>
        <v/>
      </c>
      <c r="EP33" s="108" t="n"/>
      <c r="EQ33" s="122">
        <f>EP33*100/$E$33</f>
        <v/>
      </c>
      <c r="ER33" s="108" t="n"/>
      <c r="ES33" s="122">
        <f>ER33*100/$E$33</f>
        <v/>
      </c>
      <c r="ET33" s="108" t="n"/>
      <c r="EU33" s="122">
        <f>ET33*100/$E$33</f>
        <v/>
      </c>
      <c r="EV33" s="108" t="n"/>
      <c r="EW33" s="122">
        <f>EV33*100/$E$33</f>
        <v/>
      </c>
      <c r="EX33" s="108" t="n"/>
      <c r="EY33" s="122">
        <f>EX33*100/$E$33</f>
        <v/>
      </c>
      <c r="EZ33" s="108" t="n"/>
      <c r="FA33" s="122">
        <f>EZ33*100/$E$33</f>
        <v/>
      </c>
      <c r="FB33" s="108" t="n"/>
      <c r="FC33" s="122">
        <f>FB33*100/$E$33</f>
        <v/>
      </c>
      <c r="FD33" s="108" t="n"/>
      <c r="FE33" s="122">
        <f>FD33*100/$E$33</f>
        <v/>
      </c>
      <c r="FF33" s="108" t="n"/>
      <c r="FG33" s="122">
        <f>FF33*100/$E$33</f>
        <v/>
      </c>
      <c r="FH33" s="108" t="n"/>
      <c r="FI33" s="122">
        <f>FH33*100/$E$33</f>
        <v/>
      </c>
      <c r="FJ33" s="108" t="n"/>
      <c r="FK33" s="122">
        <f>FJ33*100/$E$33</f>
        <v/>
      </c>
      <c r="FL33" s="108" t="n"/>
      <c r="FM33" s="122">
        <f>FL33*100/$E$33</f>
        <v/>
      </c>
      <c r="FN33" s="108" t="n"/>
      <c r="FO33" s="122">
        <f>FN33*100/$E$33</f>
        <v/>
      </c>
      <c r="FP33" s="108" t="n"/>
      <c r="FQ33" s="122">
        <f>FP33*100/$E$33</f>
        <v/>
      </c>
      <c r="FR33" s="108" t="n"/>
      <c r="FS33" s="122">
        <f>FR33*100/$E$33</f>
        <v/>
      </c>
      <c r="FT33" s="108" t="n"/>
      <c r="FU33" s="122">
        <f>FT33*100/$E$33</f>
        <v/>
      </c>
      <c r="FV33" s="108" t="n"/>
      <c r="FW33" s="122">
        <f>FV33*100/$E$33</f>
        <v/>
      </c>
      <c r="FX33" s="108" t="n"/>
      <c r="FY33" s="107">
        <f>FX33*100/$E$33</f>
        <v/>
      </c>
      <c r="FZ33" s="108" t="n"/>
      <c r="GA33" s="107">
        <f>FZ33*100/$E$33</f>
        <v/>
      </c>
      <c r="GB33" s="108" t="n"/>
      <c r="GC33" s="107">
        <f>GB33*100/$E$33</f>
        <v/>
      </c>
      <c r="GD33" s="108" t="n"/>
      <c r="GE33" s="107">
        <f>GD33*100/$E$33</f>
        <v/>
      </c>
      <c r="GF33" s="108" t="n"/>
      <c r="GG33" s="107">
        <f>GF33*100/$E$33</f>
        <v/>
      </c>
      <c r="GH33" s="108" t="n"/>
      <c r="GI33" s="107">
        <f>GH33*100/$E$33</f>
        <v/>
      </c>
      <c r="GJ33" s="108" t="n"/>
      <c r="GK33" s="122">
        <f>GJ33*100/$E$33</f>
        <v/>
      </c>
      <c r="GL33" s="108" t="n"/>
      <c r="GM33" s="107">
        <f>GL33*100/$E$33</f>
        <v/>
      </c>
      <c r="GN33" s="108" t="n"/>
      <c r="GO33" s="122">
        <f>GN33*100/$E$33</f>
        <v/>
      </c>
      <c r="GP33" s="108" t="n"/>
      <c r="GQ33" s="107">
        <f>GP33*100/$E$33</f>
        <v/>
      </c>
      <c r="GR33" s="108" t="n"/>
      <c r="GS33" s="122">
        <f>GR33*100/$E$33</f>
        <v/>
      </c>
      <c r="GT33" s="108" t="n"/>
      <c r="GU33" s="122">
        <f>GT33*100/$E$33</f>
        <v/>
      </c>
      <c r="GV33" s="108" t="n"/>
      <c r="GW33" s="122">
        <f>GV33*100/$E$33</f>
        <v/>
      </c>
      <c r="GX33" s="108" t="n"/>
      <c r="GY33" s="107">
        <f>GX33*100/$E$33</f>
        <v/>
      </c>
      <c r="GZ33" s="108" t="n"/>
      <c r="HA33" s="107">
        <f>GZ33*100/$E$33</f>
        <v/>
      </c>
      <c r="HB33" s="108" t="n"/>
      <c r="HC33" s="107">
        <f>HB33*100/$E$33</f>
        <v/>
      </c>
      <c r="HD33" s="108" t="n"/>
      <c r="HE33" s="107">
        <f>HD33*100/$E$33</f>
        <v/>
      </c>
      <c r="HF33" s="108" t="n"/>
      <c r="HG33" s="107">
        <f>HF33*100/$E$33</f>
        <v/>
      </c>
      <c r="HH33" s="108" t="n"/>
      <c r="HI33" s="107">
        <f>HH33*100/$E$33</f>
        <v/>
      </c>
      <c r="HJ33" s="108" t="n"/>
      <c r="HK33" s="107">
        <f>HJ33*100/$E$33</f>
        <v/>
      </c>
      <c r="HL33" s="108" t="n"/>
      <c r="HM33" s="107">
        <f>HL33*100/$E$33</f>
        <v/>
      </c>
      <c r="HN33" s="108" t="n"/>
      <c r="HO33" s="107">
        <f>HN33*100/$E$33</f>
        <v/>
      </c>
      <c r="HP33" s="108" t="n"/>
      <c r="HQ33" s="107">
        <f>HP33*100/$E$33</f>
        <v/>
      </c>
      <c r="HR33" s="108" t="n"/>
      <c r="HS33" s="107">
        <f>HR33*100/$E$33</f>
        <v/>
      </c>
      <c r="HT33" s="108" t="n"/>
      <c r="HU33" s="107">
        <f>HT33*100/$E$33</f>
        <v/>
      </c>
      <c r="HV33" s="108" t="n"/>
      <c r="HW33" s="107">
        <f>HV33*100/$E$33</f>
        <v/>
      </c>
      <c r="HX33" s="108" t="n"/>
      <c r="HY33" s="107">
        <f>HX33*100/$E$33</f>
        <v/>
      </c>
      <c r="HZ33" s="108" t="n"/>
      <c r="IA33" s="122">
        <f>HZ33*100/$E$33</f>
        <v/>
      </c>
      <c r="IB33" s="108" t="n"/>
      <c r="IC33" s="122">
        <f>IB33*100/$E$33</f>
        <v/>
      </c>
      <c r="ID33" s="108" t="n"/>
      <c r="IE33" s="122">
        <f>ID33*100/$E$33</f>
        <v/>
      </c>
      <c r="IF33" s="108" t="n"/>
      <c r="IG33" s="122">
        <f>IF33*100/$E$33</f>
        <v/>
      </c>
      <c r="IH33" s="108" t="n"/>
      <c r="II33" s="122">
        <f>IH33*100/$E$33</f>
        <v/>
      </c>
      <c r="IJ33" s="108" t="n"/>
      <c r="IK33" s="122">
        <f>IJ33*100/$E$33</f>
        <v/>
      </c>
      <c r="IL33" s="108" t="n"/>
      <c r="IM33" s="107">
        <f>IL33*100/$E$33</f>
        <v/>
      </c>
      <c r="IN33" s="108" t="n"/>
      <c r="IO33" s="107">
        <f>IN33*100/$E$33</f>
        <v/>
      </c>
      <c r="IP33" s="108" t="n"/>
      <c r="IQ33" s="122">
        <f>IP33*100/$E$33</f>
        <v/>
      </c>
      <c r="IR33" s="108" t="n"/>
      <c r="IS33" s="122">
        <f>IR33*100/$E$33</f>
        <v/>
      </c>
      <c r="IT33" s="108" t="n"/>
      <c r="IU33" s="122">
        <f>IT33*100/$E$33</f>
        <v/>
      </c>
      <c r="IV33" s="108" t="n"/>
      <c r="IW33" s="122">
        <f>IV33*100/$E$33</f>
        <v/>
      </c>
      <c r="IX33" s="108" t="n"/>
      <c r="IY33" s="122">
        <f>IX33*100/$E$33</f>
        <v/>
      </c>
      <c r="IZ33" s="108" t="n"/>
      <c r="JA33" s="122">
        <f>IZ33*100/$E$33</f>
        <v/>
      </c>
      <c r="JB33" s="108" t="n"/>
      <c r="JC33" s="122">
        <f>JB33*100/$E$33</f>
        <v/>
      </c>
      <c r="JD33" s="108" t="n"/>
      <c r="JE33" s="122">
        <f>JD33*100/$E$33</f>
        <v/>
      </c>
      <c r="JF33" s="108" t="n"/>
      <c r="JG33" s="122">
        <f>JF33*100/$E$33</f>
        <v/>
      </c>
      <c r="JH33" s="108" t="n"/>
      <c r="JI33" s="122">
        <f>JH33*100/$E$33</f>
        <v/>
      </c>
      <c r="JJ33" s="108" t="n"/>
      <c r="JK33" s="122">
        <f>JJ33*100/$E$33</f>
        <v/>
      </c>
      <c r="JL33" s="108" t="n"/>
      <c r="JM33" s="122">
        <f>JL33*100/$E$33</f>
        <v/>
      </c>
      <c r="JN33" s="108" t="n"/>
      <c r="JO33" s="121">
        <f>JN33*100/$E$33</f>
        <v/>
      </c>
      <c r="JP33" s="108" t="n"/>
      <c r="JQ33" s="121">
        <f>JP33*100/$E$33</f>
        <v/>
      </c>
      <c r="JR33" s="108" t="n"/>
      <c r="JS33" s="121">
        <f>JR33*100/$E$33</f>
        <v/>
      </c>
      <c r="JT33" s="108" t="n"/>
      <c r="JU33" s="121">
        <f>JT33*100/$E$33</f>
        <v/>
      </c>
      <c r="JV33" s="108" t="n"/>
      <c r="JW33" s="121">
        <f>JV33*100/$E$33</f>
        <v/>
      </c>
      <c r="JX33" s="108" t="n"/>
      <c r="JY33" s="121">
        <f>JX33*100/$E$33</f>
        <v/>
      </c>
      <c r="JZ33" s="55">
        <f>JN33+JP33+JR33+JT33+JV33+JX33</f>
        <v/>
      </c>
      <c r="KA33" s="53">
        <f>JO33+JQ33+JS33+JU33+JW33+JY33</f>
        <v/>
      </c>
      <c r="KB33" s="64">
        <f>H33+J33+L33+N33+P33+R33+T33+V33+X33+Z33+AB33+AD33+AF33+AH33+AJ33+AL33+AN33+AP33+AR33+AT33+AV33+AX33+AZ33+BB33+BD33+BF33+BH33+BJ33+BL33+BN33+BP33+BR33+BT33+BV33+BX33+BZ33+CB33+CD33+CF33+CH33+CZ33+DB33+DD33+DF33+DH33+DJ33+DL33+DN33+DP33+DR33+DT33+DV33+DX33+DZ33+EB33+ED33+EF33+EH33+EJ33+EL33+EN33+EP33+ER33+ET33+EV33+FN33+FP33+FR33+FT33+FV33+FX33+FZ33+GB33+GD33+GF33+GH33+GJ33+GL33+GN33+GP33+GR33+GT33+GV33+GX33+GZ33+HB33+HD33+HF33+HH33+HJ33+HL33+HN33+HP33+HR33+HT33+HV33+HX33+HZ33+IB33+ID33+IF33+IH33+IJ33+IL33+IN33+IP33+IR33+IT33+IV33+IX33+IZ33+JB33+JD33+JF33+JH33+JJ33+JL33+JZ33+CJ33+CL33+CN33+CP33+CR33+CT33+CV33+CX33+EX33+EZ33+FB33+FD33+FF33+FH33+FJ33+FL33</f>
        <v/>
      </c>
      <c r="KC33" s="66">
        <f>I33+K33+M33+O33+Q33+S33+U33+W33+Y33+AA33+AC33+AE33+AG33+AI33+AK33+AM33+AO33+AQ33+AS33+AU33+AW33+AY33+BA33+BC33+BE33+BG33+BI33+BK33+BM33+BO33+BQ33+BS33+BU33+BW33+BY33+CA33+CC33+CE33+CG33+CI33+DA33+DC33+DE33+DG33+DI33+DK33+DM33+DO33+DQ33+DS33+DU33+DW33+DY33+EA33+EC33+EE33+EG33+EI33+EK33+EM33+EO33+EQ33+ES33+EU33+EW33+FO33+FS33+FU33+FW33+FQ33+FY33+GA33+GC33+GE33+GG33+GI33+GK33+GM33+GO33+GQ33+GS33+GU33+GW33+GY33+HA33+HC33+HE33+HG33+HI33+HK33+HM33+HO33+HQ33+HS33+HU33+HW33+HY33+IA33+IC33+IE33+IG33+II33+IK33+IM33+IO33+IQ33+IS33+IU33+IW33+IY33+JA33+JC33+JE33+JG33+JI33+JK33+JM33+KA33+CK33+CM33+CO33+CQ33+CS33+CU33+CW33+CY33+EY33+FA33+FC33+FE33+FG33+FI33+FK33+FM33</f>
        <v/>
      </c>
      <c r="KD33" s="44">
        <f>JO33+JQ33+JS33+JU33+JW33+JY33</f>
        <v/>
      </c>
      <c r="KE33" s="45">
        <f>KB33=E33</f>
        <v/>
      </c>
      <c r="KF33" s="101">
        <f>E33-KB33</f>
        <v/>
      </c>
      <c r="KG33" s="11" t="n"/>
    </row>
    <row r="34" ht="21.75" customFormat="1" customHeight="1" s="11">
      <c r="A34" s="126">
        <f>A33+1</f>
        <v/>
      </c>
      <c r="B34" s="201" t="inlineStr">
        <is>
          <t>Неверов Г.А.</t>
        </is>
      </c>
      <c r="C34" s="194" t="inlineStr">
        <is>
          <t>слесарь</t>
        </is>
      </c>
      <c r="D34" s="177">
        <f>$D$5</f>
        <v/>
      </c>
      <c r="E34" s="202" t="n"/>
      <c r="F34" s="193" t="n">
        <v>68902.87</v>
      </c>
      <c r="G34" s="52">
        <f>F34/D34</f>
        <v/>
      </c>
      <c r="H34" s="125" t="n"/>
      <c r="I34" s="107">
        <f>H34*100/$E$34</f>
        <v/>
      </c>
      <c r="J34" s="108" t="n"/>
      <c r="K34" s="107">
        <f>J34*100/$E$34</f>
        <v/>
      </c>
      <c r="L34" s="108" t="n"/>
      <c r="M34" s="107">
        <f>L34*100/$E$34</f>
        <v/>
      </c>
      <c r="N34" s="108" t="n"/>
      <c r="O34" s="107">
        <f>N34*100/$E$34</f>
        <v/>
      </c>
      <c r="P34" s="108" t="n"/>
      <c r="Q34" s="122">
        <f>P34*100/$E$34</f>
        <v/>
      </c>
      <c r="R34" s="108" t="n"/>
      <c r="S34" s="122">
        <f>R34*100/$E$34</f>
        <v/>
      </c>
      <c r="T34" s="108" t="n"/>
      <c r="U34" s="107">
        <f>T34*100/$E$34</f>
        <v/>
      </c>
      <c r="V34" s="108" t="n"/>
      <c r="W34" s="107">
        <f>V34*100/$E$34</f>
        <v/>
      </c>
      <c r="X34" s="108" t="n"/>
      <c r="Y34" s="107">
        <f>X34*100/$E$34</f>
        <v/>
      </c>
      <c r="Z34" s="108" t="n"/>
      <c r="AA34" s="107">
        <f>Z34*100/$E$34</f>
        <v/>
      </c>
      <c r="AB34" s="108" t="n"/>
      <c r="AC34" s="107">
        <f>AB34*100/$E$34</f>
        <v/>
      </c>
      <c r="AD34" s="108" t="n"/>
      <c r="AE34" s="122">
        <f>AD34*100/$E$34</f>
        <v/>
      </c>
      <c r="AF34" s="108" t="n"/>
      <c r="AG34" s="122">
        <f>AF34*100/$E$34</f>
        <v/>
      </c>
      <c r="AH34" s="108" t="n"/>
      <c r="AI34" s="107">
        <f>AH34*100/$E$34</f>
        <v/>
      </c>
      <c r="AJ34" s="108" t="n"/>
      <c r="AK34" s="107">
        <f>AJ34*100/$E$34</f>
        <v/>
      </c>
      <c r="AL34" s="108" t="n"/>
      <c r="AM34" s="107">
        <f>AL34*100/$E$34</f>
        <v/>
      </c>
      <c r="AN34" s="108" t="n"/>
      <c r="AO34" s="107">
        <f>AN34*100/$E$34</f>
        <v/>
      </c>
      <c r="AP34" s="108" t="n"/>
      <c r="AQ34" s="107">
        <f>AP34*100/$E$34</f>
        <v/>
      </c>
      <c r="AR34" s="108" t="n"/>
      <c r="AS34" s="107">
        <f>AR34*100/$E$34</f>
        <v/>
      </c>
      <c r="AT34" s="108" t="n"/>
      <c r="AU34" s="90">
        <f>AT34*100/$E$34</f>
        <v/>
      </c>
      <c r="AV34" s="108" t="n"/>
      <c r="AW34" s="107">
        <f>AV34*100/$E$34</f>
        <v/>
      </c>
      <c r="AX34" s="108" t="n"/>
      <c r="AY34" s="107">
        <f>AX34*100/$E$34</f>
        <v/>
      </c>
      <c r="AZ34" s="108" t="n"/>
      <c r="BA34" s="107">
        <f>AZ34*100/$E$34</f>
        <v/>
      </c>
      <c r="BB34" s="108" t="n"/>
      <c r="BC34" s="107">
        <f>BB34*100/$E$34</f>
        <v/>
      </c>
      <c r="BD34" s="108" t="n"/>
      <c r="BE34" s="107">
        <f>BD34*100/$E$34</f>
        <v/>
      </c>
      <c r="BF34" s="108" t="n"/>
      <c r="BG34" s="107">
        <f>BF34*100/$E$34</f>
        <v/>
      </c>
      <c r="BH34" s="108" t="n"/>
      <c r="BI34" s="107">
        <f>BH34*100/$E$34</f>
        <v/>
      </c>
      <c r="BJ34" s="108" t="n"/>
      <c r="BK34" s="107">
        <f>BJ34*100/$E$34</f>
        <v/>
      </c>
      <c r="BL34" s="108" t="n"/>
      <c r="BM34" s="107">
        <f>BL34*100/$E$34</f>
        <v/>
      </c>
      <c r="BN34" s="108" t="n"/>
      <c r="BO34" s="107">
        <f>BN34*100/$E$34</f>
        <v/>
      </c>
      <c r="BP34" s="108" t="n"/>
      <c r="BQ34" s="107">
        <f>BP34*100/$E$34</f>
        <v/>
      </c>
      <c r="BR34" s="108" t="n"/>
      <c r="BS34" s="107">
        <f>BR34*100/$E$34</f>
        <v/>
      </c>
      <c r="BT34" s="108" t="n"/>
      <c r="BU34" s="107">
        <f>BT34*100/$E$34</f>
        <v/>
      </c>
      <c r="BV34" s="108" t="n"/>
      <c r="BW34" s="107">
        <f>BV34*100/$E$34</f>
        <v/>
      </c>
      <c r="BX34" s="108" t="n"/>
      <c r="BY34" s="107">
        <f>BX34*100/$E$34</f>
        <v/>
      </c>
      <c r="BZ34" s="108" t="n"/>
      <c r="CA34" s="107">
        <f>BZ34*100/$E$34</f>
        <v/>
      </c>
      <c r="CB34" s="108" t="n"/>
      <c r="CC34" s="107">
        <f>CB34*100/$E$34</f>
        <v/>
      </c>
      <c r="CD34" s="108" t="n"/>
      <c r="CE34" s="107">
        <f>CD34*100/$E$34</f>
        <v/>
      </c>
      <c r="CF34" s="108" t="n"/>
      <c r="CG34" s="107">
        <f>CF34*100/$E$34</f>
        <v/>
      </c>
      <c r="CH34" s="108" t="n"/>
      <c r="CI34" s="107">
        <f>CH34*100/$E$34</f>
        <v/>
      </c>
      <c r="CJ34" s="108" t="n"/>
      <c r="CK34" s="107">
        <f>CJ34*100/$E$34</f>
        <v/>
      </c>
      <c r="CL34" s="108" t="n"/>
      <c r="CM34" s="107">
        <f>CL34*100/$E$34</f>
        <v/>
      </c>
      <c r="CN34" s="108" t="n"/>
      <c r="CO34" s="122">
        <f>CN34*100/$E$34</f>
        <v/>
      </c>
      <c r="CP34" s="108" t="n"/>
      <c r="CQ34" s="107">
        <f>CP34*100/$E$34</f>
        <v/>
      </c>
      <c r="CR34" s="108" t="n"/>
      <c r="CS34" s="122">
        <f>CR34*100/$E$34</f>
        <v/>
      </c>
      <c r="CT34" s="108" t="n"/>
      <c r="CU34" s="122">
        <f>CT34*100/$E$34</f>
        <v/>
      </c>
      <c r="CV34" s="108" t="n"/>
      <c r="CW34" s="122">
        <f>CV34*100/$E$34</f>
        <v/>
      </c>
      <c r="CX34" s="108" t="n"/>
      <c r="CY34" s="122">
        <f>CX34*100/$E$34</f>
        <v/>
      </c>
      <c r="CZ34" s="108" t="n"/>
      <c r="DA34" s="122">
        <f>CZ34*100/$E$34</f>
        <v/>
      </c>
      <c r="DB34" s="108" t="n"/>
      <c r="DC34" s="122">
        <f>DB34*100/$E$34</f>
        <v/>
      </c>
      <c r="DD34" s="108" t="n"/>
      <c r="DE34" s="122">
        <f>DD34*100/$E$34</f>
        <v/>
      </c>
      <c r="DF34" s="108" t="n"/>
      <c r="DG34" s="122">
        <f>DF34*100/$E$34</f>
        <v/>
      </c>
      <c r="DH34" s="108" t="n"/>
      <c r="DI34" s="122">
        <f>DH34*100/$E$34</f>
        <v/>
      </c>
      <c r="DJ34" s="108" t="n"/>
      <c r="DK34" s="122">
        <f>DJ34*100/$E$34</f>
        <v/>
      </c>
      <c r="DL34" s="108" t="n"/>
      <c r="DM34" s="122">
        <f>DL34*100/$E$34</f>
        <v/>
      </c>
      <c r="DN34" s="108" t="n"/>
      <c r="DO34" s="122">
        <f>DN34*100/$E$34</f>
        <v/>
      </c>
      <c r="DP34" s="108" t="n"/>
      <c r="DQ34" s="122">
        <f>DP34*100/$E$34</f>
        <v/>
      </c>
      <c r="DR34" s="108" t="n"/>
      <c r="DS34" s="122">
        <f>DR34*100/$E$34</f>
        <v/>
      </c>
      <c r="DT34" s="108" t="n"/>
      <c r="DU34" s="122">
        <f>DT34*100/$E$34</f>
        <v/>
      </c>
      <c r="DV34" s="108" t="n"/>
      <c r="DW34" s="122">
        <f>DV34*100/$E$34</f>
        <v/>
      </c>
      <c r="DX34" s="108" t="n"/>
      <c r="DY34" s="122">
        <f>DX34*100/$E$34</f>
        <v/>
      </c>
      <c r="DZ34" s="108" t="n"/>
      <c r="EA34" s="122">
        <f>DZ34*100/$E$34</f>
        <v/>
      </c>
      <c r="EB34" s="108" t="n"/>
      <c r="EC34" s="122">
        <f>EB34*100/$E$34</f>
        <v/>
      </c>
      <c r="ED34" s="108" t="n"/>
      <c r="EE34" s="122">
        <f>ED34*100/$E$34</f>
        <v/>
      </c>
      <c r="EF34" s="108" t="n"/>
      <c r="EG34" s="122">
        <f>EF34*100/$E$34</f>
        <v/>
      </c>
      <c r="EH34" s="108" t="n"/>
      <c r="EI34" s="122">
        <f>EH34*100/$E$34</f>
        <v/>
      </c>
      <c r="EJ34" s="108" t="n"/>
      <c r="EK34" s="122">
        <f>EJ34*100/$E$34</f>
        <v/>
      </c>
      <c r="EL34" s="108" t="n"/>
      <c r="EM34" s="122">
        <f>EL34*100/$E$34</f>
        <v/>
      </c>
      <c r="EN34" s="108" t="n"/>
      <c r="EO34" s="122">
        <f>EN34*100/$E$34</f>
        <v/>
      </c>
      <c r="EP34" s="108" t="n"/>
      <c r="EQ34" s="122">
        <f>EP34*100/$E$34</f>
        <v/>
      </c>
      <c r="ER34" s="108" t="n"/>
      <c r="ES34" s="122">
        <f>ER34*100/$E$34</f>
        <v/>
      </c>
      <c r="ET34" s="108" t="n"/>
      <c r="EU34" s="122">
        <f>ET34*100/$E$34</f>
        <v/>
      </c>
      <c r="EV34" s="108" t="n"/>
      <c r="EW34" s="122">
        <f>EV34*100/$E$34</f>
        <v/>
      </c>
      <c r="EX34" s="108" t="n"/>
      <c r="EY34" s="122">
        <f>EX34*100/$E$34</f>
        <v/>
      </c>
      <c r="EZ34" s="108" t="n"/>
      <c r="FA34" s="122">
        <f>EZ34*100/$E$34</f>
        <v/>
      </c>
      <c r="FB34" s="108" t="n"/>
      <c r="FC34" s="122">
        <f>FB34*100/$E$34</f>
        <v/>
      </c>
      <c r="FD34" s="108" t="n"/>
      <c r="FE34" s="122">
        <f>FD34*100/$E$34</f>
        <v/>
      </c>
      <c r="FF34" s="108" t="n"/>
      <c r="FG34" s="122">
        <f>FF34*100/$E$34</f>
        <v/>
      </c>
      <c r="FH34" s="108" t="n"/>
      <c r="FI34" s="122">
        <f>FH34*100/$E$34</f>
        <v/>
      </c>
      <c r="FJ34" s="108" t="n"/>
      <c r="FK34" s="122">
        <f>FJ34*100/$E$34</f>
        <v/>
      </c>
      <c r="FL34" s="108" t="n"/>
      <c r="FM34" s="122">
        <f>FL34*100/$E$34</f>
        <v/>
      </c>
      <c r="FN34" s="108" t="n"/>
      <c r="FO34" s="122">
        <f>FN34*100/$E$34</f>
        <v/>
      </c>
      <c r="FP34" s="108" t="n"/>
      <c r="FQ34" s="122">
        <f>FP34*100/$E$34</f>
        <v/>
      </c>
      <c r="FR34" s="108" t="n"/>
      <c r="FS34" s="122">
        <f>FR34*100/$E$34</f>
        <v/>
      </c>
      <c r="FT34" s="108" t="n"/>
      <c r="FU34" s="122">
        <f>FT34*100/$E$34</f>
        <v/>
      </c>
      <c r="FV34" s="108" t="n"/>
      <c r="FW34" s="122">
        <f>FV34*100/$E$34</f>
        <v/>
      </c>
      <c r="FX34" s="108" t="n"/>
      <c r="FY34" s="107">
        <f>FX34*100/$E$34</f>
        <v/>
      </c>
      <c r="FZ34" s="108" t="n"/>
      <c r="GA34" s="107">
        <f>FZ34*100/$E$34</f>
        <v/>
      </c>
      <c r="GB34" s="108" t="n"/>
      <c r="GC34" s="107">
        <f>GB34*100/$E$34</f>
        <v/>
      </c>
      <c r="GD34" s="108" t="n"/>
      <c r="GE34" s="107">
        <f>GD34*100/$E$34</f>
        <v/>
      </c>
      <c r="GF34" s="108" t="n"/>
      <c r="GG34" s="107">
        <f>GF34*100/$E$34</f>
        <v/>
      </c>
      <c r="GH34" s="108" t="n"/>
      <c r="GI34" s="107">
        <f>GH34*100/$E$34</f>
        <v/>
      </c>
      <c r="GJ34" s="108" t="n"/>
      <c r="GK34" s="122">
        <f>GJ34*100/$E$34</f>
        <v/>
      </c>
      <c r="GL34" s="108" t="n"/>
      <c r="GM34" s="107">
        <f>GL34*100/$E$34</f>
        <v/>
      </c>
      <c r="GN34" s="108" t="n"/>
      <c r="GO34" s="122">
        <f>GN34*100/$E$34</f>
        <v/>
      </c>
      <c r="GP34" s="108" t="n"/>
      <c r="GQ34" s="107">
        <f>GP34*100/$E$34</f>
        <v/>
      </c>
      <c r="GR34" s="108" t="n"/>
      <c r="GS34" s="122">
        <f>GR34*100/$E$34</f>
        <v/>
      </c>
      <c r="GT34" s="108" t="n"/>
      <c r="GU34" s="122">
        <f>GT34*100/$E$34</f>
        <v/>
      </c>
      <c r="GV34" s="108" t="n"/>
      <c r="GW34" s="122">
        <f>GV34*100/$E$34</f>
        <v/>
      </c>
      <c r="GX34" s="108" t="n"/>
      <c r="GY34" s="107">
        <f>GX34*100/$E$34</f>
        <v/>
      </c>
      <c r="GZ34" s="108" t="n"/>
      <c r="HA34" s="107">
        <f>GZ34*100/$E$34</f>
        <v/>
      </c>
      <c r="HB34" s="108" t="n"/>
      <c r="HC34" s="107">
        <f>HB34*100/$E$34</f>
        <v/>
      </c>
      <c r="HD34" s="108" t="n"/>
      <c r="HE34" s="107">
        <f>HD34*100/$E$34</f>
        <v/>
      </c>
      <c r="HF34" s="108" t="n"/>
      <c r="HG34" s="107">
        <f>HF34*100/$E$34</f>
        <v/>
      </c>
      <c r="HH34" s="108" t="n"/>
      <c r="HI34" s="107">
        <f>HH34*100/$E$34</f>
        <v/>
      </c>
      <c r="HJ34" s="108" t="n"/>
      <c r="HK34" s="107">
        <f>HJ34*100/$E$34</f>
        <v/>
      </c>
      <c r="HL34" s="108" t="n"/>
      <c r="HM34" s="107">
        <f>HL34*100/$E$34</f>
        <v/>
      </c>
      <c r="HN34" s="108" t="n"/>
      <c r="HO34" s="107">
        <f>HN34*100/$E$34</f>
        <v/>
      </c>
      <c r="HP34" s="108" t="n"/>
      <c r="HQ34" s="107">
        <f>HP34*100/$E$34</f>
        <v/>
      </c>
      <c r="HR34" s="108" t="n"/>
      <c r="HS34" s="107">
        <f>HR34*100/$E$34</f>
        <v/>
      </c>
      <c r="HT34" s="108" t="n"/>
      <c r="HU34" s="107">
        <f>HT34*100/$E$34</f>
        <v/>
      </c>
      <c r="HV34" s="108" t="n"/>
      <c r="HW34" s="107">
        <f>HV34*100/$E$34</f>
        <v/>
      </c>
      <c r="HX34" s="108" t="n"/>
      <c r="HY34" s="107">
        <f>HX34*100/$E$34</f>
        <v/>
      </c>
      <c r="HZ34" s="108" t="n"/>
      <c r="IA34" s="122">
        <f>HZ34*100/$E$34</f>
        <v/>
      </c>
      <c r="IB34" s="108" t="n"/>
      <c r="IC34" s="122">
        <f>IB34*100/$E$34</f>
        <v/>
      </c>
      <c r="ID34" s="108" t="n"/>
      <c r="IE34" s="122">
        <f>ID34*100/$E$34</f>
        <v/>
      </c>
      <c r="IF34" s="108" t="n"/>
      <c r="IG34" s="122">
        <f>IF34*100/$E$34</f>
        <v/>
      </c>
      <c r="IH34" s="108" t="n"/>
      <c r="II34" s="122">
        <f>IH34*100/$E$34</f>
        <v/>
      </c>
      <c r="IJ34" s="108" t="n"/>
      <c r="IK34" s="122">
        <f>IJ34*100/$E$34</f>
        <v/>
      </c>
      <c r="IL34" s="108" t="n"/>
      <c r="IM34" s="107">
        <f>IL34*100/$E$34</f>
        <v/>
      </c>
      <c r="IN34" s="108" t="n"/>
      <c r="IO34" s="107">
        <f>IN34*100/$E$34</f>
        <v/>
      </c>
      <c r="IP34" s="108" t="n"/>
      <c r="IQ34" s="122">
        <f>IP34*100/$E$34</f>
        <v/>
      </c>
      <c r="IR34" s="108" t="n"/>
      <c r="IS34" s="122">
        <f>IR34*100/$E$34</f>
        <v/>
      </c>
      <c r="IT34" s="108" t="n"/>
      <c r="IU34" s="122">
        <f>IT34*100/$E$34</f>
        <v/>
      </c>
      <c r="IV34" s="108" t="n"/>
      <c r="IW34" s="122">
        <f>IV34*100/$E$34</f>
        <v/>
      </c>
      <c r="IX34" s="108" t="n"/>
      <c r="IY34" s="122">
        <f>IX34*100/$E$34</f>
        <v/>
      </c>
      <c r="IZ34" s="108" t="n"/>
      <c r="JA34" s="122">
        <f>IZ34*100/$E$34</f>
        <v/>
      </c>
      <c r="JB34" s="108" t="n"/>
      <c r="JC34" s="122">
        <f>JB34*100/$E$34</f>
        <v/>
      </c>
      <c r="JD34" s="108" t="n"/>
      <c r="JE34" s="122">
        <f>JD34*100/$E$34</f>
        <v/>
      </c>
      <c r="JF34" s="108" t="n"/>
      <c r="JG34" s="122">
        <f>JF34*100/$E$34</f>
        <v/>
      </c>
      <c r="JH34" s="108" t="n"/>
      <c r="JI34" s="122">
        <f>JH34*100/$E$34</f>
        <v/>
      </c>
      <c r="JJ34" s="108" t="n"/>
      <c r="JK34" s="122">
        <f>JJ34*100/$E$34</f>
        <v/>
      </c>
      <c r="JL34" s="108" t="n"/>
      <c r="JM34" s="122">
        <f>JL34*100/$E$34</f>
        <v/>
      </c>
      <c r="JN34" s="108" t="n"/>
      <c r="JO34" s="121">
        <f>JN34*100/$E$34</f>
        <v/>
      </c>
      <c r="JP34" s="108" t="n"/>
      <c r="JQ34" s="121">
        <f>JP34*100/$E$34</f>
        <v/>
      </c>
      <c r="JR34" s="108" t="n"/>
      <c r="JS34" s="121">
        <f>JR34*100/$E$34</f>
        <v/>
      </c>
      <c r="JT34" s="108" t="n"/>
      <c r="JU34" s="121">
        <f>JT34*100/$E$34</f>
        <v/>
      </c>
      <c r="JV34" s="108" t="n"/>
      <c r="JW34" s="121">
        <f>JV34*100/$E$34</f>
        <v/>
      </c>
      <c r="JX34" s="108" t="n"/>
      <c r="JY34" s="121">
        <f>JX34*100/$E$34</f>
        <v/>
      </c>
      <c r="JZ34" s="55">
        <f>JN34+JP34+JR34+JT34+JV34+JX34</f>
        <v/>
      </c>
      <c r="KA34" s="53">
        <f>JO34+JQ34+JS34+JU34+JW34+JY34</f>
        <v/>
      </c>
      <c r="KB34" s="64">
        <f>H34+J34+L34+N34+P34+R34+T34+V34+X34+Z34+AB34+AD34+AF34+AH34+AJ34+AL34+AN34+AP34+AR34+AT34+AV34+AX34+AZ34+BB34+BD34+BF34+BH34+BJ34+BL34+BN34+BP34+BR34+BT34+BV34+BX34+BZ34+CB34+CD34+CF34+CH34+CZ34+DB34+DD34+DF34+DH34+DJ34+DL34+DN34+DP34+DR34+DT34+DV34+DX34+DZ34+EB34+ED34+EF34+EH34+EJ34+EL34+EN34+EP34+ER34+ET34+EV34+FN34+FP34+FR34+FT34+FV34+FX34+FZ34+GB34+GD34+GF34+GH34+GJ34+GL34+GN34+GP34+GR34+GT34+GV34+GX34+GZ34+HB34+HD34+HF34+HH34+HJ34+HL34+HN34+HP34+HR34+HT34+HV34+HX34+HZ34+IB34+ID34+IF34+IH34+IJ34+IL34+IN34+IP34+IR34+IT34+IV34+IX34+IZ34+JB34+JD34+JF34+JH34+JJ34+JL34+JZ34+CJ34+CL34+CN34+CP34+CR34+CT34+CV34+CX34+EX34+EZ34+FB34+FD34+FF34+FH34+FJ34+FL34</f>
        <v/>
      </c>
      <c r="KC34" s="66">
        <f>I34+K34+M34+O34+Q34+S34+U34+W34+Y34+AA34+AC34+AE34+AG34+AI34+AK34+AM34+AO34+AQ34+AS34+AU34+AW34+AY34+BA34+BC34+BE34+BG34+BI34+BK34+BM34+BO34+BQ34+BS34+BU34+BW34+BY34+CA34+CC34+CE34+CG34+CI34+DA34+DC34+DE34+DG34+DI34+DK34+DM34+DO34+DQ34+DS34+DU34+DW34+DY34+EA34+EC34+EE34+EG34+EI34+EK34+EM34+EO34+EQ34+ES34+EU34+EW34+FO34+FS34+FU34+FW34+FQ34+FY34+GA34+GC34+GE34+GG34+GI34+GK34+GM34+GO34+GQ34+GS34+GU34+GW34+GY34+HA34+HC34+HE34+HG34+HI34+HK34+HM34+HO34+HQ34+HS34+HU34+HW34+HY34+IA34+IC34+IE34+IG34+II34+IK34+IM34+IO34+IQ34+IS34+IU34+IW34+IY34+JA34+JC34+JE34+JG34+JI34+JK34+JM34+KA34+CK34+CM34+CO34+CQ34+CS34+CU34+CW34+CY34+EY34+FA34+FC34+FE34+FG34+FI34+FK34+FM34</f>
        <v/>
      </c>
      <c r="KD34" s="44">
        <f>JO34+JQ34+JS34+JU34+JW34+JY34</f>
        <v/>
      </c>
      <c r="KE34" s="45">
        <f>KB34=E34</f>
        <v/>
      </c>
      <c r="KF34" s="101">
        <f>E34-KB34</f>
        <v/>
      </c>
      <c r="KG34" s="23" t="n"/>
    </row>
    <row r="35" ht="21.75" customFormat="1" customHeight="1" s="23">
      <c r="A35" s="126">
        <f>A34+1</f>
        <v/>
      </c>
      <c r="B35" s="175" t="inlineStr">
        <is>
          <t>Никулин В.Г.</t>
        </is>
      </c>
      <c r="C35" s="176" t="inlineStr">
        <is>
          <t>токарь</t>
        </is>
      </c>
      <c r="D35" s="177">
        <f>$D$5</f>
        <v/>
      </c>
      <c r="E35" s="202" t="n"/>
      <c r="F35" s="193" t="n">
        <v>107473.5</v>
      </c>
      <c r="G35" s="52">
        <f>F35/D35</f>
        <v/>
      </c>
      <c r="H35" s="125" t="n"/>
      <c r="I35" s="107">
        <f>H35*100/$E$35</f>
        <v/>
      </c>
      <c r="J35" s="108" t="n"/>
      <c r="K35" s="107">
        <f>J35*100/$E$35</f>
        <v/>
      </c>
      <c r="L35" s="108" t="n"/>
      <c r="M35" s="107">
        <f>L35*100/$E$35</f>
        <v/>
      </c>
      <c r="N35" s="108" t="n"/>
      <c r="O35" s="107">
        <f>N35*100/$E$35</f>
        <v/>
      </c>
      <c r="P35" s="108" t="n"/>
      <c r="Q35" s="122">
        <f>P35*100/$E$35</f>
        <v/>
      </c>
      <c r="R35" s="108" t="n"/>
      <c r="S35" s="122">
        <f>R35*100/$E$35</f>
        <v/>
      </c>
      <c r="T35" s="108" t="n"/>
      <c r="U35" s="107">
        <f>T35*100/$E$35</f>
        <v/>
      </c>
      <c r="V35" s="108" t="n"/>
      <c r="W35" s="107">
        <f>V35*100/$E$35</f>
        <v/>
      </c>
      <c r="X35" s="108" t="n"/>
      <c r="Y35" s="107">
        <f>X35*100/$E$35</f>
        <v/>
      </c>
      <c r="Z35" s="108" t="n"/>
      <c r="AA35" s="107">
        <f>Z35*100/$E$35</f>
        <v/>
      </c>
      <c r="AB35" s="108" t="n"/>
      <c r="AC35" s="107">
        <f>AB35*100/$E$35</f>
        <v/>
      </c>
      <c r="AD35" s="108" t="n"/>
      <c r="AE35" s="122">
        <f>AD35*100/$E$35</f>
        <v/>
      </c>
      <c r="AF35" s="108" t="n"/>
      <c r="AG35" s="122">
        <f>AF35*100/$E$35</f>
        <v/>
      </c>
      <c r="AH35" s="108" t="n"/>
      <c r="AI35" s="107">
        <f>AH35*100/$E$35</f>
        <v/>
      </c>
      <c r="AJ35" s="108" t="n"/>
      <c r="AK35" s="107">
        <f>AJ35*100/$E$35</f>
        <v/>
      </c>
      <c r="AL35" s="108" t="n"/>
      <c r="AM35" s="107">
        <f>AL35*100/$E$35</f>
        <v/>
      </c>
      <c r="AN35" s="108" t="n"/>
      <c r="AO35" s="107">
        <f>AN35*100/$E$35</f>
        <v/>
      </c>
      <c r="AP35" s="108" t="n"/>
      <c r="AQ35" s="107">
        <f>AP35*100/$E$35</f>
        <v/>
      </c>
      <c r="AR35" s="108" t="n"/>
      <c r="AS35" s="107">
        <f>AR35*100/$E$35</f>
        <v/>
      </c>
      <c r="AT35" s="108" t="n"/>
      <c r="AU35" s="90">
        <f>AT35*100/$E$35</f>
        <v/>
      </c>
      <c r="AV35" s="108" t="n"/>
      <c r="AW35" s="107">
        <f>AV35*100/$E$35</f>
        <v/>
      </c>
      <c r="AX35" s="108" t="n"/>
      <c r="AY35" s="107">
        <f>AX35*100/$E$35</f>
        <v/>
      </c>
      <c r="AZ35" s="108" t="n"/>
      <c r="BA35" s="107">
        <f>AZ35*100/$E$35</f>
        <v/>
      </c>
      <c r="BB35" s="108" t="n"/>
      <c r="BC35" s="107">
        <f>BB35*100/$E$35</f>
        <v/>
      </c>
      <c r="BD35" s="108" t="n"/>
      <c r="BE35" s="107">
        <f>BD35*100/$E$35</f>
        <v/>
      </c>
      <c r="BF35" s="108" t="n"/>
      <c r="BG35" s="107">
        <f>BF35*100/$E$35</f>
        <v/>
      </c>
      <c r="BH35" s="108" t="n"/>
      <c r="BI35" s="107">
        <f>BH35*100/$E$35</f>
        <v/>
      </c>
      <c r="BJ35" s="108" t="n"/>
      <c r="BK35" s="107">
        <f>BJ35*100/$E$35</f>
        <v/>
      </c>
      <c r="BL35" s="108" t="n"/>
      <c r="BM35" s="107">
        <f>BL35*100/$E$35</f>
        <v/>
      </c>
      <c r="BN35" s="108" t="n"/>
      <c r="BO35" s="107">
        <f>BN35*100/$E$35</f>
        <v/>
      </c>
      <c r="BP35" s="108" t="n"/>
      <c r="BQ35" s="107">
        <f>BP35*100/$E$35</f>
        <v/>
      </c>
      <c r="BR35" s="108" t="n"/>
      <c r="BS35" s="107">
        <f>BR35*100/$E$35</f>
        <v/>
      </c>
      <c r="BT35" s="108" t="n"/>
      <c r="BU35" s="107">
        <f>BT35*100/$E$35</f>
        <v/>
      </c>
      <c r="BV35" s="108" t="n"/>
      <c r="BW35" s="107">
        <f>BV35*100/$E$35</f>
        <v/>
      </c>
      <c r="BX35" s="108" t="n"/>
      <c r="BY35" s="107">
        <f>BX35*100/$E$35</f>
        <v/>
      </c>
      <c r="BZ35" s="108" t="n"/>
      <c r="CA35" s="107">
        <f>BZ35*100/$E$35</f>
        <v/>
      </c>
      <c r="CB35" s="108" t="n"/>
      <c r="CC35" s="107">
        <f>CB35*100/$E$35</f>
        <v/>
      </c>
      <c r="CD35" s="108" t="n"/>
      <c r="CE35" s="107">
        <f>CD35*100/$E$35</f>
        <v/>
      </c>
      <c r="CF35" s="108" t="n"/>
      <c r="CG35" s="107">
        <f>CF35*100/$E$35</f>
        <v/>
      </c>
      <c r="CH35" s="108" t="n"/>
      <c r="CI35" s="107">
        <f>CH35*100/$E$35</f>
        <v/>
      </c>
      <c r="CJ35" s="108" t="n"/>
      <c r="CK35" s="107">
        <f>CJ35*100/$E$35</f>
        <v/>
      </c>
      <c r="CL35" s="108" t="n"/>
      <c r="CM35" s="107">
        <f>CL35*100/$E$35</f>
        <v/>
      </c>
      <c r="CN35" s="108" t="n"/>
      <c r="CO35" s="122">
        <f>CN35*100/$E$35</f>
        <v/>
      </c>
      <c r="CP35" s="108" t="n"/>
      <c r="CQ35" s="107">
        <f>CP35*100/$E$35</f>
        <v/>
      </c>
      <c r="CR35" s="108" t="n"/>
      <c r="CS35" s="122">
        <f>CR35*100/$E$35</f>
        <v/>
      </c>
      <c r="CT35" s="108" t="n"/>
      <c r="CU35" s="122">
        <f>CT35*100/$E$35</f>
        <v/>
      </c>
      <c r="CV35" s="108" t="n"/>
      <c r="CW35" s="122">
        <f>CV35*100/$E$35</f>
        <v/>
      </c>
      <c r="CX35" s="108" t="n"/>
      <c r="CY35" s="122">
        <f>CX35*100/$E$35</f>
        <v/>
      </c>
      <c r="CZ35" s="108" t="n"/>
      <c r="DA35" s="122">
        <f>CZ35*100/$E$35</f>
        <v/>
      </c>
      <c r="DB35" s="108" t="n"/>
      <c r="DC35" s="122">
        <f>DB35*100/$E$35</f>
        <v/>
      </c>
      <c r="DD35" s="108" t="n"/>
      <c r="DE35" s="122">
        <f>DD35*100/$E$35</f>
        <v/>
      </c>
      <c r="DF35" s="108" t="n"/>
      <c r="DG35" s="122">
        <f>DF35*100/$E$35</f>
        <v/>
      </c>
      <c r="DH35" s="108" t="n"/>
      <c r="DI35" s="122">
        <f>DH35*100/$E$35</f>
        <v/>
      </c>
      <c r="DJ35" s="108" t="n"/>
      <c r="DK35" s="122">
        <f>DJ35*100/$E$35</f>
        <v/>
      </c>
      <c r="DL35" s="108" t="n"/>
      <c r="DM35" s="122">
        <f>DL35*100/$E$35</f>
        <v/>
      </c>
      <c r="DN35" s="108" t="n"/>
      <c r="DO35" s="122">
        <f>DN35*100/$E$35</f>
        <v/>
      </c>
      <c r="DP35" s="108" t="n"/>
      <c r="DQ35" s="122">
        <f>DP35*100/$E$35</f>
        <v/>
      </c>
      <c r="DR35" s="108" t="n"/>
      <c r="DS35" s="122">
        <f>DR35*100/$E$35</f>
        <v/>
      </c>
      <c r="DT35" s="108" t="n"/>
      <c r="DU35" s="122">
        <f>DT35*100/$E$35</f>
        <v/>
      </c>
      <c r="DV35" s="108" t="n"/>
      <c r="DW35" s="122">
        <f>DV35*100/$E$35</f>
        <v/>
      </c>
      <c r="DX35" s="108" t="n"/>
      <c r="DY35" s="122">
        <f>DX35*100/$E$35</f>
        <v/>
      </c>
      <c r="DZ35" s="108" t="n"/>
      <c r="EA35" s="122">
        <f>DZ35*100/$E$35</f>
        <v/>
      </c>
      <c r="EB35" s="108" t="n"/>
      <c r="EC35" s="122">
        <f>EB35*100/$E$35</f>
        <v/>
      </c>
      <c r="ED35" s="108" t="n"/>
      <c r="EE35" s="122">
        <f>ED35*100/$E$35</f>
        <v/>
      </c>
      <c r="EF35" s="108" t="n"/>
      <c r="EG35" s="122">
        <f>EF35*100/$E$35</f>
        <v/>
      </c>
      <c r="EH35" s="108" t="n"/>
      <c r="EI35" s="122">
        <f>EH35*100/$E$35</f>
        <v/>
      </c>
      <c r="EJ35" s="108" t="n"/>
      <c r="EK35" s="122">
        <f>EJ35*100/$E$35</f>
        <v/>
      </c>
      <c r="EL35" s="108" t="n"/>
      <c r="EM35" s="122">
        <f>EL35*100/$E$35</f>
        <v/>
      </c>
      <c r="EN35" s="108" t="n"/>
      <c r="EO35" s="122">
        <f>EN35*100/$E$35</f>
        <v/>
      </c>
      <c r="EP35" s="108" t="n"/>
      <c r="EQ35" s="122">
        <f>EP35*100/$E$35</f>
        <v/>
      </c>
      <c r="ER35" s="108" t="n"/>
      <c r="ES35" s="122">
        <f>ER35*100/$E$35</f>
        <v/>
      </c>
      <c r="ET35" s="108" t="n"/>
      <c r="EU35" s="122">
        <f>ET35*100/$E$35</f>
        <v/>
      </c>
      <c r="EV35" s="108" t="n"/>
      <c r="EW35" s="122">
        <f>EV35*100/$E$35</f>
        <v/>
      </c>
      <c r="EX35" s="108" t="n"/>
      <c r="EY35" s="122">
        <f>EX35*100/$E$35</f>
        <v/>
      </c>
      <c r="EZ35" s="108" t="n"/>
      <c r="FA35" s="122">
        <f>EZ35*100/$E$35</f>
        <v/>
      </c>
      <c r="FB35" s="108" t="n"/>
      <c r="FC35" s="122">
        <f>FB35*100/$E$35</f>
        <v/>
      </c>
      <c r="FD35" s="108" t="n"/>
      <c r="FE35" s="122">
        <f>FD35*100/$E$35</f>
        <v/>
      </c>
      <c r="FF35" s="108" t="n"/>
      <c r="FG35" s="122">
        <f>FF35*100/$E$35</f>
        <v/>
      </c>
      <c r="FH35" s="108" t="n"/>
      <c r="FI35" s="122">
        <f>FH35*100/$E$35</f>
        <v/>
      </c>
      <c r="FJ35" s="108" t="n"/>
      <c r="FK35" s="122">
        <f>FJ35*100/$E$35</f>
        <v/>
      </c>
      <c r="FL35" s="108" t="n"/>
      <c r="FM35" s="122">
        <f>FL35*100/$E$35</f>
        <v/>
      </c>
      <c r="FN35" s="108" t="n"/>
      <c r="FO35" s="122">
        <f>FN35*100/$E$35</f>
        <v/>
      </c>
      <c r="FP35" s="108" t="n"/>
      <c r="FQ35" s="122">
        <f>FP35*100/$E$35</f>
        <v/>
      </c>
      <c r="FR35" s="108" t="n"/>
      <c r="FS35" s="122">
        <f>FR35*100/$E$35</f>
        <v/>
      </c>
      <c r="FT35" s="108" t="n"/>
      <c r="FU35" s="122">
        <f>FT35*100/$E$35</f>
        <v/>
      </c>
      <c r="FV35" s="108" t="n"/>
      <c r="FW35" s="122">
        <f>FV35*100/$E$35</f>
        <v/>
      </c>
      <c r="FX35" s="108" t="n"/>
      <c r="FY35" s="107">
        <f>FX35*100/$E$35</f>
        <v/>
      </c>
      <c r="FZ35" s="108" t="n"/>
      <c r="GA35" s="107">
        <f>FZ35*100/$E$35</f>
        <v/>
      </c>
      <c r="GB35" s="108" t="n"/>
      <c r="GC35" s="107">
        <f>GB35*100/$E$35</f>
        <v/>
      </c>
      <c r="GD35" s="108" t="n"/>
      <c r="GE35" s="107">
        <f>GD35*100/$E$35</f>
        <v/>
      </c>
      <c r="GF35" s="108" t="n"/>
      <c r="GG35" s="107">
        <f>GF35*100/$E$35</f>
        <v/>
      </c>
      <c r="GH35" s="108" t="n"/>
      <c r="GI35" s="107">
        <f>GH35*100/$E$35</f>
        <v/>
      </c>
      <c r="GJ35" s="108" t="n"/>
      <c r="GK35" s="122">
        <f>GJ35*100/$E$35</f>
        <v/>
      </c>
      <c r="GL35" s="108" t="n"/>
      <c r="GM35" s="107">
        <f>GL35*100/$E$35</f>
        <v/>
      </c>
      <c r="GN35" s="108" t="n"/>
      <c r="GO35" s="122">
        <f>GN35*100/$E$35</f>
        <v/>
      </c>
      <c r="GP35" s="108" t="n"/>
      <c r="GQ35" s="107">
        <f>GP35*100/$E$35</f>
        <v/>
      </c>
      <c r="GR35" s="108" t="n"/>
      <c r="GS35" s="122">
        <f>GR35*100/$E$35</f>
        <v/>
      </c>
      <c r="GT35" s="108" t="n"/>
      <c r="GU35" s="122">
        <f>GT35*100/$E$35</f>
        <v/>
      </c>
      <c r="GV35" s="108" t="n"/>
      <c r="GW35" s="122">
        <f>GV35*100/$E$35</f>
        <v/>
      </c>
      <c r="GX35" s="108" t="n"/>
      <c r="GY35" s="107">
        <f>GX35*100/$E$35</f>
        <v/>
      </c>
      <c r="GZ35" s="108" t="n"/>
      <c r="HA35" s="107">
        <f>GZ35*100/$E$35</f>
        <v/>
      </c>
      <c r="HB35" s="108" t="n"/>
      <c r="HC35" s="107">
        <f>HB35*100/$E$35</f>
        <v/>
      </c>
      <c r="HD35" s="108" t="n"/>
      <c r="HE35" s="107">
        <f>HD35*100/$E$35</f>
        <v/>
      </c>
      <c r="HF35" s="108" t="n"/>
      <c r="HG35" s="107">
        <f>HF35*100/$E$35</f>
        <v/>
      </c>
      <c r="HH35" s="108" t="n"/>
      <c r="HI35" s="107">
        <f>HH35*100/$E$35</f>
        <v/>
      </c>
      <c r="HJ35" s="108" t="n"/>
      <c r="HK35" s="107">
        <f>HJ35*100/$E$35</f>
        <v/>
      </c>
      <c r="HL35" s="108" t="n"/>
      <c r="HM35" s="107">
        <f>HL35*100/$E$35</f>
        <v/>
      </c>
      <c r="HN35" s="108" t="n"/>
      <c r="HO35" s="107">
        <f>HN35*100/$E$35</f>
        <v/>
      </c>
      <c r="HP35" s="108" t="n"/>
      <c r="HQ35" s="107">
        <f>HP35*100/$E$35</f>
        <v/>
      </c>
      <c r="HR35" s="108" t="n"/>
      <c r="HS35" s="107">
        <f>HR35*100/$E$35</f>
        <v/>
      </c>
      <c r="HT35" s="108" t="n"/>
      <c r="HU35" s="107">
        <f>HT35*100/$E$35</f>
        <v/>
      </c>
      <c r="HV35" s="108" t="n"/>
      <c r="HW35" s="107">
        <f>HV35*100/$E$35</f>
        <v/>
      </c>
      <c r="HX35" s="108" t="n"/>
      <c r="HY35" s="107">
        <f>HX35*100/$E$35</f>
        <v/>
      </c>
      <c r="HZ35" s="108" t="n"/>
      <c r="IA35" s="122">
        <f>HZ35*100/$E$35</f>
        <v/>
      </c>
      <c r="IB35" s="108" t="n"/>
      <c r="IC35" s="122">
        <f>IB35*100/$E$35</f>
        <v/>
      </c>
      <c r="ID35" s="108" t="n"/>
      <c r="IE35" s="122">
        <f>ID35*100/$E$35</f>
        <v/>
      </c>
      <c r="IF35" s="108" t="n"/>
      <c r="IG35" s="122">
        <f>IF35*100/$E$35</f>
        <v/>
      </c>
      <c r="IH35" s="108" t="n"/>
      <c r="II35" s="122">
        <f>IH35*100/$E$35</f>
        <v/>
      </c>
      <c r="IJ35" s="108" t="n"/>
      <c r="IK35" s="122">
        <f>IJ35*100/$E$35</f>
        <v/>
      </c>
      <c r="IL35" s="108" t="n"/>
      <c r="IM35" s="107">
        <f>IL35*100/$E$35</f>
        <v/>
      </c>
      <c r="IN35" s="108" t="n"/>
      <c r="IO35" s="107">
        <f>IN35*100/$E$35</f>
        <v/>
      </c>
      <c r="IP35" s="108" t="n"/>
      <c r="IQ35" s="122">
        <f>IP35*100/$E$35</f>
        <v/>
      </c>
      <c r="IR35" s="108" t="n"/>
      <c r="IS35" s="122">
        <f>IR35*100/$E$35</f>
        <v/>
      </c>
      <c r="IT35" s="108" t="n"/>
      <c r="IU35" s="122">
        <f>IT35*100/$E$35</f>
        <v/>
      </c>
      <c r="IV35" s="108" t="n"/>
      <c r="IW35" s="122">
        <f>IV35*100/$E$35</f>
        <v/>
      </c>
      <c r="IX35" s="108" t="n"/>
      <c r="IY35" s="122">
        <f>IX35*100/$E$35</f>
        <v/>
      </c>
      <c r="IZ35" s="108" t="n"/>
      <c r="JA35" s="122">
        <f>IZ35*100/$E$35</f>
        <v/>
      </c>
      <c r="JB35" s="108" t="n"/>
      <c r="JC35" s="122">
        <f>JB35*100/$E$35</f>
        <v/>
      </c>
      <c r="JD35" s="108" t="n"/>
      <c r="JE35" s="122">
        <f>JD35*100/$E$35</f>
        <v/>
      </c>
      <c r="JF35" s="108" t="n"/>
      <c r="JG35" s="122">
        <f>JF35*100/$E$35</f>
        <v/>
      </c>
      <c r="JH35" s="108" t="n"/>
      <c r="JI35" s="122">
        <f>JH35*100/$E$35</f>
        <v/>
      </c>
      <c r="JJ35" s="108" t="n"/>
      <c r="JK35" s="122">
        <f>JJ35*100/$E$35</f>
        <v/>
      </c>
      <c r="JL35" s="108" t="n"/>
      <c r="JM35" s="122">
        <f>JL35*100/$E$35</f>
        <v/>
      </c>
      <c r="JN35" s="108" t="n"/>
      <c r="JO35" s="121">
        <f>JN35*100/$E$35</f>
        <v/>
      </c>
      <c r="JP35" s="108" t="n"/>
      <c r="JQ35" s="121">
        <f>JP35*100/$E$35</f>
        <v/>
      </c>
      <c r="JR35" s="108" t="n"/>
      <c r="JS35" s="121">
        <f>JR35*100/$E$35</f>
        <v/>
      </c>
      <c r="JT35" s="108" t="n"/>
      <c r="JU35" s="121">
        <f>JT35*100/$E$35</f>
        <v/>
      </c>
      <c r="JV35" s="108" t="n"/>
      <c r="JW35" s="121">
        <f>JV35*100/$E$35</f>
        <v/>
      </c>
      <c r="JX35" s="108" t="n"/>
      <c r="JY35" s="121">
        <f>JX35*100/$E$35</f>
        <v/>
      </c>
      <c r="JZ35" s="55">
        <f>JN35+JP35+JR35+JT35+JV35+JX35</f>
        <v/>
      </c>
      <c r="KA35" s="53">
        <f>JO35+JQ35+JS35+JU35+JW35+JY35</f>
        <v/>
      </c>
      <c r="KB35" s="64">
        <f>H35+J35+L35+N35+P35+R35+T35+V35+X35+Z35+AB35+AD35+AF35+AH35+AJ35+AL35+AN35+AP35+AR35+AT35+AV35+AX35+AZ35+BB35+BD35+BF35+BH35+BJ35+BL35+BN35+BP35+BR35+BT35+BV35+BX35+BZ35+CB35+CD35+CF35+CH35+CZ35+DB35+DD35+DF35+DH35+DJ35+DL35+DN35+DP35+DR35+DT35+DV35+DX35+DZ35+EB35+ED35+EF35+EH35+EJ35+EL35+EN35+EP35+ER35+ET35+EV35+FN35+FP35+FR35+FT35+FV35+FX35+FZ35+GB35+GD35+GF35+GH35+GJ35+GL35+GN35+GP35+GR35+GT35+GV35+GX35+GZ35+HB35+HD35+HF35+HH35+HJ35+HL35+HN35+HP35+HR35+HT35+HV35+HX35+HZ35+IB35+ID35+IF35+IH35+IJ35+IL35+IN35+IP35+IR35+IT35+IV35+IX35+IZ35+JB35+JD35+JF35+JH35+JJ35+JL35+JZ35+CJ35+CL35+CN35+CP35+CR35+CT35+CV35+CX35+EX35+EZ35+FB35+FD35+FF35+FH35+FJ35+FL35</f>
        <v/>
      </c>
      <c r="KC35" s="66">
        <f>I35+K35+M35+O35+Q35+S35+U35+W35+Y35+AA35+AC35+AE35+AG35+AI35+AK35+AM35+AO35+AQ35+AS35+AU35+AW35+AY35+BA35+BC35+BE35+BG35+BI35+BK35+BM35+BO35+BQ35+BS35+BU35+BW35+BY35+CA35+CC35+CE35+CG35+CI35+DA35+DC35+DE35+DG35+DI35+DK35+DM35+DO35+DQ35+DS35+DU35+DW35+DY35+EA35+EC35+EE35+EG35+EI35+EK35+EM35+EO35+EQ35+ES35+EU35+EW35+FO35+FS35+FU35+FW35+FQ35+FY35+GA35+GC35+GE35+GG35+GI35+GK35+GM35+GO35+GQ35+GS35+GU35+GW35+GY35+HA35+HC35+HE35+HG35+HI35+HK35+HM35+HO35+HQ35+HS35+HU35+HW35+HY35+IA35+IC35+IE35+IG35+II35+IK35+IM35+IO35+IQ35+IS35+IU35+IW35+IY35+JA35+JC35+JE35+JG35+JI35+JK35+JM35+KA35+CK35+CM35+CO35+CQ35+CS35+CU35+CW35+CY35+EY35+FA35+FC35+FE35+FG35+FI35+FK35+FM35</f>
        <v/>
      </c>
      <c r="KD35" s="44">
        <f>JO35+JQ35+JS35+JU35+JW35+JY35</f>
        <v/>
      </c>
      <c r="KE35" s="45">
        <f>KB35=E35</f>
        <v/>
      </c>
      <c r="KF35" s="101">
        <f>E35-KB35</f>
        <v/>
      </c>
      <c r="KG35" s="24" t="n"/>
    </row>
    <row r="36" ht="21.75" customFormat="1" customHeight="1" s="24">
      <c r="A36" s="126">
        <f>A35+1</f>
        <v/>
      </c>
      <c r="B36" s="198" t="inlineStr">
        <is>
          <t>Новокрещенов А.С.</t>
        </is>
      </c>
      <c r="C36" s="194" t="inlineStr">
        <is>
          <t>токарь-расточник</t>
        </is>
      </c>
      <c r="D36" s="177">
        <f>$D$5</f>
        <v/>
      </c>
      <c r="E36" s="202" t="n"/>
      <c r="F36" s="193" t="n">
        <v>107473.91</v>
      </c>
      <c r="G36" s="52">
        <f>F36/D36</f>
        <v/>
      </c>
      <c r="H36" s="125" t="n"/>
      <c r="I36" s="107">
        <f>H36*100/$E$36</f>
        <v/>
      </c>
      <c r="J36" s="108" t="n"/>
      <c r="K36" s="107">
        <f>J36*100/$E$36</f>
        <v/>
      </c>
      <c r="L36" s="108" t="n"/>
      <c r="M36" s="107">
        <f>L36*100/$E$36</f>
        <v/>
      </c>
      <c r="N36" s="108" t="n"/>
      <c r="O36" s="107">
        <f>N36*100/$E$36</f>
        <v/>
      </c>
      <c r="P36" s="108" t="n"/>
      <c r="Q36" s="122">
        <f>P36*100/$E$36</f>
        <v/>
      </c>
      <c r="R36" s="108" t="n"/>
      <c r="S36" s="122">
        <f>R36*100/$E$36</f>
        <v/>
      </c>
      <c r="T36" s="108" t="n"/>
      <c r="U36" s="107">
        <f>T36*100/$E$36</f>
        <v/>
      </c>
      <c r="V36" s="108" t="n"/>
      <c r="W36" s="107">
        <f>V36*100/$E$36</f>
        <v/>
      </c>
      <c r="X36" s="108" t="n"/>
      <c r="Y36" s="107">
        <f>X36*100/$E$36</f>
        <v/>
      </c>
      <c r="Z36" s="108" t="n"/>
      <c r="AA36" s="107">
        <f>Z36*100/$E$36</f>
        <v/>
      </c>
      <c r="AB36" s="108" t="n"/>
      <c r="AC36" s="107">
        <f>AB36*100/$E$36</f>
        <v/>
      </c>
      <c r="AD36" s="108" t="n"/>
      <c r="AE36" s="122">
        <f>AD36*100/$E$36</f>
        <v/>
      </c>
      <c r="AF36" s="108" t="n"/>
      <c r="AG36" s="122">
        <f>AF36*100/$E$36</f>
        <v/>
      </c>
      <c r="AH36" s="108" t="n"/>
      <c r="AI36" s="107">
        <f>AH36*100/$E$36</f>
        <v/>
      </c>
      <c r="AJ36" s="108" t="n"/>
      <c r="AK36" s="107">
        <f>AJ36*100/$E$36</f>
        <v/>
      </c>
      <c r="AL36" s="108" t="n"/>
      <c r="AM36" s="107">
        <f>AL36*100/$E$36</f>
        <v/>
      </c>
      <c r="AN36" s="108" t="n"/>
      <c r="AO36" s="107">
        <f>AN36*100/$E$36</f>
        <v/>
      </c>
      <c r="AP36" s="108" t="n"/>
      <c r="AQ36" s="107">
        <f>AP36*100/$E$36</f>
        <v/>
      </c>
      <c r="AR36" s="108" t="n"/>
      <c r="AS36" s="107">
        <f>AR36*100/$E$36</f>
        <v/>
      </c>
      <c r="AT36" s="108" t="n"/>
      <c r="AU36" s="90">
        <f>AT36*100/$E$36</f>
        <v/>
      </c>
      <c r="AV36" s="108" t="n"/>
      <c r="AW36" s="107">
        <f>AV36*100/$E$36</f>
        <v/>
      </c>
      <c r="AX36" s="108" t="n"/>
      <c r="AY36" s="107">
        <f>AX36*100/$E$36</f>
        <v/>
      </c>
      <c r="AZ36" s="108" t="n"/>
      <c r="BA36" s="107">
        <f>AZ36*100/$E$36</f>
        <v/>
      </c>
      <c r="BB36" s="108" t="n"/>
      <c r="BC36" s="107">
        <f>BB36*100/$E$36</f>
        <v/>
      </c>
      <c r="BD36" s="108" t="n"/>
      <c r="BE36" s="107">
        <f>BD36*100/$E$36</f>
        <v/>
      </c>
      <c r="BF36" s="108" t="n"/>
      <c r="BG36" s="107">
        <f>BF36*100/$E$36</f>
        <v/>
      </c>
      <c r="BH36" s="108" t="n"/>
      <c r="BI36" s="107">
        <f>BH36*100/$E$36</f>
        <v/>
      </c>
      <c r="BJ36" s="108" t="n"/>
      <c r="BK36" s="107">
        <f>BJ36*100/$E$36</f>
        <v/>
      </c>
      <c r="BL36" s="108" t="n"/>
      <c r="BM36" s="107">
        <f>BL36*100/$E$36</f>
        <v/>
      </c>
      <c r="BN36" s="108" t="n"/>
      <c r="BO36" s="107">
        <f>BN36*100/$E$36</f>
        <v/>
      </c>
      <c r="BP36" s="108" t="n"/>
      <c r="BQ36" s="107">
        <f>BP36*100/$E$36</f>
        <v/>
      </c>
      <c r="BR36" s="108" t="n"/>
      <c r="BS36" s="107">
        <f>BR36*100/$E$36</f>
        <v/>
      </c>
      <c r="BT36" s="108" t="n"/>
      <c r="BU36" s="107">
        <f>BT36*100/$E$36</f>
        <v/>
      </c>
      <c r="BV36" s="108" t="n"/>
      <c r="BW36" s="107">
        <f>BV36*100/$E$36</f>
        <v/>
      </c>
      <c r="BX36" s="108" t="n"/>
      <c r="BY36" s="107">
        <f>BX36*100/$E$36</f>
        <v/>
      </c>
      <c r="BZ36" s="108" t="n"/>
      <c r="CA36" s="107">
        <f>BZ36*100/$E$36</f>
        <v/>
      </c>
      <c r="CB36" s="108" t="n"/>
      <c r="CC36" s="107">
        <f>CB36*100/$E$36</f>
        <v/>
      </c>
      <c r="CD36" s="108" t="n"/>
      <c r="CE36" s="107">
        <f>CD36*100/$E$36</f>
        <v/>
      </c>
      <c r="CF36" s="108" t="n"/>
      <c r="CG36" s="107">
        <f>CF36*100/$E$36</f>
        <v/>
      </c>
      <c r="CH36" s="108" t="n"/>
      <c r="CI36" s="107">
        <f>CH36*100/$E$36</f>
        <v/>
      </c>
      <c r="CJ36" s="108" t="n"/>
      <c r="CK36" s="107">
        <f>CJ36*100/$E$36</f>
        <v/>
      </c>
      <c r="CL36" s="108" t="n"/>
      <c r="CM36" s="107">
        <f>CL36*100/$E$36</f>
        <v/>
      </c>
      <c r="CN36" s="108" t="n"/>
      <c r="CO36" s="122">
        <f>CN36*100/$E$36</f>
        <v/>
      </c>
      <c r="CP36" s="108" t="n"/>
      <c r="CQ36" s="107">
        <f>CP36*100/$E$36</f>
        <v/>
      </c>
      <c r="CR36" s="108" t="n"/>
      <c r="CS36" s="122">
        <f>CR36*100/$E$36</f>
        <v/>
      </c>
      <c r="CT36" s="108" t="n"/>
      <c r="CU36" s="122">
        <f>CT36*100/$E$36</f>
        <v/>
      </c>
      <c r="CV36" s="108" t="n"/>
      <c r="CW36" s="122">
        <f>CV36*100/$E$36</f>
        <v/>
      </c>
      <c r="CX36" s="108" t="n"/>
      <c r="CY36" s="122">
        <f>CX36*100/$E$36</f>
        <v/>
      </c>
      <c r="CZ36" s="108" t="n"/>
      <c r="DA36" s="122">
        <f>CZ36*100/$E$36</f>
        <v/>
      </c>
      <c r="DB36" s="108" t="n"/>
      <c r="DC36" s="122">
        <f>DB36*100/$E$36</f>
        <v/>
      </c>
      <c r="DD36" s="108" t="n"/>
      <c r="DE36" s="122">
        <f>DD36*100/$E$36</f>
        <v/>
      </c>
      <c r="DF36" s="108" t="n"/>
      <c r="DG36" s="122">
        <f>DF36*100/$E$36</f>
        <v/>
      </c>
      <c r="DH36" s="108" t="n"/>
      <c r="DI36" s="122">
        <f>DH36*100/$E$36</f>
        <v/>
      </c>
      <c r="DJ36" s="108" t="n"/>
      <c r="DK36" s="122">
        <f>DJ36*100/$E$36</f>
        <v/>
      </c>
      <c r="DL36" s="108" t="n"/>
      <c r="DM36" s="122">
        <f>DL36*100/$E$36</f>
        <v/>
      </c>
      <c r="DN36" s="108" t="n"/>
      <c r="DO36" s="122">
        <f>DN36*100/$E$36</f>
        <v/>
      </c>
      <c r="DP36" s="108" t="n"/>
      <c r="DQ36" s="122">
        <f>DP36*100/$E$36</f>
        <v/>
      </c>
      <c r="DR36" s="108" t="n"/>
      <c r="DS36" s="122">
        <f>DR36*100/$E$36</f>
        <v/>
      </c>
      <c r="DT36" s="108" t="n"/>
      <c r="DU36" s="122">
        <f>DT36*100/$E$36</f>
        <v/>
      </c>
      <c r="DV36" s="108" t="n"/>
      <c r="DW36" s="122">
        <f>DV36*100/$E$36</f>
        <v/>
      </c>
      <c r="DX36" s="108" t="n"/>
      <c r="DY36" s="122">
        <f>DX36*100/$E$36</f>
        <v/>
      </c>
      <c r="DZ36" s="108" t="n"/>
      <c r="EA36" s="122">
        <f>DZ36*100/$E$36</f>
        <v/>
      </c>
      <c r="EB36" s="108" t="n"/>
      <c r="EC36" s="122">
        <f>EB36*100/$E$36</f>
        <v/>
      </c>
      <c r="ED36" s="108" t="n"/>
      <c r="EE36" s="122">
        <f>ED36*100/$E$36</f>
        <v/>
      </c>
      <c r="EF36" s="108" t="n"/>
      <c r="EG36" s="122">
        <f>EF36*100/$E$36</f>
        <v/>
      </c>
      <c r="EH36" s="108" t="n"/>
      <c r="EI36" s="122">
        <f>EH36*100/$E$36</f>
        <v/>
      </c>
      <c r="EJ36" s="108" t="n"/>
      <c r="EK36" s="122">
        <f>EJ36*100/$E$36</f>
        <v/>
      </c>
      <c r="EL36" s="108" t="n"/>
      <c r="EM36" s="122">
        <f>EL36*100/$E$36</f>
        <v/>
      </c>
      <c r="EN36" s="108" t="n"/>
      <c r="EO36" s="122">
        <f>EN36*100/$E$36</f>
        <v/>
      </c>
      <c r="EP36" s="108" t="n"/>
      <c r="EQ36" s="122">
        <f>EP36*100/$E$36</f>
        <v/>
      </c>
      <c r="ER36" s="108" t="n"/>
      <c r="ES36" s="122">
        <f>ER36*100/$E$36</f>
        <v/>
      </c>
      <c r="ET36" s="108" t="n"/>
      <c r="EU36" s="122">
        <f>ET36*100/$E$36</f>
        <v/>
      </c>
      <c r="EV36" s="108" t="n"/>
      <c r="EW36" s="122">
        <f>EV36*100/$E$36</f>
        <v/>
      </c>
      <c r="EX36" s="108" t="n"/>
      <c r="EY36" s="122">
        <f>EX36*100/$E$36</f>
        <v/>
      </c>
      <c r="EZ36" s="108" t="n"/>
      <c r="FA36" s="122">
        <f>EZ36*100/$E$36</f>
        <v/>
      </c>
      <c r="FB36" s="108" t="n"/>
      <c r="FC36" s="122">
        <f>FB36*100/$E$36</f>
        <v/>
      </c>
      <c r="FD36" s="108" t="n"/>
      <c r="FE36" s="122">
        <f>FD36*100/$E$36</f>
        <v/>
      </c>
      <c r="FF36" s="108" t="n"/>
      <c r="FG36" s="122">
        <f>FF36*100/$E$36</f>
        <v/>
      </c>
      <c r="FH36" s="108" t="n"/>
      <c r="FI36" s="122">
        <f>FH36*100/$E$36</f>
        <v/>
      </c>
      <c r="FJ36" s="108" t="n"/>
      <c r="FK36" s="122">
        <f>FJ36*100/$E$36</f>
        <v/>
      </c>
      <c r="FL36" s="108" t="n"/>
      <c r="FM36" s="122">
        <f>FL36*100/$E$36</f>
        <v/>
      </c>
      <c r="FN36" s="108" t="n"/>
      <c r="FO36" s="122">
        <f>FN36*100/$E$36</f>
        <v/>
      </c>
      <c r="FP36" s="108" t="n"/>
      <c r="FQ36" s="122">
        <f>FP36*100/$E$36</f>
        <v/>
      </c>
      <c r="FR36" s="108" t="n"/>
      <c r="FS36" s="122">
        <f>FR36*100/$E$36</f>
        <v/>
      </c>
      <c r="FT36" s="108" t="n"/>
      <c r="FU36" s="122">
        <f>FT36*100/$E$36</f>
        <v/>
      </c>
      <c r="FV36" s="108" t="n"/>
      <c r="FW36" s="122">
        <f>FV36*100/$E$36</f>
        <v/>
      </c>
      <c r="FX36" s="108" t="n"/>
      <c r="FY36" s="107">
        <f>FX36*100/$E$36</f>
        <v/>
      </c>
      <c r="FZ36" s="108" t="n"/>
      <c r="GA36" s="107">
        <f>FZ36*100/$E$36</f>
        <v/>
      </c>
      <c r="GB36" s="108" t="n"/>
      <c r="GC36" s="107">
        <f>GB36*100/$E$36</f>
        <v/>
      </c>
      <c r="GD36" s="108" t="n"/>
      <c r="GE36" s="107">
        <f>GD36*100/$E$36</f>
        <v/>
      </c>
      <c r="GF36" s="108" t="n"/>
      <c r="GG36" s="107">
        <f>GF36*100/$E$36</f>
        <v/>
      </c>
      <c r="GH36" s="108" t="n"/>
      <c r="GI36" s="107">
        <f>GH36*100/$E$36</f>
        <v/>
      </c>
      <c r="GJ36" s="108" t="n"/>
      <c r="GK36" s="122">
        <f>GJ36*100/$E$36</f>
        <v/>
      </c>
      <c r="GL36" s="108" t="n"/>
      <c r="GM36" s="107">
        <f>GL36*100/$E$36</f>
        <v/>
      </c>
      <c r="GN36" s="108" t="n"/>
      <c r="GO36" s="122">
        <f>GN36*100/$E$36</f>
        <v/>
      </c>
      <c r="GP36" s="108" t="n"/>
      <c r="GQ36" s="107">
        <f>GP36*100/$E$36</f>
        <v/>
      </c>
      <c r="GR36" s="108" t="n"/>
      <c r="GS36" s="122">
        <f>GR36*100/$E$36</f>
        <v/>
      </c>
      <c r="GT36" s="108" t="n"/>
      <c r="GU36" s="122">
        <f>GT36*100/$E$36</f>
        <v/>
      </c>
      <c r="GV36" s="108" t="n"/>
      <c r="GW36" s="122">
        <f>GV36*100/$E$36</f>
        <v/>
      </c>
      <c r="GX36" s="108" t="n"/>
      <c r="GY36" s="107">
        <f>GX36*100/$E$36</f>
        <v/>
      </c>
      <c r="GZ36" s="108" t="n"/>
      <c r="HA36" s="107">
        <f>GZ36*100/$E$36</f>
        <v/>
      </c>
      <c r="HB36" s="108" t="n"/>
      <c r="HC36" s="107">
        <f>HB36*100/$E$36</f>
        <v/>
      </c>
      <c r="HD36" s="108" t="n"/>
      <c r="HE36" s="107">
        <f>HD36*100/$E$36</f>
        <v/>
      </c>
      <c r="HF36" s="108" t="n"/>
      <c r="HG36" s="107">
        <f>HF36*100/$E$36</f>
        <v/>
      </c>
      <c r="HH36" s="108" t="n"/>
      <c r="HI36" s="107">
        <f>HH36*100/$E$36</f>
        <v/>
      </c>
      <c r="HJ36" s="108" t="n"/>
      <c r="HK36" s="107">
        <f>HJ36*100/$E$36</f>
        <v/>
      </c>
      <c r="HL36" s="108" t="n"/>
      <c r="HM36" s="107">
        <f>HL36*100/$E$36</f>
        <v/>
      </c>
      <c r="HN36" s="108" t="n"/>
      <c r="HO36" s="107">
        <f>HN36*100/$E$36</f>
        <v/>
      </c>
      <c r="HP36" s="108" t="n"/>
      <c r="HQ36" s="107">
        <f>HP36*100/$E$36</f>
        <v/>
      </c>
      <c r="HR36" s="108" t="n"/>
      <c r="HS36" s="107">
        <f>HR36*100/$E$36</f>
        <v/>
      </c>
      <c r="HT36" s="108" t="n"/>
      <c r="HU36" s="107">
        <f>HT36*100/$E$36</f>
        <v/>
      </c>
      <c r="HV36" s="108" t="n"/>
      <c r="HW36" s="107">
        <f>HV36*100/$E$36</f>
        <v/>
      </c>
      <c r="HX36" s="108" t="n"/>
      <c r="HY36" s="107">
        <f>HX36*100/$E$36</f>
        <v/>
      </c>
      <c r="HZ36" s="108" t="n"/>
      <c r="IA36" s="122">
        <f>HZ36*100/$E$36</f>
        <v/>
      </c>
      <c r="IB36" s="108" t="n"/>
      <c r="IC36" s="122">
        <f>IB36*100/$E$36</f>
        <v/>
      </c>
      <c r="ID36" s="108" t="n"/>
      <c r="IE36" s="122">
        <f>ID36*100/$E$36</f>
        <v/>
      </c>
      <c r="IF36" s="108" t="n"/>
      <c r="IG36" s="122">
        <f>IF36*100/$E$36</f>
        <v/>
      </c>
      <c r="IH36" s="108" t="n"/>
      <c r="II36" s="122">
        <f>IH36*100/$E$36</f>
        <v/>
      </c>
      <c r="IJ36" s="108" t="n"/>
      <c r="IK36" s="122">
        <f>IJ36*100/$E$36</f>
        <v/>
      </c>
      <c r="IL36" s="108" t="n"/>
      <c r="IM36" s="107">
        <f>IL36*100/$E$36</f>
        <v/>
      </c>
      <c r="IN36" s="108" t="n"/>
      <c r="IO36" s="107">
        <f>IN36*100/$E$36</f>
        <v/>
      </c>
      <c r="IP36" s="108" t="n"/>
      <c r="IQ36" s="122">
        <f>IP36*100/$E$36</f>
        <v/>
      </c>
      <c r="IR36" s="108" t="n"/>
      <c r="IS36" s="122">
        <f>IR36*100/$E$36</f>
        <v/>
      </c>
      <c r="IT36" s="108" t="n"/>
      <c r="IU36" s="122">
        <f>IT36*100/$E$36</f>
        <v/>
      </c>
      <c r="IV36" s="108" t="n"/>
      <c r="IW36" s="122">
        <f>IV36*100/$E$36</f>
        <v/>
      </c>
      <c r="IX36" s="108" t="n"/>
      <c r="IY36" s="122">
        <f>IX36*100/$E$36</f>
        <v/>
      </c>
      <c r="IZ36" s="108" t="n"/>
      <c r="JA36" s="122">
        <f>IZ36*100/$E$36</f>
        <v/>
      </c>
      <c r="JB36" s="108" t="n"/>
      <c r="JC36" s="122">
        <f>JB36*100/$E$36</f>
        <v/>
      </c>
      <c r="JD36" s="108" t="n"/>
      <c r="JE36" s="122">
        <f>JD36*100/$E$36</f>
        <v/>
      </c>
      <c r="JF36" s="108" t="n"/>
      <c r="JG36" s="122">
        <f>JF36*100/$E$36</f>
        <v/>
      </c>
      <c r="JH36" s="108" t="n"/>
      <c r="JI36" s="122">
        <f>JH36*100/$E$36</f>
        <v/>
      </c>
      <c r="JJ36" s="108" t="n"/>
      <c r="JK36" s="122">
        <f>JJ36*100/$E$36</f>
        <v/>
      </c>
      <c r="JL36" s="108" t="n"/>
      <c r="JM36" s="122">
        <f>JL36*100/$E$36</f>
        <v/>
      </c>
      <c r="JN36" s="108" t="n"/>
      <c r="JO36" s="121">
        <f>JN36*100/$E$36</f>
        <v/>
      </c>
      <c r="JP36" s="108" t="n"/>
      <c r="JQ36" s="121">
        <f>JP36*100/$E$36</f>
        <v/>
      </c>
      <c r="JR36" s="108" t="n"/>
      <c r="JS36" s="121">
        <f>JR36*100/$E$36</f>
        <v/>
      </c>
      <c r="JT36" s="108" t="n"/>
      <c r="JU36" s="121">
        <f>JT36*100/$E$36</f>
        <v/>
      </c>
      <c r="JV36" s="108" t="n"/>
      <c r="JW36" s="121">
        <f>JV36*100/$E$36</f>
        <v/>
      </c>
      <c r="JX36" s="108" t="n"/>
      <c r="JY36" s="121">
        <f>JX36*100/$E$36</f>
        <v/>
      </c>
      <c r="JZ36" s="55">
        <f>JN36+JP36+JR36+JT36+JV36+JX36</f>
        <v/>
      </c>
      <c r="KA36" s="53">
        <f>JO36+JQ36+JS36+JU36+JW36+JY36</f>
        <v/>
      </c>
      <c r="KB36" s="64">
        <f>H36+J36+L36+N36+P36+R36+T36+V36+X36+Z36+AB36+AD36+AF36+AH36+AJ36+AL36+AN36+AP36+AR36+AT36+AV36+AX36+AZ36+BB36+BD36+BF36+BH36+BJ36+BL36+BN36+BP36+BR36+BT36+BV36+BX36+BZ36+CB36+CD36+CF36+CH36+CZ36+DB36+DD36+DF36+DH36+DJ36+DL36+DN36+DP36+DR36+DT36+DV36+DX36+DZ36+EB36+ED36+EF36+EH36+EJ36+EL36+EN36+EP36+ER36+ET36+EV36+FN36+FP36+FR36+FT36+FV36+FX36+FZ36+GB36+GD36+GF36+GH36+GJ36+GL36+GN36+GP36+GR36+GT36+GV36+GX36+GZ36+HB36+HD36+HF36+HH36+HJ36+HL36+HN36+HP36+HR36+HT36+HV36+HX36+HZ36+IB36+ID36+IF36+IH36+IJ36+IL36+IN36+IP36+IR36+IT36+IV36+IX36+IZ36+JB36+JD36+JF36+JH36+JJ36+JL36+JZ36+CJ36+CL36+CN36+CP36+CR36+CT36+CV36+CX36+EX36+EZ36+FB36+FD36+FF36+FH36+FJ36+FL36</f>
        <v/>
      </c>
      <c r="KC36" s="66">
        <f>I36+K36+M36+O36+Q36+S36+U36+W36+Y36+AA36+AC36+AE36+AG36+AI36+AK36+AM36+AO36+AQ36+AS36+AU36+AW36+AY36+BA36+BC36+BE36+BG36+BI36+BK36+BM36+BO36+BQ36+BS36+BU36+BW36+BY36+CA36+CC36+CE36+CG36+CI36+DA36+DC36+DE36+DG36+DI36+DK36+DM36+DO36+DQ36+DS36+DU36+DW36+DY36+EA36+EC36+EE36+EG36+EI36+EK36+EM36+EO36+EQ36+ES36+EU36+EW36+FO36+FS36+FU36+FW36+FQ36+FY36+GA36+GC36+GE36+GG36+GI36+GK36+GM36+GO36+GQ36+GS36+GU36+GW36+GY36+HA36+HC36+HE36+HG36+HI36+HK36+HM36+HO36+HQ36+HS36+HU36+HW36+HY36+IA36+IC36+IE36+IG36+II36+IK36+IM36+IO36+IQ36+IS36+IU36+IW36+IY36+JA36+JC36+JE36+JG36+JI36+JK36+JM36+KA36+CK36+CM36+CO36+CQ36+CS36+CU36+CW36+CY36+EY36+FA36+FC36+FE36+FG36+FI36+FK36+FM36</f>
        <v/>
      </c>
      <c r="KD36" s="44">
        <f>JO36+JQ36+JS36+JU36+JW36+JY36</f>
        <v/>
      </c>
      <c r="KE36" s="45">
        <f>KB36=E36</f>
        <v/>
      </c>
      <c r="KF36" s="101">
        <f>E36-KB36</f>
        <v/>
      </c>
      <c r="KG36" s="22" t="n"/>
    </row>
    <row r="37" ht="21.75" customFormat="1" customHeight="1" s="22">
      <c r="A37" s="126">
        <f>A36+1</f>
        <v/>
      </c>
      <c r="B37" s="175" t="inlineStr">
        <is>
          <t>Носиков А.А.</t>
        </is>
      </c>
      <c r="C37" s="194" t="inlineStr">
        <is>
          <t>Фрезеровщик</t>
        </is>
      </c>
      <c r="D37" s="177">
        <f>$D$5</f>
        <v/>
      </c>
      <c r="E37" s="202" t="n"/>
      <c r="F37" s="193" t="n">
        <v>101150.05</v>
      </c>
      <c r="G37" s="52">
        <f>F37/D37</f>
        <v/>
      </c>
      <c r="H37" s="125" t="n"/>
      <c r="I37" s="107">
        <f>H37*100/$E$37</f>
        <v/>
      </c>
      <c r="J37" s="108" t="n"/>
      <c r="K37" s="107">
        <f>J37*100/$E$37</f>
        <v/>
      </c>
      <c r="L37" s="108" t="n"/>
      <c r="M37" s="107">
        <f>L37*100/$E$37</f>
        <v/>
      </c>
      <c r="N37" s="108" t="n"/>
      <c r="O37" s="107">
        <f>N37*100/$E$37</f>
        <v/>
      </c>
      <c r="P37" s="108" t="n"/>
      <c r="Q37" s="122">
        <f>P37*100/$E$37</f>
        <v/>
      </c>
      <c r="R37" s="108" t="n"/>
      <c r="S37" s="122">
        <f>R37*100/$E$37</f>
        <v/>
      </c>
      <c r="T37" s="108" t="n"/>
      <c r="U37" s="107">
        <f>T37*100/$E$37</f>
        <v/>
      </c>
      <c r="V37" s="108" t="n"/>
      <c r="W37" s="107">
        <f>V37*100/$E$37</f>
        <v/>
      </c>
      <c r="X37" s="108" t="n"/>
      <c r="Y37" s="107">
        <f>X37*100/$E$37</f>
        <v/>
      </c>
      <c r="Z37" s="108" t="n"/>
      <c r="AA37" s="107">
        <f>Z37*100/$E$37</f>
        <v/>
      </c>
      <c r="AB37" s="108" t="n"/>
      <c r="AC37" s="107">
        <f>AB37*100/$E$37</f>
        <v/>
      </c>
      <c r="AD37" s="108" t="n"/>
      <c r="AE37" s="122">
        <f>AD37*100/$E$37</f>
        <v/>
      </c>
      <c r="AF37" s="108" t="n"/>
      <c r="AG37" s="122">
        <f>AF37*100/$E$37</f>
        <v/>
      </c>
      <c r="AH37" s="108" t="n"/>
      <c r="AI37" s="107">
        <f>AH37*100/$E$37</f>
        <v/>
      </c>
      <c r="AJ37" s="108" t="n"/>
      <c r="AK37" s="107">
        <f>AJ37*100/$E$37</f>
        <v/>
      </c>
      <c r="AL37" s="108" t="n"/>
      <c r="AM37" s="107">
        <f>AL37*100/$E$37</f>
        <v/>
      </c>
      <c r="AN37" s="108" t="n"/>
      <c r="AO37" s="107">
        <f>AN37*100/$E$37</f>
        <v/>
      </c>
      <c r="AP37" s="108" t="n"/>
      <c r="AQ37" s="107">
        <f>AP37*100/$E$37</f>
        <v/>
      </c>
      <c r="AR37" s="108" t="n"/>
      <c r="AS37" s="107">
        <f>AR37*100/$E$37</f>
        <v/>
      </c>
      <c r="AT37" s="108" t="n"/>
      <c r="AU37" s="90">
        <f>AT37*100/$E$37</f>
        <v/>
      </c>
      <c r="AV37" s="108" t="n"/>
      <c r="AW37" s="107">
        <f>AV37*100/$E$37</f>
        <v/>
      </c>
      <c r="AX37" s="108" t="n"/>
      <c r="AY37" s="107">
        <f>AX37*100/$E$37</f>
        <v/>
      </c>
      <c r="AZ37" s="108" t="n"/>
      <c r="BA37" s="107">
        <f>AZ37*100/$E$37</f>
        <v/>
      </c>
      <c r="BB37" s="108" t="n"/>
      <c r="BC37" s="107">
        <f>BB37*100/$E$37</f>
        <v/>
      </c>
      <c r="BD37" s="108" t="n"/>
      <c r="BE37" s="107">
        <f>BD37*100/$E$37</f>
        <v/>
      </c>
      <c r="BF37" s="108" t="n"/>
      <c r="BG37" s="107">
        <f>BF37*100/$E$37</f>
        <v/>
      </c>
      <c r="BH37" s="108" t="n"/>
      <c r="BI37" s="107">
        <f>BH37*100/$E$37</f>
        <v/>
      </c>
      <c r="BJ37" s="108" t="n"/>
      <c r="BK37" s="107">
        <f>BJ37*100/$E$37</f>
        <v/>
      </c>
      <c r="BL37" s="108" t="n"/>
      <c r="BM37" s="107">
        <f>BL37*100/$E$37</f>
        <v/>
      </c>
      <c r="BN37" s="108" t="n"/>
      <c r="BO37" s="107">
        <f>BN37*100/$E$37</f>
        <v/>
      </c>
      <c r="BP37" s="108" t="n"/>
      <c r="BQ37" s="107">
        <f>BP37*100/$E$37</f>
        <v/>
      </c>
      <c r="BR37" s="108" t="n"/>
      <c r="BS37" s="107">
        <f>BR37*100/$E$37</f>
        <v/>
      </c>
      <c r="BT37" s="108" t="n"/>
      <c r="BU37" s="107">
        <f>BT37*100/$E$37</f>
        <v/>
      </c>
      <c r="BV37" s="108" t="n"/>
      <c r="BW37" s="107">
        <f>BV37*100/$E$37</f>
        <v/>
      </c>
      <c r="BX37" s="108" t="n"/>
      <c r="BY37" s="107">
        <f>BX37*100/$E$37</f>
        <v/>
      </c>
      <c r="BZ37" s="108" t="n"/>
      <c r="CA37" s="107">
        <f>BZ37*100/$E$37</f>
        <v/>
      </c>
      <c r="CB37" s="108" t="n"/>
      <c r="CC37" s="107">
        <f>CB37*100/$E$37</f>
        <v/>
      </c>
      <c r="CD37" s="108" t="n"/>
      <c r="CE37" s="107">
        <f>CD37*100/$E$37</f>
        <v/>
      </c>
      <c r="CF37" s="108" t="n"/>
      <c r="CG37" s="107">
        <f>CF37*100/$E$37</f>
        <v/>
      </c>
      <c r="CH37" s="108" t="n"/>
      <c r="CI37" s="107">
        <f>CH37*100/$E$37</f>
        <v/>
      </c>
      <c r="CJ37" s="108" t="n"/>
      <c r="CK37" s="107">
        <f>CJ37*100/$E$37</f>
        <v/>
      </c>
      <c r="CL37" s="108" t="n"/>
      <c r="CM37" s="107">
        <f>CL37*100/$E$37</f>
        <v/>
      </c>
      <c r="CN37" s="108" t="n"/>
      <c r="CO37" s="122">
        <f>CN37*100/$E$37</f>
        <v/>
      </c>
      <c r="CP37" s="108" t="n"/>
      <c r="CQ37" s="107">
        <f>CP37*100/$E$37</f>
        <v/>
      </c>
      <c r="CR37" s="108" t="n"/>
      <c r="CS37" s="122">
        <f>CR37*100/$E$37</f>
        <v/>
      </c>
      <c r="CT37" s="108" t="n"/>
      <c r="CU37" s="122">
        <f>CT37*100/$E$37</f>
        <v/>
      </c>
      <c r="CV37" s="108" t="n"/>
      <c r="CW37" s="122">
        <f>CV37*100/$E$37</f>
        <v/>
      </c>
      <c r="CX37" s="108" t="n"/>
      <c r="CY37" s="122">
        <f>CX37*100/$E$37</f>
        <v/>
      </c>
      <c r="CZ37" s="108" t="n"/>
      <c r="DA37" s="122">
        <f>CZ37*100/$E$37</f>
        <v/>
      </c>
      <c r="DB37" s="108" t="n"/>
      <c r="DC37" s="122">
        <f>DB37*100/$E$37</f>
        <v/>
      </c>
      <c r="DD37" s="108" t="n"/>
      <c r="DE37" s="122">
        <f>DD37*100/$E$37</f>
        <v/>
      </c>
      <c r="DF37" s="108" t="n"/>
      <c r="DG37" s="122">
        <f>DF37*100/$E$37</f>
        <v/>
      </c>
      <c r="DH37" s="108" t="n"/>
      <c r="DI37" s="122">
        <f>DH37*100/$E$37</f>
        <v/>
      </c>
      <c r="DJ37" s="108" t="n"/>
      <c r="DK37" s="122">
        <f>DJ37*100/$E$37</f>
        <v/>
      </c>
      <c r="DL37" s="108" t="n"/>
      <c r="DM37" s="122">
        <f>DL37*100/$E$37</f>
        <v/>
      </c>
      <c r="DN37" s="108" t="n"/>
      <c r="DO37" s="122">
        <f>DN37*100/$E$37</f>
        <v/>
      </c>
      <c r="DP37" s="108" t="n"/>
      <c r="DQ37" s="122">
        <f>DP37*100/$E$37</f>
        <v/>
      </c>
      <c r="DR37" s="108" t="n"/>
      <c r="DS37" s="122">
        <f>DR37*100/$E$37</f>
        <v/>
      </c>
      <c r="DT37" s="108" t="n"/>
      <c r="DU37" s="122">
        <f>DT37*100/$E$37</f>
        <v/>
      </c>
      <c r="DV37" s="108" t="n"/>
      <c r="DW37" s="122">
        <f>DV37*100/$E$37</f>
        <v/>
      </c>
      <c r="DX37" s="108" t="n"/>
      <c r="DY37" s="122">
        <f>DX37*100/$E$37</f>
        <v/>
      </c>
      <c r="DZ37" s="108" t="n"/>
      <c r="EA37" s="122">
        <f>DZ37*100/$E$37</f>
        <v/>
      </c>
      <c r="EB37" s="108" t="n"/>
      <c r="EC37" s="122">
        <f>EB37*100/$E$37</f>
        <v/>
      </c>
      <c r="ED37" s="108" t="n"/>
      <c r="EE37" s="122">
        <f>ED37*100/$E$37</f>
        <v/>
      </c>
      <c r="EF37" s="108" t="n"/>
      <c r="EG37" s="122">
        <f>EF37*100/$E$37</f>
        <v/>
      </c>
      <c r="EH37" s="108" t="n"/>
      <c r="EI37" s="122">
        <f>EH37*100/$E$37</f>
        <v/>
      </c>
      <c r="EJ37" s="108" t="n"/>
      <c r="EK37" s="122">
        <f>EJ37*100/$E$37</f>
        <v/>
      </c>
      <c r="EL37" s="108" t="n"/>
      <c r="EM37" s="122">
        <f>EL37*100/$E$37</f>
        <v/>
      </c>
      <c r="EN37" s="108" t="n"/>
      <c r="EO37" s="122">
        <f>EN37*100/$E$37</f>
        <v/>
      </c>
      <c r="EP37" s="108" t="n"/>
      <c r="EQ37" s="122">
        <f>EP37*100/$E$37</f>
        <v/>
      </c>
      <c r="ER37" s="108" t="n"/>
      <c r="ES37" s="122">
        <f>ER37*100/$E$37</f>
        <v/>
      </c>
      <c r="ET37" s="108" t="n"/>
      <c r="EU37" s="122">
        <f>ET37*100/$E$37</f>
        <v/>
      </c>
      <c r="EV37" s="108" t="n"/>
      <c r="EW37" s="122">
        <f>EV37*100/$E$37</f>
        <v/>
      </c>
      <c r="EX37" s="108" t="n"/>
      <c r="EY37" s="122">
        <f>EX37*100/$E$37</f>
        <v/>
      </c>
      <c r="EZ37" s="108" t="n"/>
      <c r="FA37" s="122">
        <f>EZ37*100/$E$37</f>
        <v/>
      </c>
      <c r="FB37" s="108" t="n"/>
      <c r="FC37" s="122">
        <f>FB37*100/$E$37</f>
        <v/>
      </c>
      <c r="FD37" s="108" t="n"/>
      <c r="FE37" s="122">
        <f>FD37*100/$E$37</f>
        <v/>
      </c>
      <c r="FF37" s="108" t="n"/>
      <c r="FG37" s="122">
        <f>FF37*100/$E$37</f>
        <v/>
      </c>
      <c r="FH37" s="108" t="n"/>
      <c r="FI37" s="122">
        <f>FH37*100/$E$37</f>
        <v/>
      </c>
      <c r="FJ37" s="108" t="n"/>
      <c r="FK37" s="122">
        <f>FJ37*100/$E$37</f>
        <v/>
      </c>
      <c r="FL37" s="108" t="n"/>
      <c r="FM37" s="122">
        <f>FL37*100/$E$37</f>
        <v/>
      </c>
      <c r="FN37" s="108" t="n"/>
      <c r="FO37" s="122">
        <f>FN37*100/$E$37</f>
        <v/>
      </c>
      <c r="FP37" s="108" t="n"/>
      <c r="FQ37" s="122">
        <f>FP37*100/$E$37</f>
        <v/>
      </c>
      <c r="FR37" s="108" t="n"/>
      <c r="FS37" s="122">
        <f>FR37*100/$E$37</f>
        <v/>
      </c>
      <c r="FT37" s="108" t="n"/>
      <c r="FU37" s="122">
        <f>FT37*100/$E$37</f>
        <v/>
      </c>
      <c r="FV37" s="108" t="n"/>
      <c r="FW37" s="122">
        <f>FV37*100/$E$37</f>
        <v/>
      </c>
      <c r="FX37" s="108" t="n"/>
      <c r="FY37" s="107">
        <f>FX37*100/$E$37</f>
        <v/>
      </c>
      <c r="FZ37" s="108" t="n"/>
      <c r="GA37" s="107">
        <f>FZ37*100/$E$37</f>
        <v/>
      </c>
      <c r="GB37" s="108" t="n"/>
      <c r="GC37" s="107">
        <f>GB37*100/$E$37</f>
        <v/>
      </c>
      <c r="GD37" s="108" t="n"/>
      <c r="GE37" s="107">
        <f>GD37*100/$E$37</f>
        <v/>
      </c>
      <c r="GF37" s="108" t="n"/>
      <c r="GG37" s="107">
        <f>GF37*100/$E$37</f>
        <v/>
      </c>
      <c r="GH37" s="108" t="n"/>
      <c r="GI37" s="107">
        <f>GH37*100/$E$37</f>
        <v/>
      </c>
      <c r="GJ37" s="108" t="n"/>
      <c r="GK37" s="122">
        <f>GJ37*100/$E$37</f>
        <v/>
      </c>
      <c r="GL37" s="108" t="n"/>
      <c r="GM37" s="107">
        <f>GL37*100/$E$37</f>
        <v/>
      </c>
      <c r="GN37" s="108" t="n"/>
      <c r="GO37" s="122">
        <f>GN37*100/$E$37</f>
        <v/>
      </c>
      <c r="GP37" s="108" t="n"/>
      <c r="GQ37" s="107">
        <f>GP37*100/$E$37</f>
        <v/>
      </c>
      <c r="GR37" s="108" t="n"/>
      <c r="GS37" s="122">
        <f>GR37*100/$E$37</f>
        <v/>
      </c>
      <c r="GT37" s="108" t="n"/>
      <c r="GU37" s="122">
        <f>GT37*100/$E$37</f>
        <v/>
      </c>
      <c r="GV37" s="108" t="n"/>
      <c r="GW37" s="122">
        <f>GV37*100/$E$37</f>
        <v/>
      </c>
      <c r="GX37" s="108" t="n"/>
      <c r="GY37" s="107">
        <f>GX37*100/$E$37</f>
        <v/>
      </c>
      <c r="GZ37" s="108" t="n"/>
      <c r="HA37" s="107">
        <f>GZ37*100/$E$37</f>
        <v/>
      </c>
      <c r="HB37" s="108" t="n"/>
      <c r="HC37" s="107">
        <f>HB37*100/$E$37</f>
        <v/>
      </c>
      <c r="HD37" s="108" t="n"/>
      <c r="HE37" s="107">
        <f>HD37*100/$E$37</f>
        <v/>
      </c>
      <c r="HF37" s="108" t="n"/>
      <c r="HG37" s="107">
        <f>HF37*100/$E$37</f>
        <v/>
      </c>
      <c r="HH37" s="108" t="n"/>
      <c r="HI37" s="107">
        <f>HH37*100/$E$37</f>
        <v/>
      </c>
      <c r="HJ37" s="108" t="n"/>
      <c r="HK37" s="107">
        <f>HJ37*100/$E$37</f>
        <v/>
      </c>
      <c r="HL37" s="108" t="n"/>
      <c r="HM37" s="107">
        <f>HL37*100/$E$37</f>
        <v/>
      </c>
      <c r="HN37" s="108" t="n"/>
      <c r="HO37" s="107">
        <f>HN37*100/$E$37</f>
        <v/>
      </c>
      <c r="HP37" s="108" t="n"/>
      <c r="HQ37" s="107">
        <f>HP37*100/$E$37</f>
        <v/>
      </c>
      <c r="HR37" s="108" t="n"/>
      <c r="HS37" s="107">
        <f>HR37*100/$E$37</f>
        <v/>
      </c>
      <c r="HT37" s="108" t="n"/>
      <c r="HU37" s="107">
        <f>HT37*100/$E$37</f>
        <v/>
      </c>
      <c r="HV37" s="108" t="n"/>
      <c r="HW37" s="107">
        <f>HV37*100/$E$37</f>
        <v/>
      </c>
      <c r="HX37" s="108" t="n"/>
      <c r="HY37" s="107">
        <f>HX37*100/$E$37</f>
        <v/>
      </c>
      <c r="HZ37" s="108" t="n"/>
      <c r="IA37" s="122">
        <f>HZ37*100/$E$37</f>
        <v/>
      </c>
      <c r="IB37" s="108" t="n"/>
      <c r="IC37" s="122">
        <f>IB37*100/$E$37</f>
        <v/>
      </c>
      <c r="ID37" s="108" t="n"/>
      <c r="IE37" s="122">
        <f>ID37*100/$E$37</f>
        <v/>
      </c>
      <c r="IF37" s="108" t="n"/>
      <c r="IG37" s="122">
        <f>IF37*100/$E$37</f>
        <v/>
      </c>
      <c r="IH37" s="108" t="n"/>
      <c r="II37" s="122">
        <f>IH37*100/$E$37</f>
        <v/>
      </c>
      <c r="IJ37" s="108" t="n"/>
      <c r="IK37" s="122">
        <f>IJ37*100/$E$37</f>
        <v/>
      </c>
      <c r="IL37" s="108" t="n"/>
      <c r="IM37" s="107">
        <f>IL37*100/$E$37</f>
        <v/>
      </c>
      <c r="IN37" s="108" t="n"/>
      <c r="IO37" s="107">
        <f>IN37*100/$E$37</f>
        <v/>
      </c>
      <c r="IP37" s="108" t="n"/>
      <c r="IQ37" s="122">
        <f>IP37*100/$E$37</f>
        <v/>
      </c>
      <c r="IR37" s="108" t="n"/>
      <c r="IS37" s="122">
        <f>IR37*100/$E$37</f>
        <v/>
      </c>
      <c r="IT37" s="108" t="n"/>
      <c r="IU37" s="122">
        <f>IT37*100/$E$37</f>
        <v/>
      </c>
      <c r="IV37" s="108" t="n"/>
      <c r="IW37" s="122">
        <f>IV37*100/$E$37</f>
        <v/>
      </c>
      <c r="IX37" s="108" t="n"/>
      <c r="IY37" s="122">
        <f>IX37*100/$E$37</f>
        <v/>
      </c>
      <c r="IZ37" s="108" t="n"/>
      <c r="JA37" s="122">
        <f>IZ37*100/$E$37</f>
        <v/>
      </c>
      <c r="JB37" s="108" t="n"/>
      <c r="JC37" s="122">
        <f>JB37*100/$E$37</f>
        <v/>
      </c>
      <c r="JD37" s="108" t="n"/>
      <c r="JE37" s="122">
        <f>JD37*100/$E$37</f>
        <v/>
      </c>
      <c r="JF37" s="108" t="n"/>
      <c r="JG37" s="122">
        <f>JF37*100/$E$37</f>
        <v/>
      </c>
      <c r="JH37" s="108" t="n"/>
      <c r="JI37" s="122">
        <f>JH37*100/$E$37</f>
        <v/>
      </c>
      <c r="JJ37" s="108" t="n"/>
      <c r="JK37" s="122">
        <f>JJ37*100/$E$37</f>
        <v/>
      </c>
      <c r="JL37" s="108" t="n"/>
      <c r="JM37" s="122">
        <f>JL37*100/$E$37</f>
        <v/>
      </c>
      <c r="JN37" s="108" t="n"/>
      <c r="JO37" s="121">
        <f>JN37*100/$E$37</f>
        <v/>
      </c>
      <c r="JP37" s="108" t="n"/>
      <c r="JQ37" s="121">
        <f>JP37*100/$E$37</f>
        <v/>
      </c>
      <c r="JR37" s="108" t="n"/>
      <c r="JS37" s="121">
        <f>JR37*100/$E$37</f>
        <v/>
      </c>
      <c r="JT37" s="108" t="n"/>
      <c r="JU37" s="121">
        <f>JT37*100/$E$37</f>
        <v/>
      </c>
      <c r="JV37" s="117" t="n"/>
      <c r="JW37" s="121">
        <f>JV37*100/$E$37</f>
        <v/>
      </c>
      <c r="JX37" s="117" t="n"/>
      <c r="JY37" s="121">
        <f>JX37*100/$E$37</f>
        <v/>
      </c>
      <c r="JZ37" s="55">
        <f>JN37+JP37+JR37+JT37+JV37+JX37</f>
        <v/>
      </c>
      <c r="KA37" s="53">
        <f>JO37+JQ37+JS37+JU37+JW37+JY37</f>
        <v/>
      </c>
      <c r="KB37" s="64">
        <f>H37+J37+L37+N37+P37+R37+T37+V37+X37+Z37+AB37+AD37+AF37+AH37+AJ37+AL37+AN37+AP37+AR37+AT37+AV37+AX37+AZ37+BB37+BD37+BF37+BH37+BJ37+BL37+BN37+BP37+BR37+BT37+BV37+BX37+BZ37+CB37+CD37+CF37+CH37+CZ37+DB37+DD37+DF37+DH37+DJ37+DL37+DN37+DP37+DR37+DT37+DV37+DX37+DZ37+EB37+ED37+EF37+EH37+EJ37+EL37+EN37+EP37+ER37+ET37+EV37+FN37+FP37+FR37+FT37+FV37+FX37+FZ37+GB37+GD37+GF37+GH37+GJ37+GL37+GN37+GP37+GR37+GT37+GV37+GX37+GZ37+HB37+HD37+HF37+HH37+HJ37+HL37+HN37+HP37+HR37+HT37+HV37+HX37+HZ37+IB37+ID37+IF37+IH37+IJ37+IL37+IN37+IP37+IR37+IT37+IV37+IX37+IZ37+JB37+JD37+JF37+JH37+JJ37+JL37+JZ37+CJ37+CL37+CN37+CP37+CR37+CT37+CV37+CX37+EX37+EZ37+FB37+FD37+FF37+FH37+FJ37+FL37</f>
        <v/>
      </c>
      <c r="KC37" s="66">
        <f>I37+K37+M37+O37+Q37+S37+U37+W37+Y37+AA37+AC37+AE37+AG37+AI37+AK37+AM37+AO37+AQ37+AS37+AU37+AW37+AY37+BA37+BC37+BE37+BG37+BI37+BK37+BM37+BO37+BQ37+BS37+BU37+BW37+BY37+CA37+CC37+CE37+CG37+CI37+DA37+DC37+DE37+DG37+DI37+DK37+DM37+DO37+DQ37+DS37+DU37+DW37+DY37+EA37+EC37+EE37+EG37+EI37+EK37+EM37+EO37+EQ37+ES37+EU37+EW37+FO37+FS37+FU37+FW37+FQ37+FY37+GA37+GC37+GE37+GG37+GI37+GK37+GM37+GO37+GQ37+GS37+GU37+GW37+GY37+HA37+HC37+HE37+HG37+HI37+HK37+HM37+HO37+HQ37+HS37+HU37+HW37+HY37+IA37+IC37+IE37+IG37+II37+IK37+IM37+IO37+IQ37+IS37+IU37+IW37+IY37+JA37+JC37+JE37+JG37+JI37+JK37+JM37+KA37+CK37+CM37+CO37+CQ37+CS37+CU37+CW37+CY37+EY37+FA37+FC37+FE37+FG37+FI37+FK37+FM37</f>
        <v/>
      </c>
      <c r="KD37" s="44">
        <f>JO37+JQ37+JS37+JU37+JW37+JY37</f>
        <v/>
      </c>
      <c r="KE37" s="45">
        <f>KB37=E37</f>
        <v/>
      </c>
      <c r="KF37" s="101">
        <f>E37-KB37</f>
        <v/>
      </c>
      <c r="KG37" s="25" t="n"/>
    </row>
    <row r="38" ht="21.75" customFormat="1" customHeight="1" s="25">
      <c r="A38" s="126">
        <f>A37+1</f>
        <v/>
      </c>
      <c r="B38" s="175" t="inlineStr">
        <is>
          <t>Ряснов С.О.</t>
        </is>
      </c>
      <c r="C38" s="176" t="inlineStr">
        <is>
          <t>Фрезеровщик</t>
        </is>
      </c>
      <c r="D38" s="177">
        <f>$D$5</f>
        <v/>
      </c>
      <c r="E38" s="202" t="n"/>
      <c r="F38" s="193" t="n">
        <v>63219</v>
      </c>
      <c r="G38" s="52">
        <f>F38/D38</f>
        <v/>
      </c>
      <c r="H38" s="125" t="n"/>
      <c r="I38" s="107">
        <f>H38*100/$E$38</f>
        <v/>
      </c>
      <c r="J38" s="108" t="n"/>
      <c r="K38" s="107">
        <f>J38*100/$E$38</f>
        <v/>
      </c>
      <c r="L38" s="108" t="n"/>
      <c r="M38" s="107">
        <f>L38*100/$E$38</f>
        <v/>
      </c>
      <c r="N38" s="108" t="n"/>
      <c r="O38" s="107">
        <f>N38*100/$E$38</f>
        <v/>
      </c>
      <c r="P38" s="108" t="n"/>
      <c r="Q38" s="122">
        <f>P38*100/$E$38</f>
        <v/>
      </c>
      <c r="R38" s="108" t="n"/>
      <c r="S38" s="122">
        <f>R38*100/$E$38</f>
        <v/>
      </c>
      <c r="T38" s="108" t="n"/>
      <c r="U38" s="107">
        <f>T38*100/$E$38</f>
        <v/>
      </c>
      <c r="V38" s="108" t="n"/>
      <c r="W38" s="107">
        <f>V38*100/$E$38</f>
        <v/>
      </c>
      <c r="X38" s="108" t="n"/>
      <c r="Y38" s="107">
        <f>X38*100/$E$38</f>
        <v/>
      </c>
      <c r="Z38" s="108" t="n"/>
      <c r="AA38" s="107">
        <f>Z38*100/$E$38</f>
        <v/>
      </c>
      <c r="AB38" s="108" t="n"/>
      <c r="AC38" s="107">
        <f>AB38*100/$E$38</f>
        <v/>
      </c>
      <c r="AD38" s="108" t="n"/>
      <c r="AE38" s="122">
        <f>AD38*100/$E$38</f>
        <v/>
      </c>
      <c r="AF38" s="108" t="n"/>
      <c r="AG38" s="122">
        <f>AF38*100/$E$38</f>
        <v/>
      </c>
      <c r="AH38" s="108" t="n"/>
      <c r="AI38" s="107">
        <f>AH38*100/$E$38</f>
        <v/>
      </c>
      <c r="AJ38" s="108" t="n"/>
      <c r="AK38" s="107">
        <f>AJ38*100/$E$38</f>
        <v/>
      </c>
      <c r="AL38" s="108" t="n"/>
      <c r="AM38" s="107">
        <f>AL38*100/$E$38</f>
        <v/>
      </c>
      <c r="AN38" s="108" t="n"/>
      <c r="AO38" s="107">
        <f>AN38*100/$E$38</f>
        <v/>
      </c>
      <c r="AP38" s="108" t="n"/>
      <c r="AQ38" s="107">
        <f>AP38*100/$E$38</f>
        <v/>
      </c>
      <c r="AR38" s="108" t="n"/>
      <c r="AS38" s="107">
        <f>AR38*100/$E$38</f>
        <v/>
      </c>
      <c r="AT38" s="108" t="n"/>
      <c r="AU38" s="90">
        <f>AT38*100/$E$38</f>
        <v/>
      </c>
      <c r="AV38" s="108" t="n"/>
      <c r="AW38" s="107">
        <f>AV38*100/$E$38</f>
        <v/>
      </c>
      <c r="AX38" s="108" t="n"/>
      <c r="AY38" s="107">
        <f>AX38*100/$E$38</f>
        <v/>
      </c>
      <c r="AZ38" s="108" t="n"/>
      <c r="BA38" s="107">
        <f>AZ38*100/$E$38</f>
        <v/>
      </c>
      <c r="BB38" s="108" t="n"/>
      <c r="BC38" s="107">
        <f>BB38*100/$E$38</f>
        <v/>
      </c>
      <c r="BD38" s="108" t="n"/>
      <c r="BE38" s="107">
        <f>BD38*100/$E$38</f>
        <v/>
      </c>
      <c r="BF38" s="108" t="n"/>
      <c r="BG38" s="107">
        <f>BF38*100/$E$38</f>
        <v/>
      </c>
      <c r="BH38" s="108" t="n"/>
      <c r="BI38" s="107">
        <f>BH38*100/$E$38</f>
        <v/>
      </c>
      <c r="BJ38" s="108" t="n"/>
      <c r="BK38" s="107">
        <f>BJ38*100/$E$38</f>
        <v/>
      </c>
      <c r="BL38" s="108" t="n"/>
      <c r="BM38" s="107">
        <f>BL38*100/$E$38</f>
        <v/>
      </c>
      <c r="BN38" s="108" t="n"/>
      <c r="BO38" s="107">
        <f>BN38*100/$E$38</f>
        <v/>
      </c>
      <c r="BP38" s="108" t="n"/>
      <c r="BQ38" s="107">
        <f>BP38*100/$E$38</f>
        <v/>
      </c>
      <c r="BR38" s="108" t="n"/>
      <c r="BS38" s="107">
        <f>BR38*100/$E$38</f>
        <v/>
      </c>
      <c r="BT38" s="108" t="n"/>
      <c r="BU38" s="107">
        <f>BT38*100/$E$38</f>
        <v/>
      </c>
      <c r="BV38" s="108" t="n"/>
      <c r="BW38" s="107">
        <f>BV38*100/$E$38</f>
        <v/>
      </c>
      <c r="BX38" s="108" t="n"/>
      <c r="BY38" s="107">
        <f>BX38*100/$E$38</f>
        <v/>
      </c>
      <c r="BZ38" s="108" t="n"/>
      <c r="CA38" s="107">
        <f>BZ38*100/$E$38</f>
        <v/>
      </c>
      <c r="CB38" s="108" t="n"/>
      <c r="CC38" s="107">
        <f>CB38*100/$E$38</f>
        <v/>
      </c>
      <c r="CD38" s="108" t="n"/>
      <c r="CE38" s="107">
        <f>CD38*100/$E$38</f>
        <v/>
      </c>
      <c r="CF38" s="108" t="n"/>
      <c r="CG38" s="107">
        <f>CF38*100/$E$38</f>
        <v/>
      </c>
      <c r="CH38" s="108" t="n"/>
      <c r="CI38" s="107">
        <f>CH38*100/$E$38</f>
        <v/>
      </c>
      <c r="CJ38" s="108" t="n"/>
      <c r="CK38" s="107">
        <f>CJ38*100/$E$38</f>
        <v/>
      </c>
      <c r="CL38" s="108" t="n"/>
      <c r="CM38" s="107">
        <f>CL38*100/$E$38</f>
        <v/>
      </c>
      <c r="CN38" s="108" t="n"/>
      <c r="CO38" s="122">
        <f>CN38*100/$E$38</f>
        <v/>
      </c>
      <c r="CP38" s="108" t="n"/>
      <c r="CQ38" s="107">
        <f>CP38*100/$E$38</f>
        <v/>
      </c>
      <c r="CR38" s="108" t="n"/>
      <c r="CS38" s="122">
        <f>CR38*100/$E$38</f>
        <v/>
      </c>
      <c r="CT38" s="108" t="n"/>
      <c r="CU38" s="122">
        <f>CT38*100/$E$38</f>
        <v/>
      </c>
      <c r="CV38" s="108" t="n"/>
      <c r="CW38" s="122">
        <f>CV38*100/$E$38</f>
        <v/>
      </c>
      <c r="CX38" s="108" t="n"/>
      <c r="CY38" s="122">
        <f>CX38*100/$E$38</f>
        <v/>
      </c>
      <c r="CZ38" s="108" t="n"/>
      <c r="DA38" s="122">
        <f>CZ38*100/$E$38</f>
        <v/>
      </c>
      <c r="DB38" s="108" t="n"/>
      <c r="DC38" s="122">
        <f>DB38*100/$E$38</f>
        <v/>
      </c>
      <c r="DD38" s="108" t="n"/>
      <c r="DE38" s="122">
        <f>DD38*100/$E$38</f>
        <v/>
      </c>
      <c r="DF38" s="108" t="n"/>
      <c r="DG38" s="122">
        <f>DF38*100/$E$38</f>
        <v/>
      </c>
      <c r="DH38" s="108" t="n"/>
      <c r="DI38" s="122">
        <f>DH38*100/$E$38</f>
        <v/>
      </c>
      <c r="DJ38" s="108" t="n"/>
      <c r="DK38" s="122">
        <f>DJ38*100/$E$38</f>
        <v/>
      </c>
      <c r="DL38" s="108" t="n"/>
      <c r="DM38" s="122">
        <f>DL38*100/$E$38</f>
        <v/>
      </c>
      <c r="DN38" s="108" t="n"/>
      <c r="DO38" s="122">
        <f>DN38*100/$E$38</f>
        <v/>
      </c>
      <c r="DP38" s="108" t="n"/>
      <c r="DQ38" s="122">
        <f>DP38*100/$E$38</f>
        <v/>
      </c>
      <c r="DR38" s="108" t="n"/>
      <c r="DS38" s="122">
        <f>DR38*100/$E$38</f>
        <v/>
      </c>
      <c r="DT38" s="108" t="n"/>
      <c r="DU38" s="122">
        <f>DT38*100/$E$38</f>
        <v/>
      </c>
      <c r="DV38" s="108" t="n"/>
      <c r="DW38" s="122">
        <f>DV38*100/$E$38</f>
        <v/>
      </c>
      <c r="DX38" s="108" t="n"/>
      <c r="DY38" s="122">
        <f>DX38*100/$E$38</f>
        <v/>
      </c>
      <c r="DZ38" s="108" t="n"/>
      <c r="EA38" s="122">
        <f>DZ38*100/$E$38</f>
        <v/>
      </c>
      <c r="EB38" s="108" t="n"/>
      <c r="EC38" s="122">
        <f>EB38*100/$E$38</f>
        <v/>
      </c>
      <c r="ED38" s="108" t="n"/>
      <c r="EE38" s="122">
        <f>ED38*100/$E$38</f>
        <v/>
      </c>
      <c r="EF38" s="108" t="n"/>
      <c r="EG38" s="122">
        <f>EF38*100/$E$38</f>
        <v/>
      </c>
      <c r="EH38" s="108" t="n"/>
      <c r="EI38" s="122">
        <f>EH38*100/$E$38</f>
        <v/>
      </c>
      <c r="EJ38" s="108" t="n"/>
      <c r="EK38" s="122">
        <f>EJ38*100/$E$38</f>
        <v/>
      </c>
      <c r="EL38" s="108" t="n"/>
      <c r="EM38" s="122">
        <f>EL38*100/$E$38</f>
        <v/>
      </c>
      <c r="EN38" s="108" t="n"/>
      <c r="EO38" s="122">
        <f>EN38*100/$E$38</f>
        <v/>
      </c>
      <c r="EP38" s="108" t="n"/>
      <c r="EQ38" s="122">
        <f>EP38*100/$E$38</f>
        <v/>
      </c>
      <c r="ER38" s="108" t="n"/>
      <c r="ES38" s="122">
        <f>ER38*100/$E$38</f>
        <v/>
      </c>
      <c r="ET38" s="108" t="n"/>
      <c r="EU38" s="122">
        <f>ET38*100/$E$38</f>
        <v/>
      </c>
      <c r="EV38" s="108" t="n"/>
      <c r="EW38" s="122">
        <f>EV38*100/$E$38</f>
        <v/>
      </c>
      <c r="EX38" s="108" t="n"/>
      <c r="EY38" s="122">
        <f>EX38*100/$E$38</f>
        <v/>
      </c>
      <c r="EZ38" s="108" t="n"/>
      <c r="FA38" s="122">
        <f>EZ38*100/$E$38</f>
        <v/>
      </c>
      <c r="FB38" s="108" t="n"/>
      <c r="FC38" s="122">
        <f>FB38*100/$E$38</f>
        <v/>
      </c>
      <c r="FD38" s="108" t="n"/>
      <c r="FE38" s="122">
        <f>FD38*100/$E$38</f>
        <v/>
      </c>
      <c r="FF38" s="108" t="n"/>
      <c r="FG38" s="122">
        <f>FF38*100/$E$38</f>
        <v/>
      </c>
      <c r="FH38" s="108" t="n"/>
      <c r="FI38" s="122">
        <f>FH38*100/$E$38</f>
        <v/>
      </c>
      <c r="FJ38" s="108" t="n"/>
      <c r="FK38" s="122">
        <f>FJ38*100/$E$38</f>
        <v/>
      </c>
      <c r="FL38" s="108" t="n"/>
      <c r="FM38" s="122">
        <f>FL38*100/$E$38</f>
        <v/>
      </c>
      <c r="FN38" s="108" t="n"/>
      <c r="FO38" s="122">
        <f>FN38*100/$E$38</f>
        <v/>
      </c>
      <c r="FP38" s="108" t="n"/>
      <c r="FQ38" s="122">
        <f>FP38*100/$E$38</f>
        <v/>
      </c>
      <c r="FR38" s="108" t="n"/>
      <c r="FS38" s="122">
        <f>FR38*100/$E$38</f>
        <v/>
      </c>
      <c r="FT38" s="108" t="n"/>
      <c r="FU38" s="122">
        <f>FT38*100/$E$38</f>
        <v/>
      </c>
      <c r="FV38" s="108" t="n"/>
      <c r="FW38" s="122">
        <f>FV38*100/$E$38</f>
        <v/>
      </c>
      <c r="FX38" s="108" t="n"/>
      <c r="FY38" s="107">
        <f>FX38*100/$E$38</f>
        <v/>
      </c>
      <c r="FZ38" s="108" t="n"/>
      <c r="GA38" s="107">
        <f>FZ38*100/$E$38</f>
        <v/>
      </c>
      <c r="GB38" s="108" t="n"/>
      <c r="GC38" s="107">
        <f>GB38*100/$E$38</f>
        <v/>
      </c>
      <c r="GD38" s="108" t="n"/>
      <c r="GE38" s="107">
        <f>GD38*100/$E$38</f>
        <v/>
      </c>
      <c r="GF38" s="108" t="n"/>
      <c r="GG38" s="107">
        <f>GF38*100/$E$38</f>
        <v/>
      </c>
      <c r="GH38" s="108" t="n"/>
      <c r="GI38" s="107">
        <f>GH38*100/$E$38</f>
        <v/>
      </c>
      <c r="GJ38" s="108" t="n"/>
      <c r="GK38" s="122">
        <f>GJ38*100/$E$38</f>
        <v/>
      </c>
      <c r="GL38" s="108" t="n"/>
      <c r="GM38" s="107">
        <f>GL38*100/$E$38</f>
        <v/>
      </c>
      <c r="GN38" s="108" t="n"/>
      <c r="GO38" s="122">
        <f>GN38*100/$E$38</f>
        <v/>
      </c>
      <c r="GP38" s="108" t="n"/>
      <c r="GQ38" s="107">
        <f>GP38*100/$E$38</f>
        <v/>
      </c>
      <c r="GR38" s="108" t="n"/>
      <c r="GS38" s="122">
        <f>GR38*100/$E$38</f>
        <v/>
      </c>
      <c r="GT38" s="108" t="n"/>
      <c r="GU38" s="122">
        <f>GT38*100/$E$38</f>
        <v/>
      </c>
      <c r="GV38" s="108" t="n"/>
      <c r="GW38" s="122">
        <f>GV38*100/$E$38</f>
        <v/>
      </c>
      <c r="GX38" s="108" t="n"/>
      <c r="GY38" s="107">
        <f>GX38*100/$E$38</f>
        <v/>
      </c>
      <c r="GZ38" s="108" t="n"/>
      <c r="HA38" s="107">
        <f>GZ38*100/$E$38</f>
        <v/>
      </c>
      <c r="HB38" s="108" t="n"/>
      <c r="HC38" s="107">
        <f>HB38*100/$E$38</f>
        <v/>
      </c>
      <c r="HD38" s="108" t="n"/>
      <c r="HE38" s="107">
        <f>HD38*100/$E$38</f>
        <v/>
      </c>
      <c r="HF38" s="108" t="n"/>
      <c r="HG38" s="107">
        <f>HF38*100/$E$38</f>
        <v/>
      </c>
      <c r="HH38" s="108" t="n"/>
      <c r="HI38" s="107">
        <f>HH38*100/$E$38</f>
        <v/>
      </c>
      <c r="HJ38" s="108" t="n"/>
      <c r="HK38" s="107">
        <f>HJ38*100/$E$38</f>
        <v/>
      </c>
      <c r="HL38" s="108" t="n"/>
      <c r="HM38" s="107">
        <f>HL38*100/$E$38</f>
        <v/>
      </c>
      <c r="HN38" s="108" t="n"/>
      <c r="HO38" s="107">
        <f>HN38*100/$E$38</f>
        <v/>
      </c>
      <c r="HP38" s="108" t="n"/>
      <c r="HQ38" s="107">
        <f>HP38*100/$E$38</f>
        <v/>
      </c>
      <c r="HR38" s="108" t="n"/>
      <c r="HS38" s="107">
        <f>HR38*100/$E$38</f>
        <v/>
      </c>
      <c r="HT38" s="108" t="n"/>
      <c r="HU38" s="107">
        <f>HT38*100/$E$38</f>
        <v/>
      </c>
      <c r="HV38" s="108" t="n"/>
      <c r="HW38" s="107">
        <f>HV38*100/$E$38</f>
        <v/>
      </c>
      <c r="HX38" s="108" t="n"/>
      <c r="HY38" s="107">
        <f>HX38*100/$E$38</f>
        <v/>
      </c>
      <c r="HZ38" s="108" t="n"/>
      <c r="IA38" s="122">
        <f>HZ38*100/$E$38</f>
        <v/>
      </c>
      <c r="IB38" s="108" t="n"/>
      <c r="IC38" s="122">
        <f>IB38*100/$E$38</f>
        <v/>
      </c>
      <c r="ID38" s="108" t="n"/>
      <c r="IE38" s="122">
        <f>ID38*100/$E$38</f>
        <v/>
      </c>
      <c r="IF38" s="108" t="n"/>
      <c r="IG38" s="122">
        <f>IF38*100/$E$38</f>
        <v/>
      </c>
      <c r="IH38" s="108" t="n"/>
      <c r="II38" s="122">
        <f>IH38*100/$E$38</f>
        <v/>
      </c>
      <c r="IJ38" s="108" t="n"/>
      <c r="IK38" s="122">
        <f>IJ38*100/$E$38</f>
        <v/>
      </c>
      <c r="IL38" s="108" t="n"/>
      <c r="IM38" s="107">
        <f>IL38*100/$E$38</f>
        <v/>
      </c>
      <c r="IN38" s="108" t="n"/>
      <c r="IO38" s="107">
        <f>IN38*100/$E$38</f>
        <v/>
      </c>
      <c r="IP38" s="108" t="n"/>
      <c r="IQ38" s="122">
        <f>IP38*100/$E$38</f>
        <v/>
      </c>
      <c r="IR38" s="108" t="n"/>
      <c r="IS38" s="122">
        <f>IR38*100/$E$38</f>
        <v/>
      </c>
      <c r="IT38" s="108" t="n"/>
      <c r="IU38" s="122">
        <f>IT38*100/$E$38</f>
        <v/>
      </c>
      <c r="IV38" s="108" t="n"/>
      <c r="IW38" s="122">
        <f>IV38*100/$E$38</f>
        <v/>
      </c>
      <c r="IX38" s="108" t="n"/>
      <c r="IY38" s="122">
        <f>IX38*100/$E$38</f>
        <v/>
      </c>
      <c r="IZ38" s="108" t="n"/>
      <c r="JA38" s="122">
        <f>IZ38*100/$E$38</f>
        <v/>
      </c>
      <c r="JB38" s="108" t="n"/>
      <c r="JC38" s="122">
        <f>JB38*100/$E$38</f>
        <v/>
      </c>
      <c r="JD38" s="108" t="n"/>
      <c r="JE38" s="122">
        <f>JD38*100/$E$38</f>
        <v/>
      </c>
      <c r="JF38" s="108" t="n"/>
      <c r="JG38" s="122">
        <f>JF38*100/$E$38</f>
        <v/>
      </c>
      <c r="JH38" s="108" t="n"/>
      <c r="JI38" s="122">
        <f>JH38*100/$E$38</f>
        <v/>
      </c>
      <c r="JJ38" s="108" t="n"/>
      <c r="JK38" s="122">
        <f>JJ38*100/$E$38</f>
        <v/>
      </c>
      <c r="JL38" s="108" t="n"/>
      <c r="JM38" s="122">
        <f>JL38*100/$E$38</f>
        <v/>
      </c>
      <c r="JN38" s="108" t="n"/>
      <c r="JO38" s="121">
        <f>JN38*100/$E$38</f>
        <v/>
      </c>
      <c r="JP38" s="108" t="n"/>
      <c r="JQ38" s="121">
        <f>JP38*100/$E$38</f>
        <v/>
      </c>
      <c r="JR38" s="108" t="n"/>
      <c r="JS38" s="121">
        <f>JR38*100/$E$38</f>
        <v/>
      </c>
      <c r="JT38" s="108" t="n"/>
      <c r="JU38" s="121">
        <f>JT38*100/$E$38</f>
        <v/>
      </c>
      <c r="JV38" s="108" t="n"/>
      <c r="JW38" s="121">
        <f>JV38*100/$E$38</f>
        <v/>
      </c>
      <c r="JX38" s="108" t="n"/>
      <c r="JY38" s="121">
        <f>JX38*100/$E$38</f>
        <v/>
      </c>
      <c r="JZ38" s="55">
        <f>JN38+JP38+JR38+JT38+JV38+JX38</f>
        <v/>
      </c>
      <c r="KA38" s="53">
        <f>JO38+JQ38+JS38+JU38+JW38+JY38</f>
        <v/>
      </c>
      <c r="KB38" s="64">
        <f>H38+J38+L38+N38+P38+R38+T38+V38+X38+Z38+AB38+AD38+AF38+AH38+AJ38+AL38+AN38+AP38+AR38+AT38+AV38+AX38+AZ38+BB38+BD38+BF38+BH38+BJ38+BL38+BN38+BP38+BR38+BT38+BV38+BX38+BZ38+CB38+CD38+CF38+CH38+CZ38+DB38+DD38+DF38+DH38+DJ38+DL38+DN38+DP38+DR38+DT38+DV38+DX38+DZ38+EB38+ED38+EF38+EH38+EJ38+EL38+EN38+EP38+ER38+ET38+EV38+FN38+FP38+FR38+FT38+FV38+FX38+FZ38+GB38+GD38+GF38+GH38+GJ38+GL38+GN38+GP38+GR38+GT38+GV38+GX38+GZ38+HB38+HD38+HF38+HH38+HJ38+HL38+HN38+HP38+HR38+HT38+HV38+HX38+HZ38+IB38+ID38+IF38+IH38+IJ38+IL38+IN38+IP38+IR38+IT38+IV38+IX38+IZ38+JB38+JD38+JF38+JH38+JJ38+JL38+JZ38+CJ38+CL38+CN38+CP38+CR38+CT38+CV38+CX38+EX38+EZ38+FB38+FD38+FF38+FH38+FJ38+FL38</f>
        <v/>
      </c>
      <c r="KC38" s="66">
        <f>I38+K38+M38+O38+Q38+S38+U38+W38+Y38+AA38+AC38+AE38+AG38+AI38+AK38+AM38+AO38+AQ38+AS38+AU38+AW38+AY38+BA38+BC38+BE38+BG38+BI38+BK38+BM38+BO38+BQ38+BS38+BU38+BW38+BY38+CA38+CC38+CE38+CG38+CI38+DA38+DC38+DE38+DG38+DI38+DK38+DM38+DO38+DQ38+DS38+DU38+DW38+DY38+EA38+EC38+EE38+EG38+EI38+EK38+EM38+EO38+EQ38+ES38+EU38+EW38+FO38+FS38+FU38+FW38+FQ38+FY38+GA38+GC38+GE38+GG38+GI38+GK38+GM38+GO38+GQ38+GS38+GU38+GW38+GY38+HA38+HC38+HE38+HG38+HI38+HK38+HM38+HO38+HQ38+HS38+HU38+HW38+HY38+IA38+IC38+IE38+IG38+II38+IK38+IM38+IO38+IQ38+IS38+IU38+IW38+IY38+JA38+JC38+JE38+JG38+JI38+JK38+JM38+KA38+CK38+CM38+CO38+CQ38+CS38+CU38+CW38+CY38+EY38+FA38+FC38+FE38+FG38+FI38+FK38+FM38</f>
        <v/>
      </c>
      <c r="KD38" s="44">
        <f>JO38+JQ38+JS38+JU38+JW38+JY38</f>
        <v/>
      </c>
      <c r="KE38" s="45">
        <f>KB38=E38</f>
        <v/>
      </c>
      <c r="KF38" s="101">
        <f>E38-KB38</f>
        <v/>
      </c>
      <c r="KG38" s="15" t="n"/>
    </row>
    <row r="39" ht="21.75" customFormat="1" customHeight="1" s="25">
      <c r="A39" s="126">
        <f>A38+1</f>
        <v/>
      </c>
      <c r="B39" s="175" t="inlineStr">
        <is>
          <t>Протасов С.А.</t>
        </is>
      </c>
      <c r="C39" s="194" t="inlineStr">
        <is>
          <t>слесарь МСР</t>
        </is>
      </c>
      <c r="D39" s="177">
        <f>$D$5</f>
        <v/>
      </c>
      <c r="E39" s="202" t="n"/>
      <c r="F39" s="193" t="n">
        <v>84149.67999999999</v>
      </c>
      <c r="G39" s="52">
        <f>F39/D39</f>
        <v/>
      </c>
      <c r="H39" s="125" t="n"/>
      <c r="I39" s="107">
        <f>H39*100/$E$39</f>
        <v/>
      </c>
      <c r="J39" s="108" t="n"/>
      <c r="K39" s="107">
        <f>J39*100/$E$39</f>
        <v/>
      </c>
      <c r="L39" s="108" t="n"/>
      <c r="M39" s="107">
        <f>L39*100/$E$39</f>
        <v/>
      </c>
      <c r="N39" s="108" t="n"/>
      <c r="O39" s="107">
        <f>N39*100/$E$39</f>
        <v/>
      </c>
      <c r="P39" s="108" t="n"/>
      <c r="Q39" s="122">
        <f>P39*100/$E$39</f>
        <v/>
      </c>
      <c r="R39" s="108" t="n"/>
      <c r="S39" s="122">
        <f>R39*100/$E$39</f>
        <v/>
      </c>
      <c r="T39" s="108" t="n"/>
      <c r="U39" s="107">
        <f>T39*100/$E$39</f>
        <v/>
      </c>
      <c r="V39" s="108" t="n"/>
      <c r="W39" s="107">
        <f>V39*100/$E$39</f>
        <v/>
      </c>
      <c r="X39" s="108" t="n"/>
      <c r="Y39" s="107">
        <f>X39*100/$E$39</f>
        <v/>
      </c>
      <c r="Z39" s="108" t="n"/>
      <c r="AA39" s="107">
        <f>Z39*100/$E$39</f>
        <v/>
      </c>
      <c r="AB39" s="108" t="n"/>
      <c r="AC39" s="107">
        <f>AB39*100/$E$39</f>
        <v/>
      </c>
      <c r="AD39" s="108" t="n"/>
      <c r="AE39" s="122">
        <f>AD39*100/$E$39</f>
        <v/>
      </c>
      <c r="AF39" s="108" t="n"/>
      <c r="AG39" s="122">
        <f>AF39*100/$E$39</f>
        <v/>
      </c>
      <c r="AH39" s="108" t="n"/>
      <c r="AI39" s="107">
        <f>AH39*100/$E$39</f>
        <v/>
      </c>
      <c r="AJ39" s="108" t="n"/>
      <c r="AK39" s="107">
        <f>AJ39*100/$E$39</f>
        <v/>
      </c>
      <c r="AL39" s="108" t="n"/>
      <c r="AM39" s="107">
        <f>AL39*100/$E$39</f>
        <v/>
      </c>
      <c r="AN39" s="108" t="n"/>
      <c r="AO39" s="107">
        <f>AN39*100/$E$39</f>
        <v/>
      </c>
      <c r="AP39" s="108" t="n"/>
      <c r="AQ39" s="107">
        <f>AP39*100/$E$39</f>
        <v/>
      </c>
      <c r="AR39" s="108" t="n"/>
      <c r="AS39" s="107">
        <f>AR39*100/$E$39</f>
        <v/>
      </c>
      <c r="AT39" s="108" t="n"/>
      <c r="AU39" s="90">
        <f>AT39*100/$E$39</f>
        <v/>
      </c>
      <c r="AV39" s="108" t="n"/>
      <c r="AW39" s="107">
        <f>AV39*100/$E$39</f>
        <v/>
      </c>
      <c r="AX39" s="108" t="n"/>
      <c r="AY39" s="107">
        <f>AX39*100/$E$39</f>
        <v/>
      </c>
      <c r="AZ39" s="108" t="n"/>
      <c r="BA39" s="107">
        <f>AZ39*100/$E$39</f>
        <v/>
      </c>
      <c r="BB39" s="108" t="n"/>
      <c r="BC39" s="107">
        <f>BB39*100/$E$39</f>
        <v/>
      </c>
      <c r="BD39" s="108" t="n"/>
      <c r="BE39" s="107">
        <f>BD39*100/$E$39</f>
        <v/>
      </c>
      <c r="BF39" s="108" t="n"/>
      <c r="BG39" s="107">
        <f>BF39*100/$E$39</f>
        <v/>
      </c>
      <c r="BH39" s="108" t="n"/>
      <c r="BI39" s="107">
        <f>BH39*100/$E$39</f>
        <v/>
      </c>
      <c r="BJ39" s="108" t="n"/>
      <c r="BK39" s="107">
        <f>BJ39*100/$E$39</f>
        <v/>
      </c>
      <c r="BL39" s="108" t="n"/>
      <c r="BM39" s="107">
        <f>BL39*100/$E$39</f>
        <v/>
      </c>
      <c r="BN39" s="108" t="n"/>
      <c r="BO39" s="107">
        <f>BN39*100/$E$39</f>
        <v/>
      </c>
      <c r="BP39" s="108" t="n"/>
      <c r="BQ39" s="107">
        <f>BP39*100/$E$39</f>
        <v/>
      </c>
      <c r="BR39" s="108" t="n"/>
      <c r="BS39" s="107">
        <f>BR39*100/$E$39</f>
        <v/>
      </c>
      <c r="BT39" s="108" t="n"/>
      <c r="BU39" s="107">
        <f>BT39*100/$E$39</f>
        <v/>
      </c>
      <c r="BV39" s="108" t="n"/>
      <c r="BW39" s="107">
        <f>BV39*100/$E$39</f>
        <v/>
      </c>
      <c r="BX39" s="108" t="n"/>
      <c r="BY39" s="107">
        <f>BX39*100/$E$39</f>
        <v/>
      </c>
      <c r="BZ39" s="108" t="n"/>
      <c r="CA39" s="107">
        <f>BZ39*100/$E$39</f>
        <v/>
      </c>
      <c r="CB39" s="108" t="n"/>
      <c r="CC39" s="107">
        <f>CB39*100/$E$39</f>
        <v/>
      </c>
      <c r="CD39" s="108" t="n"/>
      <c r="CE39" s="107">
        <f>CD39*100/$E$39</f>
        <v/>
      </c>
      <c r="CF39" s="108" t="n"/>
      <c r="CG39" s="107">
        <f>CF39*100/$E$39</f>
        <v/>
      </c>
      <c r="CH39" s="108" t="n"/>
      <c r="CI39" s="107">
        <f>CH39*100/$E$39</f>
        <v/>
      </c>
      <c r="CJ39" s="108" t="n"/>
      <c r="CK39" s="107">
        <f>CJ39*100/$E$39</f>
        <v/>
      </c>
      <c r="CL39" s="108" t="n"/>
      <c r="CM39" s="107">
        <f>CL39*100/$E$39</f>
        <v/>
      </c>
      <c r="CN39" s="108" t="n"/>
      <c r="CO39" s="122">
        <f>CN39*100/$E$39</f>
        <v/>
      </c>
      <c r="CP39" s="108" t="n"/>
      <c r="CQ39" s="107">
        <f>CP39*100/$E$39</f>
        <v/>
      </c>
      <c r="CR39" s="108" t="n"/>
      <c r="CS39" s="122">
        <f>CR39*100/$E$39</f>
        <v/>
      </c>
      <c r="CT39" s="108" t="n"/>
      <c r="CU39" s="122">
        <f>CT39*100/$E$39</f>
        <v/>
      </c>
      <c r="CV39" s="108" t="n"/>
      <c r="CW39" s="122">
        <f>CV39*100/$E$39</f>
        <v/>
      </c>
      <c r="CX39" s="108" t="n"/>
      <c r="CY39" s="122">
        <f>CX39*100/$E$39</f>
        <v/>
      </c>
      <c r="CZ39" s="108" t="n"/>
      <c r="DA39" s="122">
        <f>CZ39*100/$E$39</f>
        <v/>
      </c>
      <c r="DB39" s="108" t="n"/>
      <c r="DC39" s="122">
        <f>DB39*100/$E$39</f>
        <v/>
      </c>
      <c r="DD39" s="108" t="n"/>
      <c r="DE39" s="122">
        <f>DD39*100/$E$39</f>
        <v/>
      </c>
      <c r="DF39" s="108" t="n"/>
      <c r="DG39" s="122">
        <f>DF39*100/$E$39</f>
        <v/>
      </c>
      <c r="DH39" s="108" t="n"/>
      <c r="DI39" s="122">
        <f>DH39*100/$E$39</f>
        <v/>
      </c>
      <c r="DJ39" s="108" t="n"/>
      <c r="DK39" s="122">
        <f>DJ39*100/$E$39</f>
        <v/>
      </c>
      <c r="DL39" s="108" t="n"/>
      <c r="DM39" s="122">
        <f>DL39*100/$E$39</f>
        <v/>
      </c>
      <c r="DN39" s="108" t="n"/>
      <c r="DO39" s="122">
        <f>DN39*100/$E$39</f>
        <v/>
      </c>
      <c r="DP39" s="108" t="n"/>
      <c r="DQ39" s="122">
        <f>DP39*100/$E$39</f>
        <v/>
      </c>
      <c r="DR39" s="108" t="n"/>
      <c r="DS39" s="122">
        <f>DR39*100/E39</f>
        <v/>
      </c>
      <c r="DT39" s="108" t="n"/>
      <c r="DU39" s="122">
        <f>DT39*100/$E$39</f>
        <v/>
      </c>
      <c r="DV39" s="108" t="n"/>
      <c r="DW39" s="122">
        <f>DV39*100/$E$39</f>
        <v/>
      </c>
      <c r="DX39" s="108" t="n"/>
      <c r="DY39" s="122">
        <f>DX39*100/$E$39</f>
        <v/>
      </c>
      <c r="DZ39" s="108" t="n"/>
      <c r="EA39" s="122">
        <f>DZ39*100/$E$39</f>
        <v/>
      </c>
      <c r="EB39" s="108" t="n"/>
      <c r="EC39" s="122">
        <f>EB39*100/$E$39</f>
        <v/>
      </c>
      <c r="ED39" s="108" t="n"/>
      <c r="EE39" s="122">
        <f>ED39*100/$E$39</f>
        <v/>
      </c>
      <c r="EF39" s="108" t="n"/>
      <c r="EG39" s="122">
        <f>EF39*100/$E$39</f>
        <v/>
      </c>
      <c r="EH39" s="108" t="n"/>
      <c r="EI39" s="122">
        <f>EH39*100/$E$39</f>
        <v/>
      </c>
      <c r="EJ39" s="108" t="n"/>
      <c r="EK39" s="122">
        <f>EJ39*100/$E$39</f>
        <v/>
      </c>
      <c r="EL39" s="108" t="n"/>
      <c r="EM39" s="122">
        <f>EL39*100/$E$39</f>
        <v/>
      </c>
      <c r="EN39" s="108" t="n"/>
      <c r="EO39" s="122">
        <f>EN39*100/$E$39</f>
        <v/>
      </c>
      <c r="EP39" s="108" t="n"/>
      <c r="EQ39" s="122">
        <f>EP39*100/$E$39</f>
        <v/>
      </c>
      <c r="ER39" s="108" t="n"/>
      <c r="ES39" s="122">
        <f>ER39*100/$E$39</f>
        <v/>
      </c>
      <c r="ET39" s="108" t="n"/>
      <c r="EU39" s="122">
        <f>ET39*100/$E$39</f>
        <v/>
      </c>
      <c r="EV39" s="108" t="n"/>
      <c r="EW39" s="122">
        <f>EV39*100/$E$39</f>
        <v/>
      </c>
      <c r="EX39" s="108" t="n"/>
      <c r="EY39" s="122">
        <f>EX39*100/$E$39</f>
        <v/>
      </c>
      <c r="EZ39" s="108" t="n"/>
      <c r="FA39" s="122">
        <f>EZ39*100/$E$39</f>
        <v/>
      </c>
      <c r="FB39" s="108" t="n"/>
      <c r="FC39" s="122">
        <f>FB39*100/$E$39</f>
        <v/>
      </c>
      <c r="FD39" s="108" t="n"/>
      <c r="FE39" s="122">
        <f>FD39*100/$E$39</f>
        <v/>
      </c>
      <c r="FF39" s="108" t="n"/>
      <c r="FG39" s="122">
        <f>FF39*100/$E$39</f>
        <v/>
      </c>
      <c r="FH39" s="108" t="n"/>
      <c r="FI39" s="122">
        <f>FH39*100/$E$39</f>
        <v/>
      </c>
      <c r="FJ39" s="108" t="n"/>
      <c r="FK39" s="122">
        <f>FJ39*100/$E$39</f>
        <v/>
      </c>
      <c r="FL39" s="108" t="n"/>
      <c r="FM39" s="122">
        <f>FL39*100/$E$39</f>
        <v/>
      </c>
      <c r="FN39" s="108" t="n"/>
      <c r="FO39" s="122">
        <f>FN39*100/$E$39</f>
        <v/>
      </c>
      <c r="FP39" s="108" t="n"/>
      <c r="FQ39" s="122">
        <f>FP39*100/E39</f>
        <v/>
      </c>
      <c r="FR39" s="108" t="n"/>
      <c r="FS39" s="122">
        <f>FR39*100/$E$39</f>
        <v/>
      </c>
      <c r="FT39" s="108" t="n"/>
      <c r="FU39" s="122">
        <f>FT39*100/$E$39</f>
        <v/>
      </c>
      <c r="FV39" s="108" t="n"/>
      <c r="FW39" s="122">
        <f>FV39*100/$E$39</f>
        <v/>
      </c>
      <c r="FX39" s="108" t="n"/>
      <c r="FY39" s="107">
        <f>FX39*100/$E$39</f>
        <v/>
      </c>
      <c r="FZ39" s="108" t="n"/>
      <c r="GA39" s="107">
        <f>FZ39*100/$E$39</f>
        <v/>
      </c>
      <c r="GB39" s="108" t="n"/>
      <c r="GC39" s="107">
        <f>GB39*100/$E$39</f>
        <v/>
      </c>
      <c r="GD39" s="108" t="n"/>
      <c r="GE39" s="107">
        <f>GD39*100/$E$39</f>
        <v/>
      </c>
      <c r="GF39" s="108" t="n"/>
      <c r="GG39" s="107">
        <f>GF39*100/$E$39</f>
        <v/>
      </c>
      <c r="GH39" s="108" t="n"/>
      <c r="GI39" s="107">
        <f>GH39*100/$E$39</f>
        <v/>
      </c>
      <c r="GJ39" s="108" t="n"/>
      <c r="GK39" s="122">
        <f>GJ39*100/$E$39</f>
        <v/>
      </c>
      <c r="GL39" s="108" t="n"/>
      <c r="GM39" s="107">
        <f>GL39*100/$E$39</f>
        <v/>
      </c>
      <c r="GN39" s="108" t="n"/>
      <c r="GO39" s="122">
        <f>GN39*100/$E$39</f>
        <v/>
      </c>
      <c r="GP39" s="108" t="n"/>
      <c r="GQ39" s="107">
        <f>GP39*100/$E$39</f>
        <v/>
      </c>
      <c r="GR39" s="108" t="n"/>
      <c r="GS39" s="122">
        <f>GR39*100/$E$39</f>
        <v/>
      </c>
      <c r="GT39" s="108" t="n"/>
      <c r="GU39" s="122">
        <f>GT39*100/$E$39</f>
        <v/>
      </c>
      <c r="GV39" s="108" t="n"/>
      <c r="GW39" s="122">
        <f>GV39*100/$E$39</f>
        <v/>
      </c>
      <c r="GX39" s="108" t="n"/>
      <c r="GY39" s="107">
        <f>GX39*100/$E$39</f>
        <v/>
      </c>
      <c r="GZ39" s="108" t="n"/>
      <c r="HA39" s="107">
        <f>GZ39*100/$E$39</f>
        <v/>
      </c>
      <c r="HB39" s="108" t="n"/>
      <c r="HC39" s="107">
        <f>HB39*100/$E$39</f>
        <v/>
      </c>
      <c r="HD39" s="108" t="n"/>
      <c r="HE39" s="107">
        <f>HD39*100/$E$39</f>
        <v/>
      </c>
      <c r="HF39" s="108" t="n"/>
      <c r="HG39" s="107">
        <f>HF39*100/$E$39</f>
        <v/>
      </c>
      <c r="HH39" s="108" t="n"/>
      <c r="HI39" s="107">
        <f>HH39*100/$E$39</f>
        <v/>
      </c>
      <c r="HJ39" s="108" t="n"/>
      <c r="HK39" s="107">
        <f>HJ39*100/$E$39</f>
        <v/>
      </c>
      <c r="HL39" s="108" t="n"/>
      <c r="HM39" s="107">
        <f>HL39*100/$E$39</f>
        <v/>
      </c>
      <c r="HN39" s="108" t="n"/>
      <c r="HO39" s="107">
        <f>HN39*100/$E$39</f>
        <v/>
      </c>
      <c r="HP39" s="108" t="n"/>
      <c r="HQ39" s="107">
        <f>HP39*100/$E$39</f>
        <v/>
      </c>
      <c r="HR39" s="108" t="n"/>
      <c r="HS39" s="107">
        <f>HR39*100/$E$39</f>
        <v/>
      </c>
      <c r="HT39" s="108" t="n"/>
      <c r="HU39" s="107">
        <f>HT39*100/$E$39</f>
        <v/>
      </c>
      <c r="HV39" s="108" t="n"/>
      <c r="HW39" s="107">
        <f>HV39*100/$E$39</f>
        <v/>
      </c>
      <c r="HX39" s="108" t="n"/>
      <c r="HY39" s="107">
        <f>HX39*100/$E$39</f>
        <v/>
      </c>
      <c r="HZ39" s="108" t="n"/>
      <c r="IA39" s="122">
        <f>HZ39*100/$E$39</f>
        <v/>
      </c>
      <c r="IB39" s="108" t="n"/>
      <c r="IC39" s="122">
        <f>IB39*100/$E$39</f>
        <v/>
      </c>
      <c r="ID39" s="108" t="n"/>
      <c r="IE39" s="122">
        <f>ID39*100/$E$39</f>
        <v/>
      </c>
      <c r="IF39" s="108" t="n"/>
      <c r="IG39" s="122">
        <f>IF39*100/$E$39</f>
        <v/>
      </c>
      <c r="IH39" s="108" t="n"/>
      <c r="II39" s="122">
        <f>IH39*100/$E$39</f>
        <v/>
      </c>
      <c r="IJ39" s="108" t="n"/>
      <c r="IK39" s="122">
        <f>IJ39*100/$E$39</f>
        <v/>
      </c>
      <c r="IL39" s="108" t="n"/>
      <c r="IM39" s="107">
        <f>IL39*100/$E$39</f>
        <v/>
      </c>
      <c r="IN39" s="108" t="n"/>
      <c r="IO39" s="107">
        <f>IN39*100/$E$39</f>
        <v/>
      </c>
      <c r="IP39" s="108" t="n"/>
      <c r="IQ39" s="122">
        <f>IP39*100/$E$39</f>
        <v/>
      </c>
      <c r="IR39" s="108" t="n"/>
      <c r="IS39" s="122">
        <f>IR39*100/$E$39</f>
        <v/>
      </c>
      <c r="IT39" s="108" t="n"/>
      <c r="IU39" s="122">
        <f>IT39*100/$E$39</f>
        <v/>
      </c>
      <c r="IV39" s="108" t="n"/>
      <c r="IW39" s="122">
        <f>IV39*100/$E$39</f>
        <v/>
      </c>
      <c r="IX39" s="108" t="n"/>
      <c r="IY39" s="122">
        <f>IX39*100/$E$39</f>
        <v/>
      </c>
      <c r="IZ39" s="108" t="n"/>
      <c r="JA39" s="122">
        <f>IZ39*100/$E$39</f>
        <v/>
      </c>
      <c r="JB39" s="108" t="n"/>
      <c r="JC39" s="122">
        <f>JB39*100/$E$39</f>
        <v/>
      </c>
      <c r="JD39" s="108" t="n"/>
      <c r="JE39" s="122">
        <f>JD39*100/$E$39</f>
        <v/>
      </c>
      <c r="JF39" s="108" t="n"/>
      <c r="JG39" s="122">
        <f>JF39*100/$E$39</f>
        <v/>
      </c>
      <c r="JH39" s="108" t="n"/>
      <c r="JI39" s="122">
        <f>JH39*100/$E$39</f>
        <v/>
      </c>
      <c r="JJ39" s="108" t="n"/>
      <c r="JK39" s="122">
        <f>JJ39*100/$E$39</f>
        <v/>
      </c>
      <c r="JL39" s="108" t="n"/>
      <c r="JM39" s="122">
        <f>JL39*100/$E$39</f>
        <v/>
      </c>
      <c r="JN39" s="108" t="n"/>
      <c r="JO39" s="121">
        <f>JN39*100/$E$39</f>
        <v/>
      </c>
      <c r="JP39" s="108" t="n"/>
      <c r="JQ39" s="121">
        <f>JP39*100/$E$39</f>
        <v/>
      </c>
      <c r="JR39" s="108" t="n"/>
      <c r="JS39" s="121">
        <f>JR39*100/$E$39</f>
        <v/>
      </c>
      <c r="JT39" s="108" t="n"/>
      <c r="JU39" s="121">
        <f>JT39*100/$E$39</f>
        <v/>
      </c>
      <c r="JV39" s="108" t="n"/>
      <c r="JW39" s="121">
        <f>JV39*100/$E$39</f>
        <v/>
      </c>
      <c r="JX39" s="108" t="n"/>
      <c r="JY39" s="121">
        <f>JX39*100/$E$39</f>
        <v/>
      </c>
      <c r="JZ39" s="55">
        <f>JN39+JP39+JR39+JT39+JV39+JX39</f>
        <v/>
      </c>
      <c r="KA39" s="53">
        <f>JO39+JQ39+JS39+JU39+JW39+JY39</f>
        <v/>
      </c>
      <c r="KB39" s="64">
        <f>H39+J39+L39+N39+P39+R39+T39+V39+X39+Z39+AB39+AD39+AF39+AH39+AJ39+AL39+AN39+AP39+AR39+AT39+AV39+AX39+AZ39+BB39+BD39+BF39+BH39+BJ39+BL39+BN39+BP39+BR39+BT39+BV39+BX39+BZ39+CB39+CD39+CF39+CH39+CZ39+DB39+DD39+DF39+DH39+DJ39+DL39+DN39+DP39+DR39+DT39+DV39+DX39+DZ39+EB39+ED39+EF39+EH39+EJ39+EL39+EN39+EP39+ER39+ET39+EV39+FN39+FP39+FR39+FT39+FV39+FX39+FZ39+GB39+GD39+GF39+GH39+GJ39+GL39+GN39+GP39+GR39+GT39+GV39+GX39+GZ39+HB39+HD39+HF39+HH39+HJ39+HL39+HN39+HP39+HR39+HT39+HV39+HX39+HZ39+IB39+ID39+IF39+IH39+IJ39+IL39+IN39+IP39+IR39+IT39+IV39+IX39+IZ39+JB39+JD39+JF39+JH39+JJ39+JL39+JZ39+CJ39+CL39+CN39+CP39+CR39+CT39+CV39+CX39+EX39+EZ39+FB39+FD39+FF39+FH39+FJ39+FL39</f>
        <v/>
      </c>
      <c r="KC39" s="66">
        <f>I39+K39+M39+O39+Q39+S39+U39+W39+Y39+AA39+AC39+AE39+AG39+AI39+AK39+AM39+AO39+AQ39+AS39+AU39+AW39+AY39+BA39+BC39+BE39+BG39+BI39+BK39+BM39+BO39+BQ39+BS39+BU39+BW39+BY39+CA39+CC39+CE39+CG39+CI39+DA39+DC39+DE39+DG39+DI39+DK39+DM39+DO39+DQ39+DS39+DU39+DW39+DY39+EA39+EC39+EE39+EG39+EI39+EK39+EM39+EO39+EQ39+ES39+EU39+EW39+FO39+FS39+FU39+FW39+FQ39+FY39+GA39+GC39+GE39+GG39+GI39+GK39+GM39+GO39+GQ39+GS39+GU39+GW39+GY39+HA39+HC39+HE39+HG39+HI39+HK39+HM39+HO39+HQ39+HS39+HU39+HW39+HY39+IA39+IC39+IE39+IG39+II39+IK39+IM39+IO39+IQ39+IS39+IU39+IW39+IY39+JA39+JC39+JE39+JG39+JI39+JK39+JM39+KA39+CK39+CM39+CO39+CQ39+CS39+CU39+CW39+CY39+EY39+FA39+FC39+FE39+FG39+FI39+FK39+FM39</f>
        <v/>
      </c>
      <c r="KD39" s="44">
        <f>JO39+JQ39+JS39+JU39+JW39+JY39</f>
        <v/>
      </c>
      <c r="KE39" s="45">
        <f>KB39=E39</f>
        <v/>
      </c>
      <c r="KF39" s="101">
        <f>E39-KB39</f>
        <v/>
      </c>
      <c r="KG39" s="15" t="n"/>
    </row>
    <row r="40" ht="21.75" customFormat="1" customHeight="1" s="25">
      <c r="A40" s="126">
        <f>A39+1</f>
        <v/>
      </c>
      <c r="B40" s="175" t="inlineStr">
        <is>
          <t>Селивановский А.К.</t>
        </is>
      </c>
      <c r="C40" s="194" t="inlineStr">
        <is>
          <t>токарь-расточник</t>
        </is>
      </c>
      <c r="D40" s="177">
        <f>$D$5</f>
        <v/>
      </c>
      <c r="E40" s="202" t="n"/>
      <c r="F40" s="193" t="n">
        <v>101150.45</v>
      </c>
      <c r="G40" s="52">
        <f>F40/D40</f>
        <v/>
      </c>
      <c r="H40" s="125" t="n"/>
      <c r="I40" s="107">
        <f>H40*100/$E$40</f>
        <v/>
      </c>
      <c r="J40" s="108" t="n"/>
      <c r="K40" s="107">
        <f>J40*100/$E$40</f>
        <v/>
      </c>
      <c r="L40" s="108" t="n"/>
      <c r="M40" s="107">
        <f>L40*100/$E$40</f>
        <v/>
      </c>
      <c r="N40" s="108" t="n"/>
      <c r="O40" s="107">
        <f>N40*100/$E$40</f>
        <v/>
      </c>
      <c r="P40" s="108" t="n"/>
      <c r="Q40" s="122">
        <f>P40*100/$E$40</f>
        <v/>
      </c>
      <c r="R40" s="108" t="n"/>
      <c r="S40" s="122">
        <f>R40*100/$E$40</f>
        <v/>
      </c>
      <c r="T40" s="108" t="n"/>
      <c r="U40" s="107">
        <f>T40*100/$E$40</f>
        <v/>
      </c>
      <c r="V40" s="108" t="n"/>
      <c r="W40" s="107">
        <f>V40*100/$E$40</f>
        <v/>
      </c>
      <c r="X40" s="108" t="n"/>
      <c r="Y40" s="107">
        <f>X40*100/$E$40</f>
        <v/>
      </c>
      <c r="Z40" s="108" t="n"/>
      <c r="AA40" s="107">
        <f>Z40*100/$E$40</f>
        <v/>
      </c>
      <c r="AB40" s="108" t="n"/>
      <c r="AC40" s="107">
        <f>AB40*100/$E$40</f>
        <v/>
      </c>
      <c r="AD40" s="108" t="n"/>
      <c r="AE40" s="122">
        <f>AD40*100/$E$40</f>
        <v/>
      </c>
      <c r="AF40" s="108" t="n"/>
      <c r="AG40" s="122">
        <f>AF40*100/$E$40</f>
        <v/>
      </c>
      <c r="AH40" s="108" t="n"/>
      <c r="AI40" s="107">
        <f>AH40*100/$E$40</f>
        <v/>
      </c>
      <c r="AJ40" s="108" t="n"/>
      <c r="AK40" s="107">
        <f>AJ40*100/$E$40</f>
        <v/>
      </c>
      <c r="AL40" s="108" t="n"/>
      <c r="AM40" s="107">
        <f>AL40*100/$E$40</f>
        <v/>
      </c>
      <c r="AN40" s="108" t="n"/>
      <c r="AO40" s="107">
        <f>AN40*100/$E$40</f>
        <v/>
      </c>
      <c r="AP40" s="108" t="n"/>
      <c r="AQ40" s="107">
        <f>AP40*100/$E$40</f>
        <v/>
      </c>
      <c r="AR40" s="108" t="n"/>
      <c r="AS40" s="107">
        <f>AR40*100/$E$40</f>
        <v/>
      </c>
      <c r="AT40" s="108" t="n"/>
      <c r="AU40" s="90">
        <f>AT40*100/$E$40</f>
        <v/>
      </c>
      <c r="AV40" s="108" t="n"/>
      <c r="AW40" s="107">
        <f>AV40*100/$E$40</f>
        <v/>
      </c>
      <c r="AX40" s="108" t="n"/>
      <c r="AY40" s="107">
        <f>AX40*100/$E$40</f>
        <v/>
      </c>
      <c r="AZ40" s="108" t="n"/>
      <c r="BA40" s="107">
        <f>AZ40*100/$E$40</f>
        <v/>
      </c>
      <c r="BB40" s="108" t="n"/>
      <c r="BC40" s="107">
        <f>BB40*100/$E$40</f>
        <v/>
      </c>
      <c r="BD40" s="108" t="n"/>
      <c r="BE40" s="107">
        <f>BD40*100/$E$40</f>
        <v/>
      </c>
      <c r="BF40" s="108" t="n"/>
      <c r="BG40" s="107">
        <f>BF40*100/$E$40</f>
        <v/>
      </c>
      <c r="BH40" s="108" t="n"/>
      <c r="BI40" s="107">
        <f>BH40*100/$E$40</f>
        <v/>
      </c>
      <c r="BJ40" s="108" t="n"/>
      <c r="BK40" s="107">
        <f>BJ40*100/$E$40</f>
        <v/>
      </c>
      <c r="BL40" s="108" t="n"/>
      <c r="BM40" s="107">
        <f>BL40*100/$E$40</f>
        <v/>
      </c>
      <c r="BN40" s="108" t="n"/>
      <c r="BO40" s="107">
        <f>BN40*100/$E$40</f>
        <v/>
      </c>
      <c r="BP40" s="108" t="n"/>
      <c r="BQ40" s="107">
        <f>BP40*100/$E$40</f>
        <v/>
      </c>
      <c r="BR40" s="108" t="n"/>
      <c r="BS40" s="107">
        <f>BR40*100/$E$40</f>
        <v/>
      </c>
      <c r="BT40" s="108" t="n"/>
      <c r="BU40" s="107">
        <f>BT40*100/$E$40</f>
        <v/>
      </c>
      <c r="BV40" s="108" t="n"/>
      <c r="BW40" s="107">
        <f>BV40*100/$E$40</f>
        <v/>
      </c>
      <c r="BX40" s="108" t="n"/>
      <c r="BY40" s="107">
        <f>BX40*100/$E$40</f>
        <v/>
      </c>
      <c r="BZ40" s="108" t="n"/>
      <c r="CA40" s="107">
        <f>BZ40*100/$E$40</f>
        <v/>
      </c>
      <c r="CB40" s="108" t="n"/>
      <c r="CC40" s="107">
        <f>CB40*100/$E$40</f>
        <v/>
      </c>
      <c r="CD40" s="108" t="n"/>
      <c r="CE40" s="107">
        <f>CD40*100/$E$40</f>
        <v/>
      </c>
      <c r="CF40" s="108" t="n"/>
      <c r="CG40" s="107">
        <f>CF40*100/$E$40</f>
        <v/>
      </c>
      <c r="CH40" s="108" t="n"/>
      <c r="CI40" s="107">
        <f>CH40*100/$E$40</f>
        <v/>
      </c>
      <c r="CJ40" s="108" t="n"/>
      <c r="CK40" s="107">
        <f>CJ40*100/$E$40</f>
        <v/>
      </c>
      <c r="CL40" s="108" t="n"/>
      <c r="CM40" s="107">
        <f>CL40*100/$E$40</f>
        <v/>
      </c>
      <c r="CN40" s="108" t="n"/>
      <c r="CO40" s="122">
        <f>CN40*100/$E$40</f>
        <v/>
      </c>
      <c r="CP40" s="108" t="n"/>
      <c r="CQ40" s="107">
        <f>CP40*100/$E$40</f>
        <v/>
      </c>
      <c r="CR40" s="108" t="n"/>
      <c r="CS40" s="122">
        <f>CR40*100/$E$40</f>
        <v/>
      </c>
      <c r="CT40" s="108" t="n"/>
      <c r="CU40" s="122">
        <f>CT40*100/$E$40</f>
        <v/>
      </c>
      <c r="CV40" s="108" t="n"/>
      <c r="CW40" s="122">
        <f>CV40*100/$E$40</f>
        <v/>
      </c>
      <c r="CX40" s="108" t="n"/>
      <c r="CY40" s="122">
        <f>CX40*100/$E$40</f>
        <v/>
      </c>
      <c r="CZ40" s="108" t="n"/>
      <c r="DA40" s="122">
        <f>CZ40*100/$E$40</f>
        <v/>
      </c>
      <c r="DB40" s="108" t="n"/>
      <c r="DC40" s="122">
        <f>DB40*100/$E$40</f>
        <v/>
      </c>
      <c r="DD40" s="108" t="n"/>
      <c r="DE40" s="122">
        <f>DD40*100/$E$40</f>
        <v/>
      </c>
      <c r="DF40" s="108" t="n"/>
      <c r="DG40" s="122">
        <f>DF40*100/$E$40</f>
        <v/>
      </c>
      <c r="DH40" s="108" t="n"/>
      <c r="DI40" s="122">
        <f>DH40*100/$E$40</f>
        <v/>
      </c>
      <c r="DJ40" s="108" t="n"/>
      <c r="DK40" s="122">
        <f>DJ40*100/$E$40</f>
        <v/>
      </c>
      <c r="DL40" s="108" t="n"/>
      <c r="DM40" s="122">
        <f>DL40*100/$E$40</f>
        <v/>
      </c>
      <c r="DN40" s="108" t="n"/>
      <c r="DO40" s="122">
        <f>DN40*100/$E$40</f>
        <v/>
      </c>
      <c r="DP40" s="108" t="n"/>
      <c r="DQ40" s="122">
        <f>DP40*100/$E$40</f>
        <v/>
      </c>
      <c r="DR40" s="108" t="n"/>
      <c r="DS40" s="122">
        <f>DR40*100/$E$40</f>
        <v/>
      </c>
      <c r="DT40" s="108" t="n"/>
      <c r="DU40" s="122">
        <f>DT40*100/$E$40</f>
        <v/>
      </c>
      <c r="DV40" s="108" t="n"/>
      <c r="DW40" s="122">
        <f>DV40*100/$E$40</f>
        <v/>
      </c>
      <c r="DX40" s="108" t="n"/>
      <c r="DY40" s="122">
        <f>DX40*100/$E$40</f>
        <v/>
      </c>
      <c r="DZ40" s="108" t="n"/>
      <c r="EA40" s="122">
        <f>DZ40*100/$E$40</f>
        <v/>
      </c>
      <c r="EB40" s="108" t="n"/>
      <c r="EC40" s="122">
        <f>EB40*100/$E$40</f>
        <v/>
      </c>
      <c r="ED40" s="108" t="n"/>
      <c r="EE40" s="122">
        <f>ED40*100/$E$40</f>
        <v/>
      </c>
      <c r="EF40" s="108" t="n"/>
      <c r="EG40" s="122">
        <f>EF40*100/$E$40</f>
        <v/>
      </c>
      <c r="EH40" s="108" t="n"/>
      <c r="EI40" s="122">
        <f>EH40*100/$E$40</f>
        <v/>
      </c>
      <c r="EJ40" s="108" t="n"/>
      <c r="EK40" s="122">
        <f>EJ40*100/$E$40</f>
        <v/>
      </c>
      <c r="EL40" s="108" t="n"/>
      <c r="EM40" s="122">
        <f>EL40*100/$E$40</f>
        <v/>
      </c>
      <c r="EN40" s="108" t="n"/>
      <c r="EO40" s="122">
        <f>EN40*100/$E$40</f>
        <v/>
      </c>
      <c r="EP40" s="108" t="n"/>
      <c r="EQ40" s="122">
        <f>EP40*100/$E$40</f>
        <v/>
      </c>
      <c r="ER40" s="108" t="n"/>
      <c r="ES40" s="122">
        <f>ER40*100/$E$40</f>
        <v/>
      </c>
      <c r="ET40" s="108" t="n"/>
      <c r="EU40" s="122">
        <f>ET40*100/$E$40</f>
        <v/>
      </c>
      <c r="EV40" s="108" t="n"/>
      <c r="EW40" s="122">
        <f>EV40*100/$E$40</f>
        <v/>
      </c>
      <c r="EX40" s="108" t="n"/>
      <c r="EY40" s="122">
        <f>EX40*100/$E$40</f>
        <v/>
      </c>
      <c r="EZ40" s="108" t="n"/>
      <c r="FA40" s="122">
        <f>EZ40*100/$E$40</f>
        <v/>
      </c>
      <c r="FB40" s="108" t="n"/>
      <c r="FC40" s="122">
        <f>FB40*100/$E$40</f>
        <v/>
      </c>
      <c r="FD40" s="108" t="n"/>
      <c r="FE40" s="122">
        <f>FD40*100/$E$40</f>
        <v/>
      </c>
      <c r="FF40" s="108" t="n"/>
      <c r="FG40" s="122">
        <f>FF40*100/$E$40</f>
        <v/>
      </c>
      <c r="FH40" s="108" t="n"/>
      <c r="FI40" s="122">
        <f>FH40*100/$E$40</f>
        <v/>
      </c>
      <c r="FJ40" s="108" t="n"/>
      <c r="FK40" s="122">
        <f>FJ40*100/$E$40</f>
        <v/>
      </c>
      <c r="FL40" s="108" t="n"/>
      <c r="FM40" s="122">
        <f>FL40*100/$E$40</f>
        <v/>
      </c>
      <c r="FN40" s="108" t="n"/>
      <c r="FO40" s="122">
        <f>FN40*100/$E$40</f>
        <v/>
      </c>
      <c r="FP40" s="108" t="n"/>
      <c r="FQ40" s="122">
        <f>FP40*100/$E$40</f>
        <v/>
      </c>
      <c r="FR40" s="108" t="n"/>
      <c r="FS40" s="122">
        <f>FR40*100/$E$40</f>
        <v/>
      </c>
      <c r="FT40" s="108" t="n"/>
      <c r="FU40" s="122">
        <f>FT40*100/$E$40</f>
        <v/>
      </c>
      <c r="FV40" s="108" t="n"/>
      <c r="FW40" s="122">
        <f>FV40*100/$E$40</f>
        <v/>
      </c>
      <c r="FX40" s="108" t="n"/>
      <c r="FY40" s="107">
        <f>FX40*100/$E$40</f>
        <v/>
      </c>
      <c r="FZ40" s="108" t="n"/>
      <c r="GA40" s="107">
        <f>FZ40*100/$E$40</f>
        <v/>
      </c>
      <c r="GB40" s="108" t="n"/>
      <c r="GC40" s="107">
        <f>GB40*100/$E$40</f>
        <v/>
      </c>
      <c r="GD40" s="108" t="n"/>
      <c r="GE40" s="107">
        <f>GD40*100/$E$40</f>
        <v/>
      </c>
      <c r="GF40" s="108" t="n"/>
      <c r="GG40" s="107">
        <f>GF40*100/$E$40</f>
        <v/>
      </c>
      <c r="GH40" s="108" t="n"/>
      <c r="GI40" s="107">
        <f>GH40*100/$E$40</f>
        <v/>
      </c>
      <c r="GJ40" s="108" t="n"/>
      <c r="GK40" s="122">
        <f>GJ40*100/$E$40</f>
        <v/>
      </c>
      <c r="GL40" s="108" t="n"/>
      <c r="GM40" s="107">
        <f>GL40*100/$E$40</f>
        <v/>
      </c>
      <c r="GN40" s="108" t="n"/>
      <c r="GO40" s="122">
        <f>GN40*100/$E$40</f>
        <v/>
      </c>
      <c r="GP40" s="108" t="n"/>
      <c r="GQ40" s="107">
        <f>GP40*100/$E$40</f>
        <v/>
      </c>
      <c r="GR40" s="108" t="n"/>
      <c r="GS40" s="122">
        <f>GR40*100/$E$40</f>
        <v/>
      </c>
      <c r="GT40" s="108" t="n"/>
      <c r="GU40" s="122">
        <f>GT40*100/$E$40</f>
        <v/>
      </c>
      <c r="GV40" s="108" t="n"/>
      <c r="GW40" s="122">
        <f>GV40*100/$E$40</f>
        <v/>
      </c>
      <c r="GX40" s="108" t="n"/>
      <c r="GY40" s="107">
        <f>GX40*100/$E$40</f>
        <v/>
      </c>
      <c r="GZ40" s="108" t="n"/>
      <c r="HA40" s="107">
        <f>GZ40*100/$E$40</f>
        <v/>
      </c>
      <c r="HB40" s="108" t="n"/>
      <c r="HC40" s="107">
        <f>HB40*100/$E$40</f>
        <v/>
      </c>
      <c r="HD40" s="108" t="n"/>
      <c r="HE40" s="107">
        <f>HD40*100/$E$40</f>
        <v/>
      </c>
      <c r="HF40" s="108" t="n"/>
      <c r="HG40" s="107">
        <f>HF40*100/$E$40</f>
        <v/>
      </c>
      <c r="HH40" s="108" t="n"/>
      <c r="HI40" s="107">
        <f>HH40*100/$E$40</f>
        <v/>
      </c>
      <c r="HJ40" s="108" t="n"/>
      <c r="HK40" s="107">
        <f>HJ40*100/$E$40</f>
        <v/>
      </c>
      <c r="HL40" s="108" t="n"/>
      <c r="HM40" s="107">
        <f>HL40*100/$E$40</f>
        <v/>
      </c>
      <c r="HN40" s="108" t="n"/>
      <c r="HO40" s="107">
        <f>HN40*100/$E$40</f>
        <v/>
      </c>
      <c r="HP40" s="108" t="n"/>
      <c r="HQ40" s="107">
        <f>HP40*100/$E$40</f>
        <v/>
      </c>
      <c r="HR40" s="108" t="n"/>
      <c r="HS40" s="107">
        <f>HR40*100/$E$40</f>
        <v/>
      </c>
      <c r="HT40" s="108" t="n"/>
      <c r="HU40" s="107">
        <f>HT40*100/$E$40</f>
        <v/>
      </c>
      <c r="HV40" s="108" t="n"/>
      <c r="HW40" s="107">
        <f>HV40*100/$E$40</f>
        <v/>
      </c>
      <c r="HX40" s="108" t="n"/>
      <c r="HY40" s="107">
        <f>HX40*100/$E$40</f>
        <v/>
      </c>
      <c r="HZ40" s="108" t="n"/>
      <c r="IA40" s="122">
        <f>HZ40*100/$E$40</f>
        <v/>
      </c>
      <c r="IB40" s="108" t="n"/>
      <c r="IC40" s="122">
        <f>IB40*100/$E$40</f>
        <v/>
      </c>
      <c r="ID40" s="108" t="n"/>
      <c r="IE40" s="122">
        <f>ID40*100/$E$40</f>
        <v/>
      </c>
      <c r="IF40" s="108" t="n"/>
      <c r="IG40" s="122">
        <f>IF40*100/$E$40</f>
        <v/>
      </c>
      <c r="IH40" s="108" t="n"/>
      <c r="II40" s="122">
        <f>IH40*100/$E$40</f>
        <v/>
      </c>
      <c r="IJ40" s="108" t="n"/>
      <c r="IK40" s="122">
        <f>IJ40*100/$E$40</f>
        <v/>
      </c>
      <c r="IL40" s="108" t="n"/>
      <c r="IM40" s="107">
        <f>IL40*100/$E$40</f>
        <v/>
      </c>
      <c r="IN40" s="108" t="n"/>
      <c r="IO40" s="107">
        <f>IN40*100/$E$40</f>
        <v/>
      </c>
      <c r="IP40" s="108" t="n"/>
      <c r="IQ40" s="122">
        <f>IP40*100/$E$40</f>
        <v/>
      </c>
      <c r="IR40" s="108" t="n"/>
      <c r="IS40" s="122">
        <f>IR40*100/$E$40</f>
        <v/>
      </c>
      <c r="IT40" s="108" t="n"/>
      <c r="IU40" s="122">
        <f>IT40*100/$E$40</f>
        <v/>
      </c>
      <c r="IV40" s="108" t="n"/>
      <c r="IW40" s="122">
        <f>IV40*100/$E$40</f>
        <v/>
      </c>
      <c r="IX40" s="108" t="n"/>
      <c r="IY40" s="122">
        <f>IX40*100/$E$40</f>
        <v/>
      </c>
      <c r="IZ40" s="108" t="n"/>
      <c r="JA40" s="122">
        <f>IZ40*100/$E$40</f>
        <v/>
      </c>
      <c r="JB40" s="108" t="n"/>
      <c r="JC40" s="122">
        <f>JB40*100/$E$40</f>
        <v/>
      </c>
      <c r="JD40" s="108" t="n"/>
      <c r="JE40" s="122">
        <f>JD40*100/$E$40</f>
        <v/>
      </c>
      <c r="JF40" s="108" t="n"/>
      <c r="JG40" s="122">
        <f>JF40*100/$E$40</f>
        <v/>
      </c>
      <c r="JH40" s="108" t="n"/>
      <c r="JI40" s="122">
        <f>JH40*100/$E$40</f>
        <v/>
      </c>
      <c r="JJ40" s="108" t="n"/>
      <c r="JK40" s="122">
        <f>JJ40*100/$E$40</f>
        <v/>
      </c>
      <c r="JL40" s="108" t="n"/>
      <c r="JM40" s="122">
        <f>JL40*100/$E$40</f>
        <v/>
      </c>
      <c r="JN40" s="108" t="n"/>
      <c r="JO40" s="121">
        <f>JN40*100/$E$40</f>
        <v/>
      </c>
      <c r="JP40" s="108" t="n"/>
      <c r="JQ40" s="121">
        <f>JP40*100/$E$40</f>
        <v/>
      </c>
      <c r="JR40" s="108" t="n"/>
      <c r="JS40" s="121">
        <f>JR40*100/$E$40</f>
        <v/>
      </c>
      <c r="JT40" s="108" t="n"/>
      <c r="JU40" s="121">
        <f>JT40*100/$E$40</f>
        <v/>
      </c>
      <c r="JV40" s="108" t="n"/>
      <c r="JW40" s="121">
        <f>JV40*100/$E$40</f>
        <v/>
      </c>
      <c r="JX40" s="108" t="n"/>
      <c r="JY40" s="121">
        <f>JX40*100/$E$40</f>
        <v/>
      </c>
      <c r="JZ40" s="55">
        <f>JN40+JP40+JR40+JT40+JV40+JX40</f>
        <v/>
      </c>
      <c r="KA40" s="53">
        <f>JO40+JQ40+JS40+JU40+JW40+JY40</f>
        <v/>
      </c>
      <c r="KB40" s="64">
        <f>H40+J40+L40+N40+P40+R40+T40+V40+X40+Z40+AB40+AD40+AF40+AH40+AJ40+AL40+AN40+AP40+AR40+AT40+AV40+AX40+AZ40+BB40+BD40+BF40+BH40+BJ40+BL40+BN40+BP40+BR40+BT40+BV40+BX40+BZ40+CB40+CD40+CF40+CH40+CZ40+DB40+DD40+DF40+DH40+DJ40+DL40+DN40+DP40+DR40+DT40+DV40+DX40+DZ40+EB40+ED40+EF40+EH40+EJ40+EL40+EN40+EP40+ER40+ET40+EV40+FN40+FP40+FR40+FT40+FV40+FX40+FZ40+GB40+GD40+GF40+GH40+GJ40+GL40+GN40+GP40+GR40+GT40+GV40+GX40+GZ40+HB40+HD40+HF40+HH40+HJ40+HL40+HN40+HP40+HR40+HT40+HV40+HX40+HZ40+IB40+ID40+IF40+IH40+IJ40+IL40+IN40+IP40+IR40+IT40+IV40+IX40+IZ40+JB40+JD40+JF40+JH40+JJ40+JL40+JZ40+CJ40+CL40+CN40+CP40+CR40+CT40+CV40+CX40+EX40+EZ40+FB40+FD40+FF40+FH40+FJ40+FL40</f>
        <v/>
      </c>
      <c r="KC40" s="66">
        <f>I40+K40+M40+O40+Q40+S40+U40+W40+Y40+AA40+AC40+AE40+AG40+AI40+AK40+AM40+AO40+AQ40+AS40+AU40+AW40+AY40+BA40+BC40+BE40+BG40+BI40+BK40+BM40+BO40+BQ40+BS40+BU40+BW40+BY40+CA40+CC40+CE40+CG40+CI40+DA40+DC40+DE40+DG40+DI40+DK40+DM40+DO40+DQ40+DS40+DU40+DW40+DY40+EA40+EC40+EE40+EG40+EI40+EK40+EM40+EO40+EQ40+ES40+EU40+EW40+FO40+FS40+FU40+FW40+FQ40+FY40+GA40+GC40+GE40+GG40+GI40+GK40+GM40+GO40+GQ40+GS40+GU40+GW40+GY40+HA40+HC40+HE40+HG40+HI40+HK40+HM40+HO40+HQ40+HS40+HU40+HW40+HY40+IA40+IC40+IE40+IG40+II40+IK40+IM40+IO40+IQ40+IS40+IU40+IW40+IY40+JA40+JC40+JE40+JG40+JI40+JK40+JM40+KA40+CK40+CM40+CO40+CQ40+CS40+CU40+CW40+CY40+EY40+FA40+FC40+FE40+FG40+FI40+FK40+FM40</f>
        <v/>
      </c>
      <c r="KD40" s="44">
        <f>JO40+JQ40+JS40+JU40+JW40+JY40</f>
        <v/>
      </c>
      <c r="KE40" s="45">
        <f>KB40=E40</f>
        <v/>
      </c>
      <c r="KF40" s="101">
        <f>E40-KB40</f>
        <v/>
      </c>
      <c r="KG40" s="17" t="n"/>
    </row>
    <row r="41" ht="21.75" customFormat="1" customHeight="1" s="17">
      <c r="A41" s="126">
        <f>A40+1</f>
        <v/>
      </c>
      <c r="B41" s="175" t="inlineStr">
        <is>
          <t>Серебреннников Е.В.</t>
        </is>
      </c>
      <c r="C41" s="176" t="inlineStr">
        <is>
          <t>слесарь МСР</t>
        </is>
      </c>
      <c r="D41" s="177">
        <f>$D$5</f>
        <v/>
      </c>
      <c r="E41" s="202" t="n"/>
      <c r="F41" s="193" t="n">
        <v>55770</v>
      </c>
      <c r="G41" s="52">
        <f>F41/D41</f>
        <v/>
      </c>
      <c r="H41" s="125" t="n"/>
      <c r="I41" s="107">
        <f>H41*100/$E$41</f>
        <v/>
      </c>
      <c r="J41" s="108" t="n"/>
      <c r="K41" s="107">
        <f>J41*100/$E$41</f>
        <v/>
      </c>
      <c r="L41" s="108" t="n"/>
      <c r="M41" s="107">
        <f>L41*100/$E$41</f>
        <v/>
      </c>
      <c r="N41" s="108" t="n"/>
      <c r="O41" s="107">
        <f>N41*100/$E$41</f>
        <v/>
      </c>
      <c r="P41" s="108" t="n"/>
      <c r="Q41" s="122">
        <f>P41*100/$E$41</f>
        <v/>
      </c>
      <c r="R41" s="108" t="n"/>
      <c r="S41" s="122">
        <f>R41*100/$E$41</f>
        <v/>
      </c>
      <c r="T41" s="108" t="n"/>
      <c r="U41" s="107">
        <f>T41*100/$E$41</f>
        <v/>
      </c>
      <c r="V41" s="108" t="n"/>
      <c r="W41" s="107">
        <f>V41*100/$E$41</f>
        <v/>
      </c>
      <c r="X41" s="108" t="n"/>
      <c r="Y41" s="107">
        <f>X41*100/$E$41</f>
        <v/>
      </c>
      <c r="Z41" s="108" t="n"/>
      <c r="AA41" s="107">
        <f>Z41*100/$E$41</f>
        <v/>
      </c>
      <c r="AB41" s="108" t="n"/>
      <c r="AC41" s="107">
        <f>AB41*100/$E$41</f>
        <v/>
      </c>
      <c r="AD41" s="108" t="n"/>
      <c r="AE41" s="122">
        <f>AD41*100/$E$41</f>
        <v/>
      </c>
      <c r="AF41" s="108" t="n"/>
      <c r="AG41" s="122">
        <f>AF41*100/$E$41</f>
        <v/>
      </c>
      <c r="AH41" s="108" t="n"/>
      <c r="AI41" s="107">
        <f>AH41*100/$E$41</f>
        <v/>
      </c>
      <c r="AJ41" s="108" t="n"/>
      <c r="AK41" s="107">
        <f>AJ41*100/$E$41</f>
        <v/>
      </c>
      <c r="AL41" s="108" t="n"/>
      <c r="AM41" s="107">
        <f>AL41*100/$E$41</f>
        <v/>
      </c>
      <c r="AN41" s="108" t="n"/>
      <c r="AO41" s="107">
        <f>AN41*100/$E$41</f>
        <v/>
      </c>
      <c r="AP41" s="108" t="n"/>
      <c r="AQ41" s="107">
        <f>AP41*100/$E$41</f>
        <v/>
      </c>
      <c r="AR41" s="108" t="n"/>
      <c r="AS41" s="107">
        <f>AR41*100/$E$41</f>
        <v/>
      </c>
      <c r="AT41" s="108" t="n"/>
      <c r="AU41" s="90">
        <f>AT41*100/$E$41</f>
        <v/>
      </c>
      <c r="AV41" s="108" t="n"/>
      <c r="AW41" s="107">
        <f>AV41*100/$E$41</f>
        <v/>
      </c>
      <c r="AX41" s="108" t="n"/>
      <c r="AY41" s="107">
        <f>AX41*100/$E$41</f>
        <v/>
      </c>
      <c r="AZ41" s="108" t="n"/>
      <c r="BA41" s="107">
        <f>AZ41*100/$E$41</f>
        <v/>
      </c>
      <c r="BB41" s="108" t="n"/>
      <c r="BC41" s="107">
        <f>BB41*100/$E$41</f>
        <v/>
      </c>
      <c r="BD41" s="108" t="n"/>
      <c r="BE41" s="107">
        <f>BD41*100/$E$41</f>
        <v/>
      </c>
      <c r="BF41" s="108" t="n"/>
      <c r="BG41" s="107">
        <f>BF41*100/$E$41</f>
        <v/>
      </c>
      <c r="BH41" s="108" t="n"/>
      <c r="BI41" s="107">
        <f>BH41*100/$E$41</f>
        <v/>
      </c>
      <c r="BJ41" s="108" t="n"/>
      <c r="BK41" s="107">
        <f>BJ41*100/$E$41</f>
        <v/>
      </c>
      <c r="BL41" s="108" t="n"/>
      <c r="BM41" s="107">
        <f>BL41*100/$E$41</f>
        <v/>
      </c>
      <c r="BN41" s="108" t="n"/>
      <c r="BO41" s="107">
        <f>BN41*100/$E$41</f>
        <v/>
      </c>
      <c r="BP41" s="108" t="n"/>
      <c r="BQ41" s="107">
        <f>BP41*100/$E$41</f>
        <v/>
      </c>
      <c r="BR41" s="108" t="n"/>
      <c r="BS41" s="107">
        <f>BR41*100/$E$41</f>
        <v/>
      </c>
      <c r="BT41" s="108" t="n"/>
      <c r="BU41" s="107">
        <f>BT41*100/$E$41</f>
        <v/>
      </c>
      <c r="BV41" s="108" t="n"/>
      <c r="BW41" s="107">
        <f>BV41*100/$E$41</f>
        <v/>
      </c>
      <c r="BX41" s="108" t="n"/>
      <c r="BY41" s="107">
        <f>BX41*100/$E$41</f>
        <v/>
      </c>
      <c r="BZ41" s="108" t="n"/>
      <c r="CA41" s="107">
        <f>BZ41*100/$E$41</f>
        <v/>
      </c>
      <c r="CB41" s="108" t="n"/>
      <c r="CC41" s="107">
        <f>CB41*100/$E$41</f>
        <v/>
      </c>
      <c r="CD41" s="108" t="n"/>
      <c r="CE41" s="107">
        <f>CD41*100/$E$41</f>
        <v/>
      </c>
      <c r="CF41" s="108" t="n"/>
      <c r="CG41" s="107">
        <f>CF41*100/$E$41</f>
        <v/>
      </c>
      <c r="CH41" s="108" t="n"/>
      <c r="CI41" s="107">
        <f>CH41*100/$E$41</f>
        <v/>
      </c>
      <c r="CJ41" s="108" t="n"/>
      <c r="CK41" s="107">
        <f>CJ41*100/$E$41</f>
        <v/>
      </c>
      <c r="CL41" s="108" t="n"/>
      <c r="CM41" s="107">
        <f>CL41*100/$E$41</f>
        <v/>
      </c>
      <c r="CN41" s="108" t="n"/>
      <c r="CO41" s="122">
        <f>CN41*100/$E$41</f>
        <v/>
      </c>
      <c r="CP41" s="108" t="n"/>
      <c r="CQ41" s="107">
        <f>CP41*100/$E$41</f>
        <v/>
      </c>
      <c r="CR41" s="108" t="n"/>
      <c r="CS41" s="122">
        <f>CR41*100/$E$41</f>
        <v/>
      </c>
      <c r="CT41" s="108" t="n"/>
      <c r="CU41" s="122">
        <f>CT41*100/$E$41</f>
        <v/>
      </c>
      <c r="CV41" s="108" t="n"/>
      <c r="CW41" s="122">
        <f>CV41*100/$E$41</f>
        <v/>
      </c>
      <c r="CX41" s="108" t="n"/>
      <c r="CY41" s="122">
        <f>CX41*100/$E$41</f>
        <v/>
      </c>
      <c r="CZ41" s="108" t="n"/>
      <c r="DA41" s="122">
        <f>CZ41*100/$E$41</f>
        <v/>
      </c>
      <c r="DB41" s="108" t="n"/>
      <c r="DC41" s="122">
        <f>DB41*100/$E$41</f>
        <v/>
      </c>
      <c r="DD41" s="108" t="n"/>
      <c r="DE41" s="122">
        <f>DD41*100/$E$41</f>
        <v/>
      </c>
      <c r="DF41" s="108" t="n"/>
      <c r="DG41" s="122">
        <f>DF41*100/$E$41</f>
        <v/>
      </c>
      <c r="DH41" s="108" t="n"/>
      <c r="DI41" s="122">
        <f>DH41*100/$E$41</f>
        <v/>
      </c>
      <c r="DJ41" s="108" t="n"/>
      <c r="DK41" s="122">
        <f>DJ41*100/$E$41</f>
        <v/>
      </c>
      <c r="DL41" s="108" t="n"/>
      <c r="DM41" s="122">
        <f>DL41*100/$E$41</f>
        <v/>
      </c>
      <c r="DN41" s="108" t="n"/>
      <c r="DO41" s="122">
        <f>DN41*100/$E$41</f>
        <v/>
      </c>
      <c r="DP41" s="108" t="n"/>
      <c r="DQ41" s="122">
        <f>DP41*100/$E$41</f>
        <v/>
      </c>
      <c r="DR41" s="108" t="n"/>
      <c r="DS41" s="122">
        <f>DR41*100/$E$41</f>
        <v/>
      </c>
      <c r="DT41" s="108" t="n"/>
      <c r="DU41" s="122">
        <f>DT41*100/$E$41</f>
        <v/>
      </c>
      <c r="DV41" s="108" t="n"/>
      <c r="DW41" s="122">
        <f>DV41*100/$E$41</f>
        <v/>
      </c>
      <c r="DX41" s="108" t="n"/>
      <c r="DY41" s="122">
        <f>DX41*100/$E$41</f>
        <v/>
      </c>
      <c r="DZ41" s="108" t="n"/>
      <c r="EA41" s="122">
        <f>DZ41*100/$E$41</f>
        <v/>
      </c>
      <c r="EB41" s="108" t="n"/>
      <c r="EC41" s="122">
        <f>EB41*100/$E$41</f>
        <v/>
      </c>
      <c r="ED41" s="108" t="n"/>
      <c r="EE41" s="122">
        <f>ED41*100/$E$41</f>
        <v/>
      </c>
      <c r="EF41" s="108" t="n"/>
      <c r="EG41" s="122">
        <f>EF41*100/$E$41</f>
        <v/>
      </c>
      <c r="EH41" s="108" t="n"/>
      <c r="EI41" s="122">
        <f>EH41*100/$E$41</f>
        <v/>
      </c>
      <c r="EJ41" s="108" t="n"/>
      <c r="EK41" s="122">
        <f>EJ41*100/$E$41</f>
        <v/>
      </c>
      <c r="EL41" s="108" t="n"/>
      <c r="EM41" s="122">
        <f>EL41*100/$E$41</f>
        <v/>
      </c>
      <c r="EN41" s="108" t="n"/>
      <c r="EO41" s="122">
        <f>EN41*100/$E$41</f>
        <v/>
      </c>
      <c r="EP41" s="108" t="n"/>
      <c r="EQ41" s="122">
        <f>EP41*100/$E$41</f>
        <v/>
      </c>
      <c r="ER41" s="108" t="n"/>
      <c r="ES41" s="122">
        <f>ER41*100/$E$41</f>
        <v/>
      </c>
      <c r="ET41" s="108" t="n"/>
      <c r="EU41" s="122">
        <f>ET41*100/$E$41</f>
        <v/>
      </c>
      <c r="EV41" s="108" t="n"/>
      <c r="EW41" s="122">
        <f>EV41*100/$E$41</f>
        <v/>
      </c>
      <c r="EX41" s="108" t="n"/>
      <c r="EY41" s="122">
        <f>EX41*100/$E$41</f>
        <v/>
      </c>
      <c r="EZ41" s="108" t="n"/>
      <c r="FA41" s="122">
        <f>EZ41*100/$E$41</f>
        <v/>
      </c>
      <c r="FB41" s="108" t="n"/>
      <c r="FC41" s="122">
        <f>FB41*100/$E$41</f>
        <v/>
      </c>
      <c r="FD41" s="108" t="n"/>
      <c r="FE41" s="122">
        <f>FD41*100/$E$41</f>
        <v/>
      </c>
      <c r="FF41" s="108" t="n"/>
      <c r="FG41" s="122">
        <f>FF41*100/$E$41</f>
        <v/>
      </c>
      <c r="FH41" s="108" t="n"/>
      <c r="FI41" s="122">
        <f>FH41*100/$E$41</f>
        <v/>
      </c>
      <c r="FJ41" s="108" t="n"/>
      <c r="FK41" s="122">
        <f>FJ41*100/$E$41</f>
        <v/>
      </c>
      <c r="FL41" s="108" t="n"/>
      <c r="FM41" s="122">
        <f>FL41*100/$E$41</f>
        <v/>
      </c>
      <c r="FN41" s="108" t="n"/>
      <c r="FO41" s="122">
        <f>FN41*100/$E$41</f>
        <v/>
      </c>
      <c r="FP41" s="108" t="n"/>
      <c r="FQ41" s="122">
        <f>FP41*100/$E$41</f>
        <v/>
      </c>
      <c r="FR41" s="108" t="n"/>
      <c r="FS41" s="122">
        <f>FR41*100/$E$41</f>
        <v/>
      </c>
      <c r="FT41" s="108" t="n"/>
      <c r="FU41" s="122">
        <f>FT41*100/$E$41</f>
        <v/>
      </c>
      <c r="FV41" s="108" t="n"/>
      <c r="FW41" s="122">
        <f>FV41*100/$E$41</f>
        <v/>
      </c>
      <c r="FX41" s="108" t="n"/>
      <c r="FY41" s="107">
        <f>FX41*100/$E$41</f>
        <v/>
      </c>
      <c r="FZ41" s="108" t="n"/>
      <c r="GA41" s="107">
        <f>FZ41*100/$E$41</f>
        <v/>
      </c>
      <c r="GB41" s="108" t="n"/>
      <c r="GC41" s="107">
        <f>GB41*100/$E$41</f>
        <v/>
      </c>
      <c r="GD41" s="108" t="n"/>
      <c r="GE41" s="107">
        <f>GD41*100/$E$41</f>
        <v/>
      </c>
      <c r="GF41" s="108" t="n"/>
      <c r="GG41" s="107">
        <f>GF41*100/$E$41</f>
        <v/>
      </c>
      <c r="GH41" s="108" t="n"/>
      <c r="GI41" s="107">
        <f>GH41*100/$E$41</f>
        <v/>
      </c>
      <c r="GJ41" s="108" t="n"/>
      <c r="GK41" s="122">
        <f>GJ41*100/$E$41</f>
        <v/>
      </c>
      <c r="GL41" s="108" t="n"/>
      <c r="GM41" s="107">
        <f>GL41*100/$E$41</f>
        <v/>
      </c>
      <c r="GN41" s="108" t="n"/>
      <c r="GO41" s="122">
        <f>GN41*100/$E$41</f>
        <v/>
      </c>
      <c r="GP41" s="108" t="n"/>
      <c r="GQ41" s="107">
        <f>GP41*100/$E$41</f>
        <v/>
      </c>
      <c r="GR41" s="108" t="n"/>
      <c r="GS41" s="122">
        <f>GR41*100/$E$41</f>
        <v/>
      </c>
      <c r="GT41" s="108" t="n"/>
      <c r="GU41" s="122">
        <f>GT41*100/$E$41</f>
        <v/>
      </c>
      <c r="GV41" s="108" t="n"/>
      <c r="GW41" s="122">
        <f>GV41*100/$E$41</f>
        <v/>
      </c>
      <c r="GX41" s="108" t="n"/>
      <c r="GY41" s="107">
        <f>GX41*100/$E$41</f>
        <v/>
      </c>
      <c r="GZ41" s="108" t="n"/>
      <c r="HA41" s="107">
        <f>GZ41*100/$E$41</f>
        <v/>
      </c>
      <c r="HB41" s="108" t="n"/>
      <c r="HC41" s="107">
        <f>HB41*100/$E$41</f>
        <v/>
      </c>
      <c r="HD41" s="108" t="n"/>
      <c r="HE41" s="107">
        <f>HD41*100/$E$41</f>
        <v/>
      </c>
      <c r="HF41" s="108" t="n"/>
      <c r="HG41" s="107">
        <f>HF41*100/$E$41</f>
        <v/>
      </c>
      <c r="HH41" s="108" t="n"/>
      <c r="HI41" s="107">
        <f>HH41*100/$E$41</f>
        <v/>
      </c>
      <c r="HJ41" s="108" t="n"/>
      <c r="HK41" s="107">
        <f>HJ41*100/$E$41</f>
        <v/>
      </c>
      <c r="HL41" s="108" t="n"/>
      <c r="HM41" s="107">
        <f>HL41*100/$E$41</f>
        <v/>
      </c>
      <c r="HN41" s="108" t="n"/>
      <c r="HO41" s="107">
        <f>HN41*100/$E$41</f>
        <v/>
      </c>
      <c r="HP41" s="108" t="n"/>
      <c r="HQ41" s="107">
        <f>HP41*100/$E$41</f>
        <v/>
      </c>
      <c r="HR41" s="108" t="n"/>
      <c r="HS41" s="107">
        <f>HR41*100/$E$41</f>
        <v/>
      </c>
      <c r="HT41" s="108" t="n"/>
      <c r="HU41" s="107">
        <f>HT41*100/$E$41</f>
        <v/>
      </c>
      <c r="HV41" s="108" t="n"/>
      <c r="HW41" s="107">
        <f>HV41*100/$E$41</f>
        <v/>
      </c>
      <c r="HX41" s="108" t="n"/>
      <c r="HY41" s="107">
        <f>HX41*100/$E$41</f>
        <v/>
      </c>
      <c r="HZ41" s="108" t="n"/>
      <c r="IA41" s="122">
        <f>HZ41*100/$E$41</f>
        <v/>
      </c>
      <c r="IB41" s="108" t="n"/>
      <c r="IC41" s="122">
        <f>IB41*100/$E$41</f>
        <v/>
      </c>
      <c r="ID41" s="108" t="n"/>
      <c r="IE41" s="122">
        <f>ID41*100/$E$41</f>
        <v/>
      </c>
      <c r="IF41" s="108" t="n"/>
      <c r="IG41" s="122">
        <f>IF41*100/$E$41</f>
        <v/>
      </c>
      <c r="IH41" s="108" t="n"/>
      <c r="II41" s="122">
        <f>IH41*100/$E$41</f>
        <v/>
      </c>
      <c r="IJ41" s="108" t="n"/>
      <c r="IK41" s="122">
        <f>IJ41*100/$E$41</f>
        <v/>
      </c>
      <c r="IL41" s="108" t="n"/>
      <c r="IM41" s="107">
        <f>IL41*100/$E$41</f>
        <v/>
      </c>
      <c r="IN41" s="108" t="n"/>
      <c r="IO41" s="107">
        <f>IN41*100/$E$41</f>
        <v/>
      </c>
      <c r="IP41" s="108" t="n"/>
      <c r="IQ41" s="122">
        <f>IP41*100/$E$41</f>
        <v/>
      </c>
      <c r="IR41" s="108" t="n"/>
      <c r="IS41" s="122">
        <f>IR41*100/$E$41</f>
        <v/>
      </c>
      <c r="IT41" s="108" t="n"/>
      <c r="IU41" s="122">
        <f>IT41*100/$E$41</f>
        <v/>
      </c>
      <c r="IV41" s="108" t="n"/>
      <c r="IW41" s="122">
        <f>IV41*100/$E$41</f>
        <v/>
      </c>
      <c r="IX41" s="108" t="n"/>
      <c r="IY41" s="122">
        <f>IX41*100/$E$41</f>
        <v/>
      </c>
      <c r="IZ41" s="108" t="n"/>
      <c r="JA41" s="122">
        <f>IZ41*100/$E$41</f>
        <v/>
      </c>
      <c r="JB41" s="108" t="n"/>
      <c r="JC41" s="122">
        <f>JB41*100/$E$41</f>
        <v/>
      </c>
      <c r="JD41" s="108" t="n"/>
      <c r="JE41" s="122">
        <f>JD41*100/$E$41</f>
        <v/>
      </c>
      <c r="JF41" s="108" t="n"/>
      <c r="JG41" s="122">
        <f>JF41*100/$E$41</f>
        <v/>
      </c>
      <c r="JH41" s="108" t="n"/>
      <c r="JI41" s="122">
        <f>JH41*100/$E$41</f>
        <v/>
      </c>
      <c r="JJ41" s="108" t="n"/>
      <c r="JK41" s="122">
        <f>JJ41*100/$E$41</f>
        <v/>
      </c>
      <c r="JL41" s="108" t="n"/>
      <c r="JM41" s="122">
        <f>JL41*100/$E$41</f>
        <v/>
      </c>
      <c r="JN41" s="108" t="n"/>
      <c r="JO41" s="121">
        <f>JN41*100/$E$41</f>
        <v/>
      </c>
      <c r="JP41" s="108" t="n"/>
      <c r="JQ41" s="121">
        <f>JP41*100/$E$41</f>
        <v/>
      </c>
      <c r="JR41" s="108" t="n"/>
      <c r="JS41" s="121">
        <f>JR41*100/$E$41</f>
        <v/>
      </c>
      <c r="JT41" s="108" t="n"/>
      <c r="JU41" s="121">
        <f>JT41*100/$E$41</f>
        <v/>
      </c>
      <c r="JV41" s="108" t="n"/>
      <c r="JW41" s="121">
        <f>JV41*100/$E$41</f>
        <v/>
      </c>
      <c r="JX41" s="108" t="n"/>
      <c r="JY41" s="121">
        <f>JX41*100/$E$41</f>
        <v/>
      </c>
      <c r="JZ41" s="55">
        <f>JN41+JP41+JR41+JT41+JV41+JX41</f>
        <v/>
      </c>
      <c r="KA41" s="53">
        <f>JO41+JQ41+JS41+JU41+JW41+JY41</f>
        <v/>
      </c>
      <c r="KB41" s="64">
        <f>H41+J41+L41+N41+P41+R41+T41+V41+X41+Z41+AB41+AD41+AF41+AH41+AJ41+AL41+AN41+AP41+AR41+AT41+AV41+AX41+AZ41+BB41+BD41+BF41+BH41+BJ41+BL41+BN41+BP41+BR41+BT41+BV41+BX41+BZ41+CB41+CD41+CF41+CH41+CZ41+DB41+DD41+DF41+DH41+DJ41+DL41+DN41+DP41+DR41+DT41+DV41+DX41+DZ41+EB41+ED41+EF41+EH41+EJ41+EL41+EN41+EP41+ER41+ET41+EV41+FN41+FP41+FR41+FT41+FV41+FX41+FZ41+GB41+GD41+GF41+GH41+GJ41+GL41+GN41+GP41+GR41+GT41+GV41+GX41+GZ41+HB41+HD41+HF41+HH41+HJ41+HL41+HN41+HP41+HR41+HT41+HV41+HX41+HZ41+IB41+ID41+IF41+IH41+IJ41+IL41+IN41+IP41+IR41+IT41+IV41+IX41+IZ41+JB41+JD41+JF41+JH41+JJ41+JL41+JZ41+CJ41+CL41+CN41+CP41+CR41+CT41+CV41+CX41+EX41+EZ41+FB41+FD41+FF41+FH41+FJ41+FL41</f>
        <v/>
      </c>
      <c r="KC41" s="66">
        <f>I41+K41+M41+O41+Q41+S41+U41+W41+Y41+AA41+AC41+AE41+AG41+AI41+AK41+AM41+AO41+AQ41+AS41+AU41+AW41+AY41+BA41+BC41+BE41+BG41+BI41+BK41+BM41+BO41+BQ41+BS41+BU41+BW41+BY41+CA41+CC41+CE41+CG41+CI41+DA41+DC41+DE41+DG41+DI41+DK41+DM41+DO41+DQ41+DS41+DU41+DW41+DY41+EA41+EC41+EE41+EG41+EI41+EK41+EM41+EO41+EQ41+ES41+EU41+EW41+FO41+FS41+FU41+FW41+FQ41+FY41+GA41+GC41+GE41+GG41+GI41+GK41+GM41+GO41+GQ41+GS41+GU41+GW41+GY41+HA41+HC41+HE41+HG41+HI41+HK41+HM41+HO41+HQ41+HS41+HU41+HW41+HY41+IA41+IC41+IE41+IG41+II41+IK41+IM41+IO41+IQ41+IS41+IU41+IW41+IY41+JA41+JC41+JE41+JG41+JI41+JK41+JM41+KA41+CK41+CM41+CO41+CQ41+CS41+CU41+CW41+CY41+EY41+FA41+FC41+FE41+FG41+FI41+FK41+FM41</f>
        <v/>
      </c>
      <c r="KD41" s="44">
        <f>JO41+JQ41+JS41+JU41+JW41+JY41</f>
        <v/>
      </c>
      <c r="KE41" s="45">
        <f>KB41=E41</f>
        <v/>
      </c>
      <c r="KF41" s="101">
        <f>E41-KB41</f>
        <v/>
      </c>
      <c r="KG41" s="26" t="n"/>
    </row>
    <row r="42" ht="21.75" customFormat="1" customHeight="1" s="27">
      <c r="A42" s="126">
        <f>A41+1</f>
        <v/>
      </c>
      <c r="B42" s="175" t="inlineStr">
        <is>
          <t>Сидоров Ю.В.</t>
        </is>
      </c>
      <c r="C42" s="176" t="inlineStr">
        <is>
          <t>ЧПУ</t>
        </is>
      </c>
      <c r="D42" s="177">
        <f>$D$5</f>
        <v/>
      </c>
      <c r="E42" s="202" t="n"/>
      <c r="F42" s="193" t="n">
        <v>120115.09</v>
      </c>
      <c r="G42" s="52">
        <f>F42/D42</f>
        <v/>
      </c>
      <c r="H42" s="125" t="n"/>
      <c r="I42" s="107">
        <f>H42*100/$E$42</f>
        <v/>
      </c>
      <c r="J42" s="108" t="n"/>
      <c r="K42" s="107">
        <f>J42*100/$E$42</f>
        <v/>
      </c>
      <c r="L42" s="108" t="n"/>
      <c r="M42" s="107">
        <f>L42*100/$E$42</f>
        <v/>
      </c>
      <c r="N42" s="108" t="n"/>
      <c r="O42" s="107">
        <f>N42*100/$E$42</f>
        <v/>
      </c>
      <c r="P42" s="108" t="n"/>
      <c r="Q42" s="122">
        <f>P42*100/$E$42</f>
        <v/>
      </c>
      <c r="R42" s="108" t="n"/>
      <c r="S42" s="122">
        <f>R42*100/$E$42</f>
        <v/>
      </c>
      <c r="T42" s="108" t="n"/>
      <c r="U42" s="107">
        <f>T42*100/$E$42</f>
        <v/>
      </c>
      <c r="V42" s="108" t="n"/>
      <c r="W42" s="107">
        <f>V42*100/$E$42</f>
        <v/>
      </c>
      <c r="X42" s="108" t="n"/>
      <c r="Y42" s="107">
        <f>X42*100/$E$42</f>
        <v/>
      </c>
      <c r="Z42" s="108" t="n"/>
      <c r="AA42" s="107">
        <f>Z42*100/$E$42</f>
        <v/>
      </c>
      <c r="AB42" s="108" t="n"/>
      <c r="AC42" s="107">
        <f>AB42*100/$E$42</f>
        <v/>
      </c>
      <c r="AD42" s="108" t="n"/>
      <c r="AE42" s="122">
        <f>AD42*100/$E$42</f>
        <v/>
      </c>
      <c r="AF42" s="108" t="n"/>
      <c r="AG42" s="122">
        <f>AF42*100/$E$42</f>
        <v/>
      </c>
      <c r="AH42" s="108" t="n"/>
      <c r="AI42" s="107">
        <f>AH42*100/$E$42</f>
        <v/>
      </c>
      <c r="AJ42" s="108" t="n"/>
      <c r="AK42" s="107">
        <f>AJ42*100/$E$42</f>
        <v/>
      </c>
      <c r="AL42" s="108" t="n"/>
      <c r="AM42" s="107">
        <f>AL42*100/$E$42</f>
        <v/>
      </c>
      <c r="AN42" s="108" t="n"/>
      <c r="AO42" s="107">
        <f>AN42*100/$E$42</f>
        <v/>
      </c>
      <c r="AP42" s="108" t="n"/>
      <c r="AQ42" s="107">
        <f>AP42*100/$E$42</f>
        <v/>
      </c>
      <c r="AR42" s="108" t="n"/>
      <c r="AS42" s="107">
        <f>AR42*100/$E$42</f>
        <v/>
      </c>
      <c r="AT42" s="108" t="n"/>
      <c r="AU42" s="90">
        <f>AT42*100/$E$42</f>
        <v/>
      </c>
      <c r="AV42" s="108" t="n"/>
      <c r="AW42" s="107">
        <f>AV42*100/$E$42</f>
        <v/>
      </c>
      <c r="AX42" s="108" t="n"/>
      <c r="AY42" s="107">
        <f>AX42*100/$E$42</f>
        <v/>
      </c>
      <c r="AZ42" s="108" t="n"/>
      <c r="BA42" s="107">
        <f>AZ42*100/$E$42</f>
        <v/>
      </c>
      <c r="BB42" s="108" t="n"/>
      <c r="BC42" s="107">
        <f>BB42*100/$E$42</f>
        <v/>
      </c>
      <c r="BD42" s="108" t="n"/>
      <c r="BE42" s="107">
        <f>BD42*100/$E$42</f>
        <v/>
      </c>
      <c r="BF42" s="108" t="n"/>
      <c r="BG42" s="107">
        <f>BF42*100/$E$42</f>
        <v/>
      </c>
      <c r="BH42" s="108" t="n"/>
      <c r="BI42" s="107">
        <f>BH42*100/$E$42</f>
        <v/>
      </c>
      <c r="BJ42" s="108" t="n"/>
      <c r="BK42" s="107">
        <f>BJ42*100/$E$42</f>
        <v/>
      </c>
      <c r="BL42" s="108" t="n"/>
      <c r="BM42" s="107">
        <f>BL42*100/$E$42</f>
        <v/>
      </c>
      <c r="BN42" s="108" t="n"/>
      <c r="BO42" s="107">
        <f>BN42*100/$E$42</f>
        <v/>
      </c>
      <c r="BP42" s="108" t="n"/>
      <c r="BQ42" s="107">
        <f>BP42*100/$E$42</f>
        <v/>
      </c>
      <c r="BR42" s="108" t="n"/>
      <c r="BS42" s="107">
        <f>BR42*100/$E$42</f>
        <v/>
      </c>
      <c r="BT42" s="108" t="n"/>
      <c r="BU42" s="107">
        <f>BT42*100/$E$42</f>
        <v/>
      </c>
      <c r="BV42" s="108" t="n"/>
      <c r="BW42" s="107">
        <f>BV42*100/$E$42</f>
        <v/>
      </c>
      <c r="BX42" s="108" t="n"/>
      <c r="BY42" s="107">
        <f>BX42*100/$E$42</f>
        <v/>
      </c>
      <c r="BZ42" s="108" t="n"/>
      <c r="CA42" s="107">
        <f>BZ42*100/$E$42</f>
        <v/>
      </c>
      <c r="CB42" s="108" t="n"/>
      <c r="CC42" s="107">
        <f>CB42*100/$E$42</f>
        <v/>
      </c>
      <c r="CD42" s="108" t="n"/>
      <c r="CE42" s="107">
        <f>CD42*100/$E$42</f>
        <v/>
      </c>
      <c r="CF42" s="108" t="n"/>
      <c r="CG42" s="107">
        <f>CF42*100/$E$42</f>
        <v/>
      </c>
      <c r="CH42" s="108" t="n"/>
      <c r="CI42" s="107">
        <f>CH42*100/$E$42</f>
        <v/>
      </c>
      <c r="CJ42" s="108" t="n"/>
      <c r="CK42" s="107">
        <f>CJ42*100/$E$42</f>
        <v/>
      </c>
      <c r="CL42" s="108" t="n"/>
      <c r="CM42" s="107">
        <f>CL42*100/$E$42</f>
        <v/>
      </c>
      <c r="CN42" s="108" t="n"/>
      <c r="CO42" s="122">
        <f>CN42*100/$E$42</f>
        <v/>
      </c>
      <c r="CP42" s="108" t="n"/>
      <c r="CQ42" s="107">
        <f>CP42*100/$E$42</f>
        <v/>
      </c>
      <c r="CR42" s="108" t="n"/>
      <c r="CS42" s="122">
        <f>CR42*100/$E$42</f>
        <v/>
      </c>
      <c r="CT42" s="108" t="n"/>
      <c r="CU42" s="122">
        <f>CT42*100/$E$42</f>
        <v/>
      </c>
      <c r="CV42" s="108" t="n"/>
      <c r="CW42" s="122">
        <f>CV42*100/$E$42</f>
        <v/>
      </c>
      <c r="CX42" s="108" t="n"/>
      <c r="CY42" s="122">
        <f>CX42*100/$E$42</f>
        <v/>
      </c>
      <c r="CZ42" s="108" t="n"/>
      <c r="DA42" s="122">
        <f>CZ42*100/$E$42</f>
        <v/>
      </c>
      <c r="DB42" s="108" t="n"/>
      <c r="DC42" s="122">
        <f>DB42*100/$E$42</f>
        <v/>
      </c>
      <c r="DD42" s="108" t="n"/>
      <c r="DE42" s="122">
        <f>DD42*100/$E$42</f>
        <v/>
      </c>
      <c r="DF42" s="108" t="n"/>
      <c r="DG42" s="122">
        <f>DF42*100/$E$42</f>
        <v/>
      </c>
      <c r="DH42" s="108" t="n"/>
      <c r="DI42" s="122">
        <f>DH42*100/$E$42</f>
        <v/>
      </c>
      <c r="DJ42" s="108" t="n"/>
      <c r="DK42" s="122">
        <f>DJ42*100/$E$42</f>
        <v/>
      </c>
      <c r="DL42" s="108" t="n"/>
      <c r="DM42" s="122">
        <f>DL42*100/$E$42</f>
        <v/>
      </c>
      <c r="DN42" s="108" t="n"/>
      <c r="DO42" s="122">
        <f>DN42*100/$E$42</f>
        <v/>
      </c>
      <c r="DP42" s="108" t="n"/>
      <c r="DQ42" s="122">
        <f>DP42*100/$E$42</f>
        <v/>
      </c>
      <c r="DR42" s="108" t="n"/>
      <c r="DS42" s="122">
        <f>DR42*100/$E$42</f>
        <v/>
      </c>
      <c r="DT42" s="108" t="n"/>
      <c r="DU42" s="122">
        <f>DT42*100/$E$42</f>
        <v/>
      </c>
      <c r="DV42" s="108" t="n"/>
      <c r="DW42" s="122">
        <f>DV42*100/$E$42</f>
        <v/>
      </c>
      <c r="DX42" s="108" t="n"/>
      <c r="DY42" s="122">
        <f>DX42*100/$E$42</f>
        <v/>
      </c>
      <c r="DZ42" s="108" t="n"/>
      <c r="EA42" s="122">
        <f>DZ42*100/$E$42</f>
        <v/>
      </c>
      <c r="EB42" s="108" t="n"/>
      <c r="EC42" s="122">
        <f>EB42*100/$E$42</f>
        <v/>
      </c>
      <c r="ED42" s="108" t="n"/>
      <c r="EE42" s="122">
        <f>ED42*100/$E$42</f>
        <v/>
      </c>
      <c r="EF42" s="108" t="n"/>
      <c r="EG42" s="122">
        <f>EF42*100/$E$42</f>
        <v/>
      </c>
      <c r="EH42" s="108" t="n"/>
      <c r="EI42" s="122">
        <f>EH42*100/$E$42</f>
        <v/>
      </c>
      <c r="EJ42" s="108" t="n"/>
      <c r="EK42" s="122">
        <f>EJ42*100/$E$42</f>
        <v/>
      </c>
      <c r="EL42" s="108" t="n"/>
      <c r="EM42" s="122">
        <f>EL42*100/$E$42</f>
        <v/>
      </c>
      <c r="EN42" s="108" t="n"/>
      <c r="EO42" s="122">
        <f>EN42*100/$E$42</f>
        <v/>
      </c>
      <c r="EP42" s="108" t="n"/>
      <c r="EQ42" s="122">
        <f>EP42*100/$E$42</f>
        <v/>
      </c>
      <c r="ER42" s="108" t="n"/>
      <c r="ES42" s="122">
        <f>ER42*100/$E$42</f>
        <v/>
      </c>
      <c r="ET42" s="108" t="n"/>
      <c r="EU42" s="122">
        <f>ET42*100/$E$42</f>
        <v/>
      </c>
      <c r="EV42" s="108" t="n"/>
      <c r="EW42" s="122">
        <f>EV42*100/$E$42</f>
        <v/>
      </c>
      <c r="EX42" s="108" t="n"/>
      <c r="EY42" s="122">
        <f>EX42*100/$E$42</f>
        <v/>
      </c>
      <c r="EZ42" s="108" t="n"/>
      <c r="FA42" s="122">
        <f>EZ42*100/$E$42</f>
        <v/>
      </c>
      <c r="FB42" s="108" t="n"/>
      <c r="FC42" s="122">
        <f>FB42*100/$E$42</f>
        <v/>
      </c>
      <c r="FD42" s="108" t="n"/>
      <c r="FE42" s="122">
        <f>FD42*100/$E$42</f>
        <v/>
      </c>
      <c r="FF42" s="108" t="n"/>
      <c r="FG42" s="122">
        <f>FF42*100/$E$42</f>
        <v/>
      </c>
      <c r="FH42" s="108" t="n"/>
      <c r="FI42" s="122">
        <f>FH42*100/$E$42</f>
        <v/>
      </c>
      <c r="FJ42" s="108" t="n"/>
      <c r="FK42" s="122">
        <f>FJ42*100/$E$42</f>
        <v/>
      </c>
      <c r="FL42" s="108" t="n"/>
      <c r="FM42" s="122">
        <f>FL42*100/$E$42</f>
        <v/>
      </c>
      <c r="FN42" s="108" t="n"/>
      <c r="FO42" s="122">
        <f>FN42*100/$E$42</f>
        <v/>
      </c>
      <c r="FP42" s="108" t="n"/>
      <c r="FQ42" s="122">
        <f>FP42*100/$E$42</f>
        <v/>
      </c>
      <c r="FR42" s="108" t="n"/>
      <c r="FS42" s="122">
        <f>FR42*100/$E$42</f>
        <v/>
      </c>
      <c r="FT42" s="108" t="n"/>
      <c r="FU42" s="122">
        <f>FT42*100/$E$42</f>
        <v/>
      </c>
      <c r="FV42" s="108" t="n"/>
      <c r="FW42" s="122">
        <f>FV42*100/$E$42</f>
        <v/>
      </c>
      <c r="FX42" s="108" t="n"/>
      <c r="FY42" s="107">
        <f>FX42*100/$E$42</f>
        <v/>
      </c>
      <c r="FZ42" s="108" t="n"/>
      <c r="GA42" s="107">
        <f>FZ42*100/$E$42</f>
        <v/>
      </c>
      <c r="GB42" s="108" t="n"/>
      <c r="GC42" s="107">
        <f>GB42*100/$E$42</f>
        <v/>
      </c>
      <c r="GD42" s="108" t="n"/>
      <c r="GE42" s="107">
        <f>GD42*100/$E$42</f>
        <v/>
      </c>
      <c r="GF42" s="108" t="n"/>
      <c r="GG42" s="107">
        <f>GF42*100/$E$42</f>
        <v/>
      </c>
      <c r="GH42" s="108" t="n"/>
      <c r="GI42" s="107">
        <f>GH42*100/$E$42</f>
        <v/>
      </c>
      <c r="GJ42" s="108" t="n"/>
      <c r="GK42" s="122">
        <f>GJ42*100/$E$42</f>
        <v/>
      </c>
      <c r="GL42" s="108" t="n"/>
      <c r="GM42" s="107">
        <f>GL42*100/$E$42</f>
        <v/>
      </c>
      <c r="GN42" s="108" t="n"/>
      <c r="GO42" s="122">
        <f>GN42*100/$E$42</f>
        <v/>
      </c>
      <c r="GP42" s="108" t="n"/>
      <c r="GQ42" s="107">
        <f>GP42*100/$E$42</f>
        <v/>
      </c>
      <c r="GR42" s="108" t="n"/>
      <c r="GS42" s="122">
        <f>GR42*100/$E$42</f>
        <v/>
      </c>
      <c r="GT42" s="108" t="n"/>
      <c r="GU42" s="122">
        <f>GT42*100/$E$42</f>
        <v/>
      </c>
      <c r="GV42" s="108" t="n"/>
      <c r="GW42" s="122">
        <f>GV42*100/$E$42</f>
        <v/>
      </c>
      <c r="GX42" s="108" t="n"/>
      <c r="GY42" s="107">
        <f>GX42*100/$E$42</f>
        <v/>
      </c>
      <c r="GZ42" s="108" t="n"/>
      <c r="HA42" s="107">
        <f>GZ42*100/$E$42</f>
        <v/>
      </c>
      <c r="HB42" s="108" t="n"/>
      <c r="HC42" s="107">
        <f>HB42*100/$E$42</f>
        <v/>
      </c>
      <c r="HD42" s="108" t="n"/>
      <c r="HE42" s="107">
        <f>HD42*100/$E$42</f>
        <v/>
      </c>
      <c r="HF42" s="108" t="n"/>
      <c r="HG42" s="107">
        <f>HF42*100/$E$42</f>
        <v/>
      </c>
      <c r="HH42" s="108" t="n"/>
      <c r="HI42" s="107">
        <f>HH42*100/$E$42</f>
        <v/>
      </c>
      <c r="HJ42" s="108" t="n"/>
      <c r="HK42" s="107">
        <f>HJ42*100/$E$42</f>
        <v/>
      </c>
      <c r="HL42" s="108" t="n"/>
      <c r="HM42" s="107">
        <f>HL42*100/$E$42</f>
        <v/>
      </c>
      <c r="HN42" s="108" t="n"/>
      <c r="HO42" s="107">
        <f>HN42*100/$E$42</f>
        <v/>
      </c>
      <c r="HP42" s="108" t="n"/>
      <c r="HQ42" s="107">
        <f>HP42*100/$E$42</f>
        <v/>
      </c>
      <c r="HR42" s="108" t="n"/>
      <c r="HS42" s="107">
        <f>HR42*100/$E$42</f>
        <v/>
      </c>
      <c r="HT42" s="108" t="n"/>
      <c r="HU42" s="107">
        <f>HT42*100/$E$42</f>
        <v/>
      </c>
      <c r="HV42" s="108" t="n"/>
      <c r="HW42" s="107">
        <f>HV42*100/$E$42</f>
        <v/>
      </c>
      <c r="HX42" s="108" t="n"/>
      <c r="HY42" s="107">
        <f>HX42*100/$E$42</f>
        <v/>
      </c>
      <c r="HZ42" s="108" t="n"/>
      <c r="IA42" s="122">
        <f>HZ42*100/$E$42</f>
        <v/>
      </c>
      <c r="IB42" s="108" t="n"/>
      <c r="IC42" s="122">
        <f>IB42*100/$E$42</f>
        <v/>
      </c>
      <c r="ID42" s="108" t="n"/>
      <c r="IE42" s="122">
        <f>ID42*100/$E$42</f>
        <v/>
      </c>
      <c r="IF42" s="108" t="n"/>
      <c r="IG42" s="122">
        <f>IF42*100/$E$42</f>
        <v/>
      </c>
      <c r="IH42" s="108" t="n"/>
      <c r="II42" s="122">
        <f>IH42*100/$E$42</f>
        <v/>
      </c>
      <c r="IJ42" s="108" t="n"/>
      <c r="IK42" s="122">
        <f>IJ42*100/$E$42</f>
        <v/>
      </c>
      <c r="IL42" s="108" t="n"/>
      <c r="IM42" s="107">
        <f>IL42*100/$E$42</f>
        <v/>
      </c>
      <c r="IN42" s="108" t="n"/>
      <c r="IO42" s="107">
        <f>IN42*100/$E$42</f>
        <v/>
      </c>
      <c r="IP42" s="108" t="n"/>
      <c r="IQ42" s="122">
        <f>IP42*100/$E$42</f>
        <v/>
      </c>
      <c r="IR42" s="108" t="n"/>
      <c r="IS42" s="122">
        <f>IR42*100/$E$42</f>
        <v/>
      </c>
      <c r="IT42" s="108" t="n"/>
      <c r="IU42" s="122">
        <f>IT42*100/$E$42</f>
        <v/>
      </c>
      <c r="IV42" s="108" t="n"/>
      <c r="IW42" s="122">
        <f>IV42*100/$E$42</f>
        <v/>
      </c>
      <c r="IX42" s="108" t="n"/>
      <c r="IY42" s="122">
        <f>IX42*100/$E$42</f>
        <v/>
      </c>
      <c r="IZ42" s="108" t="n"/>
      <c r="JA42" s="122">
        <f>IZ42*100/$E$42</f>
        <v/>
      </c>
      <c r="JB42" s="108" t="n"/>
      <c r="JC42" s="122">
        <f>JB42*100/$E$42</f>
        <v/>
      </c>
      <c r="JD42" s="108" t="n"/>
      <c r="JE42" s="122">
        <f>JD42*100/$E$42</f>
        <v/>
      </c>
      <c r="JF42" s="108" t="n"/>
      <c r="JG42" s="122">
        <f>JF42*100/$E$42</f>
        <v/>
      </c>
      <c r="JH42" s="108" t="n"/>
      <c r="JI42" s="122">
        <f>JH42*100/$E$42</f>
        <v/>
      </c>
      <c r="JJ42" s="108" t="n"/>
      <c r="JK42" s="122">
        <f>JJ42*100/$E$42</f>
        <v/>
      </c>
      <c r="JL42" s="108" t="n"/>
      <c r="JM42" s="122">
        <f>JL42*100/$E$42</f>
        <v/>
      </c>
      <c r="JN42" s="108" t="n"/>
      <c r="JO42" s="121">
        <f>JN42*100/$E$42</f>
        <v/>
      </c>
      <c r="JP42" s="108" t="n"/>
      <c r="JQ42" s="121">
        <f>JP42*100/$E$42</f>
        <v/>
      </c>
      <c r="JR42" s="108" t="n"/>
      <c r="JS42" s="121">
        <f>JR42*100/$E$42</f>
        <v/>
      </c>
      <c r="JT42" s="108" t="n"/>
      <c r="JU42" s="121">
        <f>JT42*100/$E$42</f>
        <v/>
      </c>
      <c r="JV42" s="108" t="n"/>
      <c r="JW42" s="121">
        <f>JV42*100/$E$42</f>
        <v/>
      </c>
      <c r="JX42" s="108" t="n"/>
      <c r="JY42" s="121">
        <f>JX42*100/$E$42</f>
        <v/>
      </c>
      <c r="JZ42" s="55">
        <f>JN42+JP42+JR42+JT42+JV42+JX42</f>
        <v/>
      </c>
      <c r="KA42" s="53">
        <f>JO42+JQ42+JS42+JU42+JW42+JY42</f>
        <v/>
      </c>
      <c r="KB42" s="64">
        <f>H42+J42+L42+N42+P42+R42+T42+V42+X42+Z42+AB42+AD42+AF42+AH42+AJ42+AL42+AN42+AP42+AR42+AT42+AV42+AX42+AZ42+BB42+BD42+BF42+BH42+BJ42+BL42+BN42+BP42+BR42+BT42+BV42+BX42+BZ42+CB42+CD42+CF42+CH42+CZ42+DB42+DD42+DF42+DH42+DJ42+DL42+DN42+DP42+DR42+DT42+DV42+DX42+DZ42+EB42+ED42+EF42+EH42+EJ42+EL42+EN42+EP42+ER42+ET42+EV42+FN42+FP42+FR42+FT42+FV42+FX42+FZ42+GB42+GD42+GF42+GH42+GJ42+GL42+GN42+GP42+GR42+GT42+GV42+GX42+GZ42+HB42+HD42+HF42+HH42+HJ42+HL42+HN42+HP42+HR42+HT42+HV42+HX42+HZ42+IB42+ID42+IF42+IH42+IJ42+IL42+IN42+IP42+IR42+IT42+IV42+IX42+IZ42+JB42+JD42+JF42+JH42+JJ42+JL42+JZ42+CJ42+CL42+CN42+CP42+CR42+CT42+CV42+CX42+EX42+EZ42+FB42+FD42+FF42+FH42+FJ42+FL42</f>
        <v/>
      </c>
      <c r="KC42" s="66">
        <f>I42+K42+M42+O42+Q42+S42+U42+W42+Y42+AA42+AC42+AE42+AG42+AI42+AK42+AM42+AO42+AQ42+AS42+AU42+AW42+AY42+BA42+BC42+BE42+BG42+BI42+BK42+BM42+BO42+BQ42+BS42+BU42+BW42+BY42+CA42+CC42+CE42+CG42+CI42+DA42+DC42+DE42+DG42+DI42+DK42+DM42+DO42+DQ42+DS42+DU42+DW42+DY42+EA42+EC42+EE42+EG42+EI42+EK42+EM42+EO42+EQ42+ES42+EU42+EW42+FO42+FS42+FU42+FW42+FQ42+FY42+GA42+GC42+GE42+GG42+GI42+GK42+GM42+GO42+GQ42+GS42+GU42+GW42+GY42+HA42+HC42+HE42+HG42+HI42+HK42+HM42+HO42+HQ42+HS42+HU42+HW42+HY42+IA42+IC42+IE42+IG42+II42+IK42+IM42+IO42+IQ42+IS42+IU42+IW42+IY42+JA42+JC42+JE42+JG42+JI42+JK42+JM42+KA42+CK42+CM42+CO42+CQ42+CS42+CU42+CW42+CY42+EY42+FA42+FC42+FE42+FG42+FI42+FK42+FM42</f>
        <v/>
      </c>
      <c r="KD42" s="44">
        <f>JO42+JQ42+JS42+JU42+JW42+JY42</f>
        <v/>
      </c>
      <c r="KE42" s="45">
        <f>KB42=E42</f>
        <v/>
      </c>
      <c r="KF42" s="101">
        <f>E42-KB42</f>
        <v/>
      </c>
      <c r="KG42" s="11" t="n"/>
    </row>
    <row r="43" ht="21.75" customFormat="1" customHeight="1" s="11">
      <c r="A43" s="126">
        <f>A42+1</f>
        <v/>
      </c>
      <c r="B43" s="175" t="inlineStr">
        <is>
          <t>Соколов Р.Т.</t>
        </is>
      </c>
      <c r="C43" s="176" t="inlineStr">
        <is>
          <t>сварщик</t>
        </is>
      </c>
      <c r="D43" s="177">
        <f>$D$5</f>
        <v/>
      </c>
      <c r="E43" s="202" t="n"/>
      <c r="F43" s="193" t="n">
        <v>84149.67999999999</v>
      </c>
      <c r="G43" s="52">
        <f>F43/D43</f>
        <v/>
      </c>
      <c r="H43" s="125" t="n"/>
      <c r="I43" s="107">
        <f>H43*100/$E$43</f>
        <v/>
      </c>
      <c r="J43" s="108" t="n"/>
      <c r="K43" s="107">
        <f>J43*100/$E$43</f>
        <v/>
      </c>
      <c r="L43" s="108" t="n"/>
      <c r="M43" s="107">
        <f>L43*100/$E$43</f>
        <v/>
      </c>
      <c r="N43" s="108" t="n"/>
      <c r="O43" s="107">
        <f>N43*100/$E$43</f>
        <v/>
      </c>
      <c r="P43" s="108" t="n"/>
      <c r="Q43" s="122">
        <f>P43*100/$E$43</f>
        <v/>
      </c>
      <c r="R43" s="108" t="n"/>
      <c r="S43" s="122">
        <f>R43*100/$E$43</f>
        <v/>
      </c>
      <c r="T43" s="108" t="n"/>
      <c r="U43" s="107">
        <f>T43*100/$E$43</f>
        <v/>
      </c>
      <c r="V43" s="108" t="n"/>
      <c r="W43" s="107">
        <f>V43*100/$E$43</f>
        <v/>
      </c>
      <c r="X43" s="108" t="n"/>
      <c r="Y43" s="107">
        <f>X43*100/$E$43</f>
        <v/>
      </c>
      <c r="Z43" s="108" t="n"/>
      <c r="AA43" s="107">
        <f>Z43*100/$E$43</f>
        <v/>
      </c>
      <c r="AB43" s="108" t="n"/>
      <c r="AC43" s="107">
        <f>AB43*100/$E$43</f>
        <v/>
      </c>
      <c r="AD43" s="108" t="n"/>
      <c r="AE43" s="122">
        <f>AD43*100/$E$43</f>
        <v/>
      </c>
      <c r="AF43" s="108" t="n"/>
      <c r="AG43" s="122">
        <f>AF43*100/$E$43</f>
        <v/>
      </c>
      <c r="AH43" s="108" t="n"/>
      <c r="AI43" s="107">
        <f>AH43*100/$E$43</f>
        <v/>
      </c>
      <c r="AJ43" s="108" t="n"/>
      <c r="AK43" s="107">
        <f>AJ43*100/$E$43</f>
        <v/>
      </c>
      <c r="AL43" s="108" t="n"/>
      <c r="AM43" s="107">
        <f>AL43*100/$E$43</f>
        <v/>
      </c>
      <c r="AN43" s="108" t="n"/>
      <c r="AO43" s="107">
        <f>AN43*100/$E$43</f>
        <v/>
      </c>
      <c r="AP43" s="108" t="n"/>
      <c r="AQ43" s="107">
        <f>AP43*100/$E$43</f>
        <v/>
      </c>
      <c r="AR43" s="108" t="n"/>
      <c r="AS43" s="107">
        <f>AR43*100/$E$43</f>
        <v/>
      </c>
      <c r="AT43" s="108" t="n"/>
      <c r="AU43" s="90">
        <f>AT43*100/$E$43</f>
        <v/>
      </c>
      <c r="AV43" s="108" t="n"/>
      <c r="AW43" s="107">
        <f>AV43*100/$E$43</f>
        <v/>
      </c>
      <c r="AX43" s="108" t="n"/>
      <c r="AY43" s="107">
        <f>AX43*100/$E$43</f>
        <v/>
      </c>
      <c r="AZ43" s="108" t="n"/>
      <c r="BA43" s="107">
        <f>AZ43*100/$E$43</f>
        <v/>
      </c>
      <c r="BB43" s="108" t="n"/>
      <c r="BC43" s="107">
        <f>BB43*100/$E$43</f>
        <v/>
      </c>
      <c r="BD43" s="108" t="n"/>
      <c r="BE43" s="107">
        <f>BD43*100/$E$43</f>
        <v/>
      </c>
      <c r="BF43" s="108" t="n"/>
      <c r="BG43" s="107">
        <f>BF43*100/$E$43</f>
        <v/>
      </c>
      <c r="BH43" s="108" t="n"/>
      <c r="BI43" s="107">
        <f>BH43*100/$E$43</f>
        <v/>
      </c>
      <c r="BJ43" s="108" t="n"/>
      <c r="BK43" s="107">
        <f>BJ43*100/$E$43</f>
        <v/>
      </c>
      <c r="BL43" s="108" t="n"/>
      <c r="BM43" s="107">
        <f>BL43*100/$E$43</f>
        <v/>
      </c>
      <c r="BN43" s="108" t="n"/>
      <c r="BO43" s="107">
        <f>BN43*100/$E$43</f>
        <v/>
      </c>
      <c r="BP43" s="108" t="n"/>
      <c r="BQ43" s="107">
        <f>BP43*100/$E$43</f>
        <v/>
      </c>
      <c r="BR43" s="108" t="n"/>
      <c r="BS43" s="107">
        <f>BR43*100/$E$43</f>
        <v/>
      </c>
      <c r="BT43" s="108" t="n"/>
      <c r="BU43" s="107">
        <f>BT43*100/$E$43</f>
        <v/>
      </c>
      <c r="BV43" s="108" t="n"/>
      <c r="BW43" s="107">
        <f>BV43*100/$E$43</f>
        <v/>
      </c>
      <c r="BX43" s="108" t="n"/>
      <c r="BY43" s="107">
        <f>BX43*100/$E$43</f>
        <v/>
      </c>
      <c r="BZ43" s="108" t="n"/>
      <c r="CA43" s="107">
        <f>BZ43*100/$E$43</f>
        <v/>
      </c>
      <c r="CB43" s="108" t="n"/>
      <c r="CC43" s="107">
        <f>CB43*100/$E$43</f>
        <v/>
      </c>
      <c r="CD43" s="108" t="n"/>
      <c r="CE43" s="107">
        <f>CD43*100/$E$43</f>
        <v/>
      </c>
      <c r="CF43" s="108" t="n"/>
      <c r="CG43" s="107">
        <f>CF43*100/$E$43</f>
        <v/>
      </c>
      <c r="CH43" s="108" t="n"/>
      <c r="CI43" s="107">
        <f>CH43*100/$E$43</f>
        <v/>
      </c>
      <c r="CJ43" s="108" t="n"/>
      <c r="CK43" s="107">
        <f>CJ43*100/$E$43</f>
        <v/>
      </c>
      <c r="CL43" s="108" t="n"/>
      <c r="CM43" s="107">
        <f>CL43*100/$E$43</f>
        <v/>
      </c>
      <c r="CN43" s="108" t="n"/>
      <c r="CO43" s="122">
        <f>CN43*100/$E$43</f>
        <v/>
      </c>
      <c r="CP43" s="108" t="n"/>
      <c r="CQ43" s="107">
        <f>CP43*100/$E$43</f>
        <v/>
      </c>
      <c r="CR43" s="108" t="n"/>
      <c r="CS43" s="122">
        <f>CR43*100/$E$43</f>
        <v/>
      </c>
      <c r="CT43" s="108" t="n"/>
      <c r="CU43" s="122">
        <f>CT43*100/$E$43</f>
        <v/>
      </c>
      <c r="CV43" s="108" t="n"/>
      <c r="CW43" s="122">
        <f>CV43*100/$E$43</f>
        <v/>
      </c>
      <c r="CX43" s="108" t="n"/>
      <c r="CY43" s="122">
        <f>CX43*100/$E$43</f>
        <v/>
      </c>
      <c r="CZ43" s="108" t="n"/>
      <c r="DA43" s="122">
        <f>CZ43*100/$E$43</f>
        <v/>
      </c>
      <c r="DB43" s="108" t="n"/>
      <c r="DC43" s="122">
        <f>DB43*100/$E$43</f>
        <v/>
      </c>
      <c r="DD43" s="108" t="n"/>
      <c r="DE43" s="122">
        <f>DD43*100/$E$43</f>
        <v/>
      </c>
      <c r="DF43" s="108" t="n"/>
      <c r="DG43" s="122">
        <f>DF43*100/$E$43</f>
        <v/>
      </c>
      <c r="DH43" s="108" t="n"/>
      <c r="DI43" s="122">
        <f>DH43*100/$E$43</f>
        <v/>
      </c>
      <c r="DJ43" s="108" t="n"/>
      <c r="DK43" s="122">
        <f>DJ43*100/$E$43</f>
        <v/>
      </c>
      <c r="DL43" s="108" t="n"/>
      <c r="DM43" s="122">
        <f>DL43*100/$E$43</f>
        <v/>
      </c>
      <c r="DN43" s="108" t="n"/>
      <c r="DO43" s="122">
        <f>DN43*100/$E$43</f>
        <v/>
      </c>
      <c r="DP43" s="108" t="n"/>
      <c r="DQ43" s="122">
        <f>DP43*100/$E$43</f>
        <v/>
      </c>
      <c r="DR43" s="108" t="n"/>
      <c r="DS43" s="122">
        <f>DR43*100/$E$43</f>
        <v/>
      </c>
      <c r="DT43" s="108" t="n"/>
      <c r="DU43" s="122">
        <f>DT43*100/$E$43</f>
        <v/>
      </c>
      <c r="DV43" s="108" t="n"/>
      <c r="DW43" s="122">
        <f>DV43*100/$E$43</f>
        <v/>
      </c>
      <c r="DX43" s="108" t="n"/>
      <c r="DY43" s="122">
        <f>DX43*100/$E$43</f>
        <v/>
      </c>
      <c r="DZ43" s="108" t="n"/>
      <c r="EA43" s="122">
        <f>DZ43*100/$E$43</f>
        <v/>
      </c>
      <c r="EB43" s="108" t="n"/>
      <c r="EC43" s="122">
        <f>EB43*100/$E$43</f>
        <v/>
      </c>
      <c r="ED43" s="108" t="n"/>
      <c r="EE43" s="122">
        <f>ED43*100/$E$43</f>
        <v/>
      </c>
      <c r="EF43" s="108" t="n"/>
      <c r="EG43" s="122">
        <f>EF43*100/$E$43</f>
        <v/>
      </c>
      <c r="EH43" s="108" t="n"/>
      <c r="EI43" s="122">
        <f>EH43*100/$E$43</f>
        <v/>
      </c>
      <c r="EJ43" s="108" t="n"/>
      <c r="EK43" s="122">
        <f>EJ43*100/$E$43</f>
        <v/>
      </c>
      <c r="EL43" s="108" t="n"/>
      <c r="EM43" s="122">
        <f>EL43*100/$E$43</f>
        <v/>
      </c>
      <c r="EN43" s="108" t="n"/>
      <c r="EO43" s="122">
        <f>EN43*100/$E$43</f>
        <v/>
      </c>
      <c r="EP43" s="108" t="n"/>
      <c r="EQ43" s="122">
        <f>EP43*100/$E$43</f>
        <v/>
      </c>
      <c r="ER43" s="108" t="n"/>
      <c r="ES43" s="122">
        <f>ER43*100/$E$43</f>
        <v/>
      </c>
      <c r="ET43" s="108" t="n"/>
      <c r="EU43" s="122">
        <f>ET43*100/$E$43</f>
        <v/>
      </c>
      <c r="EV43" s="108" t="n"/>
      <c r="EW43" s="122">
        <f>EV43*100/$E$43</f>
        <v/>
      </c>
      <c r="EX43" s="108" t="n"/>
      <c r="EY43" s="122">
        <f>EX43*100/$E$43</f>
        <v/>
      </c>
      <c r="EZ43" s="108" t="n"/>
      <c r="FA43" s="122">
        <f>EZ43*100/$E$43</f>
        <v/>
      </c>
      <c r="FB43" s="108" t="n"/>
      <c r="FC43" s="122">
        <f>FB43*100/$E$43</f>
        <v/>
      </c>
      <c r="FD43" s="108" t="n"/>
      <c r="FE43" s="122">
        <f>FD43*100/$E$43</f>
        <v/>
      </c>
      <c r="FF43" s="108" t="n"/>
      <c r="FG43" s="122">
        <f>FF43*100/$E$43</f>
        <v/>
      </c>
      <c r="FH43" s="108" t="n"/>
      <c r="FI43" s="122">
        <f>FH43*100/$E$43</f>
        <v/>
      </c>
      <c r="FJ43" s="108" t="n"/>
      <c r="FK43" s="122">
        <f>FJ43*100/$E$43</f>
        <v/>
      </c>
      <c r="FL43" s="108" t="n"/>
      <c r="FM43" s="122">
        <f>FL43*100/$E$43</f>
        <v/>
      </c>
      <c r="FN43" s="108" t="n"/>
      <c r="FO43" s="122">
        <f>FN43*100/$E$43</f>
        <v/>
      </c>
      <c r="FP43" s="108" t="n"/>
      <c r="FQ43" s="122">
        <f>FP43*100/$E$43</f>
        <v/>
      </c>
      <c r="FR43" s="108" t="n"/>
      <c r="FS43" s="122">
        <f>FR43*100/$E$43</f>
        <v/>
      </c>
      <c r="FT43" s="108" t="n"/>
      <c r="FU43" s="122">
        <f>FT43*100/$E$43</f>
        <v/>
      </c>
      <c r="FV43" s="108" t="n"/>
      <c r="FW43" s="122">
        <f>FV43*100/$E$43</f>
        <v/>
      </c>
      <c r="FX43" s="108" t="n"/>
      <c r="FY43" s="107">
        <f>FX43*100/$E$43</f>
        <v/>
      </c>
      <c r="FZ43" s="108" t="n"/>
      <c r="GA43" s="107">
        <f>FZ43*100/$E$43</f>
        <v/>
      </c>
      <c r="GB43" s="108" t="n"/>
      <c r="GC43" s="107">
        <f>GB43*100/$E$43</f>
        <v/>
      </c>
      <c r="GD43" s="108" t="n"/>
      <c r="GE43" s="107">
        <f>GD43*100/$E$43</f>
        <v/>
      </c>
      <c r="GF43" s="108" t="n"/>
      <c r="GG43" s="107">
        <f>GF43*100/$E$43</f>
        <v/>
      </c>
      <c r="GH43" s="108" t="n"/>
      <c r="GI43" s="107">
        <f>GH43*100/$E$43</f>
        <v/>
      </c>
      <c r="GJ43" s="108" t="n"/>
      <c r="GK43" s="122">
        <f>GJ43*100/$E$43</f>
        <v/>
      </c>
      <c r="GL43" s="108" t="n"/>
      <c r="GM43" s="107">
        <f>GL43*100/$E$43</f>
        <v/>
      </c>
      <c r="GN43" s="108" t="n"/>
      <c r="GO43" s="122">
        <f>GN43*100/$E$43</f>
        <v/>
      </c>
      <c r="GP43" s="108" t="n"/>
      <c r="GQ43" s="107">
        <f>GP43*100/$E$43</f>
        <v/>
      </c>
      <c r="GR43" s="108" t="n"/>
      <c r="GS43" s="122">
        <f>GR43*100/$E$43</f>
        <v/>
      </c>
      <c r="GT43" s="108" t="n"/>
      <c r="GU43" s="122">
        <f>GT43*100/$E$43</f>
        <v/>
      </c>
      <c r="GV43" s="108" t="n"/>
      <c r="GW43" s="122">
        <f>GV43*100/$E$43</f>
        <v/>
      </c>
      <c r="GX43" s="108" t="n"/>
      <c r="GY43" s="107">
        <f>GX43*100/$E$43</f>
        <v/>
      </c>
      <c r="GZ43" s="108" t="n"/>
      <c r="HA43" s="107">
        <f>GZ43*100/$E$43</f>
        <v/>
      </c>
      <c r="HB43" s="108" t="n"/>
      <c r="HC43" s="107">
        <f>HB43*100/$E$43</f>
        <v/>
      </c>
      <c r="HD43" s="108" t="n"/>
      <c r="HE43" s="107">
        <f>HD43*100/$E$43</f>
        <v/>
      </c>
      <c r="HF43" s="108" t="n"/>
      <c r="HG43" s="107">
        <f>HF43*100/$E$43</f>
        <v/>
      </c>
      <c r="HH43" s="108" t="n"/>
      <c r="HI43" s="107">
        <f>HH43*100/$E$43</f>
        <v/>
      </c>
      <c r="HJ43" s="108" t="n"/>
      <c r="HK43" s="107">
        <f>HJ43*100/$E$43</f>
        <v/>
      </c>
      <c r="HL43" s="108" t="n"/>
      <c r="HM43" s="107">
        <f>HL43*100/$E$43</f>
        <v/>
      </c>
      <c r="HN43" s="108" t="n"/>
      <c r="HO43" s="107">
        <f>HN43*100/$E$43</f>
        <v/>
      </c>
      <c r="HP43" s="108" t="n"/>
      <c r="HQ43" s="107">
        <f>HP43*100/$E$43</f>
        <v/>
      </c>
      <c r="HR43" s="108" t="n"/>
      <c r="HS43" s="107">
        <f>HR43*100/$E$43</f>
        <v/>
      </c>
      <c r="HT43" s="108" t="n"/>
      <c r="HU43" s="107">
        <f>HT43*100/$E$43</f>
        <v/>
      </c>
      <c r="HV43" s="108" t="n"/>
      <c r="HW43" s="107">
        <f>HV43*100/$E$43</f>
        <v/>
      </c>
      <c r="HX43" s="108" t="n"/>
      <c r="HY43" s="107">
        <f>HX43*100/$E$43</f>
        <v/>
      </c>
      <c r="HZ43" s="108" t="n"/>
      <c r="IA43" s="122">
        <f>HZ43*100/$E$43</f>
        <v/>
      </c>
      <c r="IB43" s="108" t="n"/>
      <c r="IC43" s="122">
        <f>IB43*100/$E$43</f>
        <v/>
      </c>
      <c r="ID43" s="108" t="n"/>
      <c r="IE43" s="122">
        <f>ID43*100/$E$43</f>
        <v/>
      </c>
      <c r="IF43" s="108" t="n"/>
      <c r="IG43" s="122">
        <f>IF43*100/$E$43</f>
        <v/>
      </c>
      <c r="IH43" s="108" t="n"/>
      <c r="II43" s="122">
        <f>IH43*100/$E$43</f>
        <v/>
      </c>
      <c r="IJ43" s="108" t="n"/>
      <c r="IK43" s="122">
        <f>IJ43*100/$E$43</f>
        <v/>
      </c>
      <c r="IL43" s="108" t="n"/>
      <c r="IM43" s="107">
        <f>IL43*100/$E$43</f>
        <v/>
      </c>
      <c r="IN43" s="108" t="n"/>
      <c r="IO43" s="107">
        <f>IN43*100/$E$43</f>
        <v/>
      </c>
      <c r="IP43" s="108" t="n"/>
      <c r="IQ43" s="122">
        <f>IP43*100/$E$43</f>
        <v/>
      </c>
      <c r="IR43" s="108" t="n"/>
      <c r="IS43" s="122">
        <f>IR43*100/$E$43</f>
        <v/>
      </c>
      <c r="IT43" s="108" t="n"/>
      <c r="IU43" s="122">
        <f>IT43*100/$E$43</f>
        <v/>
      </c>
      <c r="IV43" s="108" t="n"/>
      <c r="IW43" s="122">
        <f>IV43*100/$E$43</f>
        <v/>
      </c>
      <c r="IX43" s="108" t="n"/>
      <c r="IY43" s="122">
        <f>IX43*100/$E$43</f>
        <v/>
      </c>
      <c r="IZ43" s="108" t="n"/>
      <c r="JA43" s="122">
        <f>IZ43*100/$E$43</f>
        <v/>
      </c>
      <c r="JB43" s="108" t="n"/>
      <c r="JC43" s="122">
        <f>JB43*100/$E$43</f>
        <v/>
      </c>
      <c r="JD43" s="108" t="n"/>
      <c r="JE43" s="122">
        <f>JD43*100/$E$43</f>
        <v/>
      </c>
      <c r="JF43" s="108" t="n"/>
      <c r="JG43" s="122">
        <f>JF43*100/$E$43</f>
        <v/>
      </c>
      <c r="JH43" s="108" t="n"/>
      <c r="JI43" s="122">
        <f>JH43*100/$E$43</f>
        <v/>
      </c>
      <c r="JJ43" s="108" t="n"/>
      <c r="JK43" s="122">
        <f>JJ43*100/$E$43</f>
        <v/>
      </c>
      <c r="JL43" s="108" t="n"/>
      <c r="JM43" s="122">
        <f>JL43*100/$E$43</f>
        <v/>
      </c>
      <c r="JN43" s="108" t="n"/>
      <c r="JO43" s="121">
        <f>JN43*100/$E$43</f>
        <v/>
      </c>
      <c r="JP43" s="108" t="n"/>
      <c r="JQ43" s="121">
        <f>JP43*100/$E$43</f>
        <v/>
      </c>
      <c r="JR43" s="108" t="n"/>
      <c r="JS43" s="121">
        <f>JR43*100/$E$43</f>
        <v/>
      </c>
      <c r="JT43" s="108" t="n"/>
      <c r="JU43" s="121">
        <f>JT43*100/$E$43</f>
        <v/>
      </c>
      <c r="JV43" s="108" t="n"/>
      <c r="JW43" s="121">
        <f>JV43*100/$E$43</f>
        <v/>
      </c>
      <c r="JX43" s="108" t="n"/>
      <c r="JY43" s="121">
        <f>JX43*100/$E$43</f>
        <v/>
      </c>
      <c r="JZ43" s="55">
        <f>JN43+JP43+JR43+JT43+JV43+JX43</f>
        <v/>
      </c>
      <c r="KA43" s="53">
        <f>JO43+JQ43+JS43+JU43+JW43+JY43</f>
        <v/>
      </c>
      <c r="KB43" s="64">
        <f>H43+J43+L43+N43+P43+R43+T43+V43+X43+Z43+AB43+AD43+AF43+AH43+AJ43+AL43+AN43+AP43+AR43+AT43+AV43+AX43+AZ43+BB43+BD43+BF43+BH43+BJ43+BL43+BN43+BP43+BR43+BT43+BV43+BX43+BZ43+CB43+CD43+CF43+CH43+CZ43+DB43+DD43+DF43+DH43+DJ43+DL43+DN43+DP43+DR43+DT43+DV43+DX43+DZ43+EB43+ED43+EF43+EH43+EJ43+EL43+EN43+EP43+ER43+ET43+EV43+FN43+FP43+FR43+FT43+FV43+FX43+FZ43+GB43+GD43+GF43+GH43+GJ43+GL43+GN43+GP43+GR43+GT43+GV43+GX43+GZ43+HB43+HD43+HF43+HH43+HJ43+HL43+HN43+HP43+HR43+HT43+HV43+HX43+HZ43+IB43+ID43+IF43+IH43+IJ43+IL43+IN43+IP43+IR43+IT43+IV43+IX43+IZ43+JB43+JD43+JF43+JH43+JJ43+JL43+JZ43+CJ43+CL43+CN43+CP43+CR43+CT43+CV43+CX43+EX43+EZ43+FB43+FD43+FF43+FH43+FJ43+FL43</f>
        <v/>
      </c>
      <c r="KC43" s="66">
        <f>I43+K43+M43+O43+Q43+S43+U43+W43+Y43+AA43+AC43+AE43+AG43+AI43+AK43+AM43+AO43+AQ43+AS43+AU43+AW43+AY43+BA43+BC43+BE43+BG43+BI43+BK43+BM43+BO43+BQ43+BS43+BU43+BW43+BY43+CA43+CC43+CE43+CG43+CI43+DA43+DC43+DE43+DG43+DI43+DK43+DM43+DO43+DQ43+DS43+DU43+DW43+DY43+EA43+EC43+EE43+EG43+EI43+EK43+EM43+EO43+EQ43+ES43+EU43+EW43+FO43+FS43+FU43+FW43+FQ43+FY43+GA43+GC43+GE43+GG43+GI43+GK43+GM43+GO43+GQ43+GS43+GU43+GW43+GY43+HA43+HC43+HE43+HG43+HI43+HK43+HM43+HO43+HQ43+HS43+HU43+HW43+HY43+IA43+IC43+IE43+IG43+II43+IK43+IM43+IO43+IQ43+IS43+IU43+IW43+IY43+JA43+JC43+JE43+JG43+JI43+JK43+JM43+KA43+CK43+CM43+CO43+CQ43+CS43+CU43+CW43+CY43+EY43+FA43+FC43+FE43+FG43+FI43+FK43+FM43</f>
        <v/>
      </c>
      <c r="KD43" s="44">
        <f>JO43+JQ43+JS43+JU43+JW43+JY43</f>
        <v/>
      </c>
      <c r="KE43" s="45">
        <f>KB43=E43</f>
        <v/>
      </c>
      <c r="KF43" s="101">
        <f>E43-KB43</f>
        <v/>
      </c>
      <c r="KG43" s="26" t="n"/>
    </row>
    <row r="44" ht="21.75" customFormat="1" customHeight="1" s="26">
      <c r="A44" s="126">
        <f>A43+1</f>
        <v/>
      </c>
      <c r="B44" s="175" t="inlineStr">
        <is>
          <t>Сорокин Е</t>
        </is>
      </c>
      <c r="C44" s="176" t="inlineStr">
        <is>
          <t>сварщик</t>
        </is>
      </c>
      <c r="D44" s="177">
        <f>$D$5</f>
        <v/>
      </c>
      <c r="E44" s="202" t="n"/>
      <c r="F44" s="193" t="n">
        <v>84149.67999999999</v>
      </c>
      <c r="G44" s="52">
        <f>F44/D44</f>
        <v/>
      </c>
      <c r="H44" s="125" t="n"/>
      <c r="I44" s="107">
        <f>H44*100/$E$44</f>
        <v/>
      </c>
      <c r="J44" s="108" t="n"/>
      <c r="K44" s="107">
        <f>J44*100/$E$44</f>
        <v/>
      </c>
      <c r="L44" s="108" t="n"/>
      <c r="M44" s="107">
        <f>L44*100/$E$44</f>
        <v/>
      </c>
      <c r="N44" s="108" t="n"/>
      <c r="O44" s="107">
        <f>N44*100/$E$44</f>
        <v/>
      </c>
      <c r="P44" s="108" t="n"/>
      <c r="Q44" s="122">
        <f>P44*100/$E$44</f>
        <v/>
      </c>
      <c r="R44" s="108" t="n"/>
      <c r="S44" s="122">
        <f>R44*100/$E$44</f>
        <v/>
      </c>
      <c r="T44" s="108" t="n"/>
      <c r="U44" s="107">
        <f>T44*100/$E$44</f>
        <v/>
      </c>
      <c r="V44" s="108" t="n"/>
      <c r="W44" s="107">
        <f>V44*100/$E$44</f>
        <v/>
      </c>
      <c r="X44" s="108" t="n"/>
      <c r="Y44" s="107">
        <f>X44*100/$E$44</f>
        <v/>
      </c>
      <c r="Z44" s="108" t="n"/>
      <c r="AA44" s="107">
        <f>Z44*100/$E$44</f>
        <v/>
      </c>
      <c r="AB44" s="108" t="n"/>
      <c r="AC44" s="107">
        <f>AB44*100/$E$44</f>
        <v/>
      </c>
      <c r="AD44" s="108" t="n"/>
      <c r="AE44" s="122">
        <f>AD44*100/$E$44</f>
        <v/>
      </c>
      <c r="AF44" s="108" t="n"/>
      <c r="AG44" s="122">
        <f>AF44*100/$E$44</f>
        <v/>
      </c>
      <c r="AH44" s="108" t="n"/>
      <c r="AI44" s="107">
        <f>AH44*100/$E$44</f>
        <v/>
      </c>
      <c r="AJ44" s="108" t="n"/>
      <c r="AK44" s="107">
        <f>AJ44*100/$E$44</f>
        <v/>
      </c>
      <c r="AL44" s="108" t="n"/>
      <c r="AM44" s="107">
        <f>AL44*100/$E$44</f>
        <v/>
      </c>
      <c r="AN44" s="108" t="n"/>
      <c r="AO44" s="107">
        <f>AN44*100/$E$44</f>
        <v/>
      </c>
      <c r="AP44" s="108" t="n"/>
      <c r="AQ44" s="107">
        <f>AP44*100/$E$44</f>
        <v/>
      </c>
      <c r="AR44" s="108" t="n"/>
      <c r="AS44" s="107">
        <f>AR44*100/$E$44</f>
        <v/>
      </c>
      <c r="AT44" s="108" t="n"/>
      <c r="AU44" s="90">
        <f>AT44*100/$E$44</f>
        <v/>
      </c>
      <c r="AV44" s="108" t="n"/>
      <c r="AW44" s="107">
        <f>AV44*100/$E$44</f>
        <v/>
      </c>
      <c r="AX44" s="108" t="n"/>
      <c r="AY44" s="107">
        <f>AX44*100/$E$44</f>
        <v/>
      </c>
      <c r="AZ44" s="108" t="n"/>
      <c r="BA44" s="107">
        <f>AZ44*100/$E$44</f>
        <v/>
      </c>
      <c r="BB44" s="108" t="n"/>
      <c r="BC44" s="107">
        <f>BB44*100/$E$44</f>
        <v/>
      </c>
      <c r="BD44" s="108" t="n"/>
      <c r="BE44" s="107">
        <f>BD44*100/$E$44</f>
        <v/>
      </c>
      <c r="BF44" s="108" t="n"/>
      <c r="BG44" s="107">
        <f>BF44*100/$E$44</f>
        <v/>
      </c>
      <c r="BH44" s="108" t="n"/>
      <c r="BI44" s="107">
        <f>BH44*100/$E$44</f>
        <v/>
      </c>
      <c r="BJ44" s="108" t="n"/>
      <c r="BK44" s="107">
        <f>BJ44*100/$E$44</f>
        <v/>
      </c>
      <c r="BL44" s="108" t="n"/>
      <c r="BM44" s="107">
        <f>BL44*100/$E$44</f>
        <v/>
      </c>
      <c r="BN44" s="108" t="n"/>
      <c r="BO44" s="107">
        <f>BN44*100/$E$44</f>
        <v/>
      </c>
      <c r="BP44" s="108" t="n"/>
      <c r="BQ44" s="107">
        <f>BP44*100/$E$44</f>
        <v/>
      </c>
      <c r="BR44" s="108" t="n"/>
      <c r="BS44" s="107">
        <f>BR44*100/$E$44</f>
        <v/>
      </c>
      <c r="BT44" s="108" t="n"/>
      <c r="BU44" s="107">
        <f>BT44*100/$E$44</f>
        <v/>
      </c>
      <c r="BV44" s="108" t="n"/>
      <c r="BW44" s="107">
        <f>BV44*100/$E$44</f>
        <v/>
      </c>
      <c r="BX44" s="108" t="n"/>
      <c r="BY44" s="107">
        <f>BX44*100/$E$44</f>
        <v/>
      </c>
      <c r="BZ44" s="108" t="n"/>
      <c r="CA44" s="107">
        <f>BZ44*100/$E$44</f>
        <v/>
      </c>
      <c r="CB44" s="108" t="n"/>
      <c r="CC44" s="107">
        <f>CB44*100/$E$44</f>
        <v/>
      </c>
      <c r="CD44" s="108" t="n"/>
      <c r="CE44" s="107">
        <f>CD44*100/$E$44</f>
        <v/>
      </c>
      <c r="CF44" s="108" t="n"/>
      <c r="CG44" s="107">
        <f>CF44*100/$E$44</f>
        <v/>
      </c>
      <c r="CH44" s="108" t="n"/>
      <c r="CI44" s="107">
        <f>CH44*100/$E$44</f>
        <v/>
      </c>
      <c r="CJ44" s="108" t="n"/>
      <c r="CK44" s="107">
        <f>CJ44*100/$E$44</f>
        <v/>
      </c>
      <c r="CL44" s="108" t="n"/>
      <c r="CM44" s="107">
        <f>CL44*100/$E$44</f>
        <v/>
      </c>
      <c r="CN44" s="108" t="n"/>
      <c r="CO44" s="122">
        <f>CN44*100/$E$44</f>
        <v/>
      </c>
      <c r="CP44" s="108" t="n"/>
      <c r="CQ44" s="107">
        <f>CP44*100/$E$44</f>
        <v/>
      </c>
      <c r="CR44" s="108" t="n"/>
      <c r="CS44" s="122">
        <f>CR44*100/$E$44</f>
        <v/>
      </c>
      <c r="CT44" s="108" t="n"/>
      <c r="CU44" s="122">
        <f>CT44*100/$E$44</f>
        <v/>
      </c>
      <c r="CV44" s="108" t="n"/>
      <c r="CW44" s="122">
        <f>CV44*100/$E$44</f>
        <v/>
      </c>
      <c r="CX44" s="108" t="n"/>
      <c r="CY44" s="122">
        <f>CX44*100/$E$44</f>
        <v/>
      </c>
      <c r="CZ44" s="108" t="n"/>
      <c r="DA44" s="122">
        <f>CZ44*100/$E$44</f>
        <v/>
      </c>
      <c r="DB44" s="108" t="n"/>
      <c r="DC44" s="122">
        <f>DB44*100/$E$44</f>
        <v/>
      </c>
      <c r="DD44" s="108" t="n"/>
      <c r="DE44" s="122">
        <f>DD44*100/$E$44</f>
        <v/>
      </c>
      <c r="DF44" s="108" t="n"/>
      <c r="DG44" s="122">
        <f>DF44*100/$E$44</f>
        <v/>
      </c>
      <c r="DH44" s="108" t="n"/>
      <c r="DI44" s="122">
        <f>DH44*100/$E$44</f>
        <v/>
      </c>
      <c r="DJ44" s="108" t="n"/>
      <c r="DK44" s="122">
        <f>DJ44*100/$E$44</f>
        <v/>
      </c>
      <c r="DL44" s="108" t="n"/>
      <c r="DM44" s="122">
        <f>DL44*100/$E$44</f>
        <v/>
      </c>
      <c r="DN44" s="108" t="n"/>
      <c r="DO44" s="122">
        <f>DN44*100/$E$44</f>
        <v/>
      </c>
      <c r="DP44" s="108" t="n"/>
      <c r="DQ44" s="122">
        <f>DP44*100/$E$44</f>
        <v/>
      </c>
      <c r="DR44" s="108" t="n"/>
      <c r="DS44" s="122">
        <f>DR44*100/$E$44</f>
        <v/>
      </c>
      <c r="DT44" s="108" t="n"/>
      <c r="DU44" s="122">
        <f>DT44*100/$E$44</f>
        <v/>
      </c>
      <c r="DV44" s="108" t="n"/>
      <c r="DW44" s="122">
        <f>DV44*100/$E$44</f>
        <v/>
      </c>
      <c r="DX44" s="108" t="n"/>
      <c r="DY44" s="122">
        <f>DX44*100/$E$44</f>
        <v/>
      </c>
      <c r="DZ44" s="108" t="n"/>
      <c r="EA44" s="122">
        <f>DZ44*100/$E$44</f>
        <v/>
      </c>
      <c r="EB44" s="108" t="n"/>
      <c r="EC44" s="122">
        <f>EB44*100/$E$44</f>
        <v/>
      </c>
      <c r="ED44" s="108" t="n"/>
      <c r="EE44" s="122">
        <f>ED44*100/$E$44</f>
        <v/>
      </c>
      <c r="EF44" s="108" t="n"/>
      <c r="EG44" s="122">
        <f>EF44*100/$E$44</f>
        <v/>
      </c>
      <c r="EH44" s="108" t="n"/>
      <c r="EI44" s="122">
        <f>EH44*100/$E$44</f>
        <v/>
      </c>
      <c r="EJ44" s="108" t="n"/>
      <c r="EK44" s="122">
        <f>EJ44*100/$E$44</f>
        <v/>
      </c>
      <c r="EL44" s="108" t="n"/>
      <c r="EM44" s="122">
        <f>EL44*100/$E$44</f>
        <v/>
      </c>
      <c r="EN44" s="108" t="n"/>
      <c r="EO44" s="122">
        <f>EN44*100/$E$44</f>
        <v/>
      </c>
      <c r="EP44" s="108" t="n"/>
      <c r="EQ44" s="122">
        <f>EP44*100/$E$44</f>
        <v/>
      </c>
      <c r="ER44" s="108" t="n"/>
      <c r="ES44" s="122">
        <f>ER44*100/$E$44</f>
        <v/>
      </c>
      <c r="ET44" s="108" t="n"/>
      <c r="EU44" s="122">
        <f>ET44*100/$E$44</f>
        <v/>
      </c>
      <c r="EV44" s="108" t="n"/>
      <c r="EW44" s="122">
        <f>EV44*100/$E$44</f>
        <v/>
      </c>
      <c r="EX44" s="108" t="n"/>
      <c r="EY44" s="122">
        <f>EX44*100/$E$44</f>
        <v/>
      </c>
      <c r="EZ44" s="108" t="n"/>
      <c r="FA44" s="122">
        <f>EZ44*100/$E$44</f>
        <v/>
      </c>
      <c r="FB44" s="108" t="n"/>
      <c r="FC44" s="122">
        <f>FB44*100/$E$44</f>
        <v/>
      </c>
      <c r="FD44" s="108" t="n"/>
      <c r="FE44" s="122">
        <f>FD44*100/$E$44</f>
        <v/>
      </c>
      <c r="FF44" s="108" t="n"/>
      <c r="FG44" s="122">
        <f>FF44*100/$E$44</f>
        <v/>
      </c>
      <c r="FH44" s="108" t="n"/>
      <c r="FI44" s="122">
        <f>FH44*100/$E$44</f>
        <v/>
      </c>
      <c r="FJ44" s="108" t="n"/>
      <c r="FK44" s="122">
        <f>FJ44*100/$E$44</f>
        <v/>
      </c>
      <c r="FL44" s="108" t="n"/>
      <c r="FM44" s="122">
        <f>FL44*100/$E$44</f>
        <v/>
      </c>
      <c r="FN44" s="108" t="n"/>
      <c r="FO44" s="122">
        <f>FN44*100/$E$44</f>
        <v/>
      </c>
      <c r="FP44" s="108" t="n"/>
      <c r="FQ44" s="122">
        <f>FP44*100/$E$44</f>
        <v/>
      </c>
      <c r="FR44" s="108" t="n"/>
      <c r="FS44" s="122">
        <f>FR44*100/$E$44</f>
        <v/>
      </c>
      <c r="FT44" s="108" t="n"/>
      <c r="FU44" s="122">
        <f>FT44*100/$E$44</f>
        <v/>
      </c>
      <c r="FV44" s="108" t="n"/>
      <c r="FW44" s="122">
        <f>FV44*100/$E$44</f>
        <v/>
      </c>
      <c r="FX44" s="108" t="n"/>
      <c r="FY44" s="107">
        <f>FX44*100/$E$44</f>
        <v/>
      </c>
      <c r="FZ44" s="108" t="n"/>
      <c r="GA44" s="107">
        <f>FZ44*100/$E$44</f>
        <v/>
      </c>
      <c r="GB44" s="108" t="n"/>
      <c r="GC44" s="107">
        <f>GB44*100/$E$44</f>
        <v/>
      </c>
      <c r="GD44" s="108" t="n"/>
      <c r="GE44" s="107">
        <f>GD44*100/$E$44</f>
        <v/>
      </c>
      <c r="GF44" s="108" t="n"/>
      <c r="GG44" s="107">
        <f>GF44*100/$E$44</f>
        <v/>
      </c>
      <c r="GH44" s="108" t="n"/>
      <c r="GI44" s="107">
        <f>GH44*100/$E$44</f>
        <v/>
      </c>
      <c r="GJ44" s="108" t="n"/>
      <c r="GK44" s="122">
        <f>GJ44*100/$E$44</f>
        <v/>
      </c>
      <c r="GL44" s="108" t="n"/>
      <c r="GM44" s="107">
        <f>GL44*100/$E$44</f>
        <v/>
      </c>
      <c r="GN44" s="108" t="n"/>
      <c r="GO44" s="122">
        <f>GN44*100/$E$44</f>
        <v/>
      </c>
      <c r="GP44" s="108" t="n"/>
      <c r="GQ44" s="107">
        <f>GP44*100/$E$44</f>
        <v/>
      </c>
      <c r="GR44" s="108" t="n"/>
      <c r="GS44" s="122">
        <f>GR44*100/$E$44</f>
        <v/>
      </c>
      <c r="GT44" s="108" t="n"/>
      <c r="GU44" s="122">
        <f>GT44*100/$E$44</f>
        <v/>
      </c>
      <c r="GV44" s="108" t="n"/>
      <c r="GW44" s="122">
        <f>GV44*100/$E$44</f>
        <v/>
      </c>
      <c r="GX44" s="108" t="n"/>
      <c r="GY44" s="107">
        <f>GX44*100/$E$44</f>
        <v/>
      </c>
      <c r="GZ44" s="108" t="n"/>
      <c r="HA44" s="107">
        <f>GZ44*100/$E$44</f>
        <v/>
      </c>
      <c r="HB44" s="108" t="n"/>
      <c r="HC44" s="107">
        <f>HB44*100/$E$44</f>
        <v/>
      </c>
      <c r="HD44" s="108" t="n"/>
      <c r="HE44" s="107">
        <f>HD44*100/$E$44</f>
        <v/>
      </c>
      <c r="HF44" s="108" t="n"/>
      <c r="HG44" s="107">
        <f>HF44*100/$E$44</f>
        <v/>
      </c>
      <c r="HH44" s="108" t="n"/>
      <c r="HI44" s="107">
        <f>HH44*100/$E$44</f>
        <v/>
      </c>
      <c r="HJ44" s="108" t="n"/>
      <c r="HK44" s="107">
        <f>HJ44*100/$E$44</f>
        <v/>
      </c>
      <c r="HL44" s="108" t="n"/>
      <c r="HM44" s="107">
        <f>HL44*100/$E$44</f>
        <v/>
      </c>
      <c r="HN44" s="108" t="n"/>
      <c r="HO44" s="107">
        <f>HN44*100/$E$44</f>
        <v/>
      </c>
      <c r="HP44" s="108" t="n"/>
      <c r="HQ44" s="107">
        <f>HP44*100/$E$44</f>
        <v/>
      </c>
      <c r="HR44" s="108" t="n"/>
      <c r="HS44" s="107">
        <f>HR44*100/$E$44</f>
        <v/>
      </c>
      <c r="HT44" s="108" t="n"/>
      <c r="HU44" s="107">
        <f>HT44*100/$E$44</f>
        <v/>
      </c>
      <c r="HV44" s="108" t="n"/>
      <c r="HW44" s="107">
        <f>HV44*100/$E$44</f>
        <v/>
      </c>
      <c r="HX44" s="108" t="n"/>
      <c r="HY44" s="107">
        <f>HX44*100/$E$44</f>
        <v/>
      </c>
      <c r="HZ44" s="108" t="n"/>
      <c r="IA44" s="122">
        <f>HZ44*100/$E$44</f>
        <v/>
      </c>
      <c r="IB44" s="108" t="n"/>
      <c r="IC44" s="122">
        <f>IB44*100/$E$44</f>
        <v/>
      </c>
      <c r="ID44" s="108" t="n"/>
      <c r="IE44" s="122">
        <f>ID44*100/$E$44</f>
        <v/>
      </c>
      <c r="IF44" s="108" t="n"/>
      <c r="IG44" s="122">
        <f>IF44*100/$E$44</f>
        <v/>
      </c>
      <c r="IH44" s="108" t="n"/>
      <c r="II44" s="122">
        <f>IH44*100/$E$44</f>
        <v/>
      </c>
      <c r="IJ44" s="108" t="n"/>
      <c r="IK44" s="122">
        <f>IJ44*100/$E$44</f>
        <v/>
      </c>
      <c r="IL44" s="108" t="n"/>
      <c r="IM44" s="107">
        <f>IL44*100/$E$44</f>
        <v/>
      </c>
      <c r="IN44" s="108" t="n"/>
      <c r="IO44" s="107">
        <f>IN44*100/$E$44</f>
        <v/>
      </c>
      <c r="IP44" s="108" t="n"/>
      <c r="IQ44" s="122">
        <f>IP44*100/$E$44</f>
        <v/>
      </c>
      <c r="IR44" s="108" t="n"/>
      <c r="IS44" s="122">
        <f>IR44*100/$E$44</f>
        <v/>
      </c>
      <c r="IT44" s="108" t="n"/>
      <c r="IU44" s="122">
        <f>IT44*100/$E$44</f>
        <v/>
      </c>
      <c r="IV44" s="108" t="n"/>
      <c r="IW44" s="122">
        <f>IV44*100/$E$44</f>
        <v/>
      </c>
      <c r="IX44" s="108" t="n"/>
      <c r="IY44" s="122">
        <f>IX44*100/$E$44</f>
        <v/>
      </c>
      <c r="IZ44" s="108" t="n"/>
      <c r="JA44" s="122">
        <f>IZ44*100/$E$44</f>
        <v/>
      </c>
      <c r="JB44" s="108" t="n"/>
      <c r="JC44" s="122">
        <f>JB44*100/$E$44</f>
        <v/>
      </c>
      <c r="JD44" s="108" t="n"/>
      <c r="JE44" s="122">
        <f>JD44*100/$E$44</f>
        <v/>
      </c>
      <c r="JF44" s="133" t="n"/>
      <c r="JG44" s="122">
        <f>JF44*100/$E$44</f>
        <v/>
      </c>
      <c r="JH44" s="108" t="n"/>
      <c r="JI44" s="122">
        <f>JH44*100/$E$44</f>
        <v/>
      </c>
      <c r="JJ44" s="108" t="n"/>
      <c r="JK44" s="122">
        <f>JJ44*100/$E$44</f>
        <v/>
      </c>
      <c r="JL44" s="108" t="n"/>
      <c r="JM44" s="122">
        <f>JL44*100/$E$44</f>
        <v/>
      </c>
      <c r="JN44" s="108" t="n"/>
      <c r="JO44" s="121">
        <f>JN44*100/$E$44</f>
        <v/>
      </c>
      <c r="JP44" s="108" t="n"/>
      <c r="JQ44" s="121">
        <f>JP44*100/$E$44</f>
        <v/>
      </c>
      <c r="JR44" s="108" t="n"/>
      <c r="JS44" s="121">
        <f>JR44*100/$E$44</f>
        <v/>
      </c>
      <c r="JT44" s="108" t="n"/>
      <c r="JU44" s="121">
        <f>JT44*100/$E$44</f>
        <v/>
      </c>
      <c r="JV44" s="108" t="n"/>
      <c r="JW44" s="121">
        <f>JV44*100/$E$44</f>
        <v/>
      </c>
      <c r="JX44" s="108" t="n"/>
      <c r="JY44" s="121">
        <f>JX44*100/$E$44</f>
        <v/>
      </c>
      <c r="JZ44" s="55">
        <f>JN44+JP44+JR44+JT44+JV44+JX44</f>
        <v/>
      </c>
      <c r="KA44" s="53">
        <f>JO44+JQ44+JS44+JU44+JW44+JY44</f>
        <v/>
      </c>
      <c r="KB44" s="64">
        <f>H44+J44+L44+N44+P44+R44+T44+V44+X44+Z44+AB44+AD44+AF44+AH44+AJ44+AL44+AN44+AP44+AR44+AT44+AV44+AX44+AZ44+BB44+BD44+BF44+BH44+BJ44+BL44+BN44+BP44+BR44+BT44+BV44+BX44+BZ44+CB44+CD44+CF44+CH44+CZ44+DB44+DD44+DF44+DH44+DJ44+DL44+DN44+DP44+DR44+DT44+DV44+DX44+DZ44+EB44+ED44+EF44+EH44+EJ44+EL44+EN44+EP44+ER44+ET44+EV44+FN44+FP44+FR44+FT44+FV44+FX44+FZ44+GB44+GD44+GF44+GH44+GJ44+GL44+GN44+GP44+GR44+GT44+GV44+GX44+GZ44+HB44+HD44+HF44+HH44+HJ44+HL44+HN44+HP44+HR44+HT44+HV44+HX44+HZ44+IB44+ID44+IF44+IH44+IJ44+IL44+IN44+IP44+IR44+IT44+IV44+IX44+IZ44+JB44+JD44+JF44+JH44+JJ44+JL44+JZ44+CJ44+CL44+CN44+CP44+CR44+CT44+CV44+CX44+EX44+EZ44+FB44+FD44+FF44+FH44+FJ44+FL44</f>
        <v/>
      </c>
      <c r="KC44" s="66">
        <f>I44+K44+M44+O44+Q44+S44+U44+W44+Y44+AA44+AC44+AE44+AG44+AI44+AK44+AM44+AO44+AQ44+AS44+AU44+AW44+AY44+BA44+BC44+BE44+BG44+BI44+BK44+BM44+BO44+BQ44+BS44+BU44+BW44+BY44+CA44+CC44+CE44+CG44+CI44+DA44+DC44+DE44+DG44+DI44+DK44+DM44+DO44+DQ44+DS44+DU44+DW44+DY44+EA44+EC44+EE44+EG44+EI44+EK44+EM44+EO44+EQ44+ES44+EU44+EW44+FO44+FS44+FU44+FW44+FQ44+FY44+GA44+GC44+GE44+GG44+GI44+GK44+GM44+GO44+GQ44+GS44+GU44+GW44+GY44+HA44+HC44+HE44+HG44+HI44+HK44+HM44+HO44+HQ44+HS44+HU44+HW44+HY44+IA44+IC44+IE44+IG44+II44+IK44+IM44+IO44+IQ44+IS44+IU44+IW44+IY44+JA44+JC44+JE44+JG44+JI44+JK44+JM44+KA44+CK44+CM44+CO44+CQ44+CS44+CU44+CW44+CY44+EY44+FA44+FC44+FE44+FG44+FI44+FK44+FM44</f>
        <v/>
      </c>
      <c r="KD44" s="44">
        <f>JO44+JQ44+JS44+JU44+JW44+JY44</f>
        <v/>
      </c>
      <c r="KE44" s="45">
        <f>KB44=E44</f>
        <v/>
      </c>
      <c r="KF44" s="101">
        <f>E44-KB44</f>
        <v/>
      </c>
      <c r="KG44" s="17" t="n"/>
    </row>
    <row r="45" ht="21.75" customFormat="1" customHeight="1" s="17">
      <c r="A45" s="126">
        <f>A44+1</f>
        <v/>
      </c>
      <c r="B45" s="175" t="inlineStr">
        <is>
          <t>Титаев А.А.</t>
        </is>
      </c>
      <c r="C45" s="176" t="inlineStr">
        <is>
          <t>слесарь МСР</t>
        </is>
      </c>
      <c r="D45" s="177">
        <f>$D$5</f>
        <v/>
      </c>
      <c r="E45" s="202" t="n"/>
      <c r="F45" s="178" t="n">
        <v>55770</v>
      </c>
      <c r="G45" s="52">
        <f>F45/D45</f>
        <v/>
      </c>
      <c r="H45" s="125" t="n"/>
      <c r="I45" s="107">
        <f>H45*100/$E$45</f>
        <v/>
      </c>
      <c r="J45" s="108" t="n"/>
      <c r="K45" s="107">
        <f>J45*100/$E$45</f>
        <v/>
      </c>
      <c r="L45" s="108" t="n"/>
      <c r="M45" s="107">
        <f>L45*100/$E$45</f>
        <v/>
      </c>
      <c r="N45" s="108" t="n"/>
      <c r="O45" s="107">
        <f>N45*100/$E$45</f>
        <v/>
      </c>
      <c r="P45" s="108" t="n"/>
      <c r="Q45" s="122">
        <f>P45*100/$E$45</f>
        <v/>
      </c>
      <c r="R45" s="108" t="n"/>
      <c r="S45" s="122">
        <f>R45*100/$E$45</f>
        <v/>
      </c>
      <c r="T45" s="108" t="n"/>
      <c r="U45" s="107">
        <f>T45*100/$E$45</f>
        <v/>
      </c>
      <c r="V45" s="108" t="n"/>
      <c r="W45" s="107">
        <f>V45*100/$E$45</f>
        <v/>
      </c>
      <c r="X45" s="108" t="n"/>
      <c r="Y45" s="107">
        <f>X45*100/$E$45</f>
        <v/>
      </c>
      <c r="Z45" s="108" t="n"/>
      <c r="AA45" s="107">
        <f>Z45*100/$E$45</f>
        <v/>
      </c>
      <c r="AB45" s="108" t="n"/>
      <c r="AC45" s="107">
        <f>AB45*100/$E$45</f>
        <v/>
      </c>
      <c r="AD45" s="108" t="n"/>
      <c r="AE45" s="122">
        <f>AD45*100/$E$45</f>
        <v/>
      </c>
      <c r="AF45" s="108" t="n"/>
      <c r="AG45" s="122">
        <f>AF45*100/$E$45</f>
        <v/>
      </c>
      <c r="AH45" s="108" t="n"/>
      <c r="AI45" s="107">
        <f>AH45*100/$E$45</f>
        <v/>
      </c>
      <c r="AJ45" s="108" t="n"/>
      <c r="AK45" s="107">
        <f>AJ45*100/$E$45</f>
        <v/>
      </c>
      <c r="AL45" s="108" t="n"/>
      <c r="AM45" s="107">
        <f>AL45*100/$E$45</f>
        <v/>
      </c>
      <c r="AN45" s="108" t="n"/>
      <c r="AO45" s="107">
        <f>AN45*100/$E$45</f>
        <v/>
      </c>
      <c r="AP45" s="108" t="n"/>
      <c r="AQ45" s="107">
        <f>AP45*100/$E$45</f>
        <v/>
      </c>
      <c r="AR45" s="108" t="n"/>
      <c r="AS45" s="107">
        <f>AR45*100/$E$45</f>
        <v/>
      </c>
      <c r="AT45" s="108" t="n"/>
      <c r="AU45" s="90">
        <f>AT45*100/$E$45</f>
        <v/>
      </c>
      <c r="AV45" s="108" t="n"/>
      <c r="AW45" s="107">
        <f>AV45*100/$E$45</f>
        <v/>
      </c>
      <c r="AX45" s="108" t="n"/>
      <c r="AY45" s="107">
        <f>AX45*100/$E$45</f>
        <v/>
      </c>
      <c r="AZ45" s="108" t="n"/>
      <c r="BA45" s="107">
        <f>AZ45*100/$E$45</f>
        <v/>
      </c>
      <c r="BB45" s="108" t="n"/>
      <c r="BC45" s="107">
        <f>BB45*100/$E$45</f>
        <v/>
      </c>
      <c r="BD45" s="108" t="n"/>
      <c r="BE45" s="107">
        <f>BD45*100/$E$45</f>
        <v/>
      </c>
      <c r="BF45" s="108" t="n"/>
      <c r="BG45" s="107">
        <f>BF45*100/$E$45</f>
        <v/>
      </c>
      <c r="BH45" s="108" t="n"/>
      <c r="BI45" s="107">
        <f>BH45*100/$E$45</f>
        <v/>
      </c>
      <c r="BJ45" s="108" t="n"/>
      <c r="BK45" s="107">
        <f>BJ45*100/$E$45</f>
        <v/>
      </c>
      <c r="BL45" s="108" t="n"/>
      <c r="BM45" s="107">
        <f>BL45*100/$E$45</f>
        <v/>
      </c>
      <c r="BN45" s="108" t="n"/>
      <c r="BO45" s="107">
        <f>BN45*100/$E$45</f>
        <v/>
      </c>
      <c r="BP45" s="108" t="n"/>
      <c r="BQ45" s="107">
        <f>BP45*100/$E$45</f>
        <v/>
      </c>
      <c r="BR45" s="108" t="n"/>
      <c r="BS45" s="107">
        <f>BR45*100/$E$45</f>
        <v/>
      </c>
      <c r="BT45" s="108" t="n"/>
      <c r="BU45" s="107">
        <f>BT45*100/$E$45</f>
        <v/>
      </c>
      <c r="BV45" s="108" t="n"/>
      <c r="BW45" s="107">
        <f>BV45*100/$E$45</f>
        <v/>
      </c>
      <c r="BX45" s="108" t="n"/>
      <c r="BY45" s="107">
        <f>BX45*100/$E$45</f>
        <v/>
      </c>
      <c r="BZ45" s="108" t="n"/>
      <c r="CA45" s="107">
        <f>BZ45*100/$E$45</f>
        <v/>
      </c>
      <c r="CB45" s="108" t="n"/>
      <c r="CC45" s="107">
        <f>CB45*100/$E$45</f>
        <v/>
      </c>
      <c r="CD45" s="108" t="n"/>
      <c r="CE45" s="107">
        <f>CD45*100/$E$45</f>
        <v/>
      </c>
      <c r="CF45" s="108" t="n"/>
      <c r="CG45" s="107">
        <f>CF45*100/$E$45</f>
        <v/>
      </c>
      <c r="CH45" s="108" t="n"/>
      <c r="CI45" s="107">
        <f>CH45*100/$E$45</f>
        <v/>
      </c>
      <c r="CJ45" s="108" t="n"/>
      <c r="CK45" s="107">
        <f>CJ45*100/$E$45</f>
        <v/>
      </c>
      <c r="CL45" s="108" t="n"/>
      <c r="CM45" s="107">
        <f>CL45*100/$E$45</f>
        <v/>
      </c>
      <c r="CN45" s="108" t="n"/>
      <c r="CO45" s="122">
        <f>CN45*100/$E$45</f>
        <v/>
      </c>
      <c r="CP45" s="108" t="n"/>
      <c r="CQ45" s="107">
        <f>CP45*100/$E$45</f>
        <v/>
      </c>
      <c r="CR45" s="108" t="n"/>
      <c r="CS45" s="122">
        <f>CR45*100/$E$45</f>
        <v/>
      </c>
      <c r="CT45" s="108" t="n"/>
      <c r="CU45" s="122">
        <f>CT45*100/$E$45</f>
        <v/>
      </c>
      <c r="CV45" s="108" t="n"/>
      <c r="CW45" s="122">
        <f>CV45*100/$E$45</f>
        <v/>
      </c>
      <c r="CX45" s="108" t="n"/>
      <c r="CY45" s="122">
        <f>CX45*100/$E$45</f>
        <v/>
      </c>
      <c r="CZ45" s="108" t="n"/>
      <c r="DA45" s="122">
        <f>CZ45*100/$E$45</f>
        <v/>
      </c>
      <c r="DB45" s="108" t="n"/>
      <c r="DC45" s="122">
        <f>DB45*100/$E$45</f>
        <v/>
      </c>
      <c r="DD45" s="108" t="n"/>
      <c r="DE45" s="122">
        <f>DD45*100/$E$45</f>
        <v/>
      </c>
      <c r="DF45" s="108" t="n"/>
      <c r="DG45" s="122">
        <f>DF45*100/$E$45</f>
        <v/>
      </c>
      <c r="DH45" s="108" t="n"/>
      <c r="DI45" s="122">
        <f>DH45*100/$E$45</f>
        <v/>
      </c>
      <c r="DJ45" s="108" t="n"/>
      <c r="DK45" s="122">
        <f>DJ45*100/$E$45</f>
        <v/>
      </c>
      <c r="DL45" s="108" t="n"/>
      <c r="DM45" s="122">
        <f>DL45*100/$E$45</f>
        <v/>
      </c>
      <c r="DN45" s="108" t="n"/>
      <c r="DO45" s="122">
        <f>DN45*100/$E$45</f>
        <v/>
      </c>
      <c r="DP45" s="108" t="n"/>
      <c r="DQ45" s="122">
        <f>DP45*100/$E$45</f>
        <v/>
      </c>
      <c r="DR45" s="108" t="n"/>
      <c r="DS45" s="122">
        <f>DR45*100/$E$45</f>
        <v/>
      </c>
      <c r="DT45" s="108" t="n"/>
      <c r="DU45" s="122">
        <f>DT45*100/$E$45</f>
        <v/>
      </c>
      <c r="DV45" s="108" t="n"/>
      <c r="DW45" s="122">
        <f>DV45*100/$E$45</f>
        <v/>
      </c>
      <c r="DX45" s="108" t="n"/>
      <c r="DY45" s="122">
        <f>DX45*100/$E$45</f>
        <v/>
      </c>
      <c r="DZ45" s="108" t="n"/>
      <c r="EA45" s="122">
        <f>DZ45*100/$E$45</f>
        <v/>
      </c>
      <c r="EB45" s="108" t="n"/>
      <c r="EC45" s="122">
        <f>EB45*100/$E$45</f>
        <v/>
      </c>
      <c r="ED45" s="108" t="n"/>
      <c r="EE45" s="122">
        <f>ED45*100/$E$45</f>
        <v/>
      </c>
      <c r="EF45" s="108" t="n"/>
      <c r="EG45" s="122">
        <f>EF45*100/$E$45</f>
        <v/>
      </c>
      <c r="EH45" s="108" t="n"/>
      <c r="EI45" s="122">
        <f>EH45*100/$E$45</f>
        <v/>
      </c>
      <c r="EJ45" s="108" t="n"/>
      <c r="EK45" s="122">
        <f>EJ45*100/$E$45</f>
        <v/>
      </c>
      <c r="EL45" s="108" t="n"/>
      <c r="EM45" s="122">
        <f>EL45*100/$E$45</f>
        <v/>
      </c>
      <c r="EN45" s="108" t="n"/>
      <c r="EO45" s="122">
        <f>EN45*100/$E$45</f>
        <v/>
      </c>
      <c r="EP45" s="108" t="n"/>
      <c r="EQ45" s="122">
        <f>EP45*100/$E$45</f>
        <v/>
      </c>
      <c r="ER45" s="108" t="n"/>
      <c r="ES45" s="122">
        <f>ER45*100/$E$45</f>
        <v/>
      </c>
      <c r="ET45" s="108" t="n"/>
      <c r="EU45" s="122">
        <f>ET45*100/$E$45</f>
        <v/>
      </c>
      <c r="EV45" s="108" t="n"/>
      <c r="EW45" s="122">
        <f>EV45*100/$E$45</f>
        <v/>
      </c>
      <c r="EX45" s="108" t="n"/>
      <c r="EY45" s="122">
        <f>EX45*100/$E$45</f>
        <v/>
      </c>
      <c r="EZ45" s="108" t="n"/>
      <c r="FA45" s="122">
        <f>EZ45*100/$E$45</f>
        <v/>
      </c>
      <c r="FB45" s="108" t="n"/>
      <c r="FC45" s="122">
        <f>FB45*100/$E$45</f>
        <v/>
      </c>
      <c r="FD45" s="108" t="n"/>
      <c r="FE45" s="122">
        <f>FD45*100/$E$45</f>
        <v/>
      </c>
      <c r="FF45" s="108" t="n"/>
      <c r="FG45" s="122">
        <f>FF45*100/$E$45</f>
        <v/>
      </c>
      <c r="FH45" s="108" t="n"/>
      <c r="FI45" s="122">
        <f>FH45*100/$E$45</f>
        <v/>
      </c>
      <c r="FJ45" s="108" t="n"/>
      <c r="FK45" s="122">
        <f>FJ45*100/$E$45</f>
        <v/>
      </c>
      <c r="FL45" s="108" t="n"/>
      <c r="FM45" s="122">
        <f>FL45*100/$E$45</f>
        <v/>
      </c>
      <c r="FN45" s="108" t="n"/>
      <c r="FO45" s="122">
        <f>FN45*100/$E$45</f>
        <v/>
      </c>
      <c r="FP45" s="108" t="n"/>
      <c r="FQ45" s="122">
        <f>FP45*100/$E$45</f>
        <v/>
      </c>
      <c r="FR45" s="108" t="n"/>
      <c r="FS45" s="122">
        <f>FR45*100/$E$45</f>
        <v/>
      </c>
      <c r="FT45" s="108" t="n"/>
      <c r="FU45" s="122">
        <f>FT45*100/$E$45</f>
        <v/>
      </c>
      <c r="FV45" s="108" t="n"/>
      <c r="FW45" s="122">
        <f>FV45*100/$E$45</f>
        <v/>
      </c>
      <c r="FX45" s="108" t="n"/>
      <c r="FY45" s="107">
        <f>FX45*100/$E$45</f>
        <v/>
      </c>
      <c r="FZ45" s="108" t="n"/>
      <c r="GA45" s="107">
        <f>FZ45*100/$E$45</f>
        <v/>
      </c>
      <c r="GB45" s="108" t="n"/>
      <c r="GC45" s="107">
        <f>GB45*100/$E$45</f>
        <v/>
      </c>
      <c r="GD45" s="108" t="n"/>
      <c r="GE45" s="107">
        <f>GD45*100/$E$45</f>
        <v/>
      </c>
      <c r="GF45" s="108" t="n"/>
      <c r="GG45" s="107">
        <f>GF45*100/$E$45</f>
        <v/>
      </c>
      <c r="GH45" s="108" t="n"/>
      <c r="GI45" s="107">
        <f>GH45*100/$E$45</f>
        <v/>
      </c>
      <c r="GJ45" s="108" t="n"/>
      <c r="GK45" s="122">
        <f>GJ45*100/$E$45</f>
        <v/>
      </c>
      <c r="GL45" s="108" t="n"/>
      <c r="GM45" s="107">
        <f>GL45*100/$E$45</f>
        <v/>
      </c>
      <c r="GN45" s="108" t="n"/>
      <c r="GO45" s="122">
        <f>GN45*100/$E$45</f>
        <v/>
      </c>
      <c r="GP45" s="108" t="n"/>
      <c r="GQ45" s="107">
        <f>GP45*100/$E$45</f>
        <v/>
      </c>
      <c r="GR45" s="108" t="n"/>
      <c r="GS45" s="122">
        <f>GR45*100/$E$45</f>
        <v/>
      </c>
      <c r="GT45" s="108" t="n"/>
      <c r="GU45" s="122">
        <f>GT45*100/$E$45</f>
        <v/>
      </c>
      <c r="GV45" s="108" t="n"/>
      <c r="GW45" s="122">
        <f>GV45*100/$E$45</f>
        <v/>
      </c>
      <c r="GX45" s="108" t="n"/>
      <c r="GY45" s="107">
        <f>GX45*100/$E$45</f>
        <v/>
      </c>
      <c r="GZ45" s="108" t="n"/>
      <c r="HA45" s="107">
        <f>GZ45*100/$E$45</f>
        <v/>
      </c>
      <c r="HB45" s="108" t="n"/>
      <c r="HC45" s="107">
        <f>HB45*100/$E$45</f>
        <v/>
      </c>
      <c r="HD45" s="108" t="n"/>
      <c r="HE45" s="107">
        <f>HD45*100/$E$45</f>
        <v/>
      </c>
      <c r="HF45" s="108" t="n"/>
      <c r="HG45" s="107">
        <f>HF45*100/$E$45</f>
        <v/>
      </c>
      <c r="HH45" s="108" t="n"/>
      <c r="HI45" s="107">
        <f>HH45*100/$E$45</f>
        <v/>
      </c>
      <c r="HJ45" s="108" t="n"/>
      <c r="HK45" s="107">
        <f>HJ45*100/$E$45</f>
        <v/>
      </c>
      <c r="HL45" s="108" t="n"/>
      <c r="HM45" s="107">
        <f>HL45*100/$E$45</f>
        <v/>
      </c>
      <c r="HN45" s="108" t="n"/>
      <c r="HO45" s="107">
        <f>HN45*100/$E$45</f>
        <v/>
      </c>
      <c r="HP45" s="108" t="n"/>
      <c r="HQ45" s="107">
        <f>HP45*100/$E$45</f>
        <v/>
      </c>
      <c r="HR45" s="108" t="n"/>
      <c r="HS45" s="107">
        <f>HR45*100/$E$45</f>
        <v/>
      </c>
      <c r="HT45" s="108" t="n"/>
      <c r="HU45" s="107">
        <f>HT45*100/$E$45</f>
        <v/>
      </c>
      <c r="HV45" s="108" t="n"/>
      <c r="HW45" s="107">
        <f>HV45*100/$E$45</f>
        <v/>
      </c>
      <c r="HX45" s="108" t="n"/>
      <c r="HY45" s="107">
        <f>HX45*100/$E$45</f>
        <v/>
      </c>
      <c r="HZ45" s="108" t="n"/>
      <c r="IA45" s="122">
        <f>HZ45*100/$E$45</f>
        <v/>
      </c>
      <c r="IB45" s="108" t="n"/>
      <c r="IC45" s="122">
        <f>IB45*100/$E$45</f>
        <v/>
      </c>
      <c r="ID45" s="108" t="n"/>
      <c r="IE45" s="122">
        <f>ID45*100/$E$45</f>
        <v/>
      </c>
      <c r="IF45" s="108" t="n"/>
      <c r="IG45" s="122">
        <f>IF45*100/$E$45</f>
        <v/>
      </c>
      <c r="IH45" s="108" t="n"/>
      <c r="II45" s="122">
        <f>IH45*100/$E$45</f>
        <v/>
      </c>
      <c r="IJ45" s="108" t="n"/>
      <c r="IK45" s="122">
        <f>IJ45*100/$E$45</f>
        <v/>
      </c>
      <c r="IL45" s="108" t="n"/>
      <c r="IM45" s="107">
        <f>IL45*100/$E$45</f>
        <v/>
      </c>
      <c r="IN45" s="108" t="n"/>
      <c r="IO45" s="107">
        <f>IN45*100/$E$45</f>
        <v/>
      </c>
      <c r="IP45" s="108" t="n"/>
      <c r="IQ45" s="122">
        <f>IP45*100/$E$45</f>
        <v/>
      </c>
      <c r="IR45" s="108" t="n"/>
      <c r="IS45" s="122">
        <f>IR45*100/$E$45</f>
        <v/>
      </c>
      <c r="IT45" s="108" t="n"/>
      <c r="IU45" s="122">
        <f>IT45*100/$E$45</f>
        <v/>
      </c>
      <c r="IV45" s="108" t="n"/>
      <c r="IW45" s="122">
        <f>IV45*100/$E$45</f>
        <v/>
      </c>
      <c r="IX45" s="108" t="n"/>
      <c r="IY45" s="122">
        <f>IX45*100/$E$45</f>
        <v/>
      </c>
      <c r="IZ45" s="108" t="n"/>
      <c r="JA45" s="122">
        <f>IZ45*100/$E$45</f>
        <v/>
      </c>
      <c r="JB45" s="108" t="n"/>
      <c r="JC45" s="122">
        <f>JB45*100/$E$45</f>
        <v/>
      </c>
      <c r="JD45" s="108" t="n"/>
      <c r="JE45" s="122">
        <f>JD45*100/$E$45</f>
        <v/>
      </c>
      <c r="JF45" s="108" t="n"/>
      <c r="JG45" s="122">
        <f>JF45*100/$E$45</f>
        <v/>
      </c>
      <c r="JH45" s="108" t="n"/>
      <c r="JI45" s="122">
        <f>JH45*100/$E$45</f>
        <v/>
      </c>
      <c r="JJ45" s="108" t="n"/>
      <c r="JK45" s="122">
        <f>JJ45*100/$E$45</f>
        <v/>
      </c>
      <c r="JL45" s="108" t="n"/>
      <c r="JM45" s="122">
        <f>JL45*100/$E$45</f>
        <v/>
      </c>
      <c r="JN45" s="108" t="n"/>
      <c r="JO45" s="121">
        <f>JN45*100/$E$45</f>
        <v/>
      </c>
      <c r="JP45" s="108" t="n"/>
      <c r="JQ45" s="121">
        <f>JP45*100/$E$45</f>
        <v/>
      </c>
      <c r="JR45" s="108" t="n"/>
      <c r="JS45" s="121">
        <f>JR45*100/$E$45</f>
        <v/>
      </c>
      <c r="JT45" s="108" t="n"/>
      <c r="JU45" s="121">
        <f>JT45*100/$E$45</f>
        <v/>
      </c>
      <c r="JV45" s="132" t="n"/>
      <c r="JW45" s="121">
        <f>JV45*100/$E$45</f>
        <v/>
      </c>
      <c r="JX45" s="132" t="n"/>
      <c r="JY45" s="121">
        <f>JX45*100/$E$45</f>
        <v/>
      </c>
      <c r="JZ45" s="55">
        <f>JN45+JP45+JR45+JT45+JV45+JX45</f>
        <v/>
      </c>
      <c r="KA45" s="53">
        <f>JO45+JQ45+JS45+JU45+JW45+JY45</f>
        <v/>
      </c>
      <c r="KB45" s="64">
        <f>H45+J45+L45+N45+P45+R45+T45+V45+X45+Z45+AB45+AD45+AF45+AH45+AJ45+AL45+AN45+AP45+AR45+AT45+AV45+AX45+AZ45+BB45+BD45+BF45+BH45+BJ45+BL45+BN45+BP45+BR45+BT45+BV45+BX45+BZ45+CB45+CD45+CF45+CH45+CZ45+DB45+DD45+DF45+DH45+DJ45+DL45+DN45+DP45+DR45+DT45+DV45+DX45+DZ45+EB45+ED45+EF45+EH45+EJ45+EL45+EN45+EP45+ER45+ET45+EV45+FN45+FP45+FR45+FT45+FV45+FX45+FZ45+GB45+GD45+GF45+GH45+GJ45+GL45+GN45+GP45+GR45+GT45+GV45+GX45+GZ45+HB45+HD45+HF45+HH45+HJ45+HL45+HN45+HP45+HR45+HT45+HV45+HX45+HZ45+IB45+ID45+IF45+IH45+IJ45+IL45+IN45+IP45+IR45+IT45+IV45+IX45+IZ45+JB45+JD45+JF45+JH45+JJ45+JL45+JZ45+CJ45+CL45+CN45+CP45+CR45+CT45+CV45+CX45+EX45+EZ45+FB45+FD45+FF45+FH45+FJ45+FL45</f>
        <v/>
      </c>
      <c r="KC45" s="66">
        <f>I45+K45+M45+O45+Q45+S45+U45+W45+Y45+AA45+AC45+AE45+AG45+AI45+AK45+AM45+AO45+AQ45+AS45+AU45+AW45+AY45+BA45+BC45+BE45+BG45+BI45+BK45+BM45+BO45+BQ45+BS45+BU45+BW45+BY45+CA45+CC45+CE45+CG45+CI45+DA45+DC45+DE45+DG45+DI45+DK45+DM45+DO45+DQ45+DS45+DU45+DW45+DY45+EA45+EC45+EE45+EG45+EI45+EK45+EM45+EO45+EQ45+ES45+EU45+EW45+FO45+FS45+FU45+FW45+FQ45+FY45+GA45+GC45+GE45+GG45+GI45+GK45+GM45+GO45+GQ45+GS45+GU45+GW45+GY45+HA45+HC45+HE45+HG45+HI45+HK45+HM45+HO45+HQ45+HS45+HU45+HW45+HY45+IA45+IC45+IE45+IG45+II45+IK45+IM45+IO45+IQ45+IS45+IU45+IW45+IY45+JA45+JC45+JE45+JG45+JI45+JK45+JM45+KA45+CK45+CM45+CO45+CQ45+CS45+CU45+CW45+CY45+EY45+FA45+FC45+FE45+FG45+FI45+FK45+FM45</f>
        <v/>
      </c>
      <c r="KD45" s="44">
        <f>JO45+JQ45+JS45+JU45+JW45+JY45</f>
        <v/>
      </c>
      <c r="KE45" s="45">
        <f>KB45=E45</f>
        <v/>
      </c>
      <c r="KF45" s="101">
        <f>E45-KB45</f>
        <v/>
      </c>
      <c r="KG45" s="11" t="n"/>
    </row>
    <row r="46" ht="21.75" customFormat="1" customHeight="1" s="11">
      <c r="A46" s="126">
        <f>A45+1</f>
        <v/>
      </c>
      <c r="B46" s="175" t="inlineStr">
        <is>
          <t>Токарев Н. С.</t>
        </is>
      </c>
      <c r="C46" s="176" t="inlineStr">
        <is>
          <t>фрезеровщик</t>
        </is>
      </c>
      <c r="D46" s="177">
        <f>$D$5</f>
        <v/>
      </c>
      <c r="E46" s="202" t="n"/>
      <c r="F46" s="191" t="n">
        <v>101149.88</v>
      </c>
      <c r="G46" s="52">
        <f>F46/D46</f>
        <v/>
      </c>
      <c r="H46" s="125" t="n"/>
      <c r="I46" s="107">
        <f>H46*100/$E$46</f>
        <v/>
      </c>
      <c r="J46" s="108" t="n"/>
      <c r="K46" s="107">
        <f>J46*100/$E$46</f>
        <v/>
      </c>
      <c r="L46" s="108" t="n"/>
      <c r="M46" s="107">
        <f>L46*100/$E$46</f>
        <v/>
      </c>
      <c r="N46" s="108" t="n"/>
      <c r="O46" s="107">
        <f>N46*100/$E$46</f>
        <v/>
      </c>
      <c r="P46" s="108" t="n"/>
      <c r="Q46" s="122">
        <f>P46*100/$E$46</f>
        <v/>
      </c>
      <c r="R46" s="108" t="n"/>
      <c r="S46" s="122">
        <f>R46*100/$E$46</f>
        <v/>
      </c>
      <c r="T46" s="108" t="n"/>
      <c r="U46" s="107">
        <f>T46*100/$E$46</f>
        <v/>
      </c>
      <c r="V46" s="108" t="n"/>
      <c r="W46" s="107">
        <f>V46*100/$E$46</f>
        <v/>
      </c>
      <c r="X46" s="108" t="n"/>
      <c r="Y46" s="107">
        <f>X46*100/$E$46</f>
        <v/>
      </c>
      <c r="Z46" s="108" t="n"/>
      <c r="AA46" s="107">
        <f>Z46*100/$E$46</f>
        <v/>
      </c>
      <c r="AB46" s="108" t="n"/>
      <c r="AC46" s="107">
        <f>AB46*100/$E$46</f>
        <v/>
      </c>
      <c r="AD46" s="108" t="n"/>
      <c r="AE46" s="122">
        <f>AD46*100/$E$46</f>
        <v/>
      </c>
      <c r="AF46" s="108" t="n"/>
      <c r="AG46" s="122">
        <f>AF46*100/$E$46</f>
        <v/>
      </c>
      <c r="AH46" s="108" t="n"/>
      <c r="AI46" s="107">
        <f>AH46*100/$E$46</f>
        <v/>
      </c>
      <c r="AJ46" s="108" t="n"/>
      <c r="AK46" s="107">
        <f>AJ46*100/$E$46</f>
        <v/>
      </c>
      <c r="AL46" s="108" t="n"/>
      <c r="AM46" s="107">
        <f>AL46*100/$E$46</f>
        <v/>
      </c>
      <c r="AN46" s="108" t="n"/>
      <c r="AO46" s="107">
        <f>AN46*100/$E$46</f>
        <v/>
      </c>
      <c r="AP46" s="108" t="n"/>
      <c r="AQ46" s="107">
        <f>AP46*100/$E$46</f>
        <v/>
      </c>
      <c r="AR46" s="108" t="n"/>
      <c r="AS46" s="107">
        <f>AR46*100/$E$46</f>
        <v/>
      </c>
      <c r="AT46" s="108" t="n"/>
      <c r="AU46" s="90">
        <f>AT46*100/$E$46</f>
        <v/>
      </c>
      <c r="AV46" s="108" t="n"/>
      <c r="AW46" s="107">
        <f>AV46*100/$E$46</f>
        <v/>
      </c>
      <c r="AX46" s="108" t="n"/>
      <c r="AY46" s="107">
        <f>AX46*100/$E$46</f>
        <v/>
      </c>
      <c r="AZ46" s="108" t="n"/>
      <c r="BA46" s="107">
        <f>AZ46*100/$E$46</f>
        <v/>
      </c>
      <c r="BB46" s="108" t="n"/>
      <c r="BC46" s="107">
        <f>BB46*100/$E$46</f>
        <v/>
      </c>
      <c r="BD46" s="108" t="n"/>
      <c r="BE46" s="107">
        <f>BD46*100/$E$46</f>
        <v/>
      </c>
      <c r="BF46" s="108" t="n"/>
      <c r="BG46" s="107">
        <f>BF46*100/$E$46</f>
        <v/>
      </c>
      <c r="BH46" s="108" t="n"/>
      <c r="BI46" s="107">
        <f>BH46*100/$E$46</f>
        <v/>
      </c>
      <c r="BJ46" s="108" t="n"/>
      <c r="BK46" s="107">
        <f>BJ46*100/$E$46</f>
        <v/>
      </c>
      <c r="BL46" s="108" t="n"/>
      <c r="BM46" s="107">
        <f>BL46*100/$E$46</f>
        <v/>
      </c>
      <c r="BN46" s="108" t="n"/>
      <c r="BO46" s="107">
        <f>BN46*100/$E$46</f>
        <v/>
      </c>
      <c r="BP46" s="108" t="n"/>
      <c r="BQ46" s="107">
        <f>BP46*100/$E$46</f>
        <v/>
      </c>
      <c r="BR46" s="108" t="n"/>
      <c r="BS46" s="107">
        <f>BR46*100/$E$46</f>
        <v/>
      </c>
      <c r="BT46" s="108" t="n"/>
      <c r="BU46" s="107">
        <f>BT46*100/$E$46</f>
        <v/>
      </c>
      <c r="BV46" s="108" t="n"/>
      <c r="BW46" s="107">
        <f>BV46*100/$E$46</f>
        <v/>
      </c>
      <c r="BX46" s="108" t="n"/>
      <c r="BY46" s="107">
        <f>BX46*100/$E$46</f>
        <v/>
      </c>
      <c r="BZ46" s="108" t="n"/>
      <c r="CA46" s="107">
        <f>BZ46*100/$E$46</f>
        <v/>
      </c>
      <c r="CB46" s="108" t="n"/>
      <c r="CC46" s="107">
        <f>CB46*100/$E$46</f>
        <v/>
      </c>
      <c r="CD46" s="108" t="n"/>
      <c r="CE46" s="107">
        <f>CD46*100/$E$46</f>
        <v/>
      </c>
      <c r="CF46" s="108" t="n"/>
      <c r="CG46" s="107">
        <f>CF46*100/$E$46</f>
        <v/>
      </c>
      <c r="CH46" s="108" t="n"/>
      <c r="CI46" s="107">
        <f>CH46*100/$E$46</f>
        <v/>
      </c>
      <c r="CJ46" s="108" t="n"/>
      <c r="CK46" s="107">
        <f>CJ46*100/$E$46</f>
        <v/>
      </c>
      <c r="CL46" s="108" t="n"/>
      <c r="CM46" s="107">
        <f>CL46*100/$E$46</f>
        <v/>
      </c>
      <c r="CN46" s="108" t="n"/>
      <c r="CO46" s="122">
        <f>CN46*100/$E$46</f>
        <v/>
      </c>
      <c r="CP46" s="108" t="n"/>
      <c r="CQ46" s="107">
        <f>CP46*100/$E$46</f>
        <v/>
      </c>
      <c r="CR46" s="108" t="n"/>
      <c r="CS46" s="122">
        <f>CR46*100/$E$46</f>
        <v/>
      </c>
      <c r="CT46" s="108" t="n"/>
      <c r="CU46" s="122">
        <f>CT46*100/$E$46</f>
        <v/>
      </c>
      <c r="CV46" s="108" t="n"/>
      <c r="CW46" s="122">
        <f>CV46*100/$E$46</f>
        <v/>
      </c>
      <c r="CX46" s="108" t="n"/>
      <c r="CY46" s="122">
        <f>CX46*100/$E$46</f>
        <v/>
      </c>
      <c r="CZ46" s="108" t="n"/>
      <c r="DA46" s="122">
        <f>CZ46*100/$E$46</f>
        <v/>
      </c>
      <c r="DB46" s="108" t="n"/>
      <c r="DC46" s="122">
        <f>DB46*100/$E$46</f>
        <v/>
      </c>
      <c r="DD46" s="108" t="n"/>
      <c r="DE46" s="122">
        <f>DD46*100/$E$46</f>
        <v/>
      </c>
      <c r="DF46" s="108" t="n"/>
      <c r="DG46" s="122">
        <f>DF46*100/$E$46</f>
        <v/>
      </c>
      <c r="DH46" s="108" t="n"/>
      <c r="DI46" s="122">
        <f>DH46*100/$E$46</f>
        <v/>
      </c>
      <c r="DJ46" s="108" t="n"/>
      <c r="DK46" s="122">
        <f>DJ46*100/$E$46</f>
        <v/>
      </c>
      <c r="DL46" s="108" t="n"/>
      <c r="DM46" s="122">
        <f>DL46*100/$E$46</f>
        <v/>
      </c>
      <c r="DN46" s="108" t="n"/>
      <c r="DO46" s="122">
        <f>DN46*100/$E$46</f>
        <v/>
      </c>
      <c r="DP46" s="108" t="n"/>
      <c r="DQ46" s="122">
        <f>DP46*100/$E$46</f>
        <v/>
      </c>
      <c r="DR46" s="108" t="n"/>
      <c r="DS46" s="122">
        <f>DR46*100/$E$46</f>
        <v/>
      </c>
      <c r="DT46" s="108" t="n"/>
      <c r="DU46" s="122">
        <f>DT46*100/$E$46</f>
        <v/>
      </c>
      <c r="DV46" s="108" t="n"/>
      <c r="DW46" s="122">
        <f>DV46*100/$E$46</f>
        <v/>
      </c>
      <c r="DX46" s="108" t="n"/>
      <c r="DY46" s="122">
        <f>DX46*100/$E$46</f>
        <v/>
      </c>
      <c r="DZ46" s="108" t="n"/>
      <c r="EA46" s="122">
        <f>DZ46*100/$E$46</f>
        <v/>
      </c>
      <c r="EB46" s="108" t="n"/>
      <c r="EC46" s="122">
        <f>EB46*100/$E$46</f>
        <v/>
      </c>
      <c r="ED46" s="108" t="n"/>
      <c r="EE46" s="122">
        <f>ED46*100/$E$46</f>
        <v/>
      </c>
      <c r="EF46" s="108" t="n"/>
      <c r="EG46" s="122">
        <f>EF46*100/$E$46</f>
        <v/>
      </c>
      <c r="EH46" s="108" t="n"/>
      <c r="EI46" s="122">
        <f>EH46*100/$E$46</f>
        <v/>
      </c>
      <c r="EJ46" s="108" t="n"/>
      <c r="EK46" s="122">
        <f>EJ46*100/$E$46</f>
        <v/>
      </c>
      <c r="EL46" s="108" t="n"/>
      <c r="EM46" s="122">
        <f>EL46*100/$E$46</f>
        <v/>
      </c>
      <c r="EN46" s="108" t="n"/>
      <c r="EO46" s="122">
        <f>EN46*100/$E$46</f>
        <v/>
      </c>
      <c r="EP46" s="108" t="n"/>
      <c r="EQ46" s="122">
        <f>EP46*100/$E$46</f>
        <v/>
      </c>
      <c r="ER46" s="108" t="n"/>
      <c r="ES46" s="122">
        <f>ER46*100/$E$46</f>
        <v/>
      </c>
      <c r="ET46" s="108" t="n"/>
      <c r="EU46" s="122">
        <f>ET46*100/$E$46</f>
        <v/>
      </c>
      <c r="EV46" s="108" t="n"/>
      <c r="EW46" s="122">
        <f>EV46*100/$E$46</f>
        <v/>
      </c>
      <c r="EX46" s="108" t="n"/>
      <c r="EY46" s="122">
        <f>EX46*100/$E$46</f>
        <v/>
      </c>
      <c r="EZ46" s="108" t="n"/>
      <c r="FA46" s="122">
        <f>EZ46*100/$E$46</f>
        <v/>
      </c>
      <c r="FB46" s="108" t="n"/>
      <c r="FC46" s="122">
        <f>FB46*100/$E$46</f>
        <v/>
      </c>
      <c r="FD46" s="108" t="n"/>
      <c r="FE46" s="122">
        <f>FD46*100/$E$46</f>
        <v/>
      </c>
      <c r="FF46" s="108" t="n"/>
      <c r="FG46" s="122">
        <f>FF46*100/$E$46</f>
        <v/>
      </c>
      <c r="FH46" s="108" t="n"/>
      <c r="FI46" s="122">
        <f>FH46*100/$E$46</f>
        <v/>
      </c>
      <c r="FJ46" s="108" t="n"/>
      <c r="FK46" s="122">
        <f>FJ46*100/$E$46</f>
        <v/>
      </c>
      <c r="FL46" s="108" t="n"/>
      <c r="FM46" s="122">
        <f>FL46*100/$E$46</f>
        <v/>
      </c>
      <c r="FN46" s="108" t="n"/>
      <c r="FO46" s="122">
        <f>FN46*100/$E$46</f>
        <v/>
      </c>
      <c r="FP46" s="108" t="n"/>
      <c r="FQ46" s="122">
        <f>FP46*100/$E$46</f>
        <v/>
      </c>
      <c r="FR46" s="108" t="n"/>
      <c r="FS46" s="122">
        <f>FR46*100/$E$46</f>
        <v/>
      </c>
      <c r="FT46" s="108" t="n"/>
      <c r="FU46" s="122">
        <f>FT46*100/$E$46</f>
        <v/>
      </c>
      <c r="FV46" s="108" t="n"/>
      <c r="FW46" s="122">
        <f>FV46*100/$E$46</f>
        <v/>
      </c>
      <c r="FX46" s="108" t="n"/>
      <c r="FY46" s="107">
        <f>FX46*100/$E$46</f>
        <v/>
      </c>
      <c r="FZ46" s="108" t="n"/>
      <c r="GA46" s="107">
        <f>FZ46*100/$E$46</f>
        <v/>
      </c>
      <c r="GB46" s="108" t="n"/>
      <c r="GC46" s="107">
        <f>GB46*100/$E$46</f>
        <v/>
      </c>
      <c r="GD46" s="108" t="n"/>
      <c r="GE46" s="107">
        <f>GD46*100/$E$46</f>
        <v/>
      </c>
      <c r="GF46" s="108" t="n"/>
      <c r="GG46" s="107">
        <f>GF46*100/$E$46</f>
        <v/>
      </c>
      <c r="GH46" s="108" t="n"/>
      <c r="GI46" s="107">
        <f>GH46*100/$E$46</f>
        <v/>
      </c>
      <c r="GJ46" s="108" t="n"/>
      <c r="GK46" s="122">
        <f>GJ46*100/$E$46</f>
        <v/>
      </c>
      <c r="GL46" s="108" t="n"/>
      <c r="GM46" s="107">
        <f>GL46*100/$E$46</f>
        <v/>
      </c>
      <c r="GN46" s="108" t="n"/>
      <c r="GO46" s="122">
        <f>GN46*100/$E$46</f>
        <v/>
      </c>
      <c r="GP46" s="108" t="n"/>
      <c r="GQ46" s="107">
        <f>GP46*100/$E$46</f>
        <v/>
      </c>
      <c r="GR46" s="108" t="n"/>
      <c r="GS46" s="122">
        <f>GR46*100/$E$46</f>
        <v/>
      </c>
      <c r="GT46" s="108" t="n"/>
      <c r="GU46" s="122">
        <f>GT46*100/$E$46</f>
        <v/>
      </c>
      <c r="GV46" s="108" t="n"/>
      <c r="GW46" s="122">
        <f>GV46*100/$E$46</f>
        <v/>
      </c>
      <c r="GX46" s="108" t="n"/>
      <c r="GY46" s="107">
        <f>GX46*100/$E$46</f>
        <v/>
      </c>
      <c r="GZ46" s="108" t="n"/>
      <c r="HA46" s="107">
        <f>GZ46*100/$E$46</f>
        <v/>
      </c>
      <c r="HB46" s="108" t="n"/>
      <c r="HC46" s="107">
        <f>HB46*100/$E$46</f>
        <v/>
      </c>
      <c r="HD46" s="108" t="n"/>
      <c r="HE46" s="107">
        <f>HD46*100/$E$46</f>
        <v/>
      </c>
      <c r="HF46" s="108" t="n"/>
      <c r="HG46" s="107">
        <f>HF46*100/$E$46</f>
        <v/>
      </c>
      <c r="HH46" s="108" t="n"/>
      <c r="HI46" s="107">
        <f>HH46*100/$E$46</f>
        <v/>
      </c>
      <c r="HJ46" s="108" t="n"/>
      <c r="HK46" s="107">
        <f>HJ46*100/$E$46</f>
        <v/>
      </c>
      <c r="HL46" s="108" t="n"/>
      <c r="HM46" s="107">
        <f>HL46*100/$E$46</f>
        <v/>
      </c>
      <c r="HN46" s="108" t="n"/>
      <c r="HO46" s="107">
        <f>HN46*100/$E$46</f>
        <v/>
      </c>
      <c r="HP46" s="108" t="n"/>
      <c r="HQ46" s="107">
        <f>HP46*100/$E$46</f>
        <v/>
      </c>
      <c r="HR46" s="108" t="n"/>
      <c r="HS46" s="107">
        <f>HR46*100/$E$46</f>
        <v/>
      </c>
      <c r="HT46" s="108" t="n"/>
      <c r="HU46" s="107">
        <f>HT46*100/$E$46</f>
        <v/>
      </c>
      <c r="HV46" s="108" t="n"/>
      <c r="HW46" s="107">
        <f>HV46*100/$E$46</f>
        <v/>
      </c>
      <c r="HX46" s="108" t="n"/>
      <c r="HY46" s="107">
        <f>HX46*100/$E$46</f>
        <v/>
      </c>
      <c r="HZ46" s="108" t="n"/>
      <c r="IA46" s="122">
        <f>HZ46*100/$E$46</f>
        <v/>
      </c>
      <c r="IB46" s="108" t="n"/>
      <c r="IC46" s="122">
        <f>IB46*100/$E$46</f>
        <v/>
      </c>
      <c r="ID46" s="108" t="n"/>
      <c r="IE46" s="122">
        <f>ID46*100/$E$46</f>
        <v/>
      </c>
      <c r="IF46" s="108" t="n"/>
      <c r="IG46" s="122">
        <f>IF46*100/$E$46</f>
        <v/>
      </c>
      <c r="IH46" s="108" t="n"/>
      <c r="II46" s="122">
        <f>IH46*100/$E$46</f>
        <v/>
      </c>
      <c r="IJ46" s="108" t="n"/>
      <c r="IK46" s="122">
        <f>IJ46*100/$E$46</f>
        <v/>
      </c>
      <c r="IL46" s="108" t="n"/>
      <c r="IM46" s="107">
        <f>IL46*100/$E$46</f>
        <v/>
      </c>
      <c r="IN46" s="108" t="n"/>
      <c r="IO46" s="107">
        <f>IN46*100/$E$46</f>
        <v/>
      </c>
      <c r="IP46" s="108" t="n"/>
      <c r="IQ46" s="122">
        <f>IP46*100/$E$46</f>
        <v/>
      </c>
      <c r="IR46" s="108" t="n"/>
      <c r="IS46" s="122">
        <f>IR46*100/$E$46</f>
        <v/>
      </c>
      <c r="IT46" s="108" t="n"/>
      <c r="IU46" s="122">
        <f>IT46*100/$E$46</f>
        <v/>
      </c>
      <c r="IV46" s="108" t="n"/>
      <c r="IW46" s="122">
        <f>IV46*100/$E$46</f>
        <v/>
      </c>
      <c r="IX46" s="108" t="n"/>
      <c r="IY46" s="122">
        <f>IX46*100/$E$46</f>
        <v/>
      </c>
      <c r="IZ46" s="108" t="n"/>
      <c r="JA46" s="122">
        <f>IZ46*100/$E$46</f>
        <v/>
      </c>
      <c r="JB46" s="108" t="n"/>
      <c r="JC46" s="122">
        <f>JB46*100/$E$46</f>
        <v/>
      </c>
      <c r="JD46" s="108" t="n"/>
      <c r="JE46" s="122">
        <f>JD46*100/$E$46</f>
        <v/>
      </c>
      <c r="JF46" s="108" t="n"/>
      <c r="JG46" s="122">
        <f>JF46*100/$E$46</f>
        <v/>
      </c>
      <c r="JH46" s="108" t="n"/>
      <c r="JI46" s="122">
        <f>JH46*100/$E$46</f>
        <v/>
      </c>
      <c r="JJ46" s="108" t="n"/>
      <c r="JK46" s="122">
        <f>JJ46*100/$E$46</f>
        <v/>
      </c>
      <c r="JL46" s="108" t="n"/>
      <c r="JM46" s="122">
        <f>JL46*100/$E$46</f>
        <v/>
      </c>
      <c r="JN46" s="108" t="n"/>
      <c r="JO46" s="121">
        <f>JN46*100/$E$46</f>
        <v/>
      </c>
      <c r="JP46" s="108" t="n"/>
      <c r="JQ46" s="121">
        <f>JP46*100/$E$46</f>
        <v/>
      </c>
      <c r="JR46" s="108" t="n"/>
      <c r="JS46" s="121">
        <f>JR46*100/$E$46</f>
        <v/>
      </c>
      <c r="JT46" s="108" t="n"/>
      <c r="JU46" s="121">
        <f>JT46*100/$E$46</f>
        <v/>
      </c>
      <c r="JV46" s="108" t="n"/>
      <c r="JW46" s="121">
        <f>JV46*100/$E$46</f>
        <v/>
      </c>
      <c r="JX46" s="108" t="n"/>
      <c r="JY46" s="121">
        <f>JX46*100/$E$46</f>
        <v/>
      </c>
      <c r="JZ46" s="55">
        <f>JN46+JP46+JR46+JT46+JV46+JX46</f>
        <v/>
      </c>
      <c r="KA46" s="53">
        <f>JO46+JQ46+JS46+JU46+JW46+JY46</f>
        <v/>
      </c>
      <c r="KB46" s="64">
        <f>H46+J46+L46+N46+P46+R46+T46+V46+X46+Z46+AB46+AD46+AF46+AH46+AJ46+AL46+AN46+AP46+AR46+AT46+AV46+AX46+AZ46+BB46+BD46+BF46+BH46+BJ46+BL46+BN46+BP46+BR46+BT46+BV46+BX46+BZ46+CB46+CD46+CF46+CH46+CZ46+DB46+DD46+DF46+DH46+DJ46+DL46+DN46+DP46+DR46+DT46+DV46+DX46+DZ46+EB46+ED46+EF46+EH46+EJ46+EL46+EN46+EP46+ER46+ET46+EV46+FN46+FP46+FR46+FT46+FV46+FX46+FZ46+GB46+GD46+GF46+GH46+GJ46+GL46+GN46+GP46+GR46+GT46+GV46+GX46+GZ46+HB46+HD46+HF46+HH46+HJ46+HL46+HN46+HP46+HR46+HT46+HV46+HX46+HZ46+IB46+ID46+IF46+IH46+IJ46+IL46+IN46+IP46+IR46+IT46+IV46+IX46+IZ46+JB46+JD46+JF46+JH46+JJ46+JL46+JZ46+CJ46+CL46+CN46+CP46+CR46+CT46+CV46+CX46+EX46+EZ46+FB46+FD46+FF46+FH46+FJ46+FL46</f>
        <v/>
      </c>
      <c r="KC46" s="66">
        <f>I46+K46+M46+O46+Q46+S46+U46+W46+Y46+AA46+AC46+AE46+AG46+AI46+AK46+AM46+AO46+AQ46+AS46+AU46+AW46+AY46+BA46+BC46+BE46+BG46+BI46+BK46+BM46+BO46+BQ46+BS46+BU46+BW46+BY46+CA46+CC46+CE46+CG46+CI46+DA46+DC46+DE46+DG46+DI46+DK46+DM46+DO46+DQ46+DS46+DU46+DW46+DY46+EA46+EC46+EE46+EG46+EI46+EK46+EM46+EO46+EQ46+ES46+EU46+EW46+FO46+FS46+FU46+FW46+FQ46+FY46+GA46+GC46+GE46+GG46+GI46+GK46+GM46+GO46+GQ46+GS46+GU46+GW46+GY46+HA46+HC46+HE46+HG46+HI46+HK46+HM46+HO46+HQ46+HS46+HU46+HW46+HY46+IA46+IC46+IE46+IG46+II46+IK46+IM46+IO46+IQ46+IS46+IU46+IW46+IY46+JA46+JC46+JE46+JG46+JI46+JK46+JM46+KA46+CK46+CM46+CO46+CQ46+CS46+CU46+CW46+CY46+EY46+FA46+FC46+FE46+FG46+FI46+FK46+FM46</f>
        <v/>
      </c>
      <c r="KD46" s="44">
        <f>JO46+JQ46+JS46+JU46+JW46+JY46</f>
        <v/>
      </c>
      <c r="KE46" s="45">
        <f>KB46=E46</f>
        <v/>
      </c>
      <c r="KF46" s="101">
        <f>E46-KB46</f>
        <v/>
      </c>
      <c r="KG46" s="22" t="n"/>
    </row>
    <row r="47" ht="21.75" customFormat="1" customHeight="1" s="22">
      <c r="A47" s="126">
        <f>A46+1</f>
        <v/>
      </c>
      <c r="B47" s="192" t="inlineStr">
        <is>
          <t>Трикачев С.И.</t>
        </is>
      </c>
      <c r="C47" s="204" t="inlineStr">
        <is>
          <t>токарь</t>
        </is>
      </c>
      <c r="D47" s="206">
        <f>$D$5</f>
        <v/>
      </c>
      <c r="E47" s="207" t="n"/>
      <c r="F47" s="205" t="n">
        <v>107473.5</v>
      </c>
      <c r="G47" s="52">
        <f>F47/D47</f>
        <v/>
      </c>
      <c r="H47" s="125" t="n"/>
      <c r="I47" s="107">
        <f>H47*100/$E$47</f>
        <v/>
      </c>
      <c r="J47" s="108" t="n"/>
      <c r="K47" s="107">
        <f>J47*100/$E$47</f>
        <v/>
      </c>
      <c r="L47" s="108" t="n"/>
      <c r="M47" s="107">
        <f>L47*100/$E$47</f>
        <v/>
      </c>
      <c r="N47" s="108" t="n"/>
      <c r="O47" s="107">
        <f>N47*100/$E$47</f>
        <v/>
      </c>
      <c r="P47" s="108" t="n"/>
      <c r="Q47" s="122">
        <f>P47*100/$E$47</f>
        <v/>
      </c>
      <c r="R47" s="108" t="n"/>
      <c r="S47" s="122">
        <f>R47*100/$E$47</f>
        <v/>
      </c>
      <c r="T47" s="108" t="n"/>
      <c r="U47" s="107">
        <f>T47*100/$E$47</f>
        <v/>
      </c>
      <c r="V47" s="108" t="n"/>
      <c r="W47" s="107">
        <f>V47*100/$E$47</f>
        <v/>
      </c>
      <c r="X47" s="108" t="n"/>
      <c r="Y47" s="107">
        <f>X47*100/$E$47</f>
        <v/>
      </c>
      <c r="Z47" s="108" t="n"/>
      <c r="AA47" s="107">
        <f>Z47*100/$E$47</f>
        <v/>
      </c>
      <c r="AB47" s="108" t="n"/>
      <c r="AC47" s="107">
        <f>AB47*100/$E$47</f>
        <v/>
      </c>
      <c r="AD47" s="108" t="n"/>
      <c r="AE47" s="122">
        <f>AD47*100/$E$47</f>
        <v/>
      </c>
      <c r="AF47" s="108" t="n"/>
      <c r="AG47" s="122">
        <f>AF47*100/$E$47</f>
        <v/>
      </c>
      <c r="AH47" s="108" t="n"/>
      <c r="AI47" s="107">
        <f>AH47*100/$E$47</f>
        <v/>
      </c>
      <c r="AJ47" s="108" t="n"/>
      <c r="AK47" s="107">
        <f>AJ47*100/$E$47</f>
        <v/>
      </c>
      <c r="AL47" s="108" t="n"/>
      <c r="AM47" s="107">
        <f>AL47*100/$E$47</f>
        <v/>
      </c>
      <c r="AN47" s="108" t="n"/>
      <c r="AO47" s="107">
        <f>AN47*100/$E$47</f>
        <v/>
      </c>
      <c r="AP47" s="108" t="n"/>
      <c r="AQ47" s="107">
        <f>AP47*100/$E$47</f>
        <v/>
      </c>
      <c r="AR47" s="108" t="n"/>
      <c r="AS47" s="107">
        <f>AR47*100/$E$47</f>
        <v/>
      </c>
      <c r="AT47" s="108" t="n"/>
      <c r="AU47" s="90">
        <f>AT47*100/$E$47</f>
        <v/>
      </c>
      <c r="AV47" s="108" t="n"/>
      <c r="AW47" s="107">
        <f>AV47*100/$E$47</f>
        <v/>
      </c>
      <c r="AX47" s="108" t="n"/>
      <c r="AY47" s="107">
        <f>AX47*100/$E$47</f>
        <v/>
      </c>
      <c r="AZ47" s="108" t="n"/>
      <c r="BA47" s="107">
        <f>AZ47*100/$E$47</f>
        <v/>
      </c>
      <c r="BB47" s="108" t="n"/>
      <c r="BC47" s="107">
        <f>BB47*100/$E$47</f>
        <v/>
      </c>
      <c r="BD47" s="108" t="n"/>
      <c r="BE47" s="107">
        <f>BD47*100/$E$47</f>
        <v/>
      </c>
      <c r="BF47" s="108" t="n"/>
      <c r="BG47" s="107">
        <f>BF47*100/$E$47</f>
        <v/>
      </c>
      <c r="BH47" s="108" t="n"/>
      <c r="BI47" s="107">
        <f>BH47*100/$E$47</f>
        <v/>
      </c>
      <c r="BJ47" s="108" t="n"/>
      <c r="BK47" s="107">
        <f>BJ47*100/$E$47</f>
        <v/>
      </c>
      <c r="BL47" s="108" t="n"/>
      <c r="BM47" s="107">
        <f>BL47*100/$E$47</f>
        <v/>
      </c>
      <c r="BN47" s="108" t="n"/>
      <c r="BO47" s="107">
        <f>BN47*100/$E$47</f>
        <v/>
      </c>
      <c r="BP47" s="108" t="n"/>
      <c r="BQ47" s="107">
        <f>BP47*100/$E$47</f>
        <v/>
      </c>
      <c r="BR47" s="108" t="n"/>
      <c r="BS47" s="107">
        <f>BR47*100/$E$47</f>
        <v/>
      </c>
      <c r="BT47" s="108" t="n"/>
      <c r="BU47" s="107">
        <f>BT47*100/$E$47</f>
        <v/>
      </c>
      <c r="BV47" s="108" t="n"/>
      <c r="BW47" s="107">
        <f>BV47*100/$E$47</f>
        <v/>
      </c>
      <c r="BX47" s="108" t="n"/>
      <c r="BY47" s="107">
        <f>BX47*100/$E$47</f>
        <v/>
      </c>
      <c r="BZ47" s="108" t="n"/>
      <c r="CA47" s="107">
        <f>BZ47*100/$E$47</f>
        <v/>
      </c>
      <c r="CB47" s="108" t="n"/>
      <c r="CC47" s="107">
        <f>CB47*100/$E$47</f>
        <v/>
      </c>
      <c r="CD47" s="108" t="n"/>
      <c r="CE47" s="107">
        <f>CD47*100/$E$47</f>
        <v/>
      </c>
      <c r="CF47" s="108" t="n"/>
      <c r="CG47" s="107">
        <f>CF47*100/$E$47</f>
        <v/>
      </c>
      <c r="CH47" s="108" t="n"/>
      <c r="CI47" s="107">
        <f>CH47*100/$E$47</f>
        <v/>
      </c>
      <c r="CJ47" s="108" t="n"/>
      <c r="CK47" s="107">
        <f>CJ47*100/$E$47</f>
        <v/>
      </c>
      <c r="CL47" s="108" t="n"/>
      <c r="CM47" s="107">
        <f>CL47*100/$E$47</f>
        <v/>
      </c>
      <c r="CN47" s="108" t="n"/>
      <c r="CO47" s="122">
        <f>CN47*100/$E$47</f>
        <v/>
      </c>
      <c r="CP47" s="108" t="n"/>
      <c r="CQ47" s="107">
        <f>CP47*100/$E$47</f>
        <v/>
      </c>
      <c r="CR47" s="108" t="n"/>
      <c r="CS47" s="122">
        <f>CR47*100/$E$47</f>
        <v/>
      </c>
      <c r="CT47" s="108" t="n"/>
      <c r="CU47" s="122">
        <f>CT47*100/$E$47</f>
        <v/>
      </c>
      <c r="CV47" s="108" t="n"/>
      <c r="CW47" s="122">
        <f>CV47*100/$E$47</f>
        <v/>
      </c>
      <c r="CX47" s="108" t="n"/>
      <c r="CY47" s="122">
        <f>CX47*100/$E$47</f>
        <v/>
      </c>
      <c r="CZ47" s="108" t="n"/>
      <c r="DA47" s="122">
        <f>CZ47*100/$E$47</f>
        <v/>
      </c>
      <c r="DB47" s="108" t="n"/>
      <c r="DC47" s="122">
        <f>DB47*100/$E$47</f>
        <v/>
      </c>
      <c r="DD47" s="108" t="n"/>
      <c r="DE47" s="122">
        <f>DD47*100/$E$47</f>
        <v/>
      </c>
      <c r="DF47" s="108" t="n"/>
      <c r="DG47" s="122">
        <f>DF47*100/$E$47</f>
        <v/>
      </c>
      <c r="DH47" s="108" t="n"/>
      <c r="DI47" s="122">
        <f>DH47*100/$E$47</f>
        <v/>
      </c>
      <c r="DJ47" s="108" t="n"/>
      <c r="DK47" s="122">
        <f>DJ47*100/$E$47</f>
        <v/>
      </c>
      <c r="DL47" s="108" t="n"/>
      <c r="DM47" s="122">
        <f>DL47*100/$E$47</f>
        <v/>
      </c>
      <c r="DN47" s="108" t="n"/>
      <c r="DO47" s="122">
        <f>DN47*100/$E$47</f>
        <v/>
      </c>
      <c r="DP47" s="108" t="n"/>
      <c r="DQ47" s="122">
        <f>DP47*100/$E$47</f>
        <v/>
      </c>
      <c r="DR47" s="108" t="n"/>
      <c r="DS47" s="122">
        <f>DR47*100/$E$47</f>
        <v/>
      </c>
      <c r="DT47" s="108" t="n"/>
      <c r="DU47" s="122">
        <f>DT47*100/$E$47</f>
        <v/>
      </c>
      <c r="DV47" s="108" t="n"/>
      <c r="DW47" s="122">
        <f>DV47*100/$E$47</f>
        <v/>
      </c>
      <c r="DX47" s="108" t="n"/>
      <c r="DY47" s="122">
        <f>DX47*100/$E$47</f>
        <v/>
      </c>
      <c r="DZ47" s="108" t="n"/>
      <c r="EA47" s="122">
        <f>DZ47*100/$E$47</f>
        <v/>
      </c>
      <c r="EB47" s="108" t="n"/>
      <c r="EC47" s="122">
        <f>EB47*100/$E$47</f>
        <v/>
      </c>
      <c r="ED47" s="108" t="n"/>
      <c r="EE47" s="122">
        <f>ED47*100/$E$47</f>
        <v/>
      </c>
      <c r="EF47" s="108" t="n"/>
      <c r="EG47" s="122">
        <f>EF47*100/$E$47</f>
        <v/>
      </c>
      <c r="EH47" s="108" t="n"/>
      <c r="EI47" s="122">
        <f>EH47*100/$E$47</f>
        <v/>
      </c>
      <c r="EJ47" s="108" t="n"/>
      <c r="EK47" s="122">
        <f>EJ47*100/$E$47</f>
        <v/>
      </c>
      <c r="EL47" s="108" t="n"/>
      <c r="EM47" s="122">
        <f>EL47*100/$E$47</f>
        <v/>
      </c>
      <c r="EN47" s="108" t="n"/>
      <c r="EO47" s="122">
        <f>EN47*100/$E$47</f>
        <v/>
      </c>
      <c r="EP47" s="108" t="n"/>
      <c r="EQ47" s="122">
        <f>EP47*100/$E$47</f>
        <v/>
      </c>
      <c r="ER47" s="108" t="n"/>
      <c r="ES47" s="122">
        <f>ER47*100/$E$47</f>
        <v/>
      </c>
      <c r="ET47" s="108" t="n"/>
      <c r="EU47" s="122">
        <f>ET47*100/$E$47</f>
        <v/>
      </c>
      <c r="EV47" s="108" t="n"/>
      <c r="EW47" s="122">
        <f>EV47*100/$E$47</f>
        <v/>
      </c>
      <c r="EX47" s="108" t="n"/>
      <c r="EY47" s="122">
        <f>EX47*100/$E$47</f>
        <v/>
      </c>
      <c r="EZ47" s="108" t="n"/>
      <c r="FA47" s="122">
        <f>EZ47*100/$E$47</f>
        <v/>
      </c>
      <c r="FB47" s="108" t="n"/>
      <c r="FC47" s="122">
        <f>FB47*100/$E$47</f>
        <v/>
      </c>
      <c r="FD47" s="108" t="n"/>
      <c r="FE47" s="122">
        <f>FD47*100/$E$47</f>
        <v/>
      </c>
      <c r="FF47" s="108" t="n"/>
      <c r="FG47" s="122">
        <f>FF47*100/$E$47</f>
        <v/>
      </c>
      <c r="FH47" s="108" t="n"/>
      <c r="FI47" s="122">
        <f>FH47*100/$E$47</f>
        <v/>
      </c>
      <c r="FJ47" s="108" t="n"/>
      <c r="FK47" s="122">
        <f>FJ47*100/$E$47</f>
        <v/>
      </c>
      <c r="FL47" s="108" t="n"/>
      <c r="FM47" s="122">
        <f>FL47*100/$E$47</f>
        <v/>
      </c>
      <c r="FN47" s="108" t="n"/>
      <c r="FO47" s="122">
        <f>FN47*100/$E$47</f>
        <v/>
      </c>
      <c r="FP47" s="108" t="n"/>
      <c r="FQ47" s="122">
        <f>FP47*100/$E$47</f>
        <v/>
      </c>
      <c r="FR47" s="108" t="n"/>
      <c r="FS47" s="122">
        <f>FR47*100/$E$47</f>
        <v/>
      </c>
      <c r="FT47" s="108" t="n"/>
      <c r="FU47" s="122">
        <f>FT47*100/$E$47</f>
        <v/>
      </c>
      <c r="FV47" s="108" t="n"/>
      <c r="FW47" s="122">
        <f>FV47*100/$E$47</f>
        <v/>
      </c>
      <c r="FX47" s="108" t="n"/>
      <c r="FY47" s="107">
        <f>FX47*100/$E$47</f>
        <v/>
      </c>
      <c r="FZ47" s="108" t="n"/>
      <c r="GA47" s="107">
        <f>FZ47*100/$E$47</f>
        <v/>
      </c>
      <c r="GB47" s="108" t="n"/>
      <c r="GC47" s="107">
        <f>GB47*100/$E$47</f>
        <v/>
      </c>
      <c r="GD47" s="108" t="n"/>
      <c r="GE47" s="107">
        <f>GD47*100/$E$47</f>
        <v/>
      </c>
      <c r="GF47" s="108" t="n"/>
      <c r="GG47" s="107">
        <f>GF47*100/$E$47</f>
        <v/>
      </c>
      <c r="GH47" s="108" t="n"/>
      <c r="GI47" s="107">
        <f>GH47*100/$E$47</f>
        <v/>
      </c>
      <c r="GJ47" s="108" t="n"/>
      <c r="GK47" s="122">
        <f>GJ47*100/$E$47</f>
        <v/>
      </c>
      <c r="GL47" s="108" t="n"/>
      <c r="GM47" s="107">
        <f>GL47*100/$E$47</f>
        <v/>
      </c>
      <c r="GN47" s="108" t="n"/>
      <c r="GO47" s="122">
        <f>GN47*100/$E$47</f>
        <v/>
      </c>
      <c r="GP47" s="108" t="n"/>
      <c r="GQ47" s="107">
        <f>GP47*100/$E$47</f>
        <v/>
      </c>
      <c r="GR47" s="108" t="n"/>
      <c r="GS47" s="122">
        <f>GR47*100/$E$47</f>
        <v/>
      </c>
      <c r="GT47" s="108" t="n"/>
      <c r="GU47" s="122">
        <f>GT47*100/$E$47</f>
        <v/>
      </c>
      <c r="GV47" s="108" t="n"/>
      <c r="GW47" s="122">
        <f>GV47*100/$E$47</f>
        <v/>
      </c>
      <c r="GX47" s="108" t="n"/>
      <c r="GY47" s="107">
        <f>GX47*100/$E$47</f>
        <v/>
      </c>
      <c r="GZ47" s="108" t="n"/>
      <c r="HA47" s="107">
        <f>GZ47*100/$E$47</f>
        <v/>
      </c>
      <c r="HB47" s="108" t="n"/>
      <c r="HC47" s="107">
        <f>HB47*100/$E$47</f>
        <v/>
      </c>
      <c r="HD47" s="108" t="n"/>
      <c r="HE47" s="107">
        <f>HD47*100/$E$47</f>
        <v/>
      </c>
      <c r="HF47" s="108" t="n"/>
      <c r="HG47" s="107">
        <f>HF47*100/$E$47</f>
        <v/>
      </c>
      <c r="HH47" s="108" t="n"/>
      <c r="HI47" s="107">
        <f>HH47*100/$E$47</f>
        <v/>
      </c>
      <c r="HJ47" s="108" t="n"/>
      <c r="HK47" s="107">
        <f>HJ47*100/$E$47</f>
        <v/>
      </c>
      <c r="HL47" s="108" t="n"/>
      <c r="HM47" s="107">
        <f>HL47*100/$E$47</f>
        <v/>
      </c>
      <c r="HN47" s="108" t="n"/>
      <c r="HO47" s="107">
        <f>HN47*100/$E$47</f>
        <v/>
      </c>
      <c r="HP47" s="108" t="n"/>
      <c r="HQ47" s="107">
        <f>HP47*100/$E$47</f>
        <v/>
      </c>
      <c r="HR47" s="108" t="n"/>
      <c r="HS47" s="107">
        <f>HR47*100/$E$47</f>
        <v/>
      </c>
      <c r="HT47" s="108" t="n"/>
      <c r="HU47" s="107">
        <f>HT47*100/$E$47</f>
        <v/>
      </c>
      <c r="HV47" s="108" t="n"/>
      <c r="HW47" s="107">
        <f>HV47*100/$E$47</f>
        <v/>
      </c>
      <c r="HX47" s="108" t="n"/>
      <c r="HY47" s="107">
        <f>HX47*100/$E$47</f>
        <v/>
      </c>
      <c r="HZ47" s="108" t="n"/>
      <c r="IA47" s="122">
        <f>HZ47*100/$E$47</f>
        <v/>
      </c>
      <c r="IB47" s="108" t="n"/>
      <c r="IC47" s="122">
        <f>IB47*100/$E$47</f>
        <v/>
      </c>
      <c r="ID47" s="108" t="n"/>
      <c r="IE47" s="122">
        <f>ID47*100/$E$47</f>
        <v/>
      </c>
      <c r="IF47" s="108" t="n"/>
      <c r="IG47" s="122">
        <f>IF47*100/$E$47</f>
        <v/>
      </c>
      <c r="IH47" s="108" t="n"/>
      <c r="II47" s="122">
        <f>IH47*100/$E$47</f>
        <v/>
      </c>
      <c r="IJ47" s="108" t="n"/>
      <c r="IK47" s="122">
        <f>IJ47*100/$E$47</f>
        <v/>
      </c>
      <c r="IL47" s="108" t="n"/>
      <c r="IM47" s="107">
        <f>IL47*100/$E$47</f>
        <v/>
      </c>
      <c r="IN47" s="108" t="n"/>
      <c r="IO47" s="107">
        <f>IN47*100/$E$47</f>
        <v/>
      </c>
      <c r="IP47" s="108" t="n"/>
      <c r="IQ47" s="122">
        <f>IP47*100/$E$47</f>
        <v/>
      </c>
      <c r="IR47" s="108" t="n"/>
      <c r="IS47" s="122">
        <f>IR47*100/$E$47</f>
        <v/>
      </c>
      <c r="IT47" s="108" t="n"/>
      <c r="IU47" s="122">
        <f>IT47*100/$E$47</f>
        <v/>
      </c>
      <c r="IV47" s="108" t="n"/>
      <c r="IW47" s="122">
        <f>IV47*100/$E$47</f>
        <v/>
      </c>
      <c r="IX47" s="108" t="n"/>
      <c r="IY47" s="122">
        <f>IX47*100/$E$47</f>
        <v/>
      </c>
      <c r="IZ47" s="108" t="n"/>
      <c r="JA47" s="122">
        <f>IZ47*100/$E$47</f>
        <v/>
      </c>
      <c r="JB47" s="108" t="n"/>
      <c r="JC47" s="122">
        <f>JB47*100/$E$47</f>
        <v/>
      </c>
      <c r="JD47" s="108" t="n"/>
      <c r="JE47" s="122">
        <f>JD47*100/$E$47</f>
        <v/>
      </c>
      <c r="JF47" s="108" t="n"/>
      <c r="JG47" s="122">
        <f>JF47*100/$E$47</f>
        <v/>
      </c>
      <c r="JH47" s="108" t="n"/>
      <c r="JI47" s="122">
        <f>JH47*100/$E$47</f>
        <v/>
      </c>
      <c r="JJ47" s="108" t="n"/>
      <c r="JK47" s="122">
        <f>JJ47*100/$E$47</f>
        <v/>
      </c>
      <c r="JL47" s="108" t="n"/>
      <c r="JM47" s="122">
        <f>JL47*100/$E$47</f>
        <v/>
      </c>
      <c r="JN47" s="108" t="n"/>
      <c r="JO47" s="121">
        <f>JN47*100/$E$47</f>
        <v/>
      </c>
      <c r="JP47" s="108" t="n"/>
      <c r="JQ47" s="121">
        <f>JP47*100/$E$47</f>
        <v/>
      </c>
      <c r="JR47" s="108" t="n"/>
      <c r="JS47" s="121">
        <f>JR47*100/$E$47</f>
        <v/>
      </c>
      <c r="JT47" s="108" t="n"/>
      <c r="JU47" s="121">
        <f>JT47*100/$E$47</f>
        <v/>
      </c>
      <c r="JV47" s="108" t="n"/>
      <c r="JW47" s="121">
        <f>JV47*100/$E$47</f>
        <v/>
      </c>
      <c r="JX47" s="108" t="n"/>
      <c r="JY47" s="121">
        <f>JX47*100/$E$47</f>
        <v/>
      </c>
      <c r="JZ47" s="55">
        <f>JN47+JP47+JR47+JT47+JV47+JX47</f>
        <v/>
      </c>
      <c r="KA47" s="53">
        <f>JO47+JQ47+JS47+JU47+JW47+JY47</f>
        <v/>
      </c>
      <c r="KB47" s="64">
        <f>H47+J47+L47+N47+P47+R47+T47+V47+X47+Z47+AB47+AD47+AF47+AH47+AJ47+AL47+AN47+AP47+AR47+AT47+AV47+AX47+AZ47+BB47+BD47+BF47+BH47+BJ47+BL47+BN47+BP47+BR47+BT47+BV47+BX47+BZ47+CB47+CD47+CF47+CH47+CZ47+DB47+DD47+DF47+DH47+DJ47+DL47+DN47+DP47+DR47+DT47+DV47+DX47+DZ47+EB47+ED47+EF47+EH47+EJ47+EL47+EN47+EP47+ER47+ET47+EV47+FN47+FP47+FR47+FT47+FV47+FX47+FZ47+GB47+GD47+GF47+GH47+GJ47+GL47+GN47+GP47+GR47+GT47+GV47+GX47+GZ47+HB47+HD47+HF47+HH47+HJ47+HL47+HN47+HP47+HR47+HT47+HV47+HX47+HZ47+IB47+ID47+IF47+IH47+IJ47+IL47+IN47+IP47+IR47+IT47+IV47+IX47+IZ47+JB47+JD47+JF47+JH47+JJ47+JL47+JZ47+CJ47+CL47+CN47+CP47+CR47+CT47+CV47+CX47+EX47+EZ47+FB47+FD47+FF47+FH47+FJ47+FL47</f>
        <v/>
      </c>
      <c r="KC47" s="66">
        <f>I47+K47+M47+O47+Q47+S47+U47+W47+Y47+AA47+AC47+AE47+AG47+AI47+AK47+AM47+AO47+AQ47+AS47+AU47+AW47+AY47+BA47+BC47+BE47+BG47+BI47+BK47+BM47+BO47+BQ47+BS47+BU47+BW47+BY47+CA47+CC47+CE47+CG47+CI47+DA47+DC47+DE47+DG47+DI47+DK47+DM47+DO47+DQ47+DS47+DU47+DW47+DY47+EA47+EC47+EE47+EG47+EI47+EK47+EM47+EO47+EQ47+ES47+EU47+EW47+FO47+FS47+FU47+FW47+FQ47+FY47+GA47+GC47+GE47+GG47+GI47+GK47+GM47+GO47+GQ47+GS47+GU47+GW47+GY47+HA47+HC47+HE47+HG47+HI47+HK47+HM47+HO47+HQ47+HS47+HU47+HW47+HY47+IA47+IC47+IE47+IG47+II47+IK47+IM47+IO47+IQ47+IS47+IU47+IW47+IY47+JA47+JC47+JE47+JG47+JI47+JK47+JM47+KA47+CK47+CM47+CO47+CQ47+CS47+CU47+CW47+CY47+EY47+FA47+FC47+FE47+FG47+FI47+FK47+FM47</f>
        <v/>
      </c>
      <c r="KD47" s="44">
        <f>JO47+JQ47+JS47+JU47+JW47+JY47</f>
        <v/>
      </c>
      <c r="KE47" s="45">
        <f>KB47=E47</f>
        <v/>
      </c>
      <c r="KF47" s="101">
        <f>E47-KB47</f>
        <v/>
      </c>
      <c r="KG47" s="11" t="n"/>
    </row>
    <row r="48" ht="21.75" customFormat="1" customHeight="1" s="26">
      <c r="A48" s="126">
        <f>A47+1</f>
        <v/>
      </c>
      <c r="B48" s="175" t="inlineStr">
        <is>
          <t>Федотов Е.А.</t>
        </is>
      </c>
      <c r="C48" s="176" t="inlineStr">
        <is>
          <t>термист</t>
        </is>
      </c>
      <c r="D48" s="177">
        <f>$D$5</f>
        <v/>
      </c>
      <c r="E48" s="202" t="n"/>
      <c r="F48" s="193" t="n">
        <v>68902.87</v>
      </c>
      <c r="G48" s="52">
        <f>F48/D48</f>
        <v/>
      </c>
      <c r="H48" s="125" t="n"/>
      <c r="I48" s="107">
        <f>H48*100/$E$48</f>
        <v/>
      </c>
      <c r="J48" s="108" t="n"/>
      <c r="K48" s="107">
        <f>J48*100/$E$48</f>
        <v/>
      </c>
      <c r="L48" s="108" t="n"/>
      <c r="M48" s="107">
        <f>L48*100/$E$48</f>
        <v/>
      </c>
      <c r="N48" s="108" t="n"/>
      <c r="O48" s="107">
        <f>N48*100/$E$48</f>
        <v/>
      </c>
      <c r="P48" s="108" t="n"/>
      <c r="Q48" s="122">
        <f>P48*100/$E$48</f>
        <v/>
      </c>
      <c r="R48" s="108" t="n"/>
      <c r="S48" s="122">
        <f>R48*100/$E$48</f>
        <v/>
      </c>
      <c r="T48" s="108" t="n"/>
      <c r="U48" s="107">
        <f>T48*100/$E$48</f>
        <v/>
      </c>
      <c r="V48" s="108" t="n"/>
      <c r="W48" s="107">
        <f>V48*100/$E$48</f>
        <v/>
      </c>
      <c r="X48" s="108" t="n"/>
      <c r="Y48" s="107">
        <f>X48*100/$E$48</f>
        <v/>
      </c>
      <c r="Z48" s="108" t="n"/>
      <c r="AA48" s="107">
        <f>Z48*100/$E$48</f>
        <v/>
      </c>
      <c r="AB48" s="108" t="n"/>
      <c r="AC48" s="107">
        <f>AB48*100/$E$48</f>
        <v/>
      </c>
      <c r="AD48" s="108" t="n"/>
      <c r="AE48" s="122">
        <f>AD48*100/$E$48</f>
        <v/>
      </c>
      <c r="AF48" s="108" t="n"/>
      <c r="AG48" s="122">
        <f>AF48*100/$E$48</f>
        <v/>
      </c>
      <c r="AH48" s="108" t="n"/>
      <c r="AI48" s="107">
        <f>AH48*100/$E$48</f>
        <v/>
      </c>
      <c r="AJ48" s="108" t="n"/>
      <c r="AK48" s="107">
        <f>AJ48*100/$E$48</f>
        <v/>
      </c>
      <c r="AL48" s="108" t="n"/>
      <c r="AM48" s="107">
        <f>AL48*100/$E$48</f>
        <v/>
      </c>
      <c r="AN48" s="108" t="n"/>
      <c r="AO48" s="107">
        <f>AN48*100/$E$48</f>
        <v/>
      </c>
      <c r="AP48" s="108" t="n"/>
      <c r="AQ48" s="107">
        <f>AP48*100/$E$48</f>
        <v/>
      </c>
      <c r="AR48" s="108" t="n"/>
      <c r="AS48" s="107">
        <f>AR48*100/$E$48</f>
        <v/>
      </c>
      <c r="AT48" s="108" t="n"/>
      <c r="AU48" s="90">
        <f>AT48*100/$E$48</f>
        <v/>
      </c>
      <c r="AV48" s="108" t="n"/>
      <c r="AW48" s="107">
        <f>AV48*100/$E$48</f>
        <v/>
      </c>
      <c r="AX48" s="108" t="n"/>
      <c r="AY48" s="107">
        <f>AX48*100/$E$48</f>
        <v/>
      </c>
      <c r="AZ48" s="108" t="n"/>
      <c r="BA48" s="107">
        <f>AZ48*100/$E$48</f>
        <v/>
      </c>
      <c r="BB48" s="108" t="n"/>
      <c r="BC48" s="107">
        <f>BB48*100/$E$48</f>
        <v/>
      </c>
      <c r="BD48" s="108" t="n"/>
      <c r="BE48" s="107">
        <f>BD48*100/$E$48</f>
        <v/>
      </c>
      <c r="BF48" s="108" t="n"/>
      <c r="BG48" s="107">
        <f>BF48*100/$E$48</f>
        <v/>
      </c>
      <c r="BH48" s="108" t="n"/>
      <c r="BI48" s="107">
        <f>BH48*100/$E$48</f>
        <v/>
      </c>
      <c r="BJ48" s="108" t="n"/>
      <c r="BK48" s="107">
        <f>BJ48*100/$E$48</f>
        <v/>
      </c>
      <c r="BL48" s="108" t="n"/>
      <c r="BM48" s="107">
        <f>BL48*100/$E$48</f>
        <v/>
      </c>
      <c r="BN48" s="108" t="n"/>
      <c r="BO48" s="107">
        <f>BN48*100/$E$48</f>
        <v/>
      </c>
      <c r="BP48" s="108" t="n"/>
      <c r="BQ48" s="107">
        <f>BP48*100/$E$48</f>
        <v/>
      </c>
      <c r="BR48" s="108" t="n"/>
      <c r="BS48" s="107">
        <f>BR48*100/$E$48</f>
        <v/>
      </c>
      <c r="BT48" s="108" t="n"/>
      <c r="BU48" s="107">
        <f>BT48*100/$E$48</f>
        <v/>
      </c>
      <c r="BV48" s="108" t="n"/>
      <c r="BW48" s="107">
        <f>BV48*100/$E$48</f>
        <v/>
      </c>
      <c r="BX48" s="108" t="n"/>
      <c r="BY48" s="107">
        <f>BX48*100/$E$48</f>
        <v/>
      </c>
      <c r="BZ48" s="108" t="n"/>
      <c r="CA48" s="107">
        <f>BZ48*100/$E$48</f>
        <v/>
      </c>
      <c r="CB48" s="108" t="n"/>
      <c r="CC48" s="107">
        <f>CB48*100/$E$48</f>
        <v/>
      </c>
      <c r="CD48" s="108" t="n"/>
      <c r="CE48" s="107">
        <f>CD48*100/$E$48</f>
        <v/>
      </c>
      <c r="CF48" s="108" t="n"/>
      <c r="CG48" s="107">
        <f>CF48*100/$E$48</f>
        <v/>
      </c>
      <c r="CH48" s="108" t="n"/>
      <c r="CI48" s="107">
        <f>CH48*100/$E$48</f>
        <v/>
      </c>
      <c r="CJ48" s="108" t="n"/>
      <c r="CK48" s="107">
        <f>CJ48*100/$E$48</f>
        <v/>
      </c>
      <c r="CL48" s="108" t="n"/>
      <c r="CM48" s="107">
        <f>CL48*100/$E$48</f>
        <v/>
      </c>
      <c r="CN48" s="108" t="n"/>
      <c r="CO48" s="122">
        <f>CN48*100/$E$48</f>
        <v/>
      </c>
      <c r="CP48" s="108" t="n"/>
      <c r="CQ48" s="107">
        <f>CP48*100/$E$48</f>
        <v/>
      </c>
      <c r="CR48" s="108" t="n"/>
      <c r="CS48" s="122">
        <f>CR48*100/$E$48</f>
        <v/>
      </c>
      <c r="CT48" s="108" t="n"/>
      <c r="CU48" s="122">
        <f>CT48*100/$E$48</f>
        <v/>
      </c>
      <c r="CV48" s="108" t="n"/>
      <c r="CW48" s="122">
        <f>CV48*100/$E$48</f>
        <v/>
      </c>
      <c r="CX48" s="108" t="n"/>
      <c r="CY48" s="122">
        <f>CX48*100/$E$48</f>
        <v/>
      </c>
      <c r="CZ48" s="108" t="n"/>
      <c r="DA48" s="122">
        <f>CZ48*100/$E$48</f>
        <v/>
      </c>
      <c r="DB48" s="108" t="n"/>
      <c r="DC48" s="122">
        <f>DB48*100/$E$48</f>
        <v/>
      </c>
      <c r="DD48" s="108" t="n"/>
      <c r="DE48" s="122">
        <f>DD48*100/$E$48</f>
        <v/>
      </c>
      <c r="DF48" s="108" t="n"/>
      <c r="DG48" s="122">
        <f>DF48*100/$E$48</f>
        <v/>
      </c>
      <c r="DH48" s="108" t="n"/>
      <c r="DI48" s="122">
        <f>DH48*100/$E$48</f>
        <v/>
      </c>
      <c r="DJ48" s="108" t="n"/>
      <c r="DK48" s="122">
        <f>DJ48*100/$E$48</f>
        <v/>
      </c>
      <c r="DL48" s="108" t="n"/>
      <c r="DM48" s="122">
        <f>DL48*100/$E$48</f>
        <v/>
      </c>
      <c r="DN48" s="108" t="n"/>
      <c r="DO48" s="122">
        <f>DN48*100/$E$48</f>
        <v/>
      </c>
      <c r="DP48" s="108" t="n"/>
      <c r="DQ48" s="122">
        <f>DP48*100/$E$48</f>
        <v/>
      </c>
      <c r="DR48" s="108" t="n"/>
      <c r="DS48" s="122">
        <f>DR48*100/$E$48</f>
        <v/>
      </c>
      <c r="DT48" s="108" t="n"/>
      <c r="DU48" s="122">
        <f>DT48*100/$E$48</f>
        <v/>
      </c>
      <c r="DV48" s="108" t="n"/>
      <c r="DW48" s="122">
        <f>DV48*100/$E$48</f>
        <v/>
      </c>
      <c r="DX48" s="108" t="n"/>
      <c r="DY48" s="122">
        <f>DX48*100/$E$48</f>
        <v/>
      </c>
      <c r="DZ48" s="108" t="n"/>
      <c r="EA48" s="122">
        <f>DZ48*100/$E$48</f>
        <v/>
      </c>
      <c r="EB48" s="108" t="n"/>
      <c r="EC48" s="122">
        <f>EB48*100/$E$48</f>
        <v/>
      </c>
      <c r="ED48" s="108" t="n"/>
      <c r="EE48" s="122">
        <f>ED48*100/$E$48</f>
        <v/>
      </c>
      <c r="EF48" s="108" t="n"/>
      <c r="EG48" s="122">
        <f>EF48*100/$E$48</f>
        <v/>
      </c>
      <c r="EH48" s="108" t="n"/>
      <c r="EI48" s="122">
        <f>EH48*100/$E$48</f>
        <v/>
      </c>
      <c r="EJ48" s="108" t="n"/>
      <c r="EK48" s="122">
        <f>EJ48*100/$E$48</f>
        <v/>
      </c>
      <c r="EL48" s="108" t="n"/>
      <c r="EM48" s="122">
        <f>EL48*100/$E$48</f>
        <v/>
      </c>
      <c r="EN48" s="108" t="n"/>
      <c r="EO48" s="122">
        <f>EN48*100/$E$48</f>
        <v/>
      </c>
      <c r="EP48" s="108" t="n"/>
      <c r="EQ48" s="122">
        <f>EP48*100/$E$48</f>
        <v/>
      </c>
      <c r="ER48" s="108" t="n"/>
      <c r="ES48" s="122">
        <f>ER48*100/$E$48</f>
        <v/>
      </c>
      <c r="ET48" s="108" t="n"/>
      <c r="EU48" s="122">
        <f>ET48*100/$E$48</f>
        <v/>
      </c>
      <c r="EV48" s="108" t="n"/>
      <c r="EW48" s="122">
        <f>EV48*100/$E$48</f>
        <v/>
      </c>
      <c r="EX48" s="108" t="n"/>
      <c r="EY48" s="122">
        <f>EX48*100/$E$48</f>
        <v/>
      </c>
      <c r="EZ48" s="108" t="n"/>
      <c r="FA48" s="122">
        <f>EZ48*100/$E$48</f>
        <v/>
      </c>
      <c r="FB48" s="108" t="n"/>
      <c r="FC48" s="122">
        <f>FB48*100/$E$48</f>
        <v/>
      </c>
      <c r="FD48" s="108" t="n"/>
      <c r="FE48" s="122">
        <f>FD48*100/$E$48</f>
        <v/>
      </c>
      <c r="FF48" s="108" t="n"/>
      <c r="FG48" s="122">
        <f>FF48*100/$E$48</f>
        <v/>
      </c>
      <c r="FH48" s="108" t="n"/>
      <c r="FI48" s="122">
        <f>FH48*100/$E$48</f>
        <v/>
      </c>
      <c r="FJ48" s="108" t="n"/>
      <c r="FK48" s="122">
        <f>FJ48*100/$E$48</f>
        <v/>
      </c>
      <c r="FL48" s="108" t="n"/>
      <c r="FM48" s="122">
        <f>FL48*100/$E$48</f>
        <v/>
      </c>
      <c r="FN48" s="108" t="n"/>
      <c r="FO48" s="122">
        <f>FN48*100/$E$48</f>
        <v/>
      </c>
      <c r="FP48" s="108" t="n"/>
      <c r="FQ48" s="122">
        <f>FP48*100/$E$48</f>
        <v/>
      </c>
      <c r="FR48" s="108" t="n"/>
      <c r="FS48" s="122">
        <f>FR48*100/$E$48</f>
        <v/>
      </c>
      <c r="FT48" s="108" t="n"/>
      <c r="FU48" s="122">
        <f>FT48*100/$E$48</f>
        <v/>
      </c>
      <c r="FV48" s="108" t="n"/>
      <c r="FW48" s="122">
        <f>FV48*100/$E$48</f>
        <v/>
      </c>
      <c r="FX48" s="108" t="n"/>
      <c r="FY48" s="107">
        <f>FX48*100/$E$48</f>
        <v/>
      </c>
      <c r="FZ48" s="108" t="n"/>
      <c r="GA48" s="107">
        <f>FZ48*100/$E$48</f>
        <v/>
      </c>
      <c r="GB48" s="108" t="n"/>
      <c r="GC48" s="107">
        <f>GB48*100/$E$48</f>
        <v/>
      </c>
      <c r="GD48" s="108" t="n"/>
      <c r="GE48" s="107">
        <f>GD48*100/$E$48</f>
        <v/>
      </c>
      <c r="GF48" s="108" t="n"/>
      <c r="GG48" s="107">
        <f>GF48*100/$E$48</f>
        <v/>
      </c>
      <c r="GH48" s="108" t="n"/>
      <c r="GI48" s="107">
        <f>GH48*100/$E$48</f>
        <v/>
      </c>
      <c r="GJ48" s="108" t="n"/>
      <c r="GK48" s="122">
        <f>GJ48*100/$E$48</f>
        <v/>
      </c>
      <c r="GL48" s="108" t="n"/>
      <c r="GM48" s="107">
        <f>GL48*100/$E$48</f>
        <v/>
      </c>
      <c r="GN48" s="108" t="n"/>
      <c r="GO48" s="122">
        <f>GN48*100/$E$48</f>
        <v/>
      </c>
      <c r="GP48" s="108" t="n"/>
      <c r="GQ48" s="107">
        <f>GP48*100/$E$48</f>
        <v/>
      </c>
      <c r="GR48" s="108" t="n"/>
      <c r="GS48" s="122">
        <f>GR48*100/$E$48</f>
        <v/>
      </c>
      <c r="GT48" s="108" t="n"/>
      <c r="GU48" s="122">
        <f>GT48*100/$E$48</f>
        <v/>
      </c>
      <c r="GV48" s="108" t="n"/>
      <c r="GW48" s="122">
        <f>GV48*100/$E$48</f>
        <v/>
      </c>
      <c r="GX48" s="108" t="n"/>
      <c r="GY48" s="107">
        <f>GX48*100/$E$48</f>
        <v/>
      </c>
      <c r="GZ48" s="108" t="n"/>
      <c r="HA48" s="107">
        <f>GZ48*100/$E$48</f>
        <v/>
      </c>
      <c r="HB48" s="108" t="n"/>
      <c r="HC48" s="107">
        <f>HB48*100/$E$48</f>
        <v/>
      </c>
      <c r="HD48" s="108" t="n"/>
      <c r="HE48" s="107">
        <f>HD48*100/$E$48</f>
        <v/>
      </c>
      <c r="HF48" s="108" t="n"/>
      <c r="HG48" s="107">
        <f>HF48*100/$E$48</f>
        <v/>
      </c>
      <c r="HH48" s="108" t="n"/>
      <c r="HI48" s="107">
        <f>HH48*100/$E$48</f>
        <v/>
      </c>
      <c r="HJ48" s="108" t="n"/>
      <c r="HK48" s="107">
        <f>HJ48*100/$E$48</f>
        <v/>
      </c>
      <c r="HL48" s="108" t="n"/>
      <c r="HM48" s="107">
        <f>HL48*100/$E$48</f>
        <v/>
      </c>
      <c r="HN48" s="108" t="n"/>
      <c r="HO48" s="107">
        <f>HN48*100/$E$48</f>
        <v/>
      </c>
      <c r="HP48" s="108" t="n"/>
      <c r="HQ48" s="107">
        <f>HP48*100/$E$48</f>
        <v/>
      </c>
      <c r="HR48" s="108" t="n"/>
      <c r="HS48" s="107">
        <f>HR48*100/$E$48</f>
        <v/>
      </c>
      <c r="HT48" s="108" t="n"/>
      <c r="HU48" s="107">
        <f>HT48*100/$E$48</f>
        <v/>
      </c>
      <c r="HV48" s="108" t="n"/>
      <c r="HW48" s="107">
        <f>HV48*100/$E$48</f>
        <v/>
      </c>
      <c r="HX48" s="108" t="n"/>
      <c r="HY48" s="107">
        <f>HX48*100/$E$48</f>
        <v/>
      </c>
      <c r="HZ48" s="108" t="n"/>
      <c r="IA48" s="122">
        <f>HZ48*100/$E$48</f>
        <v/>
      </c>
      <c r="IB48" s="108" t="n"/>
      <c r="IC48" s="122">
        <f>IB48*100/$E$48</f>
        <v/>
      </c>
      <c r="ID48" s="108" t="n"/>
      <c r="IE48" s="122">
        <f>ID48*100/$E$48</f>
        <v/>
      </c>
      <c r="IF48" s="108" t="n"/>
      <c r="IG48" s="122">
        <f>IF48*100/$E$48</f>
        <v/>
      </c>
      <c r="IH48" s="108" t="n"/>
      <c r="II48" s="122">
        <f>IH48*100/$E$48</f>
        <v/>
      </c>
      <c r="IJ48" s="108" t="n"/>
      <c r="IK48" s="122">
        <f>IJ48*100/$E$48</f>
        <v/>
      </c>
      <c r="IL48" s="108" t="n"/>
      <c r="IM48" s="107">
        <f>IL48*100/$E$48</f>
        <v/>
      </c>
      <c r="IN48" s="108" t="n"/>
      <c r="IO48" s="107">
        <f>IN48*100/$E$48</f>
        <v/>
      </c>
      <c r="IP48" s="108" t="n"/>
      <c r="IQ48" s="122">
        <f>IP48*100/$E$48</f>
        <v/>
      </c>
      <c r="IR48" s="108" t="n"/>
      <c r="IS48" s="122">
        <f>IR48*100/$E$48</f>
        <v/>
      </c>
      <c r="IT48" s="108" t="n"/>
      <c r="IU48" s="122">
        <f>IT48*100/$E$48</f>
        <v/>
      </c>
      <c r="IV48" s="108" t="n"/>
      <c r="IW48" s="122">
        <f>IV48*100/$E$48</f>
        <v/>
      </c>
      <c r="IX48" s="108" t="n"/>
      <c r="IY48" s="122">
        <f>IX48*100/$E$48</f>
        <v/>
      </c>
      <c r="IZ48" s="108" t="n"/>
      <c r="JA48" s="122">
        <f>IZ48*100/$E$48</f>
        <v/>
      </c>
      <c r="JB48" s="108" t="n"/>
      <c r="JC48" s="122">
        <f>JB48*100/$E$48</f>
        <v/>
      </c>
      <c r="JD48" s="108" t="n"/>
      <c r="JE48" s="122">
        <f>JD48*100/$E$48</f>
        <v/>
      </c>
      <c r="JF48" s="108" t="n"/>
      <c r="JG48" s="122">
        <f>JF48*100/$E$48</f>
        <v/>
      </c>
      <c r="JH48" s="108" t="n"/>
      <c r="JI48" s="122">
        <f>JH48*100/$E$48</f>
        <v/>
      </c>
      <c r="JJ48" s="108" t="n"/>
      <c r="JK48" s="122">
        <f>JJ48*100/$E$48</f>
        <v/>
      </c>
      <c r="JL48" s="108" t="n"/>
      <c r="JM48" s="122">
        <f>JL48*100/$E$48</f>
        <v/>
      </c>
      <c r="JN48" s="108" t="n"/>
      <c r="JO48" s="121">
        <f>JN48*100/$E$48</f>
        <v/>
      </c>
      <c r="JP48" s="108" t="n"/>
      <c r="JQ48" s="121">
        <f>JP48*100/$E$48</f>
        <v/>
      </c>
      <c r="JR48" s="108" t="n"/>
      <c r="JS48" s="121">
        <f>JR48*100/$E$48</f>
        <v/>
      </c>
      <c r="JT48" s="108" t="n"/>
      <c r="JU48" s="121">
        <f>JT48*100/$E$48</f>
        <v/>
      </c>
      <c r="JV48" s="108" t="n"/>
      <c r="JW48" s="121">
        <f>JV48*100/$E$48</f>
        <v/>
      </c>
      <c r="JX48" s="108" t="n"/>
      <c r="JY48" s="121">
        <f>JX48*100/$E$48</f>
        <v/>
      </c>
      <c r="JZ48" s="55">
        <f>JN48+JP48+JR48+JT48+JV48+JX48</f>
        <v/>
      </c>
      <c r="KA48" s="53">
        <f>JO48+JQ48+JS48+JU48+JW48+JY48</f>
        <v/>
      </c>
      <c r="KB48" s="64">
        <f>H48+J48+L48+N48+P48+R48+T48+V48+X48+Z48+AB48+AD48+AF48+AH48+AJ48+AL48+AN48+AP48+AR48+AT48+AV48+AX48+AZ48+BB48+BD48+BF48+BH48+BJ48+BL48+BN48+BP48+BR48+BT48+BV48+BX48+BZ48+CB48+CD48+CF48+CH48+CZ48+DB48+DD48+DF48+DH48+DJ48+DL48+DN48+DP48+DR48+DT48+DV48+DX48+DZ48+EB48+ED48+EF48+EH48+EJ48+EL48+EN48+EP48+ER48+ET48+EV48+FN48+FP48+FR48+FT48+FV48+FX48+FZ48+GB48+GD48+GF48+GH48+GJ48+GL48+GN48+GP48+GR48+GT48+GV48+GX48+GZ48+HB48+HD48+HF48+HH48+HJ48+HL48+HN48+HP48+HR48+HT48+HV48+HX48+HZ48+IB48+ID48+IF48+IH48+IJ48+IL48+IN48+IP48+IR48+IT48+IV48+IX48+IZ48+JB48+JD48+JF48+JH48+JJ48+JL48+JZ48+CJ48+CL48+CN48+CP48+CR48+CT48+CV48+CX48+EX48+EZ48+FB48+FD48+FF48+FH48+FJ48+FL48</f>
        <v/>
      </c>
      <c r="KC48" s="66">
        <f>I48+K48+M48+O48+Q48+S48+U48+W48+Y48+AA48+AC48+AE48+AG48+AI48+AK48+AM48+AO48+AQ48+AS48+AU48+AW48+AY48+BA48+BC48+BE48+BG48+BI48+BK48+BM48+BO48+BQ48+BS48+BU48+BW48+BY48+CA48+CC48+CE48+CG48+CI48+DA48+DC48+DE48+DG48+DI48+DK48+DM48+DO48+DQ48+DS48+DU48+DW48+DY48+EA48+EC48+EE48+EG48+EI48+EK48+EM48+EO48+EQ48+ES48+EU48+EW48+FO48+FS48+FU48+FW48+FQ48+FY48+GA48+GC48+GE48+GG48+GI48+GK48+GM48+GO48+GQ48+GS48+GU48+GW48+GY48+HA48+HC48+HE48+HG48+HI48+HK48+HM48+HO48+HQ48+HS48+HU48+HW48+HY48+IA48+IC48+IE48+IG48+II48+IK48+IM48+IO48+IQ48+IS48+IU48+IW48+IY48+JA48+JC48+JE48+JG48+JI48+JK48+JM48+KA48+CK48+CM48+CO48+CQ48+CS48+CU48+CW48+CY48+EY48+FA48+FC48+FE48+FG48+FI48+FK48+FM48</f>
        <v/>
      </c>
      <c r="KD48" s="44">
        <f>JO48+JQ48+JS48+JU48+JW48+JY48</f>
        <v/>
      </c>
      <c r="KE48" s="45">
        <f>KB48=E48</f>
        <v/>
      </c>
      <c r="KF48" s="101">
        <f>E48-KB48</f>
        <v/>
      </c>
      <c r="KG48" s="29" t="n"/>
    </row>
    <row r="49" ht="21.75" customFormat="1" customHeight="1" s="22">
      <c r="A49" s="126">
        <f>A48+1</f>
        <v/>
      </c>
      <c r="B49" s="175" t="inlineStr">
        <is>
          <t>Фещенко Д.М.</t>
        </is>
      </c>
      <c r="C49" s="176" t="inlineStr">
        <is>
          <t xml:space="preserve">Оператор СПУ </t>
        </is>
      </c>
      <c r="D49" s="177">
        <f>$D$5</f>
        <v/>
      </c>
      <c r="E49" s="202" t="n"/>
      <c r="F49" s="193" t="n">
        <v>101149.88</v>
      </c>
      <c r="G49" s="52">
        <f>F49/D49</f>
        <v/>
      </c>
      <c r="H49" s="125" t="n"/>
      <c r="I49" s="107">
        <f>H49*100/$E$49</f>
        <v/>
      </c>
      <c r="J49" s="108" t="n"/>
      <c r="K49" s="107">
        <f>J49*100/$E$49</f>
        <v/>
      </c>
      <c r="L49" s="108" t="n"/>
      <c r="M49" s="107">
        <f>L49*100/$E$49</f>
        <v/>
      </c>
      <c r="N49" s="108" t="n"/>
      <c r="O49" s="107">
        <f>N49*100/$E$49</f>
        <v/>
      </c>
      <c r="P49" s="108" t="n"/>
      <c r="Q49" s="122">
        <f>P49*100/$E$49</f>
        <v/>
      </c>
      <c r="R49" s="125" t="n"/>
      <c r="S49" s="122">
        <f>R49*100/$E$49</f>
        <v/>
      </c>
      <c r="T49" s="108" t="n"/>
      <c r="U49" s="107">
        <f>T49*100/$E$49</f>
        <v/>
      </c>
      <c r="V49" s="108" t="n"/>
      <c r="W49" s="107">
        <f>V49*100/$E$49</f>
        <v/>
      </c>
      <c r="X49" s="108" t="n"/>
      <c r="Y49" s="107">
        <f>X49*100/$E$49</f>
        <v/>
      </c>
      <c r="Z49" s="108" t="n"/>
      <c r="AA49" s="107">
        <f>Z49*100/$E$49</f>
        <v/>
      </c>
      <c r="AB49" s="108" t="n"/>
      <c r="AC49" s="107">
        <f>AB49*100/$E$49</f>
        <v/>
      </c>
      <c r="AD49" s="108" t="n"/>
      <c r="AE49" s="122">
        <f>AD49*100/$E$49</f>
        <v/>
      </c>
      <c r="AF49" s="108" t="n"/>
      <c r="AG49" s="122">
        <f>AF49*100/$E$49</f>
        <v/>
      </c>
      <c r="AH49" s="108" t="n"/>
      <c r="AI49" s="107">
        <f>AH49*100/$E$49</f>
        <v/>
      </c>
      <c r="AJ49" s="108" t="n"/>
      <c r="AK49" s="107">
        <f>AJ49*100/$E$49</f>
        <v/>
      </c>
      <c r="AL49" s="108" t="n"/>
      <c r="AM49" s="107">
        <f>AL49*100/$E$49</f>
        <v/>
      </c>
      <c r="AN49" s="108" t="n"/>
      <c r="AO49" s="107">
        <f>AN49*100/$E$49</f>
        <v/>
      </c>
      <c r="AP49" s="108" t="n"/>
      <c r="AQ49" s="107">
        <f>AP49*100/$E$49</f>
        <v/>
      </c>
      <c r="AR49" s="108" t="n"/>
      <c r="AS49" s="107">
        <f>AR49*100/$E$49</f>
        <v/>
      </c>
      <c r="AT49" s="108" t="n"/>
      <c r="AU49" s="90">
        <f>AT49*100/$E$49</f>
        <v/>
      </c>
      <c r="AV49" s="108" t="n"/>
      <c r="AW49" s="107">
        <f>AV49*100/$E$49</f>
        <v/>
      </c>
      <c r="AX49" s="108" t="n"/>
      <c r="AY49" s="107">
        <f>AX49*100/$E$49</f>
        <v/>
      </c>
      <c r="AZ49" s="108" t="n"/>
      <c r="BA49" s="107">
        <f>AZ49*100/$E$49</f>
        <v/>
      </c>
      <c r="BB49" s="108" t="n"/>
      <c r="BC49" s="107">
        <f>BB49*100/$E$49</f>
        <v/>
      </c>
      <c r="BD49" s="108" t="n"/>
      <c r="BE49" s="107">
        <f>BD49*100/$E$49</f>
        <v/>
      </c>
      <c r="BF49" s="108" t="n"/>
      <c r="BG49" s="107">
        <f>BF49*100/$E$49</f>
        <v/>
      </c>
      <c r="BH49" s="108" t="n"/>
      <c r="BI49" s="107">
        <f>BH49*100/$E$49</f>
        <v/>
      </c>
      <c r="BJ49" s="108" t="n"/>
      <c r="BK49" s="107">
        <f>BJ49*100/$E$49</f>
        <v/>
      </c>
      <c r="BL49" s="108" t="n"/>
      <c r="BM49" s="107">
        <f>BL49*100/$E$49</f>
        <v/>
      </c>
      <c r="BN49" s="108" t="n"/>
      <c r="BO49" s="107">
        <f>BN49*100/$E$49</f>
        <v/>
      </c>
      <c r="BP49" s="108" t="n"/>
      <c r="BQ49" s="107">
        <f>BP49*100/$E$49</f>
        <v/>
      </c>
      <c r="BR49" s="108" t="n"/>
      <c r="BS49" s="107">
        <f>BR49*100/$E$49</f>
        <v/>
      </c>
      <c r="BT49" s="108" t="n"/>
      <c r="BU49" s="107">
        <f>BT49*100/$E$49</f>
        <v/>
      </c>
      <c r="BV49" s="108" t="n"/>
      <c r="BW49" s="107">
        <f>BV49*100/$E$49</f>
        <v/>
      </c>
      <c r="BX49" s="108" t="n"/>
      <c r="BY49" s="107">
        <f>BX49*100/$E$49</f>
        <v/>
      </c>
      <c r="BZ49" s="108" t="n"/>
      <c r="CA49" s="107">
        <f>BZ49*100/$E$49</f>
        <v/>
      </c>
      <c r="CB49" s="108" t="n"/>
      <c r="CC49" s="107">
        <f>CB49*100/$E$49</f>
        <v/>
      </c>
      <c r="CD49" s="108" t="n"/>
      <c r="CE49" s="107">
        <f>CD49*100/$E$49</f>
        <v/>
      </c>
      <c r="CF49" s="108" t="n"/>
      <c r="CG49" s="107">
        <f>CF49*100/$E$49</f>
        <v/>
      </c>
      <c r="CH49" s="108" t="n"/>
      <c r="CI49" s="107">
        <f>CH49*100/$E$49</f>
        <v/>
      </c>
      <c r="CJ49" s="108" t="n"/>
      <c r="CK49" s="107">
        <f>CJ49*100/$E$49</f>
        <v/>
      </c>
      <c r="CL49" s="108" t="n"/>
      <c r="CM49" s="107">
        <f>CL49*100/$E$49</f>
        <v/>
      </c>
      <c r="CN49" s="108" t="n"/>
      <c r="CO49" s="122">
        <f>CN49*100/$E$49</f>
        <v/>
      </c>
      <c r="CP49" s="108" t="n"/>
      <c r="CQ49" s="107">
        <f>CP49*100/$E$49</f>
        <v/>
      </c>
      <c r="CR49" s="108" t="n"/>
      <c r="CS49" s="122">
        <f>CR49*100/$E$49</f>
        <v/>
      </c>
      <c r="CT49" s="108" t="n"/>
      <c r="CU49" s="122">
        <f>CT49*100/$E$49</f>
        <v/>
      </c>
      <c r="CV49" s="108" t="n"/>
      <c r="CW49" s="122">
        <f>CV49*100/$E$49</f>
        <v/>
      </c>
      <c r="CX49" s="108" t="n"/>
      <c r="CY49" s="122">
        <f>CX49*100/$E$49</f>
        <v/>
      </c>
      <c r="CZ49" s="108" t="n"/>
      <c r="DA49" s="122">
        <f>CZ49*100/$E$49</f>
        <v/>
      </c>
      <c r="DB49" s="108" t="n"/>
      <c r="DC49" s="122">
        <f>DB49*100/$E$49</f>
        <v/>
      </c>
      <c r="DD49" s="108" t="n"/>
      <c r="DE49" s="122">
        <f>DD49*100/$E$49</f>
        <v/>
      </c>
      <c r="DF49" s="108" t="n"/>
      <c r="DG49" s="122">
        <f>DF49*100/$E$49</f>
        <v/>
      </c>
      <c r="DH49" s="108" t="n"/>
      <c r="DI49" s="122">
        <f>DH49*100/$E$49</f>
        <v/>
      </c>
      <c r="DJ49" s="108" t="n"/>
      <c r="DK49" s="122">
        <f>DJ49*100/$E$49</f>
        <v/>
      </c>
      <c r="DL49" s="108" t="n"/>
      <c r="DM49" s="122">
        <f>DL49*100/$E$49</f>
        <v/>
      </c>
      <c r="DN49" s="108" t="n"/>
      <c r="DO49" s="122">
        <f>DN49*100/$E$49</f>
        <v/>
      </c>
      <c r="DP49" s="108" t="n"/>
      <c r="DQ49" s="122">
        <f>DP49*100/$E$49</f>
        <v/>
      </c>
      <c r="DR49" s="108" t="n"/>
      <c r="DS49" s="122">
        <f>DR49*100/$E$49</f>
        <v/>
      </c>
      <c r="DT49" s="108" t="n"/>
      <c r="DU49" s="122">
        <f>DT49*100/$E$49</f>
        <v/>
      </c>
      <c r="DV49" s="108" t="n"/>
      <c r="DW49" s="122">
        <f>DV49*100/$E$49</f>
        <v/>
      </c>
      <c r="DX49" s="108" t="n"/>
      <c r="DY49" s="122">
        <f>DX49*100/$E$49</f>
        <v/>
      </c>
      <c r="DZ49" s="108" t="n"/>
      <c r="EA49" s="122">
        <f>DZ49*100/$E$49</f>
        <v/>
      </c>
      <c r="EB49" s="108" t="n"/>
      <c r="EC49" s="122">
        <f>EB49*100/$E$49</f>
        <v/>
      </c>
      <c r="ED49" s="108" t="n"/>
      <c r="EE49" s="122">
        <f>ED49*100/$E$49</f>
        <v/>
      </c>
      <c r="EF49" s="108" t="n"/>
      <c r="EG49" s="122">
        <f>EF49*100/$E$49</f>
        <v/>
      </c>
      <c r="EH49" s="108" t="n"/>
      <c r="EI49" s="122">
        <f>EH49*100/$E$49</f>
        <v/>
      </c>
      <c r="EJ49" s="108" t="n"/>
      <c r="EK49" s="122">
        <f>EJ49*100/$E$49</f>
        <v/>
      </c>
      <c r="EL49" s="108" t="n"/>
      <c r="EM49" s="122">
        <f>EL49*100/$E$49</f>
        <v/>
      </c>
      <c r="EN49" s="108" t="n"/>
      <c r="EO49" s="122">
        <f>EN49*100/$E$49</f>
        <v/>
      </c>
      <c r="EP49" s="108" t="n"/>
      <c r="EQ49" s="122">
        <f>EP49*100/$E$49</f>
        <v/>
      </c>
      <c r="ER49" s="108" t="n"/>
      <c r="ES49" s="122">
        <f>ER49*100/$E$49</f>
        <v/>
      </c>
      <c r="ET49" s="108" t="n"/>
      <c r="EU49" s="122">
        <f>ET49*100/$E$49</f>
        <v/>
      </c>
      <c r="EV49" s="108" t="n"/>
      <c r="EW49" s="122">
        <f>EV49*100/$E$49</f>
        <v/>
      </c>
      <c r="EX49" s="108" t="n"/>
      <c r="EY49" s="122">
        <f>EX49*100/$E$49</f>
        <v/>
      </c>
      <c r="EZ49" s="108" t="n"/>
      <c r="FA49" s="122">
        <f>EZ49*100/$E$49</f>
        <v/>
      </c>
      <c r="FB49" s="108" t="n"/>
      <c r="FC49" s="122">
        <f>FB49*100/$E$49</f>
        <v/>
      </c>
      <c r="FD49" s="108" t="n"/>
      <c r="FE49" s="122">
        <f>FD49*100/$E$49</f>
        <v/>
      </c>
      <c r="FF49" s="108" t="n"/>
      <c r="FG49" s="122">
        <f>FF49*100/$E$49</f>
        <v/>
      </c>
      <c r="FH49" s="108" t="n"/>
      <c r="FI49" s="122">
        <f>FH49*100/$E$49</f>
        <v/>
      </c>
      <c r="FJ49" s="108" t="n"/>
      <c r="FK49" s="122">
        <f>FJ49*100/$E$49</f>
        <v/>
      </c>
      <c r="FL49" s="108" t="n"/>
      <c r="FM49" s="122">
        <f>FL49*100/$E$49</f>
        <v/>
      </c>
      <c r="FN49" s="108" t="n"/>
      <c r="FO49" s="122">
        <f>FN49*100/$E$49</f>
        <v/>
      </c>
      <c r="FP49" s="108" t="n"/>
      <c r="FQ49" s="122">
        <f>FP49*100/$E$49</f>
        <v/>
      </c>
      <c r="FR49" s="108" t="n"/>
      <c r="FS49" s="122">
        <f>FR49*100/$E$49</f>
        <v/>
      </c>
      <c r="FT49" s="108" t="n"/>
      <c r="FU49" s="122">
        <f>FT49*100/$E$49</f>
        <v/>
      </c>
      <c r="FV49" s="108" t="n"/>
      <c r="FW49" s="122">
        <f>FV49*100/$E$49</f>
        <v/>
      </c>
      <c r="FX49" s="108" t="n"/>
      <c r="FY49" s="107">
        <f>FX49*100/$E$49</f>
        <v/>
      </c>
      <c r="FZ49" s="108" t="n"/>
      <c r="GA49" s="107">
        <f>FZ49*100/$E$49</f>
        <v/>
      </c>
      <c r="GB49" s="108" t="n"/>
      <c r="GC49" s="107">
        <f>GB49*100/$E$49</f>
        <v/>
      </c>
      <c r="GD49" s="108" t="n"/>
      <c r="GE49" s="107">
        <f>GD49*100/$E$49</f>
        <v/>
      </c>
      <c r="GF49" s="108" t="n"/>
      <c r="GG49" s="107">
        <f>GF49*100/$E$49</f>
        <v/>
      </c>
      <c r="GH49" s="108" t="n"/>
      <c r="GI49" s="107">
        <f>GH49*100/$E$49</f>
        <v/>
      </c>
      <c r="GJ49" s="108" t="n"/>
      <c r="GK49" s="122">
        <f>GJ49*100/$E$49</f>
        <v/>
      </c>
      <c r="GL49" s="108" t="n"/>
      <c r="GM49" s="107">
        <f>GL49*100/$E$49</f>
        <v/>
      </c>
      <c r="GN49" s="108" t="n"/>
      <c r="GO49" s="122">
        <f>GN49*100/$E$49</f>
        <v/>
      </c>
      <c r="GP49" s="108" t="n"/>
      <c r="GQ49" s="107">
        <f>GP49*100/$E$49</f>
        <v/>
      </c>
      <c r="GR49" s="108" t="n"/>
      <c r="GS49" s="122">
        <f>GR49*100/$E$49</f>
        <v/>
      </c>
      <c r="GT49" s="108" t="n"/>
      <c r="GU49" s="122">
        <f>GT49*100/$E$49</f>
        <v/>
      </c>
      <c r="GV49" s="108" t="n"/>
      <c r="GW49" s="122">
        <f>GV49*100/$E$49</f>
        <v/>
      </c>
      <c r="GX49" s="108" t="n"/>
      <c r="GY49" s="107">
        <f>GX49*100/$E$49</f>
        <v/>
      </c>
      <c r="GZ49" s="108" t="n"/>
      <c r="HA49" s="107">
        <f>GZ49*100/$E$49</f>
        <v/>
      </c>
      <c r="HB49" s="108" t="n"/>
      <c r="HC49" s="107">
        <f>HB49*100/$E$49</f>
        <v/>
      </c>
      <c r="HD49" s="108" t="n"/>
      <c r="HE49" s="107">
        <f>HD49*100/$E$49</f>
        <v/>
      </c>
      <c r="HF49" s="108" t="n"/>
      <c r="HG49" s="107">
        <f>HF49*100/$E$49</f>
        <v/>
      </c>
      <c r="HH49" s="108" t="n"/>
      <c r="HI49" s="107">
        <f>HH49*100/$E$49</f>
        <v/>
      </c>
      <c r="HJ49" s="108" t="n"/>
      <c r="HK49" s="107">
        <f>HJ49*100/$E$49</f>
        <v/>
      </c>
      <c r="HL49" s="108" t="n"/>
      <c r="HM49" s="107">
        <f>HL49*100/$E$49</f>
        <v/>
      </c>
      <c r="HN49" s="108" t="n"/>
      <c r="HO49" s="107">
        <f>HN49*100/$E$49</f>
        <v/>
      </c>
      <c r="HP49" s="108" t="n"/>
      <c r="HQ49" s="107">
        <f>HP49*100/$E$49</f>
        <v/>
      </c>
      <c r="HR49" s="108" t="n"/>
      <c r="HS49" s="107">
        <f>HR49*100/$E$49</f>
        <v/>
      </c>
      <c r="HT49" s="108" t="n"/>
      <c r="HU49" s="107">
        <f>HT49*100/$E$49</f>
        <v/>
      </c>
      <c r="HV49" s="108" t="n"/>
      <c r="HW49" s="107">
        <f>HV49*100/$E$49</f>
        <v/>
      </c>
      <c r="HX49" s="108" t="n"/>
      <c r="HY49" s="107">
        <f>HX49*100/$E$49</f>
        <v/>
      </c>
      <c r="HZ49" s="108" t="n"/>
      <c r="IA49" s="122">
        <f>HZ49*100/$E$49</f>
        <v/>
      </c>
      <c r="IB49" s="108" t="n"/>
      <c r="IC49" s="122">
        <f>IB49*100/$E$49</f>
        <v/>
      </c>
      <c r="ID49" s="108" t="n"/>
      <c r="IE49" s="122">
        <f>ID49*100/$E$49</f>
        <v/>
      </c>
      <c r="IF49" s="108" t="n"/>
      <c r="IG49" s="122">
        <f>IF49*100/$E$49</f>
        <v/>
      </c>
      <c r="IH49" s="108" t="n"/>
      <c r="II49" s="122">
        <f>IH49*100/$E$49</f>
        <v/>
      </c>
      <c r="IJ49" s="108" t="n"/>
      <c r="IK49" s="122">
        <f>IJ49*100/$E$49</f>
        <v/>
      </c>
      <c r="IL49" s="108" t="n"/>
      <c r="IM49" s="107">
        <f>IL49*100/$E$49</f>
        <v/>
      </c>
      <c r="IN49" s="108" t="n"/>
      <c r="IO49" s="107">
        <f>IN49*100/$E$49</f>
        <v/>
      </c>
      <c r="IP49" s="108" t="n"/>
      <c r="IQ49" s="122">
        <f>IP49*100/$E$49</f>
        <v/>
      </c>
      <c r="IR49" s="108" t="n"/>
      <c r="IS49" s="122">
        <f>IR49*100/$E$49</f>
        <v/>
      </c>
      <c r="IT49" s="108" t="n"/>
      <c r="IU49" s="122">
        <f>IT49*100/$E$49</f>
        <v/>
      </c>
      <c r="IV49" s="108" t="n"/>
      <c r="IW49" s="122">
        <f>IV49*100/$E$49</f>
        <v/>
      </c>
      <c r="IX49" s="108" t="n"/>
      <c r="IY49" s="122">
        <f>IX49*100/$E$49</f>
        <v/>
      </c>
      <c r="IZ49" s="108" t="n"/>
      <c r="JA49" s="122">
        <f>IZ49*100/$E$49</f>
        <v/>
      </c>
      <c r="JB49" s="108" t="n"/>
      <c r="JC49" s="122">
        <f>JB49*100/$E$49</f>
        <v/>
      </c>
      <c r="JD49" s="108" t="n"/>
      <c r="JE49" s="122">
        <f>JD49*100/$E$49</f>
        <v/>
      </c>
      <c r="JF49" s="108" t="n"/>
      <c r="JG49" s="122">
        <f>JF49*100/$E$49</f>
        <v/>
      </c>
      <c r="JH49" s="108" t="n"/>
      <c r="JI49" s="122">
        <f>JH49*100/$E$49</f>
        <v/>
      </c>
      <c r="JJ49" s="108" t="n"/>
      <c r="JK49" s="122">
        <f>JJ49*100/$E$49</f>
        <v/>
      </c>
      <c r="JL49" s="108" t="n"/>
      <c r="JM49" s="122">
        <f>JL49*100/$E$49</f>
        <v/>
      </c>
      <c r="JN49" s="108" t="n"/>
      <c r="JO49" s="121">
        <f>JN49*100/$E$49</f>
        <v/>
      </c>
      <c r="JP49" s="108" t="n"/>
      <c r="JQ49" s="121">
        <f>JP49*100/$E$49</f>
        <v/>
      </c>
      <c r="JR49" s="108" t="n"/>
      <c r="JS49" s="121">
        <f>JR49*100/$E$49</f>
        <v/>
      </c>
      <c r="JT49" s="108" t="n"/>
      <c r="JU49" s="121">
        <f>JT49*100/$E$49</f>
        <v/>
      </c>
      <c r="JV49" s="108" t="n"/>
      <c r="JW49" s="121">
        <f>JV49*100/$E$49</f>
        <v/>
      </c>
      <c r="JX49" s="108" t="n"/>
      <c r="JY49" s="121">
        <f>JX49*100/$E$49</f>
        <v/>
      </c>
      <c r="JZ49" s="55">
        <f>JN49+JP49+JR49+JT49+JV49+JX49</f>
        <v/>
      </c>
      <c r="KA49" s="53">
        <f>JO49+JQ49+JS49+JU49+JW49+JY49</f>
        <v/>
      </c>
      <c r="KB49" s="64">
        <f>H49+J49+L49+N49+P49+R49+T49+V49+X49+Z49+AB49+AD49+AF49+AH49+AJ49+AL49+AN49+AP49+AR49+AT49+AV49+AX49+AZ49+BB49+BD49+BF49+BH49+BJ49+BL49+BN49+BP49+BR49+BT49+BV49+BX49+BZ49+CB49+CD49+CF49+CH49+CZ49+DB49+DD49+DF49+DH49+DJ49+DL49+DN49+DP49+DR49+DT49+DV49+DX49+DZ49+EB49+ED49+EF49+EH49+EJ49+EL49+EN49+EP49+ER49+ET49+EV49+FN49+FP49+FR49+FT49+FV49+FX49+FZ49+GB49+GD49+GF49+GH49+GJ49+GL49+GN49+GP49+GR49+GT49+GV49+GX49+GZ49+HB49+HD49+HF49+HH49+HJ49+HL49+HN49+HP49+HR49+HT49+HV49+HX49+HZ49+IB49+ID49+IF49+IH49+IJ49+IL49+IN49+IP49+IR49+IT49+IV49+IX49+IZ49+JB49+JD49+JF49+JH49+JJ49+JL49+JZ49+CJ49+CL49+CN49+CP49+CR49+CT49+CV49+CX49+EX49+EZ49+FB49+FD49+FF49+FH49+FJ49+FL49</f>
        <v/>
      </c>
      <c r="KC49" s="66">
        <f>I49+K49+M49+O49+Q49+S49+U49+W49+Y49+AA49+AC49+AE49+AG49+AI49+AK49+AM49+AO49+AQ49+AS49+AU49+AW49+AY49+BA49+BC49+BE49+BG49+BI49+BK49+BM49+BO49+BQ49+BS49+BU49+BW49+BY49+CA49+CC49+CE49+CG49+CI49+DA49+DC49+DE49+DG49+DI49+DK49+DM49+DO49+DQ49+DS49+DU49+DW49+DY49+EA49+EC49+EE49+EG49+EI49+EK49+EM49+EO49+EQ49+ES49+EU49+EW49+FO49+FS49+FU49+FW49+FQ49+FY49+GA49+GC49+GE49+GG49+GI49+GK49+GM49+GO49+GQ49+GS49+GU49+GW49+GY49+HA49+HC49+HE49+HG49+HI49+HK49+HM49+HO49+HQ49+HS49+HU49+HW49+HY49+IA49+IC49+IE49+IG49+II49+IK49+IM49+IO49+IQ49+IS49+IU49+IW49+IY49+JA49+JC49+JE49+JG49+JI49+JK49+JM49+KA49+CK49+CM49+CO49+CQ49+CS49+CU49+CW49+CY49+EY49+FA49+FC49+FE49+FG49+FI49+FK49+FM49</f>
        <v/>
      </c>
      <c r="KD49" s="44">
        <f>JO49+JQ49+JS49+JU49+JW49+JY49</f>
        <v/>
      </c>
      <c r="KE49" s="45">
        <f>KB49=E49</f>
        <v/>
      </c>
      <c r="KF49" s="101">
        <f>E49-KB49</f>
        <v/>
      </c>
      <c r="KG49" s="11" t="n"/>
    </row>
    <row r="50" ht="21.75" customFormat="1" customHeight="1" s="195">
      <c r="A50" s="126" t="n">
        <v>42</v>
      </c>
      <c r="B50" s="175" t="inlineStr">
        <is>
          <t>Чигоряев С.А.</t>
        </is>
      </c>
      <c r="C50" s="176" t="inlineStr">
        <is>
          <t>слесарь</t>
        </is>
      </c>
      <c r="D50" s="177">
        <f>$D$5</f>
        <v/>
      </c>
      <c r="E50" s="202" t="n"/>
      <c r="F50" s="193" t="n">
        <v>97702.28</v>
      </c>
      <c r="G50" s="179">
        <f>F50/D50</f>
        <v/>
      </c>
      <c r="H50" s="180" t="n"/>
      <c r="I50" s="140">
        <f>H50*100/$E$50</f>
        <v/>
      </c>
      <c r="J50" s="133" t="n"/>
      <c r="K50" s="140">
        <f>J50*100/$E$50</f>
        <v/>
      </c>
      <c r="L50" s="133" t="n"/>
      <c r="M50" s="140">
        <f>L50*100/$E$50</f>
        <v/>
      </c>
      <c r="N50" s="133" t="n"/>
      <c r="O50" s="140">
        <f>N50*100/$E$50</f>
        <v/>
      </c>
      <c r="P50" s="133" t="n"/>
      <c r="Q50" s="139">
        <f>P50*100/$E$50</f>
        <v/>
      </c>
      <c r="R50" s="133" t="n"/>
      <c r="S50" s="139">
        <f>R50*100/$E$50</f>
        <v/>
      </c>
      <c r="T50" s="133" t="n"/>
      <c r="U50" s="140">
        <f>T50*100/$E$50</f>
        <v/>
      </c>
      <c r="V50" s="133" t="n"/>
      <c r="W50" s="140">
        <f>V50*100/$E$50</f>
        <v/>
      </c>
      <c r="X50" s="133" t="n"/>
      <c r="Y50" s="140">
        <f>X50*100/$E$50</f>
        <v/>
      </c>
      <c r="Z50" s="133" t="n"/>
      <c r="AA50" s="140">
        <f>Z50*100/$E$50</f>
        <v/>
      </c>
      <c r="AB50" s="133" t="n"/>
      <c r="AC50" s="140">
        <f>AB50*100/$E$50</f>
        <v/>
      </c>
      <c r="AD50" s="133" t="n"/>
      <c r="AE50" s="139">
        <f>AD50*100/$E$50</f>
        <v/>
      </c>
      <c r="AF50" s="133" t="n"/>
      <c r="AG50" s="139">
        <f>AF50*100/$E$50</f>
        <v/>
      </c>
      <c r="AH50" s="133" t="n"/>
      <c r="AI50" s="140">
        <f>AH50*100/$E$50</f>
        <v/>
      </c>
      <c r="AJ50" s="133" t="n"/>
      <c r="AK50" s="140">
        <f>AJ50*100/$E$50</f>
        <v/>
      </c>
      <c r="AL50" s="133" t="n"/>
      <c r="AM50" s="140">
        <f>AL50*100/$E$50</f>
        <v/>
      </c>
      <c r="AN50" s="133" t="n"/>
      <c r="AO50" s="140">
        <f>AN50*100/$E$50</f>
        <v/>
      </c>
      <c r="AP50" s="133" t="n"/>
      <c r="AQ50" s="140">
        <f>AP50*100/$E$50</f>
        <v/>
      </c>
      <c r="AR50" s="133" t="n"/>
      <c r="AS50" s="140">
        <f>AR50*100/$E$50</f>
        <v/>
      </c>
      <c r="AT50" s="133" t="n"/>
      <c r="AU50" s="181">
        <f>AT50*100/$E$50</f>
        <v/>
      </c>
      <c r="AV50" s="133" t="n"/>
      <c r="AW50" s="140">
        <f>AV50*100/$E$50</f>
        <v/>
      </c>
      <c r="AX50" s="133" t="n"/>
      <c r="AY50" s="140">
        <f>AX50*100/$E$50</f>
        <v/>
      </c>
      <c r="AZ50" s="133" t="n"/>
      <c r="BA50" s="140">
        <f>AZ50*100/$E$50</f>
        <v/>
      </c>
      <c r="BB50" s="133" t="n"/>
      <c r="BC50" s="140">
        <f>BB50*100/$E$50</f>
        <v/>
      </c>
      <c r="BD50" s="133" t="n"/>
      <c r="BE50" s="140">
        <f>BD50*100/$E$50</f>
        <v/>
      </c>
      <c r="BF50" s="133" t="n"/>
      <c r="BG50" s="140">
        <f>BF50*100/$E$50</f>
        <v/>
      </c>
      <c r="BH50" s="133" t="n"/>
      <c r="BI50" s="140">
        <f>BH50*100/$E$50</f>
        <v/>
      </c>
      <c r="BJ50" s="133" t="n"/>
      <c r="BK50" s="140">
        <f>BJ50*100/$E$50</f>
        <v/>
      </c>
      <c r="BL50" s="133" t="n"/>
      <c r="BM50" s="140">
        <f>BL50*100/$E$50</f>
        <v/>
      </c>
      <c r="BN50" s="133" t="n"/>
      <c r="BO50" s="140">
        <f>BN50*100/$E$50</f>
        <v/>
      </c>
      <c r="BP50" s="133" t="n"/>
      <c r="BQ50" s="140">
        <f>BP50*100/$E$50</f>
        <v/>
      </c>
      <c r="BR50" s="133" t="n"/>
      <c r="BS50" s="140">
        <f>BR50*100/$E$50</f>
        <v/>
      </c>
      <c r="BT50" s="133" t="n"/>
      <c r="BU50" s="140">
        <f>BT50*100/$E$50</f>
        <v/>
      </c>
      <c r="BV50" s="133" t="n"/>
      <c r="BW50" s="140">
        <f>BV50*100/$E$50</f>
        <v/>
      </c>
      <c r="BX50" s="133" t="n"/>
      <c r="BY50" s="140">
        <f>BX50*100/$E$50</f>
        <v/>
      </c>
      <c r="BZ50" s="133" t="n"/>
      <c r="CA50" s="140">
        <f>BZ50*100/$E$50</f>
        <v/>
      </c>
      <c r="CB50" s="133" t="n"/>
      <c r="CC50" s="140">
        <f>CB50*100/$E$50</f>
        <v/>
      </c>
      <c r="CD50" s="133" t="n"/>
      <c r="CE50" s="140">
        <f>CD50*100/$E$50</f>
        <v/>
      </c>
      <c r="CF50" s="133" t="n"/>
      <c r="CG50" s="140">
        <f>CF50*100/$E$50</f>
        <v/>
      </c>
      <c r="CH50" s="133" t="n"/>
      <c r="CI50" s="140">
        <f>CH50*100/$E$50</f>
        <v/>
      </c>
      <c r="CJ50" s="133" t="n"/>
      <c r="CK50" s="140">
        <f>CJ50*100/$E$50</f>
        <v/>
      </c>
      <c r="CL50" s="133" t="n"/>
      <c r="CM50" s="140">
        <f>CL50*100/$E$50</f>
        <v/>
      </c>
      <c r="CN50" s="133" t="n"/>
      <c r="CO50" s="139">
        <f>CN50*100/$E$50</f>
        <v/>
      </c>
      <c r="CP50" s="133" t="n"/>
      <c r="CQ50" s="140">
        <f>CP50*100/$E$50</f>
        <v/>
      </c>
      <c r="CR50" s="133" t="n"/>
      <c r="CS50" s="139">
        <f>CR50*100/$E$50</f>
        <v/>
      </c>
      <c r="CT50" s="133" t="n"/>
      <c r="CU50" s="139">
        <f>CT50*100/$E$50</f>
        <v/>
      </c>
      <c r="CV50" s="133" t="n"/>
      <c r="CW50" s="139">
        <f>CV50*100/$E$50</f>
        <v/>
      </c>
      <c r="CX50" s="133" t="n"/>
      <c r="CY50" s="139">
        <f>CX50*100/$E$50</f>
        <v/>
      </c>
      <c r="CZ50" s="133" t="n"/>
      <c r="DA50" s="139">
        <f>CZ50*100/$E$50</f>
        <v/>
      </c>
      <c r="DB50" s="133" t="n"/>
      <c r="DC50" s="139">
        <f>DB50*100/$E$50</f>
        <v/>
      </c>
      <c r="DD50" s="133" t="n"/>
      <c r="DE50" s="139">
        <f>DD50*100/$E$50</f>
        <v/>
      </c>
      <c r="DF50" s="133" t="n"/>
      <c r="DG50" s="139">
        <f>DF50*100/$E$50</f>
        <v/>
      </c>
      <c r="DH50" s="133" t="n"/>
      <c r="DI50" s="139">
        <f>DH50*100/$E$50</f>
        <v/>
      </c>
      <c r="DJ50" s="133" t="n"/>
      <c r="DK50" s="139">
        <f>DJ50*100/$E$50</f>
        <v/>
      </c>
      <c r="DL50" s="133" t="n"/>
      <c r="DM50" s="139">
        <f>DL50*100/$E$50</f>
        <v/>
      </c>
      <c r="DN50" s="133" t="n"/>
      <c r="DO50" s="139">
        <f>DN50*100/$E$50</f>
        <v/>
      </c>
      <c r="DP50" s="133" t="n"/>
      <c r="DQ50" s="139">
        <f>DP50*100/$E$50</f>
        <v/>
      </c>
      <c r="DR50" s="133" t="n"/>
      <c r="DS50" s="139">
        <f>DR50*100/$E$50</f>
        <v/>
      </c>
      <c r="DT50" s="133" t="n"/>
      <c r="DU50" s="139">
        <f>DT50*100/$E$50</f>
        <v/>
      </c>
      <c r="DV50" s="133" t="n"/>
      <c r="DW50" s="139">
        <f>DV50*100/$E$50</f>
        <v/>
      </c>
      <c r="DX50" s="133" t="n"/>
      <c r="DY50" s="139">
        <f>DX50*100/$E$50</f>
        <v/>
      </c>
      <c r="DZ50" s="133" t="n"/>
      <c r="EA50" s="139">
        <f>DZ50*100/$E$50</f>
        <v/>
      </c>
      <c r="EB50" s="133" t="n"/>
      <c r="EC50" s="139">
        <f>EB50*100/$E$50</f>
        <v/>
      </c>
      <c r="ED50" s="133" t="n"/>
      <c r="EE50" s="139">
        <f>ED50*100/$E$50</f>
        <v/>
      </c>
      <c r="EF50" s="133" t="n"/>
      <c r="EG50" s="139">
        <f>EF50*100/$E$50</f>
        <v/>
      </c>
      <c r="EH50" s="133" t="n"/>
      <c r="EI50" s="139">
        <f>EH50*100/$E$50</f>
        <v/>
      </c>
      <c r="EJ50" s="133" t="n"/>
      <c r="EK50" s="139">
        <f>EJ50*100/$E$50</f>
        <v/>
      </c>
      <c r="EL50" s="133" t="n"/>
      <c r="EM50" s="139">
        <f>EL50*100/$E$50</f>
        <v/>
      </c>
      <c r="EN50" s="133" t="n"/>
      <c r="EO50" s="139">
        <f>EN50*100/$E$50</f>
        <v/>
      </c>
      <c r="EP50" s="133" t="n"/>
      <c r="EQ50" s="139">
        <f>EP50*100/$E$50</f>
        <v/>
      </c>
      <c r="ER50" s="133" t="n"/>
      <c r="ES50" s="139">
        <f>ER50*100/$E$50</f>
        <v/>
      </c>
      <c r="ET50" s="133" t="n"/>
      <c r="EU50" s="139">
        <f>ET50*100/$E$50</f>
        <v/>
      </c>
      <c r="EV50" s="133" t="n"/>
      <c r="EW50" s="139">
        <f>EV50*100/$E$50</f>
        <v/>
      </c>
      <c r="EX50" s="133" t="n"/>
      <c r="EY50" s="139">
        <f>EX50*100/$E$50</f>
        <v/>
      </c>
      <c r="EZ50" s="133" t="n"/>
      <c r="FA50" s="139">
        <f>EZ50*100/$E$50</f>
        <v/>
      </c>
      <c r="FB50" s="133" t="n"/>
      <c r="FC50" s="139">
        <f>FB50*100/$E$50</f>
        <v/>
      </c>
      <c r="FD50" s="133" t="n"/>
      <c r="FE50" s="139">
        <f>FD50*100/$E$50</f>
        <v/>
      </c>
      <c r="FF50" s="133" t="n"/>
      <c r="FG50" s="139">
        <f>FF50*100/$E$50</f>
        <v/>
      </c>
      <c r="FH50" s="133" t="n"/>
      <c r="FI50" s="139">
        <f>FH50*100/$E$50</f>
        <v/>
      </c>
      <c r="FJ50" s="133" t="n"/>
      <c r="FK50" s="139">
        <f>FJ50*100/$E$50</f>
        <v/>
      </c>
      <c r="FL50" s="133" t="n"/>
      <c r="FM50" s="139">
        <f>FL50*100/$E$50</f>
        <v/>
      </c>
      <c r="FN50" s="133" t="n"/>
      <c r="FO50" s="139">
        <f>FN50*100/$E$50</f>
        <v/>
      </c>
      <c r="FP50" s="133" t="n"/>
      <c r="FQ50" s="139">
        <f>FP50*100/$E$50</f>
        <v/>
      </c>
      <c r="FR50" s="133" t="n"/>
      <c r="FS50" s="139">
        <f>FR50*100/$E$50</f>
        <v/>
      </c>
      <c r="FT50" s="133" t="n"/>
      <c r="FU50" s="139">
        <f>FT50*100/$E$50</f>
        <v/>
      </c>
      <c r="FV50" s="133" t="n"/>
      <c r="FW50" s="139">
        <f>FV50*100/$E$50</f>
        <v/>
      </c>
      <c r="FX50" s="133" t="n"/>
      <c r="FY50" s="140">
        <f>FX50*100/$E$50</f>
        <v/>
      </c>
      <c r="FZ50" s="133" t="n"/>
      <c r="GA50" s="140">
        <f>FZ50*100/$E$50</f>
        <v/>
      </c>
      <c r="GB50" s="133" t="n"/>
      <c r="GC50" s="140">
        <f>GB50*100/$E$50</f>
        <v/>
      </c>
      <c r="GD50" s="133" t="n"/>
      <c r="GE50" s="140">
        <f>GD50*100/$E$50</f>
        <v/>
      </c>
      <c r="GF50" s="133" t="n"/>
      <c r="GG50" s="140">
        <f>GF50*100/$E$50</f>
        <v/>
      </c>
      <c r="GH50" s="133" t="n"/>
      <c r="GI50" s="140">
        <f>GH50*100/$E$50</f>
        <v/>
      </c>
      <c r="GJ50" s="133" t="n"/>
      <c r="GK50" s="139">
        <f>GJ50*100/$E$50</f>
        <v/>
      </c>
      <c r="GL50" s="133" t="n"/>
      <c r="GM50" s="140">
        <f>GL50*100/$E$50</f>
        <v/>
      </c>
      <c r="GN50" s="133" t="n"/>
      <c r="GO50" s="139">
        <f>GN50*100/$E$50</f>
        <v/>
      </c>
      <c r="GP50" s="133" t="n"/>
      <c r="GQ50" s="140">
        <f>GP50*100/$E$50</f>
        <v/>
      </c>
      <c r="GR50" s="133" t="n"/>
      <c r="GS50" s="139">
        <f>GR50*100/$E$50</f>
        <v/>
      </c>
      <c r="GT50" s="133" t="n"/>
      <c r="GU50" s="139">
        <f>GT50*100/$E$50</f>
        <v/>
      </c>
      <c r="GV50" s="133" t="n"/>
      <c r="GW50" s="139">
        <f>GV50*100/$E$50</f>
        <v/>
      </c>
      <c r="GX50" s="133" t="n"/>
      <c r="GY50" s="140">
        <f>GX50*100/$E$50</f>
        <v/>
      </c>
      <c r="GZ50" s="133" t="n"/>
      <c r="HA50" s="140">
        <f>GZ50*100/$E$50</f>
        <v/>
      </c>
      <c r="HB50" s="133" t="n"/>
      <c r="HC50" s="140">
        <f>HB50*100/$E$50</f>
        <v/>
      </c>
      <c r="HD50" s="133" t="n"/>
      <c r="HE50" s="140">
        <f>HD50*100/$E$50</f>
        <v/>
      </c>
      <c r="HF50" s="133" t="n"/>
      <c r="HG50" s="140">
        <f>HF50*100/$E$50</f>
        <v/>
      </c>
      <c r="HH50" s="133" t="n"/>
      <c r="HI50" s="140">
        <f>HH50*100/$E$50</f>
        <v/>
      </c>
      <c r="HJ50" s="133" t="n"/>
      <c r="HK50" s="140">
        <f>HJ50*100/$E$50</f>
        <v/>
      </c>
      <c r="HL50" s="133" t="n"/>
      <c r="HM50" s="140">
        <f>HL50*100/$E$50</f>
        <v/>
      </c>
      <c r="HN50" s="133" t="n"/>
      <c r="HO50" s="140">
        <f>HN50*100/$E$50</f>
        <v/>
      </c>
      <c r="HP50" s="133" t="n"/>
      <c r="HQ50" s="140">
        <f>HP50*100/$E$50</f>
        <v/>
      </c>
      <c r="HR50" s="133" t="n"/>
      <c r="HS50" s="140">
        <f>HR50*100/$E$50</f>
        <v/>
      </c>
      <c r="HT50" s="133" t="n"/>
      <c r="HU50" s="140">
        <f>HT50*100/$E$50</f>
        <v/>
      </c>
      <c r="HV50" s="133" t="n"/>
      <c r="HW50" s="140">
        <f>HV50*100/$E$50</f>
        <v/>
      </c>
      <c r="HX50" s="133" t="n"/>
      <c r="HY50" s="140">
        <f>HX50*100/$E$50</f>
        <v/>
      </c>
      <c r="HZ50" s="133" t="n"/>
      <c r="IA50" s="139">
        <f>HZ50*100/$E$50</f>
        <v/>
      </c>
      <c r="IB50" s="133" t="n"/>
      <c r="IC50" s="139">
        <f>IB50*100/$E$50</f>
        <v/>
      </c>
      <c r="ID50" s="133" t="n"/>
      <c r="IE50" s="139">
        <f>ID50*100/$E$50</f>
        <v/>
      </c>
      <c r="IF50" s="133" t="n"/>
      <c r="IG50" s="139">
        <f>IF50*100/$E$50</f>
        <v/>
      </c>
      <c r="IH50" s="133" t="n"/>
      <c r="II50" s="139">
        <f>IH50*100/$E$50</f>
        <v/>
      </c>
      <c r="IJ50" s="133" t="n"/>
      <c r="IK50" s="139">
        <f>IJ50*100/$E$50</f>
        <v/>
      </c>
      <c r="IL50" s="133" t="n"/>
      <c r="IM50" s="140">
        <f>IL50*100/$E$50</f>
        <v/>
      </c>
      <c r="IN50" s="133" t="n"/>
      <c r="IO50" s="140">
        <f>IN50*100/$E$50</f>
        <v/>
      </c>
      <c r="IP50" s="133" t="n"/>
      <c r="IQ50" s="139">
        <f>IP50*100/$E$50</f>
        <v/>
      </c>
      <c r="IR50" s="133" t="n"/>
      <c r="IS50" s="139">
        <f>IR50*100/$E$50</f>
        <v/>
      </c>
      <c r="IT50" s="133" t="n"/>
      <c r="IU50" s="139">
        <f>IT50*100/$E$50</f>
        <v/>
      </c>
      <c r="IV50" s="133" t="n"/>
      <c r="IW50" s="139">
        <f>IV50*100/$E$50</f>
        <v/>
      </c>
      <c r="IX50" s="133" t="n"/>
      <c r="IY50" s="139">
        <f>IX50*100/$E$50</f>
        <v/>
      </c>
      <c r="IZ50" s="133" t="n"/>
      <c r="JA50" s="139">
        <f>IZ50*100/$E$50</f>
        <v/>
      </c>
      <c r="JB50" s="133" t="n"/>
      <c r="JC50" s="139">
        <f>JB50*100/$E$50</f>
        <v/>
      </c>
      <c r="JD50" s="133" t="n"/>
      <c r="JE50" s="139">
        <f>JD50*100/$E$50</f>
        <v/>
      </c>
      <c r="JF50" s="133" t="n"/>
      <c r="JG50" s="139">
        <f>JF50*100/$E$50</f>
        <v/>
      </c>
      <c r="JH50" s="133" t="n"/>
      <c r="JI50" s="139">
        <f>JH50*100/$E$50</f>
        <v/>
      </c>
      <c r="JJ50" s="133" t="n"/>
      <c r="JK50" s="139">
        <f>JJ50*100/$E$50</f>
        <v/>
      </c>
      <c r="JL50" s="133" t="n"/>
      <c r="JM50" s="139">
        <f>JL50*100/$E$50</f>
        <v/>
      </c>
      <c r="JN50" s="133" t="n"/>
      <c r="JO50" s="182">
        <f>JN50*100/$E$50</f>
        <v/>
      </c>
      <c r="JP50" s="133" t="n"/>
      <c r="JQ50" s="182">
        <f>JP50*100/$E$50</f>
        <v/>
      </c>
      <c r="JR50" s="133" t="n"/>
      <c r="JS50" s="182">
        <f>JR50*100/$E$50</f>
        <v/>
      </c>
      <c r="JT50" s="133" t="n"/>
      <c r="JU50" s="182">
        <f>JT50*100/$E$50</f>
        <v/>
      </c>
      <c r="JV50" s="133" t="n"/>
      <c r="JW50" s="182">
        <f>JV50*100/$E$50</f>
        <v/>
      </c>
      <c r="JX50" s="133" t="n"/>
      <c r="JY50" s="182">
        <f>JX50*100/$E$50</f>
        <v/>
      </c>
      <c r="JZ50" s="183">
        <f>JN50+JP50+JR50+JT50+JV50+JX50</f>
        <v/>
      </c>
      <c r="KA50" s="184">
        <f>JO50+JQ50+JS50+JU50+JW50+JY50</f>
        <v/>
      </c>
      <c r="KB50" s="185">
        <f>H50+J50+L50+N50+P50+R50+T50+V50+X50+Z50+AB50+AD50+AF50+AH50+AJ50+AL50+AN50+AP50+AR50+AT50+AV50+AX50+AZ50+BB50+BD50+BF50+BH50+BJ50+BL50+BN50+BP50+BR50+BT50+BV50+BX50+BZ50+CB50+CD50+CF50+CH50+CZ50+DB50+DD50+DF50+DH50+DJ50+DL50+DN50+DP50+DR50+DT50+DV50+DX50+DZ50+EB50+ED50+EF50+EH50+EJ50+EL50+EN50+EP50+ER50+ET50+EV50+FN50+FP50+FR50+FT50+FV50+FX50+FZ50+GB50+GD50+GF50+GH50+GJ50+GL50+GN50+GP50+GR50+GT50+GV50+GX50+GZ50+HB50+HD50+HF50+HH50+HJ50+HL50+HN50+HP50+HR50+HT50+HV50+HX50+HZ50+IB50+ID50+IF50+IH50+IJ50+IL50+IN50+IP50+IR50+IT50+IV50+IX50+IZ50+JB50+JD50+JF50+JH50+JJ50+JL50+JZ50+CJ50+CL50+CN50+CP50+CR50+CT50+CV50+CX50+EX50+EZ50+FB50+FD50+FF50+FH50+FJ50+FL50</f>
        <v/>
      </c>
      <c r="KC50" s="186">
        <f>I50+K50+M50+O50+Q50+S50+U50+W50+Y50+AA50+AC50+AE50+AG50+AI50+AK50+AM50+AO50+AQ50+AS50+AU50+AW50+AY50+BA50+BC50+BE50+BG50+BI50+BK50+BM50+BO50+BQ50+BS50+BU50+BW50+BY50+CA50+CC50+CE50+CG50+CI50+DA50+DC50+DE50+DG50+DI50+DK50+DM50+DO50+DQ50+DS50+DU50+DW50+DY50+EA50+EC50+EE50+EG50+EI50+EK50+EM50+EO50+EQ50+ES50+EU50+EW50+FO50+FS50+FU50+FW50+FQ50+FY50+GA50+GC50+GE50+GG50+GI50+GK50+GM50+GO50+GQ50+GS50+GU50+GW50+GY50+HA50+HC50+HE50+HG50+HI50+HK50+HM50+HO50+HQ50+HS50+HU50+HW50+HY50+IA50+IC50+IE50+IG50+II50+IK50+IM50+IO50+IQ50+IS50+IU50+IW50+IY50+JA50+JC50+JE50+JG50+JI50+JK50+JM50+KA50+CK50+CM50+CO50+CQ50+CS50+CU50+CW50+CY50+EY50+FA50+FC50+FE50+FG50+FI50+FK50+FM50</f>
        <v/>
      </c>
      <c r="KD50" s="187">
        <f>JO50+JQ50+JS50+JU50+JW50+JY50</f>
        <v/>
      </c>
      <c r="KE50" s="188">
        <f>KB50=E50</f>
        <v/>
      </c>
      <c r="KF50" s="189">
        <f>E50-KB50</f>
        <v/>
      </c>
      <c r="KG50" s="196" t="n"/>
    </row>
    <row r="51" ht="27" customFormat="1" customHeight="1" s="11" thickBot="1">
      <c r="A51" s="126">
        <f>A50+1</f>
        <v/>
      </c>
      <c r="B51" s="175" t="inlineStr">
        <is>
          <t>Южиков А.Ю.</t>
        </is>
      </c>
      <c r="C51" s="176" t="inlineStr">
        <is>
          <t>сварщик</t>
        </is>
      </c>
      <c r="D51" s="177">
        <f>$D$5</f>
        <v/>
      </c>
      <c r="E51" s="202" t="n"/>
      <c r="F51" s="193" t="n">
        <v>68853.84</v>
      </c>
      <c r="G51" s="52">
        <f>F51/D51</f>
        <v/>
      </c>
      <c r="H51" s="125" t="n"/>
      <c r="I51" s="107">
        <f>H51*100/$E$51</f>
        <v/>
      </c>
      <c r="J51" s="108" t="n"/>
      <c r="K51" s="107">
        <f>J51*100/$E$51</f>
        <v/>
      </c>
      <c r="L51" s="108" t="n"/>
      <c r="M51" s="107">
        <f>L51*100/$E$51</f>
        <v/>
      </c>
      <c r="N51" s="108" t="n"/>
      <c r="O51" s="107">
        <f>N51*100/$E$51</f>
        <v/>
      </c>
      <c r="P51" s="108" t="n"/>
      <c r="Q51" s="122">
        <f>P51*100/$E$51</f>
        <v/>
      </c>
      <c r="R51" s="125" t="n"/>
      <c r="S51" s="122">
        <f>R51*100/$E$51</f>
        <v/>
      </c>
      <c r="T51" s="108" t="n"/>
      <c r="U51" s="107">
        <f>T51*100/$E$51</f>
        <v/>
      </c>
      <c r="V51" s="108" t="n"/>
      <c r="W51" s="107">
        <f>V51*100/$E$51</f>
        <v/>
      </c>
      <c r="X51" s="108" t="n"/>
      <c r="Y51" s="107">
        <f>X51*100/$E$51</f>
        <v/>
      </c>
      <c r="Z51" s="108" t="n"/>
      <c r="AA51" s="107">
        <f>Z51*100/$E$51</f>
        <v/>
      </c>
      <c r="AB51" s="108" t="n"/>
      <c r="AC51" s="107">
        <f>AB51*100/$E$51</f>
        <v/>
      </c>
      <c r="AD51" s="108" t="n"/>
      <c r="AE51" s="122">
        <f>AD51*100/$E$51</f>
        <v/>
      </c>
      <c r="AF51" s="108" t="n"/>
      <c r="AG51" s="122">
        <f>AF51*100/$E$51</f>
        <v/>
      </c>
      <c r="AH51" s="108" t="n"/>
      <c r="AI51" s="107">
        <f>AH51*100/$E$51</f>
        <v/>
      </c>
      <c r="AJ51" s="108" t="n"/>
      <c r="AK51" s="107">
        <f>AJ51*100/$E$51</f>
        <v/>
      </c>
      <c r="AL51" s="108" t="n"/>
      <c r="AM51" s="107">
        <f>AL51*100/$E$51</f>
        <v/>
      </c>
      <c r="AN51" s="108" t="n"/>
      <c r="AO51" s="107">
        <f>AN51*100/$E$51</f>
        <v/>
      </c>
      <c r="AP51" s="108" t="n"/>
      <c r="AQ51" s="107">
        <f>AP51*100/$E$51</f>
        <v/>
      </c>
      <c r="AR51" s="108" t="n"/>
      <c r="AS51" s="107">
        <f>AR51*100/$E$51</f>
        <v/>
      </c>
      <c r="AT51" s="108" t="n"/>
      <c r="AU51" s="90">
        <f>AT51*100/$E$51</f>
        <v/>
      </c>
      <c r="AV51" s="108" t="n"/>
      <c r="AW51" s="107">
        <f>AV51*100/$E$51</f>
        <v/>
      </c>
      <c r="AX51" s="108" t="n"/>
      <c r="AY51" s="107">
        <f>AX51*100/$E$51</f>
        <v/>
      </c>
      <c r="AZ51" s="108" t="n"/>
      <c r="BA51" s="107">
        <f>AZ51*100/$E$51</f>
        <v/>
      </c>
      <c r="BB51" s="108" t="n"/>
      <c r="BC51" s="107">
        <f>BB51*100/$E$51</f>
        <v/>
      </c>
      <c r="BD51" s="108" t="n"/>
      <c r="BE51" s="107">
        <f>BD51*100/$E$51</f>
        <v/>
      </c>
      <c r="BF51" s="108" t="n"/>
      <c r="BG51" s="107">
        <f>BF51*100/$E$51</f>
        <v/>
      </c>
      <c r="BH51" s="108" t="n"/>
      <c r="BI51" s="107">
        <f>BH51*100/$E$51</f>
        <v/>
      </c>
      <c r="BJ51" s="108" t="n"/>
      <c r="BK51" s="107">
        <f>BJ51*100/$E$51</f>
        <v/>
      </c>
      <c r="BL51" s="108" t="n"/>
      <c r="BM51" s="107">
        <f>BL51*100/$E$51</f>
        <v/>
      </c>
      <c r="BN51" s="108" t="n"/>
      <c r="BO51" s="107">
        <f>BN51*100/$E$51</f>
        <v/>
      </c>
      <c r="BP51" s="108" t="n"/>
      <c r="BQ51" s="107">
        <f>BP51*100/$E$51</f>
        <v/>
      </c>
      <c r="BR51" s="108" t="n"/>
      <c r="BS51" s="107">
        <f>BR51*100/$E$51</f>
        <v/>
      </c>
      <c r="BT51" s="108" t="n"/>
      <c r="BU51" s="107">
        <f>BT51*100/$E$51</f>
        <v/>
      </c>
      <c r="BV51" s="108" t="n"/>
      <c r="BW51" s="107">
        <f>BV51*100/$E$51</f>
        <v/>
      </c>
      <c r="BX51" s="108" t="n"/>
      <c r="BY51" s="107">
        <f>BX51*100/$E$51</f>
        <v/>
      </c>
      <c r="BZ51" s="108" t="n"/>
      <c r="CA51" s="107">
        <f>BZ51*100/$E$51</f>
        <v/>
      </c>
      <c r="CB51" s="108" t="n"/>
      <c r="CC51" s="107">
        <f>CB51*100/$E$51</f>
        <v/>
      </c>
      <c r="CD51" s="108" t="n"/>
      <c r="CE51" s="107">
        <f>CD51*100/$E$51</f>
        <v/>
      </c>
      <c r="CF51" s="108" t="n"/>
      <c r="CG51" s="107">
        <f>CF51*100/$E$51</f>
        <v/>
      </c>
      <c r="CH51" s="108" t="n"/>
      <c r="CI51" s="107">
        <f>CH51*100/$E$51</f>
        <v/>
      </c>
      <c r="CJ51" s="108" t="n"/>
      <c r="CK51" s="107">
        <f>CJ51*100/$E$51</f>
        <v/>
      </c>
      <c r="CL51" s="108" t="n"/>
      <c r="CM51" s="107">
        <f>CL51*100/$E$51</f>
        <v/>
      </c>
      <c r="CN51" s="108" t="n"/>
      <c r="CO51" s="122">
        <f>CN51*100/$E$51</f>
        <v/>
      </c>
      <c r="CP51" s="108" t="n"/>
      <c r="CQ51" s="107">
        <f>CP51*100/$E$51</f>
        <v/>
      </c>
      <c r="CR51" s="108" t="n"/>
      <c r="CS51" s="122">
        <f>CR51*100/$E$51</f>
        <v/>
      </c>
      <c r="CT51" s="108" t="n"/>
      <c r="CU51" s="122">
        <f>CT51*100/$E$51</f>
        <v/>
      </c>
      <c r="CV51" s="108" t="n"/>
      <c r="CW51" s="122">
        <f>CV51*100/$E$51</f>
        <v/>
      </c>
      <c r="CX51" s="108" t="n"/>
      <c r="CY51" s="122">
        <f>CX51*100/$E$51</f>
        <v/>
      </c>
      <c r="CZ51" s="108" t="n"/>
      <c r="DA51" s="122">
        <f>CZ51*100/$E$51</f>
        <v/>
      </c>
      <c r="DB51" s="108" t="n"/>
      <c r="DC51" s="122">
        <f>DB51*100/$E$51</f>
        <v/>
      </c>
      <c r="DD51" s="108" t="n"/>
      <c r="DE51" s="122">
        <f>DD51*100/$E$51</f>
        <v/>
      </c>
      <c r="DF51" s="108" t="n"/>
      <c r="DG51" s="122">
        <f>DF51*100/$E$51</f>
        <v/>
      </c>
      <c r="DH51" s="108" t="n"/>
      <c r="DI51" s="122">
        <f>DH51*100/$E$51</f>
        <v/>
      </c>
      <c r="DJ51" s="108" t="n"/>
      <c r="DK51" s="122">
        <f>DJ51*100/$E$51</f>
        <v/>
      </c>
      <c r="DL51" s="108" t="n"/>
      <c r="DM51" s="122">
        <f>DL51*100/$E$51</f>
        <v/>
      </c>
      <c r="DN51" s="108" t="n"/>
      <c r="DO51" s="122">
        <f>DN51*100/$E$51</f>
        <v/>
      </c>
      <c r="DP51" s="108" t="n"/>
      <c r="DQ51" s="122">
        <f>DP51*100/$E$51</f>
        <v/>
      </c>
      <c r="DR51" s="108" t="n"/>
      <c r="DS51" s="122">
        <f>DR51*100/$E$51</f>
        <v/>
      </c>
      <c r="DT51" s="108" t="n"/>
      <c r="DU51" s="122">
        <f>DT51*100/$E$51</f>
        <v/>
      </c>
      <c r="DV51" s="108" t="n"/>
      <c r="DW51" s="122">
        <f>DV51*100/$E$51</f>
        <v/>
      </c>
      <c r="DX51" s="108" t="n"/>
      <c r="DY51" s="122">
        <f>DX51*100/$E$51</f>
        <v/>
      </c>
      <c r="DZ51" s="108" t="n"/>
      <c r="EA51" s="122">
        <f>DZ51*100/$E$51</f>
        <v/>
      </c>
      <c r="EB51" s="108" t="n"/>
      <c r="EC51" s="122">
        <f>EB51*100/$E$51</f>
        <v/>
      </c>
      <c r="ED51" s="108" t="n"/>
      <c r="EE51" s="122">
        <f>ED51*100/$E$51</f>
        <v/>
      </c>
      <c r="EF51" s="108" t="n"/>
      <c r="EG51" s="122">
        <f>EF51*100/$E$51</f>
        <v/>
      </c>
      <c r="EH51" s="108" t="n"/>
      <c r="EI51" s="122">
        <f>EH51*100/$E$51</f>
        <v/>
      </c>
      <c r="EJ51" s="108" t="n"/>
      <c r="EK51" s="122">
        <f>EJ51*100/$E$51</f>
        <v/>
      </c>
      <c r="EL51" s="108" t="n"/>
      <c r="EM51" s="122">
        <f>EL51*100/$E$51</f>
        <v/>
      </c>
      <c r="EN51" s="108" t="n"/>
      <c r="EO51" s="122">
        <f>EN51*100/$E$51</f>
        <v/>
      </c>
      <c r="EP51" s="108" t="n"/>
      <c r="EQ51" s="122">
        <f>EP51*100/$E$51</f>
        <v/>
      </c>
      <c r="ER51" s="108" t="n"/>
      <c r="ES51" s="122">
        <f>ER51*100/$E$51</f>
        <v/>
      </c>
      <c r="ET51" s="108" t="n"/>
      <c r="EU51" s="122">
        <f>ET51*100/$E$51</f>
        <v/>
      </c>
      <c r="EV51" s="108" t="n"/>
      <c r="EW51" s="122">
        <f>EV51*100/$E$51</f>
        <v/>
      </c>
      <c r="EX51" s="108" t="n"/>
      <c r="EY51" s="122">
        <f>EX51*100/$E$51</f>
        <v/>
      </c>
      <c r="EZ51" s="108" t="n"/>
      <c r="FA51" s="122">
        <f>EZ51*100/$E$51</f>
        <v/>
      </c>
      <c r="FB51" s="108" t="n"/>
      <c r="FC51" s="122">
        <f>FB51*100/$E$51</f>
        <v/>
      </c>
      <c r="FD51" s="108" t="n"/>
      <c r="FE51" s="122">
        <f>FD51*100/$E$51</f>
        <v/>
      </c>
      <c r="FF51" s="108" t="n"/>
      <c r="FG51" s="122">
        <f>FF51*100/$E$51</f>
        <v/>
      </c>
      <c r="FH51" s="108" t="n"/>
      <c r="FI51" s="122">
        <f>FH51*100/$E$51</f>
        <v/>
      </c>
      <c r="FJ51" s="108" t="n"/>
      <c r="FK51" s="122">
        <f>FJ51*100/$E$51</f>
        <v/>
      </c>
      <c r="FL51" s="108" t="n"/>
      <c r="FM51" s="122">
        <f>FL51*100/$E$51</f>
        <v/>
      </c>
      <c r="FN51" s="108" t="n"/>
      <c r="FO51" s="122">
        <f>FN51*100/$E$51</f>
        <v/>
      </c>
      <c r="FP51" s="108" t="n"/>
      <c r="FQ51" s="122">
        <f>FP51*100/$E$51</f>
        <v/>
      </c>
      <c r="FR51" s="108" t="n"/>
      <c r="FS51" s="122">
        <f>FR51*100/$E$51</f>
        <v/>
      </c>
      <c r="FT51" s="108" t="n"/>
      <c r="FU51" s="122">
        <f>FT51*100/$E$51</f>
        <v/>
      </c>
      <c r="FV51" s="108" t="n"/>
      <c r="FW51" s="122">
        <f>FV51*100/$E$51</f>
        <v/>
      </c>
      <c r="FX51" s="108" t="n"/>
      <c r="FY51" s="107">
        <f>FX51*100/$E$51</f>
        <v/>
      </c>
      <c r="FZ51" s="108" t="n"/>
      <c r="GA51" s="107">
        <f>FZ51*100/$E$51</f>
        <v/>
      </c>
      <c r="GB51" s="108" t="n"/>
      <c r="GC51" s="107">
        <f>GB51*100/$E$51</f>
        <v/>
      </c>
      <c r="GD51" s="108" t="n"/>
      <c r="GE51" s="107">
        <f>GD51*100/$E$51</f>
        <v/>
      </c>
      <c r="GF51" s="108" t="n"/>
      <c r="GG51" s="107">
        <f>GF51*100/$E$51</f>
        <v/>
      </c>
      <c r="GH51" s="108" t="n"/>
      <c r="GI51" s="107">
        <f>GH51*100/$E$51</f>
        <v/>
      </c>
      <c r="GJ51" s="108" t="n"/>
      <c r="GK51" s="122">
        <f>GJ51*100/$E$51</f>
        <v/>
      </c>
      <c r="GL51" s="108" t="n"/>
      <c r="GM51" s="107">
        <f>GL51*100/$E$51</f>
        <v/>
      </c>
      <c r="GN51" s="108" t="n"/>
      <c r="GO51" s="122">
        <f>GN51*100/$E$51</f>
        <v/>
      </c>
      <c r="GP51" s="108" t="n"/>
      <c r="GQ51" s="107">
        <f>GP51*100/$E$51</f>
        <v/>
      </c>
      <c r="GR51" s="108" t="n"/>
      <c r="GS51" s="122">
        <f>GR51*100/$E$51</f>
        <v/>
      </c>
      <c r="GT51" s="108" t="n"/>
      <c r="GU51" s="122">
        <f>GT51*100/$E$51</f>
        <v/>
      </c>
      <c r="GV51" s="108" t="n"/>
      <c r="GW51" s="122">
        <f>GV51*100/$E$51</f>
        <v/>
      </c>
      <c r="GX51" s="108" t="n"/>
      <c r="GY51" s="107">
        <f>GX51*100/$E$51</f>
        <v/>
      </c>
      <c r="GZ51" s="108" t="n"/>
      <c r="HA51" s="107">
        <f>GZ51*100/$E$51</f>
        <v/>
      </c>
      <c r="HB51" s="108" t="n"/>
      <c r="HC51" s="107">
        <f>HB51*100/$E$51</f>
        <v/>
      </c>
      <c r="HD51" s="108" t="n"/>
      <c r="HE51" s="107">
        <f>HD51*100/$E$51</f>
        <v/>
      </c>
      <c r="HF51" s="108" t="n"/>
      <c r="HG51" s="107">
        <f>HF51*100/$E$51</f>
        <v/>
      </c>
      <c r="HH51" s="108" t="n"/>
      <c r="HI51" s="107">
        <f>HH51*100/$E$51</f>
        <v/>
      </c>
      <c r="HJ51" s="108" t="n"/>
      <c r="HK51" s="107">
        <f>HJ51*100/$E$51</f>
        <v/>
      </c>
      <c r="HL51" s="108" t="n"/>
      <c r="HM51" s="107">
        <f>HL51*100/$E$51</f>
        <v/>
      </c>
      <c r="HN51" s="108" t="n"/>
      <c r="HO51" s="107">
        <f>HN51*100/$E$51</f>
        <v/>
      </c>
      <c r="HP51" s="108" t="n"/>
      <c r="HQ51" s="107">
        <f>HP51*100/$E$51</f>
        <v/>
      </c>
      <c r="HR51" s="108" t="n"/>
      <c r="HS51" s="107">
        <f>HR51*100/$E$51</f>
        <v/>
      </c>
      <c r="HT51" s="108" t="n"/>
      <c r="HU51" s="107">
        <f>HT51*100/$E$51</f>
        <v/>
      </c>
      <c r="HV51" s="108" t="n"/>
      <c r="HW51" s="107">
        <f>HV51*100/$E$51</f>
        <v/>
      </c>
      <c r="HX51" s="108" t="n"/>
      <c r="HY51" s="107">
        <f>HX51*100/$E$51</f>
        <v/>
      </c>
      <c r="HZ51" s="108" t="n"/>
      <c r="IA51" s="122">
        <f>HZ51*100/$E$51</f>
        <v/>
      </c>
      <c r="IB51" s="108" t="n"/>
      <c r="IC51" s="122">
        <f>IB51*100/$E$51</f>
        <v/>
      </c>
      <c r="ID51" s="108" t="n"/>
      <c r="IE51" s="122">
        <f>ID51*100/$E$51</f>
        <v/>
      </c>
      <c r="IF51" s="108" t="n"/>
      <c r="IG51" s="122">
        <f>IF51*100/$E$51</f>
        <v/>
      </c>
      <c r="IH51" s="108" t="n"/>
      <c r="II51" s="122">
        <f>IH51*100/$E$51</f>
        <v/>
      </c>
      <c r="IJ51" s="108" t="n"/>
      <c r="IK51" s="122">
        <f>IJ51*100/$E$51</f>
        <v/>
      </c>
      <c r="IL51" s="108" t="n"/>
      <c r="IM51" s="107">
        <f>IL51*100/$E$51</f>
        <v/>
      </c>
      <c r="IN51" s="108" t="n"/>
      <c r="IO51" s="107">
        <f>IN51*100/$E$51</f>
        <v/>
      </c>
      <c r="IP51" s="108" t="n"/>
      <c r="IQ51" s="122">
        <f>IP51*100/$E$51</f>
        <v/>
      </c>
      <c r="IR51" s="108" t="n"/>
      <c r="IS51" s="122">
        <f>IR51*100/$E$51</f>
        <v/>
      </c>
      <c r="IT51" s="108" t="n"/>
      <c r="IU51" s="122">
        <f>IT51*100/$E$51</f>
        <v/>
      </c>
      <c r="IV51" s="108" t="n"/>
      <c r="IW51" s="122">
        <f>IV51*100/$E$51</f>
        <v/>
      </c>
      <c r="IX51" s="108" t="n"/>
      <c r="IY51" s="122">
        <f>IX51*100/$E$51</f>
        <v/>
      </c>
      <c r="IZ51" s="108" t="n"/>
      <c r="JA51" s="122">
        <f>IZ51*100/$E$51</f>
        <v/>
      </c>
      <c r="JB51" s="108" t="n"/>
      <c r="JC51" s="122">
        <f>JB51*100/$E$51</f>
        <v/>
      </c>
      <c r="JD51" s="108" t="n"/>
      <c r="JE51" s="122">
        <f>JD51*100/$E$51</f>
        <v/>
      </c>
      <c r="JF51" s="108" t="n"/>
      <c r="JG51" s="122">
        <f>JF51*100/$E$51</f>
        <v/>
      </c>
      <c r="JH51" s="108" t="n"/>
      <c r="JI51" s="122">
        <f>JH51*100/$E$51</f>
        <v/>
      </c>
      <c r="JJ51" s="108" t="n"/>
      <c r="JK51" s="122">
        <f>JJ51*100/$E$51</f>
        <v/>
      </c>
      <c r="JL51" s="108" t="n"/>
      <c r="JM51" s="122">
        <f>JL51*100/$E$51</f>
        <v/>
      </c>
      <c r="JN51" s="108" t="n"/>
      <c r="JO51" s="121">
        <f>JN51*100/$E$51</f>
        <v/>
      </c>
      <c r="JP51" s="108" t="n"/>
      <c r="JQ51" s="121">
        <f>JP51*100/$E$51</f>
        <v/>
      </c>
      <c r="JR51" s="108" t="n"/>
      <c r="JS51" s="121">
        <f>JR51*100/$E$51</f>
        <v/>
      </c>
      <c r="JT51" s="108" t="n"/>
      <c r="JU51" s="121">
        <f>JT51*100/$E$51</f>
        <v/>
      </c>
      <c r="JV51" s="108" t="n"/>
      <c r="JW51" s="121">
        <f>JV51*100/$E$51</f>
        <v/>
      </c>
      <c r="JX51" s="108" t="n"/>
      <c r="JY51" s="121">
        <f>JX51*100/$E$51</f>
        <v/>
      </c>
      <c r="JZ51" s="55">
        <f>JN51+JP51+JR51+JT51+JV51+JX51</f>
        <v/>
      </c>
      <c r="KA51" s="53">
        <f>JO51+JQ51+JS51+JU51+JW51+JY51</f>
        <v/>
      </c>
      <c r="KB51" s="64">
        <f>H51+J51+L51+N51+P51+R51+T51+V51+X51+Z51+AB51+AD51+AF51+AH51+AJ51+AL51+AN51+AP51+AR51+AT51+AV51+AX51+AZ51+BB51+BD51+BF51+BH51+BJ51+BL51+BN51+BP51+BR51+BT51+BV51+BX51+BZ51+CB51+CD51+CF51+CH51+CZ51+DB51+DD51+DF51+DH51+DJ51+DL51+DN51+DP51+DR51+DT51+DV51+DX51+DZ51+EB51+ED51+EF51+EH51+EJ51+EL51+EN51+EP51+ER51+ET51+EV51+FN51+FP51+FR51+FT51+FV51+FX51+FZ51+GB51+GD51+GF51+GH51+GJ51+GL51+GN51+GP51+GR51+GT51+GV51+GX51+GZ51+HB51+HD51+HF51+HH51+HJ51+HL51+HN51+HP51+HR51+HT51+HV51+HX51+HZ51+IB51+ID51+IF51+IH51+IJ51+IL51+IN51+IP51+IR51+IT51+IV51+IX51+IZ51+JB51+JD51+JF51+JH51+JJ51+JL51+JZ51+CJ51+CL51+CN51+CP51+CR51+CT51+CV51+CX51+EX51+EZ51+FB51+FD51+FF51+FH51+FJ51+FL51</f>
        <v/>
      </c>
      <c r="KC51" s="66">
        <f>I51+K51+M51+O51+Q51+S51+U51+W51+Y51+AA51+AC51+AE51+AG51+AI51+AK51+AM51+AO51+AQ51+AS51+AU51+AW51+AY51+BA51+BC51+BE51+BG51+BI51+BK51+BM51+BO51+BQ51+BS51+BU51+BW51+BY51+CA51+CC51+CE51+CG51+CI51+DA51+DC51+DE51+DG51+DI51+DK51+DM51+DO51+DQ51+DS51+DU51+DW51+DY51+EA51+EC51+EE51+EG51+EI51+EK51+EM51+EO51+EQ51+ES51+EU51+EW51+FO51+FS51+FU51+FW51+FQ51+FY51+GA51+GC51+GE51+GG51+GI51+GK51+GM51+GO51+GQ51+GS51+GU51+GW51+GY51+HA51+HC51+HE51+HG51+HI51+HK51+HM51+HO51+HQ51+HS51+HU51+HW51+HY51+IA51+IC51+IE51+IG51+II51+IK51+IM51+IO51+IQ51+IS51+IU51+IW51+IY51+JA51+JC51+JE51+JG51+JI51+JK51+JM51+KA51+CK51+CM51+CO51+CQ51+CS51+CU51+CW51+CY51+EY51+FA51+FC51+FE51+FG51+FI51+FK51+FM51</f>
        <v/>
      </c>
      <c r="KD51" s="44">
        <f>JO51+JQ51+JS51+JU51+JW51+JY51</f>
        <v/>
      </c>
      <c r="KE51" s="45">
        <f>KB51=E51</f>
        <v/>
      </c>
      <c r="KF51" s="101">
        <f>E51-KB51</f>
        <v/>
      </c>
      <c r="KG51" s="28" t="n"/>
    </row>
    <row r="52" ht="29.25" customFormat="1" customHeight="1" s="100" thickBot="1">
      <c r="A52" s="129" t="n"/>
      <c r="B52" s="135" t="inlineStr">
        <is>
          <t>Итого</t>
        </is>
      </c>
      <c r="C52" s="91" t="n"/>
      <c r="D52" s="131">
        <f>SUM(D9:D51)</f>
        <v/>
      </c>
      <c r="E52" s="31">
        <f>SUM(E9:E51)</f>
        <v/>
      </c>
      <c r="F52" s="92">
        <f>SUM(F9:F51)</f>
        <v/>
      </c>
      <c r="G52" s="105">
        <f>E52*F53</f>
        <v/>
      </c>
      <c r="H52" s="95">
        <f>SUM(H9:H51)</f>
        <v/>
      </c>
      <c r="I52" s="96">
        <f>SUM(I9:I51)</f>
        <v/>
      </c>
      <c r="J52" s="89">
        <f>SUM(J9:J51)</f>
        <v/>
      </c>
      <c r="K52" s="96">
        <f>SUM(K9:K51)</f>
        <v/>
      </c>
      <c r="L52" s="89">
        <f>SUM(L9:L51)</f>
        <v/>
      </c>
      <c r="M52" s="96">
        <f>SUM(M9:M51)</f>
        <v/>
      </c>
      <c r="N52" s="89">
        <f>SUM(N9:N51)</f>
        <v/>
      </c>
      <c r="O52" s="96">
        <f>SUM(O9:O51)</f>
        <v/>
      </c>
      <c r="P52" s="89">
        <f>SUM(P9:P51)</f>
        <v/>
      </c>
      <c r="Q52" s="96">
        <f>SUM(Q9:Q51)</f>
        <v/>
      </c>
      <c r="R52" s="95">
        <f>SUM(R9:R51)</f>
        <v/>
      </c>
      <c r="S52" s="96">
        <f>SUM(S9:S51)</f>
        <v/>
      </c>
      <c r="T52" s="89">
        <f>SUM(T9:T51)</f>
        <v/>
      </c>
      <c r="U52" s="96">
        <f>SUM(U9:U51)</f>
        <v/>
      </c>
      <c r="V52" s="89">
        <f>SUM(V9:V51)</f>
        <v/>
      </c>
      <c r="W52" s="96">
        <f>SUM(W9:W51)</f>
        <v/>
      </c>
      <c r="X52" s="89">
        <f>SUM(X9:X51)</f>
        <v/>
      </c>
      <c r="Y52" s="96">
        <f>SUM(Y9:Y51)</f>
        <v/>
      </c>
      <c r="Z52" s="89">
        <f>SUM(Z9:Z51)</f>
        <v/>
      </c>
      <c r="AA52" s="96">
        <f>SUM(AA9:AA51)</f>
        <v/>
      </c>
      <c r="AB52" s="89">
        <f>SUM(AB9:AB51)</f>
        <v/>
      </c>
      <c r="AC52" s="96">
        <f>SUM(AC9:AC51)</f>
        <v/>
      </c>
      <c r="AD52" s="89">
        <f>SUM(AD9:AD51)</f>
        <v/>
      </c>
      <c r="AE52" s="96">
        <f>SUM(AE9:AE51)</f>
        <v/>
      </c>
      <c r="AF52" s="89">
        <f>SUM(AF9:AF51)</f>
        <v/>
      </c>
      <c r="AG52" s="96">
        <f>SUM(AG9:AG51)</f>
        <v/>
      </c>
      <c r="AH52" s="89">
        <f>SUM(AH9:AH51)</f>
        <v/>
      </c>
      <c r="AI52" s="96">
        <f>SUM(AI9:AI51)</f>
        <v/>
      </c>
      <c r="AJ52" s="89">
        <f>SUM(AJ9:AJ51)</f>
        <v/>
      </c>
      <c r="AK52" s="96">
        <f>SUM(AK9:AK51)</f>
        <v/>
      </c>
      <c r="AL52" s="89">
        <f>SUM(AL9:AL51)</f>
        <v/>
      </c>
      <c r="AM52" s="96">
        <f>SUM(AM9:AM51)</f>
        <v/>
      </c>
      <c r="AN52" s="89">
        <f>SUM(AN9:AN51)</f>
        <v/>
      </c>
      <c r="AO52" s="96">
        <f>SUM(AO9:AO51)</f>
        <v/>
      </c>
      <c r="AP52" s="89">
        <f>SUM(AP9:AP51)</f>
        <v/>
      </c>
      <c r="AQ52" s="96">
        <f>SUM(AQ9:AQ51)</f>
        <v/>
      </c>
      <c r="AR52" s="89">
        <f>SUM(AR9:AR51)</f>
        <v/>
      </c>
      <c r="AS52" s="96">
        <f>SUM(AS9:AS51)</f>
        <v/>
      </c>
      <c r="AT52" s="89">
        <f>SUM(AT9:AT51)</f>
        <v/>
      </c>
      <c r="AU52" s="96">
        <f>SUM(AU9:AU51)</f>
        <v/>
      </c>
      <c r="AV52" s="89">
        <f>SUM(AV9:AV51)</f>
        <v/>
      </c>
      <c r="AW52" s="96">
        <f>SUM(AW9:AW51)</f>
        <v/>
      </c>
      <c r="AX52" s="89">
        <f>SUM(AX9:AX51)</f>
        <v/>
      </c>
      <c r="AY52" s="96">
        <f>SUM(AY9:AY51)</f>
        <v/>
      </c>
      <c r="AZ52" s="89">
        <f>SUM(AZ9:AZ51)</f>
        <v/>
      </c>
      <c r="BA52" s="96">
        <f>SUM(BA9:BA51)</f>
        <v/>
      </c>
      <c r="BB52" s="89">
        <f>SUM(BB9:BB51)</f>
        <v/>
      </c>
      <c r="BC52" s="96">
        <f>SUM(BC9:BC51)</f>
        <v/>
      </c>
      <c r="BD52" s="89">
        <f>SUM(BD9:BD51)</f>
        <v/>
      </c>
      <c r="BE52" s="96">
        <f>SUM(BE9:BE51)</f>
        <v/>
      </c>
      <c r="BF52" s="89">
        <f>SUM(BF9:BF51)</f>
        <v/>
      </c>
      <c r="BG52" s="96">
        <f>SUM(BG9:BG51)</f>
        <v/>
      </c>
      <c r="BH52" s="89">
        <f>SUM(BH9:BH51)</f>
        <v/>
      </c>
      <c r="BI52" s="96">
        <f>SUM(BI9:BI51)</f>
        <v/>
      </c>
      <c r="BJ52" s="89">
        <f>SUM(BJ9:BJ51)</f>
        <v/>
      </c>
      <c r="BK52" s="96">
        <f>SUM(BK9:BK51)</f>
        <v/>
      </c>
      <c r="BL52" s="89">
        <f>SUM(BL9:BL51)</f>
        <v/>
      </c>
      <c r="BM52" s="96">
        <f>SUM(BM9:BM51)</f>
        <v/>
      </c>
      <c r="BN52" s="89">
        <f>SUM(BN9:BN51)</f>
        <v/>
      </c>
      <c r="BO52" s="96">
        <f>SUM(BO9:BO51)</f>
        <v/>
      </c>
      <c r="BP52" s="89">
        <f>SUM(BP9:BP51)</f>
        <v/>
      </c>
      <c r="BQ52" s="96">
        <f>SUM(BQ9:BQ51)</f>
        <v/>
      </c>
      <c r="BR52" s="89">
        <f>SUM(BR9:BR51)</f>
        <v/>
      </c>
      <c r="BS52" s="96">
        <f>SUM(BS9:BS51)</f>
        <v/>
      </c>
      <c r="BT52" s="89">
        <f>SUM(BT9:BT51)</f>
        <v/>
      </c>
      <c r="BU52" s="96">
        <f>SUM(BU9:BU51)</f>
        <v/>
      </c>
      <c r="BV52" s="89">
        <f>SUM(BV9:BV51)</f>
        <v/>
      </c>
      <c r="BW52" s="96">
        <f>SUM(BW9:BW51)</f>
        <v/>
      </c>
      <c r="BX52" s="89">
        <f>SUM(BX9:BX51)</f>
        <v/>
      </c>
      <c r="BY52" s="96">
        <f>SUM(BY9:BY51)</f>
        <v/>
      </c>
      <c r="BZ52" s="89">
        <f>SUM(BZ9:BZ51)</f>
        <v/>
      </c>
      <c r="CA52" s="96">
        <f>SUM(CA9:CA51)</f>
        <v/>
      </c>
      <c r="CB52" s="89">
        <f>SUM(CB9:CB51)</f>
        <v/>
      </c>
      <c r="CC52" s="96">
        <f>SUM(CC9:CC51)</f>
        <v/>
      </c>
      <c r="CD52" s="89">
        <f>SUM(CD9:CD51)</f>
        <v/>
      </c>
      <c r="CE52" s="96">
        <f>SUM(CE9:CE51)</f>
        <v/>
      </c>
      <c r="CF52" s="89">
        <f>SUM(CF9:CF51)</f>
        <v/>
      </c>
      <c r="CG52" s="96">
        <f>SUM(CG9:CG51)</f>
        <v/>
      </c>
      <c r="CH52" s="89">
        <f>SUM(CH9:CH51)</f>
        <v/>
      </c>
      <c r="CI52" s="96">
        <f>SUM(CI9:CI51)</f>
        <v/>
      </c>
      <c r="CJ52" s="89">
        <f>SUM(CJ9:CJ51)</f>
        <v/>
      </c>
      <c r="CK52" s="96">
        <f>SUM(CK9:CK51)</f>
        <v/>
      </c>
      <c r="CL52" s="89">
        <f>SUM(CL9:CL51)</f>
        <v/>
      </c>
      <c r="CM52" s="96">
        <f>SUM(CM9:CM51)</f>
        <v/>
      </c>
      <c r="CN52" s="89">
        <f>SUM(CN9:CN51)</f>
        <v/>
      </c>
      <c r="CO52" s="96">
        <f>SUM(CO9:CO51)</f>
        <v/>
      </c>
      <c r="CP52" s="89">
        <f>SUM(CP9:CP51)</f>
        <v/>
      </c>
      <c r="CQ52" s="96">
        <f>SUM(CQ9:CQ51)</f>
        <v/>
      </c>
      <c r="CR52" s="89">
        <f>SUM(CR9:CR51)</f>
        <v/>
      </c>
      <c r="CS52" s="96">
        <f>SUM(CS9:CS51)</f>
        <v/>
      </c>
      <c r="CT52" s="89">
        <f>SUM(CT9:CT51)</f>
        <v/>
      </c>
      <c r="CU52" s="96">
        <f>SUM(CU9:CU51)</f>
        <v/>
      </c>
      <c r="CV52" s="89">
        <f>SUM(CV9:CV51)</f>
        <v/>
      </c>
      <c r="CW52" s="96">
        <f>SUM(CW9:CW51)</f>
        <v/>
      </c>
      <c r="CX52" s="89">
        <f>SUM(CX9:CX51)</f>
        <v/>
      </c>
      <c r="CY52" s="96">
        <f>SUM(CY9:CY51)</f>
        <v/>
      </c>
      <c r="CZ52" s="89">
        <f>SUM(CZ9:CZ51)</f>
        <v/>
      </c>
      <c r="DA52" s="96">
        <f>SUM(DA9:DA51)</f>
        <v/>
      </c>
      <c r="DB52" s="89">
        <f>SUM(DB9:DB51)</f>
        <v/>
      </c>
      <c r="DC52" s="96">
        <f>SUM(DC9:DC51)</f>
        <v/>
      </c>
      <c r="DD52" s="89">
        <f>SUM(DD9:DD51)</f>
        <v/>
      </c>
      <c r="DE52" s="96">
        <f>SUM(DE9:DE51)</f>
        <v/>
      </c>
      <c r="DF52" s="89">
        <f>SUM(DF9:DF51)</f>
        <v/>
      </c>
      <c r="DG52" s="96">
        <f>SUM(DG9:DG51)</f>
        <v/>
      </c>
      <c r="DH52" s="89">
        <f>SUM(DH9:DH51)</f>
        <v/>
      </c>
      <c r="DI52" s="96">
        <f>SUM(DI9:DI51)</f>
        <v/>
      </c>
      <c r="DJ52" s="89">
        <f>SUM(DJ9:DJ51)</f>
        <v/>
      </c>
      <c r="DK52" s="96">
        <f>SUM(DK9:DK51)</f>
        <v/>
      </c>
      <c r="DL52" s="89">
        <f>SUM(DL9:DL51)</f>
        <v/>
      </c>
      <c r="DM52" s="96">
        <f>SUM(DM9:DM51)</f>
        <v/>
      </c>
      <c r="DN52" s="89">
        <f>SUM(DN9:DN51)</f>
        <v/>
      </c>
      <c r="DO52" s="96">
        <f>SUM(DO9:DO51)</f>
        <v/>
      </c>
      <c r="DP52" s="89">
        <f>SUM(DP9:DP51)</f>
        <v/>
      </c>
      <c r="DQ52" s="96">
        <f>SUM(DQ9:DQ51)</f>
        <v/>
      </c>
      <c r="DR52" s="89">
        <f>SUM(DR9:DR51)</f>
        <v/>
      </c>
      <c r="DS52" s="96">
        <f>SUM(DS9:DS51)</f>
        <v/>
      </c>
      <c r="DT52" s="89">
        <f>SUM(DT9:DT51)</f>
        <v/>
      </c>
      <c r="DU52" s="96">
        <f>SUM(DU9:DU51)</f>
        <v/>
      </c>
      <c r="DV52" s="89">
        <f>SUM(DV9:DV51)</f>
        <v/>
      </c>
      <c r="DW52" s="96">
        <f>SUM(DW9:DW51)</f>
        <v/>
      </c>
      <c r="DX52" s="89">
        <f>SUM(DX9:DX51)</f>
        <v/>
      </c>
      <c r="DY52" s="96">
        <f>SUM(DY9:DY51)</f>
        <v/>
      </c>
      <c r="DZ52" s="89">
        <f>SUM(DZ9:DZ51)</f>
        <v/>
      </c>
      <c r="EA52" s="96">
        <f>SUM(EA9:EA51)</f>
        <v/>
      </c>
      <c r="EB52" s="89">
        <f>SUM(EB9:EB51)</f>
        <v/>
      </c>
      <c r="EC52" s="96">
        <f>SUM(EC9:EC51)</f>
        <v/>
      </c>
      <c r="ED52" s="89">
        <f>SUM(ED9:ED51)</f>
        <v/>
      </c>
      <c r="EE52" s="96">
        <f>SUM(EE9:EE51)</f>
        <v/>
      </c>
      <c r="EF52" s="89">
        <f>SUM(EF9:EF51)</f>
        <v/>
      </c>
      <c r="EG52" s="96">
        <f>SUM(EG9:EG51)</f>
        <v/>
      </c>
      <c r="EH52" s="89">
        <f>SUM(EH9:EH51)</f>
        <v/>
      </c>
      <c r="EI52" s="96">
        <f>SUM(EI9:EI51)</f>
        <v/>
      </c>
      <c r="EJ52" s="89">
        <f>SUM(EJ9:EJ51)</f>
        <v/>
      </c>
      <c r="EK52" s="96">
        <f>SUM(EK9:EK51)</f>
        <v/>
      </c>
      <c r="EL52" s="89">
        <f>SUM(EL9:EL51)</f>
        <v/>
      </c>
      <c r="EM52" s="96">
        <f>SUM(EM9:EM51)</f>
        <v/>
      </c>
      <c r="EN52" s="89">
        <f>SUM(EN9:EN51)</f>
        <v/>
      </c>
      <c r="EO52" s="96">
        <f>SUM(EO9:EO51)</f>
        <v/>
      </c>
      <c r="EP52" s="89">
        <f>SUM(EP9:EP51)</f>
        <v/>
      </c>
      <c r="EQ52" s="96">
        <f>SUM(EQ9:EQ51)</f>
        <v/>
      </c>
      <c r="ER52" s="89">
        <f>SUM(ER9:ER51)</f>
        <v/>
      </c>
      <c r="ES52" s="96">
        <f>SUM(ES9:ES51)</f>
        <v/>
      </c>
      <c r="ET52" s="89">
        <f>SUM(ET9:ET51)</f>
        <v/>
      </c>
      <c r="EU52" s="96">
        <f>SUM(EU9:EU51)</f>
        <v/>
      </c>
      <c r="EV52" s="89">
        <f>SUM(EV9:EV51)</f>
        <v/>
      </c>
      <c r="EW52" s="96">
        <f>SUM(EW9:EW51)</f>
        <v/>
      </c>
      <c r="EX52" s="89">
        <f>SUM(EX9:EX51)</f>
        <v/>
      </c>
      <c r="EY52" s="96">
        <f>SUM(EY9:EY51)</f>
        <v/>
      </c>
      <c r="EZ52" s="89">
        <f>SUM(EZ9:EZ51)</f>
        <v/>
      </c>
      <c r="FA52" s="96">
        <f>SUM(FA9:FA51)</f>
        <v/>
      </c>
      <c r="FB52" s="89">
        <f>SUM(FB9:FB51)</f>
        <v/>
      </c>
      <c r="FC52" s="96">
        <f>SUM(FC9:FC51)</f>
        <v/>
      </c>
      <c r="FD52" s="89">
        <f>SUM(FD9:FD51)</f>
        <v/>
      </c>
      <c r="FE52" s="96">
        <f>SUM(FE9:FE51)</f>
        <v/>
      </c>
      <c r="FF52" s="89">
        <f>SUM(FF9:FF51)</f>
        <v/>
      </c>
      <c r="FG52" s="96">
        <f>SUM(FG9:FG51)</f>
        <v/>
      </c>
      <c r="FH52" s="89">
        <f>SUM(FH9:FH51)</f>
        <v/>
      </c>
      <c r="FI52" s="96">
        <f>SUM(FI9:FI51)</f>
        <v/>
      </c>
      <c r="FJ52" s="89">
        <f>SUM(FJ9:FJ51)</f>
        <v/>
      </c>
      <c r="FK52" s="96">
        <f>SUM(FK9:FK51)</f>
        <v/>
      </c>
      <c r="FL52" s="89">
        <f>SUM(FL9:FL51)</f>
        <v/>
      </c>
      <c r="FM52" s="96">
        <f>SUM(FM9:FM51)</f>
        <v/>
      </c>
      <c r="FN52" s="89">
        <f>SUM(FN9:FN51)</f>
        <v/>
      </c>
      <c r="FO52" s="96">
        <f>SUM(FO9:FO51)</f>
        <v/>
      </c>
      <c r="FP52" s="89">
        <f>SUM(FP9:FP51)</f>
        <v/>
      </c>
      <c r="FQ52" s="96">
        <f>SUM(FQ9:FQ51)</f>
        <v/>
      </c>
      <c r="FR52" s="89">
        <f>SUM(FR9:FR51)</f>
        <v/>
      </c>
      <c r="FS52" s="96">
        <f>SUM(FS9:FS51)</f>
        <v/>
      </c>
      <c r="FT52" s="89">
        <f>SUM(FT9:FT51)</f>
        <v/>
      </c>
      <c r="FU52" s="96">
        <f>SUM(FU9:FU51)</f>
        <v/>
      </c>
      <c r="FV52" s="89">
        <f>SUM(FV9:FV51)</f>
        <v/>
      </c>
      <c r="FW52" s="96">
        <f>SUM(FW9:FW51)</f>
        <v/>
      </c>
      <c r="FX52" s="89">
        <f>SUM(FX9:FX51)</f>
        <v/>
      </c>
      <c r="FY52" s="96">
        <f>SUM(FY9:FY51)</f>
        <v/>
      </c>
      <c r="FZ52" s="89">
        <f>SUM(FZ9:FZ51)</f>
        <v/>
      </c>
      <c r="GA52" s="96">
        <f>SUM(GA9:GA51)</f>
        <v/>
      </c>
      <c r="GB52" s="89">
        <f>SUM(GB9:GB51)</f>
        <v/>
      </c>
      <c r="GC52" s="96">
        <f>SUM(GC9:GC51)</f>
        <v/>
      </c>
      <c r="GD52" s="89">
        <f>SUM(GD9:GD51)</f>
        <v/>
      </c>
      <c r="GE52" s="96">
        <f>SUM(GE9:GE51)</f>
        <v/>
      </c>
      <c r="GF52" s="89">
        <f>SUM(GF9:GF51)</f>
        <v/>
      </c>
      <c r="GG52" s="96">
        <f>SUM(GG9:GG51)</f>
        <v/>
      </c>
      <c r="GH52" s="89">
        <f>SUM(GH9:GH51)</f>
        <v/>
      </c>
      <c r="GI52" s="96">
        <f>SUM(GI9:GI51)</f>
        <v/>
      </c>
      <c r="GJ52" s="89">
        <f>SUM(GJ9:GJ51)</f>
        <v/>
      </c>
      <c r="GK52" s="96">
        <f>SUM(GK9:GK51)</f>
        <v/>
      </c>
      <c r="GL52" s="89">
        <f>SUM(GL9:GL51)</f>
        <v/>
      </c>
      <c r="GM52" s="96">
        <f>SUM(GM9:GM51)</f>
        <v/>
      </c>
      <c r="GN52" s="89">
        <f>SUM(GN9:GN51)</f>
        <v/>
      </c>
      <c r="GO52" s="96">
        <f>SUM(GO9:GO51)</f>
        <v/>
      </c>
      <c r="GP52" s="89">
        <f>SUM(GP9:GP51)</f>
        <v/>
      </c>
      <c r="GQ52" s="96">
        <f>SUM(GQ9:GQ51)</f>
        <v/>
      </c>
      <c r="GR52" s="89">
        <f>SUM(GR9:GR51)</f>
        <v/>
      </c>
      <c r="GS52" s="96">
        <f>SUM(GS9:GS51)</f>
        <v/>
      </c>
      <c r="GT52" s="89">
        <f>SUM(GT9:GT51)</f>
        <v/>
      </c>
      <c r="GU52" s="96">
        <f>SUM(GU9:GU51)</f>
        <v/>
      </c>
      <c r="GV52" s="89">
        <f>SUM(GV9:GV51)</f>
        <v/>
      </c>
      <c r="GW52" s="96">
        <f>SUM(GW9:GW51)</f>
        <v/>
      </c>
      <c r="GX52" s="89">
        <f>SUM(GX9:GX51)</f>
        <v/>
      </c>
      <c r="GY52" s="96">
        <f>SUM(GY9:GY51)</f>
        <v/>
      </c>
      <c r="GZ52" s="89">
        <f>SUM(GZ9:GZ51)</f>
        <v/>
      </c>
      <c r="HA52" s="96">
        <f>SUM(HA9:HA51)</f>
        <v/>
      </c>
      <c r="HB52" s="89">
        <f>SUM(HB9:HB51)</f>
        <v/>
      </c>
      <c r="HC52" s="96">
        <f>SUM(HC9:HC51)</f>
        <v/>
      </c>
      <c r="HD52" s="89">
        <f>SUM(HD9:HD51)</f>
        <v/>
      </c>
      <c r="HE52" s="96">
        <f>SUM(HE9:HE51)</f>
        <v/>
      </c>
      <c r="HF52" s="89">
        <f>SUM(HF9:HF51)</f>
        <v/>
      </c>
      <c r="HG52" s="96">
        <f>SUM(HG9:HG51)</f>
        <v/>
      </c>
      <c r="HH52" s="89">
        <f>SUM(HH9:HH51)</f>
        <v/>
      </c>
      <c r="HI52" s="96">
        <f>SUM(HI9:HI51)</f>
        <v/>
      </c>
      <c r="HJ52" s="89">
        <f>SUM(HJ9:HJ51)</f>
        <v/>
      </c>
      <c r="HK52" s="96">
        <f>SUM(HK9:HK51)</f>
        <v/>
      </c>
      <c r="HL52" s="89">
        <f>SUM(HL9:HL51)</f>
        <v/>
      </c>
      <c r="HM52" s="96">
        <f>SUM(HM9:HM51)</f>
        <v/>
      </c>
      <c r="HN52" s="89">
        <f>SUM(HN9:HN51)</f>
        <v/>
      </c>
      <c r="HO52" s="96">
        <f>SUM(HO9:HO51)</f>
        <v/>
      </c>
      <c r="HP52" s="89">
        <f>SUM(HP9:HP51)</f>
        <v/>
      </c>
      <c r="HQ52" s="96">
        <f>SUM(HQ9:HQ51)</f>
        <v/>
      </c>
      <c r="HR52" s="89">
        <f>SUM(HR9:HR51)</f>
        <v/>
      </c>
      <c r="HS52" s="96">
        <f>SUM(HS9:HS51)</f>
        <v/>
      </c>
      <c r="HT52" s="89">
        <f>SUM(HT9:HT51)</f>
        <v/>
      </c>
      <c r="HU52" s="96">
        <f>SUM(HU9:HU51)</f>
        <v/>
      </c>
      <c r="HV52" s="89">
        <f>SUM(HV9:HV51)</f>
        <v/>
      </c>
      <c r="HW52" s="96">
        <f>SUM(HW9:HW51)</f>
        <v/>
      </c>
      <c r="HX52" s="89">
        <f>SUM(HX9:HX51)</f>
        <v/>
      </c>
      <c r="HY52" s="96">
        <f>SUM(HY9:HY51)</f>
        <v/>
      </c>
      <c r="HZ52" s="89">
        <f>SUM(HZ9:HZ51)</f>
        <v/>
      </c>
      <c r="IA52" s="96">
        <f>SUM(IA9:IA51)</f>
        <v/>
      </c>
      <c r="IB52" s="89">
        <f>SUM(IB9:IB51)</f>
        <v/>
      </c>
      <c r="IC52" s="96">
        <f>SUM(IC9:IC51)</f>
        <v/>
      </c>
      <c r="ID52" s="89">
        <f>SUM(ID9:ID51)</f>
        <v/>
      </c>
      <c r="IE52" s="96">
        <f>SUM(IE9:IE51)</f>
        <v/>
      </c>
      <c r="IF52" s="89">
        <f>SUM(IF9:IF51)</f>
        <v/>
      </c>
      <c r="IG52" s="96">
        <f>SUM(IG9:IG51)</f>
        <v/>
      </c>
      <c r="IH52" s="89">
        <f>SUM(IH9:IH51)</f>
        <v/>
      </c>
      <c r="II52" s="96">
        <f>SUM(II9:II51)</f>
        <v/>
      </c>
      <c r="IJ52" s="89">
        <f>SUM(IJ9:IJ51)</f>
        <v/>
      </c>
      <c r="IK52" s="96">
        <f>SUM(IK9:IK51)</f>
        <v/>
      </c>
      <c r="IL52" s="89">
        <f>SUM(IL9:IL51)</f>
        <v/>
      </c>
      <c r="IM52" s="96">
        <f>SUM(IM9:IM51)</f>
        <v/>
      </c>
      <c r="IN52" s="89">
        <f>SUM(IN9:IN51)</f>
        <v/>
      </c>
      <c r="IO52" s="96">
        <f>SUM(IO9:IO51)</f>
        <v/>
      </c>
      <c r="IP52" s="89">
        <f>SUM(IP9:IP51)</f>
        <v/>
      </c>
      <c r="IQ52" s="96">
        <f>SUM(IQ9:IQ51)</f>
        <v/>
      </c>
      <c r="IR52" s="89">
        <f>SUM(IR9:IR51)</f>
        <v/>
      </c>
      <c r="IS52" s="96">
        <f>SUM(IS9:IS51)</f>
        <v/>
      </c>
      <c r="IT52" s="89">
        <f>SUM(IT9:IT51)</f>
        <v/>
      </c>
      <c r="IU52" s="96">
        <f>SUM(IU9:IU51)</f>
        <v/>
      </c>
      <c r="IV52" s="89">
        <f>SUM(IV9:IV51)</f>
        <v/>
      </c>
      <c r="IW52" s="96">
        <f>SUM(IW9:IW51)</f>
        <v/>
      </c>
      <c r="IX52" s="89">
        <f>SUM(IX9:IX51)</f>
        <v/>
      </c>
      <c r="IY52" s="96">
        <f>SUM(IY9:IY51)</f>
        <v/>
      </c>
      <c r="IZ52" s="89">
        <f>SUM(IZ9:IZ51)</f>
        <v/>
      </c>
      <c r="JA52" s="96">
        <f>SUM(JA9:JA51)</f>
        <v/>
      </c>
      <c r="JB52" s="89">
        <f>SUM(JB9:JB51)</f>
        <v/>
      </c>
      <c r="JC52" s="96">
        <f>SUM(JC9:JC51)</f>
        <v/>
      </c>
      <c r="JD52" s="89">
        <f>SUM(JD9:JD51)</f>
        <v/>
      </c>
      <c r="JE52" s="96">
        <f>SUM(JE9:JE51)</f>
        <v/>
      </c>
      <c r="JF52" s="89">
        <f>SUM(JF9:JF51)</f>
        <v/>
      </c>
      <c r="JG52" s="96">
        <f>SUM(JG9:JG51)</f>
        <v/>
      </c>
      <c r="JH52" s="89">
        <f>SUM(JH9:JH51)</f>
        <v/>
      </c>
      <c r="JI52" s="96">
        <f>SUM(JI9:JI51)</f>
        <v/>
      </c>
      <c r="JJ52" s="89">
        <f>SUM(JJ9:JJ51)</f>
        <v/>
      </c>
      <c r="JK52" s="96">
        <f>SUM(JK9:JK51)</f>
        <v/>
      </c>
      <c r="JL52" s="89">
        <f>SUM(JL9:JL51)</f>
        <v/>
      </c>
      <c r="JM52" s="96">
        <f>SUM(JM9:JM51)</f>
        <v/>
      </c>
      <c r="JN52" s="93">
        <f>SUM(JN9:JN51)</f>
        <v/>
      </c>
      <c r="JO52" s="102">
        <f>JN52*100/$E$25</f>
        <v/>
      </c>
      <c r="JP52" s="94">
        <f>SUM(JP9:JP51)</f>
        <v/>
      </c>
      <c r="JQ52" s="103">
        <f>JP52*100/$E$15</f>
        <v/>
      </c>
      <c r="JR52" s="94">
        <f>SUM(JR9:JR51)</f>
        <v/>
      </c>
      <c r="JS52" s="102">
        <f>JR52*100/$E$25</f>
        <v/>
      </c>
      <c r="JT52" s="94">
        <f>SUM(JT9:JT51)</f>
        <v/>
      </c>
      <c r="JU52" s="102">
        <f>JT52*100/$E$25</f>
        <v/>
      </c>
      <c r="JV52" s="94">
        <f>SUM(JV9:JV51)</f>
        <v/>
      </c>
      <c r="JW52" s="102">
        <f>JV52*100/$E$25</f>
        <v/>
      </c>
      <c r="JX52" s="94">
        <f>SUM(JX9:JX51)</f>
        <v/>
      </c>
      <c r="JY52" s="102">
        <f>JX52*100/$E$25</f>
        <v/>
      </c>
      <c r="JZ52" s="102">
        <f>JN52+JP52+JR52+JT52+JV52+JX52</f>
        <v/>
      </c>
      <c r="KA52" s="106">
        <f>SUM(KA9:KA51)</f>
        <v/>
      </c>
      <c r="KB52" s="104">
        <f>H52+J52+L52+N52+P52+R52+T52+V52+X52+Z52+AB52+AD52+AF52+AH52+AJ52+AL52+AN52+AP52+AR52+AT52+AV52+AX52+AZ52+BB52+BD52+BF52+BH52+BJ52+BL52+BN52+BP52+BR52+BT52+BV52+BX52+BZ52+CB52+CD52+CF52+CH52+CZ52+DB52+DD52+DF52+DH52+DJ52+DL52+DN52+DP52+DR52+DT52+DV52+DX52+DZ52+EB52+ED52+EF52+EH52+EJ52+EL52+EN52+EP52+ER52+ET52+EV52+FN52+FP52+FR52+FT52+FV52+FX52+FZ52+GB52+GD52+GF52+GH52+GJ52+GL52+GN52+GP52+GR52+GT52+GV52+GX52+GZ52+HB52+HD52+HF52+HH52+HJ52+HL52+HN52+HP52+HR52+HT52+HV52+HX52+HZ52+IB52+ID52+IF52+IH52+IJ52+IL52+IN52+IP52+IR52+IT52+IV52+IX52+IZ52+JB52+JD52+JF52+JH52+JJ52+JL52+JZ52+CJ52+CL52+CN52+CP52+CR52+CT52+CV52+CX52+EX52+EZ52+FB52+FD52+FF52+FH52+FJ52+FL52</f>
        <v/>
      </c>
      <c r="KC52" s="116">
        <f>I52+K52+M52+O52+Q52+S52+U52+W52+Y52+AA52+AC52+AE52+AG52+AI52+AK52+AM52+AO52+AQ52+AS52+AU52+AW52+AY52+BA52+BC52+BE52+BG52+BI52+BK52+BM52+BO52+BQ52+BS52+BU52+BW52+BY52+CA52+CC52+CE52+CG52+CI52+DA52+DC52+DE52+DG52+DI52+DK52+DM52+DO52+DQ52+DS52+DU52+DW52+DY52+EA52+EC52+EE52+EG52+EI52+EK52+EM52+EO52+EQ52+ES52+EU52+EW52+FO52+FS52+FU52+FW52+FQ52+FY52+GA52+GC52+GE52+GG52+GI52+GK52+GM52+GO52+GQ52+GS52+GU52+GW52+GY52+HA52+HC52+HE52+HG52+HI52+HK52+HM52+HO52+HQ52+HS52+HU52+HW52+HY52+IA52+IC52+IE52+IG52+II52+IK52+IM52+IO52+IQ52+IS52+IU52+IW52+IY52+JA52+JC52+JE52+JG52+JI52+JK52+JM52+KA52+CK52+CM52+CO52+CQ52+CS52+CU52+CW52+CY52+EY52+FA52+FC52+FE52+FG52+FI52+FK52+FM52</f>
        <v/>
      </c>
      <c r="KD52" s="97" t="n"/>
      <c r="KE52" s="98" t="n"/>
      <c r="KF52" s="97" t="n"/>
      <c r="KG52" s="97" t="n"/>
      <c r="KH52" s="98" t="n"/>
      <c r="KI52" s="98" t="n"/>
      <c r="KJ52" s="98" t="n"/>
      <c r="KK52" s="98" t="n"/>
      <c r="KL52" s="98" t="n"/>
      <c r="KM52" s="98" t="n"/>
      <c r="KN52" s="99" t="n"/>
    </row>
    <row r="53" ht="29.25" customFormat="1" customHeight="1" s="292" thickBot="1">
      <c r="A53" s="111" t="n"/>
      <c r="B53" s="148" t="inlineStr">
        <is>
          <t>Плановая ЗП</t>
        </is>
      </c>
      <c r="C53" s="78" t="n"/>
      <c r="D53" s="112" t="n"/>
      <c r="E53" s="113" t="n"/>
      <c r="F53" s="250">
        <f>F52/D52</f>
        <v/>
      </c>
      <c r="G53" s="118" t="n"/>
      <c r="H53" s="276">
        <f>$F$53*H52</f>
        <v/>
      </c>
      <c r="I53" s="277" t="n"/>
      <c r="J53" s="245">
        <f>$F$53*J52</f>
        <v/>
      </c>
      <c r="K53" s="246" t="n"/>
      <c r="L53" s="245">
        <f>$F$53*L52</f>
        <v/>
      </c>
      <c r="M53" s="246" t="n"/>
      <c r="N53" s="254">
        <f>$F$53*N52</f>
        <v/>
      </c>
      <c r="O53" s="255" t="n"/>
      <c r="P53" s="245">
        <f>$F$53*P52</f>
        <v/>
      </c>
      <c r="Q53" s="246" t="n"/>
      <c r="R53" s="269">
        <f>$F$53*R52</f>
        <v/>
      </c>
      <c r="S53" s="246" t="n"/>
      <c r="T53" s="311">
        <f>$F$53*T52</f>
        <v/>
      </c>
      <c r="V53" s="291">
        <f>$F$53*V52</f>
        <v/>
      </c>
      <c r="X53" s="291">
        <f>$F$53*X52</f>
        <v/>
      </c>
      <c r="Z53" s="313">
        <f>$F$53*Z52</f>
        <v/>
      </c>
      <c r="AA53" s="306" t="n"/>
      <c r="AB53" s="245">
        <f>$F$53*AB52</f>
        <v/>
      </c>
      <c r="AC53" s="246" t="n"/>
      <c r="AD53" s="250">
        <f>$F$53*AD52</f>
        <v/>
      </c>
      <c r="AE53" s="251" t="n"/>
      <c r="AF53" s="245">
        <f>$F$53*AF52</f>
        <v/>
      </c>
      <c r="AG53" s="246" t="n"/>
      <c r="AH53" s="245">
        <f>$F$53*AH52</f>
        <v/>
      </c>
      <c r="AI53" s="246" t="n"/>
      <c r="AJ53" s="245">
        <f>$F$53*AJ52</f>
        <v/>
      </c>
      <c r="AK53" s="246" t="n"/>
      <c r="AL53" s="245">
        <f>$F$53*AL52</f>
        <v/>
      </c>
      <c r="AM53" s="246" t="n"/>
      <c r="AN53" s="250">
        <f>$F$53*AN52</f>
        <v/>
      </c>
      <c r="AO53" s="251" t="n"/>
      <c r="AP53" s="250">
        <f>$F$53*AP52</f>
        <v/>
      </c>
      <c r="AQ53" s="251" t="n"/>
      <c r="AR53" s="245">
        <f>$F$53*AR52</f>
        <v/>
      </c>
      <c r="AS53" s="246" t="n"/>
      <c r="AT53" s="250">
        <f>$F$53*AT52</f>
        <v/>
      </c>
      <c r="AU53" s="251" t="n"/>
      <c r="AV53" s="245">
        <f>$F$53*AV52</f>
        <v/>
      </c>
      <c r="AW53" s="246" t="n"/>
      <c r="AX53" s="250">
        <f>$F$53*AX52</f>
        <v/>
      </c>
      <c r="AY53" s="251" t="n"/>
      <c r="AZ53" s="245">
        <f>$F$53*AZ52</f>
        <v/>
      </c>
      <c r="BA53" s="246" t="n"/>
      <c r="BB53" s="250">
        <f>$F$53*BB52</f>
        <v/>
      </c>
      <c r="BC53" s="251" t="n"/>
      <c r="BD53" s="245">
        <f>$F$53*BD52</f>
        <v/>
      </c>
      <c r="BE53" s="246" t="n"/>
      <c r="BF53" s="250">
        <f>$F$53*BF52</f>
        <v/>
      </c>
      <c r="BG53" s="251" t="n"/>
      <c r="BH53" s="250">
        <f>$F$53*BH52</f>
        <v/>
      </c>
      <c r="BI53" s="251" t="n"/>
      <c r="BJ53" s="250">
        <f>$F$53*BJ52</f>
        <v/>
      </c>
      <c r="BK53" s="251" t="n"/>
      <c r="BL53" s="245">
        <f>$F$53*BL52</f>
        <v/>
      </c>
      <c r="BM53" s="246" t="n"/>
      <c r="BN53" s="245">
        <f>$F$53*BN52</f>
        <v/>
      </c>
      <c r="BO53" s="246" t="n"/>
      <c r="BP53" s="245">
        <f>$F$53*BP52</f>
        <v/>
      </c>
      <c r="BQ53" s="246" t="n"/>
      <c r="BR53" s="245">
        <f>$F$53*BR52</f>
        <v/>
      </c>
      <c r="BS53" s="246" t="n"/>
      <c r="BT53" s="245">
        <f>$F$53*BT52</f>
        <v/>
      </c>
      <c r="BU53" s="246" t="n"/>
      <c r="BV53" s="245">
        <f>$F$53*BV52</f>
        <v/>
      </c>
      <c r="BW53" s="246" t="n"/>
      <c r="BX53" s="245">
        <f>$F$53*BX52</f>
        <v/>
      </c>
      <c r="BY53" s="246" t="n"/>
      <c r="BZ53" s="245">
        <f>$F$53*BZ52</f>
        <v/>
      </c>
      <c r="CA53" s="246" t="n"/>
      <c r="CB53" s="250">
        <f>$F$53*CB52</f>
        <v/>
      </c>
      <c r="CC53" s="251" t="n"/>
      <c r="CD53" s="250">
        <f>$F$53*CD52</f>
        <v/>
      </c>
      <c r="CE53" s="251" t="n"/>
      <c r="CF53" s="250">
        <f>$F$53*CF52</f>
        <v/>
      </c>
      <c r="CG53" s="251" t="n"/>
      <c r="CH53" s="245">
        <f>$F$53*CH52</f>
        <v/>
      </c>
      <c r="CI53" s="246" t="n"/>
      <c r="CJ53" s="245">
        <f>$F$53*CJ52</f>
        <v/>
      </c>
      <c r="CK53" s="246" t="n"/>
      <c r="CL53" s="245">
        <f>$F$53*CL52</f>
        <v/>
      </c>
      <c r="CM53" s="246" t="n"/>
      <c r="CN53" s="245">
        <f>$F$53*CN52</f>
        <v/>
      </c>
      <c r="CO53" s="246" t="n"/>
      <c r="CP53" s="290">
        <f>$F$53*CP52</f>
        <v/>
      </c>
      <c r="CQ53" s="255" t="n"/>
      <c r="CR53" s="245">
        <f>$F$53*CR52</f>
        <v/>
      </c>
      <c r="CS53" s="246" t="n"/>
      <c r="CT53" s="245">
        <f>$F$53*CT52</f>
        <v/>
      </c>
      <c r="CU53" s="246" t="n"/>
      <c r="CV53" s="273">
        <f>$F$53*CV52</f>
        <v/>
      </c>
      <c r="CW53" s="251" t="n"/>
      <c r="CX53" s="245">
        <f>$F$53*CX52</f>
        <v/>
      </c>
      <c r="CY53" s="246" t="n"/>
      <c r="CZ53" s="245">
        <f>$F$53*CZ52</f>
        <v/>
      </c>
      <c r="DA53" s="246" t="n"/>
      <c r="DB53" s="273">
        <f>$F$53*DB52</f>
        <v/>
      </c>
      <c r="DC53" s="251" t="n"/>
      <c r="DD53" s="245">
        <f>$F$53*DD52</f>
        <v/>
      </c>
      <c r="DE53" s="246" t="n"/>
      <c r="DF53" s="250">
        <f>$F$53*DF52</f>
        <v/>
      </c>
      <c r="DG53" s="251" t="n"/>
      <c r="DH53" s="245">
        <f>$F$53*DH52</f>
        <v/>
      </c>
      <c r="DI53" s="246" t="n"/>
      <c r="DJ53" s="245">
        <f>$F$53*DJ52</f>
        <v/>
      </c>
      <c r="DK53" s="246" t="n"/>
      <c r="DL53" s="250">
        <f>$F$53*DL52</f>
        <v/>
      </c>
      <c r="DM53" s="251" t="n"/>
      <c r="DN53" s="254">
        <f>$F$53*DN52</f>
        <v/>
      </c>
      <c r="DO53" s="255" t="n"/>
      <c r="DP53" s="250">
        <f>$F$53*DP52</f>
        <v/>
      </c>
      <c r="DQ53" s="251" t="n"/>
      <c r="DR53" s="245">
        <f>$F$53*DR52</f>
        <v/>
      </c>
      <c r="DS53" s="246" t="n"/>
      <c r="DT53" s="250">
        <f>$F$53*DT52</f>
        <v/>
      </c>
      <c r="DU53" s="251" t="n"/>
      <c r="DV53" s="245">
        <f>$F$53*DV52</f>
        <v/>
      </c>
      <c r="DW53" s="246" t="n"/>
      <c r="DX53" s="254">
        <f>$F$53*DX52</f>
        <v/>
      </c>
      <c r="DY53" s="255" t="n"/>
      <c r="DZ53" s="245">
        <f>$F$53*DZ52</f>
        <v/>
      </c>
      <c r="EA53" s="246" t="n"/>
      <c r="EB53" s="245">
        <f>$F$53*EB52</f>
        <v/>
      </c>
      <c r="EC53" s="246" t="n"/>
      <c r="ED53" s="245">
        <f>$F$53*ED52</f>
        <v/>
      </c>
      <c r="EE53" s="246" t="n"/>
      <c r="EF53" s="290">
        <f>$F$53*EF52</f>
        <v/>
      </c>
      <c r="EG53" s="255" t="n"/>
      <c r="EH53" s="245">
        <f>$F$53*EH52</f>
        <v/>
      </c>
      <c r="EI53" s="246" t="n"/>
      <c r="EJ53" s="245">
        <f>$F$53*EJ52</f>
        <v/>
      </c>
      <c r="EK53" s="246" t="n"/>
      <c r="EL53" s="245">
        <f>$F$53*EL52</f>
        <v/>
      </c>
      <c r="EM53" s="246" t="n"/>
      <c r="EN53" s="245">
        <f>$F$53*EN52</f>
        <v/>
      </c>
      <c r="EO53" s="246" t="n"/>
      <c r="EP53" s="245">
        <f>$F$53*EP52</f>
        <v/>
      </c>
      <c r="EQ53" s="246" t="n"/>
      <c r="ER53" s="245">
        <f>$F$53*ER52</f>
        <v/>
      </c>
      <c r="ES53" s="246" t="n"/>
      <c r="ET53" s="245">
        <f>$F$53*ET52</f>
        <v/>
      </c>
      <c r="EU53" s="246" t="n"/>
      <c r="EV53" s="245">
        <f>$F$53*EV52</f>
        <v/>
      </c>
      <c r="EW53" s="246" t="n"/>
      <c r="EX53" s="275">
        <f>$F$53*EX52</f>
        <v/>
      </c>
      <c r="EY53" s="266" t="n"/>
      <c r="EZ53" s="245">
        <f>$F$53*EZ52</f>
        <v/>
      </c>
      <c r="FA53" s="246" t="n"/>
      <c r="FB53" s="245">
        <f>$F$53*FB52</f>
        <v/>
      </c>
      <c r="FC53" s="246" t="n"/>
      <c r="FD53" s="245">
        <f>$F$53*FD52</f>
        <v/>
      </c>
      <c r="FE53" s="246" t="n"/>
      <c r="FF53" s="245">
        <f>$F$53*FF52</f>
        <v/>
      </c>
      <c r="FG53" s="246" t="n"/>
      <c r="FH53" s="245">
        <f>$F$53*FH52</f>
        <v/>
      </c>
      <c r="FI53" s="246" t="n"/>
      <c r="FJ53" s="273">
        <f>$F$53*FJ52</f>
        <v/>
      </c>
      <c r="FK53" s="251" t="n"/>
      <c r="FL53" s="250">
        <f>$F$53*FL52</f>
        <v/>
      </c>
      <c r="FM53" s="251" t="n"/>
      <c r="FN53" s="245">
        <f>$F$53*FN52</f>
        <v/>
      </c>
      <c r="FO53" s="246" t="n"/>
      <c r="FP53" s="245">
        <f>$F$53*FP52</f>
        <v/>
      </c>
      <c r="FQ53" s="246" t="n"/>
      <c r="FR53" s="245">
        <f>$F$53*FR52</f>
        <v/>
      </c>
      <c r="FS53" s="246" t="n"/>
      <c r="FT53" s="245">
        <f>$F$53*FT52</f>
        <v/>
      </c>
      <c r="FU53" s="246" t="n"/>
      <c r="FV53" s="245">
        <f>$F$53*FV52</f>
        <v/>
      </c>
      <c r="FW53" s="246" t="n"/>
      <c r="FX53" s="254">
        <f>$F$53*FX52</f>
        <v/>
      </c>
      <c r="FY53" s="255" t="n"/>
      <c r="FZ53" s="254">
        <f>$F$53*FZ52</f>
        <v/>
      </c>
      <c r="GA53" s="255" t="n"/>
      <c r="GB53" s="254">
        <f>$F$53*GB52</f>
        <v/>
      </c>
      <c r="GC53" s="255" t="n"/>
      <c r="GD53" s="254">
        <f>$F$53*GD52</f>
        <v/>
      </c>
      <c r="GE53" s="255" t="n"/>
      <c r="GF53" s="245">
        <f>$F$53*GF52</f>
        <v/>
      </c>
      <c r="GG53" s="246" t="n"/>
      <c r="GH53" s="245">
        <f>$F$53*GH52</f>
        <v/>
      </c>
      <c r="GI53" s="246" t="n"/>
      <c r="GJ53" s="245">
        <f>$F$53*GJ52</f>
        <v/>
      </c>
      <c r="GK53" s="246" t="n"/>
      <c r="GL53" s="245">
        <f>$F$53*GL52</f>
        <v/>
      </c>
      <c r="GM53" s="246" t="n"/>
      <c r="GN53" s="262">
        <f>$F$53*GN52</f>
        <v/>
      </c>
      <c r="GO53" s="263" t="n"/>
      <c r="GP53" s="262">
        <f>$F$53*GP52</f>
        <v/>
      </c>
      <c r="GQ53" s="263" t="n"/>
      <c r="GR53" s="262">
        <f>$F$53*GR52</f>
        <v/>
      </c>
      <c r="GS53" s="263" t="n"/>
      <c r="GT53" s="262">
        <f>$F$53*GT52</f>
        <v/>
      </c>
      <c r="GU53" s="263" t="n"/>
      <c r="GV53" s="262">
        <f>$F$53*GV52</f>
        <v/>
      </c>
      <c r="GW53" s="263" t="n"/>
      <c r="GX53" s="262">
        <f>$F$53*GX52</f>
        <v/>
      </c>
      <c r="GY53" s="263" t="n"/>
      <c r="GZ53" s="262">
        <f>$F$53*GZ52</f>
        <v/>
      </c>
      <c r="HA53" s="263" t="n"/>
      <c r="HB53" s="262">
        <f>$F$53*HB52</f>
        <v/>
      </c>
      <c r="HC53" s="263" t="n"/>
      <c r="HD53" s="262">
        <f>$F$53*HD52</f>
        <v/>
      </c>
      <c r="HE53" s="263" t="n"/>
      <c r="HF53" s="262">
        <f>$F$53*HF52</f>
        <v/>
      </c>
      <c r="HG53" s="263" t="n"/>
      <c r="HH53" s="262">
        <f>$F$53*HH52</f>
        <v/>
      </c>
      <c r="HI53" s="263" t="n"/>
      <c r="HJ53" s="262">
        <f>$F$53*HJ52</f>
        <v/>
      </c>
      <c r="HK53" s="263" t="n"/>
      <c r="HL53" s="262">
        <f>$F$53*HL52</f>
        <v/>
      </c>
      <c r="HM53" s="263" t="n"/>
      <c r="HN53" s="262">
        <f>$F$53*HN52</f>
        <v/>
      </c>
      <c r="HO53" s="263" t="n"/>
      <c r="HP53" s="262">
        <f>$F$53*HP52</f>
        <v/>
      </c>
      <c r="HQ53" s="263" t="n"/>
      <c r="HR53" s="262">
        <f>$F$53*HR52</f>
        <v/>
      </c>
      <c r="HS53" s="263" t="n"/>
      <c r="HT53" s="262">
        <f>$F$53*HT52</f>
        <v/>
      </c>
      <c r="HU53" s="263" t="n"/>
      <c r="HV53" s="276">
        <f>$F$53*HV52</f>
        <v/>
      </c>
      <c r="HW53" s="277" t="n"/>
      <c r="HX53" s="314">
        <f>$F$53*HX52</f>
        <v/>
      </c>
      <c r="HY53" s="266" t="n"/>
      <c r="HZ53" s="314">
        <f>$F$53*HZ52</f>
        <v/>
      </c>
      <c r="IA53" s="266" t="n"/>
      <c r="IB53" s="262">
        <f>$F$53*IB52</f>
        <v/>
      </c>
      <c r="IC53" s="263" t="n"/>
      <c r="ID53" s="276">
        <f>$F$53*ID52</f>
        <v/>
      </c>
      <c r="IE53" s="277" t="n"/>
      <c r="IF53" s="245">
        <f>$F$53*IF52</f>
        <v/>
      </c>
      <c r="IG53" s="246" t="n"/>
      <c r="IH53" s="245">
        <f>$F$53*IH52</f>
        <v/>
      </c>
      <c r="II53" s="246" t="n"/>
      <c r="IJ53" s="245">
        <f>$F$53*IJ52</f>
        <v/>
      </c>
      <c r="IK53" s="246" t="n"/>
      <c r="IL53" s="245">
        <f>$F$53*IL52</f>
        <v/>
      </c>
      <c r="IM53" s="246" t="n"/>
      <c r="IN53" s="245">
        <f>$F$53*IN52</f>
        <v/>
      </c>
      <c r="IO53" s="246" t="n"/>
      <c r="IP53" s="245">
        <f>$F$53*IP52</f>
        <v/>
      </c>
      <c r="IQ53" s="246" t="n"/>
      <c r="IR53" s="245">
        <f>$F$53*IR52</f>
        <v/>
      </c>
      <c r="IS53" s="246" t="n"/>
      <c r="IT53" s="245">
        <f>$F$53*IT52</f>
        <v/>
      </c>
      <c r="IU53" s="246" t="n"/>
      <c r="IV53" s="245">
        <f>$F$53*IV52</f>
        <v/>
      </c>
      <c r="IW53" s="246" t="n"/>
      <c r="IX53" s="245">
        <f>$F$53*IX52</f>
        <v/>
      </c>
      <c r="IY53" s="246" t="n"/>
      <c r="IZ53" s="245">
        <f>$F$53*IZ52</f>
        <v/>
      </c>
      <c r="JA53" s="246" t="n"/>
      <c r="JB53" s="245">
        <f>$F$53*JB52</f>
        <v/>
      </c>
      <c r="JC53" s="246" t="n"/>
      <c r="JD53" s="245">
        <f>$F$53*JD52</f>
        <v/>
      </c>
      <c r="JE53" s="246" t="n"/>
      <c r="JF53" s="245">
        <f>$F$53*JF52</f>
        <v/>
      </c>
      <c r="JG53" s="246" t="n"/>
      <c r="JH53" s="245">
        <f>$F$53*JH52</f>
        <v/>
      </c>
      <c r="JI53" s="246" t="n"/>
      <c r="JJ53" s="262">
        <f>$F$53*JJ52</f>
        <v/>
      </c>
      <c r="JK53" s="263" t="n"/>
      <c r="JL53" s="245">
        <f>$F$53*JL52</f>
        <v/>
      </c>
      <c r="JM53" s="246" t="n"/>
      <c r="JN53" s="276">
        <f>$F$53*JN52</f>
        <v/>
      </c>
      <c r="JO53" s="277" t="n"/>
      <c r="JP53" s="282">
        <f>$F$53*JP52</f>
        <v/>
      </c>
      <c r="JQ53" s="277" t="n"/>
      <c r="JR53" s="282">
        <f>$F$53*JR52</f>
        <v/>
      </c>
      <c r="JS53" s="277" t="n"/>
      <c r="JT53" s="282">
        <f>$F$53*JT52</f>
        <v/>
      </c>
      <c r="JU53" s="277" t="n"/>
      <c r="JV53" s="282">
        <f>$F$53*JV52</f>
        <v/>
      </c>
      <c r="JW53" s="277" t="n"/>
      <c r="JX53" s="282">
        <f>$F$53*JX52</f>
        <v/>
      </c>
      <c r="JY53" s="277" t="n"/>
      <c r="JZ53" s="297">
        <f>JN53+JP53+JR53+JT53+JX53</f>
        <v/>
      </c>
      <c r="KA53" s="263" t="n"/>
      <c r="KB53" s="298">
        <f>SUM(H53:JY53)</f>
        <v/>
      </c>
      <c r="KC53" s="246" t="n"/>
      <c r="KD53" s="2" t="n"/>
      <c r="KE53" s="279" t="n"/>
      <c r="KF53" s="97">
        <f>J53+L53+N53+P53+R53+AB53+AD53+AF53+AH53+AJ53+AL53+AN53+AP53+AR53+AT53+AV53+AX53+AZ53+BB53+BD53+BF53+BH53+BJ53+BL53+BN53+BP53+BR53+BT53+BV53+BX53+BZ53+CB53+CD53+CF53+CH53+CJ53+CL53+CN53+CP53+CR53+CT53+CV53+CX53+CZ53+DB53+DD53+DF53+DH53+DJ53+DL53+DN53+DP53+DR53+DT53+DV53+DX53+DZ53+EB53+ED53+EF53+EH53+EJ53+EL53+EN53+EP53+ER53+ET53+EV53+EZ53+FB53+FD53+FF53+FH53+FJ53+FL53+FN53+FP53+FR53+FT53+FV53+FX53+FZ53+GB53+GD53+GF53+GH53+GJ53+GL53+IF53+IJ53+IL53+IN53+IP53+IR53+IT53+JB53+JD53+JL53</f>
        <v/>
      </c>
      <c r="KG53" s="279" t="n"/>
      <c r="KH53" s="279" t="n"/>
      <c r="KI53" s="279" t="n"/>
      <c r="KJ53" s="279" t="n"/>
      <c r="KK53" s="279" t="n"/>
      <c r="KL53" s="279" t="n"/>
      <c r="KM53" s="279" t="n"/>
      <c r="KN53" s="279" t="n"/>
    </row>
    <row r="54" ht="29.25" customHeight="1" thickBot="1">
      <c r="A54" s="111" t="n"/>
      <c r="B54" s="77" t="inlineStr">
        <is>
          <t>Фактическая ЗП</t>
        </is>
      </c>
      <c r="C54" s="78" t="n"/>
      <c r="D54" s="112" t="n"/>
      <c r="E54" s="113" t="n"/>
      <c r="F54" s="250">
        <f>KB54/E52</f>
        <v/>
      </c>
      <c r="G54" s="118" t="n"/>
      <c r="H54" s="332" t="n"/>
      <c r="I54" s="251" t="n"/>
      <c r="J54" s="293" t="n"/>
      <c r="K54" s="246" t="n"/>
      <c r="L54" s="293" t="n"/>
      <c r="M54" s="246" t="n"/>
      <c r="N54" s="294" t="n"/>
      <c r="O54" s="255" t="n"/>
      <c r="P54" s="293" t="n"/>
      <c r="Q54" s="246" t="n"/>
      <c r="R54" s="315" t="n"/>
      <c r="S54" s="246" t="n"/>
      <c r="T54" s="315" t="n"/>
      <c r="U54" s="246" t="n"/>
      <c r="V54" s="253" t="n"/>
      <c r="W54" s="246" t="n"/>
      <c r="X54" s="300" t="n"/>
      <c r="Y54" s="255" t="n"/>
      <c r="Z54" s="253" t="n"/>
      <c r="AA54" s="246" t="n"/>
      <c r="AB54" s="253" t="n"/>
      <c r="AC54" s="246" t="n"/>
      <c r="AD54" s="261" t="n"/>
      <c r="AE54" s="251" t="n"/>
      <c r="AF54" s="253" t="n"/>
      <c r="AG54" s="246" t="n"/>
      <c r="AH54" s="253" t="n"/>
      <c r="AI54" s="246" t="n"/>
      <c r="AJ54" s="253" t="n"/>
      <c r="AK54" s="246" t="n"/>
      <c r="AL54" s="253" t="n"/>
      <c r="AM54" s="246" t="n"/>
      <c r="AN54" s="261" t="n"/>
      <c r="AO54" s="251" t="n"/>
      <c r="AP54" s="261" t="n"/>
      <c r="AQ54" s="251" t="n"/>
      <c r="AR54" s="253" t="n"/>
      <c r="AS54" s="246" t="n"/>
      <c r="AT54" s="261" t="n"/>
      <c r="AU54" s="251" t="n"/>
      <c r="AV54" s="253" t="n"/>
      <c r="AW54" s="246" t="n"/>
      <c r="AX54" s="261" t="n"/>
      <c r="AY54" s="251" t="n"/>
      <c r="AZ54" s="253" t="n"/>
      <c r="BA54" s="246" t="n"/>
      <c r="BB54" s="261" t="n"/>
      <c r="BC54" s="251" t="n"/>
      <c r="BD54" s="253" t="n"/>
      <c r="BE54" s="246" t="n"/>
      <c r="BF54" s="261" t="n"/>
      <c r="BG54" s="251" t="n"/>
      <c r="BH54" s="261" t="n"/>
      <c r="BI54" s="251" t="n"/>
      <c r="BJ54" s="261" t="n"/>
      <c r="BK54" s="251" t="n"/>
      <c r="BL54" s="253" t="n"/>
      <c r="BM54" s="246" t="n"/>
      <c r="BN54" s="253" t="n"/>
      <c r="BO54" s="246" t="n"/>
      <c r="BP54" s="253" t="n"/>
      <c r="BQ54" s="246" t="n"/>
      <c r="BR54" s="253" t="n"/>
      <c r="BS54" s="246" t="n"/>
      <c r="BT54" s="253" t="n"/>
      <c r="BU54" s="246" t="n"/>
      <c r="BV54" s="253" t="n"/>
      <c r="BW54" s="246" t="n"/>
      <c r="BX54" s="253" t="n"/>
      <c r="BY54" s="246" t="n"/>
      <c r="BZ54" s="253" t="n"/>
      <c r="CA54" s="246" t="n"/>
      <c r="CB54" s="261" t="n"/>
      <c r="CC54" s="251" t="n"/>
      <c r="CD54" s="261" t="n"/>
      <c r="CE54" s="251" t="n"/>
      <c r="CF54" s="261" t="n"/>
      <c r="CG54" s="251" t="n"/>
      <c r="CH54" s="253" t="n"/>
      <c r="CI54" s="246" t="n"/>
      <c r="CJ54" s="253" t="n"/>
      <c r="CK54" s="246" t="n"/>
      <c r="CL54" s="253" t="n"/>
      <c r="CM54" s="246" t="n"/>
      <c r="CN54" s="253" t="n"/>
      <c r="CO54" s="246" t="n"/>
      <c r="CP54" s="300" t="n"/>
      <c r="CQ54" s="255" t="n"/>
      <c r="CR54" s="253" t="n"/>
      <c r="CS54" s="246" t="n"/>
      <c r="CT54" s="253" t="n"/>
      <c r="CU54" s="246" t="n"/>
      <c r="CV54" s="300" t="n"/>
      <c r="CW54" s="255" t="n"/>
      <c r="CX54" s="253" t="n"/>
      <c r="CY54" s="246" t="n"/>
      <c r="CZ54" s="261" t="n"/>
      <c r="DA54" s="251" t="n"/>
      <c r="DB54" s="261" t="n"/>
      <c r="DC54" s="251" t="n"/>
      <c r="DD54" s="253" t="n"/>
      <c r="DE54" s="246" t="n"/>
      <c r="DF54" s="261" t="n"/>
      <c r="DG54" s="251" t="n"/>
      <c r="DH54" s="253" t="n"/>
      <c r="DI54" s="246" t="n"/>
      <c r="DJ54" s="253" t="n"/>
      <c r="DK54" s="246" t="n"/>
      <c r="DL54" s="261" t="n"/>
      <c r="DM54" s="251" t="n"/>
      <c r="DN54" s="274" t="n"/>
      <c r="DO54" s="255" t="n"/>
      <c r="DP54" s="261" t="n"/>
      <c r="DQ54" s="251" t="n"/>
      <c r="DR54" s="253" t="n"/>
      <c r="DS54" s="246" t="n"/>
      <c r="DT54" s="261" t="n"/>
      <c r="DU54" s="251" t="n"/>
      <c r="DV54" s="253" t="n"/>
      <c r="DW54" s="246" t="n"/>
      <c r="DX54" s="274" t="n"/>
      <c r="DY54" s="255" t="n"/>
      <c r="DZ54" s="253" t="n"/>
      <c r="EA54" s="246" t="n"/>
      <c r="EB54" s="253" t="n"/>
      <c r="EC54" s="246" t="n"/>
      <c r="ED54" s="253" t="n"/>
      <c r="EE54" s="246" t="n"/>
      <c r="EF54" s="315" t="n"/>
      <c r="EG54" s="246" t="n"/>
      <c r="EH54" s="253" t="n"/>
      <c r="EI54" s="246" t="n"/>
      <c r="EJ54" s="253" t="n"/>
      <c r="EK54" s="246" t="n"/>
      <c r="EL54" s="253" t="n"/>
      <c r="EM54" s="246" t="n"/>
      <c r="EN54" s="253" t="n"/>
      <c r="EO54" s="246" t="n"/>
      <c r="EP54" s="253" t="n"/>
      <c r="EQ54" s="246" t="n"/>
      <c r="ER54" s="253" t="n"/>
      <c r="ES54" s="246" t="n"/>
      <c r="ET54" s="253" t="n"/>
      <c r="EU54" s="246" t="n"/>
      <c r="EV54" s="253" t="n"/>
      <c r="EW54" s="246" t="n"/>
      <c r="EX54" s="300" t="n"/>
      <c r="EY54" s="255" t="n"/>
      <c r="EZ54" s="253" t="n"/>
      <c r="FA54" s="246" t="n"/>
      <c r="FB54" s="253" t="n"/>
      <c r="FC54" s="246" t="n"/>
      <c r="FD54" s="253" t="n"/>
      <c r="FE54" s="246" t="n"/>
      <c r="FF54" s="253" t="n"/>
      <c r="FG54" s="246" t="n"/>
      <c r="FH54" s="253" t="n"/>
      <c r="FI54" s="246" t="n"/>
      <c r="FJ54" s="289" t="n"/>
      <c r="FK54" s="251" t="n"/>
      <c r="FL54" s="320" t="n"/>
      <c r="FM54" s="263" t="n"/>
      <c r="FN54" s="296" t="n"/>
      <c r="FO54" s="263" t="n"/>
      <c r="FP54" s="253" t="n"/>
      <c r="FQ54" s="246" t="n"/>
      <c r="FR54" s="253" t="n"/>
      <c r="FS54" s="246" t="n"/>
      <c r="FT54" s="253" t="n"/>
      <c r="FU54" s="246" t="n"/>
      <c r="FV54" s="253" t="n"/>
      <c r="FW54" s="246" t="n"/>
      <c r="FX54" s="274" t="n"/>
      <c r="FY54" s="255" t="n"/>
      <c r="FZ54" s="274" t="n"/>
      <c r="GA54" s="255" t="n"/>
      <c r="GB54" s="274" t="n"/>
      <c r="GC54" s="255" t="n"/>
      <c r="GD54" s="274" t="n"/>
      <c r="GE54" s="255" t="n"/>
      <c r="GF54" s="253" t="n"/>
      <c r="GG54" s="246" t="n"/>
      <c r="GH54" s="253" t="n"/>
      <c r="GI54" s="246" t="n"/>
      <c r="GJ54" s="253" t="n"/>
      <c r="GK54" s="246" t="n"/>
      <c r="GL54" s="253" t="n"/>
      <c r="GM54" s="246" t="n"/>
      <c r="GN54" s="253" t="n"/>
      <c r="GO54" s="246" t="n"/>
      <c r="GP54" s="253" t="n"/>
      <c r="GQ54" s="246" t="n"/>
      <c r="GR54" s="253" t="n"/>
      <c r="GS54" s="246" t="n"/>
      <c r="GT54" s="253" t="n"/>
      <c r="GU54" s="246" t="n"/>
      <c r="GV54" s="253" t="n"/>
      <c r="GW54" s="246" t="n"/>
      <c r="GX54" s="253" t="n"/>
      <c r="GY54" s="246" t="n"/>
      <c r="GZ54" s="253" t="n"/>
      <c r="HA54" s="246" t="n"/>
      <c r="HB54" s="253" t="n"/>
      <c r="HC54" s="246" t="n"/>
      <c r="HD54" s="253" t="n"/>
      <c r="HE54" s="246" t="n"/>
      <c r="HF54" s="253" t="n"/>
      <c r="HG54" s="246" t="n"/>
      <c r="HH54" s="253" t="n"/>
      <c r="HI54" s="246" t="n"/>
      <c r="HJ54" s="253" t="n"/>
      <c r="HK54" s="246" t="n"/>
      <c r="HL54" s="253" t="n"/>
      <c r="HM54" s="246" t="n"/>
      <c r="HN54" s="253" t="n"/>
      <c r="HO54" s="246" t="n"/>
      <c r="HP54" s="253" t="n"/>
      <c r="HQ54" s="246" t="n"/>
      <c r="HR54" s="253" t="n"/>
      <c r="HS54" s="246" t="n"/>
      <c r="HT54" s="253" t="n"/>
      <c r="HU54" s="246" t="n"/>
      <c r="HV54" s="289" t="n"/>
      <c r="HW54" s="251" t="n"/>
      <c r="HX54" s="274" t="n"/>
      <c r="HY54" s="255" t="n"/>
      <c r="HZ54" s="253" t="n"/>
      <c r="IA54" s="246" t="n"/>
      <c r="IB54" s="253" t="n"/>
      <c r="IC54" s="246" t="n"/>
      <c r="ID54" s="289" t="n"/>
      <c r="IE54" s="251" t="n"/>
      <c r="IF54" s="253" t="n"/>
      <c r="IG54" s="246" t="n"/>
      <c r="IH54" s="253" t="n"/>
      <c r="II54" s="246" t="n"/>
      <c r="IJ54" s="253" t="n"/>
      <c r="IK54" s="246" t="n"/>
      <c r="IL54" s="253" t="n"/>
      <c r="IM54" s="246" t="n"/>
      <c r="IN54" s="253" t="n"/>
      <c r="IO54" s="246" t="n"/>
      <c r="IP54" s="253" t="n"/>
      <c r="IQ54" s="246" t="n"/>
      <c r="IR54" s="253" t="n"/>
      <c r="IS54" s="246" t="n"/>
      <c r="IT54" s="253" t="n"/>
      <c r="IU54" s="246" t="n"/>
      <c r="IV54" s="253" t="n"/>
      <c r="IW54" s="246" t="n"/>
      <c r="IX54" s="253" t="n"/>
      <c r="IY54" s="246" t="n"/>
      <c r="IZ54" s="253" t="n"/>
      <c r="JA54" s="246" t="n"/>
      <c r="JB54" s="253" t="n"/>
      <c r="JC54" s="246" t="n"/>
      <c r="JD54" s="253" t="n"/>
      <c r="JE54" s="246" t="n"/>
      <c r="JF54" s="253" t="n"/>
      <c r="JG54" s="246" t="n"/>
      <c r="JH54" s="253" t="n"/>
      <c r="JI54" s="246" t="n"/>
      <c r="JJ54" s="253" t="n"/>
      <c r="JK54" s="246" t="n"/>
      <c r="JL54" s="253" t="n"/>
      <c r="JM54" s="246" t="n"/>
      <c r="JN54" s="289" t="n"/>
      <c r="JO54" s="251" t="n"/>
      <c r="JP54" s="264" t="n"/>
      <c r="JQ54" s="251" t="n"/>
      <c r="JR54" s="264" t="n"/>
      <c r="JS54" s="251" t="n"/>
      <c r="JT54" s="264" t="n"/>
      <c r="JU54" s="251" t="n"/>
      <c r="JV54" s="264" t="n"/>
      <c r="JW54" s="251" t="n"/>
      <c r="JX54" s="264" t="n"/>
      <c r="JY54" s="251" t="n"/>
      <c r="JZ54" s="302">
        <f>JN54+JP54+JR54+JT54+JV54+JX54</f>
        <v/>
      </c>
      <c r="KA54" s="246" t="n"/>
      <c r="KB54" s="303">
        <f>SUM(H54:JY54)</f>
        <v/>
      </c>
      <c r="KC54" s="246" t="n"/>
      <c r="KD54" s="2">
        <f>KB53-KB55</f>
        <v/>
      </c>
      <c r="KF54" s="97" t="n"/>
    </row>
    <row r="55" ht="29.25" customHeight="1" thickBot="1">
      <c r="A55" s="115" t="n"/>
      <c r="B55" s="76" t="inlineStr">
        <is>
          <t xml:space="preserve">Отклонение (+/-) к плану </t>
        </is>
      </c>
      <c r="C55" s="78" t="n"/>
      <c r="D55" s="112" t="n"/>
      <c r="E55" s="113" t="n"/>
      <c r="F55" s="250" t="n"/>
      <c r="G55" s="118" t="n"/>
      <c r="H55" s="273">
        <f>H53-H54</f>
        <v/>
      </c>
      <c r="I55" s="251" t="n"/>
      <c r="J55" s="245">
        <f>J53-J54</f>
        <v/>
      </c>
      <c r="K55" s="246" t="n"/>
      <c r="L55" s="245">
        <f>L53-L54</f>
        <v/>
      </c>
      <c r="M55" s="246" t="n"/>
      <c r="N55" s="254">
        <f>N53-N54</f>
        <v/>
      </c>
      <c r="O55" s="255" t="n"/>
      <c r="P55" s="245">
        <f>P53-P54</f>
        <v/>
      </c>
      <c r="Q55" s="246" t="n"/>
      <c r="R55" s="295">
        <f>R53-R54</f>
        <v/>
      </c>
      <c r="S55" s="263" t="n"/>
      <c r="T55" s="275">
        <f>T53-T54</f>
        <v/>
      </c>
      <c r="U55" s="266" t="n"/>
      <c r="V55" s="314">
        <f>V53-V54</f>
        <v/>
      </c>
      <c r="W55" s="266" t="n"/>
      <c r="X55" s="314">
        <f>X53-X54</f>
        <v/>
      </c>
      <c r="Y55" s="266" t="n"/>
      <c r="Z55" s="262">
        <f>Z53-Z54</f>
        <v/>
      </c>
      <c r="AA55" s="263" t="n"/>
      <c r="AB55" s="262">
        <f>AB53-AB54</f>
        <v/>
      </c>
      <c r="AC55" s="263" t="n"/>
      <c r="AD55" s="330">
        <f>AD53-AD54</f>
        <v/>
      </c>
      <c r="AE55" s="277" t="n"/>
      <c r="AF55" s="262">
        <f>AF53-AF54</f>
        <v/>
      </c>
      <c r="AG55" s="263" t="n"/>
      <c r="AH55" s="262">
        <f>AH53-AH54</f>
        <v/>
      </c>
      <c r="AI55" s="263" t="n"/>
      <c r="AJ55" s="262">
        <f>AJ53-AJ54</f>
        <v/>
      </c>
      <c r="AK55" s="263" t="n"/>
      <c r="AL55" s="245">
        <f>AL53-AL54</f>
        <v/>
      </c>
      <c r="AM55" s="246" t="n"/>
      <c r="AN55" s="250">
        <f>AN53-AN54</f>
        <v/>
      </c>
      <c r="AO55" s="251" t="n"/>
      <c r="AP55" s="250">
        <f>AP53-AP54</f>
        <v/>
      </c>
      <c r="AQ55" s="251" t="n"/>
      <c r="AR55" s="245">
        <f>AR53-AR54</f>
        <v/>
      </c>
      <c r="AS55" s="246" t="n"/>
      <c r="AT55" s="250">
        <f>AT53-AT54</f>
        <v/>
      </c>
      <c r="AU55" s="251" t="n"/>
      <c r="AV55" s="245">
        <f>AV53-AV54</f>
        <v/>
      </c>
      <c r="AW55" s="246" t="n"/>
      <c r="AX55" s="250">
        <f>AX53-AX54</f>
        <v/>
      </c>
      <c r="AY55" s="251" t="n"/>
      <c r="AZ55" s="245">
        <f>AZ53-AZ54</f>
        <v/>
      </c>
      <c r="BA55" s="246" t="n"/>
      <c r="BB55" s="250">
        <f>BB53-BB54</f>
        <v/>
      </c>
      <c r="BC55" s="251" t="n"/>
      <c r="BD55" s="245">
        <f>BD53-BD54</f>
        <v/>
      </c>
      <c r="BE55" s="246" t="n"/>
      <c r="BF55" s="250">
        <f>BF53-BF54</f>
        <v/>
      </c>
      <c r="BG55" s="251" t="n"/>
      <c r="BH55" s="250">
        <f>BH53-BH54</f>
        <v/>
      </c>
      <c r="BI55" s="251" t="n"/>
      <c r="BJ55" s="250">
        <f>BJ53-BJ54</f>
        <v/>
      </c>
      <c r="BK55" s="251" t="n"/>
      <c r="BL55" s="245">
        <f>BL53-BL54</f>
        <v/>
      </c>
      <c r="BM55" s="246" t="n"/>
      <c r="BN55" s="245">
        <f>BN53-BN54</f>
        <v/>
      </c>
      <c r="BO55" s="246" t="n"/>
      <c r="BP55" s="245">
        <f>BP53-BP54</f>
        <v/>
      </c>
      <c r="BQ55" s="246" t="n"/>
      <c r="BR55" s="245">
        <f>BR53-BR54</f>
        <v/>
      </c>
      <c r="BS55" s="246" t="n"/>
      <c r="BT55" s="245">
        <f>BT53-BT54</f>
        <v/>
      </c>
      <c r="BU55" s="246" t="n"/>
      <c r="BV55" s="245">
        <f>BV53-BV54</f>
        <v/>
      </c>
      <c r="BW55" s="246" t="n"/>
      <c r="BX55" s="245">
        <f>BX53-BX54</f>
        <v/>
      </c>
      <c r="BY55" s="246" t="n"/>
      <c r="BZ55" s="245">
        <f>BZ53-BZ54</f>
        <v/>
      </c>
      <c r="CA55" s="246" t="n"/>
      <c r="CB55" s="250">
        <f>CB53-CB54</f>
        <v/>
      </c>
      <c r="CC55" s="251" t="n"/>
      <c r="CD55" s="250">
        <f>CD53-CD54</f>
        <v/>
      </c>
      <c r="CE55" s="251" t="n"/>
      <c r="CF55" s="250">
        <f>CF53-CF54</f>
        <v/>
      </c>
      <c r="CG55" s="251" t="n"/>
      <c r="CH55" s="245">
        <f>CH53-CH54</f>
        <v/>
      </c>
      <c r="CI55" s="246" t="n"/>
      <c r="CJ55" s="245">
        <f>CJ53-CJ54</f>
        <v/>
      </c>
      <c r="CK55" s="246" t="n"/>
      <c r="CL55" s="245">
        <f>CL53-CL54</f>
        <v/>
      </c>
      <c r="CM55" s="246" t="n"/>
      <c r="CN55" s="245">
        <f>CN53-CN54</f>
        <v/>
      </c>
      <c r="CO55" s="246" t="n"/>
      <c r="CP55" s="290">
        <f>CP53-CP54</f>
        <v/>
      </c>
      <c r="CQ55" s="255" t="n"/>
      <c r="CR55" s="245">
        <f>CR53-CR54</f>
        <v/>
      </c>
      <c r="CS55" s="246" t="n"/>
      <c r="CT55" s="245">
        <f>CT53-CT54</f>
        <v/>
      </c>
      <c r="CU55" s="246" t="n"/>
      <c r="CV55" s="276">
        <f>CV53-CV54</f>
        <v/>
      </c>
      <c r="CW55" s="277" t="n"/>
      <c r="CX55" s="245">
        <f>CX53-CX54</f>
        <v/>
      </c>
      <c r="CY55" s="246" t="n"/>
      <c r="CZ55" s="250">
        <f>CZ53-CZ54</f>
        <v/>
      </c>
      <c r="DA55" s="251" t="n"/>
      <c r="DB55" s="250">
        <f>DB53-DB54</f>
        <v/>
      </c>
      <c r="DC55" s="251" t="n"/>
      <c r="DD55" s="245">
        <f>DD53-DD54</f>
        <v/>
      </c>
      <c r="DE55" s="246" t="n"/>
      <c r="DF55" s="250">
        <f>DF53-DF54</f>
        <v/>
      </c>
      <c r="DG55" s="251" t="n"/>
      <c r="DH55" s="245">
        <f>DH53-DH54</f>
        <v/>
      </c>
      <c r="DI55" s="246" t="n"/>
      <c r="DJ55" s="245">
        <f>DJ53-DJ54</f>
        <v/>
      </c>
      <c r="DK55" s="246" t="n"/>
      <c r="DL55" s="250">
        <f>DL53-DL54</f>
        <v/>
      </c>
      <c r="DM55" s="251" t="n"/>
      <c r="DN55" s="254">
        <f>DN53-DN54</f>
        <v/>
      </c>
      <c r="DO55" s="255" t="n"/>
      <c r="DP55" s="245">
        <f>DP53-DP54</f>
        <v/>
      </c>
      <c r="DQ55" s="246" t="n"/>
      <c r="DR55" s="245">
        <f>DR53-DR54</f>
        <v/>
      </c>
      <c r="DS55" s="246" t="n"/>
      <c r="DT55" s="250">
        <f>DT53-DT54</f>
        <v/>
      </c>
      <c r="DU55" s="251" t="n"/>
      <c r="DV55" s="245">
        <f>DV53-DV54</f>
        <v/>
      </c>
      <c r="DW55" s="246" t="n"/>
      <c r="DX55" s="254">
        <f>DX53-DX54</f>
        <v/>
      </c>
      <c r="DY55" s="255" t="n"/>
      <c r="DZ55" s="245">
        <f>DZ53-DZ54</f>
        <v/>
      </c>
      <c r="EA55" s="246" t="n"/>
      <c r="EB55" s="245">
        <f>EB53-EB54</f>
        <v/>
      </c>
      <c r="EC55" s="246" t="n"/>
      <c r="ED55" s="245">
        <f>ED53-ED54</f>
        <v/>
      </c>
      <c r="EE55" s="246" t="n"/>
      <c r="EF55" s="290">
        <f>EF53-EF54</f>
        <v/>
      </c>
      <c r="EG55" s="255" t="n"/>
      <c r="EH55" s="245">
        <f>EH53-EH54</f>
        <v/>
      </c>
      <c r="EI55" s="246" t="n"/>
      <c r="EJ55" s="245">
        <f>EJ53-EJ54</f>
        <v/>
      </c>
      <c r="EK55" s="246" t="n"/>
      <c r="EL55" s="245">
        <f>EL53-EL54</f>
        <v/>
      </c>
      <c r="EM55" s="246" t="n"/>
      <c r="EN55" s="245">
        <f>EN53-EN54</f>
        <v/>
      </c>
      <c r="EO55" s="246" t="n"/>
      <c r="EP55" s="245">
        <f>EP53-EP54</f>
        <v/>
      </c>
      <c r="EQ55" s="246" t="n"/>
      <c r="ER55" s="245">
        <f>ER53-ER54</f>
        <v/>
      </c>
      <c r="ES55" s="246" t="n"/>
      <c r="ET55" s="245">
        <f>ET53-ET54</f>
        <v/>
      </c>
      <c r="EU55" s="246" t="n"/>
      <c r="EV55" s="245">
        <f>EV53-EV54</f>
        <v/>
      </c>
      <c r="EW55" s="246" t="n"/>
      <c r="EX55" s="290">
        <f>EX53-EX54</f>
        <v/>
      </c>
      <c r="EY55" s="255" t="n"/>
      <c r="EZ55" s="245">
        <f>EZ53-EZ54</f>
        <v/>
      </c>
      <c r="FA55" s="246" t="n"/>
      <c r="FB55" s="245">
        <f>FB53-FB54</f>
        <v/>
      </c>
      <c r="FC55" s="246" t="n"/>
      <c r="FD55" s="245">
        <f>FD53-FD54</f>
        <v/>
      </c>
      <c r="FE55" s="246" t="n"/>
      <c r="FF55" s="245">
        <f>FF53-FF54</f>
        <v/>
      </c>
      <c r="FG55" s="246" t="n"/>
      <c r="FH55" s="245">
        <f>FH53-FH54</f>
        <v/>
      </c>
      <c r="FI55" s="246" t="n"/>
      <c r="FJ55" s="269">
        <f>FJ53-FJ54</f>
        <v/>
      </c>
      <c r="FK55" s="246" t="n"/>
      <c r="FL55" s="245">
        <f>FL53-FL54</f>
        <v/>
      </c>
      <c r="FM55" s="246" t="n"/>
      <c r="FN55" s="245">
        <f>FN53-FN54</f>
        <v/>
      </c>
      <c r="FO55" s="246" t="n"/>
      <c r="FP55" s="245">
        <f>FP53-FP54</f>
        <v/>
      </c>
      <c r="FQ55" s="246" t="n"/>
      <c r="FR55" s="245">
        <f>FR53-FR54</f>
        <v/>
      </c>
      <c r="FS55" s="246" t="n"/>
      <c r="FT55" s="245">
        <f>FT53-FT54</f>
        <v/>
      </c>
      <c r="FU55" s="246" t="n"/>
      <c r="FV55" s="245">
        <f>FV53-FV54</f>
        <v/>
      </c>
      <c r="FW55" s="246" t="n"/>
      <c r="FX55" s="254">
        <f>FX53-FX54</f>
        <v/>
      </c>
      <c r="FY55" s="255" t="n"/>
      <c r="FZ55" s="254">
        <f>FZ53-FZ54</f>
        <v/>
      </c>
      <c r="GA55" s="255" t="n"/>
      <c r="GB55" s="254">
        <f>GB53-GB54</f>
        <v/>
      </c>
      <c r="GC55" s="255" t="n"/>
      <c r="GD55" s="254">
        <f>GD53-GD54</f>
        <v/>
      </c>
      <c r="GE55" s="255" t="n"/>
      <c r="GF55" s="245">
        <f>GF53-GF54</f>
        <v/>
      </c>
      <c r="GG55" s="246" t="n"/>
      <c r="GH55" s="245">
        <f>GH53-GH54</f>
        <v/>
      </c>
      <c r="GI55" s="246" t="n"/>
      <c r="GJ55" s="245">
        <f>GJ53-GJ54</f>
        <v/>
      </c>
      <c r="GK55" s="246" t="n"/>
      <c r="GL55" s="245">
        <f>GL53-GL54</f>
        <v/>
      </c>
      <c r="GM55" s="246" t="n"/>
      <c r="GN55" s="245">
        <f>GN53-GN54</f>
        <v/>
      </c>
      <c r="GO55" s="246" t="n"/>
      <c r="GP55" s="245">
        <f>GP53-GP54</f>
        <v/>
      </c>
      <c r="GQ55" s="246" t="n"/>
      <c r="GR55" s="245">
        <f>GR53-GR54</f>
        <v/>
      </c>
      <c r="GS55" s="246" t="n"/>
      <c r="GT55" s="245">
        <f>GT53-GT54</f>
        <v/>
      </c>
      <c r="GU55" s="246" t="n"/>
      <c r="GV55" s="245">
        <f>GV53-GV54</f>
        <v/>
      </c>
      <c r="GW55" s="246" t="n"/>
      <c r="GX55" s="245">
        <f>GX53-GX54</f>
        <v/>
      </c>
      <c r="GY55" s="246" t="n"/>
      <c r="GZ55" s="245">
        <f>GZ53-GZ54</f>
        <v/>
      </c>
      <c r="HA55" s="246" t="n"/>
      <c r="HB55" s="245">
        <f>HB53-HB54</f>
        <v/>
      </c>
      <c r="HC55" s="246" t="n"/>
      <c r="HD55" s="245">
        <f>HD53-HD54</f>
        <v/>
      </c>
      <c r="HE55" s="246" t="n"/>
      <c r="HF55" s="245">
        <f>HF53-HF54</f>
        <v/>
      </c>
      <c r="HG55" s="246" t="n"/>
      <c r="HH55" s="245">
        <f>HH53-HH54</f>
        <v/>
      </c>
      <c r="HI55" s="246" t="n"/>
      <c r="HJ55" s="245">
        <f>HJ53-HJ54</f>
        <v/>
      </c>
      <c r="HK55" s="246" t="n"/>
      <c r="HL55" s="245">
        <f>HL53-HL54</f>
        <v/>
      </c>
      <c r="HM55" s="246" t="n"/>
      <c r="HN55" s="245">
        <f>HN53-HN54</f>
        <v/>
      </c>
      <c r="HO55" s="246" t="n"/>
      <c r="HP55" s="245">
        <f>HP53-HP54</f>
        <v/>
      </c>
      <c r="HQ55" s="246" t="n"/>
      <c r="HR55" s="245">
        <f>HR53-HR54</f>
        <v/>
      </c>
      <c r="HS55" s="246" t="n"/>
      <c r="HT55" s="245">
        <f>HT53-HT54</f>
        <v/>
      </c>
      <c r="HU55" s="246" t="n"/>
      <c r="HV55" s="273">
        <f>HV53-HV54</f>
        <v/>
      </c>
      <c r="HW55" s="251" t="n"/>
      <c r="HX55" s="254">
        <f>HX53-HX54</f>
        <v/>
      </c>
      <c r="HY55" s="255" t="n"/>
      <c r="HZ55" s="254">
        <f>HZ53-HZ54</f>
        <v/>
      </c>
      <c r="IA55" s="255" t="n"/>
      <c r="IB55" s="245">
        <f>IB53-IB54</f>
        <v/>
      </c>
      <c r="IC55" s="246" t="n"/>
      <c r="ID55" s="273">
        <f>ID53-ID54</f>
        <v/>
      </c>
      <c r="IE55" s="251" t="n"/>
      <c r="IF55" s="245">
        <f>IF53-IF54</f>
        <v/>
      </c>
      <c r="IG55" s="246" t="n"/>
      <c r="IH55" s="245">
        <f>IH53-IH54</f>
        <v/>
      </c>
      <c r="II55" s="246" t="n"/>
      <c r="IJ55" s="245">
        <f>IJ53-IJ54</f>
        <v/>
      </c>
      <c r="IK55" s="246" t="n"/>
      <c r="IL55" s="245">
        <f>IL53-IL54</f>
        <v/>
      </c>
      <c r="IM55" s="246" t="n"/>
      <c r="IN55" s="245">
        <f>IN53-IN54</f>
        <v/>
      </c>
      <c r="IO55" s="246" t="n"/>
      <c r="IP55" s="245">
        <f>IP53-IP54</f>
        <v/>
      </c>
      <c r="IQ55" s="246" t="n"/>
      <c r="IR55" s="245">
        <f>IR53-IR54</f>
        <v/>
      </c>
      <c r="IS55" s="246" t="n"/>
      <c r="IT55" s="245">
        <f>IT53-IT54</f>
        <v/>
      </c>
      <c r="IU55" s="246" t="n"/>
      <c r="IV55" s="245">
        <f>IV53-IV54</f>
        <v/>
      </c>
      <c r="IW55" s="246" t="n"/>
      <c r="IX55" s="245">
        <f>IX53-IX54</f>
        <v/>
      </c>
      <c r="IY55" s="246" t="n"/>
      <c r="IZ55" s="245">
        <f>IZ53-IZ54</f>
        <v/>
      </c>
      <c r="JA55" s="246" t="n"/>
      <c r="JB55" s="245">
        <f>JB53-JB54</f>
        <v/>
      </c>
      <c r="JC55" s="246" t="n"/>
      <c r="JD55" s="245">
        <f>JD53-JD54</f>
        <v/>
      </c>
      <c r="JE55" s="246" t="n"/>
      <c r="JF55" s="245">
        <f>JF53-JF54</f>
        <v/>
      </c>
      <c r="JG55" s="246" t="n"/>
      <c r="JH55" s="245">
        <f>JH53-JH54</f>
        <v/>
      </c>
      <c r="JI55" s="246" t="n"/>
      <c r="JJ55" s="245">
        <f>JJ53-JJ54</f>
        <v/>
      </c>
      <c r="JK55" s="246" t="n"/>
      <c r="JL55" s="245">
        <f>JL53-JL54</f>
        <v/>
      </c>
      <c r="JM55" s="246" t="n"/>
      <c r="JN55" s="273">
        <f>JN53-JN54</f>
        <v/>
      </c>
      <c r="JO55" s="251" t="n"/>
      <c r="JP55" s="250">
        <f>JP53-JP54</f>
        <v/>
      </c>
      <c r="JQ55" s="251" t="n"/>
      <c r="JR55" s="245">
        <f>JR53-JR54</f>
        <v/>
      </c>
      <c r="JS55" s="246" t="n"/>
      <c r="JT55" s="245">
        <f>JT53-JT54</f>
        <v/>
      </c>
      <c r="JU55" s="246" t="n"/>
      <c r="JV55" s="245">
        <f>JV53-JV54</f>
        <v/>
      </c>
      <c r="JW55" s="246" t="n"/>
      <c r="JX55" s="250">
        <f>JX53-JX54</f>
        <v/>
      </c>
      <c r="JY55" s="251" t="n"/>
      <c r="JZ55" s="245">
        <f>JZ53-JZ54</f>
        <v/>
      </c>
      <c r="KA55" s="246" t="n"/>
      <c r="KB55" s="298">
        <f>SUM(H55:JY55)</f>
        <v/>
      </c>
      <c r="KC55" s="246" t="n"/>
      <c r="KD55" s="2" t="n"/>
      <c r="KF55" s="97" t="n"/>
    </row>
    <row r="56" ht="11.25" customHeight="1">
      <c r="B56" s="32" t="n"/>
      <c r="D56" s="279" t="inlineStr">
        <is>
          <t>частично актован</t>
        </is>
      </c>
      <c r="M56" s="279" t="n"/>
      <c r="CT56" s="279" t="n"/>
      <c r="CU56" s="279" t="n"/>
      <c r="KB56" s="307" t="n"/>
      <c r="KC56" s="308" t="n"/>
    </row>
    <row r="57" ht="11.25" customHeight="1">
      <c r="B57" s="33" t="n"/>
      <c r="D57" s="279" t="inlineStr">
        <is>
          <t>НЗП</t>
        </is>
      </c>
      <c r="M57" s="279" t="n"/>
      <c r="CT57" s="279" t="n"/>
      <c r="CU57" s="279" t="n"/>
    </row>
    <row r="58" ht="11.25" customHeight="1">
      <c r="B58" s="34" t="n"/>
      <c r="D58" s="279" t="inlineStr">
        <is>
          <t>актовка</t>
        </is>
      </c>
      <c r="M58" s="279" t="n"/>
      <c r="CT58" s="279" t="n"/>
      <c r="CU58" s="279" t="n"/>
    </row>
    <row r="59" ht="11.25" customHeight="1">
      <c r="B59" s="35" t="n"/>
      <c r="D59" s="279" t="inlineStr">
        <is>
          <t>для заполнения данными бухгалтерии</t>
        </is>
      </c>
      <c r="M59" s="279" t="n"/>
      <c r="CT59" s="279" t="n"/>
      <c r="CU59" s="279" t="n"/>
    </row>
    <row r="60" ht="29.25" customHeight="1">
      <c r="CT60" s="279" t="n"/>
      <c r="CU60" s="279" t="n"/>
    </row>
    <row r="61" ht="14.25" customHeight="1">
      <c r="CT61" s="279" t="n"/>
      <c r="CU61" s="279" t="n"/>
    </row>
    <row r="62" ht="13.2" customHeight="1">
      <c r="BF62" s="88" t="n"/>
      <c r="CD62" s="88" t="n"/>
      <c r="CR62" s="88" t="n"/>
      <c r="CT62" s="88" t="n"/>
      <c r="CU62" s="279" t="n"/>
      <c r="DL62" s="88" t="n"/>
      <c r="DX62" s="88" t="n"/>
      <c r="EJ62" s="88" t="n"/>
      <c r="EP62" s="88" t="n"/>
      <c r="EX62" s="88" t="n"/>
      <c r="GX62" s="88" t="n"/>
      <c r="GZ62" s="88" t="n"/>
      <c r="HB62" s="88" t="n"/>
      <c r="HD62" s="88" t="n"/>
      <c r="HF62" s="88" t="n"/>
      <c r="HH62" s="88" t="n"/>
      <c r="HJ62" s="88" t="n"/>
      <c r="HL62" s="88" t="n"/>
      <c r="KF62" s="88" t="n"/>
    </row>
    <row r="63" ht="13.2" customHeight="1">
      <c r="CT63" s="279" t="n"/>
      <c r="CU63" s="279" t="n"/>
    </row>
    <row r="64" ht="13.2" customHeight="1">
      <c r="CT64" s="279" t="n"/>
      <c r="CU64" s="279" t="n"/>
    </row>
    <row r="65" ht="13.2" customHeight="1">
      <c r="CT65" s="279" t="n"/>
      <c r="CU65" s="279" t="n"/>
    </row>
    <row r="66" ht="13.2" customHeight="1">
      <c r="CT66" s="279" t="n"/>
      <c r="CU66" s="279" t="n"/>
    </row>
    <row r="67" ht="13.2" customHeight="1">
      <c r="CT67" s="279" t="n"/>
      <c r="CU67" s="279" t="n"/>
    </row>
    <row r="68" ht="13.2" customHeight="1">
      <c r="CT68" s="279" t="n"/>
      <c r="CU68" s="279" t="n"/>
    </row>
    <row r="69" ht="13.2" customHeight="1">
      <c r="CT69" s="279" t="n"/>
      <c r="CU69" s="279" t="n"/>
    </row>
    <row r="70" ht="13.2" customHeight="1">
      <c r="CT70" s="279" t="n"/>
      <c r="CU70" s="279" t="n"/>
      <c r="JE70" s="301" t="n"/>
    </row>
    <row r="71" ht="13.2" customHeight="1">
      <c r="CT71" s="279" t="n"/>
      <c r="CU71" s="279" t="n"/>
      <c r="JE71" s="278" t="n"/>
    </row>
    <row r="72" ht="13.2" customHeight="1">
      <c r="CT72" s="279" t="n"/>
      <c r="CU72" s="279" t="n"/>
    </row>
    <row r="73" ht="13.2" customHeight="1">
      <c r="CT73" s="279" t="n"/>
      <c r="CU73" s="279" t="n"/>
    </row>
    <row r="74" ht="13.2" customHeight="1">
      <c r="CT74" s="279" t="n"/>
      <c r="CU74" s="279" t="n"/>
    </row>
    <row r="75" ht="13.2" customHeight="1">
      <c r="CT75" s="279" t="n"/>
      <c r="CU75" s="279" t="n"/>
    </row>
    <row r="76" ht="13.2" customHeight="1">
      <c r="CT76" s="279" t="n"/>
      <c r="CU76" s="279" t="n"/>
    </row>
    <row r="77" ht="13.2" customHeight="1">
      <c r="CT77" s="279" t="n"/>
      <c r="CU77" s="279" t="n"/>
    </row>
    <row r="78" ht="13.2" customHeight="1">
      <c r="CT78" s="279" t="n"/>
      <c r="CU78" s="279" t="n"/>
    </row>
    <row r="79" ht="13.2" customHeight="1">
      <c r="CT79" s="279" t="n"/>
      <c r="CU79" s="279" t="n"/>
    </row>
    <row r="80" ht="13.2" customHeight="1">
      <c r="CT80" s="279" t="n"/>
      <c r="CU80" s="279" t="n"/>
    </row>
    <row r="81" ht="13.2" customHeight="1">
      <c r="CT81" s="279" t="n"/>
      <c r="CU81" s="279" t="n"/>
    </row>
    <row r="82" ht="13.2" customHeight="1">
      <c r="CT82" s="279" t="n"/>
      <c r="CU82" s="279" t="n"/>
    </row>
    <row r="83" ht="13.2" customHeight="1">
      <c r="CT83" s="279" t="n"/>
      <c r="CU83" s="279" t="n"/>
    </row>
    <row r="84" ht="13.2" customHeight="1">
      <c r="CT84" s="279" t="n"/>
      <c r="CU84" s="279" t="n"/>
    </row>
    <row r="85" ht="13.2" customHeight="1">
      <c r="CT85" s="279" t="n"/>
      <c r="CU85" s="279" t="n"/>
    </row>
    <row r="86" ht="13.2" customHeight="1">
      <c r="CT86" s="279" t="n"/>
      <c r="CU86" s="279" t="n"/>
    </row>
    <row r="87" ht="13.2" customHeight="1">
      <c r="CT87" s="279" t="n"/>
      <c r="CU87" s="279" t="n"/>
    </row>
    <row r="88" ht="13.2" customHeight="1">
      <c r="CT88" s="279" t="n"/>
      <c r="CU88" s="279" t="n"/>
    </row>
    <row r="89" ht="13.2" customHeight="1">
      <c r="CT89" s="279" t="n"/>
      <c r="CU89" s="279" t="n"/>
    </row>
    <row r="90" ht="13.2" customHeight="1">
      <c r="CT90" s="279" t="n"/>
      <c r="CU90" s="279" t="n"/>
    </row>
    <row r="91" ht="13.2" customHeight="1">
      <c r="CT91" s="279" t="n"/>
      <c r="CU91" s="279" t="n"/>
    </row>
    <row r="92" ht="13.2" customHeight="1">
      <c r="CT92" s="279" t="n"/>
      <c r="CU92" s="279" t="n"/>
    </row>
    <row r="93" ht="13.2" customHeight="1">
      <c r="CT93" s="279" t="n"/>
      <c r="CU93" s="279" t="n"/>
    </row>
    <row r="94" ht="13.2" customHeight="1">
      <c r="CT94" s="279" t="n"/>
      <c r="CU94" s="279" t="n"/>
    </row>
    <row r="95" ht="13.2" customHeight="1">
      <c r="CT95" s="279" t="n"/>
      <c r="CU95" s="279" t="n"/>
    </row>
    <row r="96" ht="13.2" customHeight="1">
      <c r="CT96" s="279" t="n"/>
      <c r="CU96" s="279" t="n"/>
    </row>
    <row r="97" ht="13.2" customHeight="1">
      <c r="CT97" s="279" t="n"/>
      <c r="CU97" s="279" t="n"/>
    </row>
    <row r="98" ht="13.2" customHeight="1">
      <c r="CT98" s="279" t="n"/>
      <c r="CU98" s="279" t="n"/>
    </row>
    <row r="99" ht="13.2" customHeight="1">
      <c r="CT99" s="279" t="n"/>
      <c r="CU99" s="279" t="n"/>
    </row>
    <row r="100" ht="13.2" customHeight="1">
      <c r="CT100" s="279" t="n"/>
      <c r="CU100" s="279" t="n"/>
    </row>
    <row r="101" ht="13.2" customHeight="1">
      <c r="CT101" s="279" t="n"/>
      <c r="CU101" s="279" t="n"/>
    </row>
    <row r="102" ht="13.2" customHeight="1">
      <c r="CT102" s="279" t="n"/>
      <c r="CU102" s="279" t="n"/>
    </row>
    <row r="103" ht="13.2" customHeight="1">
      <c r="CT103" s="279" t="n"/>
      <c r="CU103" s="279" t="n"/>
    </row>
    <row r="104" ht="13.2" customHeight="1">
      <c r="CT104" s="279" t="n"/>
      <c r="CU104" s="279" t="n"/>
    </row>
    <row r="105" ht="13.2" customHeight="1">
      <c r="CT105" s="279" t="n"/>
      <c r="CU105" s="279" t="n"/>
    </row>
    <row r="106" ht="13.2" customHeight="1">
      <c r="CT106" s="279" t="n"/>
      <c r="CU106" s="279" t="n"/>
    </row>
    <row r="107" ht="13.2" customHeight="1">
      <c r="CT107" s="279" t="n"/>
      <c r="CU107" s="279" t="n"/>
    </row>
    <row r="108" ht="13.2" customHeight="1">
      <c r="CT108" s="279" t="n"/>
      <c r="CU108" s="279" t="n"/>
    </row>
    <row r="109" ht="13.2" customHeight="1">
      <c r="CT109" s="279" t="n"/>
      <c r="CU109" s="279" t="n"/>
    </row>
    <row r="110" ht="13.2" customHeight="1">
      <c r="CT110" s="279" t="n"/>
      <c r="CU110" s="279" t="n"/>
    </row>
    <row r="111" ht="13.2" customHeight="1">
      <c r="CT111" s="279" t="n"/>
      <c r="CU111" s="279" t="n"/>
    </row>
    <row r="112" ht="13.2" customHeight="1">
      <c r="CT112" s="279" t="n"/>
      <c r="CU112" s="279" t="n"/>
    </row>
    <row r="113" ht="13.2" customHeight="1">
      <c r="CT113" s="279" t="n"/>
      <c r="CU113" s="279" t="n"/>
    </row>
    <row r="114" ht="13.2" customHeight="1">
      <c r="CT114" s="279" t="n"/>
      <c r="CU114" s="279" t="n"/>
    </row>
    <row r="115" ht="13.2" customHeight="1">
      <c r="CT115" s="279" t="n"/>
      <c r="CU115" s="279" t="n"/>
    </row>
    <row r="116" ht="13.2" customHeight="1">
      <c r="CT116" s="279" t="n"/>
      <c r="CU116" s="279" t="n"/>
    </row>
    <row r="117" ht="13.2" customHeight="1">
      <c r="CT117" s="279" t="n"/>
      <c r="CU117" s="279" t="n"/>
    </row>
    <row r="118" ht="13.2" customHeight="1">
      <c r="CT118" s="279" t="n"/>
      <c r="CU118" s="279" t="n"/>
    </row>
    <row r="119" ht="13.2" customHeight="1">
      <c r="CT119" s="279" t="n"/>
      <c r="CU119" s="279" t="n"/>
    </row>
    <row r="120" ht="13.2" customHeight="1">
      <c r="CT120" s="279" t="n"/>
      <c r="CU120" s="279" t="n"/>
    </row>
    <row r="121" ht="13.2" customHeight="1">
      <c r="CT121" s="279" t="n"/>
      <c r="CU121" s="279" t="n"/>
    </row>
    <row r="122" ht="13.2" customHeight="1">
      <c r="CT122" s="279" t="n"/>
      <c r="CU122" s="279" t="n"/>
    </row>
    <row r="123" ht="13.2" customHeight="1">
      <c r="CT123" s="279" t="n"/>
      <c r="CU123" s="279" t="n"/>
    </row>
    <row r="124" ht="13.2" customHeight="1">
      <c r="CT124" s="279" t="n"/>
      <c r="CU124" s="279" t="n"/>
    </row>
    <row r="125" ht="13.2" customHeight="1">
      <c r="CT125" s="279" t="n"/>
      <c r="CU125" s="279" t="n"/>
    </row>
    <row r="126" ht="13.2" customHeight="1">
      <c r="CT126" s="279" t="n"/>
      <c r="CU126" s="279" t="n"/>
    </row>
    <row r="127" ht="13.2" customHeight="1">
      <c r="CT127" s="279" t="n"/>
      <c r="CU127" s="279" t="n"/>
    </row>
    <row r="128" ht="13.2" customHeight="1">
      <c r="CT128" s="279" t="n"/>
      <c r="CU128" s="279" t="n"/>
    </row>
    <row r="129" ht="13.2" customHeight="1">
      <c r="CT129" s="279" t="n"/>
      <c r="CU129" s="279" t="n"/>
    </row>
    <row r="130" ht="13.2" customHeight="1">
      <c r="CT130" s="279" t="n"/>
      <c r="CU130" s="279" t="n"/>
    </row>
    <row r="131" ht="13.2" customHeight="1">
      <c r="CT131" s="279" t="n"/>
      <c r="CU131" s="279" t="n"/>
    </row>
    <row r="132" ht="13.2" customHeight="1">
      <c r="CT132" s="279" t="n"/>
      <c r="CU132" s="279" t="n"/>
    </row>
    <row r="133" ht="13.2" customHeight="1">
      <c r="CT133" s="279" t="n"/>
      <c r="CU133" s="279" t="n"/>
    </row>
    <row r="134" ht="13.2" customHeight="1">
      <c r="CT134" s="279" t="n"/>
      <c r="CU134" s="279" t="n"/>
    </row>
    <row r="135" ht="13.2" customHeight="1">
      <c r="CT135" s="279" t="n"/>
      <c r="CU135" s="279" t="n"/>
    </row>
    <row r="136" ht="13.2" customHeight="1">
      <c r="CT136" s="279" t="n"/>
      <c r="CU136" s="279" t="n"/>
    </row>
    <row r="137" ht="13.2" customHeight="1">
      <c r="CT137" s="279" t="n"/>
      <c r="CU137" s="279" t="n"/>
    </row>
    <row r="138" ht="13.2" customHeight="1">
      <c r="CT138" s="279" t="n"/>
      <c r="CU138" s="279" t="n"/>
    </row>
    <row r="139" ht="13.2" customHeight="1">
      <c r="CT139" s="279" t="n"/>
      <c r="CU139" s="279" t="n"/>
    </row>
    <row r="140" ht="13.2" customHeight="1">
      <c r="CT140" s="279" t="n"/>
      <c r="CU140" s="279" t="n"/>
    </row>
    <row r="141" ht="13.2" customHeight="1">
      <c r="CT141" s="279" t="n"/>
      <c r="CU141" s="279" t="n"/>
    </row>
    <row r="142" ht="13.2" customHeight="1">
      <c r="CT142" s="279" t="n"/>
      <c r="CU142" s="279" t="n"/>
    </row>
    <row r="143" ht="13.2" customHeight="1">
      <c r="CT143" s="279" t="n"/>
      <c r="CU143" s="279" t="n"/>
    </row>
    <row r="144" ht="13.2" customHeight="1">
      <c r="CT144" s="279" t="n"/>
      <c r="CU144" s="279" t="n"/>
    </row>
    <row r="145" ht="13.2" customHeight="1">
      <c r="CT145" s="279" t="n"/>
      <c r="CU145" s="279" t="n"/>
    </row>
    <row r="146" ht="13.2" customHeight="1">
      <c r="CT146" s="279" t="n"/>
      <c r="CU146" s="279" t="n"/>
    </row>
    <row r="147" ht="13.2" customHeight="1">
      <c r="CT147" s="279" t="n"/>
      <c r="CU147" s="279" t="n"/>
    </row>
    <row r="148" ht="13.2" customHeight="1">
      <c r="CT148" s="279" t="n"/>
      <c r="CU148" s="279" t="n"/>
    </row>
    <row r="149" ht="13.2" customHeight="1">
      <c r="CT149" s="279" t="n"/>
      <c r="CU149" s="279" t="n"/>
    </row>
    <row r="150" ht="13.2" customHeight="1">
      <c r="CT150" s="279" t="n"/>
      <c r="CU150" s="279" t="n"/>
    </row>
    <row r="151" ht="13.2" customHeight="1">
      <c r="CT151" s="279" t="n"/>
      <c r="CU151" s="279" t="n"/>
    </row>
    <row r="152" ht="13.2" customHeight="1">
      <c r="CT152" s="279" t="n"/>
      <c r="CU152" s="279" t="n"/>
    </row>
    <row r="153" ht="13.2" customHeight="1">
      <c r="CT153" s="279" t="n"/>
      <c r="CU153" s="279" t="n"/>
    </row>
    <row r="154" ht="13.2" customHeight="1">
      <c r="CT154" s="279" t="n"/>
      <c r="CU154" s="279" t="n"/>
    </row>
    <row r="155" ht="13.2" customHeight="1">
      <c r="CT155" s="279" t="n"/>
      <c r="CU155" s="279" t="n"/>
    </row>
    <row r="156" ht="13.2" customHeight="1">
      <c r="CT156" s="279" t="n"/>
      <c r="CU156" s="279" t="n"/>
    </row>
    <row r="157" ht="13.2" customHeight="1">
      <c r="CT157" s="279" t="n"/>
      <c r="CU157" s="279" t="n"/>
    </row>
    <row r="158" ht="13.2" customHeight="1">
      <c r="CT158" s="279" t="n"/>
      <c r="CU158" s="279" t="n"/>
    </row>
    <row r="159" ht="13.2" customHeight="1">
      <c r="CT159" s="279" t="n"/>
      <c r="CU159" s="279" t="n"/>
    </row>
    <row r="160" ht="13.2" customHeight="1">
      <c r="CT160" s="279" t="n"/>
      <c r="CU160" s="279" t="n"/>
    </row>
    <row r="161" ht="13.2" customHeight="1">
      <c r="CT161" s="279" t="n"/>
      <c r="CU161" s="279" t="n"/>
    </row>
    <row r="162" ht="13.2" customHeight="1">
      <c r="CT162" s="279" t="n"/>
      <c r="CU162" s="279" t="n"/>
    </row>
    <row r="163" ht="13.2" customHeight="1">
      <c r="CT163" s="279" t="n"/>
      <c r="CU163" s="279" t="n"/>
    </row>
    <row r="164" ht="13.2" customHeight="1">
      <c r="CT164" s="279" t="n"/>
      <c r="CU164" s="279" t="n"/>
    </row>
    <row r="165" ht="13.2" customHeight="1">
      <c r="CT165" s="279" t="n"/>
      <c r="CU165" s="279" t="n"/>
    </row>
    <row r="166" ht="13.2" customHeight="1">
      <c r="CT166" s="279" t="n"/>
      <c r="CU166" s="279" t="n"/>
    </row>
    <row r="167" ht="13.2" customHeight="1">
      <c r="CT167" s="279" t="n"/>
      <c r="CU167" s="279" t="n"/>
    </row>
    <row r="168" ht="13.2" customHeight="1">
      <c r="CT168" s="279" t="n"/>
      <c r="CU168" s="279" t="n"/>
    </row>
    <row r="169" ht="13.2" customHeight="1">
      <c r="CT169" s="279" t="n"/>
      <c r="CU169" s="279" t="n"/>
    </row>
    <row r="170" ht="13.2" customHeight="1">
      <c r="CT170" s="279" t="n"/>
      <c r="CU170" s="279" t="n"/>
    </row>
    <row r="171" ht="13.2" customHeight="1">
      <c r="CT171" s="279" t="n"/>
      <c r="CU171" s="279" t="n"/>
    </row>
    <row r="172" ht="13.2" customHeight="1">
      <c r="CT172" s="279" t="n"/>
      <c r="CU172" s="279" t="n"/>
    </row>
    <row r="173" ht="13.2" customHeight="1">
      <c r="CT173" s="279" t="n"/>
      <c r="CU173" s="279" t="n"/>
    </row>
    <row r="174" ht="13.2" customHeight="1">
      <c r="CT174" s="279" t="n"/>
      <c r="CU174" s="279" t="n"/>
    </row>
    <row r="175" ht="13.2" customHeight="1">
      <c r="CT175" s="279" t="n"/>
      <c r="CU175" s="279" t="n"/>
    </row>
    <row r="176" ht="13.2" customHeight="1">
      <c r="CT176" s="279" t="n"/>
      <c r="CU176" s="279" t="n"/>
    </row>
    <row r="177" ht="13.2" customHeight="1">
      <c r="CT177" s="279" t="n"/>
      <c r="CU177" s="279" t="n"/>
    </row>
    <row r="178" ht="13.2" customHeight="1">
      <c r="CT178" s="279" t="n"/>
      <c r="CU178" s="279" t="n"/>
    </row>
    <row r="179" ht="13.2" customHeight="1">
      <c r="CT179" s="279" t="n"/>
      <c r="CU179" s="279" t="n"/>
    </row>
    <row r="180" ht="13.2" customHeight="1">
      <c r="CT180" s="279" t="n"/>
      <c r="CU180" s="279" t="n"/>
    </row>
    <row r="181" ht="13.2" customHeight="1">
      <c r="CT181" s="279" t="n"/>
      <c r="CU181" s="279" t="n"/>
    </row>
    <row r="182" ht="13.2" customHeight="1">
      <c r="CT182" s="279" t="n"/>
      <c r="CU182" s="279" t="n"/>
    </row>
    <row r="183" ht="13.2" customHeight="1">
      <c r="CT183" s="279" t="n"/>
      <c r="CU183" s="279" t="n"/>
    </row>
    <row r="184" ht="13.2" customHeight="1">
      <c r="CT184" s="279" t="n"/>
      <c r="CU184" s="279" t="n"/>
    </row>
    <row r="185" ht="13.2" customHeight="1">
      <c r="CT185" s="279" t="n"/>
      <c r="CU185" s="279" t="n"/>
    </row>
    <row r="186" ht="13.2" customHeight="1">
      <c r="CT186" s="279" t="n"/>
      <c r="CU186" s="279" t="n"/>
    </row>
    <row r="187" ht="13.2" customHeight="1">
      <c r="CT187" s="279" t="n"/>
      <c r="CU187" s="279" t="n"/>
    </row>
    <row r="188" ht="13.2" customHeight="1">
      <c r="CT188" s="279" t="n"/>
      <c r="CU188" s="279" t="n"/>
    </row>
    <row r="189" ht="13.2" customHeight="1">
      <c r="CT189" s="279" t="n"/>
      <c r="CU189" s="279" t="n"/>
    </row>
    <row r="190" ht="13.2" customHeight="1">
      <c r="CT190" s="279" t="n"/>
      <c r="CU190" s="279" t="n"/>
    </row>
    <row r="191" ht="13.2" customHeight="1">
      <c r="CT191" s="279" t="n"/>
      <c r="CU191" s="279" t="n"/>
    </row>
    <row r="192" ht="13.2" customHeight="1">
      <c r="CT192" s="279" t="n"/>
      <c r="CU192" s="279" t="n"/>
    </row>
    <row r="193" ht="13.2" customHeight="1">
      <c r="CT193" s="279" t="n"/>
      <c r="CU193" s="279" t="n"/>
    </row>
    <row r="194" ht="13.2" customHeight="1">
      <c r="CT194" s="279" t="n"/>
      <c r="CU194" s="279" t="n"/>
    </row>
    <row r="195" ht="13.2" customHeight="1">
      <c r="CT195" s="279" t="n"/>
      <c r="CU195" s="279" t="n"/>
    </row>
    <row r="196" ht="13.2" customHeight="1">
      <c r="CT196" s="279" t="n"/>
      <c r="CU196" s="279" t="n"/>
    </row>
    <row r="197" ht="13.2" customHeight="1">
      <c r="CT197" s="279" t="n"/>
      <c r="CU197" s="279" t="n"/>
    </row>
    <row r="198" ht="13.2" customHeight="1">
      <c r="CT198" s="279" t="n"/>
      <c r="CU198" s="279" t="n"/>
    </row>
    <row r="199" ht="13.2" customHeight="1">
      <c r="CT199" s="279" t="n"/>
      <c r="CU199" s="279" t="n"/>
    </row>
    <row r="200" ht="13.2" customHeight="1">
      <c r="CT200" s="279" t="n"/>
      <c r="CU200" s="279" t="n"/>
    </row>
    <row r="201" ht="13.2" customHeight="1">
      <c r="CT201" s="279" t="n"/>
      <c r="CU201" s="279" t="n"/>
    </row>
    <row r="202" ht="13.2" customHeight="1">
      <c r="CT202" s="279" t="n"/>
      <c r="CU202" s="279" t="n"/>
    </row>
    <row r="203" ht="13.2" customHeight="1">
      <c r="CT203" s="279" t="n"/>
      <c r="CU203" s="279" t="n"/>
    </row>
    <row r="204" ht="13.2" customHeight="1">
      <c r="CT204" s="279" t="n"/>
      <c r="CU204" s="279" t="n"/>
    </row>
    <row r="205" ht="13.2" customHeight="1">
      <c r="CT205" s="279" t="n"/>
      <c r="CU205" s="279" t="n"/>
    </row>
    <row r="206" ht="13.2" customHeight="1">
      <c r="CT206" s="279" t="n"/>
      <c r="CU206" s="279" t="n"/>
    </row>
    <row r="207" ht="13.2" customHeight="1">
      <c r="CT207" s="279" t="n"/>
      <c r="CU207" s="279" t="n"/>
    </row>
    <row r="208" ht="13.2" customHeight="1">
      <c r="CT208" s="279" t="n"/>
      <c r="CU208" s="279" t="n"/>
    </row>
    <row r="209" ht="13.2" customHeight="1">
      <c r="CT209" s="279" t="n"/>
      <c r="CU209" s="279" t="n"/>
    </row>
    <row r="210" ht="13.2" customHeight="1">
      <c r="CT210" s="279" t="n"/>
      <c r="CU210" s="279" t="n"/>
    </row>
    <row r="211" ht="13.2" customHeight="1">
      <c r="CT211" s="279" t="n"/>
      <c r="CU211" s="279" t="n"/>
    </row>
    <row r="212" ht="13.2" customHeight="1">
      <c r="CT212" s="279" t="n"/>
      <c r="CU212" s="279" t="n"/>
    </row>
    <row r="213" ht="13.2" customHeight="1">
      <c r="CT213" s="279" t="n"/>
      <c r="CU213" s="279" t="n"/>
    </row>
    <row r="214" ht="13.2" customHeight="1">
      <c r="CT214" s="279" t="n"/>
      <c r="CU214" s="279" t="n"/>
    </row>
    <row r="215" ht="13.2" customHeight="1">
      <c r="CT215" s="279" t="n"/>
      <c r="CU215" s="279" t="n"/>
    </row>
    <row r="216" ht="13.2" customHeight="1">
      <c r="CT216" s="279" t="n"/>
      <c r="CU216" s="279" t="n"/>
    </row>
    <row r="217" ht="13.2" customHeight="1">
      <c r="CT217" s="279" t="n"/>
      <c r="CU217" s="279" t="n"/>
    </row>
    <row r="218" ht="13.2" customHeight="1">
      <c r="CT218" s="279" t="n"/>
      <c r="CU218" s="279" t="n"/>
    </row>
    <row r="219" ht="13.2" customHeight="1">
      <c r="CT219" s="279" t="n"/>
      <c r="CU219" s="279" t="n"/>
    </row>
    <row r="220" ht="13.2" customHeight="1">
      <c r="CT220" s="279" t="n"/>
      <c r="CU220" s="279" t="n"/>
    </row>
    <row r="221" ht="13.2" customHeight="1">
      <c r="CT221" s="279" t="n"/>
      <c r="CU221" s="279" t="n"/>
    </row>
    <row r="222" ht="13.2" customHeight="1">
      <c r="CT222" s="279" t="n"/>
      <c r="CU222" s="279" t="n"/>
    </row>
    <row r="223" ht="13.2" customHeight="1">
      <c r="CT223" s="279" t="n"/>
      <c r="CU223" s="279" t="n"/>
    </row>
    <row r="224" ht="13.2" customHeight="1">
      <c r="CT224" s="279" t="n"/>
      <c r="CU224" s="279" t="n"/>
    </row>
    <row r="225" ht="13.2" customHeight="1">
      <c r="CT225" s="279" t="n"/>
      <c r="CU225" s="279" t="n"/>
    </row>
    <row r="226" ht="13.2" customHeight="1">
      <c r="CT226" s="279" t="n"/>
      <c r="CU226" s="279" t="n"/>
    </row>
    <row r="227" ht="13.2" customHeight="1">
      <c r="CT227" s="279" t="n"/>
      <c r="CU227" s="279" t="n"/>
    </row>
    <row r="228" ht="13.2" customHeight="1">
      <c r="CT228" s="279" t="n"/>
      <c r="CU228" s="279" t="n"/>
    </row>
    <row r="229" ht="13.2" customHeight="1">
      <c r="CT229" s="279" t="n"/>
      <c r="CU229" s="279" t="n"/>
    </row>
    <row r="230" ht="13.2" customHeight="1">
      <c r="CT230" s="279" t="n"/>
      <c r="CU230" s="279" t="n"/>
    </row>
    <row r="231" ht="13.2" customHeight="1">
      <c r="CT231" s="279" t="n"/>
      <c r="CU231" s="279" t="n"/>
    </row>
    <row r="232" ht="13.2" customHeight="1">
      <c r="CT232" s="279" t="n"/>
      <c r="CU232" s="279" t="n"/>
    </row>
    <row r="233" ht="13.2" customHeight="1">
      <c r="CT233" s="279" t="n"/>
      <c r="CU233" s="279" t="n"/>
    </row>
    <row r="234" ht="13.2" customHeight="1">
      <c r="CT234" s="279" t="n"/>
      <c r="CU234" s="279" t="n"/>
    </row>
    <row r="235" ht="13.2" customHeight="1">
      <c r="CT235" s="279" t="n"/>
      <c r="CU235" s="279" t="n"/>
    </row>
    <row r="236" ht="13.2" customHeight="1">
      <c r="CT236" s="279" t="n"/>
      <c r="CU236" s="279" t="n"/>
    </row>
    <row r="237" ht="13.2" customHeight="1">
      <c r="CT237" s="279" t="n"/>
      <c r="CU237" s="279" t="n"/>
    </row>
    <row r="238" ht="13.2" customHeight="1">
      <c r="CT238" s="279" t="n"/>
      <c r="CU238" s="279" t="n"/>
    </row>
    <row r="239" ht="13.2" customHeight="1">
      <c r="CT239" s="279" t="n"/>
      <c r="CU239" s="279" t="n"/>
    </row>
    <row r="240" ht="13.2" customHeight="1">
      <c r="CT240" s="279" t="n"/>
      <c r="CU240" s="279" t="n"/>
    </row>
    <row r="241" ht="13.2" customHeight="1">
      <c r="CT241" s="279" t="n"/>
      <c r="CU241" s="279" t="n"/>
    </row>
    <row r="242" ht="13.2" customHeight="1">
      <c r="CT242" s="279" t="n"/>
      <c r="CU242" s="279" t="n"/>
    </row>
    <row r="243" ht="13.2" customHeight="1">
      <c r="CT243" s="279" t="n"/>
      <c r="CU243" s="279" t="n"/>
    </row>
    <row r="244" ht="13.2" customHeight="1">
      <c r="CT244" s="279" t="n"/>
      <c r="CU244" s="279" t="n"/>
    </row>
    <row r="245" ht="13.2" customHeight="1">
      <c r="CT245" s="279" t="n"/>
      <c r="CU245" s="279" t="n"/>
    </row>
    <row r="246" ht="13.2" customHeight="1">
      <c r="CT246" s="279" t="n"/>
      <c r="CU246" s="279" t="n"/>
    </row>
    <row r="247" ht="13.2" customHeight="1">
      <c r="CT247" s="279" t="n"/>
      <c r="CU247" s="279" t="n"/>
    </row>
    <row r="248" ht="13.2" customHeight="1">
      <c r="CT248" s="279" t="n"/>
      <c r="CU248" s="279" t="n"/>
    </row>
    <row r="249" ht="13.2" customHeight="1">
      <c r="CT249" s="279" t="n"/>
      <c r="CU249" s="279" t="n"/>
    </row>
    <row r="250" ht="13.2" customHeight="1">
      <c r="CT250" s="279" t="n"/>
      <c r="CU250" s="279" t="n"/>
    </row>
    <row r="251" ht="13.2" customHeight="1">
      <c r="CT251" s="279" t="n"/>
      <c r="CU251" s="279" t="n"/>
    </row>
    <row r="252" ht="13.2" customHeight="1">
      <c r="CT252" s="279" t="n"/>
      <c r="CU252" s="279" t="n"/>
    </row>
    <row r="253" ht="13.2" customHeight="1">
      <c r="CT253" s="279" t="n"/>
      <c r="CU253" s="279" t="n"/>
    </row>
    <row r="254" ht="13.2" customHeight="1">
      <c r="CT254" s="279" t="n"/>
      <c r="CU254" s="279" t="n"/>
    </row>
    <row r="255" ht="13.2" customHeight="1">
      <c r="CT255" s="279" t="n"/>
      <c r="CU255" s="279" t="n"/>
    </row>
    <row r="256" ht="13.2" customHeight="1">
      <c r="CT256" s="279" t="n"/>
      <c r="CU256" s="279" t="n"/>
    </row>
    <row r="257" ht="13.2" customHeight="1">
      <c r="CT257" s="279" t="n"/>
      <c r="CU257" s="279" t="n"/>
    </row>
    <row r="258" ht="13.2" customHeight="1">
      <c r="CT258" s="279" t="n"/>
      <c r="CU258" s="279" t="n"/>
    </row>
    <row r="259" ht="13.2" customHeight="1">
      <c r="CT259" s="279" t="n"/>
      <c r="CU259" s="279" t="n"/>
    </row>
    <row r="260" ht="13.2" customHeight="1">
      <c r="CT260" s="279" t="n"/>
      <c r="CU260" s="279" t="n"/>
    </row>
    <row r="261" ht="13.2" customHeight="1">
      <c r="CT261" s="279" t="n"/>
      <c r="CU261" s="279" t="n"/>
    </row>
    <row r="262" ht="13.2" customHeight="1">
      <c r="CT262" s="279" t="n"/>
      <c r="CU262" s="279" t="n"/>
    </row>
    <row r="263" ht="13.2" customHeight="1">
      <c r="CT263" s="279" t="n"/>
      <c r="CU263" s="279" t="n"/>
    </row>
    <row r="264" ht="13.2" customHeight="1">
      <c r="CT264" s="279" t="n"/>
      <c r="CU264" s="279" t="n"/>
    </row>
    <row r="265" ht="13.2" customHeight="1">
      <c r="CT265" s="279" t="n"/>
      <c r="CU265" s="279" t="n"/>
    </row>
    <row r="266" ht="13.2" customHeight="1">
      <c r="CT266" s="279" t="n"/>
      <c r="CU266" s="279" t="n"/>
    </row>
    <row r="267" ht="13.2" customHeight="1">
      <c r="CT267" s="279" t="n"/>
      <c r="CU267" s="279" t="n"/>
    </row>
    <row r="268" ht="13.2" customHeight="1">
      <c r="CT268" s="279" t="n"/>
      <c r="CU268" s="279" t="n"/>
    </row>
    <row r="269" ht="13.2" customHeight="1">
      <c r="CT269" s="279" t="n"/>
      <c r="CU269" s="279" t="n"/>
    </row>
    <row r="270" ht="13.2" customHeight="1">
      <c r="CT270" s="279" t="n"/>
      <c r="CU270" s="279" t="n"/>
    </row>
    <row r="271" ht="13.2" customHeight="1">
      <c r="CT271" s="279" t="n"/>
      <c r="CU271" s="279" t="n"/>
    </row>
    <row r="272" ht="13.2" customHeight="1">
      <c r="CT272" s="279" t="n"/>
      <c r="CU272" s="279" t="n"/>
    </row>
    <row r="273" ht="13.2" customHeight="1">
      <c r="CT273" s="279" t="n"/>
      <c r="CU273" s="279" t="n"/>
    </row>
    <row r="274" ht="13.2" customHeight="1">
      <c r="CT274" s="279" t="n"/>
      <c r="CU274" s="279" t="n"/>
    </row>
    <row r="275" ht="13.2" customHeight="1">
      <c r="CT275" s="279" t="n"/>
      <c r="CU275" s="279" t="n"/>
    </row>
    <row r="276" ht="13.2" customHeight="1">
      <c r="CT276" s="279" t="n"/>
      <c r="CU276" s="279" t="n"/>
    </row>
    <row r="277" ht="13.2" customHeight="1">
      <c r="CT277" s="279" t="n"/>
      <c r="CU277" s="279" t="n"/>
    </row>
    <row r="278" ht="13.2" customHeight="1">
      <c r="CT278" s="279" t="n"/>
      <c r="CU278" s="279" t="n"/>
    </row>
    <row r="279" ht="13.2" customHeight="1">
      <c r="CT279" s="279" t="n"/>
      <c r="CU279" s="279" t="n"/>
    </row>
    <row r="280" ht="13.2" customHeight="1">
      <c r="CT280" s="279" t="n"/>
      <c r="CU280" s="279" t="n"/>
    </row>
    <row r="281" ht="13.2" customHeight="1">
      <c r="CT281" s="279" t="n"/>
      <c r="CU281" s="279" t="n"/>
    </row>
    <row r="282" ht="13.2" customHeight="1">
      <c r="CT282" s="279" t="n"/>
      <c r="CU282" s="279" t="n"/>
    </row>
    <row r="283" ht="13.2" customHeight="1">
      <c r="CT283" s="279" t="n"/>
      <c r="CU283" s="279" t="n"/>
    </row>
    <row r="284" ht="13.2" customHeight="1">
      <c r="CT284" s="279" t="n"/>
      <c r="CU284" s="279" t="n"/>
    </row>
    <row r="285" ht="13.2" customHeight="1">
      <c r="CT285" s="279" t="n"/>
      <c r="CU285" s="279" t="n"/>
    </row>
    <row r="286" ht="13.2" customHeight="1">
      <c r="CT286" s="279" t="n"/>
      <c r="CU286" s="279" t="n"/>
    </row>
    <row r="287" ht="13.2" customHeight="1">
      <c r="CT287" s="279" t="n"/>
      <c r="CU287" s="279" t="n"/>
    </row>
    <row r="288" ht="13.2" customHeight="1">
      <c r="CT288" s="279" t="n"/>
      <c r="CU288" s="279" t="n"/>
    </row>
    <row r="289" ht="13.2" customHeight="1">
      <c r="CT289" s="279" t="n"/>
      <c r="CU289" s="279" t="n"/>
    </row>
    <row r="290" ht="13.2" customHeight="1">
      <c r="CT290" s="279" t="n"/>
      <c r="CU290" s="279" t="n"/>
    </row>
    <row r="291" ht="13.2" customHeight="1">
      <c r="CT291" s="279" t="n"/>
      <c r="CU291" s="279" t="n"/>
    </row>
    <row r="292" ht="13.2" customHeight="1">
      <c r="CT292" s="279" t="n"/>
      <c r="CU292" s="279" t="n"/>
    </row>
    <row r="293" ht="13.2" customHeight="1">
      <c r="CT293" s="279" t="n"/>
      <c r="CU293" s="279" t="n"/>
    </row>
    <row r="294" ht="13.2" customHeight="1">
      <c r="CT294" s="279" t="n"/>
      <c r="CU294" s="279" t="n"/>
    </row>
    <row r="295" ht="13.2" customHeight="1">
      <c r="CT295" s="279" t="n"/>
      <c r="CU295" s="279" t="n"/>
    </row>
    <row r="296" ht="13.2" customHeight="1">
      <c r="CT296" s="279" t="n"/>
      <c r="CU296" s="279" t="n"/>
    </row>
    <row r="297" ht="13.2" customHeight="1">
      <c r="CT297" s="279" t="n"/>
      <c r="CU297" s="279" t="n"/>
    </row>
    <row r="298" ht="13.2" customHeight="1">
      <c r="CT298" s="279" t="n"/>
      <c r="CU298" s="279" t="n"/>
    </row>
    <row r="299" ht="13.2" customHeight="1">
      <c r="CT299" s="279" t="n"/>
      <c r="CU299" s="279" t="n"/>
    </row>
    <row r="300" ht="13.2" customHeight="1">
      <c r="CT300" s="279" t="n"/>
      <c r="CU300" s="279" t="n"/>
    </row>
    <row r="301" ht="13.2" customHeight="1">
      <c r="CT301" s="279" t="n"/>
      <c r="CU301" s="279" t="n"/>
    </row>
    <row r="302" ht="13.2" customHeight="1">
      <c r="CT302" s="279" t="n"/>
      <c r="CU302" s="279" t="n"/>
    </row>
    <row r="303" ht="13.2" customHeight="1">
      <c r="CT303" s="279" t="n"/>
      <c r="CU303" s="279" t="n"/>
    </row>
    <row r="304" ht="13.2" customHeight="1">
      <c r="CT304" s="279" t="n"/>
      <c r="CU304" s="279" t="n"/>
    </row>
    <row r="305" ht="13.2" customHeight="1">
      <c r="CT305" s="279" t="n"/>
      <c r="CU305" s="279" t="n"/>
    </row>
    <row r="306" ht="13.2" customHeight="1">
      <c r="CT306" s="279" t="n"/>
      <c r="CU306" s="279" t="n"/>
    </row>
    <row r="307" ht="13.2" customHeight="1">
      <c r="CT307" s="279" t="n"/>
      <c r="CU307" s="279" t="n"/>
    </row>
    <row r="308" ht="13.2" customHeight="1">
      <c r="CT308" s="279" t="n"/>
      <c r="CU308" s="279" t="n"/>
    </row>
    <row r="309" ht="13.2" customHeight="1">
      <c r="CT309" s="279" t="n"/>
      <c r="CU309" s="279" t="n"/>
    </row>
    <row r="310" ht="13.2" customHeight="1">
      <c r="CT310" s="279" t="n"/>
      <c r="CU310" s="279" t="n"/>
    </row>
    <row r="311" ht="13.2" customHeight="1">
      <c r="CT311" s="279" t="n"/>
      <c r="CU311" s="279" t="n"/>
    </row>
    <row r="312" ht="13.2" customHeight="1">
      <c r="CT312" s="279" t="n"/>
      <c r="CU312" s="279" t="n"/>
    </row>
    <row r="313" ht="13.2" customHeight="1">
      <c r="CT313" s="279" t="n"/>
      <c r="CU313" s="279" t="n"/>
    </row>
    <row r="314" ht="13.2" customHeight="1">
      <c r="CT314" s="279" t="n"/>
      <c r="CU314" s="279" t="n"/>
    </row>
    <row r="315" ht="13.2" customHeight="1">
      <c r="CT315" s="279" t="n"/>
      <c r="CU315" s="279" t="n"/>
    </row>
    <row r="316" ht="13.2" customHeight="1">
      <c r="CT316" s="279" t="n"/>
      <c r="CU316" s="279" t="n"/>
    </row>
    <row r="317" ht="13.2" customHeight="1">
      <c r="CT317" s="279" t="n"/>
      <c r="CU317" s="279" t="n"/>
    </row>
    <row r="318" ht="13.2" customHeight="1">
      <c r="CT318" s="279" t="n"/>
      <c r="CU318" s="279" t="n"/>
    </row>
    <row r="319" ht="13.2" customHeight="1">
      <c r="CT319" s="279" t="n"/>
      <c r="CU319" s="279" t="n"/>
    </row>
    <row r="320" ht="13.2" customHeight="1">
      <c r="CT320" s="279" t="n"/>
      <c r="CU320" s="279" t="n"/>
    </row>
    <row r="321" ht="13.2" customHeight="1">
      <c r="CT321" s="279" t="n"/>
      <c r="CU321" s="279" t="n"/>
    </row>
    <row r="322" ht="13.2" customHeight="1">
      <c r="CT322" s="279" t="n"/>
      <c r="CU322" s="279" t="n"/>
    </row>
    <row r="323" ht="13.2" customHeight="1">
      <c r="CT323" s="279" t="n"/>
      <c r="CU323" s="279" t="n"/>
    </row>
    <row r="324" ht="13.2" customHeight="1">
      <c r="CT324" s="279" t="n"/>
      <c r="CU324" s="279" t="n"/>
    </row>
    <row r="325" ht="13.2" customHeight="1">
      <c r="CT325" s="279" t="n"/>
      <c r="CU325" s="279" t="n"/>
    </row>
    <row r="326" ht="13.2" customHeight="1">
      <c r="CT326" s="279" t="n"/>
      <c r="CU326" s="279" t="n"/>
    </row>
    <row r="327" ht="13.2" customHeight="1">
      <c r="CT327" s="279" t="n"/>
      <c r="CU327" s="279" t="n"/>
    </row>
    <row r="328" ht="13.2" customHeight="1">
      <c r="CT328" s="279" t="n"/>
      <c r="CU328" s="279" t="n"/>
    </row>
    <row r="329" ht="13.2" customHeight="1">
      <c r="CT329" s="279" t="n"/>
      <c r="CU329" s="279" t="n"/>
    </row>
    <row r="330" ht="13.2" customHeight="1">
      <c r="CT330" s="279" t="n"/>
      <c r="CU330" s="279" t="n"/>
    </row>
    <row r="331" ht="13.2" customHeight="1">
      <c r="CT331" s="279" t="n"/>
      <c r="CU331" s="279" t="n"/>
    </row>
    <row r="332" ht="13.2" customHeight="1">
      <c r="CT332" s="279" t="n"/>
      <c r="CU332" s="279" t="n"/>
    </row>
    <row r="333" ht="13.2" customHeight="1">
      <c r="CT333" s="279" t="n"/>
      <c r="CU333" s="279" t="n"/>
    </row>
    <row r="334" ht="13.2" customHeight="1">
      <c r="CT334" s="279" t="n"/>
      <c r="CU334" s="279" t="n"/>
    </row>
    <row r="335" ht="13.2" customHeight="1">
      <c r="CT335" s="279" t="n"/>
      <c r="CU335" s="279" t="n"/>
    </row>
    <row r="336" ht="13.2" customHeight="1">
      <c r="CT336" s="279" t="n"/>
      <c r="CU336" s="279" t="n"/>
    </row>
    <row r="337" ht="13.2" customHeight="1">
      <c r="CT337" s="279" t="n"/>
      <c r="CU337" s="279" t="n"/>
    </row>
    <row r="338" ht="13.2" customHeight="1">
      <c r="CT338" s="279" t="n"/>
      <c r="CU338" s="279" t="n"/>
    </row>
    <row r="339" ht="13.2" customHeight="1">
      <c r="CT339" s="279" t="n"/>
      <c r="CU339" s="279" t="n"/>
    </row>
    <row r="340" ht="13.2" customHeight="1">
      <c r="CT340" s="279" t="n"/>
      <c r="CU340" s="279" t="n"/>
    </row>
    <row r="341" ht="13.2" customHeight="1">
      <c r="CT341" s="279" t="n"/>
      <c r="CU341" s="279" t="n"/>
    </row>
    <row r="342" ht="13.2" customHeight="1">
      <c r="CT342" s="279" t="n"/>
      <c r="CU342" s="279" t="n"/>
    </row>
    <row r="343" ht="13.2" customHeight="1">
      <c r="CT343" s="279" t="n"/>
      <c r="CU343" s="279" t="n"/>
    </row>
    <row r="344" ht="13.2" customHeight="1">
      <c r="CT344" s="279" t="n"/>
      <c r="CU344" s="279" t="n"/>
    </row>
    <row r="345" ht="13.2" customHeight="1">
      <c r="CT345" s="279" t="n"/>
      <c r="CU345" s="279" t="n"/>
    </row>
    <row r="346" ht="13.2" customHeight="1">
      <c r="CT346" s="279" t="n"/>
      <c r="CU346" s="279" t="n"/>
    </row>
    <row r="347" ht="13.2" customHeight="1">
      <c r="CT347" s="279" t="n"/>
      <c r="CU347" s="279" t="n"/>
    </row>
    <row r="348" ht="13.2" customHeight="1">
      <c r="CT348" s="279" t="n"/>
      <c r="CU348" s="279" t="n"/>
    </row>
    <row r="349" ht="13.2" customHeight="1">
      <c r="CT349" s="279" t="n"/>
      <c r="CU349" s="279" t="n"/>
    </row>
    <row r="350" ht="13.2" customHeight="1">
      <c r="CT350" s="279" t="n"/>
      <c r="CU350" s="279" t="n"/>
    </row>
    <row r="351" ht="13.2" customHeight="1">
      <c r="CT351" s="279" t="n"/>
      <c r="CU351" s="279" t="n"/>
    </row>
    <row r="352" ht="13.2" customHeight="1">
      <c r="CT352" s="279" t="n"/>
      <c r="CU352" s="279" t="n"/>
    </row>
    <row r="353" ht="13.2" customHeight="1">
      <c r="CT353" s="279" t="n"/>
      <c r="CU353" s="279" t="n"/>
    </row>
    <row r="354" ht="13.2" customHeight="1">
      <c r="CT354" s="279" t="n"/>
      <c r="CU354" s="279" t="n"/>
    </row>
    <row r="355" ht="13.2" customHeight="1">
      <c r="CT355" s="279" t="n"/>
      <c r="CU355" s="279" t="n"/>
    </row>
    <row r="356" ht="13.2" customHeight="1">
      <c r="CT356" s="279" t="n"/>
      <c r="CU356" s="279" t="n"/>
    </row>
    <row r="357" ht="13.2" customHeight="1">
      <c r="CT357" s="279" t="n"/>
      <c r="CU357" s="279" t="n"/>
    </row>
    <row r="358" ht="13.2" customHeight="1">
      <c r="CT358" s="279" t="n"/>
      <c r="CU358" s="279" t="n"/>
    </row>
    <row r="359" ht="13.2" customHeight="1">
      <c r="CT359" s="279" t="n"/>
      <c r="CU359" s="279" t="n"/>
    </row>
    <row r="360" ht="13.2" customHeight="1">
      <c r="CT360" s="279" t="n"/>
      <c r="CU360" s="279" t="n"/>
    </row>
    <row r="361" ht="13.2" customHeight="1">
      <c r="CT361" s="279" t="n"/>
      <c r="CU361" s="279" t="n"/>
    </row>
    <row r="362" ht="13.2" customHeight="1">
      <c r="CT362" s="279" t="n"/>
      <c r="CU362" s="279" t="n"/>
    </row>
    <row r="363" ht="13.2" customHeight="1">
      <c r="CT363" s="279" t="n"/>
      <c r="CU363" s="279" t="n"/>
    </row>
    <row r="364" ht="13.2" customHeight="1">
      <c r="CT364" s="279" t="n"/>
      <c r="CU364" s="279" t="n"/>
    </row>
    <row r="365" ht="13.2" customHeight="1">
      <c r="CT365" s="279" t="n"/>
      <c r="CU365" s="279" t="n"/>
    </row>
    <row r="366" ht="13.2" customHeight="1">
      <c r="CT366" s="279" t="n"/>
      <c r="CU366" s="279" t="n"/>
    </row>
    <row r="367" ht="13.2" customHeight="1">
      <c r="CT367" s="279" t="n"/>
      <c r="CU367" s="279" t="n"/>
    </row>
    <row r="368" ht="13.2" customHeight="1">
      <c r="CT368" s="279" t="n"/>
      <c r="CU368" s="279" t="n"/>
    </row>
    <row r="369" ht="13.2" customHeight="1">
      <c r="CT369" s="279" t="n"/>
      <c r="CU369" s="279" t="n"/>
    </row>
    <row r="370" ht="13.2" customHeight="1">
      <c r="CT370" s="279" t="n"/>
      <c r="CU370" s="279" t="n"/>
    </row>
    <row r="371" ht="13.2" customHeight="1">
      <c r="CT371" s="279" t="n"/>
      <c r="CU371" s="279" t="n"/>
    </row>
    <row r="372" ht="13.2" customHeight="1">
      <c r="CT372" s="279" t="n"/>
      <c r="CU372" s="279" t="n"/>
    </row>
    <row r="373" ht="13.2" customHeight="1">
      <c r="CT373" s="279" t="n"/>
      <c r="CU373" s="279" t="n"/>
    </row>
    <row r="374" ht="13.2" customHeight="1">
      <c r="CT374" s="279" t="n"/>
      <c r="CU374" s="279" t="n"/>
    </row>
    <row r="375" ht="13.2" customHeight="1">
      <c r="CT375" s="279" t="n"/>
      <c r="CU375" s="279" t="n"/>
    </row>
    <row r="376" ht="13.2" customHeight="1">
      <c r="CT376" s="279" t="n"/>
      <c r="CU376" s="279" t="n"/>
    </row>
    <row r="377" ht="13.2" customHeight="1">
      <c r="CT377" s="279" t="n"/>
      <c r="CU377" s="279" t="n"/>
    </row>
    <row r="378" ht="13.2" customHeight="1">
      <c r="CT378" s="279" t="n"/>
      <c r="CU378" s="279" t="n"/>
    </row>
    <row r="379" ht="13.2" customHeight="1">
      <c r="CT379" s="279" t="n"/>
      <c r="CU379" s="279" t="n"/>
    </row>
    <row r="380" ht="13.2" customHeight="1">
      <c r="CT380" s="279" t="n"/>
      <c r="CU380" s="279" t="n"/>
    </row>
    <row r="381" ht="13.2" customHeight="1">
      <c r="CT381" s="279" t="n"/>
      <c r="CU381" s="279" t="n"/>
    </row>
    <row r="382" ht="13.2" customHeight="1">
      <c r="CT382" s="279" t="n"/>
      <c r="CU382" s="279" t="n"/>
    </row>
    <row r="383" ht="13.2" customHeight="1">
      <c r="CT383" s="279" t="n"/>
      <c r="CU383" s="279" t="n"/>
    </row>
    <row r="384" ht="13.2" customHeight="1">
      <c r="CT384" s="279" t="n"/>
      <c r="CU384" s="279" t="n"/>
    </row>
    <row r="385" ht="13.2" customHeight="1">
      <c r="CT385" s="279" t="n"/>
      <c r="CU385" s="279" t="n"/>
    </row>
    <row r="386" ht="13.2" customHeight="1">
      <c r="CT386" s="279" t="n"/>
      <c r="CU386" s="279" t="n"/>
    </row>
    <row r="387" ht="13.2" customHeight="1">
      <c r="CT387" s="279" t="n"/>
      <c r="CU387" s="279" t="n"/>
    </row>
    <row r="388" ht="13.2" customHeight="1">
      <c r="CT388" s="279" t="n"/>
      <c r="CU388" s="279" t="n"/>
    </row>
    <row r="389" ht="13.2" customHeight="1">
      <c r="CT389" s="279" t="n"/>
      <c r="CU389" s="279" t="n"/>
    </row>
    <row r="390" ht="13.2" customHeight="1">
      <c r="CT390" s="279" t="n"/>
      <c r="CU390" s="279" t="n"/>
    </row>
    <row r="391" ht="13.2" customHeight="1">
      <c r="CT391" s="279" t="n"/>
      <c r="CU391" s="279" t="n"/>
    </row>
    <row r="392" ht="13.2" customHeight="1">
      <c r="CT392" s="279" t="n"/>
      <c r="CU392" s="279" t="n"/>
    </row>
    <row r="393" ht="13.2" customHeight="1">
      <c r="CT393" s="279" t="n"/>
      <c r="CU393" s="279" t="n"/>
    </row>
    <row r="394" ht="13.2" customHeight="1">
      <c r="CT394" s="279" t="n"/>
      <c r="CU394" s="279" t="n"/>
    </row>
    <row r="395" ht="13.2" customHeight="1">
      <c r="CT395" s="279" t="n"/>
      <c r="CU395" s="279" t="n"/>
    </row>
    <row r="396" ht="13.2" customHeight="1">
      <c r="CT396" s="279" t="n"/>
      <c r="CU396" s="279" t="n"/>
    </row>
    <row r="397" ht="13.2" customHeight="1">
      <c r="CT397" s="279" t="n"/>
      <c r="CU397" s="279" t="n"/>
    </row>
    <row r="398" ht="13.2" customHeight="1">
      <c r="CT398" s="279" t="n"/>
      <c r="CU398" s="279" t="n"/>
    </row>
    <row r="399" ht="13.2" customHeight="1">
      <c r="CT399" s="279" t="n"/>
      <c r="CU399" s="279" t="n"/>
    </row>
    <row r="400" ht="13.2" customHeight="1">
      <c r="CT400" s="279" t="n"/>
      <c r="CU400" s="279" t="n"/>
    </row>
    <row r="401" ht="13.2" customHeight="1">
      <c r="CT401" s="279" t="n"/>
      <c r="CU401" s="279" t="n"/>
    </row>
    <row r="402" ht="13.2" customHeight="1">
      <c r="CT402" s="279" t="n"/>
      <c r="CU402" s="279" t="n"/>
    </row>
    <row r="403" ht="13.2" customHeight="1">
      <c r="CT403" s="279" t="n"/>
      <c r="CU403" s="279" t="n"/>
    </row>
    <row r="404" ht="13.2" customHeight="1">
      <c r="CT404" s="279" t="n"/>
      <c r="CU404" s="279" t="n"/>
    </row>
    <row r="405" ht="13.2" customHeight="1">
      <c r="CT405" s="279" t="n"/>
      <c r="CU405" s="279" t="n"/>
    </row>
    <row r="406" ht="13.2" customHeight="1">
      <c r="CT406" s="279" t="n"/>
      <c r="CU406" s="279" t="n"/>
    </row>
    <row r="407" ht="13.2" customHeight="1">
      <c r="CT407" s="279" t="n"/>
      <c r="CU407" s="279" t="n"/>
    </row>
    <row r="408" ht="13.2" customHeight="1">
      <c r="CT408" s="279" t="n"/>
      <c r="CU408" s="279" t="n"/>
    </row>
    <row r="409" ht="13.2" customHeight="1">
      <c r="CT409" s="279" t="n"/>
      <c r="CU409" s="279" t="n"/>
    </row>
    <row r="410" ht="13.2" customHeight="1">
      <c r="CT410" s="279" t="n"/>
      <c r="CU410" s="279" t="n"/>
    </row>
    <row r="411" ht="13.2" customHeight="1">
      <c r="CT411" s="279" t="n"/>
      <c r="CU411" s="279" t="n"/>
    </row>
    <row r="412" ht="13.2" customHeight="1">
      <c r="CT412" s="279" t="n"/>
      <c r="CU412" s="279" t="n"/>
    </row>
    <row r="413" ht="13.2" customHeight="1">
      <c r="CT413" s="279" t="n"/>
      <c r="CU413" s="279" t="n"/>
    </row>
    <row r="414" ht="13.2" customHeight="1">
      <c r="CT414" s="279" t="n"/>
      <c r="CU414" s="279" t="n"/>
    </row>
    <row r="415" ht="13.2" customHeight="1">
      <c r="CT415" s="279" t="n"/>
      <c r="CU415" s="279" t="n"/>
    </row>
    <row r="416" ht="13.2" customHeight="1">
      <c r="CT416" s="279" t="n"/>
      <c r="CU416" s="279" t="n"/>
    </row>
    <row r="417" ht="13.2" customHeight="1">
      <c r="CT417" s="279" t="n"/>
      <c r="CU417" s="279" t="n"/>
    </row>
    <row r="418" ht="13.2" customHeight="1">
      <c r="CT418" s="279" t="n"/>
      <c r="CU418" s="279" t="n"/>
    </row>
    <row r="419" ht="13.2" customHeight="1">
      <c r="CT419" s="279" t="n"/>
      <c r="CU419" s="279" t="n"/>
    </row>
    <row r="420" ht="13.2" customHeight="1">
      <c r="CT420" s="279" t="n"/>
      <c r="CU420" s="279" t="n"/>
    </row>
    <row r="421" ht="13.2" customHeight="1">
      <c r="CT421" s="279" t="n"/>
      <c r="CU421" s="279" t="n"/>
    </row>
    <row r="422" ht="13.2" customHeight="1">
      <c r="CT422" s="279" t="n"/>
      <c r="CU422" s="279" t="n"/>
    </row>
    <row r="423" ht="13.2" customHeight="1">
      <c r="CT423" s="279" t="n"/>
      <c r="CU423" s="279" t="n"/>
    </row>
    <row r="424" ht="13.2" customHeight="1">
      <c r="CT424" s="279" t="n"/>
      <c r="CU424" s="279" t="n"/>
    </row>
    <row r="425" ht="13.2" customHeight="1">
      <c r="CT425" s="279" t="n"/>
      <c r="CU425" s="279" t="n"/>
    </row>
    <row r="426" ht="13.2" customHeight="1">
      <c r="CT426" s="279" t="n"/>
      <c r="CU426" s="279" t="n"/>
    </row>
    <row r="427" ht="13.2" customHeight="1">
      <c r="CT427" s="279" t="n"/>
      <c r="CU427" s="279" t="n"/>
    </row>
    <row r="428" ht="13.2" customHeight="1">
      <c r="CT428" s="279" t="n"/>
      <c r="CU428" s="279" t="n"/>
    </row>
    <row r="429" ht="13.2" customHeight="1">
      <c r="CT429" s="279" t="n"/>
      <c r="CU429" s="279" t="n"/>
    </row>
    <row r="430" ht="13.2" customHeight="1">
      <c r="CT430" s="279" t="n"/>
      <c r="CU430" s="279" t="n"/>
    </row>
    <row r="431" ht="13.2" customHeight="1">
      <c r="CT431" s="279" t="n"/>
      <c r="CU431" s="279" t="n"/>
    </row>
    <row r="432" ht="13.2" customHeight="1">
      <c r="CT432" s="279" t="n"/>
      <c r="CU432" s="279" t="n"/>
    </row>
    <row r="433" ht="13.2" customHeight="1">
      <c r="CT433" s="279" t="n"/>
      <c r="CU433" s="279" t="n"/>
    </row>
    <row r="434" ht="13.2" customHeight="1">
      <c r="CT434" s="279" t="n"/>
      <c r="CU434" s="279" t="n"/>
    </row>
    <row r="435" ht="13.2" customHeight="1">
      <c r="CT435" s="279" t="n"/>
      <c r="CU435" s="279" t="n"/>
    </row>
    <row r="436" ht="13.2" customHeight="1">
      <c r="CT436" s="279" t="n"/>
      <c r="CU436" s="279" t="n"/>
    </row>
    <row r="437" ht="13.2" customHeight="1">
      <c r="CT437" s="279" t="n"/>
      <c r="CU437" s="279" t="n"/>
    </row>
    <row r="438" ht="13.2" customHeight="1">
      <c r="CT438" s="279" t="n"/>
      <c r="CU438" s="279" t="n"/>
    </row>
    <row r="439" ht="13.2" customHeight="1">
      <c r="CT439" s="279" t="n"/>
      <c r="CU439" s="279" t="n"/>
    </row>
    <row r="440" ht="13.2" customHeight="1">
      <c r="CT440" s="279" t="n"/>
      <c r="CU440" s="279" t="n"/>
    </row>
    <row r="441" ht="13.2" customHeight="1">
      <c r="CT441" s="279" t="n"/>
      <c r="CU441" s="279" t="n"/>
    </row>
    <row r="442" ht="13.2" customHeight="1">
      <c r="CT442" s="279" t="n"/>
      <c r="CU442" s="279" t="n"/>
    </row>
    <row r="443" ht="13.2" customHeight="1">
      <c r="CT443" s="279" t="n"/>
      <c r="CU443" s="279" t="n"/>
    </row>
    <row r="444" ht="13.2" customHeight="1">
      <c r="CT444" s="279" t="n"/>
      <c r="CU444" s="279" t="n"/>
    </row>
    <row r="445" ht="13.2" customHeight="1">
      <c r="CT445" s="279" t="n"/>
      <c r="CU445" s="279" t="n"/>
    </row>
    <row r="446" ht="13.2" customHeight="1">
      <c r="CT446" s="279" t="n"/>
      <c r="CU446" s="279" t="n"/>
    </row>
    <row r="447" ht="13.2" customHeight="1">
      <c r="CT447" s="279" t="n"/>
      <c r="CU447" s="279" t="n"/>
    </row>
    <row r="448" ht="13.2" customHeight="1">
      <c r="CT448" s="279" t="n"/>
      <c r="CU448" s="279" t="n"/>
    </row>
    <row r="449" ht="13.2" customHeight="1">
      <c r="CT449" s="279" t="n"/>
      <c r="CU449" s="279" t="n"/>
    </row>
    <row r="450" ht="13.2" customHeight="1">
      <c r="CT450" s="279" t="n"/>
      <c r="CU450" s="279" t="n"/>
    </row>
    <row r="451" ht="13.2" customHeight="1">
      <c r="CT451" s="279" t="n"/>
      <c r="CU451" s="279" t="n"/>
    </row>
    <row r="452" ht="13.2" customHeight="1">
      <c r="CT452" s="279" t="n"/>
      <c r="CU452" s="279" t="n"/>
    </row>
    <row r="453" ht="13.2" customHeight="1">
      <c r="CT453" s="279" t="n"/>
      <c r="CU453" s="279" t="n"/>
    </row>
    <row r="454" ht="13.2" customHeight="1">
      <c r="CT454" s="279" t="n"/>
      <c r="CU454" s="279" t="n"/>
    </row>
    <row r="455" ht="13.2" customHeight="1">
      <c r="CT455" s="279" t="n"/>
      <c r="CU455" s="279" t="n"/>
    </row>
    <row r="456" ht="13.2" customHeight="1">
      <c r="CT456" s="279" t="n"/>
      <c r="CU456" s="279" t="n"/>
    </row>
    <row r="457" ht="13.2" customHeight="1">
      <c r="CT457" s="279" t="n"/>
      <c r="CU457" s="279" t="n"/>
    </row>
    <row r="458" ht="13.2" customHeight="1">
      <c r="CT458" s="279" t="n"/>
      <c r="CU458" s="279" t="n"/>
    </row>
    <row r="459" ht="12.75" customHeight="1">
      <c r="CT459" s="279" t="n"/>
      <c r="CU459" s="279" t="n"/>
    </row>
    <row r="460" ht="12.75" customHeight="1">
      <c r="CT460" s="279" t="n"/>
      <c r="CU460" s="279" t="n"/>
    </row>
  </sheetData>
  <autoFilter ref="A8:KF59"/>
  <mergeCells count="725">
    <mergeCell ref="ER54:ES54"/>
    <mergeCell ref="FB54:FC54"/>
    <mergeCell ref="ET54:EU54"/>
    <mergeCell ref="JJ55:JK55"/>
    <mergeCell ref="JL55:JM55"/>
    <mergeCell ref="IX54:IY54"/>
    <mergeCell ref="JJ5:JK5"/>
    <mergeCell ref="IX4:IY4"/>
    <mergeCell ref="CP5:CQ5"/>
    <mergeCell ref="Z53:AA53"/>
    <mergeCell ref="CR5:CS5"/>
    <mergeCell ref="GD54:GE54"/>
    <mergeCell ref="AZ5:BA5"/>
    <mergeCell ref="GF54:GG54"/>
    <mergeCell ref="BB5:BC5"/>
    <mergeCell ref="AT5:AU5"/>
    <mergeCell ref="BD5:BE5"/>
    <mergeCell ref="BN53:BO53"/>
    <mergeCell ref="JR4:JS5"/>
    <mergeCell ref="JT4:JU5"/>
    <mergeCell ref="HR54:HS54"/>
    <mergeCell ref="J4:K4"/>
    <mergeCell ref="BT55:BU55"/>
    <mergeCell ref="L4:M4"/>
    <mergeCell ref="BL55:BM55"/>
    <mergeCell ref="EB5:EC5"/>
    <mergeCell ref="BN55:BO55"/>
    <mergeCell ref="ED5:EE5"/>
    <mergeCell ref="CX53:CY53"/>
    <mergeCell ref="CZ53:DA53"/>
    <mergeCell ref="BR4:BS4"/>
    <mergeCell ref="BT4:BU4"/>
    <mergeCell ref="JD54:JE54"/>
    <mergeCell ref="GJ5:GK5"/>
    <mergeCell ref="CX55:CY55"/>
    <mergeCell ref="CZ55:DA55"/>
    <mergeCell ref="EZ4:FA4"/>
    <mergeCell ref="CL54:CM54"/>
    <mergeCell ref="CN54:CO54"/>
    <mergeCell ref="HB55:HC55"/>
    <mergeCell ref="HD55:HE55"/>
    <mergeCell ref="EJ53:EK53"/>
    <mergeCell ref="EL53:EM53"/>
    <mergeCell ref="DD4:DE4"/>
    <mergeCell ref="IN53:IO53"/>
    <mergeCell ref="IP53:IQ53"/>
    <mergeCell ref="IF53:IG53"/>
    <mergeCell ref="IR53:IS53"/>
    <mergeCell ref="IH53:II53"/>
    <mergeCell ref="EJ55:EK55"/>
    <mergeCell ref="HJ4:HK4"/>
    <mergeCell ref="HB4:HC4"/>
    <mergeCell ref="DV54:DW54"/>
    <mergeCell ref="DX54:DY54"/>
    <mergeCell ref="IN55:IO55"/>
    <mergeCell ref="IP55:IQ55"/>
    <mergeCell ref="IH55:II55"/>
    <mergeCell ref="IB54:IC54"/>
    <mergeCell ref="JT53:JU53"/>
    <mergeCell ref="GR5:GS5"/>
    <mergeCell ref="A1:G1"/>
    <mergeCell ref="GD4:GE4"/>
    <mergeCell ref="FH54:FI54"/>
    <mergeCell ref="JL6:JM6"/>
    <mergeCell ref="JN3:KA3"/>
    <mergeCell ref="FJ54:FK54"/>
    <mergeCell ref="X5:Y5"/>
    <mergeCell ref="AR53:AS53"/>
    <mergeCell ref="Z5:AA5"/>
    <mergeCell ref="JT55:JU55"/>
    <mergeCell ref="JN54:JO54"/>
    <mergeCell ref="JF54:JG54"/>
    <mergeCell ref="BL53:BM53"/>
    <mergeCell ref="JF4:JG4"/>
    <mergeCell ref="JH4:JI4"/>
    <mergeCell ref="AR55:AS55"/>
    <mergeCell ref="HP4:HQ4"/>
    <mergeCell ref="HD5:HE5"/>
    <mergeCell ref="BJ5:BK5"/>
    <mergeCell ref="CD53:CE53"/>
    <mergeCell ref="BL5:BM5"/>
    <mergeCell ref="IV55:IW55"/>
    <mergeCell ref="AV4:AW4"/>
    <mergeCell ref="AX4:AY4"/>
    <mergeCell ref="FN5:FO5"/>
    <mergeCell ref="FP5:FQ5"/>
    <mergeCell ref="FF5:FG5"/>
    <mergeCell ref="FH5:FI5"/>
    <mergeCell ref="GB53:GC53"/>
    <mergeCell ref="CD55:CE55"/>
    <mergeCell ref="CF55:CG55"/>
    <mergeCell ref="BP54:BQ54"/>
    <mergeCell ref="BR54:BS54"/>
    <mergeCell ref="DX4:DY4"/>
    <mergeCell ref="FZ55:GA55"/>
    <mergeCell ref="IP5:IQ5"/>
    <mergeCell ref="GB55:GC55"/>
    <mergeCell ref="DP53:DQ53"/>
    <mergeCell ref="DR53:DS53"/>
    <mergeCell ref="CH4:CI4"/>
    <mergeCell ref="DH53:DI53"/>
    <mergeCell ref="DJ53:DK53"/>
    <mergeCell ref="CJ4:CK4"/>
    <mergeCell ref="T54:U54"/>
    <mergeCell ref="EL55:EM55"/>
    <mergeCell ref="HL53:HM53"/>
    <mergeCell ref="GT5:GU5"/>
    <mergeCell ref="HN53:HO53"/>
    <mergeCell ref="DN55:DO55"/>
    <mergeCell ref="DP55:DQ55"/>
    <mergeCell ref="GF4:GG4"/>
    <mergeCell ref="DB54:DC54"/>
    <mergeCell ref="CT54:CU54"/>
    <mergeCell ref="DD54:DE54"/>
    <mergeCell ref="CV54:CW54"/>
    <mergeCell ref="AT53:AU53"/>
    <mergeCell ref="HL55:HM55"/>
    <mergeCell ref="HN55:HO55"/>
    <mergeCell ref="GX54:GY54"/>
    <mergeCell ref="GZ54:HA54"/>
    <mergeCell ref="HL5:HM5"/>
    <mergeCell ref="BF54:BG54"/>
    <mergeCell ref="GX4:GY4"/>
    <mergeCell ref="AT55:AU55"/>
    <mergeCell ref="IX53:IY53"/>
    <mergeCell ref="IZ53:JA53"/>
    <mergeCell ref="HR4:HS4"/>
    <mergeCell ref="JE70:JH70"/>
    <mergeCell ref="CF53:CG53"/>
    <mergeCell ref="D5:E5"/>
    <mergeCell ref="IX55:IY55"/>
    <mergeCell ref="IJ54:IK54"/>
    <mergeCell ref="IL54:IM54"/>
    <mergeCell ref="IJ4:IK4"/>
    <mergeCell ref="CZ5:DA5"/>
    <mergeCell ref="DB5:DC5"/>
    <mergeCell ref="V55:W55"/>
    <mergeCell ref="JE71:JH71"/>
    <mergeCell ref="AZ53:BA53"/>
    <mergeCell ref="AH5:AI5"/>
    <mergeCell ref="BB53:BC53"/>
    <mergeCell ref="R4:S4"/>
    <mergeCell ref="AB4:AC4"/>
    <mergeCell ref="T4:U4"/>
    <mergeCell ref="JX54:JY54"/>
    <mergeCell ref="V4:W4"/>
    <mergeCell ref="EJ5:EK5"/>
    <mergeCell ref="EL5:EM5"/>
    <mergeCell ref="FF53:FG53"/>
    <mergeCell ref="BH55:BI55"/>
    <mergeCell ref="AZ55:BA55"/>
    <mergeCell ref="DZ4:EA4"/>
    <mergeCell ref="BB55:BC55"/>
    <mergeCell ref="DB4:DC4"/>
    <mergeCell ref="AN54:AO54"/>
    <mergeCell ref="FD55:FE55"/>
    <mergeCell ref="J55:K55"/>
    <mergeCell ref="FF55:FG55"/>
    <mergeCell ref="L55:M55"/>
    <mergeCell ref="CL53:CM53"/>
    <mergeCell ref="CN53:CO53"/>
    <mergeCell ref="BD4:BE4"/>
    <mergeCell ref="BF4:BG4"/>
    <mergeCell ref="FV5:FW5"/>
    <mergeCell ref="GP53:GQ53"/>
    <mergeCell ref="FX5:FY5"/>
    <mergeCell ref="GR53:GS53"/>
    <mergeCell ref="A2:A7"/>
    <mergeCell ref="C2:C7"/>
    <mergeCell ref="FJ4:FK4"/>
    <mergeCell ref="FL4:FM4"/>
    <mergeCell ref="BP1:BQ1"/>
    <mergeCell ref="BX54:BY54"/>
    <mergeCell ref="BZ54:CA54"/>
    <mergeCell ref="ET53:EU53"/>
    <mergeCell ref="GP55:GQ55"/>
    <mergeCell ref="GR55:GS55"/>
    <mergeCell ref="IL4:IM4"/>
    <mergeCell ref="IB53:IC53"/>
    <mergeCell ref="ID53:IE53"/>
    <mergeCell ref="HT53:HU53"/>
    <mergeCell ref="EF54:EG54"/>
    <mergeCell ref="HV53:HW53"/>
    <mergeCell ref="GV4:GW4"/>
    <mergeCell ref="EH54:EI54"/>
    <mergeCell ref="IX5:IY5"/>
    <mergeCell ref="IB55:IC55"/>
    <mergeCell ref="HN54:HO54"/>
    <mergeCell ref="HF54:HG54"/>
    <mergeCell ref="HP54:HQ54"/>
    <mergeCell ref="HH54:HI54"/>
    <mergeCell ref="CD5:CE5"/>
    <mergeCell ref="L53:M53"/>
    <mergeCell ref="CF5:CG5"/>
    <mergeCell ref="N53:O53"/>
    <mergeCell ref="FR54:FS54"/>
    <mergeCell ref="JP54:JQ54"/>
    <mergeCell ref="L5:M5"/>
    <mergeCell ref="N5:O5"/>
    <mergeCell ref="DP5:DQ5"/>
    <mergeCell ref="DR5:DS5"/>
    <mergeCell ref="AF55:AG55"/>
    <mergeCell ref="R54:S54"/>
    <mergeCell ref="HN5:HO5"/>
    <mergeCell ref="BT5:BU5"/>
    <mergeCell ref="IR54:IS54"/>
    <mergeCell ref="BR53:BS53"/>
    <mergeCell ref="AJ4:AK4"/>
    <mergeCell ref="AL4:AM4"/>
    <mergeCell ref="CL55:CM55"/>
    <mergeCell ref="FB5:FC5"/>
    <mergeCell ref="CN55:CO55"/>
    <mergeCell ref="ET5:EU5"/>
    <mergeCell ref="FD5:FE5"/>
    <mergeCell ref="FN53:FO53"/>
    <mergeCell ref="EV5:EW5"/>
    <mergeCell ref="FP53:FQ53"/>
    <mergeCell ref="EN4:EO4"/>
    <mergeCell ref="EF4:EG4"/>
    <mergeCell ref="EH4:EI4"/>
    <mergeCell ref="BD54:BE54"/>
    <mergeCell ref="JR53:JS53"/>
    <mergeCell ref="IZ5:JA5"/>
    <mergeCell ref="DZ53:EA53"/>
    <mergeCell ref="FL55:FM55"/>
    <mergeCell ref="FN55:FO55"/>
    <mergeCell ref="FP55:FQ55"/>
    <mergeCell ref="EZ54:FA54"/>
    <mergeCell ref="H54:I54"/>
    <mergeCell ref="JR55:JS55"/>
    <mergeCell ref="DX55:DY55"/>
    <mergeCell ref="DZ55:EA55"/>
    <mergeCell ref="DJ54:DK54"/>
    <mergeCell ref="GZ53:HA53"/>
    <mergeCell ref="DL54:DM54"/>
    <mergeCell ref="FR4:FS4"/>
    <mergeCell ref="FT4:FU4"/>
    <mergeCell ref="HV55:HW55"/>
    <mergeCell ref="IB5:IC5"/>
    <mergeCell ref="AF53:AG53"/>
    <mergeCell ref="HT5:HU5"/>
    <mergeCell ref="AH53:AI53"/>
    <mergeCell ref="HV5:HW5"/>
    <mergeCell ref="GL54:GM54"/>
    <mergeCell ref="B2:B7"/>
    <mergeCell ref="HH4:HI4"/>
    <mergeCell ref="GN54:GO54"/>
    <mergeCell ref="JF53:JG53"/>
    <mergeCell ref="JH53:JI53"/>
    <mergeCell ref="AH55:AI55"/>
    <mergeCell ref="JH55:JI55"/>
    <mergeCell ref="IT54:IU54"/>
    <mergeCell ref="JF5:JG5"/>
    <mergeCell ref="JH5:JI5"/>
    <mergeCell ref="IR4:IS4"/>
    <mergeCell ref="IT4:IU4"/>
    <mergeCell ref="CL5:CM5"/>
    <mergeCell ref="CN5:CO5"/>
    <mergeCell ref="V53:W53"/>
    <mergeCell ref="JZ55:KA55"/>
    <mergeCell ref="BZ4:CA4"/>
    <mergeCell ref="CB4:CC4"/>
    <mergeCell ref="JL54:JM54"/>
    <mergeCell ref="BJ53:BK53"/>
    <mergeCell ref="DF55:DG55"/>
    <mergeCell ref="DH55:DI55"/>
    <mergeCell ref="AD4:AE4"/>
    <mergeCell ref="N4:O4"/>
    <mergeCell ref="P4:Q4"/>
    <mergeCell ref="BP55:BQ55"/>
    <mergeCell ref="BR55:BS55"/>
    <mergeCell ref="DX5:DY5"/>
    <mergeCell ref="ER53:ES53"/>
    <mergeCell ref="BJ55:BK55"/>
    <mergeCell ref="DZ5:EA5"/>
    <mergeCell ref="DL4:DM4"/>
    <mergeCell ref="DN4:DO4"/>
    <mergeCell ref="Z54:AA54"/>
    <mergeCell ref="ID5:IE5"/>
    <mergeCell ref="AB54:AC54"/>
    <mergeCell ref="CV53:CW53"/>
    <mergeCell ref="ER55:ES55"/>
    <mergeCell ref="ET55:EU55"/>
    <mergeCell ref="BP4:BQ4"/>
    <mergeCell ref="GF5:GG5"/>
    <mergeCell ref="HB53:HC53"/>
    <mergeCell ref="CV55:CW55"/>
    <mergeCell ref="GD53:GE53"/>
    <mergeCell ref="CF54:CG54"/>
    <mergeCell ref="EV4:EW4"/>
    <mergeCell ref="CH54:CI54"/>
    <mergeCell ref="CJ54:CK54"/>
    <mergeCell ref="GX55:GY55"/>
    <mergeCell ref="EX4:EY4"/>
    <mergeCell ref="GZ55:HA55"/>
    <mergeCell ref="JZ53:KA53"/>
    <mergeCell ref="KB53:KC53"/>
    <mergeCell ref="JL3:JM4"/>
    <mergeCell ref="EH53:EI53"/>
    <mergeCell ref="IV4:IW4"/>
    <mergeCell ref="FP54:FQ54"/>
    <mergeCell ref="IL53:IM53"/>
    <mergeCell ref="AF5:AG5"/>
    <mergeCell ref="KB55:KC55"/>
    <mergeCell ref="HF4:HG4"/>
    <mergeCell ref="DR54:DS54"/>
    <mergeCell ref="DT54:DU54"/>
    <mergeCell ref="BT53:BU53"/>
    <mergeCell ref="IJ55:IK55"/>
    <mergeCell ref="IL55:IM55"/>
    <mergeCell ref="HX54:HY54"/>
    <mergeCell ref="IJ5:IK5"/>
    <mergeCell ref="HZ54:IA54"/>
    <mergeCell ref="IL5:IM5"/>
    <mergeCell ref="HX4:HY4"/>
    <mergeCell ref="BR5:BS5"/>
    <mergeCell ref="JH6:JI6"/>
    <mergeCell ref="FF54:FG54"/>
    <mergeCell ref="T5:U5"/>
    <mergeCell ref="AN53:AO53"/>
    <mergeCell ref="V5:W5"/>
    <mergeCell ref="H4:I4"/>
    <mergeCell ref="JJ4:JK4"/>
    <mergeCell ref="JB4:JC4"/>
    <mergeCell ref="AN55:AO55"/>
    <mergeCell ref="CT5:CU5"/>
    <mergeCell ref="DD5:DE5"/>
    <mergeCell ref="AP55:AQ55"/>
    <mergeCell ref="GZ5:HA5"/>
    <mergeCell ref="JV54:JW54"/>
    <mergeCell ref="HB5:HC5"/>
    <mergeCell ref="BZ53:CA53"/>
    <mergeCell ref="GL4:GM4"/>
    <mergeCell ref="BH5:BI5"/>
    <mergeCell ref="AR4:AS4"/>
    <mergeCell ref="GN4:GO4"/>
    <mergeCell ref="CB53:CC53"/>
    <mergeCell ref="AT4:AU4"/>
    <mergeCell ref="KB56:KC56"/>
    <mergeCell ref="GF53:GG53"/>
    <mergeCell ref="FV53:FW53"/>
    <mergeCell ref="FX53:FY53"/>
    <mergeCell ref="HT55:HU55"/>
    <mergeCell ref="BZ55:CA55"/>
    <mergeCell ref="EP4:EQ4"/>
    <mergeCell ref="CB55:CC55"/>
    <mergeCell ref="BL54:BM54"/>
    <mergeCell ref="BN54:BO54"/>
    <mergeCell ref="DT4:DU4"/>
    <mergeCell ref="GD55:GE55"/>
    <mergeCell ref="FV55:FW55"/>
    <mergeCell ref="GF55:GG55"/>
    <mergeCell ref="FX55:FY55"/>
    <mergeCell ref="HZ4:IA4"/>
    <mergeCell ref="DM1:DP1"/>
    <mergeCell ref="EN54:EO54"/>
    <mergeCell ref="EP54:EQ54"/>
    <mergeCell ref="HH53:HI53"/>
    <mergeCell ref="HJ53:HK53"/>
    <mergeCell ref="JF55:JG55"/>
    <mergeCell ref="GB4:GC4"/>
    <mergeCell ref="JJ6:JK6"/>
    <mergeCell ref="CX54:CY54"/>
    <mergeCell ref="CZ54:DA54"/>
    <mergeCell ref="CR54:CS54"/>
    <mergeCell ref="AP53:AQ53"/>
    <mergeCell ref="HH55:HI55"/>
    <mergeCell ref="HJ55:HK55"/>
    <mergeCell ref="GT54:GU54"/>
    <mergeCell ref="GV54:GW54"/>
    <mergeCell ref="GT4:GU4"/>
    <mergeCell ref="IT53:IU53"/>
    <mergeCell ref="AN5:AO5"/>
    <mergeCell ref="IV53:IW53"/>
    <mergeCell ref="AP5:AQ5"/>
    <mergeCell ref="ER5:ES5"/>
    <mergeCell ref="J53:K53"/>
    <mergeCell ref="IF54:IG54"/>
    <mergeCell ref="JD4:JE4"/>
    <mergeCell ref="IH54:II54"/>
    <mergeCell ref="IF4:IG4"/>
    <mergeCell ref="CV5:CW5"/>
    <mergeCell ref="R55:S55"/>
    <mergeCell ref="CT53:CU53"/>
    <mergeCell ref="BL4:BM4"/>
    <mergeCell ref="BN4:BO4"/>
    <mergeCell ref="GD5:GE5"/>
    <mergeCell ref="DR55:DS55"/>
    <mergeCell ref="AV53:AW53"/>
    <mergeCell ref="CT55:CU55"/>
    <mergeCell ref="AX53:AY53"/>
    <mergeCell ref="EF5:EG5"/>
    <mergeCell ref="EH5:EI5"/>
    <mergeCell ref="FB53:FC53"/>
    <mergeCell ref="FD53:FE53"/>
    <mergeCell ref="BF55:BG55"/>
    <mergeCell ref="DV4:DW4"/>
    <mergeCell ref="AX55:AY55"/>
    <mergeCell ref="AR54:AS54"/>
    <mergeCell ref="AH54:AI54"/>
    <mergeCell ref="CX4:CY4"/>
    <mergeCell ref="IN5:IO5"/>
    <mergeCell ref="AJ54:AK54"/>
    <mergeCell ref="AL54:AM54"/>
    <mergeCell ref="EZ55:FA55"/>
    <mergeCell ref="HP5:HQ5"/>
    <mergeCell ref="FB55:FC55"/>
    <mergeCell ref="CH53:CI53"/>
    <mergeCell ref="GL53:GM53"/>
    <mergeCell ref="FT5:FU5"/>
    <mergeCell ref="GN53:GO53"/>
    <mergeCell ref="FD4:FE4"/>
    <mergeCell ref="FF4:FG4"/>
    <mergeCell ref="BJ1:BK1"/>
    <mergeCell ref="FH4:FI4"/>
    <mergeCell ref="BT54:BU54"/>
    <mergeCell ref="BV54:BW54"/>
    <mergeCell ref="T53:U53"/>
    <mergeCell ref="HH5:HI5"/>
    <mergeCell ref="GL55:GM55"/>
    <mergeCell ref="GN55:GO55"/>
    <mergeCell ref="KB3:KC6"/>
    <mergeCell ref="FZ54:GA54"/>
    <mergeCell ref="GB54:GC54"/>
    <mergeCell ref="T55:U55"/>
    <mergeCell ref="IZ54:JA54"/>
    <mergeCell ref="JB54:JC54"/>
    <mergeCell ref="BF53:BG53"/>
    <mergeCell ref="IT5:IU5"/>
    <mergeCell ref="IV5:IW5"/>
    <mergeCell ref="HJ54:HK54"/>
    <mergeCell ref="IH4:II4"/>
    <mergeCell ref="HL54:HM54"/>
    <mergeCell ref="HD54:HE54"/>
    <mergeCell ref="BZ5:CA5"/>
    <mergeCell ref="CB5:CC5"/>
    <mergeCell ref="H5:I5"/>
    <mergeCell ref="JZ4:KA6"/>
    <mergeCell ref="DL5:DM5"/>
    <mergeCell ref="EF53:EG53"/>
    <mergeCell ref="DN5:DO5"/>
    <mergeCell ref="DX53:DY53"/>
    <mergeCell ref="DF5:DG5"/>
    <mergeCell ref="Z55:AA55"/>
    <mergeCell ref="CP4:CQ4"/>
    <mergeCell ref="CZ4:DA4"/>
    <mergeCell ref="AB55:AC55"/>
    <mergeCell ref="CR4:CS4"/>
    <mergeCell ref="N54:O54"/>
    <mergeCell ref="HJ5:HK5"/>
    <mergeCell ref="CJ53:CK53"/>
    <mergeCell ref="EF55:EG55"/>
    <mergeCell ref="EH55:EI55"/>
    <mergeCell ref="FZ4:GA4"/>
    <mergeCell ref="AF4:AG4"/>
    <mergeCell ref="AH4:AI4"/>
    <mergeCell ref="ID55:IE55"/>
    <mergeCell ref="CJ55:CK55"/>
    <mergeCell ref="FJ53:FK53"/>
    <mergeCell ref="HF55:HG55"/>
    <mergeCell ref="FL53:FM53"/>
    <mergeCell ref="EB4:EC4"/>
    <mergeCell ref="G6:G7"/>
    <mergeCell ref="ED4:EE4"/>
    <mergeCell ref="AZ54:BA54"/>
    <mergeCell ref="JN53:JO53"/>
    <mergeCell ref="BB54:BC54"/>
    <mergeCell ref="JP53:JQ53"/>
    <mergeCell ref="FR55:FS55"/>
    <mergeCell ref="FH55:FI55"/>
    <mergeCell ref="FJ55:FK55"/>
    <mergeCell ref="FT55:FU55"/>
    <mergeCell ref="FD54:FE54"/>
    <mergeCell ref="EV54:EW54"/>
    <mergeCell ref="EX54:EY54"/>
    <mergeCell ref="JN55:JO55"/>
    <mergeCell ref="JP55:JQ55"/>
    <mergeCell ref="GT53:GU53"/>
    <mergeCell ref="GV53:GW53"/>
    <mergeCell ref="DH54:DI54"/>
    <mergeCell ref="FP4:FQ4"/>
    <mergeCell ref="AB53:AC53"/>
    <mergeCell ref="AD53:AE53"/>
    <mergeCell ref="HR5:HS5"/>
    <mergeCell ref="HD4:HE4"/>
    <mergeCell ref="GH54:GI54"/>
    <mergeCell ref="GJ54:GK54"/>
    <mergeCell ref="AV5:AW5"/>
    <mergeCell ref="BF5:BG5"/>
    <mergeCell ref="AX5:AY5"/>
    <mergeCell ref="D6:D7"/>
    <mergeCell ref="AD55:AE55"/>
    <mergeCell ref="JV4:JW5"/>
    <mergeCell ref="F6:F7"/>
    <mergeCell ref="JX4:JY5"/>
    <mergeCell ref="JN4:JO5"/>
    <mergeCell ref="P54:Q54"/>
    <mergeCell ref="JP4:JQ5"/>
    <mergeCell ref="F2:G5"/>
    <mergeCell ref="J5:K5"/>
    <mergeCell ref="IN4:IO4"/>
    <mergeCell ref="IP4:IQ4"/>
    <mergeCell ref="CH5:CI5"/>
    <mergeCell ref="DB53:DC53"/>
    <mergeCell ref="CJ5:CK5"/>
    <mergeCell ref="DD53:DE53"/>
    <mergeCell ref="DF53:DG53"/>
    <mergeCell ref="BV4:BW4"/>
    <mergeCell ref="JV55:JW55"/>
    <mergeCell ref="BX4:BY4"/>
    <mergeCell ref="GL5:GM5"/>
    <mergeCell ref="JH54:JI54"/>
    <mergeCell ref="GN5:GO5"/>
    <mergeCell ref="GP5:GQ5"/>
    <mergeCell ref="H6:AA6"/>
    <mergeCell ref="DB55:DC55"/>
    <mergeCell ref="BH53:BI53"/>
    <mergeCell ref="DD55:DE55"/>
    <mergeCell ref="CP54:CQ54"/>
    <mergeCell ref="DT5:DU5"/>
    <mergeCell ref="EN53:EO53"/>
    <mergeCell ref="EP53:EQ53"/>
    <mergeCell ref="DF4:DG4"/>
    <mergeCell ref="DH4:DI4"/>
    <mergeCell ref="AT54:AU54"/>
    <mergeCell ref="DJ4:DK4"/>
    <mergeCell ref="AD54:AE54"/>
    <mergeCell ref="V54:W54"/>
    <mergeCell ref="HZ5:IA5"/>
    <mergeCell ref="IJ53:IK53"/>
    <mergeCell ref="HL4:HM4"/>
    <mergeCell ref="EN55:EO55"/>
    <mergeCell ref="EP55:EQ55"/>
    <mergeCell ref="DZ54:EA54"/>
    <mergeCell ref="EB54:EC54"/>
    <mergeCell ref="ED54:EE54"/>
    <mergeCell ref="IR55:IS55"/>
    <mergeCell ref="AC6:AD6"/>
    <mergeCell ref="GX53:GY53"/>
    <mergeCell ref="FZ53:GA53"/>
    <mergeCell ref="ER4:ES4"/>
    <mergeCell ref="ET4:EU4"/>
    <mergeCell ref="GV55:GW55"/>
    <mergeCell ref="JV53:JW53"/>
    <mergeCell ref="H53:I53"/>
    <mergeCell ref="JX53:JY53"/>
    <mergeCell ref="IZ4:JA4"/>
    <mergeCell ref="FL54:FM54"/>
    <mergeCell ref="FN54:FO54"/>
    <mergeCell ref="AB5:AC5"/>
    <mergeCell ref="JN6:JY6"/>
    <mergeCell ref="AD5:AE5"/>
    <mergeCell ref="H55:I55"/>
    <mergeCell ref="JX55:JY55"/>
    <mergeCell ref="JJ54:JK54"/>
    <mergeCell ref="BP53:BQ53"/>
    <mergeCell ref="AV55:AW55"/>
    <mergeCell ref="HT54:HU54"/>
    <mergeCell ref="IF5:IG5"/>
    <mergeCell ref="HV54:HW54"/>
    <mergeCell ref="IH5:II5"/>
    <mergeCell ref="HT4:HU4"/>
    <mergeCell ref="HN4:HO4"/>
    <mergeCell ref="BN5:BO5"/>
    <mergeCell ref="BP5:BQ5"/>
    <mergeCell ref="IZ55:JA55"/>
    <mergeCell ref="AZ4:BA4"/>
    <mergeCell ref="BB4:BC4"/>
    <mergeCell ref="FR5:FS5"/>
    <mergeCell ref="FJ5:FK5"/>
    <mergeCell ref="FL5:FM5"/>
    <mergeCell ref="AJ53:AK53"/>
    <mergeCell ref="CH55:CI55"/>
    <mergeCell ref="DV5:DW5"/>
    <mergeCell ref="CX5:CY5"/>
    <mergeCell ref="AJ55:AK55"/>
    <mergeCell ref="AL55:AM55"/>
    <mergeCell ref="DT53:DU53"/>
    <mergeCell ref="DL53:DM53"/>
    <mergeCell ref="CL4:CM4"/>
    <mergeCell ref="X54:Y54"/>
    <mergeCell ref="DN53:DO53"/>
    <mergeCell ref="CN4:CO4"/>
    <mergeCell ref="CD4:CE4"/>
    <mergeCell ref="CF4:CG4"/>
    <mergeCell ref="JR54:JS54"/>
    <mergeCell ref="HP53:HQ53"/>
    <mergeCell ref="GV5:GW5"/>
    <mergeCell ref="GX5:GY5"/>
    <mergeCell ref="BV53:BW53"/>
    <mergeCell ref="GH4:GI4"/>
    <mergeCell ref="BX53:BY53"/>
    <mergeCell ref="HR53:HS53"/>
    <mergeCell ref="GJ4:GK4"/>
    <mergeCell ref="DT55:DU55"/>
    <mergeCell ref="DJ55:DK55"/>
    <mergeCell ref="AP4:AQ4"/>
    <mergeCell ref="FT53:FU53"/>
    <mergeCell ref="HP55:HQ55"/>
    <mergeCell ref="BV55:BW55"/>
    <mergeCell ref="HR55:HS55"/>
    <mergeCell ref="HB54:HC54"/>
    <mergeCell ref="BX55:BY55"/>
    <mergeCell ref="BH54:BI54"/>
    <mergeCell ref="BJ54:BK54"/>
    <mergeCell ref="JB53:JC53"/>
    <mergeCell ref="JD53:JE53"/>
    <mergeCell ref="HV4:HW4"/>
    <mergeCell ref="EJ54:EK54"/>
    <mergeCell ref="JB55:JC55"/>
    <mergeCell ref="JD55:JE55"/>
    <mergeCell ref="IN54:IO54"/>
    <mergeCell ref="H2:BC2"/>
    <mergeCell ref="JF6:JG6"/>
    <mergeCell ref="IP54:IQ54"/>
    <mergeCell ref="AL53:AM53"/>
    <mergeCell ref="AL3:AM3"/>
    <mergeCell ref="GR54:GS54"/>
    <mergeCell ref="GP4:GQ4"/>
    <mergeCell ref="AR5:AS5"/>
    <mergeCell ref="AJ5:AK5"/>
    <mergeCell ref="BD53:BE53"/>
    <mergeCell ref="AL5:AM5"/>
    <mergeCell ref="JZ54:KA54"/>
    <mergeCell ref="X4:Y4"/>
    <mergeCell ref="KB54:KC54"/>
    <mergeCell ref="Z4:AA4"/>
    <mergeCell ref="EN5:EO5"/>
    <mergeCell ref="EP5:EQ5"/>
    <mergeCell ref="BD55:BE55"/>
    <mergeCell ref="ID54:IE54"/>
    <mergeCell ref="N55:O55"/>
    <mergeCell ref="P55:Q55"/>
    <mergeCell ref="CP53:CQ53"/>
    <mergeCell ref="CR53:CS53"/>
    <mergeCell ref="BH4:BI4"/>
    <mergeCell ref="BJ4:BK4"/>
    <mergeCell ref="FZ5:GA5"/>
    <mergeCell ref="IV54:IW54"/>
    <mergeCell ref="DL55:DM55"/>
    <mergeCell ref="GB5:GC5"/>
    <mergeCell ref="FN4:FO4"/>
    <mergeCell ref="CB54:CC54"/>
    <mergeCell ref="CD54:CE54"/>
    <mergeCell ref="EV53:EW53"/>
    <mergeCell ref="EX53:EY53"/>
    <mergeCell ref="GT55:GU55"/>
    <mergeCell ref="EZ53:FA53"/>
    <mergeCell ref="DP4:DQ4"/>
    <mergeCell ref="DR4:DS4"/>
    <mergeCell ref="D2:E4"/>
    <mergeCell ref="AF54:AG54"/>
    <mergeCell ref="EV55:EW55"/>
    <mergeCell ref="EX55:EY55"/>
    <mergeCell ref="HX53:HY53"/>
    <mergeCell ref="HZ53:IA53"/>
    <mergeCell ref="GZ4:HA4"/>
    <mergeCell ref="EL54:EM54"/>
    <mergeCell ref="GR4:GS4"/>
    <mergeCell ref="DN54:DO54"/>
    <mergeCell ref="IT55:IU55"/>
    <mergeCell ref="GH53:GI53"/>
    <mergeCell ref="IF55:IG55"/>
    <mergeCell ref="GJ53:GK53"/>
    <mergeCell ref="JB5:JC5"/>
    <mergeCell ref="FB4:FC4"/>
    <mergeCell ref="P53:Q53"/>
    <mergeCell ref="R53:S53"/>
    <mergeCell ref="GH55:GI55"/>
    <mergeCell ref="GJ55:GK55"/>
    <mergeCell ref="FT54:FU54"/>
    <mergeCell ref="FV54:FW54"/>
    <mergeCell ref="FX54:FY54"/>
    <mergeCell ref="H3:AA3"/>
    <mergeCell ref="P5:Q5"/>
    <mergeCell ref="JT54:JU54"/>
    <mergeCell ref="R5:S5"/>
    <mergeCell ref="IR5:IS5"/>
    <mergeCell ref="IB4:IC4"/>
    <mergeCell ref="ID4:IE4"/>
    <mergeCell ref="BV5:BW5"/>
    <mergeCell ref="BX5:BY5"/>
    <mergeCell ref="AP54:AQ54"/>
    <mergeCell ref="AN4:AO4"/>
    <mergeCell ref="CP55:CQ55"/>
    <mergeCell ref="CR55:CS55"/>
    <mergeCell ref="EX5:EY5"/>
    <mergeCell ref="FR53:FS53"/>
    <mergeCell ref="X53:Y53"/>
    <mergeCell ref="EZ5:FA5"/>
    <mergeCell ref="EJ4:EK4"/>
    <mergeCell ref="E6:E7"/>
    <mergeCell ref="EL4:EM4"/>
    <mergeCell ref="DH5:DI5"/>
    <mergeCell ref="JD5:JE5"/>
    <mergeCell ref="EB53:EC53"/>
    <mergeCell ref="DJ5:DK5"/>
    <mergeCell ref="ED53:EE53"/>
    <mergeCell ref="CT4:CU4"/>
    <mergeCell ref="DV53:DW53"/>
    <mergeCell ref="CV4:CW4"/>
    <mergeCell ref="X55:Y55"/>
    <mergeCell ref="J54:K54"/>
    <mergeCell ref="L54:M54"/>
    <mergeCell ref="HF5:HG5"/>
    <mergeCell ref="EB55:EC55"/>
    <mergeCell ref="ED55:EE55"/>
    <mergeCell ref="DV55:DW55"/>
    <mergeCell ref="HD53:HE53"/>
    <mergeCell ref="DP54:DQ54"/>
    <mergeCell ref="DF54:DG54"/>
    <mergeCell ref="HF53:HG53"/>
    <mergeCell ref="FV4:FW4"/>
    <mergeCell ref="FX4:FY4"/>
    <mergeCell ref="HX55:HY55"/>
    <mergeCell ref="HZ55:IA55"/>
    <mergeCell ref="HX5:HY5"/>
    <mergeCell ref="FH53:FI53"/>
    <mergeCell ref="GP54:GQ54"/>
    <mergeCell ref="AV54:AW54"/>
    <mergeCell ref="JJ53:JK53"/>
    <mergeCell ref="AX54:AY54"/>
    <mergeCell ref="GH5:GI5"/>
    <mergeCell ref="JL53:JM53"/>
    <mergeCell ref="JJ3:JK3"/>
  </mergeCells>
  <pageMargins left="0.3937007874015748" right="0.1181102362204725" top="0.7874015748031497" bottom="0.1968503937007874" header="0.3149606299212598" footer="0.3149606299212598"/>
  <pageSetup orientation="landscape" paperSize="9" scale="66"/>
  <rowBreaks count="1" manualBreakCount="1">
    <brk id="34" min="0" max="288" man="1"/>
  </rowBreaks>
  <colBreaks count="7" manualBreakCount="7">
    <brk id="27" min="0" max="56" man="1"/>
    <brk id="35" min="0" max="59" man="1"/>
    <brk id="67" min="0" max="59" man="1"/>
    <brk id="95" min="0" max="59" man="1"/>
    <brk id="151" min="0" max="1048575" man="1"/>
    <brk id="179" min="0" max="59" man="1"/>
    <brk id="251" min="0" max="59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O460"/>
  <sheetViews>
    <sheetView showGridLines="0" view="pageBreakPreview" zoomScale="80" zoomScaleNormal="80" zoomScaleSheetLayoutView="80" workbookViewId="0">
      <pane xSplit="7" ySplit="8" topLeftCell="BG45" activePane="bottomRight" state="frozen"/>
      <selection pane="topRight" activeCell="H1" sqref="H1"/>
      <selection pane="bottomLeft" activeCell="A9" sqref="A9"/>
      <selection pane="bottomRight" activeCell="E49" sqref="E49"/>
    </sheetView>
  </sheetViews>
  <sheetFormatPr baseColWidth="8" defaultColWidth="9.109375" defaultRowHeight="12.75" customHeight="1"/>
  <cols>
    <col width="4.33203125" customWidth="1" style="279" min="1" max="1"/>
    <col width="21.88671875" customWidth="1" style="279" min="2" max="2"/>
    <col width="12.44140625" customWidth="1" style="279" min="3" max="3"/>
    <col width="7.109375" customWidth="1" style="279" min="4" max="4"/>
    <col width="6.88671875" customWidth="1" style="279" min="5" max="5"/>
    <col width="9.5546875" customWidth="1" style="279" min="6" max="6"/>
    <col width="9" customWidth="1" style="279" min="7" max="7"/>
    <col width="6.5546875" customWidth="1" style="279" min="8" max="9"/>
    <col width="6" customWidth="1" style="279" min="10" max="12"/>
    <col width="6" customWidth="1" style="2" min="13" max="13"/>
    <col width="6" customWidth="1" style="279" min="14" max="17"/>
    <col collapsed="1" width="6.33203125" customWidth="1" style="279" min="18" max="18"/>
    <col width="6.33203125" customWidth="1" style="279" min="19" max="19"/>
    <col width="7.33203125" customWidth="1" style="279" min="20" max="27"/>
    <col width="6.6640625" customWidth="1" style="279" min="28" max="29"/>
    <col width="6.88671875" customWidth="1" style="279" min="30" max="31"/>
    <col collapsed="1" width="6.44140625" customWidth="1" style="279" min="32" max="32"/>
    <col width="6.44140625" customWidth="1" style="279" min="33" max="33"/>
    <col width="6.88671875" customWidth="1" style="279" min="34" max="35"/>
    <col width="7" customWidth="1" style="279" min="36" max="36"/>
    <col width="6.33203125" customWidth="1" style="279" min="37" max="37"/>
    <col width="6.44140625" customWidth="1" style="279" min="38" max="40"/>
    <col width="7.33203125" customWidth="1" style="279" min="41" max="41"/>
    <col collapsed="1" width="7.33203125" customWidth="1" style="279" min="42" max="42"/>
    <col width="7.33203125" customWidth="1" style="279" min="43" max="45"/>
    <col width="6.88671875" customWidth="1" style="279" min="46" max="49"/>
    <col width="6.44140625" customWidth="1" style="279" min="50" max="51"/>
    <col width="6" customWidth="1" style="279" min="52" max="53"/>
    <col collapsed="1" width="6" customWidth="1" style="279" min="54" max="54"/>
    <col width="6" customWidth="1" style="279" min="55" max="55"/>
    <col width="6.88671875" customWidth="1" style="279" min="56" max="57"/>
    <col collapsed="1" width="6.88671875" customWidth="1" style="279" min="58" max="58"/>
    <col width="6.88671875" customWidth="1" style="279" min="59" max="61"/>
    <col width="6.44140625" customWidth="1" style="279" min="62" max="65"/>
    <col width="7.33203125" customWidth="1" style="279" min="66" max="69"/>
    <col width="6.6640625" customWidth="1" style="279" min="70" max="83"/>
    <col width="6.5546875" customWidth="1" style="279" min="84" max="93"/>
    <col width="7.33203125" customWidth="1" style="279" min="94" max="97"/>
    <col width="7.33203125" customWidth="1" style="3" min="98" max="99"/>
    <col width="7.33203125" customWidth="1" style="279" min="100" max="109"/>
    <col width="6.33203125" customWidth="1" style="279" min="110" max="110"/>
    <col width="6.88671875" customWidth="1" style="279" min="111" max="111"/>
    <col width="6.33203125" customWidth="1" style="279" min="112" max="117"/>
    <col collapsed="1" width="6.33203125" customWidth="1" style="279" min="118" max="118"/>
    <col width="6.33203125" customWidth="1" style="279" min="119" max="123"/>
    <col width="7.6640625" customWidth="1" style="279" min="124" max="125"/>
    <col width="6.33203125" customWidth="1" style="279" min="126" max="127"/>
    <col width="7.109375" customWidth="1" style="279" min="128" max="129"/>
    <col width="6.6640625" customWidth="1" style="279" min="130" max="133"/>
    <col collapsed="1" width="6.6640625" customWidth="1" style="279" min="134" max="134"/>
    <col width="6.6640625" customWidth="1" style="279" min="135" max="135"/>
    <col collapsed="1" width="7.33203125" customWidth="1" style="279" min="136" max="136"/>
    <col width="7.33203125" customWidth="1" style="279" min="137" max="139"/>
    <col width="6.6640625" customWidth="1" style="279" min="140" max="143"/>
    <col width="6.109375" customWidth="1" style="279" min="144" max="145"/>
    <col width="6.5546875" customWidth="1" style="279" min="146" max="147"/>
    <col collapsed="1" width="7.33203125" customWidth="1" style="279" min="148" max="148"/>
    <col width="6.33203125" customWidth="1" style="279" min="149" max="149"/>
    <col width="7.33203125" customWidth="1" style="279" min="150" max="165"/>
    <col collapsed="1" width="7.33203125" customWidth="1" style="279" min="166" max="166"/>
    <col width="7.33203125" customWidth="1" style="279" min="167" max="191"/>
    <col collapsed="1" width="7.33203125" customWidth="1" style="279" min="192" max="192"/>
    <col width="7.33203125" customWidth="1" style="279" min="193" max="195"/>
    <col collapsed="1" width="7.33203125" customWidth="1" style="279" min="196" max="196"/>
    <col width="7.33203125" customWidth="1" style="279" min="197" max="231"/>
    <col collapsed="1" width="7.33203125" customWidth="1" style="279" min="232" max="232"/>
    <col width="7.33203125" customWidth="1" style="279" min="233" max="241"/>
    <col collapsed="1" width="7.33203125" customWidth="1" style="279" min="242" max="242"/>
    <col width="7.33203125" customWidth="1" style="279" min="243" max="263"/>
    <col width="7" customWidth="1" style="279" min="264" max="264"/>
    <col width="7.33203125" customWidth="1" style="279" min="265" max="271"/>
    <col width="6.88671875" customWidth="1" style="279" min="272" max="272"/>
    <col width="6.44140625" customWidth="1" style="279" min="273" max="273"/>
    <col hidden="1" outlineLevel="1" width="6.44140625" customWidth="1" style="279" min="274" max="274"/>
    <col hidden="1" outlineLevel="1" width="6.88671875" customWidth="1" style="279" min="275" max="275"/>
    <col hidden="1" outlineLevel="1" width="7.109375" customWidth="1" style="279" min="276" max="276"/>
    <col hidden="1" outlineLevel="1" width="6.5546875" customWidth="1" style="279" min="277" max="277"/>
    <col hidden="1" outlineLevel="1" width="6.44140625" customWidth="1" style="279" min="278" max="279"/>
    <col hidden="1" outlineLevel="1" width="6" customWidth="1" style="279" min="280" max="280"/>
    <col hidden="1" outlineLevel="1" width="5.5546875" customWidth="1" style="279" min="281" max="281"/>
    <col hidden="1" outlineLevel="1" width="5.88671875" customWidth="1" style="279" min="282" max="282"/>
    <col hidden="1" outlineLevel="1" width="6.5546875" customWidth="1" style="279" min="283" max="283"/>
    <col hidden="1" outlineLevel="1" width="5.44140625" customWidth="1" style="279" min="284" max="284"/>
    <col hidden="1" outlineLevel="1" width="6" customWidth="1" style="279" min="285" max="285"/>
    <col hidden="1" outlineLevel="1" width="7.33203125" customWidth="1" style="279" min="286" max="286"/>
    <col hidden="1" outlineLevel="1" width="9.88671875" customWidth="1" style="279" min="287" max="287"/>
    <col collapsed="1" width="9.44140625" customWidth="1" style="279" min="288" max="288"/>
    <col width="9.44140625" customWidth="1" style="279" min="289" max="289"/>
    <col width="17.5546875" customWidth="1" style="279" min="290" max="290"/>
    <col width="11" customWidth="1" style="279" min="291" max="291"/>
    <col width="15.44140625" customWidth="1" style="279" min="292" max="292"/>
    <col width="9.109375" customWidth="1" style="279" min="293" max="293"/>
    <col width="9.109375" customWidth="1" style="279" min="294" max="16384"/>
  </cols>
  <sheetData>
    <row r="1" ht="17.25" customFormat="1" customHeight="1" s="288" thickBot="1">
      <c r="A1" s="265" t="inlineStr">
        <is>
          <t>Расшифровка зарплаты рабочих за Апрель 2024 г</t>
        </is>
      </c>
      <c r="B1" s="266" t="n"/>
      <c r="C1" s="266" t="n"/>
      <c r="D1" s="266" t="n"/>
      <c r="E1" s="266" t="n"/>
      <c r="F1" s="266" t="n"/>
      <c r="G1" s="266" t="n"/>
      <c r="M1" s="5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V1" s="39" t="n"/>
      <c r="AW1" s="39" t="n"/>
      <c r="BB1" s="37" t="n"/>
      <c r="BC1" s="37" t="n"/>
      <c r="BD1" s="37" t="n"/>
      <c r="BE1" s="37" t="n"/>
      <c r="BJ1" s="287" t="n"/>
      <c r="BP1" s="287" t="n"/>
      <c r="CD1" s="36" t="n"/>
      <c r="DM1" s="310" t="n"/>
      <c r="DQ1" s="41" t="n"/>
      <c r="DR1" s="37" t="n"/>
      <c r="DS1" s="37" t="n"/>
      <c r="DT1" s="37" t="n"/>
      <c r="DU1" s="37" t="n"/>
      <c r="DV1" s="37" t="n"/>
      <c r="DW1" s="37" t="n"/>
      <c r="DX1" s="37" t="n"/>
      <c r="DY1" s="37" t="n"/>
      <c r="ER1" s="36" t="n"/>
      <c r="ES1" s="36" t="n"/>
      <c r="GZ1" s="39" t="n"/>
      <c r="HA1" s="39" t="n"/>
      <c r="HD1" s="37" t="n"/>
      <c r="HE1" s="37" t="n"/>
      <c r="HK1" s="39" t="n"/>
      <c r="HL1" s="39" t="n"/>
      <c r="HM1" s="40" t="n"/>
      <c r="HN1" s="39" t="n"/>
      <c r="HO1" s="39" t="n"/>
      <c r="HP1" s="39" t="n"/>
      <c r="HQ1" s="40" t="n"/>
      <c r="IO1" s="37" t="n"/>
      <c r="IQ1" s="37" t="n"/>
    </row>
    <row r="2" ht="11.25" customHeight="1" thickBot="1">
      <c r="A2" s="283" t="inlineStr">
        <is>
          <t>№ П/П</t>
        </is>
      </c>
      <c r="B2" s="299" t="inlineStr">
        <is>
          <t>Работники</t>
        </is>
      </c>
      <c r="C2" s="285" t="n"/>
      <c r="D2" s="337" t="inlineStr">
        <is>
          <t>Отработано часов</t>
        </is>
      </c>
      <c r="E2" s="305" t="n"/>
      <c r="F2" s="285" t="inlineStr">
        <is>
          <t>Оклад с РК</t>
        </is>
      </c>
      <c r="G2" s="308" t="n"/>
      <c r="H2" s="335" t="inlineStr">
        <is>
          <t>Распределение по заказам</t>
        </is>
      </c>
      <c r="I2" s="255" t="n"/>
      <c r="J2" s="255" t="n"/>
      <c r="K2" s="255" t="n"/>
      <c r="L2" s="255" t="n"/>
      <c r="M2" s="255" t="n"/>
      <c r="N2" s="255" t="n"/>
      <c r="O2" s="255" t="n"/>
      <c r="P2" s="255" t="n"/>
      <c r="Q2" s="255" t="n"/>
      <c r="R2" s="255" t="n"/>
      <c r="S2" s="255" t="n"/>
      <c r="T2" s="255" t="n"/>
      <c r="U2" s="255" t="n"/>
      <c r="V2" s="255" t="n"/>
      <c r="W2" s="255" t="n"/>
      <c r="X2" s="255" t="n"/>
      <c r="Y2" s="255" t="n"/>
      <c r="Z2" s="255" t="n"/>
      <c r="AA2" s="255" t="n"/>
      <c r="AB2" s="255" t="n"/>
      <c r="AC2" s="255" t="n"/>
      <c r="AD2" s="255" t="n"/>
      <c r="AE2" s="255" t="n"/>
      <c r="AF2" s="255" t="n"/>
      <c r="AG2" s="255" t="n"/>
      <c r="AH2" s="255" t="n"/>
      <c r="AI2" s="255" t="n"/>
      <c r="AJ2" s="255" t="n"/>
      <c r="AK2" s="255" t="n"/>
      <c r="AL2" s="255" t="n"/>
      <c r="AM2" s="255" t="n"/>
      <c r="AN2" s="255" t="n"/>
      <c r="AO2" s="255" t="n"/>
      <c r="AP2" s="255" t="n"/>
      <c r="AQ2" s="255" t="n"/>
      <c r="AR2" s="255" t="n"/>
      <c r="AS2" s="255" t="n"/>
      <c r="AT2" s="255" t="n"/>
      <c r="AU2" s="255" t="n"/>
      <c r="AV2" s="255" t="n"/>
      <c r="AW2" s="255" t="n"/>
      <c r="AX2" s="255" t="n"/>
      <c r="AY2" s="255" t="n"/>
      <c r="AZ2" s="255" t="n"/>
      <c r="BA2" s="255" t="n"/>
      <c r="BB2" s="255" t="n"/>
      <c r="BC2" s="255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  <c r="BN2" s="47" t="n"/>
      <c r="BO2" s="47" t="n"/>
      <c r="BP2" s="47" t="n"/>
      <c r="BQ2" s="47" t="n"/>
      <c r="BR2" s="47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  <c r="CO2" s="47" t="n"/>
      <c r="CP2" s="47" t="n"/>
      <c r="CQ2" s="47" t="n"/>
      <c r="CR2" s="47" t="n"/>
      <c r="CS2" s="47" t="n"/>
      <c r="CT2" s="47" t="n"/>
      <c r="CU2" s="47" t="n"/>
      <c r="CV2" s="47" t="n"/>
      <c r="CW2" s="47" t="n"/>
      <c r="CX2" s="47" t="n"/>
      <c r="CY2" s="47" t="n"/>
      <c r="CZ2" s="47" t="n"/>
      <c r="DA2" s="47" t="n"/>
      <c r="DB2" s="47" t="n"/>
      <c r="DC2" s="47" t="n"/>
      <c r="DD2" s="47" t="n"/>
      <c r="DE2" s="47" t="n"/>
      <c r="DF2" s="47" t="n"/>
      <c r="DG2" s="47" t="n"/>
      <c r="DH2" s="47" t="n"/>
      <c r="DI2" s="47" t="n"/>
      <c r="DJ2" s="47" t="n"/>
      <c r="DK2" s="47" t="n"/>
      <c r="DL2" s="47" t="n"/>
      <c r="DM2" s="47" t="n"/>
      <c r="DN2" s="47" t="n"/>
      <c r="DO2" s="47" t="n"/>
      <c r="DP2" s="47" t="n"/>
      <c r="DQ2" s="47" t="n"/>
      <c r="DR2" s="47" t="n"/>
      <c r="DS2" s="47" t="n"/>
      <c r="DT2" s="47" t="n"/>
      <c r="DU2" s="47" t="n"/>
      <c r="DV2" s="47" t="n"/>
      <c r="DW2" s="47" t="n"/>
      <c r="DX2" s="47" t="n"/>
      <c r="DY2" s="47" t="n"/>
      <c r="DZ2" s="47" t="n"/>
      <c r="EA2" s="47" t="n"/>
      <c r="EB2" s="47" t="n"/>
      <c r="EC2" s="47" t="n"/>
      <c r="ED2" s="47" t="n"/>
      <c r="EE2" s="47" t="n"/>
      <c r="EF2" s="47" t="n"/>
      <c r="EG2" s="47" t="n"/>
      <c r="EH2" s="47" t="n"/>
      <c r="EI2" s="47" t="n"/>
      <c r="EJ2" s="47" t="n"/>
      <c r="EK2" s="47" t="n"/>
      <c r="EL2" s="47" t="n"/>
      <c r="EM2" s="47" t="n"/>
      <c r="EN2" s="47" t="n"/>
      <c r="EO2" s="47" t="n"/>
      <c r="EP2" s="47" t="n"/>
      <c r="EQ2" s="47" t="n"/>
      <c r="ER2" s="47" t="n"/>
      <c r="ES2" s="47" t="n"/>
      <c r="ET2" s="47" t="n"/>
      <c r="EU2" s="47" t="n"/>
      <c r="EV2" s="47" t="n"/>
      <c r="EW2" s="47" t="n"/>
      <c r="EX2" s="47" t="n"/>
      <c r="EY2" s="47" t="n"/>
      <c r="EZ2" s="47" t="n"/>
      <c r="FA2" s="47" t="n"/>
      <c r="FB2" s="47" t="n"/>
      <c r="FC2" s="47" t="n"/>
      <c r="FD2" s="47" t="n"/>
      <c r="FE2" s="47" t="n"/>
      <c r="FF2" s="47" t="n"/>
      <c r="FG2" s="47" t="n"/>
      <c r="FH2" s="47" t="n"/>
      <c r="FI2" s="47" t="n"/>
      <c r="FJ2" s="47" t="n"/>
      <c r="FK2" s="47" t="n"/>
      <c r="FL2" s="47" t="n"/>
      <c r="FM2" s="47" t="n"/>
      <c r="FN2" s="47" t="n"/>
      <c r="FO2" s="47" t="n"/>
      <c r="FP2" s="47" t="n"/>
      <c r="FQ2" s="47" t="n"/>
      <c r="FR2" s="47" t="n"/>
      <c r="FS2" s="47" t="n"/>
      <c r="FT2" s="47" t="n"/>
      <c r="FU2" s="47" t="n"/>
      <c r="FV2" s="47" t="n"/>
      <c r="FW2" s="47" t="n"/>
      <c r="FX2" s="47" t="n"/>
      <c r="FY2" s="47" t="n"/>
      <c r="FZ2" s="47" t="n"/>
      <c r="GA2" s="47" t="n"/>
      <c r="GB2" s="47" t="n"/>
      <c r="GC2" s="47" t="n"/>
      <c r="GD2" s="47" t="n"/>
      <c r="GE2" s="47" t="n"/>
      <c r="GF2" s="47" t="n"/>
      <c r="GG2" s="47" t="n"/>
      <c r="GH2" s="47" t="n"/>
      <c r="GI2" s="47" t="n"/>
      <c r="GJ2" s="47" t="n"/>
      <c r="GK2" s="47" t="n"/>
      <c r="GL2" s="47" t="n"/>
      <c r="GM2" s="47" t="n"/>
      <c r="GN2" s="47" t="n"/>
      <c r="GO2" s="47" t="n"/>
      <c r="GP2" s="47" t="n"/>
      <c r="GQ2" s="47" t="n"/>
      <c r="GR2" s="47" t="n"/>
      <c r="GS2" s="47" t="n"/>
      <c r="GT2" s="47" t="n"/>
      <c r="GU2" s="47" t="n"/>
      <c r="GV2" s="47" t="n"/>
      <c r="GW2" s="47" t="n"/>
      <c r="GX2" s="47" t="n"/>
      <c r="GY2" s="47" t="n"/>
      <c r="GZ2" s="47" t="n"/>
      <c r="HA2" s="47" t="n"/>
      <c r="HB2" s="47" t="n"/>
      <c r="HC2" s="47" t="n"/>
      <c r="HD2" s="47" t="n"/>
      <c r="HE2" s="47" t="n"/>
      <c r="HF2" s="47" t="n"/>
      <c r="HG2" s="47" t="n"/>
      <c r="HH2" s="47" t="n"/>
      <c r="HI2" s="47" t="n"/>
      <c r="HJ2" s="47" t="n"/>
      <c r="HK2" s="47" t="n"/>
      <c r="HL2" s="47" t="n"/>
      <c r="HM2" s="47" t="n"/>
      <c r="HN2" s="47" t="n"/>
      <c r="HO2" s="47" t="n"/>
      <c r="HP2" s="47" t="n"/>
      <c r="HQ2" s="47" t="n"/>
      <c r="HR2" s="47" t="n"/>
      <c r="HS2" s="47" t="n"/>
      <c r="HT2" s="47" t="n"/>
      <c r="HU2" s="47" t="n"/>
      <c r="HV2" s="47" t="n"/>
      <c r="HW2" s="47" t="n"/>
      <c r="HX2" s="47" t="n"/>
      <c r="HY2" s="47" t="n"/>
      <c r="HZ2" s="47" t="n"/>
      <c r="IA2" s="47" t="n"/>
      <c r="IB2" s="47" t="n"/>
      <c r="IC2" s="47" t="n"/>
      <c r="ID2" s="47" t="n"/>
      <c r="IE2" s="47" t="n"/>
      <c r="IF2" s="47" t="n"/>
      <c r="IG2" s="47" t="n"/>
      <c r="IH2" s="47" t="n"/>
      <c r="II2" s="47" t="n"/>
      <c r="IJ2" s="47" t="n"/>
      <c r="IK2" s="47" t="n"/>
      <c r="IL2" s="47" t="n"/>
      <c r="IM2" s="47" t="n"/>
      <c r="IN2" s="47" t="n"/>
      <c r="IO2" s="47" t="n"/>
      <c r="IP2" s="47" t="n"/>
      <c r="IQ2" s="47" t="n"/>
      <c r="IR2" s="47" t="n"/>
      <c r="IS2" s="47" t="n"/>
      <c r="IT2" s="47" t="n"/>
      <c r="IU2" s="47" t="n"/>
      <c r="IV2" s="47" t="n"/>
      <c r="IW2" s="47" t="n"/>
      <c r="IX2" s="47" t="n"/>
      <c r="IY2" s="47" t="n"/>
      <c r="IZ2" s="47" t="n"/>
      <c r="JA2" s="47" t="n"/>
      <c r="JB2" s="47" t="n"/>
      <c r="JC2" s="47" t="n"/>
      <c r="JD2" s="47" t="n"/>
      <c r="JE2" s="47" t="n"/>
      <c r="JF2" s="47" t="n"/>
      <c r="JG2" s="47" t="n"/>
      <c r="JH2" s="47" t="n"/>
      <c r="JI2" s="47" t="n"/>
      <c r="JJ2" s="47" t="n"/>
      <c r="JK2" s="47" t="n"/>
      <c r="JL2" s="47" t="n"/>
      <c r="JM2" s="47" t="n"/>
      <c r="JN2" s="47" t="n"/>
      <c r="JO2" s="47" t="n"/>
      <c r="JP2" s="47" t="n"/>
      <c r="JQ2" s="47" t="n"/>
      <c r="JR2" s="47" t="n"/>
      <c r="JS2" s="47" t="n"/>
      <c r="JT2" s="47" t="n"/>
      <c r="JU2" s="47" t="n"/>
      <c r="JV2" s="47" t="n"/>
      <c r="JW2" s="47" t="n"/>
      <c r="JX2" s="47" t="n"/>
      <c r="JY2" s="47" t="n"/>
      <c r="JZ2" s="47" t="n"/>
      <c r="KA2" s="47" t="n"/>
      <c r="KB2" s="47" t="n"/>
      <c r="KC2" s="48" t="n"/>
    </row>
    <row r="3" ht="14.25" customHeight="1">
      <c r="A3" s="284" t="n"/>
      <c r="B3" s="284" t="n"/>
      <c r="C3" s="286" t="n"/>
      <c r="D3" s="286" t="n"/>
      <c r="E3" s="306" t="n"/>
      <c r="F3" s="286" t="n"/>
      <c r="H3" s="339" t="inlineStr">
        <is>
          <t>ОСНАСТКА</t>
        </is>
      </c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0" t="n"/>
      <c r="S3" s="340" t="n"/>
      <c r="T3" s="340" t="n"/>
      <c r="U3" s="340" t="n"/>
      <c r="V3" s="340" t="n"/>
      <c r="W3" s="340" t="n"/>
      <c r="X3" s="340" t="n"/>
      <c r="Y3" s="340" t="n"/>
      <c r="Z3" s="340" t="n"/>
      <c r="AA3" s="248" t="n"/>
      <c r="AB3" s="68" t="n"/>
      <c r="AC3" s="68" t="n"/>
      <c r="AD3" s="68" t="n"/>
      <c r="AE3" s="68" t="n"/>
      <c r="AF3" s="68" t="n"/>
      <c r="AG3" s="68" t="n"/>
      <c r="AH3" s="68" t="n"/>
      <c r="AI3" s="144" t="n"/>
      <c r="AJ3" s="145" t="n"/>
      <c r="AK3" s="145" t="n"/>
      <c r="AL3" s="336" t="n"/>
      <c r="AM3" s="271" t="n"/>
      <c r="AN3" s="68" t="n"/>
      <c r="AO3" s="68" t="n"/>
      <c r="AP3" s="68" t="n"/>
      <c r="AQ3" s="68" t="n"/>
      <c r="AR3" s="68" t="n"/>
      <c r="AS3" s="68" t="n"/>
      <c r="AT3" s="68" t="n"/>
      <c r="AU3" s="68" t="n"/>
      <c r="AV3" s="68" t="n"/>
      <c r="AW3" s="68" t="n"/>
      <c r="AX3" s="69" t="n"/>
      <c r="AY3" s="68" t="n"/>
      <c r="AZ3" s="68" t="n"/>
      <c r="BA3" s="68" t="n"/>
      <c r="BB3" s="68" t="n"/>
      <c r="BC3" s="68" t="n"/>
      <c r="BD3" s="43" t="n"/>
      <c r="BE3" s="43" t="n"/>
      <c r="BF3" s="43" t="n"/>
      <c r="BG3" s="43" t="n"/>
      <c r="BH3" s="43" t="n"/>
      <c r="BI3" s="43" t="n"/>
      <c r="BJ3" s="43" t="n"/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  <c r="CO3" s="43" t="n"/>
      <c r="CP3" s="43" t="n"/>
      <c r="CQ3" s="43" t="n"/>
      <c r="CR3" s="43" t="n"/>
      <c r="CS3" s="43" t="n"/>
      <c r="CT3" s="43" t="n"/>
      <c r="CU3" s="43" t="n"/>
      <c r="CV3" s="43" t="n"/>
      <c r="CW3" s="43" t="n"/>
      <c r="CX3" s="43" t="n"/>
      <c r="CY3" s="43" t="n"/>
      <c r="CZ3" s="43" t="n"/>
      <c r="DA3" s="43" t="n"/>
      <c r="DB3" s="43" t="n"/>
      <c r="DC3" s="43" t="n"/>
      <c r="DD3" s="43" t="n"/>
      <c r="DE3" s="43" t="n"/>
      <c r="DF3" s="43" t="n"/>
      <c r="DG3" s="43" t="n"/>
      <c r="DH3" s="43" t="n"/>
      <c r="DI3" s="43" t="n"/>
      <c r="DJ3" s="43" t="n"/>
      <c r="DK3" s="43" t="n"/>
      <c r="DL3" s="43" t="n"/>
      <c r="DM3" s="43" t="n"/>
      <c r="DN3" s="43" t="n"/>
      <c r="DO3" s="43" t="n"/>
      <c r="DP3" s="43" t="n"/>
      <c r="DQ3" s="43" t="n"/>
      <c r="DR3" s="43" t="n"/>
      <c r="DS3" s="43" t="n"/>
      <c r="DT3" s="43" t="n"/>
      <c r="DU3" s="43" t="n"/>
      <c r="DV3" s="43" t="n"/>
      <c r="DW3" s="43" t="n"/>
      <c r="DX3" s="43" t="n"/>
      <c r="DY3" s="43" t="n"/>
      <c r="DZ3" s="43" t="n"/>
      <c r="EA3" s="43" t="n"/>
      <c r="EB3" s="43" t="n"/>
      <c r="EC3" s="43" t="n"/>
      <c r="ED3" s="43" t="n"/>
      <c r="EE3" s="43" t="n"/>
      <c r="EF3" s="43" t="n"/>
      <c r="EG3" s="43" t="n"/>
      <c r="EH3" s="43" t="n"/>
      <c r="EI3" s="43" t="n"/>
      <c r="EJ3" s="43" t="n"/>
      <c r="EK3" s="43" t="n"/>
      <c r="EL3" s="43" t="n"/>
      <c r="EM3" s="43" t="n"/>
      <c r="EN3" s="43" t="n"/>
      <c r="EO3" s="43" t="n"/>
      <c r="EP3" s="43" t="n"/>
      <c r="EQ3" s="43" t="n"/>
      <c r="ER3" s="43" t="n"/>
      <c r="ES3" s="43" t="n"/>
      <c r="ET3" s="43" t="n"/>
      <c r="EU3" s="43" t="n"/>
      <c r="EV3" s="43" t="n"/>
      <c r="EW3" s="43" t="n"/>
      <c r="EX3" s="43" t="n"/>
      <c r="EY3" s="43" t="n"/>
      <c r="EZ3" s="43" t="n"/>
      <c r="FA3" s="62" t="n"/>
      <c r="FB3" s="63" t="n"/>
      <c r="FC3" s="62" t="n"/>
      <c r="FD3" s="63" t="n"/>
      <c r="FE3" s="62" t="n"/>
      <c r="FF3" s="63" t="n"/>
      <c r="FG3" s="62" t="n"/>
      <c r="FH3" s="43" t="n"/>
      <c r="FI3" s="62" t="n"/>
      <c r="FJ3" s="43" t="n"/>
      <c r="FK3" s="43" t="n"/>
      <c r="FL3" s="43" t="n"/>
      <c r="FM3" s="43" t="n"/>
      <c r="FN3" s="43" t="n"/>
      <c r="FO3" s="43" t="n"/>
      <c r="FP3" s="43" t="n"/>
      <c r="FQ3" s="43" t="n"/>
      <c r="FR3" s="43" t="n"/>
      <c r="FS3" s="43" t="n"/>
      <c r="FT3" s="43" t="n"/>
      <c r="FU3" s="43" t="n"/>
      <c r="FV3" s="43" t="n"/>
      <c r="FW3" s="43" t="n"/>
      <c r="FX3" s="43" t="n"/>
      <c r="FY3" s="43" t="n"/>
      <c r="FZ3" s="43" t="n"/>
      <c r="GA3" s="43" t="n"/>
      <c r="GB3" s="43" t="n"/>
      <c r="GC3" s="43" t="n"/>
      <c r="GD3" s="43" t="n"/>
      <c r="GE3" s="43" t="n"/>
      <c r="GF3" s="43" t="n"/>
      <c r="GG3" s="43" t="n"/>
      <c r="GH3" s="43" t="n"/>
      <c r="GI3" s="54" t="n"/>
      <c r="GJ3" s="43" t="n"/>
      <c r="GK3" s="43" t="n"/>
      <c r="GL3" s="43" t="n"/>
      <c r="GM3" s="43" t="n"/>
      <c r="GN3" s="43" t="n"/>
      <c r="GO3" s="43" t="n"/>
      <c r="GP3" s="43" t="n"/>
      <c r="GQ3" s="43" t="n"/>
      <c r="GR3" s="43" t="n"/>
      <c r="GS3" s="43" t="n"/>
      <c r="GT3" s="43" t="n"/>
      <c r="GU3" s="43" t="n"/>
      <c r="GV3" s="50" t="n"/>
      <c r="GW3" s="50" t="n"/>
      <c r="GX3" s="50" t="n"/>
      <c r="GY3" s="50" t="n"/>
      <c r="GZ3" s="50" t="n"/>
      <c r="HA3" s="50" t="n"/>
      <c r="HB3" s="43" t="n"/>
      <c r="HC3" s="43" t="n"/>
      <c r="HD3" s="43" t="n"/>
      <c r="HE3" s="43" t="n"/>
      <c r="HF3" s="49" t="n"/>
      <c r="HG3" s="43" t="n"/>
      <c r="HH3" s="43" t="n"/>
      <c r="HI3" s="43" t="n"/>
      <c r="HJ3" s="43" t="n"/>
      <c r="HK3" s="43" t="n"/>
      <c r="HL3" s="43" t="n"/>
      <c r="HM3" s="43" t="n"/>
      <c r="HN3" s="43" t="n"/>
      <c r="HO3" s="43" t="n"/>
      <c r="HP3" s="43" t="n"/>
      <c r="HQ3" s="43" t="n"/>
      <c r="HR3" s="43" t="n"/>
      <c r="HS3" s="43" t="n"/>
      <c r="HT3" s="43" t="n"/>
      <c r="HU3" s="43" t="n"/>
      <c r="HV3" s="43" t="n"/>
      <c r="HW3" s="43" t="n"/>
      <c r="HX3" s="43" t="n"/>
      <c r="HY3" s="43" t="n"/>
      <c r="HZ3" s="43" t="n"/>
      <c r="IA3" s="43" t="n"/>
      <c r="IB3" s="43" t="n"/>
      <c r="IC3" s="43" t="n"/>
      <c r="ID3" s="43" t="n"/>
      <c r="IE3" s="43" t="n"/>
      <c r="IF3" s="43" t="n"/>
      <c r="IG3" s="43" t="n"/>
      <c r="IH3" s="43" t="n"/>
      <c r="II3" s="43" t="n"/>
      <c r="IJ3" s="43" t="n"/>
      <c r="IK3" s="43" t="n"/>
      <c r="IL3" s="43" t="n"/>
      <c r="IM3" s="43" t="n"/>
      <c r="IN3" s="43" t="n"/>
      <c r="IO3" s="43" t="n"/>
      <c r="IP3" s="43" t="n"/>
      <c r="IQ3" s="43" t="n"/>
      <c r="IR3" s="43" t="n"/>
      <c r="IS3" s="43" t="n"/>
      <c r="IT3" s="43" t="n"/>
      <c r="IU3" s="43" t="n"/>
      <c r="IV3" s="43" t="n"/>
      <c r="IW3" s="43" t="n"/>
      <c r="IX3" s="43" t="n"/>
      <c r="IY3" s="43" t="n"/>
      <c r="IZ3" s="50" t="n"/>
      <c r="JA3" s="50" t="n"/>
      <c r="JB3" s="50" t="n"/>
      <c r="JC3" s="50" t="n"/>
      <c r="JD3" s="50" t="n"/>
      <c r="JE3" s="50" t="n"/>
      <c r="JF3" s="42" t="n"/>
      <c r="JG3" s="42" t="n"/>
      <c r="JH3" s="42" t="n"/>
      <c r="JI3" s="42" t="n"/>
      <c r="JJ3" s="342" t="n"/>
      <c r="JK3" s="340" t="n"/>
      <c r="JL3" s="304" t="inlineStr">
        <is>
          <t>Работы с обслуживанием цеха и оборудования</t>
        </is>
      </c>
      <c r="JM3" s="305" t="n"/>
      <c r="JN3" s="270" t="inlineStr">
        <is>
          <t>Подготовительные работы по ОС</t>
        </is>
      </c>
      <c r="JO3" s="271" t="n"/>
      <c r="JP3" s="271" t="n"/>
      <c r="JQ3" s="271" t="n"/>
      <c r="JR3" s="271" t="n"/>
      <c r="JS3" s="271" t="n"/>
      <c r="JT3" s="271" t="n"/>
      <c r="JU3" s="271" t="n"/>
      <c r="JV3" s="271" t="n"/>
      <c r="JW3" s="271" t="n"/>
      <c r="JX3" s="271" t="n"/>
      <c r="JY3" s="271" t="n"/>
      <c r="JZ3" s="271" t="n"/>
      <c r="KA3" s="272" t="n"/>
      <c r="KB3" s="316" t="inlineStr">
        <is>
          <t>ВСЕГО</t>
        </is>
      </c>
      <c r="KC3" s="306" t="n"/>
    </row>
    <row r="4" ht="104.25" customHeight="1">
      <c r="A4" s="284" t="n"/>
      <c r="B4" s="284" t="n"/>
      <c r="C4" s="286" t="n"/>
      <c r="D4" s="338" t="n"/>
      <c r="E4" s="281" t="n"/>
      <c r="F4" s="286" t="n"/>
      <c r="H4" s="260" t="inlineStr">
        <is>
          <t>Ограждение боковое и переднее на фрезерный станок, кмт</t>
        </is>
      </c>
      <c r="I4" s="248" t="n"/>
      <c r="J4" s="260" t="inlineStr">
        <is>
          <t>Прошивка ротационная ТК.142.000</t>
        </is>
      </c>
      <c r="K4" s="248" t="n"/>
      <c r="L4" s="260" t="inlineStr">
        <is>
          <t>Станочная остастка для токарной группы, кмт</t>
        </is>
      </c>
      <c r="M4" s="248" t="n"/>
      <c r="N4" s="260" t="inlineStr">
        <is>
          <t>Ремонт токарного станка ДИП500-165</t>
        </is>
      </c>
      <c r="O4" s="248" t="n"/>
      <c r="P4" s="260" t="inlineStr">
        <is>
          <t>Нож 22434/2 W02 к дробилке Scorpion 3000Р</t>
        </is>
      </c>
      <c r="Q4" s="248" t="n"/>
      <c r="R4" s="260" t="inlineStr">
        <is>
          <t>Цевочное колесо sprocket парт№ 100026187(00571157-0062) (СИБ/503/00011292)</t>
        </is>
      </c>
      <c r="S4" s="248" t="n"/>
      <c r="T4" s="260" t="inlineStr"/>
      <c r="U4" s="248" t="n"/>
      <c r="V4" s="260" t="inlineStr">
        <is>
          <t>Ремонт блока звезды лавного конвейера</t>
        </is>
      </c>
      <c r="W4" s="248" t="n"/>
      <c r="X4" s="260" t="inlineStr">
        <is>
          <t>Нож воздушный СИТК.501.100.00.000</t>
        </is>
      </c>
      <c r="Y4" s="248" t="n"/>
      <c r="Z4" s="260" t="inlineStr">
        <is>
          <t>Закалка заготовки буровой штанги БГА2В L=0.6м</t>
        </is>
      </c>
      <c r="AA4" s="248" t="n"/>
      <c r="AB4" s="260" t="inlineStr">
        <is>
          <t>Узел привода MR65-1100 5320018 конвейер PF6/1142</t>
        </is>
      </c>
      <c r="AC4" s="248" t="n"/>
      <c r="AD4" s="260" t="inlineStr">
        <is>
          <t>Вал S262640 комбайн SL-300</t>
        </is>
      </c>
      <c r="AE4" s="248" t="n"/>
      <c r="AF4" s="260" t="inlineStr">
        <is>
          <t>Шкив 40ХН 230х80 СИТК.433.00.01.001-01 для прямой скобы под канат D32мм</t>
        </is>
      </c>
      <c r="AG4" s="248" t="n"/>
      <c r="AH4" s="260" t="inlineStr">
        <is>
          <t>Вал срезной S254290 SL900</t>
        </is>
      </c>
      <c r="AI4" s="248" t="n"/>
      <c r="AJ4" s="260" t="inlineStr">
        <is>
          <t>Вал срезной S254290 SL900</t>
        </is>
      </c>
      <c r="AK4" s="248" t="n"/>
      <c r="AL4" s="260" t="inlineStr">
        <is>
          <t>Вал двигателя JOY MINING MACHINERY 100265287</t>
        </is>
      </c>
      <c r="AM4" s="248" t="n"/>
      <c r="AN4" s="260" t="inlineStr">
        <is>
          <t>Вал двигателя JOY MINING MACHINERY 100265287</t>
        </is>
      </c>
      <c r="AO4" s="248" t="n"/>
      <c r="AP4" s="260" t="inlineStr">
        <is>
          <t>Деталь муфты N220*10/W220*10667721 PF4/1132</t>
        </is>
      </c>
      <c r="AQ4" s="248" t="n"/>
      <c r="AR4" s="260" t="inlineStr">
        <is>
          <t>Боек дробилки SK1111</t>
        </is>
      </c>
      <c r="AS4" s="248" t="n"/>
      <c r="AT4" s="260" t="inlineStr">
        <is>
          <t>Фланец промежуточный S252666 SL-300</t>
        </is>
      </c>
      <c r="AU4" s="248" t="n"/>
      <c r="AV4" s="260" t="inlineStr">
        <is>
          <t>ЗВЕЗДОЧКА DKB 34*126-7-330 ВЕ668500 PF6</t>
        </is>
      </c>
      <c r="AW4" s="248" t="n"/>
      <c r="AX4" s="260" t="inlineStr">
        <is>
          <t>Колесо цевочное S239573ZA комбайн SL300/500/900</t>
        </is>
      </c>
      <c r="AY4" s="248" t="n"/>
      <c r="AZ4" s="260" t="inlineStr">
        <is>
          <t>Головка ударная 5325488</t>
        </is>
      </c>
      <c r="BA4" s="248" t="n"/>
      <c r="BB4" s="260" t="inlineStr">
        <is>
          <t>Гантели 760-0670-Y7 конвейер JOY AFC</t>
        </is>
      </c>
      <c r="BC4" s="248" t="n"/>
      <c r="BD4" s="260" t="inlineStr">
        <is>
          <t>Соединитель рештаков 763-7020-Y2 конвейер скребковый JOY AFC</t>
        </is>
      </c>
      <c r="BE4" s="248" t="n"/>
      <c r="BF4" s="260" t="inlineStr">
        <is>
          <t>Звездочка 100041230 конвейер JOY AFC</t>
        </is>
      </c>
      <c r="BG4" s="248" t="n"/>
      <c r="BH4" s="260" t="inlineStr">
        <is>
          <t>Звездочка 100134501 конвейер JOY AFC</t>
        </is>
      </c>
      <c r="BI4" s="248" t="n"/>
      <c r="BJ4" s="260" t="inlineStr">
        <is>
          <t>Вал с подшипниковой опорой 5408099 BSW220*10 конвейер PF6/1142</t>
        </is>
      </c>
      <c r="BK4" s="248" t="n"/>
      <c r="BL4" s="260" t="inlineStr">
        <is>
          <t>Звездочка DKB 34*126-7-330 BE668500 PF6</t>
        </is>
      </c>
      <c r="BM4" s="248" t="n"/>
      <c r="BN4" s="260" t="inlineStr">
        <is>
          <t>КМП угололков Р6 для MRHS 5325486 конвейер PF6/1142</t>
        </is>
      </c>
      <c r="BO4" s="248" t="n"/>
      <c r="BP4" s="260" t="inlineStr">
        <is>
          <t>МУФТА 5114307 КОНВЕЙЕР PF6/1142</t>
        </is>
      </c>
      <c r="BQ4" s="248" t="n"/>
      <c r="BR4" s="260" t="inlineStr"/>
      <c r="BS4" s="248" t="n"/>
      <c r="BT4" s="260" t="inlineStr">
        <is>
          <t>УЗЕЛ ПРИВОДА MR65-1100 5320018 КОНВЕЙЕР PF6/1142</t>
        </is>
      </c>
      <c r="BU4" s="248" t="n"/>
      <c r="BV4" s="260" t="inlineStr">
        <is>
          <t>КМП угололков Р6 для MRHS 5325486 конвейер PF6/1142</t>
        </is>
      </c>
      <c r="BW4" s="248" t="n"/>
      <c r="BX4" s="260" t="inlineStr">
        <is>
          <t>КОНСОЛЬ СЪЕМНИКА ДЛЯ КОНЦЕВОЙ СЕКЦИИ В СБОРЕ СИТК BE 1503201 КОНВЕЙЕР PF6</t>
        </is>
      </c>
      <c r="BY4" s="248" t="n"/>
      <c r="BZ4" s="260" t="inlineStr">
        <is>
          <t>ЦЕПЕСЪЕМНИК 5408101 КОНВЕЙЕР PF6/1342</t>
        </is>
      </c>
      <c r="CA4" s="248" t="n"/>
      <c r="CB4" s="260" t="inlineStr">
        <is>
          <t>ЦЕПЕСЪЕМНИК CAT 5410007 КОНВЕЙЕР PF6/1142</t>
        </is>
      </c>
      <c r="CC4" s="248" t="n"/>
      <c r="CD4" s="260" t="inlineStr">
        <is>
          <t>ЦЕПЕСЪЕМНИК BE668510 КОНВЕЙЕР PF6/1142</t>
        </is>
      </c>
      <c r="CE4" s="248" t="n"/>
      <c r="CF4" s="260" t="inlineStr">
        <is>
          <t>ЦЕПЕСЪЕМНИК DKB48*144/160-7-250 BE4863293 КОНВЕЙЕР CAT PF6/1142</t>
        </is>
      </c>
      <c r="CG4" s="248" t="n"/>
      <c r="CH4" s="260" t="inlineStr">
        <is>
          <t>УЗЕЛ ПРИВОДА MR65-1100 BE672455 КОНВЕЙЕР PF6/1142 СОСТАВЛЯЮЩИЕ УЗЛА ПРИВОДА: ВАЛ, ПОДШИПНИКИ, ЗВЕЗДА, БУКСЫ ПЛИТА МОНТАЖНАЯ</t>
        </is>
      </c>
      <c r="CI4" s="248" t="n"/>
      <c r="CJ4" s="260" t="inlineStr">
        <is>
          <t>Колесо цевочное S289335Z комбайн SL-900</t>
        </is>
      </c>
      <c r="CK4" s="248" t="n"/>
      <c r="CL4" s="260" t="inlineStr">
        <is>
          <t>Вал срезной S254290 SL900</t>
        </is>
      </c>
      <c r="CM4" s="248" t="n"/>
      <c r="CN4" s="260" t="inlineStr">
        <is>
          <t>КМП УГОЛКОВ Р6 ДЛЯ MRHS 5325486 КОНВЕЙЕР PF6/1142</t>
        </is>
      </c>
      <c r="CO4" s="248" t="n"/>
      <c r="CP4" s="260" t="inlineStr">
        <is>
          <t>ЦЕПЕСЪЕМНИК CAT 5410007 КОНВЕЙЕР PF6/1142</t>
        </is>
      </c>
      <c r="CQ4" s="248" t="n"/>
      <c r="CR4" s="260" t="inlineStr">
        <is>
          <t>Вал S-ой зоны S7 185 ФППЗ.МЧ.47 ФПП-3000МЧ</t>
        </is>
      </c>
      <c r="CS4" s="248" t="n"/>
      <c r="CT4" s="260" t="inlineStr">
        <is>
          <t>Вал регулировочный 185 ФППЗ.МЧ.52 ФПП-3000МЧ</t>
        </is>
      </c>
      <c r="CU4" s="248" t="n"/>
      <c r="CV4" s="260" t="inlineStr">
        <is>
          <t>Валок WXGHLB7</t>
        </is>
      </c>
      <c r="CW4" s="248" t="n"/>
      <c r="CX4" s="260" t="inlineStr">
        <is>
          <t>Направляющая захвата EICKHOFF S 291897Y комбайна SL-900</t>
        </is>
      </c>
      <c r="CY4" s="248" t="n"/>
      <c r="CZ4" s="260" t="inlineStr"/>
      <c r="DA4" s="248" t="n"/>
      <c r="DB4" s="260" t="inlineStr">
        <is>
          <t>Вал приводной 286 ФППЗ.МЧ.40. ФППЗ-3000МЧ</t>
        </is>
      </c>
      <c r="DC4" s="248" t="n"/>
      <c r="DD4" s="260" t="inlineStr">
        <is>
          <t>Вал соединительный СИТК.00.117 комбайн SANDVIK МВ670-1</t>
        </is>
      </c>
      <c r="DE4" s="248" t="n"/>
      <c r="DF4" s="260" t="inlineStr">
        <is>
          <t>Вал соединительный СИТК.00.117 комбайн SANDVIK МВ670-1</t>
        </is>
      </c>
      <c r="DG4" s="248" t="n"/>
      <c r="DH4" s="260" t="inlineStr">
        <is>
          <t>НАПРАВЛЯЮЩАЯ ЦЕПИ ЛВ SCC MP BS00178197</t>
        </is>
      </c>
      <c r="DI4" s="248" t="n"/>
      <c r="DJ4" s="260" t="inlineStr">
        <is>
          <t>НАПРАВЛЯЮЩАЯ ЦЕПИ ПР SCC MP BS00178210</t>
        </is>
      </c>
      <c r="DK4" s="248" t="n"/>
      <c r="DL4" s="260" t="inlineStr">
        <is>
          <t>НАПРАВЛЯЮЩАЯ ЦЕПИ ПР SCC 65698419000</t>
        </is>
      </c>
      <c r="DM4" s="248" t="n"/>
      <c r="DN4" s="260" t="inlineStr">
        <is>
          <t>НАПРАВЛЯЮЩАЯ ЦЕПИ ЛВ SCC 65698420000</t>
        </is>
      </c>
      <c r="DO4" s="248" t="n"/>
      <c r="DP4" s="260" t="inlineStr">
        <is>
          <t>Ремонт редуктора внешнего барабана режущего органа МВ-670 зав.295 инв.№СО54558</t>
        </is>
      </c>
      <c r="DQ4" s="248" t="n"/>
      <c r="DR4" s="260" t="inlineStr">
        <is>
          <t>Ремонт редуктора внешнего барабана режущего органа комбайна проходческого МБ-1670 инв.№СО54570</t>
        </is>
      </c>
      <c r="DS4" s="248" t="n"/>
      <c r="DT4" s="260" t="inlineStr">
        <is>
          <t>Барабан дробильный 3000 в комплекте с ременным колесом для дробилки SCORPION 3000Р</t>
        </is>
      </c>
      <c r="DU4" s="248" t="n"/>
      <c r="DV4" s="260" t="inlineStr">
        <is>
          <t>Ремонт цепного барабана вспомогатильного привода скребкового конвейера Rybnil850</t>
        </is>
      </c>
      <c r="DW4" s="248" t="n"/>
      <c r="DX4" s="260" t="inlineStr">
        <is>
          <t>Колесо ведущее 03039850-2007 (Колесо ведущее 03069850-2007)</t>
        </is>
      </c>
      <c r="DY4" s="248" t="n"/>
      <c r="DZ4" s="260" t="inlineStr">
        <is>
          <t>Вал предохранительный 01069528-0529</t>
        </is>
      </c>
      <c r="EA4" s="248" t="n"/>
      <c r="EB4" s="260" t="inlineStr">
        <is>
          <t>Штифт стопорный 100543179 JOY 15/35</t>
        </is>
      </c>
      <c r="EC4" s="248" t="n"/>
      <c r="ED4" s="260" t="inlineStr">
        <is>
          <t>Втулка вала 36102940</t>
        </is>
      </c>
      <c r="EE4" s="248" t="n"/>
      <c r="EF4" s="260" t="inlineStr">
        <is>
          <t>ВАННА ВЕРХНЕЙ ВЕТВИ 685833</t>
        </is>
      </c>
      <c r="EG4" s="248" t="n"/>
      <c r="EH4" s="260" t="inlineStr">
        <is>
          <t>ОПОРА САМОУСТАНАВЛИВАЮЩАЯ СЯ S287324 SL900</t>
        </is>
      </c>
      <c r="EI4" s="248" t="n"/>
      <c r="EJ4" s="260" t="inlineStr">
        <is>
          <t>Вал приводной BSW260-D280 ВЕ668730 КР15</t>
        </is>
      </c>
      <c r="EK4" s="248" t="n"/>
      <c r="EL4" s="260" t="inlineStr">
        <is>
          <t>РЕМКОМПЛЕКТ S289671Y КОМБАЙН SL-500</t>
        </is>
      </c>
      <c r="EM4" s="248" t="n"/>
      <c r="EN4" s="260" t="inlineStr">
        <is>
          <t>Лыжа забойная S253003 SL-300</t>
        </is>
      </c>
      <c r="EO4" s="248" t="n"/>
      <c r="EP4" s="260" t="inlineStr">
        <is>
          <t>Распорка SNO77258 MB432</t>
        </is>
      </c>
      <c r="EQ4" s="248" t="n"/>
      <c r="ER4" s="260" t="inlineStr">
        <is>
          <t>Цепесъемник САТ5410007 конвейер PF6/1142</t>
        </is>
      </c>
      <c r="ES4" s="248" t="n"/>
      <c r="ET4" s="260" t="inlineStr"/>
      <c r="EU4" s="248" t="n"/>
      <c r="EV4" s="260" t="inlineStr">
        <is>
          <t>Болт специальный ДУ910.38.003</t>
        </is>
      </c>
      <c r="EW4" s="248" t="n"/>
      <c r="EX4" s="260" t="inlineStr">
        <is>
          <t>Гайка специальная ДУ910М.08.002</t>
        </is>
      </c>
      <c r="EY4" s="248" t="n"/>
      <c r="EZ4" s="260" t="inlineStr">
        <is>
          <t>Боек ДУ910.38.011А в сборе</t>
        </is>
      </c>
      <c r="FA4" s="248" t="n"/>
      <c r="FB4" s="260" t="inlineStr">
        <is>
          <t>Боек ДУ910.38.011А в сборе</t>
        </is>
      </c>
      <c r="FC4" s="248" t="n"/>
      <c r="FD4" s="260" t="inlineStr">
        <is>
          <t>Боек ДУ910.38.011А в сборе</t>
        </is>
      </c>
      <c r="FE4" s="248" t="n"/>
      <c r="FF4" s="260" t="inlineStr">
        <is>
          <t>Втулка BUSHING, FLANGED, OD 590.43 MM, ID 565.42 РАЗРЕЗНАЯ С БУРТОМ СТАЛЬ 100400330 ОЧИСТНОЙ КОМБАЙН 4LS20 (СИБ/503/00091509)</t>
        </is>
      </c>
      <c r="FG4" s="248" t="n"/>
      <c r="FH4" s="260" t="inlineStr">
        <is>
          <t>Втулка BUSHING, STRAIGHT, OD 114.00000 MM, НАПРАВЛЯЮШАЯ СТАЛЬ 10051104 ОЧИСТНОЙ КОМБАЙН 4LS20 (СИБ/503/00091512)</t>
        </is>
      </c>
      <c r="FI4" s="248" t="n"/>
      <c r="FJ4" s="260" t="inlineStr">
        <is>
          <t>ЗВЕЗДОЧКА GEAR, SPUR, 3-1/2DP ПРИВОДНАЯ 01069718-0061 ОЧИСТНОЙ КОМБАЙН 4LS20 (СИБ/503/00091511)</t>
        </is>
      </c>
      <c r="FK4" s="248" t="n"/>
      <c r="FL4" s="260" t="inlineStr">
        <is>
          <t>Вал S252748 для комбайна SL-300 срезной</t>
        </is>
      </c>
      <c r="FM4" s="248" t="n"/>
      <c r="FN4" s="260" t="inlineStr">
        <is>
          <t>Палец цилиндрический 01069432-1058  комбайн 4LS-20 (СИБ/503/00018132)</t>
        </is>
      </c>
      <c r="FO4" s="248" t="n"/>
      <c r="FP4" s="260" t="inlineStr">
        <is>
          <t>Ремонт лыжи для балки передвижки</t>
        </is>
      </c>
      <c r="FQ4" s="248" t="n"/>
      <c r="FR4" s="260" t="inlineStr">
        <is>
          <t>ремонт вентилятора УВЦГ-9</t>
        </is>
      </c>
      <c r="FS4" s="248" t="n"/>
      <c r="FT4" s="260" t="inlineStr"/>
      <c r="FU4" s="248" t="n"/>
      <c r="FV4" s="260" t="inlineStr">
        <is>
          <t>Колесо зубчатое Z10 m46, 791 (G-1914.01), ZZM</t>
        </is>
      </c>
      <c r="FW4" s="248" t="n"/>
      <c r="FX4" s="260" t="inlineStr"/>
      <c r="FY4" s="248" t="n"/>
      <c r="FZ4" s="260" t="inlineStr">
        <is>
          <t>Барабан цепной 2*34*126*Z5*24.659.000.000</t>
        </is>
      </c>
      <c r="GA4" s="248" t="n"/>
      <c r="GB4" s="260" t="inlineStr">
        <is>
          <t>Нож 22434/2 W02 к дробилке SCORPION 3000P</t>
        </is>
      </c>
      <c r="GC4" s="248" t="n"/>
      <c r="GD4" s="260" t="inlineStr">
        <is>
          <t>Барабан цепной 2х34х126 Z-5 хвостовой рамы скребкового перегружателя GROT 950</t>
        </is>
      </c>
      <c r="GE4" s="248" t="n"/>
      <c r="GF4" s="260" t="inlineStr">
        <is>
          <t>Барабан цепной 2х34х126 Z-7 25/2хW220 разгрузочного привода скребкового перегружателя GROT 950</t>
        </is>
      </c>
      <c r="GG4" s="248" t="n"/>
      <c r="GH4" s="260" t="inlineStr">
        <is>
          <t>Звезда хода 100168053</t>
        </is>
      </c>
      <c r="GI4" s="248" t="n"/>
      <c r="GJ4" s="260" t="inlineStr">
        <is>
          <t>Шайба 1543130-01</t>
        </is>
      </c>
      <c r="GK4" s="248" t="n"/>
      <c r="GL4" s="260" t="inlineStr">
        <is>
          <t>Ремонт вибровозбудителя HAVER NIAGARA YD55 поз.62</t>
        </is>
      </c>
      <c r="GM4" s="248" t="n"/>
      <c r="GN4" s="260" t="inlineStr">
        <is>
          <t>Ремонт вибровозбудителя HAVER NIAGARA YD55 поз.701</t>
        </is>
      </c>
      <c r="GO4" s="248" t="n"/>
      <c r="GP4" s="260" t="inlineStr">
        <is>
          <t>Ремонт вибровозбудителя ГИСЛ 62 поз.81</t>
        </is>
      </c>
      <c r="GQ4" s="248" t="n"/>
      <c r="GR4" s="260" t="inlineStr">
        <is>
          <t>Ремонт вибровозбудителя ГИСЛ 62 поз.81/1</t>
        </is>
      </c>
      <c r="GS4" s="248" t="n"/>
      <c r="GT4" s="260" t="inlineStr">
        <is>
          <t>Уголок упорный для MPHS35 для PF4/1132, кмт</t>
        </is>
      </c>
      <c r="GU4" s="248" t="n"/>
      <c r="GV4" s="260" t="inlineStr"/>
      <c r="GW4" s="248" t="n"/>
      <c r="GX4" s="260" t="inlineStr">
        <is>
          <t>Валок Ø11,25 GH30-11</t>
        </is>
      </c>
      <c r="GY4" s="248" t="n"/>
      <c r="GZ4" s="260" t="inlineStr">
        <is>
          <t>Валок Ø9,125 WXGH-9</t>
        </is>
      </c>
      <c r="HA4" s="248" t="n"/>
      <c r="HB4" s="260" t="inlineStr">
        <is>
          <t>Валок Ø24,5 GH30-24</t>
        </is>
      </c>
      <c r="HC4" s="248" t="n"/>
      <c r="HD4" s="260" t="inlineStr">
        <is>
          <t>Валок Ø13,25 GH30-13</t>
        </is>
      </c>
      <c r="HE4" s="248" t="n"/>
      <c r="HF4" s="260" t="inlineStr">
        <is>
          <t>Валок ведущий Ø11,125 GН31190</t>
        </is>
      </c>
      <c r="HG4" s="248" t="n"/>
      <c r="HH4" s="260" t="inlineStr">
        <is>
          <t>Валок Ø7,125 WXGHLB7-L</t>
        </is>
      </c>
      <c r="HI4" s="248" t="n"/>
      <c r="HJ4" s="260" t="inlineStr"/>
      <c r="HK4" s="248" t="n"/>
      <c r="HL4" s="260" t="inlineStr">
        <is>
          <t>Вал ведущий D11,25 GH31190</t>
        </is>
      </c>
      <c r="HM4" s="248" t="n"/>
      <c r="HN4" s="260" t="inlineStr"/>
      <c r="HO4" s="248" t="n"/>
      <c r="HP4" s="260" t="inlineStr"/>
      <c r="HQ4" s="248" t="n"/>
      <c r="HR4" s="260" t="inlineStr"/>
      <c r="HS4" s="248" t="n"/>
      <c r="HT4" s="260" t="n"/>
      <c r="HU4" s="248" t="n"/>
      <c r="HV4" s="260" t="n"/>
      <c r="HW4" s="248" t="n"/>
      <c r="HX4" s="260" t="n"/>
      <c r="HY4" s="248" t="n"/>
      <c r="HZ4" s="260" t="n"/>
      <c r="IA4" s="248" t="n"/>
      <c r="IB4" s="260" t="n"/>
      <c r="IC4" s="248" t="n"/>
      <c r="ID4" s="260" t="n"/>
      <c r="IE4" s="248" t="n"/>
      <c r="IF4" s="260" t="n"/>
      <c r="IG4" s="248" t="n"/>
      <c r="IH4" s="260" t="n"/>
      <c r="II4" s="248" t="n"/>
      <c r="IJ4" s="260" t="n"/>
      <c r="IK4" s="248" t="n"/>
      <c r="IL4" s="260" t="n"/>
      <c r="IM4" s="248" t="n"/>
      <c r="IN4" s="260" t="n"/>
      <c r="IO4" s="248" t="n"/>
      <c r="IP4" s="260" t="n"/>
      <c r="IQ4" s="248" t="n"/>
      <c r="IR4" s="260" t="n"/>
      <c r="IS4" s="248" t="n"/>
      <c r="IT4" s="260" t="n"/>
      <c r="IU4" s="248" t="n"/>
      <c r="IV4" s="260" t="n"/>
      <c r="IW4" s="248" t="n"/>
      <c r="IX4" s="260" t="n"/>
      <c r="IY4" s="248" t="n"/>
      <c r="IZ4" s="260" t="n"/>
      <c r="JA4" s="248" t="n"/>
      <c r="JB4" s="260" t="n"/>
      <c r="JC4" s="248" t="n"/>
      <c r="JD4" s="260" t="n"/>
      <c r="JE4" s="248" t="n"/>
      <c r="JF4" s="260" t="n"/>
      <c r="JG4" s="248" t="n"/>
      <c r="JH4" s="260" t="n"/>
      <c r="JI4" s="248" t="n"/>
      <c r="JJ4" s="260" t="n"/>
      <c r="JK4" s="248" t="n"/>
      <c r="JL4" s="286" t="n"/>
      <c r="JM4" s="306" t="n"/>
      <c r="JN4" s="327" t="n"/>
      <c r="JO4" s="257" t="n"/>
      <c r="JP4" s="256" t="n"/>
      <c r="JQ4" s="257" t="n"/>
      <c r="JR4" s="256" t="n"/>
      <c r="JS4" s="257" t="n"/>
      <c r="JT4" s="256" t="n"/>
      <c r="JU4" s="257" t="n"/>
      <c r="JV4" s="256" t="n"/>
      <c r="JW4" s="257" t="n"/>
      <c r="JX4" s="256" t="n"/>
      <c r="JY4" s="257" t="n"/>
      <c r="JZ4" s="317" t="inlineStr">
        <is>
          <t>Итого сч. 08</t>
        </is>
      </c>
      <c r="KA4" s="268" t="n"/>
      <c r="KC4" s="306" t="n"/>
      <c r="KF4" s="6" t="n"/>
    </row>
    <row r="5" ht="30.75" customHeight="1">
      <c r="A5" s="284" t="n"/>
      <c r="B5" s="284" t="n"/>
      <c r="C5" s="286" t="n"/>
      <c r="D5" s="280" t="n">
        <v>168</v>
      </c>
      <c r="E5" s="281" t="n"/>
      <c r="F5" s="286" t="n"/>
      <c r="H5" s="247" t="inlineStr">
        <is>
          <t>00 07 1 005</t>
        </is>
      </c>
      <c r="I5" s="248" t="n"/>
      <c r="J5" s="247" t="inlineStr">
        <is>
          <t>00 07 2 176</t>
        </is>
      </c>
      <c r="K5" s="248" t="n"/>
      <c r="L5" s="247" t="inlineStr">
        <is>
          <t>00 07 2 187</t>
        </is>
      </c>
      <c r="M5" s="248" t="n"/>
      <c r="N5" s="247" t="inlineStr">
        <is>
          <t>00 07 4 365</t>
        </is>
      </c>
      <c r="O5" s="248" t="n"/>
      <c r="P5" s="247" t="inlineStr">
        <is>
          <t>00 01 1 025</t>
        </is>
      </c>
      <c r="Q5" s="248" t="n"/>
      <c r="R5" s="247" t="inlineStr">
        <is>
          <t>00 01 4 405</t>
        </is>
      </c>
      <c r="S5" s="248" t="n"/>
      <c r="T5" s="247" t="inlineStr">
        <is>
          <t>00 03 4 355</t>
        </is>
      </c>
      <c r="U5" s="248" t="n"/>
      <c r="V5" s="247" t="inlineStr">
        <is>
          <t>00 03 4 424</t>
        </is>
      </c>
      <c r="W5" s="248" t="n"/>
      <c r="X5" s="247" t="inlineStr">
        <is>
          <t>00 05 1 017</t>
        </is>
      </c>
      <c r="Y5" s="248" t="n"/>
      <c r="Z5" s="247" t="inlineStr">
        <is>
          <t>00 05 2 159</t>
        </is>
      </c>
      <c r="AA5" s="248" t="n"/>
      <c r="AB5" s="247" t="inlineStr">
        <is>
          <t>01 01 1 009</t>
        </is>
      </c>
      <c r="AC5" s="248" t="n"/>
      <c r="AD5" s="247" t="inlineStr">
        <is>
          <t>01 01 1 012</t>
        </is>
      </c>
      <c r="AE5" s="248" t="n"/>
      <c r="AF5" s="247" t="inlineStr">
        <is>
          <t>01 01 1 020</t>
        </is>
      </c>
      <c r="AG5" s="248" t="n"/>
      <c r="AH5" s="247" t="inlineStr">
        <is>
          <t>01 01 1 022</t>
        </is>
      </c>
      <c r="AI5" s="248" t="n"/>
      <c r="AJ5" s="247" t="inlineStr">
        <is>
          <t>01 01 1 028</t>
        </is>
      </c>
      <c r="AK5" s="248" t="n"/>
      <c r="AL5" s="247" t="inlineStr">
        <is>
          <t>01 01 1 031</t>
        </is>
      </c>
      <c r="AM5" s="248" t="n"/>
      <c r="AN5" s="247" t="inlineStr">
        <is>
          <t>01 01 1 059</t>
        </is>
      </c>
      <c r="AO5" s="248" t="n"/>
      <c r="AP5" s="247" t="inlineStr">
        <is>
          <t>01 01 1 062</t>
        </is>
      </c>
      <c r="AQ5" s="248" t="n"/>
      <c r="AR5" s="247" t="inlineStr">
        <is>
          <t>01 01 1 075</t>
        </is>
      </c>
      <c r="AS5" s="248" t="n"/>
      <c r="AT5" s="247" t="inlineStr">
        <is>
          <t>01 01 3 252</t>
        </is>
      </c>
      <c r="AU5" s="248" t="n"/>
      <c r="AV5" s="247" t="inlineStr">
        <is>
          <t>01 01 3 254</t>
        </is>
      </c>
      <c r="AW5" s="248" t="n"/>
      <c r="AX5" s="247" t="inlineStr">
        <is>
          <t>01 01 3 260</t>
        </is>
      </c>
      <c r="AY5" s="248" t="n"/>
      <c r="AZ5" s="247" t="inlineStr">
        <is>
          <t>01 01 3 266</t>
        </is>
      </c>
      <c r="BA5" s="248" t="n"/>
      <c r="BB5" s="247" t="inlineStr">
        <is>
          <t>01 01 3 267</t>
        </is>
      </c>
      <c r="BC5" s="248" t="n"/>
      <c r="BD5" s="247" t="inlineStr">
        <is>
          <t>01 01 3 268</t>
        </is>
      </c>
      <c r="BE5" s="248" t="n"/>
      <c r="BF5" s="247" t="inlineStr">
        <is>
          <t>01 01 3 280</t>
        </is>
      </c>
      <c r="BG5" s="248" t="n"/>
      <c r="BH5" s="247" t="inlineStr">
        <is>
          <t>01 01 3 281</t>
        </is>
      </c>
      <c r="BI5" s="248" t="n"/>
      <c r="BJ5" s="247" t="inlineStr">
        <is>
          <t>01 01 3 292</t>
        </is>
      </c>
      <c r="BK5" s="248" t="n"/>
      <c r="BL5" s="247" t="inlineStr">
        <is>
          <t>01 01 3 293</t>
        </is>
      </c>
      <c r="BM5" s="248" t="n"/>
      <c r="BN5" s="247" t="inlineStr">
        <is>
          <t>01 01 3 295</t>
        </is>
      </c>
      <c r="BO5" s="248" t="n"/>
      <c r="BP5" s="247" t="inlineStr">
        <is>
          <t>01 01 3 324</t>
        </is>
      </c>
      <c r="BQ5" s="248" t="n"/>
      <c r="BR5" s="247" t="inlineStr">
        <is>
          <t>01 01 3 326</t>
        </is>
      </c>
      <c r="BS5" s="248" t="n"/>
      <c r="BT5" s="247" t="inlineStr">
        <is>
          <t>01 01 3 327</t>
        </is>
      </c>
      <c r="BU5" s="248" t="n"/>
      <c r="BV5" s="247" t="inlineStr">
        <is>
          <t>01 01 3 329</t>
        </is>
      </c>
      <c r="BW5" s="248" t="n"/>
      <c r="BX5" s="247" t="inlineStr">
        <is>
          <t>01 01 3 330</t>
        </is>
      </c>
      <c r="BY5" s="248" t="n"/>
      <c r="BZ5" s="247" t="inlineStr">
        <is>
          <t>01 01 3 331</t>
        </is>
      </c>
      <c r="CA5" s="248" t="n"/>
      <c r="CB5" s="247" t="inlineStr">
        <is>
          <t>01 01 3 332</t>
        </is>
      </c>
      <c r="CC5" s="248" t="n"/>
      <c r="CD5" s="247" t="inlineStr">
        <is>
          <t>01 01 3 333</t>
        </is>
      </c>
      <c r="CE5" s="248" t="n"/>
      <c r="CF5" s="247" t="inlineStr">
        <is>
          <t>01 01 3 334</t>
        </is>
      </c>
      <c r="CG5" s="248" t="n"/>
      <c r="CH5" s="247" t="inlineStr">
        <is>
          <t>01 01 3 336</t>
        </is>
      </c>
      <c r="CI5" s="248" t="n"/>
      <c r="CJ5" s="247" t="inlineStr">
        <is>
          <t>01 01 4 360</t>
        </is>
      </c>
      <c r="CK5" s="248" t="n"/>
      <c r="CL5" s="247" t="inlineStr">
        <is>
          <t>01 01 4 361</t>
        </is>
      </c>
      <c r="CM5" s="248" t="n"/>
      <c r="CN5" s="247" t="inlineStr">
        <is>
          <t>01 01 4 368</t>
        </is>
      </c>
      <c r="CO5" s="248" t="n"/>
      <c r="CP5" s="247" t="inlineStr">
        <is>
          <t>01 01 4 369</t>
        </is>
      </c>
      <c r="CQ5" s="248" t="n"/>
      <c r="CR5" s="247" t="inlineStr">
        <is>
          <t>01 01 4 372</t>
        </is>
      </c>
      <c r="CS5" s="248" t="n"/>
      <c r="CT5" s="247" t="inlineStr">
        <is>
          <t>01 01 4 373</t>
        </is>
      </c>
      <c r="CU5" s="248" t="n"/>
      <c r="CV5" s="247" t="inlineStr">
        <is>
          <t>01 01 4 375</t>
        </is>
      </c>
      <c r="CW5" s="248" t="n"/>
      <c r="CX5" s="247" t="inlineStr">
        <is>
          <t>01 01 4 393</t>
        </is>
      </c>
      <c r="CY5" s="248" t="n"/>
      <c r="CZ5" s="247" t="inlineStr">
        <is>
          <t>01 01 4 406</t>
        </is>
      </c>
      <c r="DA5" s="248" t="n"/>
      <c r="DB5" s="247" t="inlineStr">
        <is>
          <t>01 01 4 409</t>
        </is>
      </c>
      <c r="DC5" s="248" t="n"/>
      <c r="DD5" s="247" t="inlineStr">
        <is>
          <t>01 01 4 511</t>
        </is>
      </c>
      <c r="DE5" s="248" t="n"/>
      <c r="DF5" s="247" t="inlineStr">
        <is>
          <t>01 01 4 514</t>
        </is>
      </c>
      <c r="DG5" s="248" t="n"/>
      <c r="DH5" s="247" t="inlineStr">
        <is>
          <t>01 01 4 575</t>
        </is>
      </c>
      <c r="DI5" s="248" t="n"/>
      <c r="DJ5" s="247" t="inlineStr">
        <is>
          <t>01 01 4 576</t>
        </is>
      </c>
      <c r="DK5" s="248" t="n"/>
      <c r="DL5" s="247" t="inlineStr">
        <is>
          <t>01 01 4 577</t>
        </is>
      </c>
      <c r="DM5" s="248" t="n"/>
      <c r="DN5" s="247" t="inlineStr">
        <is>
          <t>01 01 4 578</t>
        </is>
      </c>
      <c r="DO5" s="248" t="n"/>
      <c r="DP5" s="247" t="inlineStr">
        <is>
          <t>01 03 4 376</t>
        </is>
      </c>
      <c r="DQ5" s="248" t="n"/>
      <c r="DR5" s="247" t="inlineStr">
        <is>
          <t>01 04 4 406</t>
        </is>
      </c>
      <c r="DS5" s="248" t="n"/>
      <c r="DT5" s="247" t="inlineStr">
        <is>
          <t>04 01 2 220</t>
        </is>
      </c>
      <c r="DU5" s="248" t="n"/>
      <c r="DV5" s="247" t="inlineStr">
        <is>
          <t>04 03 3 313</t>
        </is>
      </c>
      <c r="DW5" s="248" t="n"/>
      <c r="DX5" s="247" t="inlineStr">
        <is>
          <t>07 01 2 126</t>
        </is>
      </c>
      <c r="DY5" s="248" t="n"/>
      <c r="DZ5" s="247" t="inlineStr">
        <is>
          <t>07 01 3 284</t>
        </is>
      </c>
      <c r="EA5" s="248" t="n"/>
      <c r="EB5" s="247" t="inlineStr">
        <is>
          <t>10 01 1 007</t>
        </is>
      </c>
      <c r="EC5" s="248" t="n"/>
      <c r="ED5" s="247" t="inlineStr">
        <is>
          <t>10 01 1 039</t>
        </is>
      </c>
      <c r="EE5" s="248" t="n"/>
      <c r="EF5" s="247" t="inlineStr">
        <is>
          <t>10 01 1 042</t>
        </is>
      </c>
      <c r="EG5" s="248" t="n"/>
      <c r="EH5" s="247" t="inlineStr">
        <is>
          <t>10 01 1 049</t>
        </is>
      </c>
      <c r="EI5" s="248" t="n"/>
      <c r="EJ5" s="247" t="inlineStr">
        <is>
          <t>10 01 2 209</t>
        </is>
      </c>
      <c r="EK5" s="248" t="n"/>
      <c r="EL5" s="247" t="inlineStr">
        <is>
          <t>10 01 3 306</t>
        </is>
      </c>
      <c r="EM5" s="248" t="n"/>
      <c r="EN5" s="247" t="inlineStr">
        <is>
          <t>10 01 4 388</t>
        </is>
      </c>
      <c r="EO5" s="248" t="n"/>
      <c r="EP5" s="247" t="inlineStr">
        <is>
          <t>10 01 4 403</t>
        </is>
      </c>
      <c r="EQ5" s="248" t="n"/>
      <c r="ER5" s="247" t="inlineStr">
        <is>
          <t>10 01 4 410</t>
        </is>
      </c>
      <c r="ES5" s="248" t="n"/>
      <c r="ET5" s="247" t="inlineStr">
        <is>
          <t>10 14 3 93</t>
        </is>
      </c>
      <c r="EU5" s="248" t="n"/>
      <c r="EV5" s="247" t="inlineStr">
        <is>
          <t>11 01 4 419</t>
        </is>
      </c>
      <c r="EW5" s="248" t="n"/>
      <c r="EX5" s="247" t="inlineStr">
        <is>
          <t>11 01 4 420</t>
        </is>
      </c>
      <c r="EY5" s="248" t="n"/>
      <c r="EZ5" s="247" t="inlineStr">
        <is>
          <t>12 01 2 208</t>
        </is>
      </c>
      <c r="FA5" s="248" t="n"/>
      <c r="FB5" s="247" t="inlineStr">
        <is>
          <t>12 01 4 380</t>
        </is>
      </c>
      <c r="FC5" s="248" t="n"/>
      <c r="FD5" s="247" t="inlineStr">
        <is>
          <t>12 01 4 385</t>
        </is>
      </c>
      <c r="FE5" s="248" t="n"/>
      <c r="FF5" s="247" t="inlineStr">
        <is>
          <t>12 01 4 414</t>
        </is>
      </c>
      <c r="FG5" s="248" t="n"/>
      <c r="FH5" s="247" t="inlineStr">
        <is>
          <t>12 01 4 415</t>
        </is>
      </c>
      <c r="FI5" s="248" t="n"/>
      <c r="FJ5" s="247" t="inlineStr">
        <is>
          <t>12 01 4 416</t>
        </is>
      </c>
      <c r="FK5" s="248" t="n"/>
      <c r="FL5" s="247" t="inlineStr">
        <is>
          <t>12 01 4 427</t>
        </is>
      </c>
      <c r="FM5" s="248" t="n"/>
      <c r="FN5" s="247" t="inlineStr">
        <is>
          <t>12 01 4 435</t>
        </is>
      </c>
      <c r="FO5" s="248" t="n"/>
      <c r="FP5" s="247" t="inlineStr">
        <is>
          <t>12 03 1 040</t>
        </is>
      </c>
      <c r="FQ5" s="248" t="n"/>
      <c r="FR5" s="247" t="inlineStr">
        <is>
          <t>12 03 1 054</t>
        </is>
      </c>
      <c r="FS5" s="248" t="n"/>
      <c r="FT5" s="247" t="inlineStr">
        <is>
          <t>23 01 4 349</t>
        </is>
      </c>
      <c r="FU5" s="248" t="n"/>
      <c r="FV5" s="247" t="inlineStr">
        <is>
          <t>23 01 4 350</t>
        </is>
      </c>
      <c r="FW5" s="248" t="n"/>
      <c r="FX5" s="247" t="inlineStr">
        <is>
          <t>23 01 4 550</t>
        </is>
      </c>
      <c r="FY5" s="248" t="n"/>
      <c r="FZ5" s="247" t="inlineStr">
        <is>
          <t>24 01 1 016</t>
        </is>
      </c>
      <c r="GA5" s="248" t="n"/>
      <c r="GB5" s="247" t="inlineStr">
        <is>
          <t>36 01 1 051</t>
        </is>
      </c>
      <c r="GC5" s="248" t="n"/>
      <c r="GD5" s="247" t="inlineStr">
        <is>
          <t>36 01 3 269</t>
        </is>
      </c>
      <c r="GE5" s="248" t="n"/>
      <c r="GF5" s="247" t="inlineStr">
        <is>
          <t>36 01 3 270</t>
        </is>
      </c>
      <c r="GG5" s="248" t="n"/>
      <c r="GH5" s="247" t="inlineStr">
        <is>
          <t>36 01 4 448</t>
        </is>
      </c>
      <c r="GI5" s="248" t="n"/>
      <c r="GJ5" s="247" t="inlineStr">
        <is>
          <t>44 01 1 046</t>
        </is>
      </c>
      <c r="GK5" s="248" t="n"/>
      <c r="GL5" s="247" t="inlineStr">
        <is>
          <t>47 03 2 175</t>
        </is>
      </c>
      <c r="GM5" s="248" t="n"/>
      <c r="GN5" s="247" t="inlineStr">
        <is>
          <t>47 03 3 311</t>
        </is>
      </c>
      <c r="GO5" s="248" t="n"/>
      <c r="GP5" s="247" t="inlineStr">
        <is>
          <t>47 03 4 398</t>
        </is>
      </c>
      <c r="GQ5" s="248" t="n"/>
      <c r="GR5" s="247" t="inlineStr">
        <is>
          <t>47 03 4 399</t>
        </is>
      </c>
      <c r="GS5" s="248" t="n"/>
      <c r="GT5" s="247" t="inlineStr">
        <is>
          <t>49 01 4 426</t>
        </is>
      </c>
      <c r="GU5" s="248" t="n"/>
      <c r="GV5" s="247" t="inlineStr">
        <is>
          <t>50 01 1 036</t>
        </is>
      </c>
      <c r="GW5" s="248" t="n"/>
      <c r="GX5" s="247" t="inlineStr">
        <is>
          <t>51 01 1 033</t>
        </is>
      </c>
      <c r="GY5" s="248" t="n"/>
      <c r="GZ5" s="247" t="inlineStr">
        <is>
          <t>51 01 1 034</t>
        </is>
      </c>
      <c r="HA5" s="248" t="n"/>
      <c r="HB5" s="247" t="inlineStr">
        <is>
          <t>51 01 1 035</t>
        </is>
      </c>
      <c r="HC5" s="248" t="n"/>
      <c r="HD5" s="247" t="inlineStr">
        <is>
          <t>51 01 1 036</t>
        </is>
      </c>
      <c r="HE5" s="248" t="n"/>
      <c r="HF5" s="247" t="inlineStr">
        <is>
          <t>51 01 1 037</t>
        </is>
      </c>
      <c r="HG5" s="248" t="n"/>
      <c r="HH5" s="247" t="inlineStr">
        <is>
          <t>51 01 1 038</t>
        </is>
      </c>
      <c r="HI5" s="248" t="n"/>
      <c r="HJ5" s="247" t="inlineStr">
        <is>
          <t>51 01 2 071</t>
        </is>
      </c>
      <c r="HK5" s="248" t="n"/>
      <c r="HL5" s="247" t="inlineStr">
        <is>
          <t>51 01 4 391</t>
        </is>
      </c>
      <c r="HM5" s="248" t="n"/>
      <c r="HN5" s="247" t="inlineStr">
        <is>
          <t>52 03 2 074</t>
        </is>
      </c>
      <c r="HO5" s="248" t="n"/>
      <c r="HP5" s="247" t="inlineStr">
        <is>
          <t>52 03 2 075</t>
        </is>
      </c>
      <c r="HQ5" s="248" t="n"/>
      <c r="HR5" s="247" t="inlineStr">
        <is>
          <t>52 03 2 076</t>
        </is>
      </c>
      <c r="HS5" s="248" t="n"/>
      <c r="HT5" s="247" t="n"/>
      <c r="HU5" s="248" t="n"/>
      <c r="HV5" s="247" t="n"/>
      <c r="HW5" s="248" t="n"/>
      <c r="HX5" s="247" t="n"/>
      <c r="HY5" s="248" t="n"/>
      <c r="HZ5" s="247" t="n"/>
      <c r="IA5" s="248" t="n"/>
      <c r="IB5" s="247" t="n"/>
      <c r="IC5" s="248" t="n"/>
      <c r="ID5" s="247" t="n"/>
      <c r="IE5" s="248" t="n"/>
      <c r="IF5" s="247" t="n"/>
      <c r="IG5" s="248" t="n"/>
      <c r="IH5" s="247" t="n"/>
      <c r="II5" s="248" t="n"/>
      <c r="IJ5" s="247" t="n"/>
      <c r="IK5" s="248" t="n"/>
      <c r="IL5" s="247" t="n"/>
      <c r="IM5" s="248" t="n"/>
      <c r="IN5" s="247" t="n"/>
      <c r="IO5" s="248" t="n"/>
      <c r="IP5" s="247" t="n"/>
      <c r="IQ5" s="248" t="n"/>
      <c r="IR5" s="247" t="n"/>
      <c r="IS5" s="248" t="n"/>
      <c r="IT5" s="247" t="n"/>
      <c r="IU5" s="248" t="n"/>
      <c r="IV5" s="247" t="n"/>
      <c r="IW5" s="248" t="n"/>
      <c r="IX5" s="247" t="n"/>
      <c r="IY5" s="248" t="n"/>
      <c r="IZ5" s="247" t="n"/>
      <c r="JA5" s="248" t="n"/>
      <c r="JB5" s="247" t="n"/>
      <c r="JC5" s="248" t="n"/>
      <c r="JD5" s="247" t="n"/>
      <c r="JE5" s="248" t="n"/>
      <c r="JF5" s="247" t="n"/>
      <c r="JG5" s="248" t="n"/>
      <c r="JH5" s="247" t="n"/>
      <c r="JI5" s="248" t="n"/>
      <c r="JJ5" s="247" t="n"/>
      <c r="JK5" s="248" t="n"/>
      <c r="JL5" s="173" t="n"/>
      <c r="JM5" s="109" t="n"/>
      <c r="JN5" s="328" t="n"/>
      <c r="JO5" s="259" t="n"/>
      <c r="JP5" s="258" t="n"/>
      <c r="JQ5" s="259" t="n"/>
      <c r="JR5" s="258" t="n"/>
      <c r="JS5" s="259" t="n"/>
      <c r="JT5" s="258" t="n"/>
      <c r="JU5" s="259" t="n"/>
      <c r="JV5" s="258" t="n"/>
      <c r="JW5" s="259" t="n"/>
      <c r="JX5" s="258" t="n"/>
      <c r="JY5" s="259" t="n"/>
      <c r="JZ5" s="318" t="n"/>
      <c r="KA5" s="306" t="n"/>
      <c r="KC5" s="306" t="n"/>
      <c r="KF5" s="7" t="n"/>
    </row>
    <row r="6" ht="17.25" customHeight="1" thickBot="1">
      <c r="A6" s="284" t="n"/>
      <c r="B6" s="284" t="n"/>
      <c r="C6" s="286" t="n"/>
      <c r="D6" s="324" t="inlineStr">
        <is>
          <t>План</t>
        </is>
      </c>
      <c r="E6" s="341" t="inlineStr">
        <is>
          <t>Факт</t>
        </is>
      </c>
      <c r="F6" s="326" t="inlineStr">
        <is>
          <t>Месяц</t>
        </is>
      </c>
      <c r="G6" s="321" t="inlineStr">
        <is>
          <t>Часовая ставка</t>
        </is>
      </c>
      <c r="H6" s="329" t="inlineStr">
        <is>
          <t>23 счет</t>
        </is>
      </c>
      <c r="I6" s="328" t="n"/>
      <c r="J6" s="328" t="n"/>
      <c r="K6" s="328" t="n"/>
      <c r="L6" s="328" t="n"/>
      <c r="M6" s="328" t="n"/>
      <c r="N6" s="328" t="n"/>
      <c r="O6" s="328" t="n"/>
      <c r="P6" s="328" t="n"/>
      <c r="Q6" s="328" t="n"/>
      <c r="R6" s="328" t="n"/>
      <c r="S6" s="328" t="n"/>
      <c r="T6" s="328" t="n"/>
      <c r="U6" s="328" t="n"/>
      <c r="V6" s="328" t="n"/>
      <c r="W6" s="328" t="n"/>
      <c r="X6" s="328" t="n"/>
      <c r="Y6" s="328" t="n"/>
      <c r="Z6" s="328" t="n"/>
      <c r="AA6" s="259" t="n"/>
      <c r="AB6" s="134" t="n"/>
      <c r="AC6" s="331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34" t="n"/>
      <c r="CC6" s="134" t="n"/>
      <c r="CD6" s="134" t="n"/>
      <c r="CE6" s="134" t="n"/>
      <c r="CF6" s="134" t="n"/>
      <c r="CG6" s="134" t="n"/>
      <c r="CH6" s="134" t="n"/>
      <c r="CI6" s="134" t="n"/>
      <c r="CJ6" s="134" t="n"/>
      <c r="CK6" s="134" t="n"/>
      <c r="CL6" s="134" t="n"/>
      <c r="CM6" s="134" t="n"/>
      <c r="CN6" s="134" t="n"/>
      <c r="CO6" s="134" t="n"/>
      <c r="CP6" s="134" t="n"/>
      <c r="CQ6" s="134" t="n"/>
      <c r="CR6" s="134" t="n"/>
      <c r="CS6" s="134" t="n"/>
      <c r="CT6" s="134" t="n"/>
      <c r="CU6" s="134" t="n"/>
      <c r="CV6" s="134" t="n"/>
      <c r="CW6" s="134" t="n"/>
      <c r="CX6" s="134" t="n"/>
      <c r="CY6" s="134" t="n"/>
      <c r="CZ6" s="134" t="n"/>
      <c r="DA6" s="134" t="n"/>
      <c r="DB6" s="134" t="n"/>
      <c r="DC6" s="134" t="n"/>
      <c r="DD6" s="134" t="n"/>
      <c r="DE6" s="134" t="n"/>
      <c r="DF6" s="134" t="n"/>
      <c r="DG6" s="134" t="n"/>
      <c r="DH6" s="134" t="n"/>
      <c r="DI6" s="134" t="n"/>
      <c r="DJ6" s="134" t="n"/>
      <c r="DK6" s="134" t="n"/>
      <c r="DL6" s="134" t="n"/>
      <c r="DM6" s="134" t="n"/>
      <c r="DN6" s="134" t="n"/>
      <c r="DO6" s="134" t="n"/>
      <c r="DP6" s="134" t="n"/>
      <c r="DQ6" s="134" t="n"/>
      <c r="DR6" s="134" t="n"/>
      <c r="DS6" s="134" t="n"/>
      <c r="DT6" s="134" t="n"/>
      <c r="DU6" s="134" t="n"/>
      <c r="DV6" s="134" t="n"/>
      <c r="DW6" s="134" t="n"/>
      <c r="DX6" s="134" t="n"/>
      <c r="DY6" s="134" t="n"/>
      <c r="DZ6" s="134" t="n"/>
      <c r="EA6" s="134" t="n"/>
      <c r="EB6" s="134" t="n"/>
      <c r="EC6" s="134" t="n"/>
      <c r="ED6" s="134" t="n"/>
      <c r="EE6" s="134" t="n"/>
      <c r="EF6" s="134" t="n"/>
      <c r="EG6" s="134" t="n"/>
      <c r="EH6" s="134" t="n"/>
      <c r="EI6" s="134" t="n"/>
      <c r="EJ6" s="134" t="n"/>
      <c r="EK6" s="134" t="n"/>
      <c r="EL6" s="134" t="n"/>
      <c r="EM6" s="134" t="n"/>
      <c r="EN6" s="134" t="n"/>
      <c r="EO6" s="134" t="n"/>
      <c r="EP6" s="134" t="n"/>
      <c r="EQ6" s="134" t="n"/>
      <c r="ER6" s="134" t="n"/>
      <c r="ES6" s="134" t="n"/>
      <c r="ET6" s="134" t="n"/>
      <c r="EU6" s="134" t="n"/>
      <c r="EV6" s="134" t="n"/>
      <c r="EW6" s="174" t="n"/>
      <c r="EX6" s="174" t="n"/>
      <c r="EY6" s="174" t="n"/>
      <c r="EZ6" s="174" t="n"/>
      <c r="FA6" s="174" t="n"/>
      <c r="FB6" s="174" t="n"/>
      <c r="FC6" s="174" t="n"/>
      <c r="FD6" s="134" t="n"/>
      <c r="FE6" s="134" t="n"/>
      <c r="FF6" s="134" t="n"/>
      <c r="FG6" s="134" t="n"/>
      <c r="FH6" s="134" t="n"/>
      <c r="FI6" s="134" t="n"/>
      <c r="FJ6" s="134" t="n"/>
      <c r="FK6" s="134" t="n"/>
      <c r="FL6" s="134" t="n"/>
      <c r="FM6" s="134" t="n"/>
      <c r="FN6" s="134" t="n"/>
      <c r="FO6" s="134" t="n"/>
      <c r="FP6" s="134" t="n"/>
      <c r="FQ6" s="134" t="n"/>
      <c r="FR6" s="134" t="n"/>
      <c r="FS6" s="134" t="n"/>
      <c r="FT6" s="134" t="n"/>
      <c r="FU6" s="134" t="n"/>
      <c r="FV6" s="134" t="n"/>
      <c r="FW6" s="134" t="n"/>
      <c r="FX6" s="134" t="n"/>
      <c r="FY6" s="134" t="n"/>
      <c r="FZ6" s="134" t="n"/>
      <c r="GA6" s="134" t="n"/>
      <c r="GB6" s="134" t="n"/>
      <c r="GC6" s="134" t="n"/>
      <c r="GD6" s="134" t="n"/>
      <c r="GE6" s="134" t="n"/>
      <c r="GF6" s="134" t="n"/>
      <c r="GG6" s="134" t="n"/>
      <c r="GH6" s="134" t="n"/>
      <c r="GI6" s="134" t="n"/>
      <c r="GJ6" s="134" t="n"/>
      <c r="GK6" s="134" t="n"/>
      <c r="GL6" s="134" t="n"/>
      <c r="GM6" s="134" t="n"/>
      <c r="GN6" s="134" t="n"/>
      <c r="GO6" s="134" t="n"/>
      <c r="GP6" s="134" t="n"/>
      <c r="GQ6" s="134" t="n"/>
      <c r="GR6" s="134" t="n"/>
      <c r="GS6" s="134" t="n"/>
      <c r="GT6" s="134" t="n"/>
      <c r="GU6" s="134" t="n"/>
      <c r="GV6" s="134" t="n"/>
      <c r="GW6" s="134" t="n"/>
      <c r="GX6" s="134" t="n"/>
      <c r="GY6" s="134" t="n"/>
      <c r="GZ6" s="134" t="n"/>
      <c r="HA6" s="134" t="n"/>
      <c r="HB6" s="134" t="n"/>
      <c r="HC6" s="134" t="n"/>
      <c r="HD6" s="134" t="n"/>
      <c r="HE6" s="134" t="n"/>
      <c r="HF6" s="134" t="n"/>
      <c r="HG6" s="134" t="n"/>
      <c r="HH6" s="134" t="n"/>
      <c r="HI6" s="134" t="n"/>
      <c r="HJ6" s="134" t="n"/>
      <c r="HK6" s="134" t="n"/>
      <c r="HL6" s="134" t="n"/>
      <c r="HM6" s="134" t="n"/>
      <c r="HN6" s="134" t="n"/>
      <c r="HO6" s="134" t="n"/>
      <c r="HP6" s="134" t="n"/>
      <c r="HQ6" s="134" t="n"/>
      <c r="HR6" s="134" t="n"/>
      <c r="HS6" s="134" t="n"/>
      <c r="HT6" s="134" t="n"/>
      <c r="HU6" s="134" t="n"/>
      <c r="HV6" s="134" t="n"/>
      <c r="HW6" s="134" t="n"/>
      <c r="HX6" s="134" t="n"/>
      <c r="HY6" s="134" t="n"/>
      <c r="HZ6" s="134" t="n"/>
      <c r="IA6" s="134" t="n"/>
      <c r="IB6" s="134" t="n"/>
      <c r="IC6" s="134" t="n"/>
      <c r="ID6" s="134" t="n"/>
      <c r="IE6" s="134" t="n"/>
      <c r="IF6" s="134" t="n"/>
      <c r="IG6" s="134" t="n"/>
      <c r="IH6" s="134" t="n"/>
      <c r="II6" s="134" t="n"/>
      <c r="IJ6" s="134" t="n"/>
      <c r="IK6" s="134" t="n"/>
      <c r="IL6" s="134" t="n"/>
      <c r="IM6" s="134" t="n"/>
      <c r="IN6" s="134" t="n"/>
      <c r="IO6" s="134" t="n"/>
      <c r="IP6" s="134" t="n"/>
      <c r="IQ6" s="134" t="n"/>
      <c r="IR6" s="134" t="n"/>
      <c r="IS6" s="134" t="n"/>
      <c r="IT6" s="134" t="n"/>
      <c r="IU6" s="134" t="n"/>
      <c r="IV6" s="134" t="n"/>
      <c r="IW6" s="134" t="n"/>
      <c r="IX6" s="134" t="n"/>
      <c r="IY6" s="134" t="n"/>
      <c r="IZ6" s="134" t="n"/>
      <c r="JA6" s="134" t="n"/>
      <c r="JB6" s="134" t="n"/>
      <c r="JC6" s="134" t="n"/>
      <c r="JD6" s="134" t="n"/>
      <c r="JE6" s="134" t="n"/>
      <c r="JF6" s="309" t="inlineStr">
        <is>
          <t>28 сч</t>
        </is>
      </c>
      <c r="JG6" s="263" t="n"/>
      <c r="JH6" s="309" t="inlineStr">
        <is>
          <t>28 сч</t>
        </is>
      </c>
      <c r="JI6" s="263" t="n"/>
      <c r="JJ6" s="312" t="n"/>
      <c r="JK6" s="306" t="n"/>
      <c r="JL6" s="267" t="inlineStr">
        <is>
          <t>25 счет</t>
        </is>
      </c>
      <c r="JM6" s="268" t="n"/>
      <c r="JN6" s="333" t="inlineStr">
        <is>
          <t>08 cч</t>
        </is>
      </c>
      <c r="JO6" s="334" t="n"/>
      <c r="JP6" s="334" t="n"/>
      <c r="JQ6" s="334" t="n"/>
      <c r="JR6" s="334" t="n"/>
      <c r="JS6" s="334" t="n"/>
      <c r="JT6" s="334" t="n"/>
      <c r="JU6" s="334" t="n"/>
      <c r="JV6" s="334" t="n"/>
      <c r="JW6" s="334" t="n"/>
      <c r="JX6" s="334" t="n"/>
      <c r="JY6" s="257" t="n"/>
      <c r="JZ6" s="319" t="n"/>
      <c r="KA6" s="263" t="n"/>
      <c r="KC6" s="306" t="n"/>
      <c r="KE6" s="2" t="n"/>
    </row>
    <row r="7" ht="18.75" customHeight="1" thickBot="1">
      <c r="A7" s="284" t="n"/>
      <c r="B7" s="284" t="n"/>
      <c r="C7" s="286" t="n"/>
      <c r="D7" s="325" t="n"/>
      <c r="E7" s="322" t="n"/>
      <c r="F7" s="325" t="n"/>
      <c r="G7" s="322" t="n"/>
      <c r="H7" s="149" t="inlineStr">
        <is>
          <t>часы</t>
        </is>
      </c>
      <c r="I7" s="150" t="inlineStr">
        <is>
          <t>доля</t>
        </is>
      </c>
      <c r="J7" s="149" t="inlineStr">
        <is>
          <t>часы</t>
        </is>
      </c>
      <c r="K7" s="150" t="inlineStr">
        <is>
          <t>доля</t>
        </is>
      </c>
      <c r="L7" s="149" t="inlineStr">
        <is>
          <t>часы</t>
        </is>
      </c>
      <c r="M7" s="151" t="inlineStr">
        <is>
          <t>доля</t>
        </is>
      </c>
      <c r="N7" s="152" t="inlineStr">
        <is>
          <t>часы</t>
        </is>
      </c>
      <c r="O7" s="151" t="inlineStr">
        <is>
          <t>доля</t>
        </is>
      </c>
      <c r="P7" s="153" t="inlineStr">
        <is>
          <t>часы</t>
        </is>
      </c>
      <c r="Q7" s="154" t="inlineStr">
        <is>
          <t>доля</t>
        </is>
      </c>
      <c r="R7" s="155" t="inlineStr">
        <is>
          <t>часы</t>
        </is>
      </c>
      <c r="S7" s="156" t="inlineStr">
        <is>
          <t>доля</t>
        </is>
      </c>
      <c r="T7" s="156" t="inlineStr">
        <is>
          <t>часы</t>
        </is>
      </c>
      <c r="U7" s="156" t="inlineStr">
        <is>
          <t>доля</t>
        </is>
      </c>
      <c r="V7" s="156" t="inlineStr">
        <is>
          <t>часы</t>
        </is>
      </c>
      <c r="W7" s="156" t="inlineStr">
        <is>
          <t>доля</t>
        </is>
      </c>
      <c r="X7" s="156" t="inlineStr">
        <is>
          <t>часы</t>
        </is>
      </c>
      <c r="Y7" s="156" t="inlineStr">
        <is>
          <t>доля</t>
        </is>
      </c>
      <c r="Z7" s="156" t="inlineStr">
        <is>
          <t>часы</t>
        </is>
      </c>
      <c r="AA7" s="157" t="inlineStr">
        <is>
          <t>доля</t>
        </is>
      </c>
      <c r="AB7" s="158" t="inlineStr">
        <is>
          <t>часы</t>
        </is>
      </c>
      <c r="AC7" s="154" t="inlineStr">
        <is>
          <t>доля</t>
        </is>
      </c>
      <c r="AD7" s="159" t="inlineStr">
        <is>
          <t>часы</t>
        </is>
      </c>
      <c r="AE7" s="160" t="inlineStr">
        <is>
          <t>доля</t>
        </is>
      </c>
      <c r="AF7" s="161" t="inlineStr">
        <is>
          <t>часы</t>
        </is>
      </c>
      <c r="AG7" s="162" t="inlineStr">
        <is>
          <t>доля</t>
        </is>
      </c>
      <c r="AH7" s="161" t="inlineStr">
        <is>
          <t>часы</t>
        </is>
      </c>
      <c r="AI7" s="162" t="inlineStr">
        <is>
          <t>доля</t>
        </is>
      </c>
      <c r="AJ7" s="161" t="inlineStr">
        <is>
          <t>часы</t>
        </is>
      </c>
      <c r="AK7" s="162" t="inlineStr">
        <is>
          <t>доля</t>
        </is>
      </c>
      <c r="AL7" s="161" t="inlineStr">
        <is>
          <t>часы</t>
        </is>
      </c>
      <c r="AM7" s="162" t="inlineStr">
        <is>
          <t>доля</t>
        </is>
      </c>
      <c r="AN7" s="161" t="inlineStr">
        <is>
          <t>часы</t>
        </is>
      </c>
      <c r="AO7" s="162" t="inlineStr">
        <is>
          <t>доля</t>
        </is>
      </c>
      <c r="AP7" s="161" t="inlineStr">
        <is>
          <t>часы</t>
        </is>
      </c>
      <c r="AQ7" s="162" t="inlineStr">
        <is>
          <t>доля</t>
        </is>
      </c>
      <c r="AR7" s="161" t="inlineStr">
        <is>
          <t>часы</t>
        </is>
      </c>
      <c r="AS7" s="162" t="inlineStr">
        <is>
          <t>доля</t>
        </is>
      </c>
      <c r="AT7" s="161" t="inlineStr">
        <is>
          <t>часы</t>
        </is>
      </c>
      <c r="AU7" s="162" t="inlineStr">
        <is>
          <t>доля</t>
        </is>
      </c>
      <c r="AV7" s="161" t="inlineStr">
        <is>
          <t>часы</t>
        </is>
      </c>
      <c r="AW7" s="162" t="inlineStr">
        <is>
          <t>доля</t>
        </is>
      </c>
      <c r="AX7" s="161" t="inlineStr">
        <is>
          <t>часы</t>
        </is>
      </c>
      <c r="AY7" s="162" t="inlineStr">
        <is>
          <t>доля</t>
        </is>
      </c>
      <c r="AZ7" s="161" t="inlineStr">
        <is>
          <t>часы</t>
        </is>
      </c>
      <c r="BA7" s="162" t="inlineStr">
        <is>
          <t>доля</t>
        </is>
      </c>
      <c r="BB7" s="161" t="inlineStr">
        <is>
          <t>часы</t>
        </is>
      </c>
      <c r="BC7" s="162" t="inlineStr">
        <is>
          <t>доля</t>
        </is>
      </c>
      <c r="BD7" s="161" t="inlineStr">
        <is>
          <t>часы</t>
        </is>
      </c>
      <c r="BE7" s="162" t="inlineStr">
        <is>
          <t>доля</t>
        </is>
      </c>
      <c r="BF7" s="161" t="inlineStr">
        <is>
          <t>часы</t>
        </is>
      </c>
      <c r="BG7" s="162" t="inlineStr">
        <is>
          <t>доля</t>
        </is>
      </c>
      <c r="BH7" s="161" t="inlineStr">
        <is>
          <t>часы</t>
        </is>
      </c>
      <c r="BI7" s="162" t="inlineStr">
        <is>
          <t>доля</t>
        </is>
      </c>
      <c r="BJ7" s="161" t="inlineStr">
        <is>
          <t>часы</t>
        </is>
      </c>
      <c r="BK7" s="162" t="inlineStr">
        <is>
          <t>доля</t>
        </is>
      </c>
      <c r="BL7" s="161" t="inlineStr">
        <is>
          <t>часы</t>
        </is>
      </c>
      <c r="BM7" s="163" t="inlineStr">
        <is>
          <t>доля</t>
        </is>
      </c>
      <c r="BN7" s="161" t="inlineStr">
        <is>
          <t>часы</t>
        </is>
      </c>
      <c r="BO7" s="163" t="inlineStr">
        <is>
          <t>доля</t>
        </is>
      </c>
      <c r="BP7" s="161" t="inlineStr">
        <is>
          <t>часы</t>
        </is>
      </c>
      <c r="BQ7" s="163" t="inlineStr">
        <is>
          <t>доля</t>
        </is>
      </c>
      <c r="BR7" s="161" t="inlineStr">
        <is>
          <t>часы</t>
        </is>
      </c>
      <c r="BS7" s="163" t="inlineStr">
        <is>
          <t>доля</t>
        </is>
      </c>
      <c r="BT7" s="161" t="inlineStr">
        <is>
          <t>часы</t>
        </is>
      </c>
      <c r="BU7" s="163" t="inlineStr">
        <is>
          <t>доля</t>
        </is>
      </c>
      <c r="BV7" s="161" t="inlineStr">
        <is>
          <t>часы</t>
        </is>
      </c>
      <c r="BW7" s="163" t="inlineStr">
        <is>
          <t>доля</t>
        </is>
      </c>
      <c r="BX7" s="161" t="inlineStr">
        <is>
          <t>часы</t>
        </is>
      </c>
      <c r="BY7" s="163" t="inlineStr">
        <is>
          <t>доля</t>
        </is>
      </c>
      <c r="BZ7" s="161" t="inlineStr">
        <is>
          <t>часы</t>
        </is>
      </c>
      <c r="CA7" s="163" t="inlineStr">
        <is>
          <t>доля</t>
        </is>
      </c>
      <c r="CB7" s="161" t="inlineStr">
        <is>
          <t>часы</t>
        </is>
      </c>
      <c r="CC7" s="162" t="inlineStr">
        <is>
          <t>доля</t>
        </is>
      </c>
      <c r="CD7" s="161" t="inlineStr">
        <is>
          <t>часы</t>
        </is>
      </c>
      <c r="CE7" s="162" t="inlineStr">
        <is>
          <t>доля</t>
        </is>
      </c>
      <c r="CF7" s="161" t="inlineStr">
        <is>
          <t>часы</t>
        </is>
      </c>
      <c r="CG7" s="163" t="inlineStr">
        <is>
          <t>доля</t>
        </is>
      </c>
      <c r="CH7" s="161" t="inlineStr">
        <is>
          <t>часы</t>
        </is>
      </c>
      <c r="CI7" s="163" t="inlineStr">
        <is>
          <t>доля</t>
        </is>
      </c>
      <c r="CJ7" s="161" t="inlineStr">
        <is>
          <t>часы</t>
        </is>
      </c>
      <c r="CK7" s="163" t="inlineStr">
        <is>
          <t>доля</t>
        </is>
      </c>
      <c r="CL7" s="161" t="inlineStr">
        <is>
          <t>часы</t>
        </is>
      </c>
      <c r="CM7" s="163" t="inlineStr">
        <is>
          <t>доля</t>
        </is>
      </c>
      <c r="CN7" s="153" t="inlineStr">
        <is>
          <t>часы</t>
        </is>
      </c>
      <c r="CO7" s="164" t="inlineStr">
        <is>
          <t>доля</t>
        </is>
      </c>
      <c r="CP7" s="165" t="inlineStr">
        <is>
          <t>часы</t>
        </is>
      </c>
      <c r="CQ7" s="166" t="inlineStr">
        <is>
          <t>доля</t>
        </is>
      </c>
      <c r="CR7" s="161" t="inlineStr">
        <is>
          <t>часы</t>
        </is>
      </c>
      <c r="CS7" s="163" t="inlineStr">
        <is>
          <t>доля</t>
        </is>
      </c>
      <c r="CT7" s="161" t="inlineStr">
        <is>
          <t>часы</t>
        </is>
      </c>
      <c r="CU7" s="163" t="inlineStr">
        <is>
          <t>доля</t>
        </is>
      </c>
      <c r="CV7" s="165" t="inlineStr">
        <is>
          <t>часы</t>
        </is>
      </c>
      <c r="CW7" s="166" t="inlineStr">
        <is>
          <t>доля</t>
        </is>
      </c>
      <c r="CX7" s="161" t="inlineStr">
        <is>
          <t>часы</t>
        </is>
      </c>
      <c r="CY7" s="163" t="inlineStr">
        <is>
          <t>доля</t>
        </is>
      </c>
      <c r="CZ7" s="161" t="inlineStr">
        <is>
          <t>часы</t>
        </is>
      </c>
      <c r="DA7" s="163" t="inlineStr">
        <is>
          <t>доля</t>
        </is>
      </c>
      <c r="DB7" s="165" t="inlineStr">
        <is>
          <t>часы</t>
        </is>
      </c>
      <c r="DC7" s="163" t="inlineStr">
        <is>
          <t>доля</t>
        </is>
      </c>
      <c r="DD7" s="161" t="inlineStr">
        <is>
          <t>часы</t>
        </is>
      </c>
      <c r="DE7" s="163" t="inlineStr">
        <is>
          <t>доля</t>
        </is>
      </c>
      <c r="DF7" s="161" t="inlineStr">
        <is>
          <t>часы</t>
        </is>
      </c>
      <c r="DG7" s="162" t="inlineStr">
        <is>
          <t>доля</t>
        </is>
      </c>
      <c r="DH7" s="161" t="inlineStr">
        <is>
          <t>часы</t>
        </is>
      </c>
      <c r="DI7" s="163" t="inlineStr">
        <is>
          <t>доля</t>
        </is>
      </c>
      <c r="DJ7" s="161" t="inlineStr">
        <is>
          <t>часы</t>
        </is>
      </c>
      <c r="DK7" s="163" t="inlineStr">
        <is>
          <t>доля</t>
        </is>
      </c>
      <c r="DL7" s="161" t="inlineStr">
        <is>
          <t>часы</t>
        </is>
      </c>
      <c r="DM7" s="162" t="inlineStr">
        <is>
          <t>доля</t>
        </is>
      </c>
      <c r="DN7" s="161" t="inlineStr">
        <is>
          <t>часы</t>
        </is>
      </c>
      <c r="DO7" s="166" t="inlineStr">
        <is>
          <t>доля</t>
        </is>
      </c>
      <c r="DP7" s="161" t="inlineStr">
        <is>
          <t>часы</t>
        </is>
      </c>
      <c r="DQ7" s="163" t="inlineStr">
        <is>
          <t>доля</t>
        </is>
      </c>
      <c r="DR7" s="161" t="inlineStr">
        <is>
          <t>доля</t>
        </is>
      </c>
      <c r="DS7" s="163" t="inlineStr">
        <is>
          <t>доля</t>
        </is>
      </c>
      <c r="DT7" s="161" t="inlineStr">
        <is>
          <t>часы</t>
        </is>
      </c>
      <c r="DU7" s="162" t="inlineStr">
        <is>
          <t>доля</t>
        </is>
      </c>
      <c r="DV7" s="161" t="inlineStr">
        <is>
          <t>часы</t>
        </is>
      </c>
      <c r="DW7" s="163" t="inlineStr">
        <is>
          <t>доля</t>
        </is>
      </c>
      <c r="DX7" s="153" t="inlineStr">
        <is>
          <t>часы</t>
        </is>
      </c>
      <c r="DY7" s="167" t="inlineStr">
        <is>
          <t>доля</t>
        </is>
      </c>
      <c r="DZ7" s="153" t="inlineStr">
        <is>
          <t>часы</t>
        </is>
      </c>
      <c r="EA7" s="167" t="inlineStr">
        <is>
          <t>доля</t>
        </is>
      </c>
      <c r="EB7" s="153" t="inlineStr">
        <is>
          <t>часы</t>
        </is>
      </c>
      <c r="EC7" s="167" t="inlineStr">
        <is>
          <t>доля</t>
        </is>
      </c>
      <c r="ED7" s="153" t="inlineStr">
        <is>
          <t>часы</t>
        </is>
      </c>
      <c r="EE7" s="167" t="inlineStr">
        <is>
          <t>доля</t>
        </is>
      </c>
      <c r="EF7" s="159" t="inlineStr">
        <is>
          <t>часы</t>
        </is>
      </c>
      <c r="EG7" s="168" t="inlineStr">
        <is>
          <t>доля</t>
        </is>
      </c>
      <c r="EH7" s="153" t="inlineStr">
        <is>
          <t>часы</t>
        </is>
      </c>
      <c r="EI7" s="167" t="inlineStr">
        <is>
          <t>доля</t>
        </is>
      </c>
      <c r="EJ7" s="153" t="inlineStr">
        <is>
          <t>часы</t>
        </is>
      </c>
      <c r="EK7" s="167" t="inlineStr">
        <is>
          <t>доля</t>
        </is>
      </c>
      <c r="EL7" s="153" t="inlineStr">
        <is>
          <t>часы</t>
        </is>
      </c>
      <c r="EM7" s="167" t="inlineStr">
        <is>
          <t>доля</t>
        </is>
      </c>
      <c r="EN7" s="153" t="inlineStr">
        <is>
          <t>часы</t>
        </is>
      </c>
      <c r="EO7" s="167" t="inlineStr">
        <is>
          <t>доля</t>
        </is>
      </c>
      <c r="EP7" s="153" t="inlineStr">
        <is>
          <t>часы</t>
        </is>
      </c>
      <c r="EQ7" s="167" t="inlineStr">
        <is>
          <t>доля</t>
        </is>
      </c>
      <c r="ER7" s="153" t="inlineStr">
        <is>
          <t>часы</t>
        </is>
      </c>
      <c r="ES7" s="167" t="inlineStr">
        <is>
          <t>доля</t>
        </is>
      </c>
      <c r="ET7" s="153" t="inlineStr">
        <is>
          <t>часы</t>
        </is>
      </c>
      <c r="EU7" s="167" t="inlineStr">
        <is>
          <t>доля</t>
        </is>
      </c>
      <c r="EV7" s="153" t="inlineStr">
        <is>
          <t>часы</t>
        </is>
      </c>
      <c r="EW7" s="167" t="inlineStr">
        <is>
          <t>доля</t>
        </is>
      </c>
      <c r="EX7" s="159" t="inlineStr">
        <is>
          <t>часы</t>
        </is>
      </c>
      <c r="EY7" s="169" t="inlineStr">
        <is>
          <t>доля</t>
        </is>
      </c>
      <c r="EZ7" s="153" t="inlineStr">
        <is>
          <t>часы</t>
        </is>
      </c>
      <c r="FA7" s="170" t="inlineStr">
        <is>
          <t>доля</t>
        </is>
      </c>
      <c r="FB7" s="153" t="inlineStr">
        <is>
          <t>часы</t>
        </is>
      </c>
      <c r="FC7" s="170" t="inlineStr">
        <is>
          <t>доля</t>
        </is>
      </c>
      <c r="FD7" s="153" t="inlineStr">
        <is>
          <t>часы</t>
        </is>
      </c>
      <c r="FE7" s="170" t="inlineStr">
        <is>
          <t>доля</t>
        </is>
      </c>
      <c r="FF7" s="153" t="inlineStr">
        <is>
          <t>часы</t>
        </is>
      </c>
      <c r="FG7" s="170" t="inlineStr">
        <is>
          <t>доля</t>
        </is>
      </c>
      <c r="FH7" s="153" t="inlineStr">
        <is>
          <t>часы</t>
        </is>
      </c>
      <c r="FI7" s="170" t="inlineStr">
        <is>
          <t>доля</t>
        </is>
      </c>
      <c r="FJ7" s="159" t="inlineStr">
        <is>
          <t>часы</t>
        </is>
      </c>
      <c r="FK7" s="171" t="inlineStr">
        <is>
          <t>доля</t>
        </is>
      </c>
      <c r="FL7" s="172" t="inlineStr">
        <is>
          <t>часы</t>
        </is>
      </c>
      <c r="FM7" s="170" t="inlineStr">
        <is>
          <t>доля</t>
        </is>
      </c>
      <c r="FN7" s="153" t="inlineStr">
        <is>
          <t>часы</t>
        </is>
      </c>
      <c r="FO7" s="167" t="inlineStr">
        <is>
          <t>доля</t>
        </is>
      </c>
      <c r="FP7" s="153" t="inlineStr">
        <is>
          <t>часы</t>
        </is>
      </c>
      <c r="FQ7" s="167" t="inlineStr">
        <is>
          <t>доля</t>
        </is>
      </c>
      <c r="FR7" s="153" t="inlineStr">
        <is>
          <t>часы</t>
        </is>
      </c>
      <c r="FS7" s="167" t="inlineStr">
        <is>
          <t>доля</t>
        </is>
      </c>
      <c r="FT7" s="153" t="inlineStr">
        <is>
          <t>часы</t>
        </is>
      </c>
      <c r="FU7" s="167" t="inlineStr">
        <is>
          <t>доля</t>
        </is>
      </c>
      <c r="FV7" s="153" t="inlineStr">
        <is>
          <t>часы</t>
        </is>
      </c>
      <c r="FW7" s="167" t="inlineStr">
        <is>
          <t>доля</t>
        </is>
      </c>
      <c r="FX7" s="153" t="inlineStr">
        <is>
          <t>часы</t>
        </is>
      </c>
      <c r="FY7" s="168" t="inlineStr">
        <is>
          <t>доля</t>
        </is>
      </c>
      <c r="FZ7" s="153" t="inlineStr">
        <is>
          <t>часы</t>
        </is>
      </c>
      <c r="GA7" s="168" t="inlineStr">
        <is>
          <t>доля</t>
        </is>
      </c>
      <c r="GB7" s="153" t="inlineStr">
        <is>
          <t>часы</t>
        </is>
      </c>
      <c r="GC7" s="168" t="inlineStr">
        <is>
          <t>доля</t>
        </is>
      </c>
      <c r="GD7" s="153" t="inlineStr">
        <is>
          <t>часы</t>
        </is>
      </c>
      <c r="GE7" s="168" t="inlineStr">
        <is>
          <t>доля</t>
        </is>
      </c>
      <c r="GF7" s="153" t="inlineStr">
        <is>
          <t>часы</t>
        </is>
      </c>
      <c r="GG7" s="167" t="inlineStr">
        <is>
          <t>доля</t>
        </is>
      </c>
      <c r="GH7" s="153" t="inlineStr">
        <is>
          <t>часы</t>
        </is>
      </c>
      <c r="GI7" s="170" t="inlineStr">
        <is>
          <t>доля</t>
        </is>
      </c>
      <c r="GJ7" s="153" t="inlineStr">
        <is>
          <t>часы</t>
        </is>
      </c>
      <c r="GK7" s="167" t="inlineStr">
        <is>
          <t>доля</t>
        </is>
      </c>
      <c r="GL7" s="153" t="inlineStr">
        <is>
          <t>часы</t>
        </is>
      </c>
      <c r="GM7" s="167" t="inlineStr">
        <is>
          <t>доля</t>
        </is>
      </c>
      <c r="GN7" s="153" t="inlineStr">
        <is>
          <t>часы</t>
        </is>
      </c>
      <c r="GO7" s="167" t="inlineStr">
        <is>
          <t>доля</t>
        </is>
      </c>
      <c r="GP7" s="153" t="inlineStr">
        <is>
          <t>часы</t>
        </is>
      </c>
      <c r="GQ7" s="167" t="inlineStr">
        <is>
          <t>доля</t>
        </is>
      </c>
      <c r="GR7" s="153" t="inlineStr">
        <is>
          <t>часы</t>
        </is>
      </c>
      <c r="GS7" s="167" t="inlineStr">
        <is>
          <t>доля</t>
        </is>
      </c>
      <c r="GT7" s="153" t="inlineStr">
        <is>
          <t>часы</t>
        </is>
      </c>
      <c r="GU7" s="167" t="inlineStr">
        <is>
          <t>доля</t>
        </is>
      </c>
      <c r="GV7" s="153" t="inlineStr">
        <is>
          <t>часы</t>
        </is>
      </c>
      <c r="GW7" s="167" t="inlineStr">
        <is>
          <t>доля</t>
        </is>
      </c>
      <c r="GX7" s="153" t="inlineStr">
        <is>
          <t>часы</t>
        </is>
      </c>
      <c r="GY7" s="167" t="inlineStr">
        <is>
          <t>доля</t>
        </is>
      </c>
      <c r="GZ7" s="153" t="inlineStr">
        <is>
          <t>часы</t>
        </is>
      </c>
      <c r="HA7" s="167" t="inlineStr">
        <is>
          <t>доля</t>
        </is>
      </c>
      <c r="HB7" s="153" t="inlineStr">
        <is>
          <t>часы</t>
        </is>
      </c>
      <c r="HC7" s="167" t="inlineStr">
        <is>
          <t>доля</t>
        </is>
      </c>
      <c r="HD7" s="153" t="inlineStr">
        <is>
          <t>часы</t>
        </is>
      </c>
      <c r="HE7" s="167" t="inlineStr">
        <is>
          <t>доля</t>
        </is>
      </c>
      <c r="HF7" s="153" t="inlineStr">
        <is>
          <t>часы</t>
        </is>
      </c>
      <c r="HG7" s="167" t="inlineStr">
        <is>
          <t>доля</t>
        </is>
      </c>
      <c r="HH7" s="153" t="inlineStr">
        <is>
          <t>часы</t>
        </is>
      </c>
      <c r="HI7" s="167" t="inlineStr">
        <is>
          <t>доля</t>
        </is>
      </c>
      <c r="HJ7" s="153" t="inlineStr">
        <is>
          <t>часы</t>
        </is>
      </c>
      <c r="HK7" s="167" t="inlineStr">
        <is>
          <t>доля</t>
        </is>
      </c>
      <c r="HL7" s="153" t="inlineStr">
        <is>
          <t>часы</t>
        </is>
      </c>
      <c r="HM7" s="167" t="inlineStr">
        <is>
          <t>доля</t>
        </is>
      </c>
      <c r="HN7" s="153" t="inlineStr">
        <is>
          <t>часы</t>
        </is>
      </c>
      <c r="HO7" s="167" t="inlineStr">
        <is>
          <t>доля</t>
        </is>
      </c>
      <c r="HP7" s="153" t="inlineStr">
        <is>
          <t>часы</t>
        </is>
      </c>
      <c r="HQ7" s="167" t="inlineStr">
        <is>
          <t>доля</t>
        </is>
      </c>
      <c r="HR7" s="153" t="inlineStr">
        <is>
          <t>часы</t>
        </is>
      </c>
      <c r="HS7" s="167" t="inlineStr">
        <is>
          <t>доля</t>
        </is>
      </c>
      <c r="HT7" s="153" t="inlineStr">
        <is>
          <t>часы</t>
        </is>
      </c>
      <c r="HU7" s="168" t="inlineStr">
        <is>
          <t>доля</t>
        </is>
      </c>
      <c r="HV7" s="153" t="inlineStr">
        <is>
          <t>часы</t>
        </is>
      </c>
      <c r="HW7" s="167" t="inlineStr">
        <is>
          <t>доля</t>
        </is>
      </c>
      <c r="HX7" s="153" t="inlineStr">
        <is>
          <t>часы</t>
        </is>
      </c>
      <c r="HY7" s="168" t="inlineStr">
        <is>
          <t>доля</t>
        </is>
      </c>
      <c r="HZ7" s="153" t="inlineStr">
        <is>
          <t>часы</t>
        </is>
      </c>
      <c r="IA7" s="168" t="inlineStr">
        <is>
          <t>доля</t>
        </is>
      </c>
      <c r="IB7" s="153" t="inlineStr">
        <is>
          <t>часы</t>
        </is>
      </c>
      <c r="IC7" s="167" t="inlineStr">
        <is>
          <t>доля</t>
        </is>
      </c>
      <c r="ID7" s="159" t="inlineStr">
        <is>
          <t>часы</t>
        </is>
      </c>
      <c r="IE7" s="167" t="inlineStr">
        <is>
          <t>доля</t>
        </is>
      </c>
      <c r="IF7" s="153" t="inlineStr">
        <is>
          <t>часы</t>
        </is>
      </c>
      <c r="IG7" s="167" t="inlineStr">
        <is>
          <t>доля</t>
        </is>
      </c>
      <c r="IH7" s="153" t="inlineStr">
        <is>
          <t>часы</t>
        </is>
      </c>
      <c r="II7" s="167" t="inlineStr">
        <is>
          <t>доля</t>
        </is>
      </c>
      <c r="IJ7" s="153" t="inlineStr">
        <is>
          <t>часы</t>
        </is>
      </c>
      <c r="IK7" s="167" t="inlineStr">
        <is>
          <t>доля</t>
        </is>
      </c>
      <c r="IL7" s="153" t="inlineStr">
        <is>
          <t>часы</t>
        </is>
      </c>
      <c r="IM7" s="167" t="inlineStr">
        <is>
          <t>доля</t>
        </is>
      </c>
      <c r="IN7" s="153" t="inlineStr">
        <is>
          <t>часы</t>
        </is>
      </c>
      <c r="IO7" s="167" t="inlineStr">
        <is>
          <t>доля</t>
        </is>
      </c>
      <c r="IP7" s="153" t="inlineStr">
        <is>
          <t>часы</t>
        </is>
      </c>
      <c r="IQ7" s="167" t="inlineStr">
        <is>
          <t>доля</t>
        </is>
      </c>
      <c r="IR7" s="153" t="inlineStr">
        <is>
          <t>часы</t>
        </is>
      </c>
      <c r="IS7" s="167" t="inlineStr">
        <is>
          <t>доля</t>
        </is>
      </c>
      <c r="IT7" s="153" t="inlineStr">
        <is>
          <t>часы</t>
        </is>
      </c>
      <c r="IU7" s="167" t="inlineStr">
        <is>
          <t>доля</t>
        </is>
      </c>
      <c r="IV7" s="153" t="inlineStr">
        <is>
          <t>часы</t>
        </is>
      </c>
      <c r="IW7" s="167" t="inlineStr">
        <is>
          <t>доля</t>
        </is>
      </c>
      <c r="IX7" s="153" t="inlineStr">
        <is>
          <t>часы</t>
        </is>
      </c>
      <c r="IY7" s="167" t="inlineStr">
        <is>
          <t>доля</t>
        </is>
      </c>
      <c r="IZ7" s="153" t="inlineStr">
        <is>
          <t>часы</t>
        </is>
      </c>
      <c r="JA7" s="167" t="inlineStr">
        <is>
          <t>доля</t>
        </is>
      </c>
      <c r="JB7" s="153" t="inlineStr">
        <is>
          <t>часы</t>
        </is>
      </c>
      <c r="JC7" s="167" t="inlineStr">
        <is>
          <t>доля</t>
        </is>
      </c>
      <c r="JD7" s="153" t="inlineStr">
        <is>
          <t>часы</t>
        </is>
      </c>
      <c r="JE7" s="167" t="inlineStr">
        <is>
          <t>доля</t>
        </is>
      </c>
      <c r="JF7" s="72" t="inlineStr">
        <is>
          <t>часы</t>
        </is>
      </c>
      <c r="JG7" s="146" t="inlineStr">
        <is>
          <t>доля</t>
        </is>
      </c>
      <c r="JH7" s="70" t="inlineStr">
        <is>
          <t>часы</t>
        </is>
      </c>
      <c r="JI7" s="147" t="inlineStr">
        <is>
          <t>доля</t>
        </is>
      </c>
      <c r="JJ7" s="72" t="inlineStr">
        <is>
          <t>часы</t>
        </is>
      </c>
      <c r="JK7" s="73" t="inlineStr">
        <is>
          <t>доля</t>
        </is>
      </c>
      <c r="JL7" s="72" t="inlineStr">
        <is>
          <t>часы</t>
        </is>
      </c>
      <c r="JM7" s="73" t="inlineStr">
        <is>
          <t>доля</t>
        </is>
      </c>
      <c r="JN7" s="72" t="inlineStr">
        <is>
          <t>часы</t>
        </is>
      </c>
      <c r="JO7" s="71" t="inlineStr">
        <is>
          <t>доля</t>
        </is>
      </c>
      <c r="JP7" s="71" t="inlineStr">
        <is>
          <t>часы</t>
        </is>
      </c>
      <c r="JQ7" s="71" t="inlineStr">
        <is>
          <t>доля</t>
        </is>
      </c>
      <c r="JR7" s="71" t="inlineStr">
        <is>
          <t>часы</t>
        </is>
      </c>
      <c r="JS7" s="71" t="inlineStr">
        <is>
          <t>доля</t>
        </is>
      </c>
      <c r="JT7" s="71" t="inlineStr">
        <is>
          <t>часы</t>
        </is>
      </c>
      <c r="JU7" s="71" t="inlineStr">
        <is>
          <t>доля</t>
        </is>
      </c>
      <c r="JV7" s="71" t="inlineStr">
        <is>
          <t>часы</t>
        </is>
      </c>
      <c r="JW7" s="71" t="inlineStr">
        <is>
          <t>доля</t>
        </is>
      </c>
      <c r="JX7" s="71" t="inlineStr">
        <is>
          <t>часы</t>
        </is>
      </c>
      <c r="JY7" s="73" t="inlineStr">
        <is>
          <t>доля</t>
        </is>
      </c>
      <c r="JZ7" s="72" t="inlineStr">
        <is>
          <t>часы</t>
        </is>
      </c>
      <c r="KA7" s="73" t="inlineStr">
        <is>
          <t>доля</t>
        </is>
      </c>
      <c r="KB7" s="74" t="inlineStr">
        <is>
          <t>часы</t>
        </is>
      </c>
      <c r="KC7" s="75" t="inlineStr">
        <is>
          <t>доля</t>
        </is>
      </c>
      <c r="KE7" s="279" t="inlineStr">
        <is>
          <t>проверка</t>
        </is>
      </c>
    </row>
    <row r="8" ht="16.5" customHeight="1" thickBot="1">
      <c r="A8" s="283" t="n"/>
      <c r="B8" s="299" t="n"/>
      <c r="C8" s="285" t="n"/>
      <c r="D8" s="127" t="n"/>
      <c r="E8" s="128" t="n"/>
      <c r="F8" s="80" t="n"/>
      <c r="G8" s="79" t="n"/>
      <c r="H8" s="56" t="n"/>
      <c r="I8" s="61" t="n"/>
      <c r="J8" s="56" t="n"/>
      <c r="K8" s="61" t="n"/>
      <c r="L8" s="56" t="n"/>
      <c r="M8" s="81" t="n"/>
      <c r="N8" s="8" t="n"/>
      <c r="O8" s="82" t="n"/>
      <c r="P8" s="8" t="n"/>
      <c r="Q8" s="85" t="n"/>
      <c r="R8" s="84" t="n"/>
      <c r="S8" s="83" t="n"/>
      <c r="T8" s="83" t="n"/>
      <c r="U8" s="83" t="n"/>
      <c r="V8" s="84" t="n"/>
      <c r="W8" s="83" t="n"/>
      <c r="X8" s="83" t="n"/>
      <c r="Y8" s="83" t="n"/>
      <c r="Z8" s="83" t="n"/>
      <c r="AA8" s="85" t="n"/>
      <c r="AB8" s="84" t="n"/>
      <c r="AC8" s="85" t="n"/>
      <c r="AD8" s="56" t="n"/>
      <c r="AE8" s="82" t="n"/>
      <c r="AF8" s="38" t="n"/>
      <c r="AG8" s="84" t="n"/>
      <c r="AH8" s="38" t="n"/>
      <c r="AI8" s="84" t="n"/>
      <c r="AJ8" s="38" t="n"/>
      <c r="AK8" s="84" t="n"/>
      <c r="AL8" s="38" t="n"/>
      <c r="AM8" s="84" t="n"/>
      <c r="AN8" s="38" t="n"/>
      <c r="AO8" s="84" t="n"/>
      <c r="AP8" s="38" t="n"/>
      <c r="AQ8" s="84" t="n"/>
      <c r="AR8" s="38" t="n"/>
      <c r="AS8" s="84" t="n"/>
      <c r="AT8" s="38" t="n"/>
      <c r="AU8" s="84" t="n"/>
      <c r="AV8" s="38" t="n"/>
      <c r="AW8" s="84" t="n"/>
      <c r="AX8" s="38" t="n"/>
      <c r="AY8" s="84" t="n"/>
      <c r="AZ8" s="38" t="n"/>
      <c r="BA8" s="84" t="n"/>
      <c r="BB8" s="38" t="n"/>
      <c r="BC8" s="84" t="n"/>
      <c r="BD8" s="38" t="n"/>
      <c r="BE8" s="84" t="n"/>
      <c r="BF8" s="38" t="n"/>
      <c r="BG8" s="84" t="n"/>
      <c r="BH8" s="38" t="n"/>
      <c r="BI8" s="84" t="n"/>
      <c r="BJ8" s="38" t="n"/>
      <c r="BK8" s="84" t="n"/>
      <c r="BL8" s="38" t="n"/>
      <c r="BM8" s="86" t="n"/>
      <c r="BN8" s="38" t="n"/>
      <c r="BO8" s="86" t="n"/>
      <c r="BP8" s="38" t="n"/>
      <c r="BQ8" s="86" t="n"/>
      <c r="BR8" s="38" t="n"/>
      <c r="BS8" s="86" t="n"/>
      <c r="BT8" s="38" t="n"/>
      <c r="BU8" s="58" t="n"/>
      <c r="BV8" s="38" t="n"/>
      <c r="BW8" s="86" t="n"/>
      <c r="BX8" s="38" t="n"/>
      <c r="BY8" s="86" t="n"/>
      <c r="BZ8" s="38" t="n"/>
      <c r="CA8" s="86" t="n"/>
      <c r="CB8" s="38" t="n"/>
      <c r="CC8" s="84" t="n"/>
      <c r="CD8" s="38" t="n"/>
      <c r="CE8" s="84" t="n"/>
      <c r="CF8" s="38" t="n"/>
      <c r="CG8" s="86" t="n"/>
      <c r="CH8" s="38" t="n"/>
      <c r="CI8" s="86" t="n"/>
      <c r="CJ8" s="136" t="n"/>
      <c r="CK8" s="86" t="n"/>
      <c r="CL8" s="136" t="n"/>
      <c r="CM8" s="86" t="n"/>
      <c r="CN8" s="8" t="n"/>
      <c r="CO8" s="86" t="n"/>
      <c r="CP8" s="60" t="n"/>
      <c r="CQ8" s="81" t="n"/>
      <c r="CR8" s="136" t="n"/>
      <c r="CS8" s="86" t="n"/>
      <c r="CT8" s="136" t="n"/>
      <c r="CU8" s="86" t="n"/>
      <c r="CV8" s="60" t="n"/>
      <c r="CW8" s="81" t="n"/>
      <c r="CX8" s="136" t="n"/>
      <c r="CY8" s="86" t="n"/>
      <c r="CZ8" s="38" t="n"/>
      <c r="DA8" s="86" t="n"/>
      <c r="DB8" s="59" t="n"/>
      <c r="DC8" s="81" t="n"/>
      <c r="DD8" s="38" t="n"/>
      <c r="DE8" s="86" t="n"/>
      <c r="DF8" s="38" t="n"/>
      <c r="DG8" s="84" t="n"/>
      <c r="DH8" s="38" t="n"/>
      <c r="DI8" s="86" t="n"/>
      <c r="DJ8" s="38" t="n"/>
      <c r="DK8" s="86" t="n"/>
      <c r="DL8" s="38" t="n"/>
      <c r="DM8" s="84" t="n"/>
      <c r="DN8" s="38" t="n"/>
      <c r="DO8" s="81" t="n"/>
      <c r="DP8" s="38" t="n"/>
      <c r="DQ8" s="58" t="n"/>
      <c r="DR8" s="136" t="n"/>
      <c r="DS8" s="86" t="n"/>
      <c r="DT8" s="38" t="n"/>
      <c r="DU8" s="57" t="n"/>
      <c r="DV8" s="38" t="n"/>
      <c r="DW8" s="58" t="n"/>
      <c r="DX8" s="136" t="n"/>
      <c r="DY8" s="60" t="n"/>
      <c r="DZ8" s="136" t="n"/>
      <c r="EA8" s="137" t="n"/>
      <c r="EB8" s="136" t="n"/>
      <c r="EC8" s="137" t="n"/>
      <c r="ED8" s="8" t="n"/>
      <c r="EE8" s="10" t="n"/>
      <c r="EF8" s="56" t="n"/>
      <c r="EG8" s="9" t="n"/>
      <c r="EH8" s="8" t="n"/>
      <c r="EI8" s="10" t="n"/>
      <c r="EJ8" s="8" t="n"/>
      <c r="EK8" s="10" t="n"/>
      <c r="EL8" s="8" t="n"/>
      <c r="EM8" s="10" t="n"/>
      <c r="EN8" s="136" t="n"/>
      <c r="EO8" s="137" t="n"/>
      <c r="EP8" s="136" t="n"/>
      <c r="EQ8" s="137" t="n"/>
      <c r="ER8" s="136" t="n"/>
      <c r="ES8" s="137" t="n"/>
      <c r="ET8" s="136" t="n"/>
      <c r="EU8" s="137" t="n"/>
      <c r="EV8" s="136" t="n"/>
      <c r="EW8" s="137" t="n"/>
      <c r="EX8" s="56" t="n"/>
      <c r="EY8" s="60" t="n"/>
      <c r="EZ8" s="8" t="n"/>
      <c r="FA8" s="137" t="n"/>
      <c r="FB8" s="8" t="n"/>
      <c r="FC8" s="137" t="n"/>
      <c r="FD8" s="8" t="n"/>
      <c r="FE8" s="137" t="n"/>
      <c r="FF8" s="8" t="n"/>
      <c r="FG8" s="137" t="n"/>
      <c r="FH8" s="8" t="n"/>
      <c r="FI8" s="137" t="n"/>
      <c r="FJ8" s="56" t="n"/>
      <c r="FK8" s="56" t="n"/>
      <c r="FL8" s="61" t="n"/>
      <c r="FM8" s="60" t="n"/>
      <c r="FN8" s="136" t="n"/>
      <c r="FO8" s="137" t="n"/>
      <c r="FP8" s="136" t="n"/>
      <c r="FQ8" s="137" t="n"/>
      <c r="FR8" s="136" t="n"/>
      <c r="FS8" s="137" t="n"/>
      <c r="FT8" s="136" t="n"/>
      <c r="FU8" s="137" t="n"/>
      <c r="FV8" s="136" t="n"/>
      <c r="FW8" s="137" t="n"/>
      <c r="FX8" s="136" t="n"/>
      <c r="FY8" s="60" t="n"/>
      <c r="FZ8" s="136" t="n"/>
      <c r="GA8" s="60" t="n"/>
      <c r="GB8" s="136" t="n"/>
      <c r="GC8" s="60" t="n"/>
      <c r="GD8" s="136" t="n"/>
      <c r="GE8" s="60" t="n"/>
      <c r="GF8" s="136" t="n"/>
      <c r="GG8" s="60" t="n"/>
      <c r="GH8" s="8" t="n"/>
      <c r="GI8" s="60" t="n"/>
      <c r="GJ8" s="8" t="n"/>
      <c r="GK8" s="60" t="n"/>
      <c r="GL8" s="136" t="n"/>
      <c r="GM8" s="60" t="n"/>
      <c r="GN8" s="136" t="n"/>
      <c r="GO8" s="137" t="n"/>
      <c r="GP8" s="136" t="n"/>
      <c r="GQ8" s="60" t="n"/>
      <c r="GR8" s="136" t="n"/>
      <c r="GS8" s="60" t="n"/>
      <c r="GT8" s="136" t="n"/>
      <c r="GU8" s="60" t="n"/>
      <c r="GV8" s="136" t="n"/>
      <c r="GW8" s="137" t="n"/>
      <c r="GX8" s="136" t="n"/>
      <c r="GY8" s="60" t="n"/>
      <c r="GZ8" s="136" t="n"/>
      <c r="HA8" s="60" t="n"/>
      <c r="HB8" s="136" t="n"/>
      <c r="HC8" s="60" t="n"/>
      <c r="HD8" s="136" t="n"/>
      <c r="HE8" s="60" t="n"/>
      <c r="HF8" s="136" t="n"/>
      <c r="HG8" s="60" t="n"/>
      <c r="HH8" s="136" t="n"/>
      <c r="HI8" s="60" t="n"/>
      <c r="HJ8" s="136" t="n"/>
      <c r="HK8" s="60" t="n"/>
      <c r="HL8" s="136" t="n"/>
      <c r="HM8" s="60" t="n"/>
      <c r="HN8" s="136" t="n"/>
      <c r="HO8" s="60" t="n"/>
      <c r="HP8" s="136" t="n"/>
      <c r="HQ8" s="60" t="n"/>
      <c r="HR8" s="136" t="n"/>
      <c r="HS8" s="60" t="n"/>
      <c r="HT8" s="136" t="n"/>
      <c r="HU8" s="60" t="n"/>
      <c r="HV8" s="8" t="n"/>
      <c r="HW8" s="137" t="n"/>
      <c r="HX8" s="136" t="n"/>
      <c r="HY8" s="60" t="n"/>
      <c r="HZ8" s="8" t="n"/>
      <c r="IA8" s="60" t="n"/>
      <c r="IB8" s="8" t="n"/>
      <c r="IC8" s="137" t="n"/>
      <c r="ID8" s="56" t="n"/>
      <c r="IE8" s="60" t="n"/>
      <c r="IF8" s="136" t="n"/>
      <c r="IG8" s="60" t="n"/>
      <c r="IH8" s="136" t="n"/>
      <c r="II8" s="60" t="n"/>
      <c r="IJ8" s="136" t="n"/>
      <c r="IK8" s="60" t="n"/>
      <c r="IL8" s="136" t="n"/>
      <c r="IM8" s="60" t="n"/>
      <c r="IN8" s="136" t="n"/>
      <c r="IO8" s="60" t="n"/>
      <c r="IP8" s="8" t="n"/>
      <c r="IQ8" s="137" t="n"/>
      <c r="IR8" s="8" t="n"/>
      <c r="IS8" s="60" t="n"/>
      <c r="IT8" s="136" t="n"/>
      <c r="IU8" s="137" t="n"/>
      <c r="IV8" s="136" t="n"/>
      <c r="IW8" s="137" t="n"/>
      <c r="IX8" s="8" t="n"/>
      <c r="IY8" s="137" t="n"/>
      <c r="IZ8" s="136" t="n"/>
      <c r="JA8" s="137" t="n"/>
      <c r="JB8" s="136" t="n"/>
      <c r="JC8" s="137" t="n"/>
      <c r="JD8" s="8" t="n"/>
      <c r="JE8" s="60" t="n"/>
      <c r="JF8" s="136" t="n"/>
      <c r="JG8" s="137" t="n"/>
      <c r="JH8" s="110" t="n"/>
      <c r="JI8" s="137" t="n"/>
      <c r="JJ8" s="8" t="n"/>
      <c r="JK8" s="10" t="n"/>
      <c r="JL8" s="136" t="n"/>
      <c r="JM8" s="137" t="n"/>
      <c r="JN8" s="136" t="n"/>
      <c r="JO8" s="61" t="n"/>
      <c r="JP8" s="61" t="n"/>
      <c r="JQ8" s="61" t="n"/>
      <c r="JR8" s="61" t="n"/>
      <c r="JS8" s="61" t="n"/>
      <c r="JT8" s="61" t="n"/>
      <c r="JU8" s="61" t="n"/>
      <c r="JV8" s="61" t="n"/>
      <c r="JW8" s="61" t="n"/>
      <c r="JX8" s="61" t="n"/>
      <c r="JY8" s="10" t="n"/>
      <c r="JZ8" s="8" t="n"/>
      <c r="KA8" s="10" t="n"/>
      <c r="KB8" s="65" t="n"/>
      <c r="KC8" s="87" t="n"/>
    </row>
    <row r="9" ht="21.75" customFormat="1" customHeight="1" s="11">
      <c r="A9" s="126" t="n">
        <v>1</v>
      </c>
      <c r="B9" s="175" t="inlineStr">
        <is>
          <t>Батурин А.Ю.</t>
        </is>
      </c>
      <c r="C9" s="176" t="inlineStr">
        <is>
          <t>термист</t>
        </is>
      </c>
      <c r="D9" s="177">
        <f>$D$5</f>
        <v/>
      </c>
      <c r="E9" s="202" t="n">
        <v>165</v>
      </c>
      <c r="F9" s="197" t="n">
        <v>68902.87</v>
      </c>
      <c r="G9" s="51">
        <f>F9/D9</f>
        <v/>
      </c>
      <c r="H9" s="124" t="n"/>
      <c r="I9" s="90">
        <f>H9*100/$E$9</f>
        <v/>
      </c>
      <c r="J9" s="117" t="n"/>
      <c r="K9" s="90">
        <f>J9*100/$E$9</f>
        <v/>
      </c>
      <c r="L9" s="117" t="n"/>
      <c r="M9" s="90">
        <f>L9*100/$E$9</f>
        <v/>
      </c>
      <c r="N9" s="117" t="n"/>
      <c r="O9" s="90">
        <f>N9*100/$E$9</f>
        <v/>
      </c>
      <c r="P9" s="117" t="n">
        <v>7</v>
      </c>
      <c r="Q9" s="121">
        <f>P9*100/$E$9</f>
        <v/>
      </c>
      <c r="R9" s="117" t="n"/>
      <c r="S9" s="120">
        <f>R9*100/$E$9</f>
        <v/>
      </c>
      <c r="T9" s="117" t="n"/>
      <c r="U9" s="90">
        <f>T9*100/$E$9</f>
        <v/>
      </c>
      <c r="V9" s="117" t="n"/>
      <c r="W9" s="90">
        <f>V9*100/$E$9</f>
        <v/>
      </c>
      <c r="X9" s="117" t="n">
        <v>2</v>
      </c>
      <c r="Y9" s="90">
        <f>X9*100/$E$9</f>
        <v/>
      </c>
      <c r="Z9" s="117" t="n">
        <v>6</v>
      </c>
      <c r="AA9" s="90">
        <f>Z9*100/$E$9</f>
        <v/>
      </c>
      <c r="AB9" s="117" t="n"/>
      <c r="AC9" s="90">
        <f>AB9*100/$E$9</f>
        <v/>
      </c>
      <c r="AD9" s="117" t="n">
        <v>10</v>
      </c>
      <c r="AE9" s="120">
        <f>AD9*100/$E$9</f>
        <v/>
      </c>
      <c r="AF9" s="117" t="n"/>
      <c r="AG9" s="120">
        <f>AF9*100/$E$9</f>
        <v/>
      </c>
      <c r="AH9" s="117" t="n">
        <v>12</v>
      </c>
      <c r="AI9" s="90">
        <f>AH9*100/$E$9</f>
        <v/>
      </c>
      <c r="AJ9" s="117" t="n"/>
      <c r="AK9" s="90">
        <f>AJ9*100/$E$9</f>
        <v/>
      </c>
      <c r="AL9" s="117" t="n">
        <v>2</v>
      </c>
      <c r="AM9" s="90">
        <f>AL9*100/$E$9</f>
        <v/>
      </c>
      <c r="AN9" s="117" t="n">
        <v>3</v>
      </c>
      <c r="AO9" s="90">
        <f>AN9*100/$E$9</f>
        <v/>
      </c>
      <c r="AP9" s="117" t="n"/>
      <c r="AQ9" s="90">
        <f>AP9*100/$E$9</f>
        <v/>
      </c>
      <c r="AR9" s="117" t="n"/>
      <c r="AS9" s="90">
        <f>AR9*100/$E$9</f>
        <v/>
      </c>
      <c r="AT9" s="117" t="n">
        <v>5</v>
      </c>
      <c r="AU9" s="90">
        <f>AT9*100/$E$9</f>
        <v/>
      </c>
      <c r="AV9" s="117" t="n"/>
      <c r="AW9" s="90">
        <f>AV9*100/$E$9</f>
        <v/>
      </c>
      <c r="AX9" s="117" t="n">
        <v>3</v>
      </c>
      <c r="AY9" s="90">
        <f>AX9*100/$E$9</f>
        <v/>
      </c>
      <c r="AZ9" s="117" t="n"/>
      <c r="BA9" s="90">
        <f>AZ9*100/$E$9</f>
        <v/>
      </c>
      <c r="BB9" s="117" t="n">
        <v>2</v>
      </c>
      <c r="BC9" s="90">
        <f>BB9*100/$E$9</f>
        <v/>
      </c>
      <c r="BD9" s="117" t="n"/>
      <c r="BE9" s="90">
        <f>BD9*100/$E$9</f>
        <v/>
      </c>
      <c r="BF9" s="117" t="n"/>
      <c r="BG9" s="90">
        <f>BF9*100/$E$9</f>
        <v/>
      </c>
      <c r="BH9" s="117" t="n"/>
      <c r="BI9" s="90">
        <f>BH9*100/$E$9</f>
        <v/>
      </c>
      <c r="BJ9" s="117" t="n">
        <v>2</v>
      </c>
      <c r="BK9" s="90">
        <f>BJ9*100/$E$9</f>
        <v/>
      </c>
      <c r="BL9" s="117" t="n">
        <v>2</v>
      </c>
      <c r="BM9" s="90">
        <f>BL9*100/$E$9</f>
        <v/>
      </c>
      <c r="BN9" s="117" t="n">
        <v>2</v>
      </c>
      <c r="BO9" s="90">
        <f>BN9*100/$E$9</f>
        <v/>
      </c>
      <c r="BP9" s="117" t="n"/>
      <c r="BQ9" s="90">
        <f>BP9*100/$E$9</f>
        <v/>
      </c>
      <c r="BR9" s="117" t="n"/>
      <c r="BS9" s="90">
        <f>BR9*100/$E$9</f>
        <v/>
      </c>
      <c r="BT9" s="117" t="n">
        <v>11</v>
      </c>
      <c r="BU9" s="90">
        <f>BT9*100/$E$9</f>
        <v/>
      </c>
      <c r="BV9" s="117" t="n">
        <v>2</v>
      </c>
      <c r="BW9" s="90">
        <f>BV9*100/$E$9</f>
        <v/>
      </c>
      <c r="BX9" s="117" t="n"/>
      <c r="BY9" s="90">
        <f>BX9*100/$E$9</f>
        <v/>
      </c>
      <c r="BZ9" s="117" t="n"/>
      <c r="CA9" s="90">
        <f>BZ9*100/$E$9</f>
        <v/>
      </c>
      <c r="CB9" s="117" t="n"/>
      <c r="CC9" s="90">
        <f>CB9*100/$E$9</f>
        <v/>
      </c>
      <c r="CD9" s="117" t="n">
        <v>2</v>
      </c>
      <c r="CE9" s="123">
        <f>CD9*100/$E$9</f>
        <v/>
      </c>
      <c r="CF9" s="117" t="n">
        <v>2</v>
      </c>
      <c r="CG9" s="90">
        <f>CF9*100/$E$9</f>
        <v/>
      </c>
      <c r="CH9" s="117" t="n"/>
      <c r="CI9" s="90">
        <f>CH9*100/$E$9</f>
        <v/>
      </c>
      <c r="CJ9" s="117" t="n"/>
      <c r="CK9" s="90">
        <f>CJ9*100/$E$9</f>
        <v/>
      </c>
      <c r="CL9" s="117" t="n">
        <v>23</v>
      </c>
      <c r="CM9" s="90">
        <f>CL9*100/$E$9</f>
        <v/>
      </c>
      <c r="CN9" s="117" t="n"/>
      <c r="CO9" s="122">
        <f>CN9*100/$E$9</f>
        <v/>
      </c>
      <c r="CP9" s="117" t="n"/>
      <c r="CQ9" s="90">
        <f>CP9*100/$E$9</f>
        <v/>
      </c>
      <c r="CR9" s="117" t="n"/>
      <c r="CS9" s="121">
        <f>CR9*100/$E$9</f>
        <v/>
      </c>
      <c r="CT9" s="117" t="n">
        <v>3</v>
      </c>
      <c r="CU9" s="121">
        <f>CT9*100/$E$9</f>
        <v/>
      </c>
      <c r="CV9" s="117" t="n">
        <v>6</v>
      </c>
      <c r="CW9" s="121">
        <f>CV9*100/$E$9</f>
        <v/>
      </c>
      <c r="CX9" s="117" t="n"/>
      <c r="CY9" s="121">
        <f>CX9*100/$E$9</f>
        <v/>
      </c>
      <c r="CZ9" s="117" t="n"/>
      <c r="DA9" s="121">
        <f>CZ9*100/$E$9</f>
        <v/>
      </c>
      <c r="DB9" s="117" t="n"/>
      <c r="DC9" s="121">
        <f>DB9*100/$E$9</f>
        <v/>
      </c>
      <c r="DD9" s="117" t="n"/>
      <c r="DE9" s="121">
        <f>DD9*100/$E$9</f>
        <v/>
      </c>
      <c r="DF9" s="117" t="n"/>
      <c r="DG9" s="121">
        <f>DF9*100/$E$9</f>
        <v/>
      </c>
      <c r="DH9" s="117" t="n"/>
      <c r="DI9" s="121">
        <f>DH9*100/$E$9</f>
        <v/>
      </c>
      <c r="DJ9" s="117" t="n"/>
      <c r="DK9" s="121">
        <f>DJ9*100/$E$9</f>
        <v/>
      </c>
      <c r="DL9" s="117" t="n"/>
      <c r="DM9" s="121">
        <f>DL9*100/$E$9</f>
        <v/>
      </c>
      <c r="DN9" s="117" t="n"/>
      <c r="DO9" s="121">
        <f>DN9*100/$E$9</f>
        <v/>
      </c>
      <c r="DP9" s="117" t="n">
        <v>8</v>
      </c>
      <c r="DQ9" s="121">
        <f>DP9*100/$E$9</f>
        <v/>
      </c>
      <c r="DR9" s="117" t="n"/>
      <c r="DS9" s="121">
        <f>DR9*100/$E$9</f>
        <v/>
      </c>
      <c r="DT9" s="117" t="n"/>
      <c r="DU9" s="121">
        <f>DT9*100/$E$9</f>
        <v/>
      </c>
      <c r="DV9" s="117" t="n"/>
      <c r="DW9" s="121">
        <f>DV9*100/$E$9</f>
        <v/>
      </c>
      <c r="DX9" s="117" t="n"/>
      <c r="DY9" s="121">
        <f>DX9*100/$E$9</f>
        <v/>
      </c>
      <c r="DZ9" s="117" t="n">
        <v>4</v>
      </c>
      <c r="EA9" s="121">
        <f>DZ9*100/$E$9</f>
        <v/>
      </c>
      <c r="EB9" s="117" t="n">
        <v>8</v>
      </c>
      <c r="EC9" s="121">
        <f>EB9*100/$E$9</f>
        <v/>
      </c>
      <c r="ED9" s="117" t="n"/>
      <c r="EE9" s="121">
        <f>ED9*100/$E$9</f>
        <v/>
      </c>
      <c r="EF9" s="117" t="n"/>
      <c r="EG9" s="121">
        <f>EF9*100/$E$9</f>
        <v/>
      </c>
      <c r="EH9" s="117" t="n"/>
      <c r="EI9" s="121">
        <f>EH9*100/$E$9</f>
        <v/>
      </c>
      <c r="EJ9" s="117" t="n"/>
      <c r="EK9" s="121">
        <f>EJ9*100/$E$9</f>
        <v/>
      </c>
      <c r="EL9" s="117" t="n">
        <v>8</v>
      </c>
      <c r="EM9" s="121">
        <f>EL9*100/$E$9</f>
        <v/>
      </c>
      <c r="EN9" s="117" t="n"/>
      <c r="EO9" s="121">
        <f>EN9*100/$E$9</f>
        <v/>
      </c>
      <c r="EP9" s="117" t="n"/>
      <c r="EQ9" s="121">
        <f>EP9*100/$E$9</f>
        <v/>
      </c>
      <c r="ER9" s="117" t="n"/>
      <c r="ES9" s="121">
        <f>ER9*100/$E$9</f>
        <v/>
      </c>
      <c r="ET9" s="117" t="n"/>
      <c r="EU9" s="121">
        <f>ET9*100/$E$9</f>
        <v/>
      </c>
      <c r="EV9" s="117" t="n"/>
      <c r="EW9" s="121">
        <f>EV9*100/$E$9</f>
        <v/>
      </c>
      <c r="EX9" s="117" t="n"/>
      <c r="EY9" s="121">
        <f>EX9*100/$E$9</f>
        <v/>
      </c>
      <c r="EZ9" s="117" t="n"/>
      <c r="FA9" s="121">
        <f>EZ9*100/$E$9</f>
        <v/>
      </c>
      <c r="FB9" s="117" t="n"/>
      <c r="FC9" s="121">
        <f>FB9*100/$E$9</f>
        <v/>
      </c>
      <c r="FD9" s="117" t="n"/>
      <c r="FE9" s="121">
        <f>FD9*100/$E$9</f>
        <v/>
      </c>
      <c r="FF9" s="117" t="n"/>
      <c r="FG9" s="121">
        <f>FF9*100/$E$9</f>
        <v/>
      </c>
      <c r="FH9" s="117" t="n"/>
      <c r="FI9" s="121">
        <f>FH9*100/$E$9</f>
        <v/>
      </c>
      <c r="FJ9" s="117" t="n"/>
      <c r="FK9" s="121">
        <f>FJ9*100/$E$9</f>
        <v/>
      </c>
      <c r="FL9" s="117" t="n"/>
      <c r="FM9" s="121">
        <f>FL9*100/$E$9</f>
        <v/>
      </c>
      <c r="FN9" s="117" t="n">
        <v>3</v>
      </c>
      <c r="FO9" s="121">
        <f>FN9*100/$E$9</f>
        <v/>
      </c>
      <c r="FP9" s="117" t="n"/>
      <c r="FQ9" s="121">
        <f>FP9*100/$E$9</f>
        <v/>
      </c>
      <c r="FR9" s="117" t="n"/>
      <c r="FS9" s="121">
        <f>FR9*100/$E$9</f>
        <v/>
      </c>
      <c r="FT9" s="117" t="n">
        <v>5</v>
      </c>
      <c r="FU9" s="121">
        <f>FT9*100/$E$9</f>
        <v/>
      </c>
      <c r="FV9" s="117" t="n">
        <v>11</v>
      </c>
      <c r="FW9" s="121">
        <f>FV9*100/$E$9</f>
        <v/>
      </c>
      <c r="FX9" s="117" t="n"/>
      <c r="FY9" s="90">
        <f>FX9*100/$E$9</f>
        <v/>
      </c>
      <c r="FZ9" s="117" t="n"/>
      <c r="GA9" s="90">
        <f>FZ9*100/$E$9</f>
        <v/>
      </c>
      <c r="GB9" s="117" t="n"/>
      <c r="GC9" s="90">
        <f>GB9*100/$E$9</f>
        <v/>
      </c>
      <c r="GD9" s="117" t="n"/>
      <c r="GE9" s="90">
        <f>GD9*100/$E$9</f>
        <v/>
      </c>
      <c r="GF9" s="117" t="n"/>
      <c r="GG9" s="90">
        <f>GF9*100/$E$9</f>
        <v/>
      </c>
      <c r="GH9" s="117" t="n"/>
      <c r="GI9" s="90">
        <f>GH9*100/$E$9</f>
        <v/>
      </c>
      <c r="GJ9" s="117" t="n"/>
      <c r="GK9" s="121">
        <f>GJ9*100/$E$9</f>
        <v/>
      </c>
      <c r="GL9" s="117" t="n"/>
      <c r="GM9" s="90">
        <f>GL9*100/$E$9</f>
        <v/>
      </c>
      <c r="GN9" s="117" t="n"/>
      <c r="GO9" s="121">
        <f>GN9*100/$E$9</f>
        <v/>
      </c>
      <c r="GP9" s="117" t="n"/>
      <c r="GQ9" s="90">
        <f>GP9*100/$E$9</f>
        <v/>
      </c>
      <c r="GR9" s="117" t="n"/>
      <c r="GS9" s="121">
        <f>GR9*100/$E$9</f>
        <v/>
      </c>
      <c r="GT9" s="117" t="n"/>
      <c r="GU9" s="121">
        <f>GT9*100/$E$9</f>
        <v/>
      </c>
      <c r="GV9" s="117" t="n"/>
      <c r="GW9" s="121">
        <f>GV9*100/$E$9</f>
        <v/>
      </c>
      <c r="GX9" s="117" t="n">
        <v>1</v>
      </c>
      <c r="GY9" s="90">
        <f>GX9*100/$E$9</f>
        <v/>
      </c>
      <c r="GZ9" s="117" t="n">
        <v>8</v>
      </c>
      <c r="HA9" s="90">
        <f>GZ9*100/$E$9</f>
        <v/>
      </c>
      <c r="HB9" s="117" t="n"/>
      <c r="HC9" s="90">
        <f>HB9*100/$E$9</f>
        <v/>
      </c>
      <c r="HD9" s="117" t="n"/>
      <c r="HE9" s="90">
        <f>HD9*100/$E$9</f>
        <v/>
      </c>
      <c r="HF9" s="117" t="n"/>
      <c r="HG9" s="90">
        <f>HF9*100/$E$9</f>
        <v/>
      </c>
      <c r="HH9" s="117" t="n"/>
      <c r="HI9" s="90">
        <f>HH9*100/$E$9</f>
        <v/>
      </c>
      <c r="HJ9" s="117" t="n"/>
      <c r="HK9" s="90">
        <f>HJ9*100/$E$9</f>
        <v/>
      </c>
      <c r="HL9" s="117" t="n"/>
      <c r="HM9" s="90">
        <f>HL9*100/$E$9</f>
        <v/>
      </c>
      <c r="HN9" s="117" t="n"/>
      <c r="HO9" s="90">
        <f>HN9*100/$E$9</f>
        <v/>
      </c>
      <c r="HP9" s="117" t="n"/>
      <c r="HQ9" s="90">
        <f>HP9*100/$E$9</f>
        <v/>
      </c>
      <c r="HR9" s="117" t="n"/>
      <c r="HS9" s="90">
        <f>HR9*100/$E$9</f>
        <v/>
      </c>
      <c r="HT9" s="117" t="n"/>
      <c r="HU9" s="90">
        <f>HT9*100/$E$9</f>
        <v/>
      </c>
      <c r="HV9" s="117" t="n"/>
      <c r="HW9" s="90">
        <f>HV9*100/$E$9</f>
        <v/>
      </c>
      <c r="HX9" s="117" t="n"/>
      <c r="HY9" s="90">
        <f>HX9*100/$E$9</f>
        <v/>
      </c>
      <c r="HZ9" s="117" t="n"/>
      <c r="IA9" s="121">
        <f>HZ9*100/$E$9</f>
        <v/>
      </c>
      <c r="IB9" s="117" t="n"/>
      <c r="IC9" s="121">
        <f>IB9*100/$E$9</f>
        <v/>
      </c>
      <c r="ID9" s="117" t="n"/>
      <c r="IE9" s="121">
        <f>ID9*100/$E$9</f>
        <v/>
      </c>
      <c r="IF9" s="117" t="n"/>
      <c r="IG9" s="121">
        <f>IF9*100/$E$9</f>
        <v/>
      </c>
      <c r="IH9" s="117" t="n"/>
      <c r="II9" s="121">
        <f>IH9*100/$E$9</f>
        <v/>
      </c>
      <c r="IJ9" s="117" t="n"/>
      <c r="IK9" s="121">
        <f>IJ9*100/$E$9</f>
        <v/>
      </c>
      <c r="IL9" s="117" t="n"/>
      <c r="IM9" s="90">
        <f>IL9*100/$E$9</f>
        <v/>
      </c>
      <c r="IN9" s="117" t="n"/>
      <c r="IO9" s="90">
        <f>IN9*100/$E$9</f>
        <v/>
      </c>
      <c r="IP9" s="117" t="n"/>
      <c r="IQ9" s="121">
        <f>IP9*100/$E$9</f>
        <v/>
      </c>
      <c r="IR9" s="117" t="n"/>
      <c r="IS9" s="121">
        <f>IR9*100/$E$9</f>
        <v/>
      </c>
      <c r="IT9" s="117" t="n"/>
      <c r="IU9" s="121">
        <f>IT9*100/$E$9</f>
        <v/>
      </c>
      <c r="IV9" s="117" t="n"/>
      <c r="IW9" s="121">
        <f>IV9*100/$E$9</f>
        <v/>
      </c>
      <c r="IX9" s="117" t="n"/>
      <c r="IY9" s="121">
        <f>IX9*100/$E$9</f>
        <v/>
      </c>
      <c r="IZ9" s="117" t="n"/>
      <c r="JA9" s="121">
        <f>IZ9*100/$E$9</f>
        <v/>
      </c>
      <c r="JB9" s="117" t="n"/>
      <c r="JC9" s="121">
        <f>JB9*100/$E$9</f>
        <v/>
      </c>
      <c r="JD9" s="117" t="n"/>
      <c r="JE9" s="121">
        <f>JD9*100/$E$9</f>
        <v/>
      </c>
      <c r="JF9" s="119" t="n"/>
      <c r="JG9" s="121">
        <f>JF9*100/$E$9</f>
        <v/>
      </c>
      <c r="JH9" s="117" t="n"/>
      <c r="JI9" s="121">
        <f>JH9*100/$E$9</f>
        <v/>
      </c>
      <c r="JJ9" s="117" t="n"/>
      <c r="JK9" s="121">
        <f>JJ9*100/$E$9</f>
        <v/>
      </c>
      <c r="JL9" s="117" t="n">
        <v>2</v>
      </c>
      <c r="JM9" s="121">
        <f>JL9*100/$E$9</f>
        <v/>
      </c>
      <c r="JN9" s="117" t="n"/>
      <c r="JO9" s="122">
        <f>JN9*100/$E$9</f>
        <v/>
      </c>
      <c r="JP9" s="117" t="n"/>
      <c r="JQ9" s="122">
        <f>JP9*100/$E$9</f>
        <v/>
      </c>
      <c r="JR9" s="117" t="n"/>
      <c r="JS9" s="122">
        <f>JR9*100/$E$9</f>
        <v/>
      </c>
      <c r="JT9" s="117" t="n"/>
      <c r="JU9" s="122">
        <f>JT9*100/$E$9</f>
        <v/>
      </c>
      <c r="JV9" s="108" t="n"/>
      <c r="JW9" s="122">
        <f>JV9*100/$E$9</f>
        <v/>
      </c>
      <c r="JX9" s="108" t="n"/>
      <c r="JY9" s="122">
        <f>JX9*100/$E$9</f>
        <v/>
      </c>
      <c r="JZ9" s="55">
        <f>JN9+JP9+JR9+JT9+JV9+JX9</f>
        <v/>
      </c>
      <c r="KA9" s="53">
        <f>JO9+JQ9+JS9+JU9+JW9+JY9</f>
        <v/>
      </c>
      <c r="KB9" s="64">
        <f>H9+J9+L9+N9+P9+R9+T9+V9+X9+Z9+AB9+AD9+AF9+AH9+AJ9+AL9+AN9+AP9+AR9+AT9+AV9+AX9+AZ9+BB9+BD9+BF9+BH9+BJ9+BL9+BN9+BP9+BR9+BT9+BV9+BX9+BZ9+CB9+CD9+CF9+CH9+CZ9+DB9+DD9+DF9+DH9+DJ9+DL9+DN9+DP9+DR9+DT9+DV9+DX9+DZ9+EB9+ED9+EF9+EH9+EJ9+EL9+EN9+EP9+ER9+ET9+EV9+FN9+FP9+FR9+FT9+FV9+FX9+FZ9+GB9+GD9+GF9+GH9+GJ9+GL9+GN9+GP9+GR9+GT9+GV9+GX9+GZ9+HB9+HD9+HF9+HH9+HJ9+HL9+HN9+HP9+HR9+HT9+HV9+HX9+HZ9+IB9+ID9+IF9+IH9+IJ9+IL9+IN9+IP9+IR9+IT9+IV9+IX9+IZ9+JB9+JD9+JF9+JH9+JJ9+JL9+JZ9+CJ9+CL9+CN9+CP9+CR9+CT9+CV9+CX9+EX9+EZ9+FB9+FD9+FF9+FH9+FJ9+FL9</f>
        <v/>
      </c>
      <c r="KC9" s="66">
        <f>I9+K9+M9+O9+Q9+S9+U9+W9+Y9+AA9+AC9+AE9+AG9+AI9+AK9+AM9+AO9+AQ9+AS9+AU9+AW9+AY9+BA9+BC9+BE9+BG9+BI9+BK9+BM9+BO9+BQ9+BS9+BU9+BW9+BY9+CA9+CC9+CE9+CG9+CI9+DA9+DC9+DE9+DG9+DI9+DK9+DM9+DO9+DQ9+DS9+DU9+DW9+DY9+EA9+EC9+EE9+EG9+EI9+EK9+EM9+EO9+EQ9+ES9+EU9+EW9+FO9+FS9+FU9+FW9+FQ9+FY9+GA9+GC9+GE9+GG9+GI9+GK9+GM9+GO9+GQ9+GS9+GU9+GW9+GY9+HA9+HC9+HE9+HG9+HI9+HK9+HM9+HO9+HQ9+HS9+HU9+HW9+HY9+IA9+IC9+IE9+IG9+II9+IK9+IM9+IO9+IQ9+IS9+IU9+IW9+IY9+JA9+JC9+JE9+JG9+JI9+JK9+JM9+KA9+CK9+CM9+CO9+CQ9+CS9+CU9+CW9+CY9+EY9+FA9+FC9+FE9+FG9+FI9+FK9+FM9</f>
        <v/>
      </c>
      <c r="KD9" s="44">
        <f>JO9+JQ9+JS9+JU9+JW9+JY9</f>
        <v/>
      </c>
      <c r="KE9" s="45">
        <f>KB9=E9</f>
        <v/>
      </c>
      <c r="KF9" s="101">
        <f>E9-KB9</f>
        <v/>
      </c>
    </row>
    <row r="10" ht="21.75" customFormat="1" customHeight="1" s="12">
      <c r="A10" s="126">
        <f>A9+1</f>
        <v/>
      </c>
      <c r="B10" s="175" t="inlineStr">
        <is>
          <t>Бецких А. В.</t>
        </is>
      </c>
      <c r="C10" s="176" t="inlineStr">
        <is>
          <t>слесарь МСР</t>
        </is>
      </c>
      <c r="D10" s="177">
        <f>$D$5</f>
        <v/>
      </c>
      <c r="E10" s="202" t="n"/>
      <c r="F10" s="178" t="n">
        <v>49335</v>
      </c>
      <c r="G10" s="52">
        <f>F10/D10</f>
        <v/>
      </c>
      <c r="H10" s="125" t="n"/>
      <c r="I10" s="90">
        <f>H10*100/$E$10</f>
        <v/>
      </c>
      <c r="J10" s="108" t="n"/>
      <c r="K10" s="90">
        <f>J10*100/$E$10</f>
        <v/>
      </c>
      <c r="L10" s="108" t="n"/>
      <c r="M10" s="90">
        <f>L10*100/$E$10</f>
        <v/>
      </c>
      <c r="N10" s="108" t="n"/>
      <c r="O10" s="90">
        <f>N10*100/$E$10</f>
        <v/>
      </c>
      <c r="P10" s="108" t="n"/>
      <c r="Q10" s="121">
        <f>P10*100/$E$10</f>
        <v/>
      </c>
      <c r="R10" s="108" t="n"/>
      <c r="S10" s="121">
        <f>R10*100/$E$10</f>
        <v/>
      </c>
      <c r="T10" s="108" t="n"/>
      <c r="U10" s="90">
        <f>T10*100/$E$10</f>
        <v/>
      </c>
      <c r="V10" s="108" t="n"/>
      <c r="W10" s="90">
        <f>V10*100/$E$10</f>
        <v/>
      </c>
      <c r="X10" s="108" t="n"/>
      <c r="Y10" s="90">
        <f>X10*100/$E$10</f>
        <v/>
      </c>
      <c r="Z10" s="108" t="n"/>
      <c r="AA10" s="90">
        <f>Z10*100/$E$10</f>
        <v/>
      </c>
      <c r="AB10" s="108" t="n"/>
      <c r="AC10" s="90">
        <f>AB10*100/$E$10</f>
        <v/>
      </c>
      <c r="AD10" s="108" t="n"/>
      <c r="AE10" s="121">
        <f>AD10*100/$E$10</f>
        <v/>
      </c>
      <c r="AF10" s="108" t="n"/>
      <c r="AG10" s="121">
        <f>AF10*100/$E$10</f>
        <v/>
      </c>
      <c r="AH10" s="108" t="n"/>
      <c r="AI10" s="90">
        <f>AH10*100/$E$10</f>
        <v/>
      </c>
      <c r="AJ10" s="108" t="n"/>
      <c r="AK10" s="90">
        <f>AJ10*100/$E$10</f>
        <v/>
      </c>
      <c r="AL10" s="108" t="n"/>
      <c r="AM10" s="90">
        <f>AL10*100/$E$10</f>
        <v/>
      </c>
      <c r="AN10" s="108" t="n"/>
      <c r="AO10" s="90">
        <f>AN10*100/$E$10</f>
        <v/>
      </c>
      <c r="AP10" s="108" t="n"/>
      <c r="AQ10" s="90">
        <f>AP10*100/$E$10</f>
        <v/>
      </c>
      <c r="AR10" s="108" t="n"/>
      <c r="AS10" s="90">
        <f>AR10*100/$E$10</f>
        <v/>
      </c>
      <c r="AT10" s="108" t="n"/>
      <c r="AU10" s="90">
        <f>AT10*100/$E$10</f>
        <v/>
      </c>
      <c r="AV10" s="108" t="n"/>
      <c r="AW10" s="90">
        <f>AV10*100/$E$10</f>
        <v/>
      </c>
      <c r="AX10" s="108" t="n"/>
      <c r="AY10" s="90">
        <f>AX10*100/$E$10</f>
        <v/>
      </c>
      <c r="AZ10" s="108" t="n"/>
      <c r="BA10" s="90">
        <f>AZ10*100/$E$10</f>
        <v/>
      </c>
      <c r="BB10" s="108" t="n"/>
      <c r="BC10" s="90">
        <f>BB10*100/$E$10</f>
        <v/>
      </c>
      <c r="BD10" s="108" t="n"/>
      <c r="BE10" s="90">
        <f>BD10*100/$E$10</f>
        <v/>
      </c>
      <c r="BF10" s="108" t="n"/>
      <c r="BG10" s="90">
        <f>BF10*100/$E$10</f>
        <v/>
      </c>
      <c r="BH10" s="108" t="n"/>
      <c r="BI10" s="90">
        <f>BH10*100/$E$10</f>
        <v/>
      </c>
      <c r="BJ10" s="108" t="n"/>
      <c r="BK10" s="90">
        <f>BJ10*100/$E$10</f>
        <v/>
      </c>
      <c r="BL10" s="108" t="n"/>
      <c r="BM10" s="90">
        <f>BL10*100/$E$10</f>
        <v/>
      </c>
      <c r="BN10" s="108" t="n"/>
      <c r="BO10" s="90">
        <f>BN10*100/$E$10</f>
        <v/>
      </c>
      <c r="BP10" s="108" t="n"/>
      <c r="BQ10" s="90">
        <f>BP10*100/$E$10</f>
        <v/>
      </c>
      <c r="BR10" s="108" t="n"/>
      <c r="BS10" s="90">
        <f>BR10*100/$E$10</f>
        <v/>
      </c>
      <c r="BT10" s="108" t="n"/>
      <c r="BU10" s="90">
        <f>BT10*100/$E$10</f>
        <v/>
      </c>
      <c r="BV10" s="108" t="n"/>
      <c r="BW10" s="90">
        <f>BV10*100/$E$10</f>
        <v/>
      </c>
      <c r="BX10" s="108" t="n"/>
      <c r="BY10" s="90">
        <f>BX10*100/$E$10</f>
        <v/>
      </c>
      <c r="BZ10" s="108" t="n"/>
      <c r="CA10" s="90">
        <f>BZ10*100/$E$10</f>
        <v/>
      </c>
      <c r="CB10" s="108" t="n"/>
      <c r="CC10" s="90">
        <f>CB10*100/$E$10</f>
        <v/>
      </c>
      <c r="CD10" s="108" t="n"/>
      <c r="CE10" s="90">
        <f>CD10*100/$E$10</f>
        <v/>
      </c>
      <c r="CF10" s="108" t="n"/>
      <c r="CG10" s="90">
        <f>CF10*100/$E$10</f>
        <v/>
      </c>
      <c r="CH10" s="108" t="n"/>
      <c r="CI10" s="90">
        <f>CH10*100/$E$10</f>
        <v/>
      </c>
      <c r="CJ10" s="108" t="n"/>
      <c r="CK10" s="90">
        <f>CJ10*100/$E$10</f>
        <v/>
      </c>
      <c r="CL10" s="108" t="n"/>
      <c r="CM10" s="90">
        <f>CL10*100/$E$10</f>
        <v/>
      </c>
      <c r="CN10" s="108" t="n"/>
      <c r="CO10" s="122">
        <f>CN10*100/$E$10</f>
        <v/>
      </c>
      <c r="CP10" s="108" t="n"/>
      <c r="CQ10" s="90">
        <f>CP10*100/$E$10</f>
        <v/>
      </c>
      <c r="CR10" s="108" t="n"/>
      <c r="CS10" s="121">
        <f>CR10*100/$E$10</f>
        <v/>
      </c>
      <c r="CT10" s="108" t="n"/>
      <c r="CU10" s="121">
        <f>CT10*100/$E$10</f>
        <v/>
      </c>
      <c r="CV10" s="108" t="n"/>
      <c r="CW10" s="121">
        <f>CV10*100/$E$10</f>
        <v/>
      </c>
      <c r="CX10" s="108" t="n"/>
      <c r="CY10" s="121">
        <f>CX10*100/$E$10</f>
        <v/>
      </c>
      <c r="CZ10" s="108" t="n"/>
      <c r="DA10" s="121">
        <f>CZ10*100/$E$10</f>
        <v/>
      </c>
      <c r="DB10" s="108" t="n"/>
      <c r="DC10" s="121">
        <f>DB10*100/$E$10</f>
        <v/>
      </c>
      <c r="DD10" s="108" t="n"/>
      <c r="DE10" s="121">
        <f>DD10*100/$E$10</f>
        <v/>
      </c>
      <c r="DF10" s="108" t="n"/>
      <c r="DG10" s="121">
        <f>DF10*100/$E$10</f>
        <v/>
      </c>
      <c r="DH10" s="108" t="n"/>
      <c r="DI10" s="121">
        <f>DH10*100/$E$10</f>
        <v/>
      </c>
      <c r="DJ10" s="108" t="n"/>
      <c r="DK10" s="121">
        <f>DJ10*100/$E$10</f>
        <v/>
      </c>
      <c r="DL10" s="108" t="n"/>
      <c r="DM10" s="121">
        <f>DL10*100/$E$10</f>
        <v/>
      </c>
      <c r="DN10" s="108" t="n"/>
      <c r="DO10" s="121">
        <f>DN10*100/$E$10</f>
        <v/>
      </c>
      <c r="DP10" s="108" t="n"/>
      <c r="DQ10" s="121">
        <f>DP10*100/$E$10</f>
        <v/>
      </c>
      <c r="DR10" s="108" t="n"/>
      <c r="DS10" s="121">
        <f>DR10*100/$E$10</f>
        <v/>
      </c>
      <c r="DT10" s="108" t="n"/>
      <c r="DU10" s="121">
        <f>DT10*100/$E$10</f>
        <v/>
      </c>
      <c r="DV10" s="108" t="n"/>
      <c r="DW10" s="121">
        <f>DV10*100/$E$10</f>
        <v/>
      </c>
      <c r="DX10" s="108" t="n"/>
      <c r="DY10" s="121">
        <f>DX10*100/$E$10</f>
        <v/>
      </c>
      <c r="DZ10" s="108" t="n"/>
      <c r="EA10" s="121">
        <f>DZ10*100/$E$10</f>
        <v/>
      </c>
      <c r="EB10" s="108" t="n"/>
      <c r="EC10" s="121">
        <f>EB10*100/$E$10</f>
        <v/>
      </c>
      <c r="ED10" s="108" t="n"/>
      <c r="EE10" s="121">
        <f>ED10*100/$E$10</f>
        <v/>
      </c>
      <c r="EF10" s="108" t="n"/>
      <c r="EG10" s="121">
        <f>EF10*100/$E$10</f>
        <v/>
      </c>
      <c r="EH10" s="108" t="n"/>
      <c r="EI10" s="121">
        <f>EH10*100/$E$10</f>
        <v/>
      </c>
      <c r="EJ10" s="108" t="n"/>
      <c r="EK10" s="121">
        <f>EJ10*100/$E$10</f>
        <v/>
      </c>
      <c r="EL10" s="108" t="n"/>
      <c r="EM10" s="121">
        <f>EL10*100/$E$10</f>
        <v/>
      </c>
      <c r="EN10" s="108" t="n"/>
      <c r="EO10" s="121">
        <f>EN10*100/$E$10</f>
        <v/>
      </c>
      <c r="EP10" s="108" t="n"/>
      <c r="EQ10" s="121">
        <f>EP10*100/$E$10</f>
        <v/>
      </c>
      <c r="ER10" s="108" t="n"/>
      <c r="ES10" s="121">
        <f>ER10*100/$E$10</f>
        <v/>
      </c>
      <c r="ET10" s="108" t="n"/>
      <c r="EU10" s="121">
        <f>ET10*100/$E$10</f>
        <v/>
      </c>
      <c r="EV10" s="108" t="n"/>
      <c r="EW10" s="121">
        <f>EV10*100/$E$10</f>
        <v/>
      </c>
      <c r="EX10" s="108" t="n"/>
      <c r="EY10" s="121">
        <f>EX10*100/$E$10</f>
        <v/>
      </c>
      <c r="EZ10" s="108" t="n"/>
      <c r="FA10" s="121">
        <f>EZ10*100/$E$10</f>
        <v/>
      </c>
      <c r="FB10" s="108" t="n"/>
      <c r="FC10" s="121">
        <f>FB10*100/$E$10</f>
        <v/>
      </c>
      <c r="FD10" s="108" t="n"/>
      <c r="FE10" s="121">
        <f>FD10*100/$E$10</f>
        <v/>
      </c>
      <c r="FF10" s="108" t="n"/>
      <c r="FG10" s="121">
        <f>FF10*100/$E$10</f>
        <v/>
      </c>
      <c r="FH10" s="108" t="n"/>
      <c r="FI10" s="121">
        <f>FH10*100/$E$10</f>
        <v/>
      </c>
      <c r="FJ10" s="108" t="n"/>
      <c r="FK10" s="121">
        <f>FJ10*100/$E$10</f>
        <v/>
      </c>
      <c r="FL10" s="108" t="n"/>
      <c r="FM10" s="121">
        <f>FL10*100/$E$10</f>
        <v/>
      </c>
      <c r="FN10" s="108" t="n"/>
      <c r="FO10" s="121">
        <f>FN10*100/$E$10</f>
        <v/>
      </c>
      <c r="FP10" s="108" t="n"/>
      <c r="FQ10" s="121">
        <f>FP10*100/$E$10</f>
        <v/>
      </c>
      <c r="FR10" s="108" t="n"/>
      <c r="FS10" s="121">
        <f>FR10*100/$E$10</f>
        <v/>
      </c>
      <c r="FT10" s="108" t="n"/>
      <c r="FU10" s="121">
        <f>FT10*100/$E$10</f>
        <v/>
      </c>
      <c r="FV10" s="108" t="n"/>
      <c r="FW10" s="121">
        <f>FV10*100/$E$10</f>
        <v/>
      </c>
      <c r="FX10" s="108" t="n"/>
      <c r="FY10" s="90">
        <f>FX10*100/$E$10</f>
        <v/>
      </c>
      <c r="FZ10" s="108" t="n"/>
      <c r="GA10" s="90">
        <f>FZ10*100/$E$10</f>
        <v/>
      </c>
      <c r="GB10" s="108" t="n"/>
      <c r="GC10" s="90">
        <f>GB10*100/$E$10</f>
        <v/>
      </c>
      <c r="GD10" s="108" t="n"/>
      <c r="GE10" s="90">
        <f>GD10*100/$E$10</f>
        <v/>
      </c>
      <c r="GF10" s="108" t="n"/>
      <c r="GG10" s="90">
        <f>GF10*100/$E$10</f>
        <v/>
      </c>
      <c r="GH10" s="108" t="n"/>
      <c r="GI10" s="90">
        <f>GH10*100/$E$10</f>
        <v/>
      </c>
      <c r="GJ10" s="108" t="n"/>
      <c r="GK10" s="121">
        <f>GJ10*100/$E$10</f>
        <v/>
      </c>
      <c r="GL10" s="108" t="n"/>
      <c r="GM10" s="90">
        <f>GL10*100/$E$10</f>
        <v/>
      </c>
      <c r="GN10" s="108" t="n"/>
      <c r="GO10" s="121">
        <f>GN10*100/$E$10</f>
        <v/>
      </c>
      <c r="GP10" s="108" t="n"/>
      <c r="GQ10" s="90">
        <f>GP10*100/$E$10</f>
        <v/>
      </c>
      <c r="GR10" s="108" t="n"/>
      <c r="GS10" s="121">
        <f>GR10*100/$E$10</f>
        <v/>
      </c>
      <c r="GT10" s="108" t="n"/>
      <c r="GU10" s="121">
        <f>GT10*100/$E$10</f>
        <v/>
      </c>
      <c r="GV10" s="108" t="n"/>
      <c r="GW10" s="121">
        <f>GV10*100/$E$10</f>
        <v/>
      </c>
      <c r="GX10" s="108" t="n"/>
      <c r="GY10" s="90">
        <f>GX10*100/$E$10</f>
        <v/>
      </c>
      <c r="GZ10" s="108" t="n"/>
      <c r="HA10" s="90">
        <f>GZ10*100/$E$10</f>
        <v/>
      </c>
      <c r="HB10" s="108" t="n"/>
      <c r="HC10" s="90">
        <f>HB10*100/$E$10</f>
        <v/>
      </c>
      <c r="HD10" s="108" t="n"/>
      <c r="HE10" s="90">
        <f>HD10*100/$E$10</f>
        <v/>
      </c>
      <c r="HF10" s="108" t="n"/>
      <c r="HG10" s="90">
        <f>HF10*100/$E$10</f>
        <v/>
      </c>
      <c r="HH10" s="108" t="n"/>
      <c r="HI10" s="90">
        <f>HH10*100/$E$10</f>
        <v/>
      </c>
      <c r="HJ10" s="108" t="n"/>
      <c r="HK10" s="90">
        <f>HJ10*100/$E$10</f>
        <v/>
      </c>
      <c r="HL10" s="108" t="n"/>
      <c r="HM10" s="90">
        <f>HL10*100/$E$10</f>
        <v/>
      </c>
      <c r="HN10" s="108" t="n"/>
      <c r="HO10" s="90">
        <f>HN10*100/$E$10</f>
        <v/>
      </c>
      <c r="HP10" s="108" t="n"/>
      <c r="HQ10" s="90">
        <f>HP10*100/$E$10</f>
        <v/>
      </c>
      <c r="HR10" s="108" t="n"/>
      <c r="HS10" s="90">
        <f>HR10*100/$E$10</f>
        <v/>
      </c>
      <c r="HT10" s="108" t="n"/>
      <c r="HU10" s="90">
        <f>HT10*100/$E$10</f>
        <v/>
      </c>
      <c r="HV10" s="108" t="n"/>
      <c r="HW10" s="90">
        <f>HV10*100/$E$10</f>
        <v/>
      </c>
      <c r="HX10" s="108" t="n"/>
      <c r="HY10" s="90">
        <f>HX10*100/$E$10</f>
        <v/>
      </c>
      <c r="HZ10" s="108" t="n"/>
      <c r="IA10" s="121">
        <f>HZ10*100/$E$10</f>
        <v/>
      </c>
      <c r="IB10" s="108" t="n"/>
      <c r="IC10" s="121">
        <f>IB10*100/$E$10</f>
        <v/>
      </c>
      <c r="ID10" s="108" t="n"/>
      <c r="IE10" s="121">
        <f>ID10*100/$E$10</f>
        <v/>
      </c>
      <c r="IF10" s="108" t="n"/>
      <c r="IG10" s="121">
        <f>IF10*100/$E$10</f>
        <v/>
      </c>
      <c r="IH10" s="108" t="n"/>
      <c r="II10" s="121">
        <f>IH10*100/$E$10</f>
        <v/>
      </c>
      <c r="IJ10" s="108" t="n"/>
      <c r="IK10" s="121">
        <f>IJ10*100/$E$10</f>
        <v/>
      </c>
      <c r="IL10" s="108" t="n"/>
      <c r="IM10" s="90">
        <f>IL10*100/$E$10</f>
        <v/>
      </c>
      <c r="IN10" s="108" t="n"/>
      <c r="IO10" s="90">
        <f>IN10*100/$E$10</f>
        <v/>
      </c>
      <c r="IP10" s="108" t="n"/>
      <c r="IQ10" s="121">
        <f>IP10*100/$E$10</f>
        <v/>
      </c>
      <c r="IR10" s="108" t="n"/>
      <c r="IS10" s="121">
        <f>IR10*100/$E$10</f>
        <v/>
      </c>
      <c r="IT10" s="108" t="n"/>
      <c r="IU10" s="121">
        <f>IT10*100/$E$10</f>
        <v/>
      </c>
      <c r="IV10" s="108" t="n"/>
      <c r="IW10" s="121">
        <f>IV10*100/$E$10</f>
        <v/>
      </c>
      <c r="IX10" s="108" t="n"/>
      <c r="IY10" s="121">
        <f>IX10*100/$E$10</f>
        <v/>
      </c>
      <c r="IZ10" s="108" t="n"/>
      <c r="JA10" s="121">
        <f>IZ10*100/$E$10</f>
        <v/>
      </c>
      <c r="JB10" s="108" t="n"/>
      <c r="JC10" s="121">
        <f>JB10*100/$E$10</f>
        <v/>
      </c>
      <c r="JD10" s="108" t="n"/>
      <c r="JE10" s="121">
        <f>JD10*100/$E$10</f>
        <v/>
      </c>
      <c r="JF10" s="108" t="n"/>
      <c r="JG10" s="121">
        <f>JF10*100/$E$10</f>
        <v/>
      </c>
      <c r="JH10" s="108" t="n"/>
      <c r="JI10" s="121">
        <f>JH10*100/$E$10</f>
        <v/>
      </c>
      <c r="JJ10" s="108" t="n"/>
      <c r="JK10" s="121">
        <f>JJ10*100/$E$10</f>
        <v/>
      </c>
      <c r="JL10" s="108" t="n"/>
      <c r="JM10" s="121">
        <f>JL10*100/$E$10</f>
        <v/>
      </c>
      <c r="JN10" s="108" t="n"/>
      <c r="JO10" s="122">
        <f>JN10*100/$E$10</f>
        <v/>
      </c>
      <c r="JP10" s="108" t="n"/>
      <c r="JQ10" s="122">
        <f>JP10*100/$E$10</f>
        <v/>
      </c>
      <c r="JR10" s="108" t="n"/>
      <c r="JS10" s="122">
        <f>JR10*100/$E$10</f>
        <v/>
      </c>
      <c r="JT10" s="108" t="n"/>
      <c r="JU10" s="122">
        <f>JT10*100/$E$10</f>
        <v/>
      </c>
      <c r="JV10" s="108" t="n"/>
      <c r="JW10" s="122">
        <f>JV10*100/$E$10</f>
        <v/>
      </c>
      <c r="JX10" s="108" t="n"/>
      <c r="JY10" s="122">
        <f>JX10*100/$E$10</f>
        <v/>
      </c>
      <c r="JZ10" s="55">
        <f>JN10+JP10+JR10+JT10+JV10+JX10</f>
        <v/>
      </c>
      <c r="KA10" s="53">
        <f>JO10+JQ10+JS10+JU10+JW10+JY10</f>
        <v/>
      </c>
      <c r="KB10" s="64">
        <f>H10+J10+L10+N10+P10+R10+T10+V10+X10+Z10+AB10+AD10+AF10+AH10+AJ10+AL10+AN10+AP10+AR10+AT10+AV10+AX10+AZ10+BB10+BD10+BF10+BH10+BJ10+BL10+BN10+BP10+BR10+BT10+BV10+BX10+BZ10+CB10+CD10+CF10+CH10+CZ10+DB10+DD10+DF10+DH10+DJ10+DL10+DN10+DP10+DR10+DT10+DV10+DX10+DZ10+EB10+ED10+EF10+EH10+EJ10+EL10+EN10+EP10+ER10+ET10+EV10+FN10+FP10+FR10+FT10+FV10+FX10+FZ10+GB10+GD10+GF10+GH10+GJ10+GL10+GN10+GP10+GR10+GT10+GV10+GX10+GZ10+HB10+HD10+HF10+HH10+HJ10+HL10+HN10+HP10+HR10+HT10+HV10+HX10+HZ10+IB10+ID10+IF10+IH10+IJ10+IL10+IN10+IP10+IR10+IT10+IV10+IX10+IZ10+JB10+JD10+JF10+JH10+JJ10+JL10+JZ10+CJ10+CL10+CN10+CP10+CR10+CT10+CV10+CX10+EX10+EZ10+FB10+FD10+FF10+FH10+FJ10+FL10</f>
        <v/>
      </c>
      <c r="KC10" s="66">
        <f>I10+K10+M10+O10+Q10+S10+U10+W10+Y10+AA10+AC10+AE10+AG10+AI10+AK10+AM10+AO10+AQ10+AS10+AU10+AW10+AY10+BA10+BC10+BE10+BG10+BI10+BK10+BM10+BO10+BQ10+BS10+BU10+BW10+BY10+CA10+CC10+CE10+CG10+CI10+DA10+DC10+DE10+DG10+DI10+DK10+DM10+DO10+DQ10+DS10+DU10+DW10+DY10+EA10+EC10+EE10+EG10+EI10+EK10+EM10+EO10+EQ10+ES10+EU10+EW10+FO10+FS10+FU10+FW10+FQ10+FY10+GA10+GC10+GE10+GG10+GI10+GK10+GM10+GO10+GQ10+GS10+GU10+GW10+GY10+HA10+HC10+HE10+HG10+HI10+HK10+HM10+HO10+HQ10+HS10+HU10+HW10+HY10+IA10+IC10+IE10+IG10+II10+IK10+IM10+IO10+IQ10+IS10+IU10+IW10+IY10+JA10+JC10+JE10+JG10+JI10+JK10+JM10+KA10+CK10+CM10+CO10+CQ10+CS10+CU10+CW10+CY10+EY10+FA10+FC10+FE10+FG10+FI10+FK10+FM10</f>
        <v/>
      </c>
      <c r="KD10" s="44">
        <f>JO10+JQ10+JS10+JU10+JW10+JY10</f>
        <v/>
      </c>
      <c r="KE10" s="45">
        <f>KB10=E10</f>
        <v/>
      </c>
      <c r="KF10" s="101">
        <f>E10-KB10</f>
        <v/>
      </c>
    </row>
    <row r="11" ht="21.75" customFormat="1" customHeight="1" s="17">
      <c r="A11" s="126">
        <f>A10+1</f>
        <v/>
      </c>
      <c r="B11" s="175" t="inlineStr">
        <is>
          <t>Блощинский С.В.</t>
        </is>
      </c>
      <c r="C11" s="176" t="inlineStr">
        <is>
          <t>слесарь</t>
        </is>
      </c>
      <c r="D11" s="177">
        <f>$D$5</f>
        <v/>
      </c>
      <c r="E11" s="202" t="n">
        <v>136</v>
      </c>
      <c r="F11" s="178" t="n">
        <v>68902.87</v>
      </c>
      <c r="G11" s="52">
        <f>F11/D11</f>
        <v/>
      </c>
      <c r="H11" s="125" t="n"/>
      <c r="I11" s="90">
        <f>H11*100/$E$11</f>
        <v/>
      </c>
      <c r="J11" s="108" t="n"/>
      <c r="K11" s="90">
        <f>J11*100/$E$10</f>
        <v/>
      </c>
      <c r="L11" s="108" t="n"/>
      <c r="M11" s="90">
        <f>L11*100/$E$10</f>
        <v/>
      </c>
      <c r="N11" s="108" t="n"/>
      <c r="O11" s="90">
        <f>N11*100/$E$10</f>
        <v/>
      </c>
      <c r="P11" s="108" t="n"/>
      <c r="Q11" s="121">
        <f>P11*100/$E$10</f>
        <v/>
      </c>
      <c r="R11" s="108" t="n"/>
      <c r="S11" s="121">
        <f>R11*100/$E$10</f>
        <v/>
      </c>
      <c r="T11" s="108" t="n"/>
      <c r="U11" s="90">
        <f>T11*100/$E$11</f>
        <v/>
      </c>
      <c r="V11" s="108" t="n"/>
      <c r="W11" s="90">
        <f>V11*100/$E$10</f>
        <v/>
      </c>
      <c r="X11" s="108" t="n"/>
      <c r="Y11" s="90">
        <f>X11*100/$E$11</f>
        <v/>
      </c>
      <c r="Z11" s="108" t="n"/>
      <c r="AA11" s="90">
        <f>Z11*100/$E$11</f>
        <v/>
      </c>
      <c r="AB11" s="108" t="n"/>
      <c r="AC11" s="90">
        <f>AB11*100/$E$11</f>
        <v/>
      </c>
      <c r="AD11" s="108" t="n"/>
      <c r="AE11" s="121">
        <f>AD11*100/$E$11</f>
        <v/>
      </c>
      <c r="AF11" s="108" t="n"/>
      <c r="AG11" s="121">
        <f>AF11*100/$E$11</f>
        <v/>
      </c>
      <c r="AH11" s="108" t="n"/>
      <c r="AI11" s="90">
        <f>AH11*100/$E$11</f>
        <v/>
      </c>
      <c r="AJ11" s="108" t="n"/>
      <c r="AK11" s="90">
        <f>AJ11*100/$E$11</f>
        <v/>
      </c>
      <c r="AL11" s="108" t="n"/>
      <c r="AM11" s="90">
        <f>AL11*100/$E$11</f>
        <v/>
      </c>
      <c r="AN11" s="108" t="n"/>
      <c r="AO11" s="90">
        <f>AN11*100/$E$11</f>
        <v/>
      </c>
      <c r="AP11" s="108" t="n"/>
      <c r="AQ11" s="90">
        <f>AP11*100/$E$11</f>
        <v/>
      </c>
      <c r="AR11" s="108" t="n"/>
      <c r="AS11" s="90">
        <f>AR11*100/$E$11</f>
        <v/>
      </c>
      <c r="AT11" s="108" t="n"/>
      <c r="AU11" s="90">
        <f>AT11*100/$E$11</f>
        <v/>
      </c>
      <c r="AV11" s="108" t="n"/>
      <c r="AW11" s="90">
        <f>AV11*100/$E$11</f>
        <v/>
      </c>
      <c r="AX11" s="108" t="n"/>
      <c r="AY11" s="90">
        <f>AX11*100/$E$11</f>
        <v/>
      </c>
      <c r="AZ11" s="108" t="n"/>
      <c r="BA11" s="90">
        <f>AZ11*100/$E$11</f>
        <v/>
      </c>
      <c r="BB11" s="108" t="n"/>
      <c r="BC11" s="90">
        <f>BB11*100/$E$11</f>
        <v/>
      </c>
      <c r="BD11" s="108" t="n"/>
      <c r="BE11" s="90">
        <f>BD11*100/$E$11</f>
        <v/>
      </c>
      <c r="BF11" s="108" t="n"/>
      <c r="BG11" s="90">
        <f>BF11*100/$E$11</f>
        <v/>
      </c>
      <c r="BH11" s="108" t="n"/>
      <c r="BI11" s="90">
        <f>BH11*100/$E$11</f>
        <v/>
      </c>
      <c r="BJ11" s="108" t="n"/>
      <c r="BK11" s="90">
        <f>BJ11*100/$E$11</f>
        <v/>
      </c>
      <c r="BL11" s="108" t="n"/>
      <c r="BM11" s="90">
        <f>BL11*100/$E$11</f>
        <v/>
      </c>
      <c r="BN11" s="108" t="n"/>
      <c r="BO11" s="90">
        <f>BN11*100/$E$11</f>
        <v/>
      </c>
      <c r="BP11" s="108" t="n"/>
      <c r="BQ11" s="90">
        <f>BP11*100/$E$11</f>
        <v/>
      </c>
      <c r="BR11" s="108" t="n"/>
      <c r="BS11" s="90">
        <f>BR11*100/$E$11</f>
        <v/>
      </c>
      <c r="BT11" s="108" t="n">
        <v>8</v>
      </c>
      <c r="BU11" s="90">
        <f>BT11*100/$E$11</f>
        <v/>
      </c>
      <c r="BV11" s="108" t="n"/>
      <c r="BW11" s="90">
        <f>BV11*100/$E$11</f>
        <v/>
      </c>
      <c r="BX11" s="108" t="n"/>
      <c r="BY11" s="90">
        <f>BX11*100/$E$11</f>
        <v/>
      </c>
      <c r="BZ11" s="108" t="n"/>
      <c r="CA11" s="90">
        <f>BZ11*100/$E$11</f>
        <v/>
      </c>
      <c r="CB11" s="108" t="n"/>
      <c r="CC11" s="90">
        <f>CB11*100/$E$11</f>
        <v/>
      </c>
      <c r="CD11" s="108" t="n"/>
      <c r="CE11" s="90">
        <f>CD11*100/$E$10</f>
        <v/>
      </c>
      <c r="CF11" s="108" t="n"/>
      <c r="CG11" s="90">
        <f>CF11*100/$E$11</f>
        <v/>
      </c>
      <c r="CH11" s="108" t="n">
        <v>8</v>
      </c>
      <c r="CI11" s="90">
        <f>CH11*100/$E$11</f>
        <v/>
      </c>
      <c r="CJ11" s="108" t="n"/>
      <c r="CK11" s="90">
        <f>CJ11*100/$E$11</f>
        <v/>
      </c>
      <c r="CL11" s="108" t="n"/>
      <c r="CM11" s="90">
        <f>CL11*100/$E$11</f>
        <v/>
      </c>
      <c r="CN11" s="108" t="n"/>
      <c r="CO11" s="122">
        <f>CN11*100/$E$11</f>
        <v/>
      </c>
      <c r="CP11" s="108" t="n"/>
      <c r="CQ11" s="90">
        <f>CP11*100/$E$11</f>
        <v/>
      </c>
      <c r="CR11" s="108" t="n"/>
      <c r="CS11" s="121">
        <f>CR11*100/$E$11</f>
        <v/>
      </c>
      <c r="CT11" s="108" t="n"/>
      <c r="CU11" s="121">
        <f>CT11*100/$E$11</f>
        <v/>
      </c>
      <c r="CV11" s="108" t="n"/>
      <c r="CW11" s="121">
        <f>CV11*100/$E$11</f>
        <v/>
      </c>
      <c r="CX11" s="108" t="n"/>
      <c r="CY11" s="121">
        <f>CX11*100/$E$11</f>
        <v/>
      </c>
      <c r="CZ11" s="108" t="n"/>
      <c r="DA11" s="121">
        <f>CZ11*100/$E$11</f>
        <v/>
      </c>
      <c r="DB11" s="108" t="n"/>
      <c r="DC11" s="121">
        <f>DB11*100/$E$11</f>
        <v/>
      </c>
      <c r="DD11" s="108" t="n"/>
      <c r="DE11" s="121">
        <f>DD11*100/$E$11</f>
        <v/>
      </c>
      <c r="DF11" s="108" t="n"/>
      <c r="DG11" s="121">
        <f>DF11*100/$E$11</f>
        <v/>
      </c>
      <c r="DH11" s="108" t="n"/>
      <c r="DI11" s="121">
        <f>DH11*100/$E$11</f>
        <v/>
      </c>
      <c r="DJ11" s="108" t="n"/>
      <c r="DK11" s="121">
        <f>DJ11*100/$E$11</f>
        <v/>
      </c>
      <c r="DL11" s="108" t="n"/>
      <c r="DM11" s="121">
        <f>DL11*100/$E$11</f>
        <v/>
      </c>
      <c r="DN11" s="108" t="n"/>
      <c r="DO11" s="121">
        <f>DN11*100/$E$11</f>
        <v/>
      </c>
      <c r="DP11" s="108" t="n"/>
      <c r="DQ11" s="121">
        <f>DP11*100/$E$11</f>
        <v/>
      </c>
      <c r="DR11" s="108" t="n"/>
      <c r="DS11" s="121">
        <f>DR11*100/$E$11</f>
        <v/>
      </c>
      <c r="DT11" s="108" t="n"/>
      <c r="DU11" s="121">
        <f>DT11*100/$E$11</f>
        <v/>
      </c>
      <c r="DV11" s="108" t="n"/>
      <c r="DW11" s="121">
        <f>DV11*100/$E$11</f>
        <v/>
      </c>
      <c r="DX11" s="108" t="n"/>
      <c r="DY11" s="121">
        <f>DX11*100/$E$11</f>
        <v/>
      </c>
      <c r="DZ11" s="108" t="n"/>
      <c r="EA11" s="121">
        <f>DZ11*100/$E$11</f>
        <v/>
      </c>
      <c r="EB11" s="108" t="n"/>
      <c r="EC11" s="121">
        <f>EB11*100/$E$11</f>
        <v/>
      </c>
      <c r="ED11" s="108" t="n"/>
      <c r="EE11" s="121">
        <f>ED11*100/$E$11</f>
        <v/>
      </c>
      <c r="EF11" s="108" t="n"/>
      <c r="EG11" s="121">
        <f>EF11*100/$E$11</f>
        <v/>
      </c>
      <c r="EH11" s="108" t="n"/>
      <c r="EI11" s="121">
        <f>EH11*100/$E$11</f>
        <v/>
      </c>
      <c r="EJ11" s="108" t="n"/>
      <c r="EK11" s="121">
        <f>EJ11*100/$E$10</f>
        <v/>
      </c>
      <c r="EL11" s="108" t="n"/>
      <c r="EM11" s="121">
        <f>EL11*100/$E$11</f>
        <v/>
      </c>
      <c r="EN11" s="108" t="n"/>
      <c r="EO11" s="121">
        <f>EN11*100/$E$11</f>
        <v/>
      </c>
      <c r="EP11" s="108" t="n"/>
      <c r="EQ11" s="121">
        <f>EP11*100/$E$11</f>
        <v/>
      </c>
      <c r="ER11" s="108" t="n"/>
      <c r="ES11" s="121">
        <f>ER11*100/$E$11</f>
        <v/>
      </c>
      <c r="ET11" s="108" t="n"/>
      <c r="EU11" s="121">
        <f>ET11*100/$E$11</f>
        <v/>
      </c>
      <c r="EV11" s="108" t="n"/>
      <c r="EW11" s="121">
        <f>EV11*100/$E$11</f>
        <v/>
      </c>
      <c r="EX11" s="108" t="n"/>
      <c r="EY11" s="121">
        <f>EX11*100/$E$11</f>
        <v/>
      </c>
      <c r="EZ11" s="108" t="n"/>
      <c r="FA11" s="121">
        <f>EZ11*100/$E$11</f>
        <v/>
      </c>
      <c r="FB11" s="108" t="n"/>
      <c r="FC11" s="121">
        <f>FB11*100/$E$11</f>
        <v/>
      </c>
      <c r="FD11" s="108" t="n"/>
      <c r="FE11" s="121">
        <f>FD11*100/$E$11</f>
        <v/>
      </c>
      <c r="FF11" s="108" t="n"/>
      <c r="FG11" s="121">
        <f>FF11*100/$E$11</f>
        <v/>
      </c>
      <c r="FH11" s="108" t="n"/>
      <c r="FI11" s="121">
        <f>FH11*100/$E$11</f>
        <v/>
      </c>
      <c r="FJ11" s="108" t="n"/>
      <c r="FK11" s="121">
        <f>FJ11*100/$E$11</f>
        <v/>
      </c>
      <c r="FL11" s="108" t="n"/>
      <c r="FM11" s="121">
        <f>FL11*100/$E$11</f>
        <v/>
      </c>
      <c r="FN11" s="108" t="n"/>
      <c r="FO11" s="121">
        <f>FN11*100/$E$11</f>
        <v/>
      </c>
      <c r="FP11" s="108" t="n"/>
      <c r="FQ11" s="121">
        <f>FP11*100/$E$11</f>
        <v/>
      </c>
      <c r="FR11" s="108" t="n"/>
      <c r="FS11" s="121">
        <f>FR11*100/$E$11</f>
        <v/>
      </c>
      <c r="FT11" s="108" t="n"/>
      <c r="FU11" s="121">
        <f>FT11*100/$E$11</f>
        <v/>
      </c>
      <c r="FV11" s="108" t="n"/>
      <c r="FW11" s="121">
        <f>FV11*100/$E$11</f>
        <v/>
      </c>
      <c r="FX11" s="108" t="n"/>
      <c r="FY11" s="121">
        <f>FX11*100/$E$11</f>
        <v/>
      </c>
      <c r="FZ11" s="108" t="n"/>
      <c r="GA11" s="121">
        <f>FZ11*100/$E$11</f>
        <v/>
      </c>
      <c r="GB11" s="108" t="n">
        <v>16</v>
      </c>
      <c r="GC11" s="121">
        <f>GB11*100/$E$11</f>
        <v/>
      </c>
      <c r="GD11" s="108" t="n"/>
      <c r="GE11" s="121">
        <f>GD11*100/$E$11</f>
        <v/>
      </c>
      <c r="GF11" s="108" t="n"/>
      <c r="GG11" s="121">
        <f>GF11*100/$E$11</f>
        <v/>
      </c>
      <c r="GH11" s="108" t="n"/>
      <c r="GI11" s="121">
        <f>GH11*100/$E$11</f>
        <v/>
      </c>
      <c r="GJ11" s="108" t="n"/>
      <c r="GK11" s="121">
        <f>GJ11*100/$E$11</f>
        <v/>
      </c>
      <c r="GL11" s="108" t="n"/>
      <c r="GM11" s="121">
        <f>GL11*100/$E$11</f>
        <v/>
      </c>
      <c r="GN11" s="108" t="n"/>
      <c r="GO11" s="121">
        <f>GN11*100/$E$11</f>
        <v/>
      </c>
      <c r="GP11" s="108" t="n"/>
      <c r="GQ11" s="121">
        <f>GP11*100/$E$11</f>
        <v/>
      </c>
      <c r="GR11" s="108" t="n"/>
      <c r="GS11" s="121">
        <f>GR11*100/$E$11</f>
        <v/>
      </c>
      <c r="GT11" s="108" t="n"/>
      <c r="GU11" s="121">
        <f>GT11*100/$E$11</f>
        <v/>
      </c>
      <c r="GV11" s="108" t="n"/>
      <c r="GW11" s="121">
        <f>GV11*100/$E$11</f>
        <v/>
      </c>
      <c r="GX11" s="108" t="n"/>
      <c r="GY11" s="121">
        <f>GX11*100/$E$11</f>
        <v/>
      </c>
      <c r="GZ11" s="108" t="n"/>
      <c r="HA11" s="121">
        <f>GZ11*100/$E$11</f>
        <v/>
      </c>
      <c r="HB11" s="108" t="n"/>
      <c r="HC11" s="121">
        <f>HB11*100/$E$11</f>
        <v/>
      </c>
      <c r="HD11" s="108" t="n"/>
      <c r="HE11" s="121">
        <f>HD11*100/$E$11</f>
        <v/>
      </c>
      <c r="HF11" s="108" t="n">
        <v>16</v>
      </c>
      <c r="HG11" s="121">
        <f>HF11*100/$E$11</f>
        <v/>
      </c>
      <c r="HH11" s="108" t="n">
        <v>64</v>
      </c>
      <c r="HI11" s="121">
        <f>HH11*100/$E$11</f>
        <v/>
      </c>
      <c r="HJ11" s="108" t="n"/>
      <c r="HK11" s="121">
        <f>HJ11*100/$E$11</f>
        <v/>
      </c>
      <c r="HL11" s="108" t="n">
        <v>24</v>
      </c>
      <c r="HM11" s="121">
        <f>HL11*100/$E$11</f>
        <v/>
      </c>
      <c r="HN11" s="108" t="n"/>
      <c r="HO11" s="121">
        <f>HN11*100/$E$11</f>
        <v/>
      </c>
      <c r="HP11" s="108" t="n"/>
      <c r="HQ11" s="121">
        <f>HP11*100/$E$11</f>
        <v/>
      </c>
      <c r="HR11" s="108" t="n"/>
      <c r="HS11" s="121">
        <f>HR11*100/$E$11</f>
        <v/>
      </c>
      <c r="HT11" s="108" t="n"/>
      <c r="HU11" s="121">
        <f>HT11*100/$E$11</f>
        <v/>
      </c>
      <c r="HV11" s="108" t="n"/>
      <c r="HW11" s="121">
        <f>HV11*100/$E$11</f>
        <v/>
      </c>
      <c r="HX11" s="108" t="n"/>
      <c r="HY11" s="121">
        <f>HX11*100/$E$11</f>
        <v/>
      </c>
      <c r="HZ11" s="108" t="n"/>
      <c r="IA11" s="121">
        <f>HZ11*100/$E$11</f>
        <v/>
      </c>
      <c r="IB11" s="108" t="n"/>
      <c r="IC11" s="121">
        <f>IB11*100/$E$11</f>
        <v/>
      </c>
      <c r="ID11" s="108" t="n"/>
      <c r="IE11" s="121">
        <f>ID11*100/$E$11</f>
        <v/>
      </c>
      <c r="IF11" s="108" t="n"/>
      <c r="IG11" s="121">
        <f>IF11*100/$E$11</f>
        <v/>
      </c>
      <c r="IH11" s="108" t="n"/>
      <c r="II11" s="121">
        <f>IH11*100/$E$11</f>
        <v/>
      </c>
      <c r="IJ11" s="108" t="n"/>
      <c r="IK11" s="121">
        <f>IJ11*100/$E$11</f>
        <v/>
      </c>
      <c r="IL11" s="108" t="n"/>
      <c r="IM11" s="121">
        <f>IL11*100/$E$11</f>
        <v/>
      </c>
      <c r="IN11" s="108" t="n"/>
      <c r="IO11" s="121">
        <f>IN11*100/$E$11</f>
        <v/>
      </c>
      <c r="IP11" s="108" t="n"/>
      <c r="IQ11" s="121">
        <f>IP11*100/$E$11</f>
        <v/>
      </c>
      <c r="IR11" s="108" t="n"/>
      <c r="IS11" s="121">
        <f>IR11*100/$E$11</f>
        <v/>
      </c>
      <c r="IT11" s="108" t="n"/>
      <c r="IU11" s="121">
        <f>IT11*100/$E$11</f>
        <v/>
      </c>
      <c r="IV11" s="108" t="n"/>
      <c r="IW11" s="121">
        <f>IV11*100/$E$11</f>
        <v/>
      </c>
      <c r="IX11" s="108" t="n"/>
      <c r="IY11" s="121">
        <f>IX11*100/$E$11</f>
        <v/>
      </c>
      <c r="IZ11" s="108" t="n"/>
      <c r="JA11" s="121">
        <f>IZ11*100/$E$11</f>
        <v/>
      </c>
      <c r="JB11" s="108" t="n"/>
      <c r="JC11" s="121">
        <f>JB11*100/$E$11</f>
        <v/>
      </c>
      <c r="JD11" s="108" t="n"/>
      <c r="JE11" s="121">
        <f>JD11*100/$E$11</f>
        <v/>
      </c>
      <c r="JF11" s="108" t="n"/>
      <c r="JG11" s="121">
        <f>JF11*100/$E$11</f>
        <v/>
      </c>
      <c r="JH11" s="108" t="n"/>
      <c r="JI11" s="121">
        <f>JH11*100/$E$11</f>
        <v/>
      </c>
      <c r="JJ11" s="108" t="n"/>
      <c r="JK11" s="121">
        <f>JJ11*100/$E$11</f>
        <v/>
      </c>
      <c r="JL11" s="108" t="n"/>
      <c r="JM11" s="121">
        <f>JL11*100/$E$11</f>
        <v/>
      </c>
      <c r="JN11" s="108" t="n"/>
      <c r="JO11" s="122">
        <f>JN11*100/$E$11</f>
        <v/>
      </c>
      <c r="JP11" s="108" t="n"/>
      <c r="JQ11" s="122">
        <f>JP11*100/$E$11</f>
        <v/>
      </c>
      <c r="JR11" s="108" t="n"/>
      <c r="JS11" s="122">
        <f>JR11*100/$E$11</f>
        <v/>
      </c>
      <c r="JT11" s="108" t="n"/>
      <c r="JU11" s="122">
        <f>JT11*100/$E$11</f>
        <v/>
      </c>
      <c r="JV11" s="108" t="n"/>
      <c r="JW11" s="122">
        <f>JV11*100/$E$11</f>
        <v/>
      </c>
      <c r="JX11" s="108" t="n"/>
      <c r="JY11" s="122">
        <f>JX11*100/$E$11</f>
        <v/>
      </c>
      <c r="JZ11" s="55">
        <f>JN11+JP11+JR11+JT11+JV11+JX11</f>
        <v/>
      </c>
      <c r="KA11" s="53">
        <f>JO11+JQ11+JS11+JU11+JW11+JY11</f>
        <v/>
      </c>
      <c r="KB11" s="64">
        <f>H11+J11+L11+N11+P11+R11+T11+V11+X11+Z11+AB11+AD11+AF11+AH11+AJ11+AL11+AN11+AP11+AR11+AT11+AV11+AX11+AZ11+BB11+BD11+BF11+BH11+BJ11+BL11+BN11+BP11+BR11+BT11+BV11+BX11+BZ11+CB11+CD11+CF11+CH11+CZ11+DB11+DD11+DF11+DH11+DJ11+DL11+DN11+DP11+DR11+DT11+DV11+DX11+DZ11+EB11+ED11+EF11+EH11+EJ11+EL11+EN11+EP11+ER11+ET11+EV11+FN11+FP11+FR11+FT11+FV11+FX11+FZ11+GB11+GD11+GF11+GH11+GJ11+GL11+GN11+GP11+GR11+GT11+GV11+GX11+GZ11+HB11+HD11+HF11+HH11+HJ11+HL11+HN11+HP11+HR11+HT11+HV11+HX11+HZ11+IB11+ID11+IF11+IH11+IJ11+IL11+IN11+IP11+IR11+IT11+IV11+IX11+IZ11+JB11+JD11+JF11+JH11+JJ11+JL11+JZ11+CJ11+CL11+CN11+CP11+CR11+CT11+CV11+CX11+EX11+EZ11+FB11+FD11+FF11+FH11+FJ11+FL11</f>
        <v/>
      </c>
      <c r="KC11" s="66">
        <f>I11+K11+M11+O11+Q11+S11+U11+W11+Y11+AA11+AC11+AE11+AG11+AI11+AK11+AM11+AO11+AQ11+AS11+AU11+AW11+AY11+BA11+BC11+BE11+BG11+BI11+BK11+BM11+BO11+BQ11+BS11+BU11+BW11+BY11+CA11+CC11+CE11+CG11+CI11+DA11+DC11+DE11+DG11+DI11+DK11+DM11+DO11+DQ11+DS11+DU11+DW11+DY11+EA11+EC11+EE11+EG11+EI11+EK11+EM11+EO11+EQ11+ES11+EU11+EW11+FO11+FS11+FU11+FW11+FQ11+FY11+GA11+GC11+GE11+GG11+GI11+GK11+GM11+GO11+GQ11+GS11+GU11+GW11+GY11+HA11+HC11+HE11+HG11+HI11+HK11+HM11+HO11+HQ11+HS11+HU11+HW11+HY11+IA11+IC11+IE11+IG11+II11+IK11+IM11+IO11+IQ11+IS11+IU11+IW11+IY11+JA11+JC11+JE11+JG11+JI11+JK11+JM11+KA11+CK11+CM11+CO11+CQ11+CS11+CU11+CW11+CY11+EY11+FA11+FC11+FE11+FG11+FI11+FK11+FM11</f>
        <v/>
      </c>
      <c r="KD11" s="44">
        <f>JO11+JQ11+JS11+JU11+JW11+JY11</f>
        <v/>
      </c>
      <c r="KE11" s="45">
        <f>KB11=E11</f>
        <v/>
      </c>
      <c r="KF11" s="101">
        <f>E11-KB11</f>
        <v/>
      </c>
    </row>
    <row r="12" ht="21.75" customFormat="1" customHeight="1" s="11">
      <c r="A12" s="126">
        <f>A11+1</f>
        <v/>
      </c>
      <c r="B12" s="175" t="inlineStr">
        <is>
          <t>Бреев И.И.</t>
        </is>
      </c>
      <c r="C12" s="194" t="inlineStr">
        <is>
          <t>токарь</t>
        </is>
      </c>
      <c r="D12" s="177">
        <f>$D$5</f>
        <v/>
      </c>
      <c r="E12" s="202" t="n">
        <v>162</v>
      </c>
      <c r="F12" s="191" t="n">
        <v>101150.45</v>
      </c>
      <c r="G12" s="52">
        <f>F12/D12</f>
        <v/>
      </c>
      <c r="H12" s="125" t="n"/>
      <c r="I12" s="90">
        <f>H12*100/$E$12</f>
        <v/>
      </c>
      <c r="J12" s="108" t="n"/>
      <c r="K12" s="90">
        <f>J12*100/$E$12</f>
        <v/>
      </c>
      <c r="L12" s="108" t="n"/>
      <c r="M12" s="90">
        <f>L12*100/$E$12</f>
        <v/>
      </c>
      <c r="N12" s="108" t="n"/>
      <c r="O12" s="90">
        <f>N12*100/$E$12</f>
        <v/>
      </c>
      <c r="P12" s="108" t="n"/>
      <c r="Q12" s="121">
        <f>P12*100/$E$12</f>
        <v/>
      </c>
      <c r="R12" s="108" t="n"/>
      <c r="S12" s="121">
        <f>R12*100/$E$12</f>
        <v/>
      </c>
      <c r="T12" s="108" t="n"/>
      <c r="U12" s="90">
        <f>T12*100/$E$12</f>
        <v/>
      </c>
      <c r="V12" s="108" t="n"/>
      <c r="W12" s="90">
        <f>V12*100/$E$12</f>
        <v/>
      </c>
      <c r="X12" s="108" t="n"/>
      <c r="Y12" s="90">
        <f>X12*100/$E$12</f>
        <v/>
      </c>
      <c r="Z12" s="108" t="n"/>
      <c r="AA12" s="90">
        <f>Z12*100/$E$12</f>
        <v/>
      </c>
      <c r="AB12" s="108" t="n"/>
      <c r="AC12" s="90">
        <f>AB12*100/$E$12</f>
        <v/>
      </c>
      <c r="AD12" s="108" t="n"/>
      <c r="AE12" s="121">
        <f>AD12*100/$E$12</f>
        <v/>
      </c>
      <c r="AF12" s="108" t="n"/>
      <c r="AG12" s="121">
        <f>AF12*100/$E$12</f>
        <v/>
      </c>
      <c r="AH12" s="108" t="n"/>
      <c r="AI12" s="90">
        <f>AH12*100/$E$12</f>
        <v/>
      </c>
      <c r="AJ12" s="108" t="n"/>
      <c r="AK12" s="90">
        <f>AJ12*100/$E$12</f>
        <v/>
      </c>
      <c r="AL12" s="108" t="n"/>
      <c r="AM12" s="90">
        <f>AL12*100/$E$12</f>
        <v/>
      </c>
      <c r="AN12" s="108" t="n"/>
      <c r="AO12" s="90">
        <f>AN12*100/$E$12</f>
        <v/>
      </c>
      <c r="AP12" s="108" t="n"/>
      <c r="AQ12" s="90">
        <f>AP12*100/$E$12</f>
        <v/>
      </c>
      <c r="AR12" s="108" t="n"/>
      <c r="AS12" s="90">
        <f>AR12*100/$E$12</f>
        <v/>
      </c>
      <c r="AT12" s="108" t="n"/>
      <c r="AU12" s="90">
        <f>AT12*100/$E$12</f>
        <v/>
      </c>
      <c r="AV12" s="108" t="n"/>
      <c r="AW12" s="90">
        <f>AV12*100/$E$12</f>
        <v/>
      </c>
      <c r="AX12" s="108" t="n">
        <v>9</v>
      </c>
      <c r="AY12" s="90">
        <f>AX12*100/$E$12</f>
        <v/>
      </c>
      <c r="AZ12" s="108" t="n"/>
      <c r="BA12" s="90">
        <f>AZ12*100/$E$12</f>
        <v/>
      </c>
      <c r="BB12" s="108" t="n">
        <v>12</v>
      </c>
      <c r="BC12" s="90">
        <f>BB12*100/$E$12</f>
        <v/>
      </c>
      <c r="BD12" s="108" t="n">
        <v>24</v>
      </c>
      <c r="BE12" s="90">
        <f>BD12*100/$E$12</f>
        <v/>
      </c>
      <c r="BF12" s="108" t="n"/>
      <c r="BG12" s="90">
        <f>BF12*100/$E$12</f>
        <v/>
      </c>
      <c r="BH12" s="108" t="n"/>
      <c r="BI12" s="90">
        <f>BH12*100/$E$12</f>
        <v/>
      </c>
      <c r="BJ12" s="108" t="n"/>
      <c r="BK12" s="90">
        <f>BJ12*100/$E$12</f>
        <v/>
      </c>
      <c r="BL12" s="108" t="n"/>
      <c r="BM12" s="90">
        <f>BL12*100/$E$12</f>
        <v/>
      </c>
      <c r="BN12" s="108" t="n"/>
      <c r="BO12" s="90">
        <f>BN12*100/$E$12</f>
        <v/>
      </c>
      <c r="BP12" s="108" t="n"/>
      <c r="BQ12" s="90">
        <f>BP12*100/$E$12</f>
        <v/>
      </c>
      <c r="BR12" s="108" t="n"/>
      <c r="BS12" s="90">
        <f>BR12*100/$E$12</f>
        <v/>
      </c>
      <c r="BT12" s="108" t="n"/>
      <c r="BU12" s="90">
        <f>BT12*100/$E$12</f>
        <v/>
      </c>
      <c r="BV12" s="108" t="n"/>
      <c r="BW12" s="90">
        <f>BV12*100/$E$12</f>
        <v/>
      </c>
      <c r="BX12" s="108" t="n"/>
      <c r="BY12" s="90">
        <f>BX12*100/$E$12</f>
        <v/>
      </c>
      <c r="BZ12" s="108" t="n"/>
      <c r="CA12" s="90">
        <f>BZ12*100/$E$12</f>
        <v/>
      </c>
      <c r="CB12" s="108" t="n"/>
      <c r="CC12" s="90">
        <f>CB12*100/$E$12</f>
        <v/>
      </c>
      <c r="CD12" s="108" t="n"/>
      <c r="CE12" s="90">
        <f>CD12*100/$E$12</f>
        <v/>
      </c>
      <c r="CF12" s="108" t="n"/>
      <c r="CG12" s="90">
        <f>CF12*100/$E$12</f>
        <v/>
      </c>
      <c r="CH12" s="108" t="n"/>
      <c r="CI12" s="90">
        <f>CH12*100/$E$12</f>
        <v/>
      </c>
      <c r="CJ12" s="108" t="n"/>
      <c r="CK12" s="90">
        <f>CJ12*100/$E$12</f>
        <v/>
      </c>
      <c r="CL12" s="108" t="n"/>
      <c r="CM12" s="90">
        <f>CL12*100/$E$12</f>
        <v/>
      </c>
      <c r="CN12" s="108" t="n"/>
      <c r="CO12" s="122">
        <f>CN12*100/$E$12</f>
        <v/>
      </c>
      <c r="CP12" s="108" t="n"/>
      <c r="CQ12" s="90">
        <f>CP12*100/$E$12</f>
        <v/>
      </c>
      <c r="CR12" s="108" t="n"/>
      <c r="CS12" s="121">
        <f>CR12*100/$E$12</f>
        <v/>
      </c>
      <c r="CT12" s="108" t="n"/>
      <c r="CU12" s="121">
        <f>CT12*100/$E$12</f>
        <v/>
      </c>
      <c r="CV12" s="108" t="n">
        <v>3</v>
      </c>
      <c r="CW12" s="121">
        <f>CV12*100/$E$12</f>
        <v/>
      </c>
      <c r="CX12" s="108" t="n"/>
      <c r="CY12" s="121">
        <f>CX12*100/$E$12</f>
        <v/>
      </c>
      <c r="CZ12" s="108" t="n"/>
      <c r="DA12" s="121">
        <f>CZ12*100/$E$12</f>
        <v/>
      </c>
      <c r="DB12" s="108" t="n">
        <v>4</v>
      </c>
      <c r="DC12" s="121">
        <f>DB12*100/$E$12</f>
        <v/>
      </c>
      <c r="DD12" s="108" t="n">
        <v>15</v>
      </c>
      <c r="DE12" s="121">
        <f>DD12*100/$E$12</f>
        <v/>
      </c>
      <c r="DF12" s="108" t="n"/>
      <c r="DG12" s="121">
        <f>DF12*100/$E$12</f>
        <v/>
      </c>
      <c r="DH12" s="108" t="n"/>
      <c r="DI12" s="121">
        <f>DH12*100/$E$12</f>
        <v/>
      </c>
      <c r="DJ12" s="108" t="n"/>
      <c r="DK12" s="121">
        <f>DJ12*100/$E$12</f>
        <v/>
      </c>
      <c r="DL12" s="108" t="n"/>
      <c r="DM12" s="121">
        <f>DL12*100/$E$12</f>
        <v/>
      </c>
      <c r="DN12" s="108" t="n"/>
      <c r="DO12" s="121">
        <f>DN12*100/$E$12</f>
        <v/>
      </c>
      <c r="DP12" s="108" t="n"/>
      <c r="DQ12" s="121">
        <f>DP12*100/$E$12</f>
        <v/>
      </c>
      <c r="DR12" s="108" t="n"/>
      <c r="DS12" s="121">
        <f>DR12*100/$E$12</f>
        <v/>
      </c>
      <c r="DT12" s="108" t="n"/>
      <c r="DU12" s="121">
        <f>DT12*100/$E$12</f>
        <v/>
      </c>
      <c r="DV12" s="108" t="n"/>
      <c r="DW12" s="121">
        <f>DV12*100/$E$12</f>
        <v/>
      </c>
      <c r="DX12" s="108" t="n"/>
      <c r="DY12" s="121">
        <f>DX12*100/$E$12</f>
        <v/>
      </c>
      <c r="DZ12" s="108" t="n"/>
      <c r="EA12" s="121">
        <f>DZ12*100/$E$12</f>
        <v/>
      </c>
      <c r="EB12" s="108" t="n"/>
      <c r="EC12" s="121">
        <f>EB12*100/$E$12</f>
        <v/>
      </c>
      <c r="ED12" s="108" t="n"/>
      <c r="EE12" s="121">
        <f>ED12*100/$E$12</f>
        <v/>
      </c>
      <c r="EF12" s="108" t="n"/>
      <c r="EG12" s="121">
        <f>EF12*100/$E$12</f>
        <v/>
      </c>
      <c r="EH12" s="108" t="n"/>
      <c r="EI12" s="121">
        <f>EH12*100/$E$12</f>
        <v/>
      </c>
      <c r="EJ12" s="108" t="n"/>
      <c r="EK12" s="121">
        <f>EJ12*100/$E$12</f>
        <v/>
      </c>
      <c r="EL12" s="108" t="n"/>
      <c r="EM12" s="121">
        <f>EL12*100/$E$12</f>
        <v/>
      </c>
      <c r="EN12" s="108" t="n"/>
      <c r="EO12" s="121">
        <f>EN12*100/$E$12</f>
        <v/>
      </c>
      <c r="EP12" s="108" t="n"/>
      <c r="EQ12" s="121">
        <f>EP12*100/$E$12</f>
        <v/>
      </c>
      <c r="ER12" s="108" t="n"/>
      <c r="ES12" s="121">
        <f>ER12*100/$E$12</f>
        <v/>
      </c>
      <c r="ET12" s="108" t="n"/>
      <c r="EU12" s="121">
        <f>ET12*100/$E$12</f>
        <v/>
      </c>
      <c r="EV12" s="108" t="n"/>
      <c r="EW12" s="121">
        <f>EV12*100/$E$12</f>
        <v/>
      </c>
      <c r="EX12" s="108" t="n"/>
      <c r="EY12" s="121">
        <f>EX12*100/$E$12</f>
        <v/>
      </c>
      <c r="EZ12" s="108" t="n"/>
      <c r="FA12" s="121">
        <f>EZ12*100/$E$12</f>
        <v/>
      </c>
      <c r="FB12" s="108" t="n"/>
      <c r="FC12" s="121">
        <f>FB12*100/$E$12</f>
        <v/>
      </c>
      <c r="FD12" s="108" t="n"/>
      <c r="FE12" s="121">
        <f>FD12*100/$E$12</f>
        <v/>
      </c>
      <c r="FF12" s="108" t="n"/>
      <c r="FG12" s="121">
        <f>FF12*100/$E$12</f>
        <v/>
      </c>
      <c r="FH12" s="108" t="n"/>
      <c r="FI12" s="121">
        <f>FH12*100/$E$12</f>
        <v/>
      </c>
      <c r="FJ12" s="108" t="n"/>
      <c r="FK12" s="121">
        <f>FJ12*100/$E$12</f>
        <v/>
      </c>
      <c r="FL12" s="108" t="n"/>
      <c r="FM12" s="121">
        <f>FL12*100/$E$12</f>
        <v/>
      </c>
      <c r="FN12" s="108" t="n">
        <v>13</v>
      </c>
      <c r="FO12" s="121">
        <f>FN12*100/$E$12</f>
        <v/>
      </c>
      <c r="FP12" s="108" t="n"/>
      <c r="FQ12" s="121">
        <f>FP12*100/$E$12</f>
        <v/>
      </c>
      <c r="FR12" s="108" t="n"/>
      <c r="FS12" s="121">
        <f>FR12*100/$E$12</f>
        <v/>
      </c>
      <c r="FT12" s="108" t="n"/>
      <c r="FU12" s="121">
        <f>FT12*100/$E$12</f>
        <v/>
      </c>
      <c r="FV12" s="108" t="n">
        <v>16</v>
      </c>
      <c r="FW12" s="121">
        <f>FV12*100/$E$12</f>
        <v/>
      </c>
      <c r="FX12" s="108" t="n"/>
      <c r="FY12" s="90">
        <f>FX12*100/$E$12</f>
        <v/>
      </c>
      <c r="FZ12" s="108" t="n"/>
      <c r="GA12" s="90">
        <f>FZ12*100/$E$12</f>
        <v/>
      </c>
      <c r="GB12" s="108" t="n"/>
      <c r="GC12" s="90">
        <f>GB12*100/$E$12</f>
        <v/>
      </c>
      <c r="GD12" s="108" t="n">
        <v>12</v>
      </c>
      <c r="GE12" s="90">
        <f>GD12*100/$E$12</f>
        <v/>
      </c>
      <c r="GF12" s="108" t="n"/>
      <c r="GG12" s="90">
        <f>GF12*100/$E$12</f>
        <v/>
      </c>
      <c r="GH12" s="108" t="n">
        <v>3</v>
      </c>
      <c r="GI12" s="90">
        <f>GH12*100/$E$12</f>
        <v/>
      </c>
      <c r="GJ12" s="108" t="n"/>
      <c r="GK12" s="121">
        <f>GJ12*100/$E$12</f>
        <v/>
      </c>
      <c r="GL12" s="108" t="n"/>
      <c r="GM12" s="90">
        <f>GL12*100/$E$12</f>
        <v/>
      </c>
      <c r="GN12" s="108" t="n"/>
      <c r="GO12" s="121">
        <f>GN12*100/$E$12</f>
        <v/>
      </c>
      <c r="GP12" s="108" t="n"/>
      <c r="GQ12" s="90">
        <f>GP12*100/$E$12</f>
        <v/>
      </c>
      <c r="GR12" s="108" t="n"/>
      <c r="GS12" s="121">
        <f>GR12*100/$E$12</f>
        <v/>
      </c>
      <c r="GT12" s="108" t="n"/>
      <c r="GU12" s="121">
        <f>GT12*100/$E$12</f>
        <v/>
      </c>
      <c r="GV12" s="108" t="n"/>
      <c r="GW12" s="121">
        <f>GV12*100/$E$12</f>
        <v/>
      </c>
      <c r="GX12" s="108" t="n"/>
      <c r="GY12" s="90">
        <f>GX12*100/$E$12</f>
        <v/>
      </c>
      <c r="GZ12" s="108" t="n">
        <v>19</v>
      </c>
      <c r="HA12" s="90">
        <f>GZ12*100/$E$12</f>
        <v/>
      </c>
      <c r="HB12" s="108" t="n"/>
      <c r="HC12" s="90">
        <f>HB12*100/$E$12</f>
        <v/>
      </c>
      <c r="HD12" s="108" t="n"/>
      <c r="HE12" s="90">
        <f>HD12*100/$E$12</f>
        <v/>
      </c>
      <c r="HF12" s="108" t="n">
        <v>3</v>
      </c>
      <c r="HG12" s="90">
        <f>HF12*100/$E$12</f>
        <v/>
      </c>
      <c r="HH12" s="108" t="n">
        <v>16</v>
      </c>
      <c r="HI12" s="90">
        <f>HH12*100/$E$12</f>
        <v/>
      </c>
      <c r="HJ12" s="108" t="n"/>
      <c r="HK12" s="90">
        <f>HJ12*100/$E$12</f>
        <v/>
      </c>
      <c r="HL12" s="108" t="n">
        <v>1</v>
      </c>
      <c r="HM12" s="90">
        <f>HL12*100/$E$12</f>
        <v/>
      </c>
      <c r="HN12" s="108" t="n"/>
      <c r="HO12" s="90">
        <f>HN12*100/$E$12</f>
        <v/>
      </c>
      <c r="HP12" s="108" t="n"/>
      <c r="HQ12" s="90">
        <f>HP12*100/$E$12</f>
        <v/>
      </c>
      <c r="HR12" s="108" t="n"/>
      <c r="HS12" s="90">
        <f>HR12*100/$E$12</f>
        <v/>
      </c>
      <c r="HT12" s="108" t="n"/>
      <c r="HU12" s="90">
        <f>HT12*100/$E$12</f>
        <v/>
      </c>
      <c r="HV12" s="108" t="n"/>
      <c r="HW12" s="90">
        <f>HV12*100/$E$12</f>
        <v/>
      </c>
      <c r="HX12" s="108" t="n"/>
      <c r="HY12" s="90">
        <f>HX12*100/$E$12</f>
        <v/>
      </c>
      <c r="HZ12" s="108" t="n"/>
      <c r="IA12" s="121">
        <f>HZ12*100/$E$12</f>
        <v/>
      </c>
      <c r="IB12" s="108" t="n"/>
      <c r="IC12" s="121">
        <f>IB12*100/$E$12</f>
        <v/>
      </c>
      <c r="ID12" s="108" t="n"/>
      <c r="IE12" s="121">
        <f>ID12*100/$E$12</f>
        <v/>
      </c>
      <c r="IF12" s="108" t="n"/>
      <c r="IG12" s="121">
        <f>IF12*100/$E$12</f>
        <v/>
      </c>
      <c r="IH12" s="108" t="n"/>
      <c r="II12" s="121">
        <f>IH12*100/$E$12</f>
        <v/>
      </c>
      <c r="IJ12" s="108" t="n"/>
      <c r="IK12" s="121">
        <f>IJ12*100/$E$12</f>
        <v/>
      </c>
      <c r="IL12" s="108" t="n"/>
      <c r="IM12" s="90">
        <f>IL12*100/$E$12</f>
        <v/>
      </c>
      <c r="IN12" s="108" t="n"/>
      <c r="IO12" s="90">
        <f>IN12*100/$E$12</f>
        <v/>
      </c>
      <c r="IP12" s="108" t="n"/>
      <c r="IQ12" s="121">
        <f>IP12*100/$E$12</f>
        <v/>
      </c>
      <c r="IR12" s="108" t="n"/>
      <c r="IS12" s="121">
        <f>IR12*100/$E$12</f>
        <v/>
      </c>
      <c r="IT12" s="108" t="n"/>
      <c r="IU12" s="121">
        <f>IT12*100/$E$12</f>
        <v/>
      </c>
      <c r="IV12" s="108" t="n"/>
      <c r="IW12" s="121">
        <f>IV12*100/$E$12</f>
        <v/>
      </c>
      <c r="IX12" s="108" t="n"/>
      <c r="IY12" s="121">
        <f>IX12*100/$E$12</f>
        <v/>
      </c>
      <c r="IZ12" s="108" t="n"/>
      <c r="JA12" s="121">
        <f>IZ12*100/$E$12</f>
        <v/>
      </c>
      <c r="JB12" s="108" t="n"/>
      <c r="JC12" s="121">
        <f>JB12*100/$E$12</f>
        <v/>
      </c>
      <c r="JD12" s="108" t="n"/>
      <c r="JE12" s="121">
        <f>JD12*100/$E$12</f>
        <v/>
      </c>
      <c r="JF12" s="108" t="n"/>
      <c r="JG12" s="121">
        <f>JF12*100/$E$12</f>
        <v/>
      </c>
      <c r="JH12" s="108" t="n"/>
      <c r="JI12" s="121">
        <f>JH12*100/$E$12</f>
        <v/>
      </c>
      <c r="JJ12" s="108" t="n"/>
      <c r="JK12" s="121">
        <f>JJ12*100/$E$12</f>
        <v/>
      </c>
      <c r="JL12" s="108" t="n">
        <v>12</v>
      </c>
      <c r="JM12" s="121">
        <f>JL12*100/$E$12</f>
        <v/>
      </c>
      <c r="JN12" s="108" t="n"/>
      <c r="JO12" s="122">
        <f>JN12*100/$E$12</f>
        <v/>
      </c>
      <c r="JP12" s="108" t="n"/>
      <c r="JQ12" s="122">
        <f>JP12*100/$E$12</f>
        <v/>
      </c>
      <c r="JR12" s="108" t="n"/>
      <c r="JS12" s="122">
        <f>JR12*100/$E$12</f>
        <v/>
      </c>
      <c r="JT12" s="108" t="n"/>
      <c r="JU12" s="122">
        <f>JT12*100/$E$12</f>
        <v/>
      </c>
      <c r="JV12" s="108" t="n"/>
      <c r="JW12" s="122">
        <f>JV12*100/$E$12</f>
        <v/>
      </c>
      <c r="JX12" s="108" t="n"/>
      <c r="JY12" s="122">
        <f>JX12*100/$E$12</f>
        <v/>
      </c>
      <c r="JZ12" s="55">
        <f>JN12+JP12+JR12+JT12+JV12+JX12</f>
        <v/>
      </c>
      <c r="KA12" s="53">
        <f>JO12+JQ12+JS12+JU12+JW12+JY12</f>
        <v/>
      </c>
      <c r="KB12" s="64">
        <f>H12+J12+L12+N12+P12+R12+T12+V12+X12+Z12+AB12+AD12+AF12+AH12+AJ12+AL12+AN12+AP12+AR12+AT12+AV12+AX12+AZ12+BB12+BD12+BF12+BH12+BJ12+BL12+BN12+BP12+BR12+BT12+BV12+BX12+BZ12+CB12+CD12+CF12+CH12+CZ12+DB12+DD12+DF12+DH12+DJ12+DL12+DN12+DP12+DR12+DT12+DV12+DX12+DZ12+EB12+ED12+EF12+EH12+EJ12+EL12+EN12+EP12+ER12+ET12+EV12+FN12+FP12+FR12+FT12+FV12+FX12+FZ12+GB12+GD12+GF12+GH12+GJ12+GL12+GN12+GP12+GR12+GT12+GV12+GX12+GZ12+HB12+HD12+HF12+HH12+HJ12+HL12+HN12+HP12+HR12+HT12+HV12+HX12+HZ12+IB12+ID12+IF12+IH12+IJ12+IL12+IN12+IP12+IR12+IT12+IV12+IX12+IZ12+JB12+JD12+JF12+JH12+JJ12+JL12+JZ12+CJ12+CL12+CN12+CP12+CR12+CT12+CV12+CX12+EX12+EZ12+FB12+FD12+FF12+FH12+FJ12+FL12</f>
        <v/>
      </c>
      <c r="KC12" s="66">
        <f>I12+K12+M12+O12+Q12+S12+U12+W12+Y12+AA12+AC12+AE12+AG12+AI12+AK12+AM12+AO12+AQ12+AS12+AU12+AW12+AY12+BA12+BC12+BE12+BG12+BI12+BK12+BM12+BO12+BQ12+BS12+BU12+BW12+BY12+CA12+CC12+CE12+CG12+CI12+DA12+DC12+DE12+DG12+DI12+DK12+DM12+DO12+DQ12+DS12+DU12+DW12+DY12+EA12+EC12+EE12+EG12+EI12+EK12+EM12+EO12+EQ12+ES12+EU12+EW12+FO12+FS12+FU12+FW12+FQ12+FY12+GA12+GC12+GE12+GG12+GI12+GK12+GM12+GO12+GQ12+GS12+GU12+GW12+GY12+HA12+HC12+HE12+HG12+HI12+HK12+HM12+HO12+HQ12+HS12+HU12+HW12+HY12+IA12+IC12+IE12+IG12+II12+IK12+IM12+IO12+IQ12+IS12+IU12+IW12+IY12+JA12+JC12+JE12+JG12+JI12+JK12+JM12+KA12+CK12+CM12+CO12+CQ12+CS12+CU12+CW12+CY12+EY12+FA12+FC12+FE12+FG12+FI12+FK12+FM12</f>
        <v/>
      </c>
      <c r="KD12" s="44">
        <f>JO12+JQ12+JS12+JU12+JW12+JY12</f>
        <v/>
      </c>
      <c r="KE12" s="45">
        <f>KB12=E12</f>
        <v/>
      </c>
      <c r="KF12" s="101">
        <f>E12-KB12</f>
        <v/>
      </c>
    </row>
    <row r="13" ht="21.75" customFormat="1" customHeight="1" s="13">
      <c r="A13" s="126">
        <f>A12+1</f>
        <v/>
      </c>
      <c r="B13" s="175" t="inlineStr">
        <is>
          <t>Будников К.С.</t>
        </is>
      </c>
      <c r="C13" s="194" t="inlineStr">
        <is>
          <t>токарь</t>
        </is>
      </c>
      <c r="D13" s="177">
        <f>$D$5</f>
        <v/>
      </c>
      <c r="E13" s="202" t="n"/>
      <c r="F13" s="178" t="n">
        <v>101150.45</v>
      </c>
      <c r="G13" s="52">
        <f>F13/D13</f>
        <v/>
      </c>
      <c r="H13" s="125" t="n"/>
      <c r="I13" s="107">
        <f>H13*100/$E$13</f>
        <v/>
      </c>
      <c r="J13" s="108" t="n"/>
      <c r="K13" s="107">
        <f>J13*100/$E$13</f>
        <v/>
      </c>
      <c r="L13" s="108" t="n"/>
      <c r="M13" s="107">
        <f>L13*100/$E$13</f>
        <v/>
      </c>
      <c r="N13" s="108" t="n"/>
      <c r="O13" s="107">
        <f>N13*100/$E$13</f>
        <v/>
      </c>
      <c r="P13" s="108" t="n"/>
      <c r="Q13" s="122">
        <f>P13*100/$E$13</f>
        <v/>
      </c>
      <c r="R13" s="108" t="n"/>
      <c r="S13" s="122">
        <f>R13*100/$E$13</f>
        <v/>
      </c>
      <c r="T13" s="108" t="n"/>
      <c r="U13" s="107">
        <f>T13*100/$E$13</f>
        <v/>
      </c>
      <c r="V13" s="108" t="n"/>
      <c r="W13" s="107">
        <f>V13*100/$E$13</f>
        <v/>
      </c>
      <c r="X13" s="108" t="n"/>
      <c r="Y13" s="107">
        <f>X13*100/$E$13</f>
        <v/>
      </c>
      <c r="Z13" s="108" t="n"/>
      <c r="AA13" s="107">
        <f>Z13*100/$E$13</f>
        <v/>
      </c>
      <c r="AB13" s="108" t="n"/>
      <c r="AC13" s="107">
        <f>AB13*100/$E$13</f>
        <v/>
      </c>
      <c r="AD13" s="108" t="n"/>
      <c r="AE13" s="122">
        <f>AD13*100/$E$13</f>
        <v/>
      </c>
      <c r="AF13" s="108" t="n"/>
      <c r="AG13" s="122">
        <f>AF13*100/$E$13</f>
        <v/>
      </c>
      <c r="AH13" s="108" t="n"/>
      <c r="AI13" s="107">
        <f>AH13*100/$E$13</f>
        <v/>
      </c>
      <c r="AJ13" s="108" t="n"/>
      <c r="AK13" s="107">
        <f>AJ13*100/$E$13</f>
        <v/>
      </c>
      <c r="AL13" s="108" t="n"/>
      <c r="AM13" s="107">
        <f>AL13*100/$E$13</f>
        <v/>
      </c>
      <c r="AN13" s="108" t="n"/>
      <c r="AO13" s="107">
        <f>AN13*100/$E$13</f>
        <v/>
      </c>
      <c r="AP13" s="108" t="n"/>
      <c r="AQ13" s="107">
        <f>AP13*100/$E$13</f>
        <v/>
      </c>
      <c r="AR13" s="108" t="n"/>
      <c r="AS13" s="107">
        <f>AR13*100/$E$13</f>
        <v/>
      </c>
      <c r="AT13" s="108" t="n"/>
      <c r="AU13" s="90">
        <f>AT13*100/$E$13</f>
        <v/>
      </c>
      <c r="AV13" s="108" t="n"/>
      <c r="AW13" s="107">
        <f>AV13*100/$E$13</f>
        <v/>
      </c>
      <c r="AX13" s="108" t="n"/>
      <c r="AY13" s="107">
        <f>AX13*100/$E$13</f>
        <v/>
      </c>
      <c r="AZ13" s="108" t="n"/>
      <c r="BA13" s="107">
        <f>AZ13*100/$E$13</f>
        <v/>
      </c>
      <c r="BB13" s="108" t="n"/>
      <c r="BC13" s="107">
        <f>BB13*100/$E$13</f>
        <v/>
      </c>
      <c r="BD13" s="108" t="n"/>
      <c r="BE13" s="107">
        <f>BD13*100/$E$13</f>
        <v/>
      </c>
      <c r="BF13" s="108" t="n"/>
      <c r="BG13" s="107">
        <f>BF13*100/$E$13</f>
        <v/>
      </c>
      <c r="BH13" s="108" t="n"/>
      <c r="BI13" s="107">
        <f>BH13*100/$E$13</f>
        <v/>
      </c>
      <c r="BJ13" s="108" t="n"/>
      <c r="BK13" s="107">
        <f>BJ13*100/$E$13</f>
        <v/>
      </c>
      <c r="BL13" s="108" t="n"/>
      <c r="BM13" s="107">
        <f>BL13*100/$E$13</f>
        <v/>
      </c>
      <c r="BN13" s="108" t="n"/>
      <c r="BO13" s="107">
        <f>BN13*100/$E$13</f>
        <v/>
      </c>
      <c r="BP13" s="108" t="n"/>
      <c r="BQ13" s="107">
        <f>BP13*100/$E$13</f>
        <v/>
      </c>
      <c r="BR13" s="108" t="n"/>
      <c r="BS13" s="107">
        <f>BR13*100/$E$13</f>
        <v/>
      </c>
      <c r="BT13" s="108" t="n"/>
      <c r="BU13" s="107">
        <f>BT13*100/$E$13</f>
        <v/>
      </c>
      <c r="BV13" s="108" t="n"/>
      <c r="BW13" s="107">
        <f>BV13*100/$E$13</f>
        <v/>
      </c>
      <c r="BX13" s="108" t="n"/>
      <c r="BY13" s="107">
        <f>BX13*100/$E$13</f>
        <v/>
      </c>
      <c r="BZ13" s="108" t="n"/>
      <c r="CA13" s="107">
        <f>BZ13*100/$E$13</f>
        <v/>
      </c>
      <c r="CB13" s="108" t="n"/>
      <c r="CC13" s="107">
        <f>CB13*100/$E$13</f>
        <v/>
      </c>
      <c r="CD13" s="108" t="n"/>
      <c r="CE13" s="107">
        <f>CD13*100/$E$13</f>
        <v/>
      </c>
      <c r="CF13" s="108" t="n"/>
      <c r="CG13" s="107">
        <f>CF13*100/$E$13</f>
        <v/>
      </c>
      <c r="CH13" s="108" t="n"/>
      <c r="CI13" s="107">
        <f>CH13*100/$E$13</f>
        <v/>
      </c>
      <c r="CJ13" s="108" t="n"/>
      <c r="CK13" s="107">
        <f>CJ13*100/$E$13</f>
        <v/>
      </c>
      <c r="CL13" s="108" t="n"/>
      <c r="CM13" s="107">
        <f>CL13*100/$E$13</f>
        <v/>
      </c>
      <c r="CN13" s="108" t="n"/>
      <c r="CO13" s="122">
        <f>CN13*100/$E$13</f>
        <v/>
      </c>
      <c r="CP13" s="108" t="n"/>
      <c r="CQ13" s="107">
        <f>CP13*100/$E$13</f>
        <v/>
      </c>
      <c r="CR13" s="108" t="n"/>
      <c r="CS13" s="122">
        <f>CR13*100/$E$13</f>
        <v/>
      </c>
      <c r="CT13" s="108" t="n"/>
      <c r="CU13" s="122">
        <f>CT13*100/$E$13</f>
        <v/>
      </c>
      <c r="CV13" s="108" t="n"/>
      <c r="CW13" s="122">
        <f>CV13*100/$E$13</f>
        <v/>
      </c>
      <c r="CX13" s="108" t="n"/>
      <c r="CY13" s="122">
        <f>CX13*100/$E$13</f>
        <v/>
      </c>
      <c r="CZ13" s="108" t="n"/>
      <c r="DA13" s="122">
        <f>CZ13*100/$E$13</f>
        <v/>
      </c>
      <c r="DB13" s="108" t="n"/>
      <c r="DC13" s="122">
        <f>DB13*100/$E$13</f>
        <v/>
      </c>
      <c r="DD13" s="108" t="n"/>
      <c r="DE13" s="122">
        <f>DD13*100/$E$13</f>
        <v/>
      </c>
      <c r="DF13" s="108" t="n"/>
      <c r="DG13" s="122">
        <f>DF13*100/$E$13</f>
        <v/>
      </c>
      <c r="DH13" s="108" t="n"/>
      <c r="DI13" s="122">
        <f>DH13*100/$E$13</f>
        <v/>
      </c>
      <c r="DJ13" s="108" t="n"/>
      <c r="DK13" s="122">
        <f>DJ13*100/$E$13</f>
        <v/>
      </c>
      <c r="DL13" s="108" t="n"/>
      <c r="DM13" s="122">
        <f>DL13*100/$E$13</f>
        <v/>
      </c>
      <c r="DN13" s="108" t="n"/>
      <c r="DO13" s="122">
        <f>DN13*100/$E$13</f>
        <v/>
      </c>
      <c r="DP13" s="108" t="n"/>
      <c r="DQ13" s="122">
        <f>DP13*100/$E$13</f>
        <v/>
      </c>
      <c r="DR13" s="108" t="n"/>
      <c r="DS13" s="122">
        <f>DR13*100/$E$13</f>
        <v/>
      </c>
      <c r="DT13" s="108" t="n"/>
      <c r="DU13" s="122">
        <f>DT13*100/$E$13</f>
        <v/>
      </c>
      <c r="DV13" s="108" t="n"/>
      <c r="DW13" s="122">
        <f>DV13*100/$E$13</f>
        <v/>
      </c>
      <c r="DX13" s="108" t="n"/>
      <c r="DY13" s="122">
        <f>DX13*100/$E$13</f>
        <v/>
      </c>
      <c r="DZ13" s="108" t="n"/>
      <c r="EA13" s="122">
        <f>DZ13*100/$E$13</f>
        <v/>
      </c>
      <c r="EB13" s="108" t="n"/>
      <c r="EC13" s="122">
        <f>EB13*100/$E$13</f>
        <v/>
      </c>
      <c r="ED13" s="108" t="n"/>
      <c r="EE13" s="122">
        <f>ED13*100/$E$13</f>
        <v/>
      </c>
      <c r="EF13" s="108" t="n"/>
      <c r="EG13" s="122">
        <f>EF13*100/$E$13</f>
        <v/>
      </c>
      <c r="EH13" s="108" t="n"/>
      <c r="EI13" s="122">
        <f>EH13*100/$E$13</f>
        <v/>
      </c>
      <c r="EJ13" s="108" t="n"/>
      <c r="EK13" s="122">
        <f>EJ13*100/$E$13</f>
        <v/>
      </c>
      <c r="EL13" s="108" t="n"/>
      <c r="EM13" s="122">
        <f>EL13*100/$E$13</f>
        <v/>
      </c>
      <c r="EN13" s="108" t="n"/>
      <c r="EO13" s="122">
        <f>EN13*100/$E$13</f>
        <v/>
      </c>
      <c r="EP13" s="108" t="n"/>
      <c r="EQ13" s="122">
        <f>EP13*100/$E$13</f>
        <v/>
      </c>
      <c r="ER13" s="108" t="n"/>
      <c r="ES13" s="122">
        <f>ER13*100/$E$13</f>
        <v/>
      </c>
      <c r="ET13" s="108" t="n"/>
      <c r="EU13" s="122">
        <f>ET13*100/$E$13</f>
        <v/>
      </c>
      <c r="EV13" s="108" t="n"/>
      <c r="EW13" s="122">
        <f>EV13*100/$E$13</f>
        <v/>
      </c>
      <c r="EX13" s="108" t="n"/>
      <c r="EY13" s="122">
        <f>EX13*100/$E$13</f>
        <v/>
      </c>
      <c r="EZ13" s="108" t="n"/>
      <c r="FA13" s="122">
        <f>EZ13*100/$E$13</f>
        <v/>
      </c>
      <c r="FB13" s="108" t="n"/>
      <c r="FC13" s="122">
        <f>FB13*100/$E$13</f>
        <v/>
      </c>
      <c r="FD13" s="108" t="n"/>
      <c r="FE13" s="122">
        <f>FD13*100/$E$13</f>
        <v/>
      </c>
      <c r="FF13" s="108" t="n"/>
      <c r="FG13" s="122">
        <f>FF13*100/$E$13</f>
        <v/>
      </c>
      <c r="FH13" s="108" t="n"/>
      <c r="FI13" s="122">
        <f>FH13*100/$E$13</f>
        <v/>
      </c>
      <c r="FJ13" s="108" t="n"/>
      <c r="FK13" s="122">
        <f>FJ13*100/$E$13</f>
        <v/>
      </c>
      <c r="FL13" s="108" t="n"/>
      <c r="FM13" s="122">
        <f>FL13*100/$E$13</f>
        <v/>
      </c>
      <c r="FN13" s="108" t="n"/>
      <c r="FO13" s="122">
        <f>FN13*100/$E$13</f>
        <v/>
      </c>
      <c r="FP13" s="108" t="n"/>
      <c r="FQ13" s="122">
        <f>FP13*100/$E$13</f>
        <v/>
      </c>
      <c r="FR13" s="108" t="n"/>
      <c r="FS13" s="122">
        <f>FR13*100/$E$13</f>
        <v/>
      </c>
      <c r="FT13" s="108" t="n"/>
      <c r="FU13" s="122">
        <f>FT13*100/$E$13</f>
        <v/>
      </c>
      <c r="FV13" s="108" t="n"/>
      <c r="FW13" s="122">
        <f>FV13*100/$E$13</f>
        <v/>
      </c>
      <c r="FX13" s="108" t="n"/>
      <c r="FY13" s="107">
        <f>FX13*100/$E$13</f>
        <v/>
      </c>
      <c r="FZ13" s="108" t="n"/>
      <c r="GA13" s="107">
        <f>FZ13*100/$E$13</f>
        <v/>
      </c>
      <c r="GB13" s="108" t="n"/>
      <c r="GC13" s="107">
        <f>GB13*100/$E$13</f>
        <v/>
      </c>
      <c r="GD13" s="108" t="n"/>
      <c r="GE13" s="107">
        <f>GD13*100/$E$13</f>
        <v/>
      </c>
      <c r="GF13" s="108" t="n"/>
      <c r="GG13" s="107">
        <f>GF13*100/$E$13</f>
        <v/>
      </c>
      <c r="GH13" s="108" t="n"/>
      <c r="GI13" s="107">
        <f>GH13*100/$E$13</f>
        <v/>
      </c>
      <c r="GJ13" s="108" t="n"/>
      <c r="GK13" s="122">
        <f>GJ13*100/$E$13</f>
        <v/>
      </c>
      <c r="GL13" s="108" t="n"/>
      <c r="GM13" s="107">
        <f>GL13*100/$E$13</f>
        <v/>
      </c>
      <c r="GN13" s="108" t="n"/>
      <c r="GO13" s="122">
        <f>GN13*100/$E$13</f>
        <v/>
      </c>
      <c r="GP13" s="108" t="n"/>
      <c r="GQ13" s="107">
        <f>GP13*100/$E$13</f>
        <v/>
      </c>
      <c r="GR13" s="108" t="n"/>
      <c r="GS13" s="122">
        <f>GR13*100/$E$13</f>
        <v/>
      </c>
      <c r="GT13" s="108" t="n"/>
      <c r="GU13" s="122">
        <f>GT13*100/$E$13</f>
        <v/>
      </c>
      <c r="GV13" s="108" t="n"/>
      <c r="GW13" s="122">
        <f>GV13*100/$E$13</f>
        <v/>
      </c>
      <c r="GX13" s="108" t="n"/>
      <c r="GY13" s="107">
        <f>GX13*100/$E$13</f>
        <v/>
      </c>
      <c r="GZ13" s="108" t="n"/>
      <c r="HA13" s="107">
        <f>GZ13*100/$E$13</f>
        <v/>
      </c>
      <c r="HB13" s="108" t="n"/>
      <c r="HC13" s="107">
        <f>HB13*100/$E$13</f>
        <v/>
      </c>
      <c r="HD13" s="108" t="n"/>
      <c r="HE13" s="107">
        <f>HD13*100/$E$13</f>
        <v/>
      </c>
      <c r="HF13" s="108" t="n"/>
      <c r="HG13" s="107">
        <f>HF13*100/$E$13</f>
        <v/>
      </c>
      <c r="HH13" s="108" t="n"/>
      <c r="HI13" s="107">
        <f>HH13*100/$E$13</f>
        <v/>
      </c>
      <c r="HJ13" s="108" t="n"/>
      <c r="HK13" s="107">
        <f>HJ13*100/$E$13</f>
        <v/>
      </c>
      <c r="HL13" s="108" t="n"/>
      <c r="HM13" s="107">
        <f>HL13*100/$E$13</f>
        <v/>
      </c>
      <c r="HN13" s="108" t="n"/>
      <c r="HO13" s="107">
        <f>HN13*100/$E$13</f>
        <v/>
      </c>
      <c r="HP13" s="108" t="n"/>
      <c r="HQ13" s="107">
        <f>HP13*100/$E$13</f>
        <v/>
      </c>
      <c r="HR13" s="108" t="n"/>
      <c r="HS13" s="107">
        <f>HR13*100/$E$13</f>
        <v/>
      </c>
      <c r="HT13" s="108" t="n"/>
      <c r="HU13" s="107">
        <f>HT13*100/$E$13</f>
        <v/>
      </c>
      <c r="HV13" s="108" t="n"/>
      <c r="HW13" s="107">
        <f>HV13*100/$E$13</f>
        <v/>
      </c>
      <c r="HX13" s="108" t="n"/>
      <c r="HY13" s="107">
        <f>HX13*100/$E$13</f>
        <v/>
      </c>
      <c r="HZ13" s="108" t="n"/>
      <c r="IA13" s="122">
        <f>HZ13*100/$E$13</f>
        <v/>
      </c>
      <c r="IB13" s="108" t="n"/>
      <c r="IC13" s="122">
        <f>IB13*100/$E$13</f>
        <v/>
      </c>
      <c r="ID13" s="108" t="n"/>
      <c r="IE13" s="122">
        <f>ID13*100/$E$13</f>
        <v/>
      </c>
      <c r="IF13" s="108" t="n"/>
      <c r="IG13" s="122">
        <f>IF13*100/$E$13</f>
        <v/>
      </c>
      <c r="IH13" s="108" t="n"/>
      <c r="II13" s="122">
        <f>IH13*100/$E$13</f>
        <v/>
      </c>
      <c r="IJ13" s="108" t="n"/>
      <c r="IK13" s="122">
        <f>IJ13*100/$E$13</f>
        <v/>
      </c>
      <c r="IL13" s="108" t="n"/>
      <c r="IM13" s="107">
        <f>IL13*100/$E$13</f>
        <v/>
      </c>
      <c r="IN13" s="108" t="n"/>
      <c r="IO13" s="107">
        <f>IN13*100/$E$13</f>
        <v/>
      </c>
      <c r="IP13" s="108" t="n"/>
      <c r="IQ13" s="122">
        <f>IP13*100/$E$13</f>
        <v/>
      </c>
      <c r="IR13" s="108" t="n"/>
      <c r="IS13" s="122">
        <f>IR13*100/$E$13</f>
        <v/>
      </c>
      <c r="IT13" s="108" t="n"/>
      <c r="IU13" s="122">
        <f>IT13*100/$E$13</f>
        <v/>
      </c>
      <c r="IV13" s="108" t="n"/>
      <c r="IW13" s="122">
        <f>IV13*100/$E$13</f>
        <v/>
      </c>
      <c r="IX13" s="108" t="n"/>
      <c r="IY13" s="122">
        <f>IX13*100/$E$13</f>
        <v/>
      </c>
      <c r="IZ13" s="108" t="n"/>
      <c r="JA13" s="122">
        <f>IZ13*100/$E$13</f>
        <v/>
      </c>
      <c r="JB13" s="108" t="n"/>
      <c r="JC13" s="122">
        <f>JB13*100/$E$13</f>
        <v/>
      </c>
      <c r="JD13" s="108" t="n"/>
      <c r="JE13" s="122">
        <f>JD13*100/$E$13</f>
        <v/>
      </c>
      <c r="JF13" s="108" t="n"/>
      <c r="JG13" s="122">
        <f>JF13*100/$E$13</f>
        <v/>
      </c>
      <c r="JH13" s="108" t="n"/>
      <c r="JI13" s="122">
        <f>JH13*100/$E$13</f>
        <v/>
      </c>
      <c r="JJ13" s="108" t="n"/>
      <c r="JK13" s="122">
        <f>JJ13*100/$E$13</f>
        <v/>
      </c>
      <c r="JL13" s="108" t="n"/>
      <c r="JM13" s="122">
        <f>JL13*100/$E$13</f>
        <v/>
      </c>
      <c r="JN13" s="108" t="n"/>
      <c r="JO13" s="122">
        <f>JN13*100/$E$13</f>
        <v/>
      </c>
      <c r="JP13" s="108" t="n"/>
      <c r="JQ13" s="122">
        <f>JP13*100/$E$13</f>
        <v/>
      </c>
      <c r="JR13" s="108" t="n"/>
      <c r="JS13" s="122">
        <f>JR13*100/$E$13</f>
        <v/>
      </c>
      <c r="JT13" s="108" t="n"/>
      <c r="JU13" s="122">
        <f>JT13*100/$E$13</f>
        <v/>
      </c>
      <c r="JV13" s="108" t="n"/>
      <c r="JW13" s="122">
        <f>JV13*100/$E$13</f>
        <v/>
      </c>
      <c r="JX13" s="108" t="n"/>
      <c r="JY13" s="122">
        <f>JX13*100/$E$13</f>
        <v/>
      </c>
      <c r="JZ13" s="55">
        <f>JN13+JP13+JR13+JT13+JV13+JX13</f>
        <v/>
      </c>
      <c r="KA13" s="53">
        <f>JO13+JQ13+JS13+JU13+JW13+JY13</f>
        <v/>
      </c>
      <c r="KB13" s="64">
        <f>H13+J13+L13+N13+P13+R13+T13+V13+X13+Z13+AB13+AD13+AF13+AH13+AJ13+AL13+AN13+AP13+AR13+AT13+AV13+AX13+AZ13+BB13+BD13+BF13+BH13+BJ13+BL13+BN13+BP13+BR13+BT13+BV13+BX13+BZ13+CB13+CD13+CF13+CH13+CZ13+DB13+DD13+DF13+DH13+DJ13+DL13+DN13+DP13+DR13+DT13+DV13+DX13+DZ13+EB13+ED13+EF13+EH13+EJ13+EL13+EN13+EP13+ER13+ET13+EV13+FN13+FP13+FR13+FT13+FV13+FX13+FZ13+GB13+GD13+GF13+GH13+GJ13+GL13+GN13+GP13+GR13+GT13+GV13+GX13+GZ13+HB13+HD13+HF13+HH13+HJ13+HL13+HN13+HP13+HR13+HT13+HV13+HX13+HZ13+IB13+ID13+IF13+IH13+IJ13+IL13+IN13+IP13+IR13+IT13+IV13+IX13+IZ13+JB13+JD13+JF13+JH13+JJ13+JL13+JZ13+CJ13+CL13+CN13+CP13+CR13+CT13+CV13+CX13+EX13+EZ13+FB13+FD13+FF13+FH13+FJ13+FL13</f>
        <v/>
      </c>
      <c r="KC13" s="66">
        <f>I13+K13+M13+O13+Q13+S13+U13+W13+Y13+AA13+AC13+AE13+AG13+AI13+AK13+AM13+AO13+AQ13+AS13+AU13+AW13+AY13+BA13+BC13+BE13+BG13+BI13+BK13+BM13+BO13+BQ13+BS13+BU13+BW13+BY13+CA13+CC13+CE13+CG13+CI13+DA13+DC13+DE13+DG13+DI13+DK13+DM13+DO13+DQ13+DS13+DU13+DW13+DY13+EA13+EC13+EE13+EG13+EI13+EK13+EM13+EO13+EQ13+ES13+EU13+EW13+FO13+FS13+FU13+FW13+FQ13+FY13+GA13+GC13+GE13+GG13+GI13+GK13+GM13+GO13+GQ13+GS13+GU13+GW13+GY13+HA13+HC13+HE13+HG13+HI13+HK13+HM13+HO13+HQ13+HS13+HU13+HW13+HY13+IA13+IC13+IE13+IG13+II13+IK13+IM13+IO13+IQ13+IS13+IU13+IW13+IY13+JA13+JC13+JE13+JG13+JI13+JK13+JM13+KA13+CK13+CM13+CO13+CQ13+CS13+CU13+CW13+CY13+EY13+FA13+FC13+FE13+FG13+FI13+FK13+FM13</f>
        <v/>
      </c>
      <c r="KD13" s="44">
        <f>JO13+JQ13+JS13+JU13+JW13+JY13</f>
        <v/>
      </c>
      <c r="KE13" s="45">
        <f>KB13=E13</f>
        <v/>
      </c>
      <c r="KF13" s="101">
        <f>E13-KB13</f>
        <v/>
      </c>
      <c r="KG13" s="12" t="n"/>
      <c r="KH13" s="23" t="n"/>
      <c r="KI13" s="23" t="n"/>
      <c r="KJ13" s="23" t="n"/>
      <c r="KK13" s="23" t="n"/>
      <c r="KL13" s="23" t="n"/>
      <c r="KM13" s="23" t="n"/>
      <c r="KN13" s="23" t="n"/>
      <c r="KO13" s="23" t="n"/>
    </row>
    <row r="14" ht="21.75" customFormat="1" customHeight="1" s="23">
      <c r="A14" s="126">
        <f>A13+1</f>
        <v/>
      </c>
      <c r="B14" s="175" t="inlineStr">
        <is>
          <t>Войко А.Л.</t>
        </is>
      </c>
      <c r="C14" s="194" t="inlineStr">
        <is>
          <t>Фрезеровщик</t>
        </is>
      </c>
      <c r="D14" s="177">
        <f>$D$5</f>
        <v/>
      </c>
      <c r="E14" s="202" t="n">
        <v>180</v>
      </c>
      <c r="F14" s="191" t="n">
        <v>101150.05</v>
      </c>
      <c r="G14" s="52">
        <f>F14/D14</f>
        <v/>
      </c>
      <c r="H14" s="125" t="n"/>
      <c r="I14" s="107">
        <f>H14*100/$E$14</f>
        <v/>
      </c>
      <c r="J14" s="108" t="n"/>
      <c r="K14" s="107">
        <f>J14*100/$E$14</f>
        <v/>
      </c>
      <c r="L14" s="108" t="n"/>
      <c r="M14" s="107">
        <f>L14*100/$E$14</f>
        <v/>
      </c>
      <c r="N14" s="108" t="n"/>
      <c r="O14" s="107">
        <f>N14*100/$E$14</f>
        <v/>
      </c>
      <c r="P14" s="108" t="n"/>
      <c r="Q14" s="122">
        <f>P14*100/$E$14</f>
        <v/>
      </c>
      <c r="R14" s="108" t="n"/>
      <c r="S14" s="107">
        <f>R14*100/$E$14</f>
        <v/>
      </c>
      <c r="T14" s="108" t="n"/>
      <c r="U14" s="107">
        <f>T14*100/$E$14</f>
        <v/>
      </c>
      <c r="V14" s="108" t="n"/>
      <c r="W14" s="107">
        <f>V14*100/$E$14</f>
        <v/>
      </c>
      <c r="X14" s="108" t="n">
        <v>2</v>
      </c>
      <c r="Y14" s="107">
        <f>X14*100/$E$14</f>
        <v/>
      </c>
      <c r="Z14" s="108" t="n"/>
      <c r="AA14" s="107">
        <f>Z14*100/$E$14</f>
        <v/>
      </c>
      <c r="AB14" s="108" t="n"/>
      <c r="AC14" s="107">
        <f>AB14*100/$E$14</f>
        <v/>
      </c>
      <c r="AD14" s="108" t="n">
        <v>9</v>
      </c>
      <c r="AE14" s="107">
        <f>AD14*100/$E$14</f>
        <v/>
      </c>
      <c r="AF14" s="108" t="n"/>
      <c r="AG14" s="107">
        <f>AF14*100/$E$14</f>
        <v/>
      </c>
      <c r="AH14" s="108" t="n">
        <v>23</v>
      </c>
      <c r="AI14" s="107">
        <f>AH14*100/$E$14</f>
        <v/>
      </c>
      <c r="AJ14" s="108" t="n">
        <v>2</v>
      </c>
      <c r="AK14" s="107">
        <f>AJ14*100/$E$14</f>
        <v/>
      </c>
      <c r="AL14" s="108" t="n">
        <v>8</v>
      </c>
      <c r="AM14" s="107">
        <f>AL14*100/$E$14</f>
        <v/>
      </c>
      <c r="AN14" s="108" t="n"/>
      <c r="AO14" s="107">
        <f>AN14*100/$E$14</f>
        <v/>
      </c>
      <c r="AP14" s="108" t="n"/>
      <c r="AQ14" s="107">
        <f>AP14*100/$E$14</f>
        <v/>
      </c>
      <c r="AR14" s="108" t="n"/>
      <c r="AS14" s="107">
        <f>AR14*100/$E$14</f>
        <v/>
      </c>
      <c r="AT14" s="108" t="n"/>
      <c r="AU14" s="90">
        <f>AT14*100/$E$14</f>
        <v/>
      </c>
      <c r="AV14" s="108" t="n"/>
      <c r="AW14" s="107">
        <f>AV14*100/$E$14</f>
        <v/>
      </c>
      <c r="AX14" s="108" t="n"/>
      <c r="AY14" s="107">
        <f>AX14*100/$E$14</f>
        <v/>
      </c>
      <c r="AZ14" s="108" t="n"/>
      <c r="BA14" s="107">
        <f>AZ14*100/$E$14</f>
        <v/>
      </c>
      <c r="BB14" s="108" t="n"/>
      <c r="BC14" s="107">
        <f>BB14*100/$E$14</f>
        <v/>
      </c>
      <c r="BD14" s="108" t="n"/>
      <c r="BE14" s="107">
        <f>BD14*100/$E$14</f>
        <v/>
      </c>
      <c r="BF14" s="108" t="n"/>
      <c r="BG14" s="107">
        <f>BF14*100/$E$14</f>
        <v/>
      </c>
      <c r="BH14" s="108" t="n"/>
      <c r="BI14" s="107">
        <f>BH14*100/$E$14</f>
        <v/>
      </c>
      <c r="BJ14" s="108" t="n"/>
      <c r="BK14" s="107">
        <f>BJ14*100/$E$14</f>
        <v/>
      </c>
      <c r="BL14" s="108" t="n">
        <v>5</v>
      </c>
      <c r="BM14" s="107">
        <f>BL14*100/$E$14</f>
        <v/>
      </c>
      <c r="BN14" s="108" t="n"/>
      <c r="BO14" s="107">
        <f>BN14*100/$E$14</f>
        <v/>
      </c>
      <c r="BP14" s="108" t="n"/>
      <c r="BQ14" s="107">
        <f>BP14*100/$E$14</f>
        <v/>
      </c>
      <c r="BR14" s="108" t="n"/>
      <c r="BS14" s="107">
        <f>BR14*100/$E$14</f>
        <v/>
      </c>
      <c r="BT14" s="108" t="n"/>
      <c r="BU14" s="107">
        <f>BT14*100/$E$14</f>
        <v/>
      </c>
      <c r="BV14" s="108" t="n"/>
      <c r="BW14" s="107">
        <f>BV14*100/$E$14</f>
        <v/>
      </c>
      <c r="BX14" s="108" t="n"/>
      <c r="BY14" s="107">
        <f>BX14*100/$E$14</f>
        <v/>
      </c>
      <c r="BZ14" s="108" t="n"/>
      <c r="CA14" s="107">
        <f>BZ14*100/$E$14</f>
        <v/>
      </c>
      <c r="CB14" s="108" t="n">
        <v>7</v>
      </c>
      <c r="CC14" s="107">
        <f>CB14*100/$E$14</f>
        <v/>
      </c>
      <c r="CD14" s="108" t="n"/>
      <c r="CE14" s="107">
        <f>CD14*100/$E$14</f>
        <v/>
      </c>
      <c r="CF14" s="108" t="n"/>
      <c r="CG14" s="107">
        <f>CF14*100/$E$14</f>
        <v/>
      </c>
      <c r="CH14" s="108" t="n"/>
      <c r="CI14" s="107">
        <f>CH14*100/$E$14</f>
        <v/>
      </c>
      <c r="CJ14" s="108" t="n"/>
      <c r="CK14" s="107">
        <f>CJ14*100/$E$14</f>
        <v/>
      </c>
      <c r="CL14" s="108" t="n">
        <v>15</v>
      </c>
      <c r="CM14" s="107">
        <f>CL14*100/$E$14</f>
        <v/>
      </c>
      <c r="CN14" s="108" t="n"/>
      <c r="CO14" s="122">
        <f>CN14*100/$E$14</f>
        <v/>
      </c>
      <c r="CP14" s="108" t="n"/>
      <c r="CQ14" s="107">
        <f>CP14*100/$E$14</f>
        <v/>
      </c>
      <c r="CR14" s="108" t="n"/>
      <c r="CS14" s="122">
        <f>CR14*100/$E$14</f>
        <v/>
      </c>
      <c r="CT14" s="108" t="n"/>
      <c r="CU14" s="122">
        <f>CT14*100/$E$14</f>
        <v/>
      </c>
      <c r="CV14" s="108" t="n"/>
      <c r="CW14" s="122">
        <f>CV14*100/$E$14</f>
        <v/>
      </c>
      <c r="CX14" s="108" t="n"/>
      <c r="CY14" s="122">
        <f>CX14*100/$E$14</f>
        <v/>
      </c>
      <c r="CZ14" s="108" t="n"/>
      <c r="DA14" s="122">
        <f>CZ14*100/$E$14</f>
        <v/>
      </c>
      <c r="DB14" s="108" t="n"/>
      <c r="DC14" s="122">
        <f>DB14*100/$E$14</f>
        <v/>
      </c>
      <c r="DD14" s="108" t="n">
        <v>10</v>
      </c>
      <c r="DE14" s="122">
        <f>DD14*100/$E$14</f>
        <v/>
      </c>
      <c r="DF14" s="108" t="n">
        <v>6.5</v>
      </c>
      <c r="DG14" s="122">
        <f>DF14*100/$E$14</f>
        <v/>
      </c>
      <c r="DH14" s="108" t="n"/>
      <c r="DI14" s="122">
        <f>DH14*100/$E$14</f>
        <v/>
      </c>
      <c r="DJ14" s="108" t="n"/>
      <c r="DK14" s="122">
        <f>DJ14*100/$E$14</f>
        <v/>
      </c>
      <c r="DL14" s="108" t="n"/>
      <c r="DM14" s="122">
        <f>DL14*100/$E$14</f>
        <v/>
      </c>
      <c r="DN14" s="108" t="n"/>
      <c r="DO14" s="122">
        <f>DN14*100/$E$14</f>
        <v/>
      </c>
      <c r="DP14" s="108" t="n"/>
      <c r="DQ14" s="122">
        <f>DP14*100/$E$14</f>
        <v/>
      </c>
      <c r="DR14" s="108" t="n"/>
      <c r="DS14" s="107">
        <f>DR14*100/$E$14</f>
        <v/>
      </c>
      <c r="DT14" s="108" t="n"/>
      <c r="DU14" s="122">
        <f>DT14*100/$E$14</f>
        <v/>
      </c>
      <c r="DV14" s="108" t="n"/>
      <c r="DW14" s="122">
        <f>DV14*100/$E$14</f>
        <v/>
      </c>
      <c r="DX14" s="108" t="n"/>
      <c r="DY14" s="122">
        <f>DX14*100/$E$14</f>
        <v/>
      </c>
      <c r="DZ14" s="108" t="n">
        <v>8</v>
      </c>
      <c r="EA14" s="122">
        <f>DZ14*100/$E$14</f>
        <v/>
      </c>
      <c r="EB14" s="108" t="n">
        <v>9</v>
      </c>
      <c r="EC14" s="122">
        <f>EB14*100/$E$14</f>
        <v/>
      </c>
      <c r="ED14" s="108" t="n"/>
      <c r="EE14" s="122">
        <f>ED14*100/$E$14</f>
        <v/>
      </c>
      <c r="EF14" s="108" t="n"/>
      <c r="EG14" s="122">
        <f>EF14*100/$E$14</f>
        <v/>
      </c>
      <c r="EH14" s="108" t="n"/>
      <c r="EI14" s="107">
        <f>EH14*100/$E$14</f>
        <v/>
      </c>
      <c r="EJ14" s="108" t="n"/>
      <c r="EK14" s="107">
        <f>EJ14*100/$E$14</f>
        <v/>
      </c>
      <c r="EL14" s="108" t="n"/>
      <c r="EM14" s="107">
        <f>EL14*100/$E$14</f>
        <v/>
      </c>
      <c r="EN14" s="108" t="n"/>
      <c r="EO14" s="107">
        <f>EN14*100/$E$14</f>
        <v/>
      </c>
      <c r="EP14" s="108" t="n"/>
      <c r="EQ14" s="107">
        <f>EP14*100/$E$14</f>
        <v/>
      </c>
      <c r="ER14" s="108" t="n"/>
      <c r="ES14" s="107">
        <f>ER14*100/$E$14</f>
        <v/>
      </c>
      <c r="ET14" s="108" t="n"/>
      <c r="EU14" s="107">
        <f>ET14*100/$E$14</f>
        <v/>
      </c>
      <c r="EV14" s="108" t="n">
        <v>3</v>
      </c>
      <c r="EW14" s="122">
        <f>EV14*100/$E$14</f>
        <v/>
      </c>
      <c r="EX14" s="108" t="n"/>
      <c r="EY14" s="122">
        <f>EX14*100/$E$14</f>
        <v/>
      </c>
      <c r="EZ14" s="108" t="n">
        <v>2</v>
      </c>
      <c r="FA14" s="122">
        <f>EZ14*100/$E$14</f>
        <v/>
      </c>
      <c r="FB14" s="108" t="n"/>
      <c r="FC14" s="122">
        <f>FB14*100/$E$14</f>
        <v/>
      </c>
      <c r="FD14" s="108" t="n">
        <v>9</v>
      </c>
      <c r="FE14" s="122">
        <f>FD14*100/$E$14</f>
        <v/>
      </c>
      <c r="FF14" s="108" t="n"/>
      <c r="FG14" s="122">
        <f>FF14*100/$E$14</f>
        <v/>
      </c>
      <c r="FH14" s="108" t="n"/>
      <c r="FI14" s="122">
        <f>FH14*100/$E$14</f>
        <v/>
      </c>
      <c r="FJ14" s="108" t="n"/>
      <c r="FK14" s="122">
        <f>FJ14*100/$E$14</f>
        <v/>
      </c>
      <c r="FL14" s="108" t="n">
        <v>9</v>
      </c>
      <c r="FM14" s="122">
        <f>FL14*100/$E$14</f>
        <v/>
      </c>
      <c r="FN14" s="108" t="n"/>
      <c r="FO14" s="122">
        <f>FN14*100/$E$14</f>
        <v/>
      </c>
      <c r="FP14" s="108" t="n"/>
      <c r="FQ14" s="107">
        <f>FP14*100/$E$14</f>
        <v/>
      </c>
      <c r="FR14" s="108" t="n"/>
      <c r="FS14" s="107">
        <f>FR14*100/$E$14</f>
        <v/>
      </c>
      <c r="FT14" s="108" t="n">
        <v>12</v>
      </c>
      <c r="FU14" s="107">
        <f>FT14*100/$E$14</f>
        <v/>
      </c>
      <c r="FV14" s="108" t="n"/>
      <c r="FW14" s="107">
        <f>FV14*100/$E$14</f>
        <v/>
      </c>
      <c r="FX14" s="108" t="n"/>
      <c r="FY14" s="107">
        <f>FX14*100/$E$14</f>
        <v/>
      </c>
      <c r="FZ14" s="108" t="n">
        <v>35</v>
      </c>
      <c r="GA14" s="107">
        <f>FZ14*100/$E$14</f>
        <v/>
      </c>
      <c r="GB14" s="108" t="n"/>
      <c r="GC14" s="107">
        <f>GB14*100/$E$14</f>
        <v/>
      </c>
      <c r="GD14" s="108" t="n"/>
      <c r="GE14" s="107">
        <f>GD14*100/$E$14</f>
        <v/>
      </c>
      <c r="GF14" s="108" t="n"/>
      <c r="GG14" s="107">
        <f>GF14*100/$E$14</f>
        <v/>
      </c>
      <c r="GH14" s="108" t="n"/>
      <c r="GI14" s="107">
        <f>GH14*100/$E$14</f>
        <v/>
      </c>
      <c r="GJ14" s="108" t="n"/>
      <c r="GK14" s="122">
        <f>GJ14*100/$E$14</f>
        <v/>
      </c>
      <c r="GL14" s="108" t="n"/>
      <c r="GM14" s="107">
        <f>GL14*100/$E$14</f>
        <v/>
      </c>
      <c r="GN14" s="108" t="n"/>
      <c r="GO14" s="122">
        <f>GN14*100/$E$14</f>
        <v/>
      </c>
      <c r="GP14" s="108" t="n"/>
      <c r="GQ14" s="107">
        <f>GP14*100/$E$14</f>
        <v/>
      </c>
      <c r="GR14" s="108" t="n"/>
      <c r="GS14" s="122">
        <f>GR14*100/$E$14</f>
        <v/>
      </c>
      <c r="GT14" s="108" t="n"/>
      <c r="GU14" s="122">
        <f>GT14*100/$E$14</f>
        <v/>
      </c>
      <c r="GV14" s="108" t="n"/>
      <c r="GW14" s="107">
        <f>GV14*100/$E$14</f>
        <v/>
      </c>
      <c r="GX14" s="108" t="n"/>
      <c r="GY14" s="107">
        <f>GX14*100/$E$14</f>
        <v/>
      </c>
      <c r="GZ14" s="108" t="n"/>
      <c r="HA14" s="107">
        <f>GZ14*100/$E$14</f>
        <v/>
      </c>
      <c r="HB14" s="108" t="n"/>
      <c r="HC14" s="107">
        <f>HB14*100/$E$14</f>
        <v/>
      </c>
      <c r="HD14" s="108" t="n"/>
      <c r="HE14" s="107">
        <f>HD14*100/$E$14</f>
        <v/>
      </c>
      <c r="HF14" s="108" t="n"/>
      <c r="HG14" s="107">
        <f>HF14*100/$E$14</f>
        <v/>
      </c>
      <c r="HH14" s="108" t="n"/>
      <c r="HI14" s="107">
        <f>HH14*100/$E$14</f>
        <v/>
      </c>
      <c r="HJ14" s="108" t="n"/>
      <c r="HK14" s="107">
        <f>HJ14*100/$E$14</f>
        <v/>
      </c>
      <c r="HL14" s="108" t="n"/>
      <c r="HM14" s="107">
        <f>HL14*100/$E$14</f>
        <v/>
      </c>
      <c r="HN14" s="108" t="n"/>
      <c r="HO14" s="107">
        <f>HN14*100/$E$14</f>
        <v/>
      </c>
      <c r="HP14" s="108" t="n"/>
      <c r="HQ14" s="107">
        <f>HP14*100/$E$14</f>
        <v/>
      </c>
      <c r="HR14" s="108" t="n"/>
      <c r="HS14" s="107">
        <f>HR14*100/$E$14</f>
        <v/>
      </c>
      <c r="HT14" s="108" t="n"/>
      <c r="HU14" s="107">
        <f>HT14*100/$E$14</f>
        <v/>
      </c>
      <c r="HV14" s="108" t="n"/>
      <c r="HW14" s="107">
        <f>HV14*100/$E$14</f>
        <v/>
      </c>
      <c r="HX14" s="108" t="n"/>
      <c r="HY14" s="107">
        <f>HX14*100/$E$14</f>
        <v/>
      </c>
      <c r="HZ14" s="108" t="n"/>
      <c r="IA14" s="122">
        <f>HZ14*100/$E$14</f>
        <v/>
      </c>
      <c r="IB14" s="108" t="n"/>
      <c r="IC14" s="122">
        <f>IB14*100/$E$14</f>
        <v/>
      </c>
      <c r="ID14" s="108" t="n"/>
      <c r="IE14" s="122">
        <f>ID14*100/$E$14</f>
        <v/>
      </c>
      <c r="IF14" s="108" t="n"/>
      <c r="IG14" s="122">
        <f>IF14*100/$E$14</f>
        <v/>
      </c>
      <c r="IH14" s="108" t="n"/>
      <c r="II14" s="122">
        <f>IH14*100/$E$14</f>
        <v/>
      </c>
      <c r="IJ14" s="108" t="n"/>
      <c r="IK14" s="122">
        <f>IJ14*100/$E$14</f>
        <v/>
      </c>
      <c r="IL14" s="108" t="n"/>
      <c r="IM14" s="107">
        <f>IL14*100/$E$14</f>
        <v/>
      </c>
      <c r="IN14" s="108" t="n"/>
      <c r="IO14" s="107">
        <f>IN14*100/$E$14</f>
        <v/>
      </c>
      <c r="IP14" s="108" t="n"/>
      <c r="IQ14" s="122">
        <f>IP14*100/$E$14</f>
        <v/>
      </c>
      <c r="IR14" s="108" t="n"/>
      <c r="IS14" s="122">
        <f>IR14*100/$E$14</f>
        <v/>
      </c>
      <c r="IT14" s="108" t="n"/>
      <c r="IU14" s="122">
        <f>IT14*100/$E$14</f>
        <v/>
      </c>
      <c r="IV14" s="108" t="n"/>
      <c r="IW14" s="122">
        <f>IV14*100/$E$14</f>
        <v/>
      </c>
      <c r="IX14" s="108" t="n"/>
      <c r="IY14" s="122">
        <f>IX14*100/$E$14</f>
        <v/>
      </c>
      <c r="IZ14" s="108" t="n"/>
      <c r="JA14" s="122">
        <f>IZ14*100/$E$14</f>
        <v/>
      </c>
      <c r="JB14" s="108" t="n"/>
      <c r="JC14" s="122">
        <f>JB14*100/$E$14</f>
        <v/>
      </c>
      <c r="JD14" s="108" t="n"/>
      <c r="JE14" s="122">
        <f>JD14*100/$E$14</f>
        <v/>
      </c>
      <c r="JF14" s="108" t="n"/>
      <c r="JG14" s="107">
        <f>JF14*100/$E$14</f>
        <v/>
      </c>
      <c r="JH14" s="108" t="n"/>
      <c r="JI14" s="122">
        <f>JH14*100/$E$14</f>
        <v/>
      </c>
      <c r="JJ14" s="108" t="n"/>
      <c r="JK14" s="107">
        <f>JJ14*100/$E$14</f>
        <v/>
      </c>
      <c r="JL14" s="108" t="n">
        <v>5.5</v>
      </c>
      <c r="JM14" s="122">
        <f>JL14*100/$E$14</f>
        <v/>
      </c>
      <c r="JN14" s="108" t="n"/>
      <c r="JO14" s="122">
        <f>JN14*100/$E$14</f>
        <v/>
      </c>
      <c r="JP14" s="108" t="n"/>
      <c r="JQ14" s="122">
        <f>JP14*100/$E$14</f>
        <v/>
      </c>
      <c r="JR14" s="108" t="n"/>
      <c r="JS14" s="122">
        <f>JR14*100/$E$14</f>
        <v/>
      </c>
      <c r="JT14" s="108" t="n"/>
      <c r="JU14" s="122">
        <f>JT14*100/$E$14</f>
        <v/>
      </c>
      <c r="JV14" s="108" t="n"/>
      <c r="JW14" s="122">
        <f>JV14*100/$E$14</f>
        <v/>
      </c>
      <c r="JX14" s="108" t="n"/>
      <c r="JY14" s="122">
        <f>JX14*100/$E$14</f>
        <v/>
      </c>
      <c r="JZ14" s="55">
        <f>JN14+JP14+JR14+JT14+JV14+JX14</f>
        <v/>
      </c>
      <c r="KA14" s="53">
        <f>JO14+JQ14+JS14+JU14+JW14+JY14</f>
        <v/>
      </c>
      <c r="KB14" s="64">
        <f>H14+J14+L14+N14+P14+R14+T14+V14+X14+Z14+AB14+AD14+AF14+AH14+AJ14+AL14+AN14+AP14+AR14+AT14+AV14+AX14+AZ14+BB14+BD14+BF14+BH14+BJ14+BL14+BN14+BP14+BR14+BT14+BV14+BX14+BZ14+CB14+CD14+CF14+CH14+CZ14+DB14+DD14+DF14+DH14+DJ14+DL14+DN14+DP14+DR14+DT14+DV14+DX14+DZ14+EB14+ED14+EF14+EH14+EJ14+EL14+EN14+EP14+ER14+ET14+EV14+FN14+FP14+FR14+FT14+FV14+FX14+FZ14+GB14+GD14+GF14+GH14+GJ14+GL14+GN14+GP14+GR14+GT14+GV14+GX14+GZ14+HB14+HD14+HF14+HH14+HJ14+HL14+HN14+HP14+HR14+HT14+HV14+HX14+HZ14+IB14+ID14+IF14+IH14+IJ14+IL14+IN14+IP14+IR14+IT14+IV14+IX14+IZ14+JB14+JD14+JF14+JH14+JJ14+JL14+JZ14+CJ14+CL14+CN14+CP14+CR14+CT14+CV14+CX14+EX14+EZ14+FB14+FD14+FF14+FH14+FJ14+FL14</f>
        <v/>
      </c>
      <c r="KC14" s="66">
        <f>I14+K14+M14+O14+Q14+S14+U14+W14+Y14+AA14+AC14+AE14+AG14+AI14+AK14+AM14+AO14+AQ14+AS14+AU14+AW14+AY14+BA14+BC14+BE14+BG14+BI14+BK14+BM14+BO14+BQ14+BS14+BU14+BW14+BY14+CA14+CC14+CE14+CG14+CI14+DA14+DC14+DE14+DG14+DI14+DK14+DM14+DO14+DQ14+DS14+DU14+DW14+DY14+EA14+EC14+EE14+EG14+EI14+EK14+EM14+EO14+EQ14+ES14+EU14+EW14+FO14+FS14+FU14+FW14+FQ14+FY14+GA14+GC14+GE14+GG14+GI14+GK14+GM14+GO14+GQ14+GS14+GU14+GW14+GY14+HA14+HC14+HE14+HG14+HI14+HK14+HM14+HO14+HQ14+HS14+HU14+HW14+HY14+IA14+IC14+IE14+IG14+II14+IK14+IM14+IO14+IQ14+IS14+IU14+IW14+IY14+JA14+JC14+JE14+JG14+JI14+JK14+JM14+KA14+CK14+CM14+CO14+CQ14+CS14+CU14+CW14+CY14+EY14+FA14+FC14+FE14+FG14+FI14+FK14+FM14</f>
        <v/>
      </c>
      <c r="KD14" s="44">
        <f>JO14+JQ14+JS14+JU14+JW14+JY14</f>
        <v/>
      </c>
      <c r="KE14" s="45">
        <f>KB14=E14</f>
        <v/>
      </c>
      <c r="KF14" s="101">
        <f>E14-KB14</f>
        <v/>
      </c>
      <c r="KG14" s="12" t="n"/>
    </row>
    <row r="15" ht="21.75" customFormat="1" customHeight="1" s="12">
      <c r="A15" s="126">
        <f>A14+1</f>
        <v/>
      </c>
      <c r="B15" s="175" t="inlineStr">
        <is>
          <t>Войтехо М. Н.</t>
        </is>
      </c>
      <c r="C15" s="194" t="inlineStr">
        <is>
          <t>Слесарь МСР</t>
        </is>
      </c>
      <c r="D15" s="177">
        <f>$D$5</f>
        <v/>
      </c>
      <c r="E15" s="202" t="n"/>
      <c r="F15" s="190" t="n">
        <v>68902.87</v>
      </c>
      <c r="G15" s="52">
        <f>F15/D15</f>
        <v/>
      </c>
      <c r="H15" s="125" t="n"/>
      <c r="I15" s="107">
        <f>H15*100/$E$15</f>
        <v/>
      </c>
      <c r="J15" s="108" t="n"/>
      <c r="K15" s="107">
        <f>J15*100/$E$15</f>
        <v/>
      </c>
      <c r="L15" s="108" t="n"/>
      <c r="M15" s="107">
        <f>L15*100/$E$15</f>
        <v/>
      </c>
      <c r="N15" s="108" t="n"/>
      <c r="O15" s="107">
        <f>N15*100/$E$15</f>
        <v/>
      </c>
      <c r="P15" s="108" t="n"/>
      <c r="Q15" s="122">
        <f>P15*100/$E$15</f>
        <v/>
      </c>
      <c r="R15" s="108" t="n"/>
      <c r="S15" s="122">
        <f>R15*100/$E$15</f>
        <v/>
      </c>
      <c r="T15" s="108" t="n"/>
      <c r="U15" s="107">
        <f>T15*100/$E$15</f>
        <v/>
      </c>
      <c r="V15" s="108" t="n"/>
      <c r="W15" s="107">
        <f>V15*100/$E$15</f>
        <v/>
      </c>
      <c r="X15" s="108" t="n"/>
      <c r="Y15" s="107">
        <f>X15*100/$E$15</f>
        <v/>
      </c>
      <c r="Z15" s="108" t="n"/>
      <c r="AA15" s="107">
        <f>Z15*100/$E$15</f>
        <v/>
      </c>
      <c r="AB15" s="108" t="n"/>
      <c r="AC15" s="107">
        <f>AB15*100/$E$15</f>
        <v/>
      </c>
      <c r="AD15" s="108" t="n"/>
      <c r="AE15" s="122">
        <f>AD15*100/$E$15</f>
        <v/>
      </c>
      <c r="AF15" s="108" t="n"/>
      <c r="AG15" s="122">
        <f>AF15*100/$E$15</f>
        <v/>
      </c>
      <c r="AH15" s="108" t="n"/>
      <c r="AI15" s="107">
        <f>AH15*100/$E$15</f>
        <v/>
      </c>
      <c r="AJ15" s="108" t="n"/>
      <c r="AK15" s="107">
        <f>AJ15*100/$E$15</f>
        <v/>
      </c>
      <c r="AL15" s="108" t="n"/>
      <c r="AM15" s="107">
        <f>AL15*100/$E$15</f>
        <v/>
      </c>
      <c r="AN15" s="108" t="n"/>
      <c r="AO15" s="107">
        <f>AN15*100/$E$15</f>
        <v/>
      </c>
      <c r="AP15" s="108" t="n"/>
      <c r="AQ15" s="107">
        <f>AP15*100/$E$15</f>
        <v/>
      </c>
      <c r="AR15" s="108" t="n"/>
      <c r="AS15" s="107">
        <f>AR15*100/$E$15</f>
        <v/>
      </c>
      <c r="AT15" s="108" t="n"/>
      <c r="AU15" s="90">
        <f>AT15*100/$E$15</f>
        <v/>
      </c>
      <c r="AV15" s="108" t="n"/>
      <c r="AW15" s="107">
        <f>AV15*100/$E$15</f>
        <v/>
      </c>
      <c r="AX15" s="108" t="n"/>
      <c r="AY15" s="107">
        <f>AX15*100/$E$15</f>
        <v/>
      </c>
      <c r="AZ15" s="108" t="n"/>
      <c r="BA15" s="107">
        <f>AZ15*100/$E$15</f>
        <v/>
      </c>
      <c r="BB15" s="108" t="n"/>
      <c r="BC15" s="107">
        <f>BB15*100/$E$15</f>
        <v/>
      </c>
      <c r="BD15" s="108" t="n"/>
      <c r="BE15" s="107">
        <f>BD15*100/$E$15</f>
        <v/>
      </c>
      <c r="BF15" s="108" t="n"/>
      <c r="BG15" s="107">
        <f>BF15*100/$E$15</f>
        <v/>
      </c>
      <c r="BH15" s="108" t="n"/>
      <c r="BI15" s="107">
        <f>BH15*100/$E$15</f>
        <v/>
      </c>
      <c r="BJ15" s="108" t="n"/>
      <c r="BK15" s="107">
        <f>BJ15*100/$E$15</f>
        <v/>
      </c>
      <c r="BL15" s="108" t="n"/>
      <c r="BM15" s="107">
        <f>BL15*100/$E$15</f>
        <v/>
      </c>
      <c r="BN15" s="108" t="n"/>
      <c r="BO15" s="107">
        <f>BN15*100/$E$15</f>
        <v/>
      </c>
      <c r="BP15" s="108" t="n"/>
      <c r="BQ15" s="107">
        <f>BP15*100/$E$15</f>
        <v/>
      </c>
      <c r="BR15" s="108" t="n"/>
      <c r="BS15" s="107">
        <f>BR15*100/$E$15</f>
        <v/>
      </c>
      <c r="BT15" s="108" t="n"/>
      <c r="BU15" s="107">
        <f>BT15*100/$E$15</f>
        <v/>
      </c>
      <c r="BV15" s="108" t="n"/>
      <c r="BW15" s="107">
        <f>BV15*100/$E$15</f>
        <v/>
      </c>
      <c r="BX15" s="108" t="n"/>
      <c r="BY15" s="107">
        <f>BX15*100/$E$15</f>
        <v/>
      </c>
      <c r="BZ15" s="108" t="n"/>
      <c r="CA15" s="107">
        <f>BZ15*100/$E$15</f>
        <v/>
      </c>
      <c r="CB15" s="108" t="n"/>
      <c r="CC15" s="107">
        <f>CB15*100/$E$15</f>
        <v/>
      </c>
      <c r="CD15" s="108" t="n"/>
      <c r="CE15" s="107">
        <f>CD15*100/$E$15</f>
        <v/>
      </c>
      <c r="CF15" s="108" t="n"/>
      <c r="CG15" s="107">
        <f>CF15*100/$E$15</f>
        <v/>
      </c>
      <c r="CH15" s="108" t="n"/>
      <c r="CI15" s="107">
        <f>CH15*100/$E$15</f>
        <v/>
      </c>
      <c r="CJ15" s="108" t="n"/>
      <c r="CK15" s="107">
        <f>CJ15*100/$E$15</f>
        <v/>
      </c>
      <c r="CL15" s="108" t="n"/>
      <c r="CM15" s="107">
        <f>CL15*100/$E$15</f>
        <v/>
      </c>
      <c r="CN15" s="108" t="n"/>
      <c r="CO15" s="122">
        <f>CN15*100/$E$15</f>
        <v/>
      </c>
      <c r="CP15" s="108" t="n"/>
      <c r="CQ15" s="107">
        <f>CP15*100/$E$15</f>
        <v/>
      </c>
      <c r="CR15" s="108" t="n"/>
      <c r="CS15" s="122">
        <f>CR15*100/$E$15</f>
        <v/>
      </c>
      <c r="CT15" s="108" t="n"/>
      <c r="CU15" s="122">
        <f>CT15*100/$E$15</f>
        <v/>
      </c>
      <c r="CV15" s="108" t="n"/>
      <c r="CW15" s="122">
        <f>CV15*100/$E$15</f>
        <v/>
      </c>
      <c r="CX15" s="108" t="n"/>
      <c r="CY15" s="122">
        <f>CX15*100/$E$15</f>
        <v/>
      </c>
      <c r="CZ15" s="108" t="n"/>
      <c r="DA15" s="122">
        <f>CZ15*100/$E$15</f>
        <v/>
      </c>
      <c r="DB15" s="108" t="n"/>
      <c r="DC15" s="122">
        <f>DB15*100/$E$15</f>
        <v/>
      </c>
      <c r="DD15" s="108" t="n"/>
      <c r="DE15" s="122">
        <f>DD15*100/$E$15</f>
        <v/>
      </c>
      <c r="DF15" s="108" t="n"/>
      <c r="DG15" s="122">
        <f>DF15*100/$E$15</f>
        <v/>
      </c>
      <c r="DH15" s="108" t="n"/>
      <c r="DI15" s="122">
        <f>DH15*100/$E$15</f>
        <v/>
      </c>
      <c r="DJ15" s="108" t="n"/>
      <c r="DK15" s="122">
        <f>DJ15*100/$E$15</f>
        <v/>
      </c>
      <c r="DL15" s="108" t="n"/>
      <c r="DM15" s="122">
        <f>DL15*100/$E$15</f>
        <v/>
      </c>
      <c r="DN15" s="108" t="n"/>
      <c r="DO15" s="122">
        <f>DN15*100/$E$15</f>
        <v/>
      </c>
      <c r="DP15" s="108" t="n"/>
      <c r="DQ15" s="122">
        <f>DP15*100/$E$15</f>
        <v/>
      </c>
      <c r="DR15" s="108" t="n"/>
      <c r="DS15" s="122">
        <f>DR15*100/$E$15</f>
        <v/>
      </c>
      <c r="DT15" s="108" t="n"/>
      <c r="DU15" s="122">
        <f>DT15*100/$E$15</f>
        <v/>
      </c>
      <c r="DV15" s="108" t="n"/>
      <c r="DW15" s="122">
        <f>DV15*100/$E$15</f>
        <v/>
      </c>
      <c r="DX15" s="108" t="n"/>
      <c r="DY15" s="122">
        <f>DX15*100/$E$15</f>
        <v/>
      </c>
      <c r="DZ15" s="108" t="n"/>
      <c r="EA15" s="122">
        <f>DZ15*100/$E$15</f>
        <v/>
      </c>
      <c r="EB15" s="108" t="n"/>
      <c r="EC15" s="122">
        <f>EB15*100/$E$15</f>
        <v/>
      </c>
      <c r="ED15" s="108" t="n"/>
      <c r="EE15" s="122">
        <f>ED15*100/$E$15</f>
        <v/>
      </c>
      <c r="EF15" s="108" t="n"/>
      <c r="EG15" s="122">
        <f>EF15*100/$E$15</f>
        <v/>
      </c>
      <c r="EH15" s="108" t="n"/>
      <c r="EI15" s="122">
        <f>EH15*100/$E$15</f>
        <v/>
      </c>
      <c r="EJ15" s="108" t="n"/>
      <c r="EK15" s="122">
        <f>EJ15*100/$E$15</f>
        <v/>
      </c>
      <c r="EL15" s="108" t="n"/>
      <c r="EM15" s="122">
        <f>EL15*100/$E$15</f>
        <v/>
      </c>
      <c r="EN15" s="108" t="n"/>
      <c r="EO15" s="122">
        <f>EN15*100/$E$15</f>
        <v/>
      </c>
      <c r="EP15" s="108" t="n"/>
      <c r="EQ15" s="122">
        <f>EP15*100/$E$15</f>
        <v/>
      </c>
      <c r="ER15" s="108" t="n"/>
      <c r="ES15" s="122">
        <f>ER15*100/$E$15</f>
        <v/>
      </c>
      <c r="ET15" s="108" t="n"/>
      <c r="EU15" s="122">
        <f>ET15*100/$E$15</f>
        <v/>
      </c>
      <c r="EV15" s="108" t="n"/>
      <c r="EW15" s="122">
        <f>EV15*100/$E$15</f>
        <v/>
      </c>
      <c r="EX15" s="108" t="n"/>
      <c r="EY15" s="122">
        <f>EX15*100/$E$15</f>
        <v/>
      </c>
      <c r="EZ15" s="108" t="n"/>
      <c r="FA15" s="122">
        <f>EZ15*100/$E$15</f>
        <v/>
      </c>
      <c r="FB15" s="108" t="n"/>
      <c r="FC15" s="122">
        <f>FB15*100/$E$15</f>
        <v/>
      </c>
      <c r="FD15" s="108" t="n"/>
      <c r="FE15" s="122">
        <f>FD15*100/$E$15</f>
        <v/>
      </c>
      <c r="FF15" s="108" t="n"/>
      <c r="FG15" s="122">
        <f>FF15*100/$E$15</f>
        <v/>
      </c>
      <c r="FH15" s="108" t="n"/>
      <c r="FI15" s="122">
        <f>FH15*100/$E$15</f>
        <v/>
      </c>
      <c r="FJ15" s="108" t="n"/>
      <c r="FK15" s="122">
        <f>FJ15*100/$E$15</f>
        <v/>
      </c>
      <c r="FL15" s="108" t="n"/>
      <c r="FM15" s="122">
        <f>FL15*100/$E$15</f>
        <v/>
      </c>
      <c r="FN15" s="108" t="n"/>
      <c r="FO15" s="122">
        <f>FN15*100/$E$15</f>
        <v/>
      </c>
      <c r="FP15" s="108" t="n"/>
      <c r="FQ15" s="122">
        <f>FP15*100/$E$15</f>
        <v/>
      </c>
      <c r="FR15" s="108" t="n"/>
      <c r="FS15" s="122">
        <f>FR15*100/$E$15</f>
        <v/>
      </c>
      <c r="FT15" s="108" t="n"/>
      <c r="FU15" s="122">
        <f>FT15*100/$E$15</f>
        <v/>
      </c>
      <c r="FV15" s="108" t="n"/>
      <c r="FW15" s="122">
        <f>FV15*100/$E$15</f>
        <v/>
      </c>
      <c r="FX15" s="108" t="n"/>
      <c r="FY15" s="107">
        <f>FX15*100/$E$15</f>
        <v/>
      </c>
      <c r="FZ15" s="108" t="n"/>
      <c r="GA15" s="107">
        <f>FZ15*100/$E$15</f>
        <v/>
      </c>
      <c r="GB15" s="108" t="n"/>
      <c r="GC15" s="107">
        <f>GB15*100/$E$15</f>
        <v/>
      </c>
      <c r="GD15" s="108" t="n"/>
      <c r="GE15" s="107">
        <f>GD15*100/$E$15</f>
        <v/>
      </c>
      <c r="GF15" s="108" t="n"/>
      <c r="GG15" s="107">
        <f>GF15*100/$E$15</f>
        <v/>
      </c>
      <c r="GH15" s="108" t="n"/>
      <c r="GI15" s="107">
        <f>GH15*100/$E$15</f>
        <v/>
      </c>
      <c r="GJ15" s="108" t="n"/>
      <c r="GK15" s="122">
        <f>GJ15*100/$E$15</f>
        <v/>
      </c>
      <c r="GL15" s="108" t="n"/>
      <c r="GM15" s="107">
        <f>GL15*100/$E$15</f>
        <v/>
      </c>
      <c r="GN15" s="108" t="n"/>
      <c r="GO15" s="122">
        <f>GN15*100/$E$15</f>
        <v/>
      </c>
      <c r="GP15" s="108" t="n"/>
      <c r="GQ15" s="107">
        <f>GP15*100/$E$15</f>
        <v/>
      </c>
      <c r="GR15" s="108" t="n"/>
      <c r="GS15" s="122">
        <f>GR15*100/$E$15</f>
        <v/>
      </c>
      <c r="GT15" s="108" t="n"/>
      <c r="GU15" s="122">
        <f>GT15*100/$E$15</f>
        <v/>
      </c>
      <c r="GV15" s="108" t="n"/>
      <c r="GW15" s="122">
        <f>GV15*100/$E$15</f>
        <v/>
      </c>
      <c r="GX15" s="108" t="n"/>
      <c r="GY15" s="107">
        <f>GX15*100/$E$15</f>
        <v/>
      </c>
      <c r="GZ15" s="108" t="n"/>
      <c r="HA15" s="107">
        <f>GZ15*100/$E$15</f>
        <v/>
      </c>
      <c r="HB15" s="108" t="n"/>
      <c r="HC15" s="107">
        <f>HB15*100/$E$15</f>
        <v/>
      </c>
      <c r="HD15" s="108" t="n"/>
      <c r="HE15" s="107">
        <f>HD15*100/$E$15</f>
        <v/>
      </c>
      <c r="HF15" s="108" t="n"/>
      <c r="HG15" s="107">
        <f>HF15*100/$E$15</f>
        <v/>
      </c>
      <c r="HH15" s="108" t="n"/>
      <c r="HI15" s="107">
        <f>HH15*100/$E$15</f>
        <v/>
      </c>
      <c r="HJ15" s="108" t="n"/>
      <c r="HK15" s="107">
        <f>HJ15*100/$E$15</f>
        <v/>
      </c>
      <c r="HL15" s="108" t="n"/>
      <c r="HM15" s="107">
        <f>HL15*100/$E$15</f>
        <v/>
      </c>
      <c r="HN15" s="108" t="n"/>
      <c r="HO15" s="107">
        <f>HN15*100/$E$15</f>
        <v/>
      </c>
      <c r="HP15" s="108" t="n"/>
      <c r="HQ15" s="107">
        <f>HP15*100/$E$15</f>
        <v/>
      </c>
      <c r="HR15" s="108" t="n"/>
      <c r="HS15" s="107">
        <f>HR15*100/$E$15</f>
        <v/>
      </c>
      <c r="HT15" s="108" t="n"/>
      <c r="HU15" s="107">
        <f>HT15*100/$E$15</f>
        <v/>
      </c>
      <c r="HV15" s="108" t="n"/>
      <c r="HW15" s="107">
        <f>HV15*100/$E$15</f>
        <v/>
      </c>
      <c r="HX15" s="108" t="n"/>
      <c r="HY15" s="107">
        <f>HX15*100/$E$15</f>
        <v/>
      </c>
      <c r="HZ15" s="108" t="n"/>
      <c r="IA15" s="122">
        <f>HZ15*100/$E$15</f>
        <v/>
      </c>
      <c r="IB15" s="108" t="n"/>
      <c r="IC15" s="122">
        <f>IB15*100/$E$15</f>
        <v/>
      </c>
      <c r="ID15" s="108" t="n"/>
      <c r="IE15" s="122">
        <f>ID15*100/$E$15</f>
        <v/>
      </c>
      <c r="IF15" s="108" t="n"/>
      <c r="IG15" s="122">
        <f>IF15*100/$E$15</f>
        <v/>
      </c>
      <c r="IH15" s="108" t="n"/>
      <c r="II15" s="122">
        <f>IH15*100/$E$15</f>
        <v/>
      </c>
      <c r="IJ15" s="108" t="n"/>
      <c r="IK15" s="122">
        <f>IJ15*100/$E$15</f>
        <v/>
      </c>
      <c r="IL15" s="108" t="n"/>
      <c r="IM15" s="107">
        <f>IL15*100/$E$15</f>
        <v/>
      </c>
      <c r="IN15" s="108" t="n"/>
      <c r="IO15" s="107">
        <f>IN15*100/$E$15</f>
        <v/>
      </c>
      <c r="IP15" s="108" t="n"/>
      <c r="IQ15" s="122">
        <f>IP15*100/$E$15</f>
        <v/>
      </c>
      <c r="IR15" s="108" t="n"/>
      <c r="IS15" s="122">
        <f>IR15*100/$E$15</f>
        <v/>
      </c>
      <c r="IT15" s="108" t="n"/>
      <c r="IU15" s="122">
        <f>IT15*100/$E$15</f>
        <v/>
      </c>
      <c r="IV15" s="108" t="n"/>
      <c r="IW15" s="122">
        <f>IV15*100/$E$15</f>
        <v/>
      </c>
      <c r="IX15" s="108" t="n"/>
      <c r="IY15" s="122">
        <f>IX15*100/$E$15</f>
        <v/>
      </c>
      <c r="IZ15" s="108" t="n"/>
      <c r="JA15" s="122">
        <f>IZ15*100/$E$15</f>
        <v/>
      </c>
      <c r="JB15" s="108" t="n"/>
      <c r="JC15" s="122">
        <f>JB15*100/$E$15</f>
        <v/>
      </c>
      <c r="JD15" s="108" t="n"/>
      <c r="JE15" s="122">
        <f>JD15*100/$E$15</f>
        <v/>
      </c>
      <c r="JF15" s="108" t="n"/>
      <c r="JG15" s="122">
        <f>JF15*100/$E$15</f>
        <v/>
      </c>
      <c r="JH15" s="108" t="n"/>
      <c r="JI15" s="122">
        <f>JH15*100/$E$15</f>
        <v/>
      </c>
      <c r="JJ15" s="108" t="n"/>
      <c r="JK15" s="122">
        <f>JJ15*100/$E$15</f>
        <v/>
      </c>
      <c r="JL15" s="108" t="n"/>
      <c r="JM15" s="122">
        <f>JL15*100/$E$15</f>
        <v/>
      </c>
      <c r="JN15" s="108" t="n"/>
      <c r="JO15" s="122">
        <f>JN15*100/$E$15</f>
        <v/>
      </c>
      <c r="JP15" s="108" t="n"/>
      <c r="JQ15" s="122">
        <f>JP15*100/$E$15</f>
        <v/>
      </c>
      <c r="JR15" s="108" t="n"/>
      <c r="JS15" s="122">
        <f>JR15*100/$E$15</f>
        <v/>
      </c>
      <c r="JT15" s="108" t="n"/>
      <c r="JU15" s="122">
        <f>JT15*100/$E$15</f>
        <v/>
      </c>
      <c r="JV15" s="132" t="n"/>
      <c r="JW15" s="122">
        <f>JV15*100/$E$15</f>
        <v/>
      </c>
      <c r="JX15" s="132" t="n"/>
      <c r="JY15" s="122">
        <f>JX15*100/$E$15</f>
        <v/>
      </c>
      <c r="JZ15" s="55">
        <f>JN15+JP15+JR15+JT15+JV15+JX15</f>
        <v/>
      </c>
      <c r="KA15" s="53">
        <f>JO15+JQ15+JS15+JU15+JW15+JY15</f>
        <v/>
      </c>
      <c r="KB15" s="64">
        <f>H15+J15+L15+N15+P15+R15+T15+V15+X15+Z15+AB15+AD15+AF15+AH15+AJ15+AL15+AN15+AP15+AR15+AT15+AV15+AX15+AZ15+BB15+BD15+BF15+BH15+BJ15+BL15+BN15+BP15+BR15+BT15+BV15+BX15+BZ15+CB15+CD15+CF15+CH15+CZ15+DB15+DD15+DF15+DH15+DJ15+DL15+DN15+DP15+DR15+DT15+DV15+DX15+DZ15+EB15+ED15+EF15+EH15+EJ15+EL15+EN15+EP15+ER15+ET15+EV15+FN15+FP15+FR15+FT15+FV15+FX15+FZ15+GB15+GD15+GF15+GH15+GJ15+GL15+GN15+GP15+GR15+GT15+GV15+GX15+GZ15+HB15+HD15+HF15+HH15+HJ15+HL15+HN15+HP15+HR15+HT15+HV15+HX15+HZ15+IB15+ID15+IF15+IH15+IJ15+IL15+IN15+IP15+IR15+IT15+IV15+IX15+IZ15+JB15+JD15+JF15+JH15+JJ15+JL15+JZ15+CJ15+CL15+CN15+CP15+CR15+CT15+CV15+CX15+EX15+EZ15+FB15+FD15+FF15+FH15+FJ15+FL15</f>
        <v/>
      </c>
      <c r="KC15" s="66">
        <f>I15+K15+M15+O15+Q15+S15+U15+W15+Y15+AA15+AC15+AE15+AG15+AI15+AK15+AM15+AO15+AQ15+AS15+AU15+AW15+AY15+BA15+BC15+BE15+BG15+BI15+BK15+BM15+BO15+BQ15+BS15+BU15+BW15+BY15+CA15+CC15+CE15+CG15+CI15+DA15+DC15+DE15+DG15+DI15+DK15+DM15+DO15+DQ15+DS15+DU15+DW15+DY15+EA15+EC15+EE15+EG15+EI15+EK15+EM15+EO15+EQ15+ES15+EU15+EW15+FO15+FS15+FU15+FW15+FQ15+FY15+GA15+GC15+GE15+GG15+GI15+GK15+GM15+GO15+GQ15+GS15+GU15+GW15+GY15+HA15+HC15+HE15+HG15+HI15+HK15+HM15+HO15+HQ15+HS15+HU15+HW15+HY15+IA15+IC15+IE15+IG15+II15+IK15+IM15+IO15+IQ15+IS15+IU15+IW15+IY15+JA15+JC15+JE15+JG15+JI15+JK15+JM15+KA15+CK15+CM15+CO15+CQ15+CS15+CU15+CW15+CY15+EY15+FA15+FC15+FE15+FG15+FI15+FK15+FM15</f>
        <v/>
      </c>
      <c r="KD15" s="44">
        <f>JO15+JQ15+JS15+JU15+JW15+JY15</f>
        <v/>
      </c>
      <c r="KE15" s="45">
        <f>KB15=E15</f>
        <v/>
      </c>
      <c r="KF15" s="101">
        <f>E15-KB15</f>
        <v/>
      </c>
      <c r="KG15" s="14" t="n"/>
    </row>
    <row r="16" ht="21.75" customFormat="1" customHeight="1" s="12">
      <c r="A16" s="126">
        <f>A15+1</f>
        <v/>
      </c>
      <c r="B16" s="175" t="inlineStr">
        <is>
          <t>Волков М. А.</t>
        </is>
      </c>
      <c r="C16" s="176" t="inlineStr">
        <is>
          <t>Эл.сварщик</t>
        </is>
      </c>
      <c r="D16" s="177">
        <f>$D$5</f>
        <v/>
      </c>
      <c r="E16" s="202" t="n"/>
      <c r="F16" s="190" t="n">
        <v>55770</v>
      </c>
      <c r="G16" s="52">
        <f>F16/D16</f>
        <v/>
      </c>
      <c r="H16" s="125" t="n"/>
      <c r="I16" s="107">
        <f>H16*100/$E$16</f>
        <v/>
      </c>
      <c r="J16" s="108" t="n"/>
      <c r="K16" s="107">
        <f>J16*100/$E$16</f>
        <v/>
      </c>
      <c r="L16" s="108" t="n"/>
      <c r="M16" s="107">
        <f>L16*100/$E$16</f>
        <v/>
      </c>
      <c r="N16" s="108" t="n"/>
      <c r="O16" s="107">
        <f>N16*100/$E$16</f>
        <v/>
      </c>
      <c r="P16" s="108" t="n"/>
      <c r="Q16" s="122">
        <f>P16*100/$E$16</f>
        <v/>
      </c>
      <c r="R16" s="108" t="n"/>
      <c r="S16" s="107">
        <f>R16*100/$E$16</f>
        <v/>
      </c>
      <c r="T16" s="108" t="n"/>
      <c r="U16" s="107">
        <f>T16*100/$E$16</f>
        <v/>
      </c>
      <c r="V16" s="108" t="n"/>
      <c r="W16" s="107">
        <f>V16*100/$E$16</f>
        <v/>
      </c>
      <c r="X16" s="108" t="n"/>
      <c r="Y16" s="107">
        <f>X16*100/$E$16</f>
        <v/>
      </c>
      <c r="Z16" s="108" t="n"/>
      <c r="AA16" s="107">
        <f>Z16*100/$E$16</f>
        <v/>
      </c>
      <c r="AB16" s="108" t="n"/>
      <c r="AC16" s="107">
        <f>AB16*100/$E$16</f>
        <v/>
      </c>
      <c r="AD16" s="108" t="n"/>
      <c r="AE16" s="107">
        <f>AD16*100/$E$16</f>
        <v/>
      </c>
      <c r="AF16" s="108" t="n"/>
      <c r="AG16" s="107">
        <f>AF16*100/$E$16</f>
        <v/>
      </c>
      <c r="AH16" s="108" t="n"/>
      <c r="AI16" s="107">
        <f>AH16*100/$E$16</f>
        <v/>
      </c>
      <c r="AJ16" s="108" t="n"/>
      <c r="AK16" s="107">
        <f>AJ16*100/$E$16</f>
        <v/>
      </c>
      <c r="AL16" s="108" t="n"/>
      <c r="AM16" s="107">
        <f>AL16*100/$E$16</f>
        <v/>
      </c>
      <c r="AN16" s="108" t="n"/>
      <c r="AO16" s="107">
        <f>AN16*100/$E$16</f>
        <v/>
      </c>
      <c r="AP16" s="108" t="n"/>
      <c r="AQ16" s="107">
        <f>AP16*100/$E$16</f>
        <v/>
      </c>
      <c r="AR16" s="108" t="n"/>
      <c r="AS16" s="107">
        <f>AR16*100/$E$16</f>
        <v/>
      </c>
      <c r="AT16" s="108" t="n"/>
      <c r="AU16" s="90">
        <f>AT16*100/$E$16</f>
        <v/>
      </c>
      <c r="AV16" s="108" t="n"/>
      <c r="AW16" s="107">
        <f>AV16*100/$E$16</f>
        <v/>
      </c>
      <c r="AX16" s="108" t="n"/>
      <c r="AY16" s="107">
        <f>AX16*100/$E$16</f>
        <v/>
      </c>
      <c r="AZ16" s="108" t="n"/>
      <c r="BA16" s="107">
        <f>AZ16*100/$E$16</f>
        <v/>
      </c>
      <c r="BB16" s="108" t="n"/>
      <c r="BC16" s="107">
        <f>BB16*100/$E$16</f>
        <v/>
      </c>
      <c r="BD16" s="108" t="n"/>
      <c r="BE16" s="107">
        <f>BD16*100/$E$16</f>
        <v/>
      </c>
      <c r="BF16" s="108" t="n"/>
      <c r="BG16" s="107">
        <f>BF16*100/$E$16</f>
        <v/>
      </c>
      <c r="BH16" s="108" t="n"/>
      <c r="BI16" s="107">
        <f>BH16*100/$E$16</f>
        <v/>
      </c>
      <c r="BJ16" s="108" t="n"/>
      <c r="BK16" s="107">
        <f>BJ16*100/$E$16</f>
        <v/>
      </c>
      <c r="BL16" s="108" t="n"/>
      <c r="BM16" s="107">
        <f>BL16*100/$E$16</f>
        <v/>
      </c>
      <c r="BN16" s="108" t="n"/>
      <c r="BO16" s="107">
        <f>BN16*100/$E$16</f>
        <v/>
      </c>
      <c r="BP16" s="108" t="n"/>
      <c r="BQ16" s="107">
        <f>BP16*100/$E$16</f>
        <v/>
      </c>
      <c r="BR16" s="108" t="n"/>
      <c r="BS16" s="107">
        <f>BR16*100/$E$16</f>
        <v/>
      </c>
      <c r="BT16" s="108" t="n"/>
      <c r="BU16" s="107">
        <f>BT16*100/$E$16</f>
        <v/>
      </c>
      <c r="BV16" s="108" t="n"/>
      <c r="BW16" s="107">
        <f>BV16*100/$E$16</f>
        <v/>
      </c>
      <c r="BX16" s="108" t="n"/>
      <c r="BY16" s="107">
        <f>BX16*100/$E$16</f>
        <v/>
      </c>
      <c r="BZ16" s="108" t="n"/>
      <c r="CA16" s="107">
        <f>BZ16*100/$E$16</f>
        <v/>
      </c>
      <c r="CB16" s="108" t="n"/>
      <c r="CC16" s="107">
        <f>CB16*100/$E$16</f>
        <v/>
      </c>
      <c r="CD16" s="108" t="n"/>
      <c r="CE16" s="107">
        <f>CD16*100/$E$16</f>
        <v/>
      </c>
      <c r="CF16" s="108" t="n"/>
      <c r="CG16" s="107">
        <f>CF16*100/$E$16</f>
        <v/>
      </c>
      <c r="CH16" s="108" t="n"/>
      <c r="CI16" s="107">
        <f>CH16*100/$E$16</f>
        <v/>
      </c>
      <c r="CJ16" s="108" t="n"/>
      <c r="CK16" s="107">
        <f>CJ16*100/$E$16</f>
        <v/>
      </c>
      <c r="CL16" s="108" t="n"/>
      <c r="CM16" s="107">
        <f>CL16*100/$E$16</f>
        <v/>
      </c>
      <c r="CN16" s="108" t="n"/>
      <c r="CO16" s="122">
        <f>CN16*100/$E$16</f>
        <v/>
      </c>
      <c r="CP16" s="108" t="n"/>
      <c r="CQ16" s="107">
        <f>CP16*100/$E$16</f>
        <v/>
      </c>
      <c r="CR16" s="108" t="n"/>
      <c r="CS16" s="122">
        <f>CR16*100/$E$16</f>
        <v/>
      </c>
      <c r="CT16" s="108" t="n"/>
      <c r="CU16" s="122">
        <f>CT16*100/$E$16</f>
        <v/>
      </c>
      <c r="CV16" s="108" t="n"/>
      <c r="CW16" s="122">
        <f>CV16*100/$E$16</f>
        <v/>
      </c>
      <c r="CX16" s="108" t="n"/>
      <c r="CY16" s="122">
        <f>CX16*100/$E$16</f>
        <v/>
      </c>
      <c r="CZ16" s="108" t="n"/>
      <c r="DA16" s="122">
        <f>CZ16*100/$E$16</f>
        <v/>
      </c>
      <c r="DB16" s="108" t="n"/>
      <c r="DC16" s="122">
        <f>DB16*100/$E$16</f>
        <v/>
      </c>
      <c r="DD16" s="108" t="n"/>
      <c r="DE16" s="122">
        <f>DD16*100/$E$16</f>
        <v/>
      </c>
      <c r="DF16" s="108" t="n"/>
      <c r="DG16" s="122">
        <f>DF16*100/$E$16</f>
        <v/>
      </c>
      <c r="DH16" s="108" t="n"/>
      <c r="DI16" s="122">
        <f>DH16*100/$E$16</f>
        <v/>
      </c>
      <c r="DJ16" s="108" t="n"/>
      <c r="DK16" s="122">
        <f>DJ16*100/$E$16</f>
        <v/>
      </c>
      <c r="DL16" s="108" t="n"/>
      <c r="DM16" s="122">
        <f>DL16*100/$E$16</f>
        <v/>
      </c>
      <c r="DN16" s="108" t="n"/>
      <c r="DO16" s="122">
        <f>DN16*100/$E$16</f>
        <v/>
      </c>
      <c r="DP16" s="108" t="n"/>
      <c r="DQ16" s="122">
        <f>DP16*100/$E$16</f>
        <v/>
      </c>
      <c r="DR16" s="108" t="n"/>
      <c r="DS16" s="107">
        <f>DR16*100/$E$16</f>
        <v/>
      </c>
      <c r="DT16" s="108" t="n"/>
      <c r="DU16" s="122">
        <f>DT16*100/$E$16</f>
        <v/>
      </c>
      <c r="DV16" s="108" t="n"/>
      <c r="DW16" s="122">
        <f>DV16*100/$E$16</f>
        <v/>
      </c>
      <c r="DX16" s="108" t="n"/>
      <c r="DY16" s="122">
        <f>DX16*100/$E$16</f>
        <v/>
      </c>
      <c r="DZ16" s="108" t="n"/>
      <c r="EA16" s="122">
        <f>DZ16*100/$E$16</f>
        <v/>
      </c>
      <c r="EB16" s="108" t="n"/>
      <c r="EC16" s="122">
        <f>EB16*100/$E$16</f>
        <v/>
      </c>
      <c r="ED16" s="108" t="n"/>
      <c r="EE16" s="122">
        <f>ED16*100/$E$16</f>
        <v/>
      </c>
      <c r="EF16" s="108" t="n"/>
      <c r="EG16" s="122">
        <f>EF16*100/$E$16</f>
        <v/>
      </c>
      <c r="EH16" s="108" t="n"/>
      <c r="EI16" s="107">
        <f>EH16*100/$E$16</f>
        <v/>
      </c>
      <c r="EJ16" s="108" t="n"/>
      <c r="EK16" s="107">
        <f>EJ16*100/$E$16</f>
        <v/>
      </c>
      <c r="EL16" s="108" t="n"/>
      <c r="EM16" s="107">
        <f>EL16*100/$E$16</f>
        <v/>
      </c>
      <c r="EN16" s="108" t="n"/>
      <c r="EO16" s="107">
        <f>EN16*100/$E$16</f>
        <v/>
      </c>
      <c r="EP16" s="108" t="n"/>
      <c r="EQ16" s="107">
        <f>EP16*100/$E$16</f>
        <v/>
      </c>
      <c r="ER16" s="108" t="n"/>
      <c r="ES16" s="107">
        <f>ER16*100/$E$16</f>
        <v/>
      </c>
      <c r="ET16" s="108" t="n"/>
      <c r="EU16" s="107">
        <f>ET16*100/$E$16</f>
        <v/>
      </c>
      <c r="EV16" s="108" t="n"/>
      <c r="EW16" s="122">
        <f>EV16*100/$E$16</f>
        <v/>
      </c>
      <c r="EX16" s="108" t="n"/>
      <c r="EY16" s="122">
        <f>EX16*100/$E$16</f>
        <v/>
      </c>
      <c r="EZ16" s="108" t="n"/>
      <c r="FA16" s="122">
        <f>EZ16*100/$E$16</f>
        <v/>
      </c>
      <c r="FB16" s="108" t="n"/>
      <c r="FC16" s="122">
        <f>FB16*100/$E$16</f>
        <v/>
      </c>
      <c r="FD16" s="108" t="n"/>
      <c r="FE16" s="122">
        <f>FD16*100/$E$16</f>
        <v/>
      </c>
      <c r="FF16" s="108" t="n"/>
      <c r="FG16" s="122">
        <f>FF16*100/$E$16</f>
        <v/>
      </c>
      <c r="FH16" s="108" t="n"/>
      <c r="FI16" s="122">
        <f>FH16*100/$E$16</f>
        <v/>
      </c>
      <c r="FJ16" s="108" t="n"/>
      <c r="FK16" s="122">
        <f>FJ16*100/$E$16</f>
        <v/>
      </c>
      <c r="FL16" s="108" t="n"/>
      <c r="FM16" s="122">
        <f>FL16*100/$E$16</f>
        <v/>
      </c>
      <c r="FN16" s="108" t="n"/>
      <c r="FO16" s="122">
        <f>FN16*100/$E$16</f>
        <v/>
      </c>
      <c r="FP16" s="108" t="n"/>
      <c r="FQ16" s="107">
        <f>FP16*100/$E$16</f>
        <v/>
      </c>
      <c r="FR16" s="108" t="n"/>
      <c r="FS16" s="107">
        <f>FR16*100/$E$16</f>
        <v/>
      </c>
      <c r="FT16" s="108" t="n"/>
      <c r="FU16" s="107">
        <f>FT16*100/$E$16</f>
        <v/>
      </c>
      <c r="FV16" s="108" t="n"/>
      <c r="FW16" s="107">
        <f>FV16*100/$E$16</f>
        <v/>
      </c>
      <c r="FX16" s="108" t="n"/>
      <c r="FY16" s="107">
        <f>FX16*100/$E$16</f>
        <v/>
      </c>
      <c r="FZ16" s="108" t="n"/>
      <c r="GA16" s="107">
        <f>FZ16*100/$E$16</f>
        <v/>
      </c>
      <c r="GB16" s="108" t="n"/>
      <c r="GC16" s="107">
        <f>GB16*100/$E$16</f>
        <v/>
      </c>
      <c r="GD16" s="108" t="n"/>
      <c r="GE16" s="107">
        <f>GD16*100/$E$16</f>
        <v/>
      </c>
      <c r="GF16" s="108" t="n"/>
      <c r="GG16" s="107">
        <f>GF16*100/$E$16</f>
        <v/>
      </c>
      <c r="GH16" s="108" t="n"/>
      <c r="GI16" s="107">
        <f>GH16*100/$E$16</f>
        <v/>
      </c>
      <c r="GJ16" s="108" t="n"/>
      <c r="GK16" s="122">
        <f>GJ16*100/$E$16</f>
        <v/>
      </c>
      <c r="GL16" s="108" t="n"/>
      <c r="GM16" s="107">
        <f>GL16*100/$E$16</f>
        <v/>
      </c>
      <c r="GN16" s="108" t="n"/>
      <c r="GO16" s="122">
        <f>GN16*100/$E$16</f>
        <v/>
      </c>
      <c r="GP16" s="108" t="n"/>
      <c r="GQ16" s="107">
        <f>GP16*100/$E$16</f>
        <v/>
      </c>
      <c r="GR16" s="108" t="n"/>
      <c r="GS16" s="122">
        <f>GR16*100/$E$16</f>
        <v/>
      </c>
      <c r="GT16" s="108" t="n"/>
      <c r="GU16" s="122">
        <f>GT16*100/$E$16</f>
        <v/>
      </c>
      <c r="GV16" s="108" t="n"/>
      <c r="GW16" s="122">
        <f>GV16*100/$E$16</f>
        <v/>
      </c>
      <c r="GX16" s="108" t="n"/>
      <c r="GY16" s="107">
        <f>GX16*100/$E$16</f>
        <v/>
      </c>
      <c r="GZ16" s="108" t="n"/>
      <c r="HA16" s="107">
        <f>GZ16*100/$E$16</f>
        <v/>
      </c>
      <c r="HB16" s="108" t="n"/>
      <c r="HC16" s="107">
        <f>HB16*100/$E$16</f>
        <v/>
      </c>
      <c r="HD16" s="108" t="n"/>
      <c r="HE16" s="107">
        <f>HD16*100/$E$16</f>
        <v/>
      </c>
      <c r="HF16" s="108" t="n"/>
      <c r="HG16" s="107">
        <f>HF16*100/$E$16</f>
        <v/>
      </c>
      <c r="HH16" s="108" t="n"/>
      <c r="HI16" s="107">
        <f>HH16*100/$E$16</f>
        <v/>
      </c>
      <c r="HJ16" s="108" t="n"/>
      <c r="HK16" s="107">
        <f>HJ16*100/$E$16</f>
        <v/>
      </c>
      <c r="HL16" s="108" t="n"/>
      <c r="HM16" s="107">
        <f>HL16*100/$E$16</f>
        <v/>
      </c>
      <c r="HN16" s="108" t="n"/>
      <c r="HO16" s="107">
        <f>HN16*100/$E$16</f>
        <v/>
      </c>
      <c r="HP16" s="108" t="n"/>
      <c r="HQ16" s="107">
        <f>HP16*100/$E$16</f>
        <v/>
      </c>
      <c r="HR16" s="108" t="n"/>
      <c r="HS16" s="107">
        <f>HR16*100/$E$16</f>
        <v/>
      </c>
      <c r="HT16" s="108" t="n"/>
      <c r="HU16" s="107">
        <f>HT16*100/$E$16</f>
        <v/>
      </c>
      <c r="HV16" s="108" t="n"/>
      <c r="HW16" s="107">
        <f>HV16*100/$E$16</f>
        <v/>
      </c>
      <c r="HX16" s="108" t="n"/>
      <c r="HY16" s="107">
        <f>HX16*100/$E$16</f>
        <v/>
      </c>
      <c r="HZ16" s="108" t="n"/>
      <c r="IA16" s="122">
        <f>HZ16*100/$E$16</f>
        <v/>
      </c>
      <c r="IB16" s="108" t="n"/>
      <c r="IC16" s="122">
        <f>IB16*100/$E$16</f>
        <v/>
      </c>
      <c r="ID16" s="108" t="n"/>
      <c r="IE16" s="122">
        <f>ID16*100/$E$16</f>
        <v/>
      </c>
      <c r="IF16" s="108" t="n"/>
      <c r="IG16" s="122">
        <f>IF16*100/$E$16</f>
        <v/>
      </c>
      <c r="IH16" s="108" t="n"/>
      <c r="II16" s="122">
        <f>IH16*100/$E$16</f>
        <v/>
      </c>
      <c r="IJ16" s="108" t="n"/>
      <c r="IK16" s="122">
        <f>IJ16*100/$E$16</f>
        <v/>
      </c>
      <c r="IL16" s="108" t="n"/>
      <c r="IM16" s="107">
        <f>IL16*100/$E$16</f>
        <v/>
      </c>
      <c r="IN16" s="108" t="n"/>
      <c r="IO16" s="107">
        <f>IN16*100/$E$16</f>
        <v/>
      </c>
      <c r="IP16" s="108" t="n"/>
      <c r="IQ16" s="122">
        <f>IP16*100/$E$16</f>
        <v/>
      </c>
      <c r="IR16" s="108" t="n"/>
      <c r="IS16" s="122">
        <f>IR16*100/$E$16</f>
        <v/>
      </c>
      <c r="IT16" s="108" t="n"/>
      <c r="IU16" s="122">
        <f>IT16*100/$E$16</f>
        <v/>
      </c>
      <c r="IV16" s="108" t="n"/>
      <c r="IW16" s="122">
        <f>IV16*100/$E$16</f>
        <v/>
      </c>
      <c r="IX16" s="108" t="n"/>
      <c r="IY16" s="122">
        <f>IX16*100/$E$16</f>
        <v/>
      </c>
      <c r="IZ16" s="108" t="n"/>
      <c r="JA16" s="122">
        <f>IZ16*100/$E$16</f>
        <v/>
      </c>
      <c r="JB16" s="108" t="n"/>
      <c r="JC16" s="122">
        <f>JB16*100/$E$16</f>
        <v/>
      </c>
      <c r="JD16" s="108" t="n"/>
      <c r="JE16" s="122">
        <f>JD16*100/$E$16</f>
        <v/>
      </c>
      <c r="JF16" s="108" t="n"/>
      <c r="JG16" s="122">
        <f>JF16*100/$E$16</f>
        <v/>
      </c>
      <c r="JH16" s="108" t="n"/>
      <c r="JI16" s="122">
        <f>JH16*100/$E$16</f>
        <v/>
      </c>
      <c r="JJ16" s="108" t="n"/>
      <c r="JK16" s="122">
        <f>JJ16*100/$E$16</f>
        <v/>
      </c>
      <c r="JL16" s="108" t="n"/>
      <c r="JM16" s="122">
        <f>JL16*100/$E$16</f>
        <v/>
      </c>
      <c r="JN16" s="108" t="n"/>
      <c r="JO16" s="121">
        <f>JN16*100/$E$16</f>
        <v/>
      </c>
      <c r="JP16" s="108" t="n"/>
      <c r="JQ16" s="121">
        <f>JP16*100/$E$16</f>
        <v/>
      </c>
      <c r="JR16" s="108" t="n"/>
      <c r="JS16" s="121">
        <f>JR16*100/$E$16</f>
        <v/>
      </c>
      <c r="JT16" s="108" t="n"/>
      <c r="JU16" s="121">
        <f>JT16*100/$E$16</f>
        <v/>
      </c>
      <c r="JV16" s="108" t="n"/>
      <c r="JW16" s="121">
        <f>JV16*100/$E$16</f>
        <v/>
      </c>
      <c r="JX16" s="108" t="n"/>
      <c r="JY16" s="121">
        <f>JX16*100/$E$16</f>
        <v/>
      </c>
      <c r="JZ16" s="55">
        <f>JN16+JP16+JR16+JT16+JV16+JX16</f>
        <v/>
      </c>
      <c r="KA16" s="53">
        <f>JO16+JQ16+JS16+JU16+JW16+JY16</f>
        <v/>
      </c>
      <c r="KB16" s="64">
        <f>H16+J16+L16+N16+P16+R16+T16+V16+X16+Z16+AB16+AD16+AF16+AH16+AJ16+AL16+AN16+AP16+AR16+AT16+AV16+AX16+AZ16+BB16+BD16+BF16+BH16+BJ16+BL16+BN16+BP16+BR16+BT16+BV16+BX16+BZ16+CB16+CD16+CF16+CH16+CZ16+DB16+DD16+DF16+DH16+DJ16+DL16+DN16+DP16+DR16+DT16+DV16+DX16+DZ16+EB16+ED16+EF16+EH16+EJ16+EL16+EN16+EP16+ER16+ET16+EV16+FN16+FP16+FR16+FT16+FV16+FX16+FZ16+GB16+GD16+GF16+GH16+GJ16+GL16+GN16+GP16+GR16+GT16+GV16+GX16+GZ16+HB16+HD16+HF16+HH16+HJ16+HL16+HN16+HP16+HR16+HT16+HV16+HX16+HZ16+IB16+ID16+IF16+IH16+IJ16+IL16+IN16+IP16+IR16+IT16+IV16+IX16+IZ16+JB16+JD16+JF16+JH16+JJ16+JL16+JZ16+CJ16+CL16+CN16+CP16+CR16+CT16+CV16+CX16+EX16+EZ16+FB16+FD16+FF16+FH16+FJ16+FL16</f>
        <v/>
      </c>
      <c r="KC16" s="66">
        <f>I16+K16+M16+O16+Q16+S16+U16+W16+Y16+AA16+AC16+AE16+AG16+AI16+AK16+AM16+AO16+AQ16+AS16+AU16+AW16+AY16+BA16+BC16+BE16+BG16+BI16+BK16+BM16+BO16+BQ16+BS16+BU16+BW16+BY16+CA16+CC16+CE16+CG16+CI16+DA16+DC16+DE16+DG16+DI16+DK16+DM16+DO16+DQ16+DS16+DU16+DW16+DY16+EA16+EC16+EE16+EG16+EI16+EK16+EM16+EO16+EQ16+ES16+EU16+EW16+FO16+FS16+FU16+FW16+FQ16+FY16+GA16+GC16+GE16+GG16+GI16+GK16+GM16+GO16+GQ16+GS16+GU16+GW16+GY16+HA16+HC16+HE16+HG16+HI16+HK16+HM16+HO16+HQ16+HS16+HU16+HW16+HY16+IA16+IC16+IE16+IG16+II16+IK16+IM16+IO16+IQ16+IS16+IU16+IW16+IY16+JA16+JC16+JE16+JG16+JI16+JK16+JM16+KA16+CK16+CM16+CO16+CQ16+CS16+CU16+CW16+CY16+EY16+FA16+FC16+FE16+FG16+FI16+FK16+FM16</f>
        <v/>
      </c>
      <c r="KD16" s="44">
        <f>JO16+JQ16+JS16+JU16+JW16+JY16</f>
        <v/>
      </c>
      <c r="KE16" s="45">
        <f>KB16=E16</f>
        <v/>
      </c>
      <c r="KF16" s="101">
        <f>E16-KB16</f>
        <v/>
      </c>
      <c r="KG16" s="67" t="n"/>
    </row>
    <row r="17" ht="21.75" customFormat="1" customHeight="1" s="14">
      <c r="A17" s="126">
        <f>A16+1</f>
        <v/>
      </c>
      <c r="B17" s="175" t="inlineStr">
        <is>
          <t>Гринев В.Н.</t>
        </is>
      </c>
      <c r="C17" s="176" t="inlineStr">
        <is>
          <t>сварщик</t>
        </is>
      </c>
      <c r="D17" s="177">
        <f>$D$5</f>
        <v/>
      </c>
      <c r="E17" s="202" t="n">
        <v>104</v>
      </c>
      <c r="F17" s="190" t="n">
        <v>61252.7</v>
      </c>
      <c r="G17" s="52">
        <f>F17/D17</f>
        <v/>
      </c>
      <c r="H17" s="125" t="n"/>
      <c r="I17" s="107">
        <f>H17*100/$E$17</f>
        <v/>
      </c>
      <c r="J17" s="108" t="n"/>
      <c r="K17" s="107">
        <f>J17*100/$E$17</f>
        <v/>
      </c>
      <c r="L17" s="108" t="n"/>
      <c r="M17" s="107">
        <f>L17*100/$E$17</f>
        <v/>
      </c>
      <c r="N17" s="108" t="n"/>
      <c r="O17" s="107">
        <f>N17*100/$E$17</f>
        <v/>
      </c>
      <c r="P17" s="108" t="n"/>
      <c r="Q17" s="122">
        <f>P17*100/$E$17</f>
        <v/>
      </c>
      <c r="R17" s="108" t="n"/>
      <c r="S17" s="122">
        <f>R17*100/$E$17</f>
        <v/>
      </c>
      <c r="T17" s="108" t="n"/>
      <c r="U17" s="107">
        <f>T17*100/$E$17</f>
        <v/>
      </c>
      <c r="V17" s="108" t="n"/>
      <c r="W17" s="107">
        <f>V17*100/$E$17</f>
        <v/>
      </c>
      <c r="X17" s="108" t="n"/>
      <c r="Y17" s="107">
        <f>X17*100/$E$17</f>
        <v/>
      </c>
      <c r="Z17" s="108" t="n"/>
      <c r="AA17" s="107">
        <f>Z17*100/$E$17</f>
        <v/>
      </c>
      <c r="AB17" s="108" t="n"/>
      <c r="AC17" s="107">
        <f>AB17*100/$E$17</f>
        <v/>
      </c>
      <c r="AD17" s="108" t="n"/>
      <c r="AE17" s="122">
        <f>AD17*100/$E$17</f>
        <v/>
      </c>
      <c r="AF17" s="108" t="n"/>
      <c r="AG17" s="122">
        <f>AF17*100/$E$17</f>
        <v/>
      </c>
      <c r="AH17" s="108" t="n"/>
      <c r="AI17" s="107">
        <f>AH17*100/$E$17</f>
        <v/>
      </c>
      <c r="AJ17" s="108" t="n"/>
      <c r="AK17" s="107">
        <f>AJ17*100/$E$17</f>
        <v/>
      </c>
      <c r="AL17" s="108" t="n"/>
      <c r="AM17" s="107">
        <f>AL17*100/$E$17</f>
        <v/>
      </c>
      <c r="AN17" s="108" t="n"/>
      <c r="AO17" s="107">
        <f>AN17*100/$E$17</f>
        <v/>
      </c>
      <c r="AP17" s="108" t="n"/>
      <c r="AQ17" s="107">
        <f>AP17*100/$E$17</f>
        <v/>
      </c>
      <c r="AR17" s="108" t="n"/>
      <c r="AS17" s="107">
        <f>AR17*100/$E$17</f>
        <v/>
      </c>
      <c r="AT17" s="108" t="n"/>
      <c r="AU17" s="90">
        <f>AT17*100/$E$17</f>
        <v/>
      </c>
      <c r="AV17" s="108" t="n"/>
      <c r="AW17" s="107">
        <f>AV17*100/$E$17</f>
        <v/>
      </c>
      <c r="AX17" s="108" t="n"/>
      <c r="AY17" s="107">
        <f>AX17*100/$E$17</f>
        <v/>
      </c>
      <c r="AZ17" s="108" t="n"/>
      <c r="BA17" s="107">
        <f>AZ17*100/$E$17</f>
        <v/>
      </c>
      <c r="BB17" s="108" t="n"/>
      <c r="BC17" s="107">
        <f>BB17*100/$E$17</f>
        <v/>
      </c>
      <c r="BD17" s="108" t="n"/>
      <c r="BE17" s="107">
        <f>BD17*100/$E$17</f>
        <v/>
      </c>
      <c r="BF17" s="108" t="n"/>
      <c r="BG17" s="107">
        <f>BF17*100/$E$17</f>
        <v/>
      </c>
      <c r="BH17" s="108" t="n"/>
      <c r="BI17" s="107">
        <f>BH17*100/$E$17</f>
        <v/>
      </c>
      <c r="BJ17" s="108" t="n"/>
      <c r="BK17" s="107">
        <f>BJ17*100/$E$17</f>
        <v/>
      </c>
      <c r="BL17" s="108" t="n"/>
      <c r="BM17" s="107">
        <f>BL17*100/$E$17</f>
        <v/>
      </c>
      <c r="BN17" s="108" t="n">
        <v>3</v>
      </c>
      <c r="BO17" s="107">
        <f>BN17*100/$E$17</f>
        <v/>
      </c>
      <c r="BP17" s="108" t="n"/>
      <c r="BQ17" s="107">
        <f>BP17*100/$E$17</f>
        <v/>
      </c>
      <c r="BR17" s="108" t="n"/>
      <c r="BS17" s="107">
        <f>BR17*100/$E$17</f>
        <v/>
      </c>
      <c r="BT17" s="108" t="n">
        <v>15.5</v>
      </c>
      <c r="BU17" s="107">
        <f>BT17*100/$E$17</f>
        <v/>
      </c>
      <c r="BV17" s="108" t="n">
        <v>3</v>
      </c>
      <c r="BW17" s="107">
        <f>BV17*100/$E$17</f>
        <v/>
      </c>
      <c r="BX17" s="108" t="n"/>
      <c r="BY17" s="107">
        <f>BX17*100/$E$17</f>
        <v/>
      </c>
      <c r="BZ17" s="108" t="n"/>
      <c r="CA17" s="107">
        <f>BZ17*100/$E$17</f>
        <v/>
      </c>
      <c r="CB17" s="108" t="n"/>
      <c r="CC17" s="107">
        <f>CB17*100/$E$17</f>
        <v/>
      </c>
      <c r="CD17" s="108" t="n"/>
      <c r="CE17" s="107">
        <f>CD17*100/$E$17</f>
        <v/>
      </c>
      <c r="CF17" s="108" t="n"/>
      <c r="CG17" s="107">
        <f>CF17*100/$E$17</f>
        <v/>
      </c>
      <c r="CH17" s="108" t="n"/>
      <c r="CI17" s="107">
        <f>CH17*100/$E$17</f>
        <v/>
      </c>
      <c r="CJ17" s="108" t="n"/>
      <c r="CK17" s="107">
        <f>CJ17*100/$E$17</f>
        <v/>
      </c>
      <c r="CL17" s="108" t="n"/>
      <c r="CM17" s="107">
        <f>CL17*100/$E$17</f>
        <v/>
      </c>
      <c r="CN17" s="108" t="n">
        <v>2</v>
      </c>
      <c r="CO17" s="122">
        <f>CN17*100/$E$17</f>
        <v/>
      </c>
      <c r="CP17" s="108" t="n"/>
      <c r="CQ17" s="107">
        <f>CP17*100/$E$17</f>
        <v/>
      </c>
      <c r="CR17" s="108" t="n"/>
      <c r="CS17" s="122">
        <f>CR17*100/$E$17</f>
        <v/>
      </c>
      <c r="CT17" s="108" t="n"/>
      <c r="CU17" s="122">
        <f>CT17*100/$E$17</f>
        <v/>
      </c>
      <c r="CV17" s="108" t="n"/>
      <c r="CW17" s="122">
        <f>CV17*100/$E$17</f>
        <v/>
      </c>
      <c r="CX17" s="108" t="n"/>
      <c r="CY17" s="122">
        <f>CX17*100/$E$17</f>
        <v/>
      </c>
      <c r="CZ17" s="108" t="n"/>
      <c r="DA17" s="122">
        <f>CZ17*100/$E$17</f>
        <v/>
      </c>
      <c r="DB17" s="108" t="n"/>
      <c r="DC17" s="122">
        <f>DB17*100/$E$17</f>
        <v/>
      </c>
      <c r="DD17" s="108" t="n"/>
      <c r="DE17" s="122">
        <f>DD17*100/$E$17</f>
        <v/>
      </c>
      <c r="DF17" s="108" t="n"/>
      <c r="DG17" s="122">
        <f>DF17*100/$E$17</f>
        <v/>
      </c>
      <c r="DH17" s="108" t="n"/>
      <c r="DI17" s="122">
        <f>DH17*100/$E$17</f>
        <v/>
      </c>
      <c r="DJ17" s="108" t="n"/>
      <c r="DK17" s="122">
        <f>DJ17*100/$E$17</f>
        <v/>
      </c>
      <c r="DL17" s="108" t="n"/>
      <c r="DM17" s="122">
        <f>DL17*100/$E$17</f>
        <v/>
      </c>
      <c r="DN17" s="108" t="n"/>
      <c r="DO17" s="122">
        <f>DN17*100/$E$17</f>
        <v/>
      </c>
      <c r="DP17" s="108" t="n">
        <v>10</v>
      </c>
      <c r="DQ17" s="122">
        <f>DP17*100/$E$17</f>
        <v/>
      </c>
      <c r="DR17" s="108" t="n"/>
      <c r="DS17" s="122">
        <f>DR17*100/$E$17</f>
        <v/>
      </c>
      <c r="DT17" s="108" t="n"/>
      <c r="DU17" s="122">
        <f>DT17*100/$E$17</f>
        <v/>
      </c>
      <c r="DV17" s="108" t="n"/>
      <c r="DW17" s="122">
        <f>DV17*100/$E$17</f>
        <v/>
      </c>
      <c r="DX17" s="108" t="n"/>
      <c r="DY17" s="122">
        <f>DX17*100/$E$17</f>
        <v/>
      </c>
      <c r="DZ17" s="108" t="n"/>
      <c r="EA17" s="122">
        <f>DZ17*100/$E$17</f>
        <v/>
      </c>
      <c r="EB17" s="108" t="n"/>
      <c r="EC17" s="122">
        <f>EB17*100/$E$17</f>
        <v/>
      </c>
      <c r="ED17" s="108" t="n"/>
      <c r="EE17" s="122">
        <f>ED17*100/$E$17</f>
        <v/>
      </c>
      <c r="EF17" s="108" t="n"/>
      <c r="EG17" s="122">
        <f>EF17*100/$E$17</f>
        <v/>
      </c>
      <c r="EH17" s="108" t="n"/>
      <c r="EI17" s="122">
        <f>EH17*100/$E$17</f>
        <v/>
      </c>
      <c r="EJ17" s="108" t="n"/>
      <c r="EK17" s="122">
        <f>EJ17*100/$E$17</f>
        <v/>
      </c>
      <c r="EL17" s="108" t="n"/>
      <c r="EM17" s="122">
        <f>EL17*100/$E$17</f>
        <v/>
      </c>
      <c r="EN17" s="108" t="n"/>
      <c r="EO17" s="122">
        <f>EN17*100/$E$17</f>
        <v/>
      </c>
      <c r="EP17" s="108" t="n"/>
      <c r="EQ17" s="122">
        <f>EP17*100/$E$17</f>
        <v/>
      </c>
      <c r="ER17" s="108" t="n"/>
      <c r="ES17" s="122">
        <f>ER17*100/$E$17</f>
        <v/>
      </c>
      <c r="ET17" s="108" t="n"/>
      <c r="EU17" s="122">
        <f>ET17*100/$E$17</f>
        <v/>
      </c>
      <c r="EV17" s="108" t="n"/>
      <c r="EW17" s="122">
        <f>EV17*100/$E$17</f>
        <v/>
      </c>
      <c r="EX17" s="108" t="n"/>
      <c r="EY17" s="122">
        <f>EX17*100/$E$17</f>
        <v/>
      </c>
      <c r="EZ17" s="108" t="n"/>
      <c r="FA17" s="122">
        <f>EZ17*100/$E$17</f>
        <v/>
      </c>
      <c r="FB17" s="108" t="n"/>
      <c r="FC17" s="122">
        <f>FB17*100/$E$17</f>
        <v/>
      </c>
      <c r="FD17" s="108" t="n"/>
      <c r="FE17" s="122">
        <f>FD17*100/$E$17</f>
        <v/>
      </c>
      <c r="FF17" s="108" t="n"/>
      <c r="FG17" s="122">
        <f>FF17*100/$E$17</f>
        <v/>
      </c>
      <c r="FH17" s="108" t="n"/>
      <c r="FI17" s="122">
        <f>FH17*100/$E$17</f>
        <v/>
      </c>
      <c r="FJ17" s="108" t="n"/>
      <c r="FK17" s="122">
        <f>FJ17*100/$E$17</f>
        <v/>
      </c>
      <c r="FL17" s="108" t="n"/>
      <c r="FM17" s="122">
        <f>FL17*100/$E$17</f>
        <v/>
      </c>
      <c r="FN17" s="108" t="n"/>
      <c r="FO17" s="122">
        <f>FN17*100/$E$17</f>
        <v/>
      </c>
      <c r="FP17" s="108" t="n"/>
      <c r="FQ17" s="122">
        <f>FP17*100/$E$17</f>
        <v/>
      </c>
      <c r="FR17" s="108" t="n"/>
      <c r="FS17" s="122">
        <f>FR17*100/$E$17</f>
        <v/>
      </c>
      <c r="FT17" s="108" t="n"/>
      <c r="FU17" s="122">
        <f>FT17*100/$E$17</f>
        <v/>
      </c>
      <c r="FV17" s="108" t="n"/>
      <c r="FW17" s="122">
        <f>FV17*100/$E$17</f>
        <v/>
      </c>
      <c r="FX17" s="108" t="n"/>
      <c r="FY17" s="107">
        <f>FX17*100/$E$17</f>
        <v/>
      </c>
      <c r="FZ17" s="108" t="n"/>
      <c r="GA17" s="107">
        <f>FZ17*100/$E$17</f>
        <v/>
      </c>
      <c r="GB17" s="108" t="n"/>
      <c r="GC17" s="107">
        <f>GB17*100/$E$17</f>
        <v/>
      </c>
      <c r="GD17" s="108" t="n"/>
      <c r="GE17" s="107">
        <f>GD17*100/$E$17</f>
        <v/>
      </c>
      <c r="GF17" s="108" t="n"/>
      <c r="GG17" s="107">
        <f>GF17*100/$E$17</f>
        <v/>
      </c>
      <c r="GH17" s="108" t="n"/>
      <c r="GI17" s="107">
        <f>GH17*100/$E$17</f>
        <v/>
      </c>
      <c r="GJ17" s="108" t="n"/>
      <c r="GK17" s="122">
        <f>GJ17*100/$E$17</f>
        <v/>
      </c>
      <c r="GL17" s="108" t="n">
        <v>7</v>
      </c>
      <c r="GM17" s="107">
        <f>GL17*100/$E$17</f>
        <v/>
      </c>
      <c r="GN17" s="108" t="n"/>
      <c r="GO17" s="122">
        <f>GN17*100/$E$17</f>
        <v/>
      </c>
      <c r="GP17" s="108" t="n"/>
      <c r="GQ17" s="107">
        <f>GP17*100/$E$17</f>
        <v/>
      </c>
      <c r="GR17" s="108" t="n"/>
      <c r="GS17" s="122">
        <f>GR17*100/$E$17</f>
        <v/>
      </c>
      <c r="GT17" s="108" t="n"/>
      <c r="GU17" s="122">
        <f>GT17*100/$E$17</f>
        <v/>
      </c>
      <c r="GV17" s="108" t="n"/>
      <c r="GW17" s="122">
        <f>GV17*100/$E$17</f>
        <v/>
      </c>
      <c r="GX17" s="108" t="n"/>
      <c r="GY17" s="107">
        <f>GX17*100/$E$17</f>
        <v/>
      </c>
      <c r="GZ17" s="108" t="n"/>
      <c r="HA17" s="107">
        <f>GZ17*100/$E$17</f>
        <v/>
      </c>
      <c r="HB17" s="108" t="n"/>
      <c r="HC17" s="107">
        <f>HB17*100/$E$17</f>
        <v/>
      </c>
      <c r="HD17" s="108" t="n"/>
      <c r="HE17" s="107">
        <f>HD17*100/$E$17</f>
        <v/>
      </c>
      <c r="HF17" s="108" t="n"/>
      <c r="HG17" s="107">
        <f>HF17*100/$E$17</f>
        <v/>
      </c>
      <c r="HH17" s="108" t="n">
        <v>5.5</v>
      </c>
      <c r="HI17" s="107">
        <f>HH17*100/$E$17</f>
        <v/>
      </c>
      <c r="HJ17" s="108" t="n"/>
      <c r="HK17" s="107">
        <f>HJ17*100/$E$17</f>
        <v/>
      </c>
      <c r="HL17" s="108" t="n"/>
      <c r="HM17" s="107">
        <f>HL17*100/$E$17</f>
        <v/>
      </c>
      <c r="HN17" s="108" t="n">
        <v>11</v>
      </c>
      <c r="HO17" s="107">
        <f>HN17*100/$E$17</f>
        <v/>
      </c>
      <c r="HP17" s="108" t="n">
        <v>11</v>
      </c>
      <c r="HQ17" s="107">
        <f>HP17*100/$E$17</f>
        <v/>
      </c>
      <c r="HR17" s="108" t="n">
        <v>12</v>
      </c>
      <c r="HS17" s="107">
        <f>HR17*100/$E$17</f>
        <v/>
      </c>
      <c r="HT17" s="108" t="n"/>
      <c r="HU17" s="107">
        <f>HT17*100/$E$17</f>
        <v/>
      </c>
      <c r="HV17" s="108" t="n"/>
      <c r="HW17" s="107">
        <f>HV17*100/$E$17</f>
        <v/>
      </c>
      <c r="HX17" s="108" t="n"/>
      <c r="HY17" s="107">
        <f>HX17*100/$E$17</f>
        <v/>
      </c>
      <c r="HZ17" s="108" t="n"/>
      <c r="IA17" s="122">
        <f>HZ17*100/$E$17</f>
        <v/>
      </c>
      <c r="IB17" s="108" t="n"/>
      <c r="IC17" s="122">
        <f>IB17*100/$E$17</f>
        <v/>
      </c>
      <c r="ID17" s="108" t="n"/>
      <c r="IE17" s="122">
        <f>ID17*100/$E$17</f>
        <v/>
      </c>
      <c r="IF17" s="108" t="n"/>
      <c r="IG17" s="122">
        <f>IF17*100/$E$17</f>
        <v/>
      </c>
      <c r="IH17" s="108" t="n"/>
      <c r="II17" s="122">
        <f>IH17*100/$E$17</f>
        <v/>
      </c>
      <c r="IJ17" s="108" t="n"/>
      <c r="IK17" s="122">
        <f>IJ17*100/$E$17</f>
        <v/>
      </c>
      <c r="IL17" s="108" t="n"/>
      <c r="IM17" s="107">
        <f>IL17*100/E17</f>
        <v/>
      </c>
      <c r="IN17" s="108" t="n"/>
      <c r="IO17" s="107">
        <f>IN17*100/$E$17</f>
        <v/>
      </c>
      <c r="IP17" s="108" t="n"/>
      <c r="IQ17" s="122">
        <f>IP17*100/$E$17</f>
        <v/>
      </c>
      <c r="IR17" s="108" t="n"/>
      <c r="IS17" s="122">
        <f>IR17*100/$E$17</f>
        <v/>
      </c>
      <c r="IT17" s="108" t="n"/>
      <c r="IU17" s="122">
        <f>IT17*100/$E$17</f>
        <v/>
      </c>
      <c r="IV17" s="108" t="n"/>
      <c r="IW17" s="122">
        <f>IV17*100/$E$17</f>
        <v/>
      </c>
      <c r="IX17" s="108" t="n"/>
      <c r="IY17" s="122">
        <f>IX17*100/$E$17</f>
        <v/>
      </c>
      <c r="IZ17" s="108" t="n"/>
      <c r="JA17" s="122">
        <f>IZ17*100/$E$17</f>
        <v/>
      </c>
      <c r="JB17" s="108" t="n"/>
      <c r="JC17" s="122">
        <f>JB17*100/$E$17</f>
        <v/>
      </c>
      <c r="JD17" s="108" t="n"/>
      <c r="JE17" s="122">
        <f>JD17*100/$E$17</f>
        <v/>
      </c>
      <c r="JF17" s="108" t="n"/>
      <c r="JG17" s="122">
        <f>JF17*100/$E$17</f>
        <v/>
      </c>
      <c r="JH17" s="108" t="n"/>
      <c r="JI17" s="122">
        <f>JH17*100/$E$17</f>
        <v/>
      </c>
      <c r="JJ17" s="108" t="n"/>
      <c r="JK17" s="122">
        <f>JJ17*100/$E$17</f>
        <v/>
      </c>
      <c r="JL17" s="108" t="n">
        <v>24</v>
      </c>
      <c r="JM17" s="122">
        <f>JL17*100/$E$17</f>
        <v/>
      </c>
      <c r="JN17" s="108" t="n"/>
      <c r="JO17" s="121">
        <f>JN17*100/$E$17</f>
        <v/>
      </c>
      <c r="JP17" s="108" t="n"/>
      <c r="JQ17" s="121">
        <f>JP17*100/$E$17</f>
        <v/>
      </c>
      <c r="JR17" s="108" t="n"/>
      <c r="JS17" s="121">
        <f>JR17*100/$E$17</f>
        <v/>
      </c>
      <c r="JT17" s="108" t="n"/>
      <c r="JU17" s="121">
        <f>JT17*100/$E$17</f>
        <v/>
      </c>
      <c r="JV17" s="108" t="n"/>
      <c r="JW17" s="121">
        <f>JV17*100/$E$17</f>
        <v/>
      </c>
      <c r="JX17" s="108" t="n"/>
      <c r="JY17" s="121">
        <f>JX17*100/$E$17</f>
        <v/>
      </c>
      <c r="JZ17" s="55">
        <f>JN17+JP17+JR17+JT17+JV17+JX17</f>
        <v/>
      </c>
      <c r="KA17" s="53">
        <f>JO17+JQ17+JS17+JU17+JW17+JY17</f>
        <v/>
      </c>
      <c r="KB17" s="64">
        <f>H17+J17+L17+N17+P17+R17+T17+V17+X17+Z17+AB17+AD17+AF17+AH17+AJ17+AL17+AN17+AP17+AR17+AT17+AV17+AX17+AZ17+BB17+BD17+BF17+BH17+BJ17+BL17+BN17+BP17+BR17+BT17+BV17+BX17+BZ17+CB17+CD17+CF17+CH17+CZ17+DB17+DD17+DF17+DH17+DJ17+DL17+DN17+DP17+DR17+DT17+DV17+DX17+DZ17+EB17+ED17+EF17+EH17+EJ17+EL17+EN17+EP17+ER17+ET17+EV17+FN17+FP17+FR17+FT17+FV17+FX17+FZ17+GB17+GD17+GF17+GH17+GJ17+GL17+GN17+GP17+GR17+GT17+GV17+GX17+GZ17+HB17+HD17+HF17+HH17+HJ17+HL17+HN17+HP17+HR17+HT17+HV17+HX17+HZ17+IB17+ID17+IF17+IH17+IJ17+IL17+IN17+IP17+IR17+IT17+IV17+IX17+IZ17+JB17+JD17+JF17+JH17+JJ17+JL17+JZ17+CJ17+CL17+CN17+CP17+CR17+CT17+CV17+CX17+EX17+EZ17+FB17+FD17+FF17+FH17+FJ17+FL17</f>
        <v/>
      </c>
      <c r="KC17" s="66">
        <f>I17+K17+M17+O17+Q17+S17+U17+W17+Y17+AA17+AC17+AE17+AG17+AI17+AK17+AM17+AO17+AQ17+AS17+AU17+AW17+AY17+BA17+BC17+BE17+BG17+BI17+BK17+BM17+BO17+BQ17+BS17+BU17+BW17+BY17+CA17+CC17+CE17+CG17+CI17+DA17+DC17+DE17+DG17+DI17+DK17+DM17+DO17+DQ17+DS17+DU17+DW17+DY17+EA17+EC17+EE17+EG17+EI17+EK17+EM17+EO17+EQ17+ES17+EU17+EW17+FO17+FS17+FU17+FW17+FQ17+FY17+GA17+GC17+GE17+GG17+GI17+GK17+GM17+GO17+GQ17+GS17+GU17+GW17+GY17+HA17+HC17+HE17+HG17+HI17+HK17+HM17+HO17+HQ17+HS17+HU17+HW17+HY17+IA17+IC17+IE17+IG17+II17+IK17+IM17+IO17+IQ17+IS17+IU17+IW17+IY17+JA17+JC17+JE17+JG17+JI17+JK17+JM17+KA17+CK17+CM17+CO17+CQ17+CS17+CU17+CW17+CY17+EY17+FA17+FC17+FE17+FG17+FI17+FK17+FM17</f>
        <v/>
      </c>
      <c r="KD17" s="44">
        <f>JO17+JQ17+JS17+JU17+JW17+JY17</f>
        <v/>
      </c>
      <c r="KE17" s="45">
        <f>KB17=E17</f>
        <v/>
      </c>
      <c r="KF17" s="101">
        <f>E17-KB17</f>
        <v/>
      </c>
      <c r="KG17" s="15" t="n"/>
    </row>
    <row r="18" ht="21.75" customFormat="1" customHeight="1" s="15">
      <c r="A18" s="126">
        <f>A17+1</f>
        <v/>
      </c>
      <c r="B18" s="175" t="inlineStr">
        <is>
          <t>Гулиев Б.Н</t>
        </is>
      </c>
      <c r="C18" s="176" t="inlineStr">
        <is>
          <t>сварщик</t>
        </is>
      </c>
      <c r="D18" s="177">
        <f>$D$5</f>
        <v/>
      </c>
      <c r="E18" s="202" t="n"/>
      <c r="F18" s="190" t="n">
        <v>61252.7</v>
      </c>
      <c r="G18" s="52">
        <f>F18/D18</f>
        <v/>
      </c>
      <c r="H18" s="125" t="n"/>
      <c r="I18" s="107">
        <f>H18*100/$E$18</f>
        <v/>
      </c>
      <c r="J18" s="108" t="n"/>
      <c r="K18" s="107">
        <f>J18*100/$E$18</f>
        <v/>
      </c>
      <c r="L18" s="108" t="n"/>
      <c r="M18" s="107">
        <f>L18*100/$E$18</f>
        <v/>
      </c>
      <c r="N18" s="108" t="n"/>
      <c r="O18" s="107">
        <f>N18*100/$E$18</f>
        <v/>
      </c>
      <c r="P18" s="108" t="n"/>
      <c r="Q18" s="122">
        <f>P18*100/$E$18</f>
        <v/>
      </c>
      <c r="R18" s="108" t="n"/>
      <c r="S18" s="122">
        <f>R18*100/$E$18</f>
        <v/>
      </c>
      <c r="T18" s="108" t="n"/>
      <c r="U18" s="107">
        <f>T18*100/$E$18</f>
        <v/>
      </c>
      <c r="V18" s="108" t="n"/>
      <c r="W18" s="107">
        <f>V18*100/$E$18</f>
        <v/>
      </c>
      <c r="X18" s="108" t="n"/>
      <c r="Y18" s="107">
        <f>X18*100/$E$18</f>
        <v/>
      </c>
      <c r="Z18" s="108" t="n"/>
      <c r="AA18" s="107">
        <f>Z18*100/$E$18</f>
        <v/>
      </c>
      <c r="AB18" s="108" t="n"/>
      <c r="AC18" s="107">
        <f>AB18*100/$E$18</f>
        <v/>
      </c>
      <c r="AD18" s="108" t="n"/>
      <c r="AE18" s="122">
        <f>AD18*100/$E$18</f>
        <v/>
      </c>
      <c r="AF18" s="108" t="n"/>
      <c r="AG18" s="122">
        <f>AF18*100/$E$18</f>
        <v/>
      </c>
      <c r="AH18" s="108" t="n"/>
      <c r="AI18" s="107">
        <f>AH18*100/$E$18</f>
        <v/>
      </c>
      <c r="AJ18" s="108" t="n"/>
      <c r="AK18" s="107">
        <f>AJ18*100/$E$18</f>
        <v/>
      </c>
      <c r="AL18" s="108" t="n"/>
      <c r="AM18" s="107">
        <f>AL18*100/$E$18</f>
        <v/>
      </c>
      <c r="AN18" s="108" t="n"/>
      <c r="AO18" s="107">
        <f>AN18*100/$E$18</f>
        <v/>
      </c>
      <c r="AP18" s="108" t="n"/>
      <c r="AQ18" s="107">
        <f>AP18*100/$E$18</f>
        <v/>
      </c>
      <c r="AR18" s="108" t="n"/>
      <c r="AS18" s="107">
        <f>AR18*100/$E$18</f>
        <v/>
      </c>
      <c r="AT18" s="108" t="n"/>
      <c r="AU18" s="90">
        <f>AT18*100/$E$18</f>
        <v/>
      </c>
      <c r="AV18" s="108" t="n"/>
      <c r="AW18" s="107">
        <f>AV18*100/$E$18</f>
        <v/>
      </c>
      <c r="AX18" s="108" t="n"/>
      <c r="AY18" s="107">
        <f>AX18*100/$E$18</f>
        <v/>
      </c>
      <c r="AZ18" s="108" t="n"/>
      <c r="BA18" s="107">
        <f>AZ18*100/$E$18</f>
        <v/>
      </c>
      <c r="BB18" s="108" t="n"/>
      <c r="BC18" s="107">
        <f>BB18*100/$E$18</f>
        <v/>
      </c>
      <c r="BD18" s="108" t="n"/>
      <c r="BE18" s="107">
        <f>BD18*100/$E$18</f>
        <v/>
      </c>
      <c r="BF18" s="108" t="n"/>
      <c r="BG18" s="107">
        <f>BF18*100/$E$18</f>
        <v/>
      </c>
      <c r="BH18" s="108" t="n"/>
      <c r="BI18" s="107">
        <f>BH18*100/$E$18</f>
        <v/>
      </c>
      <c r="BJ18" s="108" t="n"/>
      <c r="BK18" s="107">
        <f>BJ18*100/$E$18</f>
        <v/>
      </c>
      <c r="BL18" s="108" t="n"/>
      <c r="BM18" s="107">
        <f>BL18*100/$E$18</f>
        <v/>
      </c>
      <c r="BN18" s="108" t="n"/>
      <c r="BO18" s="107">
        <f>BN18*100/$E$18</f>
        <v/>
      </c>
      <c r="BP18" s="108" t="n"/>
      <c r="BQ18" s="107">
        <f>BP18*100/$E$18</f>
        <v/>
      </c>
      <c r="BR18" s="108" t="n"/>
      <c r="BS18" s="107">
        <f>BR18*100/$E$18</f>
        <v/>
      </c>
      <c r="BT18" s="108" t="n"/>
      <c r="BU18" s="107">
        <f>BT18*100/$E$18</f>
        <v/>
      </c>
      <c r="BV18" s="108" t="n"/>
      <c r="BW18" s="107">
        <f>BV18*100/$E$18</f>
        <v/>
      </c>
      <c r="BX18" s="108" t="n"/>
      <c r="BY18" s="107">
        <f>BX18*100/$E$18</f>
        <v/>
      </c>
      <c r="BZ18" s="108" t="n"/>
      <c r="CA18" s="107">
        <f>BZ18*100/$E$18</f>
        <v/>
      </c>
      <c r="CB18" s="108" t="n"/>
      <c r="CC18" s="107">
        <f>CB18*100/$E$18</f>
        <v/>
      </c>
      <c r="CD18" s="108" t="n"/>
      <c r="CE18" s="107">
        <f>CD18*100/$E$18</f>
        <v/>
      </c>
      <c r="CF18" s="108" t="n"/>
      <c r="CG18" s="107">
        <f>CF18*100/$E$18</f>
        <v/>
      </c>
      <c r="CH18" s="108" t="n"/>
      <c r="CI18" s="107">
        <f>CH18*100/$E$18</f>
        <v/>
      </c>
      <c r="CJ18" s="108" t="n"/>
      <c r="CK18" s="107">
        <f>CJ18*100/$E$18</f>
        <v/>
      </c>
      <c r="CL18" s="108" t="n"/>
      <c r="CM18" s="107">
        <f>CL18*100/$E$18</f>
        <v/>
      </c>
      <c r="CN18" s="108" t="n"/>
      <c r="CO18" s="122">
        <f>CN18*100/$E$18</f>
        <v/>
      </c>
      <c r="CP18" s="108" t="n"/>
      <c r="CQ18" s="107">
        <f>CP18*100/$E$18</f>
        <v/>
      </c>
      <c r="CR18" s="108" t="n"/>
      <c r="CS18" s="122">
        <f>CR18*100/$E$18</f>
        <v/>
      </c>
      <c r="CT18" s="108" t="n"/>
      <c r="CU18" s="122">
        <f>CT18*100/$E$18</f>
        <v/>
      </c>
      <c r="CV18" s="108" t="n"/>
      <c r="CW18" s="122">
        <f>CV18*100/$E$18</f>
        <v/>
      </c>
      <c r="CX18" s="108" t="n"/>
      <c r="CY18" s="122">
        <f>CX18*100/$E$18</f>
        <v/>
      </c>
      <c r="CZ18" s="108" t="n"/>
      <c r="DA18" s="122">
        <f>CZ18*100/$E$18</f>
        <v/>
      </c>
      <c r="DB18" s="108" t="n"/>
      <c r="DC18" s="122">
        <f>DB18*100/$E$18</f>
        <v/>
      </c>
      <c r="DD18" s="108" t="n"/>
      <c r="DE18" s="122">
        <f>DD18*100/$E$18</f>
        <v/>
      </c>
      <c r="DF18" s="108" t="n"/>
      <c r="DG18" s="122">
        <f>DF18*100/$E$18</f>
        <v/>
      </c>
      <c r="DH18" s="108" t="n"/>
      <c r="DI18" s="122">
        <f>DH18*100/$E$18</f>
        <v/>
      </c>
      <c r="DJ18" s="108" t="n"/>
      <c r="DK18" s="122">
        <f>DJ18*100/$E$18</f>
        <v/>
      </c>
      <c r="DL18" s="108" t="n"/>
      <c r="DM18" s="122">
        <f>DL18*100/$E$18</f>
        <v/>
      </c>
      <c r="DN18" s="108" t="n"/>
      <c r="DO18" s="122">
        <f>DN18*100/$E$18</f>
        <v/>
      </c>
      <c r="DP18" s="108" t="n"/>
      <c r="DQ18" s="122">
        <f>DP18*100/$E$18</f>
        <v/>
      </c>
      <c r="DR18" s="108" t="n"/>
      <c r="DS18" s="122">
        <f>DR18*100/$E$18</f>
        <v/>
      </c>
      <c r="DT18" s="108" t="n"/>
      <c r="DU18" s="122">
        <f>DT18*100/$E$18</f>
        <v/>
      </c>
      <c r="DV18" s="108" t="n"/>
      <c r="DW18" s="122">
        <f>DV18*100/$E$18</f>
        <v/>
      </c>
      <c r="DX18" s="108" t="n"/>
      <c r="DY18" s="122">
        <f>DX18*100/$E$18</f>
        <v/>
      </c>
      <c r="DZ18" s="108" t="n"/>
      <c r="EA18" s="122">
        <f>DZ18*100/$E$18</f>
        <v/>
      </c>
      <c r="EB18" s="108" t="n"/>
      <c r="EC18" s="122">
        <f>EB18*100/$E$18</f>
        <v/>
      </c>
      <c r="ED18" s="108" t="n"/>
      <c r="EE18" s="122">
        <f>ED18*100/$E$18</f>
        <v/>
      </c>
      <c r="EF18" s="108" t="n"/>
      <c r="EG18" s="122">
        <f>EF18*100/$E$18</f>
        <v/>
      </c>
      <c r="EH18" s="108" t="n"/>
      <c r="EI18" s="122">
        <f>EH18*100/$E$18</f>
        <v/>
      </c>
      <c r="EJ18" s="108" t="n"/>
      <c r="EK18" s="122">
        <f>EJ18*100/$E$18</f>
        <v/>
      </c>
      <c r="EL18" s="108" t="n"/>
      <c r="EM18" s="122">
        <f>EL18*100/$E$18</f>
        <v/>
      </c>
      <c r="EN18" s="108" t="n"/>
      <c r="EO18" s="122">
        <f>EN18*100/$E$18</f>
        <v/>
      </c>
      <c r="EP18" s="108" t="n"/>
      <c r="EQ18" s="122">
        <f>EP18*100/$E$18</f>
        <v/>
      </c>
      <c r="ER18" s="108" t="n"/>
      <c r="ES18" s="122">
        <f>ER18*100/$E$18</f>
        <v/>
      </c>
      <c r="ET18" s="108" t="n"/>
      <c r="EU18" s="122">
        <f>ET18*100/$E$18</f>
        <v/>
      </c>
      <c r="EV18" s="108" t="n"/>
      <c r="EW18" s="122">
        <f>EV18*100/$E$18</f>
        <v/>
      </c>
      <c r="EX18" s="108" t="n"/>
      <c r="EY18" s="122">
        <f>EX18*100/$E$18</f>
        <v/>
      </c>
      <c r="EZ18" s="108" t="n"/>
      <c r="FA18" s="122">
        <f>EZ18*100/$E$18</f>
        <v/>
      </c>
      <c r="FB18" s="108" t="n"/>
      <c r="FC18" s="122">
        <f>FB18*100/$E$18</f>
        <v/>
      </c>
      <c r="FD18" s="108" t="n"/>
      <c r="FE18" s="122">
        <f>FD18*100/$E$18</f>
        <v/>
      </c>
      <c r="FF18" s="108" t="n"/>
      <c r="FG18" s="122">
        <f>FF18*100/$E$18</f>
        <v/>
      </c>
      <c r="FH18" s="108" t="n"/>
      <c r="FI18" s="122">
        <f>FH18*100/$E$18</f>
        <v/>
      </c>
      <c r="FJ18" s="108" t="n"/>
      <c r="FK18" s="122">
        <f>FJ18*100/$E$18</f>
        <v/>
      </c>
      <c r="FL18" s="108" t="n"/>
      <c r="FM18" s="122">
        <f>FL18*100/$E$18</f>
        <v/>
      </c>
      <c r="FN18" s="108" t="n"/>
      <c r="FO18" s="122">
        <f>FN18*100/$E$18</f>
        <v/>
      </c>
      <c r="FP18" s="108" t="n"/>
      <c r="FQ18" s="122">
        <f>FP18*100/$E$18</f>
        <v/>
      </c>
      <c r="FR18" s="108" t="n"/>
      <c r="FS18" s="122">
        <f>FR18*100/$E$18</f>
        <v/>
      </c>
      <c r="FT18" s="108" t="n"/>
      <c r="FU18" s="122">
        <f>FT18*100/$E$18</f>
        <v/>
      </c>
      <c r="FV18" s="108" t="n"/>
      <c r="FW18" s="122">
        <f>FV18*100/$E$18</f>
        <v/>
      </c>
      <c r="FX18" s="108" t="n"/>
      <c r="FY18" s="107">
        <f>FX18*100/$E$18</f>
        <v/>
      </c>
      <c r="FZ18" s="108" t="n"/>
      <c r="GA18" s="107">
        <f>FZ18*100/$E$18</f>
        <v/>
      </c>
      <c r="GB18" s="108" t="n"/>
      <c r="GC18" s="107">
        <f>GB18*100/$E$18</f>
        <v/>
      </c>
      <c r="GD18" s="108" t="n"/>
      <c r="GE18" s="107">
        <f>GD18*100/$E$18</f>
        <v/>
      </c>
      <c r="GF18" s="108" t="n"/>
      <c r="GG18" s="107">
        <f>GF18*100/$E$18</f>
        <v/>
      </c>
      <c r="GH18" s="108" t="n"/>
      <c r="GI18" s="107">
        <f>GH18*100/$E$18</f>
        <v/>
      </c>
      <c r="GJ18" s="108" t="n"/>
      <c r="GK18" s="122">
        <f>GJ18*100/$E$18</f>
        <v/>
      </c>
      <c r="GL18" s="108" t="n"/>
      <c r="GM18" s="107">
        <f>GL18*100/$E$18</f>
        <v/>
      </c>
      <c r="GN18" s="108" t="n"/>
      <c r="GO18" s="122">
        <f>GN18*100/$E$18</f>
        <v/>
      </c>
      <c r="GP18" s="108" t="n"/>
      <c r="GQ18" s="107">
        <f>GP18*100/$E$18</f>
        <v/>
      </c>
      <c r="GR18" s="108" t="n"/>
      <c r="GS18" s="122">
        <f>GR18*100/$E$18</f>
        <v/>
      </c>
      <c r="GT18" s="108" t="n"/>
      <c r="GU18" s="122">
        <f>GT18*100/$E$18</f>
        <v/>
      </c>
      <c r="GV18" s="108" t="n"/>
      <c r="GW18" s="122">
        <f>GV18*100/$E$18</f>
        <v/>
      </c>
      <c r="GX18" s="108" t="n"/>
      <c r="GY18" s="107">
        <f>GX18*100/$E$18</f>
        <v/>
      </c>
      <c r="GZ18" s="108" t="n"/>
      <c r="HA18" s="107">
        <f>GZ18*100/$E$18</f>
        <v/>
      </c>
      <c r="HB18" s="108" t="n"/>
      <c r="HC18" s="107">
        <f>HB18*100/$E$18</f>
        <v/>
      </c>
      <c r="HD18" s="108" t="n"/>
      <c r="HE18" s="107">
        <f>HD18*100/$E$18</f>
        <v/>
      </c>
      <c r="HF18" s="108" t="n"/>
      <c r="HG18" s="107">
        <f>HF18*100/$E$18</f>
        <v/>
      </c>
      <c r="HH18" s="108" t="n"/>
      <c r="HI18" s="107">
        <f>HH18*100/$E$18</f>
        <v/>
      </c>
      <c r="HJ18" s="108" t="n"/>
      <c r="HK18" s="107">
        <f>HJ18*100/$E$18</f>
        <v/>
      </c>
      <c r="HL18" s="108" t="n"/>
      <c r="HM18" s="107">
        <f>HL18*100/$E$18</f>
        <v/>
      </c>
      <c r="HN18" s="108" t="n"/>
      <c r="HO18" s="107">
        <f>HN18*100/$E$18</f>
        <v/>
      </c>
      <c r="HP18" s="108" t="n"/>
      <c r="HQ18" s="107">
        <f>HP18*100/$E$18</f>
        <v/>
      </c>
      <c r="HR18" s="108" t="n"/>
      <c r="HS18" s="107">
        <f>HR18*100/$E$18</f>
        <v/>
      </c>
      <c r="HT18" s="108" t="n"/>
      <c r="HU18" s="107">
        <f>HT18*100/$E$18</f>
        <v/>
      </c>
      <c r="HV18" s="108" t="n"/>
      <c r="HW18" s="107">
        <f>HV18*100/$E$18</f>
        <v/>
      </c>
      <c r="HX18" s="108" t="n"/>
      <c r="HY18" s="107">
        <f>HX18*100/$E$18</f>
        <v/>
      </c>
      <c r="HZ18" s="108" t="n"/>
      <c r="IA18" s="122">
        <f>HZ18*100/$E$18</f>
        <v/>
      </c>
      <c r="IB18" s="108" t="n"/>
      <c r="IC18" s="122">
        <f>IB18*100/$E$18</f>
        <v/>
      </c>
      <c r="ID18" s="108" t="n"/>
      <c r="IE18" s="122">
        <f>ID18*100/$E$18</f>
        <v/>
      </c>
      <c r="IF18" s="108" t="n"/>
      <c r="IG18" s="122">
        <f>IF18*100/$E$18</f>
        <v/>
      </c>
      <c r="IH18" s="108" t="n"/>
      <c r="II18" s="122">
        <f>IH18*100/$E$18</f>
        <v/>
      </c>
      <c r="IJ18" s="108" t="n"/>
      <c r="IK18" s="122">
        <f>IJ18*100/$E$18</f>
        <v/>
      </c>
      <c r="IL18" s="108" t="n"/>
      <c r="IM18" s="107">
        <f>IL18*100/E18</f>
        <v/>
      </c>
      <c r="IN18" s="108" t="n"/>
      <c r="IO18" s="107">
        <f>IN18*100/$E$18</f>
        <v/>
      </c>
      <c r="IP18" s="108" t="n"/>
      <c r="IQ18" s="122">
        <f>IP18*100/$E$18</f>
        <v/>
      </c>
      <c r="IR18" s="108" t="n"/>
      <c r="IS18" s="122">
        <f>IR18*100/$E$18</f>
        <v/>
      </c>
      <c r="IT18" s="108" t="n"/>
      <c r="IU18" s="122">
        <f>IT18*100/$E$18</f>
        <v/>
      </c>
      <c r="IV18" s="108" t="n"/>
      <c r="IW18" s="122">
        <f>IV18*100/$E$18</f>
        <v/>
      </c>
      <c r="IX18" s="108" t="n"/>
      <c r="IY18" s="122">
        <f>IX18*100/$E$18</f>
        <v/>
      </c>
      <c r="IZ18" s="108" t="n"/>
      <c r="JA18" s="122">
        <f>IZ18*100/$E$18</f>
        <v/>
      </c>
      <c r="JB18" s="108" t="n"/>
      <c r="JC18" s="122">
        <f>JB18*100/$E$18</f>
        <v/>
      </c>
      <c r="JD18" s="108" t="n"/>
      <c r="JE18" s="122">
        <f>JD18*100/$E$18</f>
        <v/>
      </c>
      <c r="JF18" s="108" t="n"/>
      <c r="JG18" s="122">
        <f>JF18*100/$E$18</f>
        <v/>
      </c>
      <c r="JH18" s="108" t="n"/>
      <c r="JI18" s="122">
        <f>JH18*100/$E$18</f>
        <v/>
      </c>
      <c r="JJ18" s="108" t="n"/>
      <c r="JK18" s="122">
        <f>JJ18*100/$E$18</f>
        <v/>
      </c>
      <c r="JL18" s="108" t="n"/>
      <c r="JM18" s="122">
        <f>JL18*100/$E$18</f>
        <v/>
      </c>
      <c r="JN18" s="108" t="n"/>
      <c r="JO18" s="122">
        <f>JN18*100/$E$18</f>
        <v/>
      </c>
      <c r="JP18" s="108" t="n"/>
      <c r="JQ18" s="122">
        <f>JP18*100/$E$18</f>
        <v/>
      </c>
      <c r="JR18" s="108" t="n"/>
      <c r="JS18" s="122">
        <f>JR18*100/$E$18</f>
        <v/>
      </c>
      <c r="JT18" s="108" t="n"/>
      <c r="JU18" s="122">
        <f>JT18*100/$E$18</f>
        <v/>
      </c>
      <c r="JV18" s="108" t="n"/>
      <c r="JW18" s="122">
        <f>JV18*100/$E$18</f>
        <v/>
      </c>
      <c r="JX18" s="108" t="n"/>
      <c r="JY18" s="122">
        <f>JX18*100/$E$18</f>
        <v/>
      </c>
      <c r="JZ18" s="55">
        <f>JN18+JP18+JR18+JT18+JV18+JX18</f>
        <v/>
      </c>
      <c r="KA18" s="53">
        <f>JO18+JQ18+JS18+JU18+JW18+JY18</f>
        <v/>
      </c>
      <c r="KB18" s="64">
        <f>H18+J18+L18+N18+P18+R18+T18+V18+X18+Z18+AB18+AD18+AF18+AH18+AJ18+AL18+AN18+AP18+AR18+AT18+AV18+AX18+AZ18+BB18+BD18+BF18+BH18+BJ18+BL18+BN18+BP18+BR18+BT18+BV18+BX18+BZ18+CB18+CD18+CF18+CH18+CZ18+DB18+DD18+DF18+DH18+DJ18+DL18+DN18+DP18+DR18+DT18+DV18+DX18+DZ18+EB18+ED18+EF18+EH18+EJ18+EL18+EN18+EP18+ER18+ET18+EV18+FN18+FP18+FR18+FT18+FV18+FX18+FZ18+GB18+GD18+GF18+GH18+GJ18+GL18+GN18+GP18+GR18+GT18+GV18+GX18+GZ18+HB18+HD18+HF18+HH18+HJ18+HL18+HN18+HP18+HR18+HT18+HV18+HX18+HZ18+IB18+ID18+IF18+IH18+IJ18+IL18+IN18+IP18+IR18+IT18+IV18+IX18+IZ18+JB18+JD18+JF18+JH18+JJ18+JL18+JZ18+CJ18+CL18+CN18+CP18+CR18+CT18+CV18+CX18+EX18+EZ18+FB18+FD18+FF18+FH18+FJ18+FL18</f>
        <v/>
      </c>
      <c r="KC18" s="66">
        <f>I18+K18+M18+O18+Q18+S18+U18+W18+Y18+AA18+AC18+AE18+AG18+AI18+AK18+AM18+AO18+AQ18+AS18+AU18+AW18+AY18+BA18+BC18+BE18+BG18+BI18+BK18+BM18+BO18+BQ18+BS18+BU18+BW18+BY18+CA18+CC18+CE18+CG18+CI18+DA18+DC18+DE18+DG18+DI18+DK18+DM18+DO18+DQ18+DS18+DU18+DW18+DY18+EA18+EC18+EE18+EG18+EI18+EK18+EM18+EO18+EQ18+ES18+EU18+EW18+FO18+FS18+FU18+FW18+FQ18+FY18+GA18+GC18+GE18+GG18+GI18+GK18+GM18+GO18+GQ18+GS18+GU18+GW18+GY18+HA18+HC18+HE18+HG18+HI18+HK18+HM18+HO18+HQ18+HS18+HU18+HW18+HY18+IA18+IC18+IE18+IG18+II18+IK18+IM18+IO18+IQ18+IS18+IU18+IW18+IY18+JA18+JC18+JE18+JG18+JI18+JK18+JM18+KA18+CK18+CM18+CO18+CQ18+CS18+CU18+CW18+CY18+EY18+FA18+FC18+FE18+FG18+FI18+FK18+FM18</f>
        <v/>
      </c>
      <c r="KD18" s="44">
        <f>JO18+JQ18+JS18+JU18+JW18+JY18</f>
        <v/>
      </c>
      <c r="KE18" s="45">
        <f>KB18=E18</f>
        <v/>
      </c>
      <c r="KF18" s="101">
        <f>E18-KB18</f>
        <v/>
      </c>
      <c r="KG18" s="14" t="n"/>
    </row>
    <row r="19" ht="21.75" customFormat="1" customHeight="1" s="16">
      <c r="A19" s="126">
        <f>A18+1</f>
        <v/>
      </c>
      <c r="B19" s="175" t="inlineStr">
        <is>
          <t>Демин С.С.</t>
        </is>
      </c>
      <c r="C19" s="176" t="inlineStr">
        <is>
          <t>слесарь МСР</t>
        </is>
      </c>
      <c r="D19" s="177">
        <f>$D$5</f>
        <v/>
      </c>
      <c r="E19" s="202" t="n">
        <v>155</v>
      </c>
      <c r="F19" s="190" t="n">
        <v>61252.7</v>
      </c>
      <c r="G19" s="52">
        <f>F19/D19</f>
        <v/>
      </c>
      <c r="H19" s="125" t="n"/>
      <c r="I19" s="107">
        <f>H19*100/$E$19</f>
        <v/>
      </c>
      <c r="J19" s="108" t="n"/>
      <c r="K19" s="107">
        <f>J19*100/$E$19</f>
        <v/>
      </c>
      <c r="L19" s="108" t="n"/>
      <c r="M19" s="107">
        <f>L19*100/$E$19</f>
        <v/>
      </c>
      <c r="N19" s="108" t="n"/>
      <c r="O19" s="107">
        <f>N19*100/$E$19</f>
        <v/>
      </c>
      <c r="P19" s="108" t="n"/>
      <c r="Q19" s="122">
        <f>P19*100/$E$19</f>
        <v/>
      </c>
      <c r="R19" s="108" t="n"/>
      <c r="S19" s="122">
        <f>R19*100/$E$19</f>
        <v/>
      </c>
      <c r="T19" s="108" t="n"/>
      <c r="U19" s="107">
        <f>T19*100/$E$19</f>
        <v/>
      </c>
      <c r="V19" s="108" t="n"/>
      <c r="W19" s="107">
        <f>V19*100/$E$19</f>
        <v/>
      </c>
      <c r="X19" s="108" t="n"/>
      <c r="Y19" s="107">
        <f>X19*100/$E$19</f>
        <v/>
      </c>
      <c r="Z19" s="108" t="n"/>
      <c r="AA19" s="107">
        <f>Z19*100/$E$19</f>
        <v/>
      </c>
      <c r="AB19" s="108" t="n"/>
      <c r="AC19" s="107">
        <f>AB19*100/$E$19</f>
        <v/>
      </c>
      <c r="AD19" s="108" t="n"/>
      <c r="AE19" s="122">
        <f>AD19*100/$E$19</f>
        <v/>
      </c>
      <c r="AF19" s="108" t="n"/>
      <c r="AG19" s="122">
        <f>AF19*100/$E$19</f>
        <v/>
      </c>
      <c r="AH19" s="108" t="n"/>
      <c r="AI19" s="107">
        <f>AH19*100/$E$19</f>
        <v/>
      </c>
      <c r="AJ19" s="108" t="n"/>
      <c r="AK19" s="107">
        <f>AJ19*100/$E$19</f>
        <v/>
      </c>
      <c r="AL19" s="108" t="n"/>
      <c r="AM19" s="122">
        <f>AL19*100/$E$19</f>
        <v/>
      </c>
      <c r="AN19" s="108" t="n"/>
      <c r="AO19" s="107">
        <f>AN19*100/$E$19</f>
        <v/>
      </c>
      <c r="AP19" s="108" t="n"/>
      <c r="AQ19" s="107">
        <f>AP19*100/$E$19</f>
        <v/>
      </c>
      <c r="AR19" s="108" t="n"/>
      <c r="AS19" s="107">
        <f>AR19*100/$E$19</f>
        <v/>
      </c>
      <c r="AT19" s="108" t="n"/>
      <c r="AU19" s="90">
        <f>AT19*100/$E$19</f>
        <v/>
      </c>
      <c r="AV19" s="108" t="n"/>
      <c r="AW19" s="107">
        <f>AV19*100/$E$19</f>
        <v/>
      </c>
      <c r="AX19" s="108" t="n"/>
      <c r="AY19" s="107">
        <f>AX19*100/$E$19</f>
        <v/>
      </c>
      <c r="AZ19" s="108" t="n"/>
      <c r="BA19" s="107">
        <f>AZ19*100/$E$19</f>
        <v/>
      </c>
      <c r="BB19" s="108" t="n"/>
      <c r="BC19" s="107">
        <f>BB19*100/$E$19</f>
        <v/>
      </c>
      <c r="BD19" s="108" t="n"/>
      <c r="BE19" s="107">
        <f>BD19*100/$E$19</f>
        <v/>
      </c>
      <c r="BF19" s="108" t="n"/>
      <c r="BG19" s="107">
        <f>BF19*100/$E$19</f>
        <v/>
      </c>
      <c r="BH19" s="108" t="n"/>
      <c r="BI19" s="107">
        <f>BH19*100/$E$19</f>
        <v/>
      </c>
      <c r="BJ19" s="108" t="n"/>
      <c r="BK19" s="107">
        <f>BJ19*100/$E$19</f>
        <v/>
      </c>
      <c r="BL19" s="108" t="n"/>
      <c r="BM19" s="107">
        <f>BL19*100/$E$19</f>
        <v/>
      </c>
      <c r="BN19" s="108" t="n"/>
      <c r="BO19" s="107">
        <f>BN19*100/$E$19</f>
        <v/>
      </c>
      <c r="BP19" s="108" t="n"/>
      <c r="BQ19" s="107">
        <f>BP19*100/$E$19</f>
        <v/>
      </c>
      <c r="BR19" s="108" t="n"/>
      <c r="BS19" s="107">
        <f>BR19*100/$E$19</f>
        <v/>
      </c>
      <c r="BT19" s="108" t="n"/>
      <c r="BU19" s="107">
        <f>BT19*100/$E$19</f>
        <v/>
      </c>
      <c r="BV19" s="108" t="n"/>
      <c r="BW19" s="107">
        <f>BV19*100/$E$19</f>
        <v/>
      </c>
      <c r="BX19" s="108" t="n"/>
      <c r="BY19" s="107">
        <f>BX19*100/$E$19</f>
        <v/>
      </c>
      <c r="BZ19" s="108" t="n"/>
      <c r="CA19" s="107">
        <f>BZ19*100/$E$19</f>
        <v/>
      </c>
      <c r="CB19" s="108" t="n"/>
      <c r="CC19" s="107">
        <f>CB19*100/$E$19</f>
        <v/>
      </c>
      <c r="CD19" s="108" t="n"/>
      <c r="CE19" s="107">
        <f>CD19*100/$E$19</f>
        <v/>
      </c>
      <c r="CF19" s="108" t="n"/>
      <c r="CG19" s="107">
        <f>CF19*100/$E$19</f>
        <v/>
      </c>
      <c r="CH19" s="108" t="n"/>
      <c r="CI19" s="107">
        <f>CH19*100/$E$19</f>
        <v/>
      </c>
      <c r="CJ19" s="108" t="n"/>
      <c r="CK19" s="107">
        <f>CJ19*100/$E$19</f>
        <v/>
      </c>
      <c r="CL19" s="108" t="n"/>
      <c r="CM19" s="107">
        <f>CL19*100/$E$19</f>
        <v/>
      </c>
      <c r="CN19" s="108" t="n"/>
      <c r="CO19" s="122">
        <f>CN19*100/$E$19</f>
        <v/>
      </c>
      <c r="CP19" s="108" t="n"/>
      <c r="CQ19" s="107">
        <f>CP19*100/$E$19</f>
        <v/>
      </c>
      <c r="CR19" s="108" t="n"/>
      <c r="CS19" s="122">
        <f>CR19*100/$E$19</f>
        <v/>
      </c>
      <c r="CT19" s="108" t="n"/>
      <c r="CU19" s="122">
        <f>CT19*100/$E$19</f>
        <v/>
      </c>
      <c r="CV19" s="108" t="n"/>
      <c r="CW19" s="122">
        <f>CV19*100/$E$19</f>
        <v/>
      </c>
      <c r="CX19" s="108" t="n"/>
      <c r="CY19" s="122">
        <f>CX19*100/$E$19</f>
        <v/>
      </c>
      <c r="CZ19" s="108" t="n"/>
      <c r="DA19" s="122">
        <f>CZ19*100/$E$19</f>
        <v/>
      </c>
      <c r="DB19" s="108" t="n"/>
      <c r="DC19" s="122">
        <f>DB19*100/$E$19</f>
        <v/>
      </c>
      <c r="DD19" s="108" t="n"/>
      <c r="DE19" s="122">
        <f>DD19*100/$E$19</f>
        <v/>
      </c>
      <c r="DF19" s="108" t="n"/>
      <c r="DG19" s="122">
        <f>DF19*100/$E$19</f>
        <v/>
      </c>
      <c r="DH19" s="108" t="n"/>
      <c r="DI19" s="122">
        <f>DH19*100/$E$19</f>
        <v/>
      </c>
      <c r="DJ19" s="108" t="n"/>
      <c r="DK19" s="122">
        <f>DJ19*100/$E$19</f>
        <v/>
      </c>
      <c r="DL19" s="108" t="n"/>
      <c r="DM19" s="122">
        <f>DL19*100/$E$19</f>
        <v/>
      </c>
      <c r="DN19" s="108" t="n"/>
      <c r="DO19" s="122">
        <f>DN19*100/$E$19</f>
        <v/>
      </c>
      <c r="DP19" s="108" t="n">
        <v>16</v>
      </c>
      <c r="DQ19" s="122">
        <f>DP19*100/$E$19</f>
        <v/>
      </c>
      <c r="DR19" s="108" t="n">
        <v>40</v>
      </c>
      <c r="DS19" s="122">
        <f>DR19*100/$E$19</f>
        <v/>
      </c>
      <c r="DT19" s="108" t="n"/>
      <c r="DU19" s="122">
        <f>DT19*100/$E$19</f>
        <v/>
      </c>
      <c r="DV19" s="108" t="n"/>
      <c r="DW19" s="122">
        <f>DV19*100/$E$19</f>
        <v/>
      </c>
      <c r="DX19" s="108" t="n"/>
      <c r="DY19" s="122">
        <f>DX19*100/$E$19</f>
        <v/>
      </c>
      <c r="DZ19" s="108" t="n"/>
      <c r="EA19" s="122">
        <f>DZ19*100/$E$19</f>
        <v/>
      </c>
      <c r="EB19" s="108" t="n"/>
      <c r="EC19" s="122">
        <f>EB19*100/$E$19</f>
        <v/>
      </c>
      <c r="ED19" s="108" t="n"/>
      <c r="EE19" s="122">
        <f>ED19*100/$E$19</f>
        <v/>
      </c>
      <c r="EF19" s="108" t="n"/>
      <c r="EG19" s="122">
        <f>EF19*100/$E$19</f>
        <v/>
      </c>
      <c r="EH19" s="108" t="n"/>
      <c r="EI19" s="122">
        <f>EH19*100/$E$19</f>
        <v/>
      </c>
      <c r="EJ19" s="108" t="n"/>
      <c r="EK19" s="122">
        <f>EJ19*100/$E$19</f>
        <v/>
      </c>
      <c r="EL19" s="108" t="n"/>
      <c r="EM19" s="122">
        <f>EL19*100/$E$19</f>
        <v/>
      </c>
      <c r="EN19" s="108" t="n"/>
      <c r="EO19" s="122">
        <f>EN19*100/$E$19</f>
        <v/>
      </c>
      <c r="EP19" s="108" t="n"/>
      <c r="EQ19" s="122">
        <f>EP19*100/$E$19</f>
        <v/>
      </c>
      <c r="ER19" s="108" t="n"/>
      <c r="ES19" s="122">
        <f>ER19*100/$E$19</f>
        <v/>
      </c>
      <c r="ET19" s="108" t="n"/>
      <c r="EU19" s="122">
        <f>ET19*100/$E$19</f>
        <v/>
      </c>
      <c r="EV19" s="108" t="n"/>
      <c r="EW19" s="122">
        <f>EV19*100/$E$19</f>
        <v/>
      </c>
      <c r="EX19" s="108" t="n"/>
      <c r="EY19" s="122">
        <f>EX19*100/$E$19</f>
        <v/>
      </c>
      <c r="EZ19" s="108" t="n"/>
      <c r="FA19" s="122">
        <f>EZ19*100/$E$19</f>
        <v/>
      </c>
      <c r="FB19" s="108" t="n"/>
      <c r="FC19" s="122">
        <f>FB19*100/$E$19</f>
        <v/>
      </c>
      <c r="FD19" s="108" t="n"/>
      <c r="FE19" s="122">
        <f>FD19*100/$E$19</f>
        <v/>
      </c>
      <c r="FF19" s="108" t="n"/>
      <c r="FG19" s="122">
        <f>FF19*100/$E$19</f>
        <v/>
      </c>
      <c r="FH19" s="108" t="n"/>
      <c r="FI19" s="122">
        <f>FH19*100/$E$19</f>
        <v/>
      </c>
      <c r="FJ19" s="108" t="n"/>
      <c r="FK19" s="122">
        <f>FJ19*100/$E$19</f>
        <v/>
      </c>
      <c r="FL19" s="108" t="n"/>
      <c r="FM19" s="122">
        <f>FL19*100/$E$19</f>
        <v/>
      </c>
      <c r="FN19" s="108" t="n"/>
      <c r="FO19" s="122">
        <f>FN19*100/$E$19</f>
        <v/>
      </c>
      <c r="FP19" s="108" t="n"/>
      <c r="FQ19" s="122">
        <f>FP19*100/$E$19</f>
        <v/>
      </c>
      <c r="FR19" s="108" t="n"/>
      <c r="FS19" s="122">
        <f>FR19*100/$E$19</f>
        <v/>
      </c>
      <c r="FT19" s="108" t="n"/>
      <c r="FU19" s="122">
        <f>FT19*100/$E$19</f>
        <v/>
      </c>
      <c r="FV19" s="108" t="n"/>
      <c r="FW19" s="122">
        <f>FV19*100/$E$19</f>
        <v/>
      </c>
      <c r="FX19" s="108" t="n"/>
      <c r="FY19" s="107">
        <f>FX19*100/$E$19</f>
        <v/>
      </c>
      <c r="FZ19" s="108" t="n"/>
      <c r="GA19" s="107">
        <f>FZ19*100/$E$19</f>
        <v/>
      </c>
      <c r="GB19" s="108" t="n"/>
      <c r="GC19" s="107">
        <f>GB19*100/$E$19</f>
        <v/>
      </c>
      <c r="GD19" s="108" t="n"/>
      <c r="GE19" s="107">
        <f>GD19*100/$E$19</f>
        <v/>
      </c>
      <c r="GF19" s="108" t="n"/>
      <c r="GG19" s="107">
        <f>GF19*100/$E$19</f>
        <v/>
      </c>
      <c r="GH19" s="108" t="n"/>
      <c r="GI19" s="107">
        <f>GH19*100/$E$19</f>
        <v/>
      </c>
      <c r="GJ19" s="108" t="n"/>
      <c r="GK19" s="122">
        <f>GJ19*100/$E$19</f>
        <v/>
      </c>
      <c r="GL19" s="108" t="n">
        <v>11</v>
      </c>
      <c r="GM19" s="107">
        <f>GL19*100/$E$19</f>
        <v/>
      </c>
      <c r="GN19" s="108" t="n"/>
      <c r="GO19" s="122">
        <f>GN19*100/$E$19</f>
        <v/>
      </c>
      <c r="GP19" s="108" t="n"/>
      <c r="GQ19" s="107">
        <f>GP19*100/$E$19</f>
        <v/>
      </c>
      <c r="GR19" s="108" t="n"/>
      <c r="GS19" s="122">
        <f>GR19*100/$E$19</f>
        <v/>
      </c>
      <c r="GT19" s="108" t="n"/>
      <c r="GU19" s="122">
        <f>GT19*100/$E$19</f>
        <v/>
      </c>
      <c r="GV19" s="108" t="n"/>
      <c r="GW19" s="122">
        <f>GV19*100/$E$19</f>
        <v/>
      </c>
      <c r="GX19" s="108" t="n"/>
      <c r="GY19" s="107">
        <f>GX19*100/$E$19</f>
        <v/>
      </c>
      <c r="GZ19" s="108" t="n"/>
      <c r="HA19" s="107">
        <f>GZ19*100/$E$19</f>
        <v/>
      </c>
      <c r="HB19" s="108" t="n"/>
      <c r="HC19" s="107">
        <f>HB19*100/$E$19</f>
        <v/>
      </c>
      <c r="HD19" s="108" t="n"/>
      <c r="HE19" s="107">
        <f>HD19*100/$E$19</f>
        <v/>
      </c>
      <c r="HF19" s="108" t="n"/>
      <c r="HG19" s="107">
        <f>HF19*100/$E$19</f>
        <v/>
      </c>
      <c r="HH19" s="108" t="n"/>
      <c r="HI19" s="107">
        <f>HH19*100/$E$19</f>
        <v/>
      </c>
      <c r="HJ19" s="108" t="n"/>
      <c r="HK19" s="107">
        <f>HJ19*100/$E$19</f>
        <v/>
      </c>
      <c r="HL19" s="108" t="n"/>
      <c r="HM19" s="107">
        <f>HL19*100/$E$19</f>
        <v/>
      </c>
      <c r="HN19" s="108" t="n">
        <v>18</v>
      </c>
      <c r="HO19" s="107">
        <f>HN19*100/$E$19</f>
        <v/>
      </c>
      <c r="HP19" s="108" t="n">
        <v>20</v>
      </c>
      <c r="HQ19" s="107">
        <f>HP19*100/$E$19</f>
        <v/>
      </c>
      <c r="HR19" s="108" t="n">
        <v>18</v>
      </c>
      <c r="HS19" s="107">
        <f>HR19*100/$E$19</f>
        <v/>
      </c>
      <c r="HT19" s="108" t="n"/>
      <c r="HU19" s="107">
        <f>HT19*100/$E$19</f>
        <v/>
      </c>
      <c r="HV19" s="108" t="n"/>
      <c r="HW19" s="107">
        <f>HV19*100/$E$19</f>
        <v/>
      </c>
      <c r="HX19" s="108" t="n"/>
      <c r="HY19" s="107">
        <f>HX19*100/$E$19</f>
        <v/>
      </c>
      <c r="HZ19" s="108" t="n"/>
      <c r="IA19" s="122">
        <f>HZ19*100/$E$19</f>
        <v/>
      </c>
      <c r="IB19" s="108" t="n"/>
      <c r="IC19" s="122">
        <f>IB19*100/$E$19</f>
        <v/>
      </c>
      <c r="ID19" s="108" t="n"/>
      <c r="IE19" s="122">
        <f>ID19*100/$E$19</f>
        <v/>
      </c>
      <c r="IF19" s="108" t="n"/>
      <c r="IG19" s="122">
        <f>IF19*100/$E$19</f>
        <v/>
      </c>
      <c r="IH19" s="108" t="n"/>
      <c r="II19" s="122">
        <f>IH19*100/$E$19</f>
        <v/>
      </c>
      <c r="IJ19" s="108" t="n"/>
      <c r="IK19" s="122">
        <f>IJ19*100/$E$19</f>
        <v/>
      </c>
      <c r="IL19" s="108" t="n"/>
      <c r="IM19" s="107">
        <f>IL19*100/$E$19</f>
        <v/>
      </c>
      <c r="IN19" s="108" t="n"/>
      <c r="IO19" s="107">
        <f>IN19*100/$E$19</f>
        <v/>
      </c>
      <c r="IP19" s="108" t="n"/>
      <c r="IQ19" s="122">
        <f>IP19*100/$E$19</f>
        <v/>
      </c>
      <c r="IR19" s="108" t="n"/>
      <c r="IS19" s="122">
        <f>IR19*100/$E$19</f>
        <v/>
      </c>
      <c r="IT19" s="108" t="n"/>
      <c r="IU19" s="122">
        <f>IT19*100/$E$19</f>
        <v/>
      </c>
      <c r="IV19" s="108" t="n"/>
      <c r="IW19" s="122">
        <f>IV19*100/$E$19</f>
        <v/>
      </c>
      <c r="IX19" s="108" t="n"/>
      <c r="IY19" s="122">
        <f>IX19*100/$E$19</f>
        <v/>
      </c>
      <c r="IZ19" s="108" t="n"/>
      <c r="JA19" s="122">
        <f>IZ19*100/$E$19</f>
        <v/>
      </c>
      <c r="JB19" s="108" t="n"/>
      <c r="JC19" s="122">
        <f>JB19*100/$E$19</f>
        <v/>
      </c>
      <c r="JD19" s="108" t="n"/>
      <c r="JE19" s="122">
        <f>JD19*100/$E$19</f>
        <v/>
      </c>
      <c r="JF19" s="108" t="n"/>
      <c r="JG19" s="122">
        <f>JF19*100/$E$19</f>
        <v/>
      </c>
      <c r="JH19" s="108" t="n"/>
      <c r="JI19" s="122">
        <f>JH19*100/$E$19</f>
        <v/>
      </c>
      <c r="JJ19" s="108" t="n"/>
      <c r="JK19" s="122">
        <f>JJ19*100/$E$19</f>
        <v/>
      </c>
      <c r="JL19" s="108" t="n">
        <v>32</v>
      </c>
      <c r="JM19" s="122">
        <f>JL19*100/$E$19</f>
        <v/>
      </c>
      <c r="JN19" s="108" t="n"/>
      <c r="JO19" s="122">
        <f>JN19*100/$E$19</f>
        <v/>
      </c>
      <c r="JP19" s="108" t="n"/>
      <c r="JQ19" s="122">
        <f>JP19*100/$E$19</f>
        <v/>
      </c>
      <c r="JR19" s="108" t="n"/>
      <c r="JS19" s="122">
        <f>JR19*100/$E$19</f>
        <v/>
      </c>
      <c r="JT19" s="108" t="n"/>
      <c r="JU19" s="122">
        <f>JT19*100/$E$19</f>
        <v/>
      </c>
      <c r="JV19" s="108" t="n"/>
      <c r="JW19" s="122">
        <f>JV19*100/$E$19</f>
        <v/>
      </c>
      <c r="JX19" s="108" t="n"/>
      <c r="JY19" s="122">
        <f>JX19*100/$E$19</f>
        <v/>
      </c>
      <c r="JZ19" s="55">
        <f>JN19+JP19+JR19+JT19+JV19+JX19</f>
        <v/>
      </c>
      <c r="KA19" s="53">
        <f>JO19+JQ19+JS19+JU19+JW19+JY19</f>
        <v/>
      </c>
      <c r="KB19" s="64">
        <f>H19+J19+L19+N19+P19+R19+T19+V19+X19+Z19+AB19+AD19+AF19+AH19+AJ19+AL19+AN19+AP19+AR19+AT19+AV19+AX19+AZ19+BB19+BD19+BF19+BH19+BJ19+BL19+BN19+BP19+BR19+BT19+BV19+BX19+BZ19+CB19+CD19+CF19+CH19+CZ19+DB19+DD19+DF19+DH19+DJ19+DL19+DN19+DP19+DR19+DT19+DV19+DX19+DZ19+EB19+ED19+EF19+EH19+EJ19+EL19+EN19+EP19+ER19+ET19+EV19+FN19+FP19+FR19+FT19+FV19+FX19+FZ19+GB19+GD19+GF19+GH19+GJ19+GL19+GN19+GP19+GR19+GT19+GV19+GX19+GZ19+HB19+HD19+HF19+HH19+HJ19+HL19+HN19+HP19+HR19+HT19+HV19+HX19+HZ19+IB19+ID19+IF19+IH19+IJ19+IL19+IN19+IP19+IR19+IT19+IV19+IX19+IZ19+JB19+JD19+JF19+JH19+JJ19+JL19+JZ19+CJ19+CL19+CN19+CP19+CR19+CT19+CV19+CX19+EX19+EZ19+FB19+FD19+FF19+FH19+FJ19+FL19</f>
        <v/>
      </c>
      <c r="KC19" s="66">
        <f>I19+K19+M19+O19+Q19+S19+U19+W19+Y19+AA19+AC19+AE19+AG19+AI19+AK19+AM19+AO19+AQ19+AS19+AU19+AW19+AY19+BA19+BC19+BE19+BG19+BI19+BK19+BM19+BO19+BQ19+BS19+BU19+BW19+BY19+CA19+CC19+CE19+CG19+CI19+DA19+DC19+DE19+DG19+DI19+DK19+DM19+DO19+DQ19+DS19+DU19+DW19+DY19+EA19+EC19+EE19+EG19+EI19+EK19+EM19+EO19+EQ19+ES19+EU19+EW19+FO19+FS19+FU19+FW19+FQ19+FY19+GA19+GC19+GE19+GG19+GI19+GK19+GM19+GO19+GQ19+GS19+GU19+GW19+GY19+HA19+HC19+HE19+HG19+HI19+HK19+HM19+HO19+HQ19+HS19+HU19+HW19+HY19+IA19+IC19+IE19+IG19+II19+IK19+IM19+IO19+IQ19+IS19+IU19+IW19+IY19+JA19+JC19+JE19+JG19+JI19+JK19+JM19+KA19+CK19+CM19+CO19+CQ19+CS19+CU19+CW19+CY19+EY19+FA19+FC19+FE19+FG19+FI19+FK19+FM19</f>
        <v/>
      </c>
      <c r="KD19" s="44">
        <f>JO19+JQ19+JS19+JU19+JW19+JY19</f>
        <v/>
      </c>
      <c r="KE19" s="45">
        <f>KB19=E19</f>
        <v/>
      </c>
      <c r="KF19" s="101">
        <f>E19-KB19</f>
        <v/>
      </c>
      <c r="KG19" s="14" t="n"/>
    </row>
    <row r="20" ht="21.75" customFormat="1" customHeight="1" s="14">
      <c r="A20" s="126">
        <f>A19+1</f>
        <v/>
      </c>
      <c r="B20" s="175" t="inlineStr">
        <is>
          <t>Евстратов Е.В.</t>
        </is>
      </c>
      <c r="C20" s="176" t="inlineStr">
        <is>
          <t>слесарь</t>
        </is>
      </c>
      <c r="D20" s="177">
        <f>$D$5</f>
        <v/>
      </c>
      <c r="E20" s="202" t="n">
        <v>192</v>
      </c>
      <c r="F20" s="190" t="n">
        <v>68902.87</v>
      </c>
      <c r="G20" s="52">
        <f>F20/D20</f>
        <v/>
      </c>
      <c r="H20" s="125" t="n"/>
      <c r="I20" s="107">
        <f>H20*100/$E$20</f>
        <v/>
      </c>
      <c r="J20" s="108" t="n"/>
      <c r="K20" s="107">
        <f>J20*100/$E$20</f>
        <v/>
      </c>
      <c r="L20" s="108" t="n"/>
      <c r="M20" s="107">
        <f>L20*100/$E$20</f>
        <v/>
      </c>
      <c r="N20" s="108" t="n"/>
      <c r="O20" s="107">
        <f>N20*100/$E$20</f>
        <v/>
      </c>
      <c r="P20" s="108" t="n"/>
      <c r="Q20" s="122">
        <f>P20*100/$E$20</f>
        <v/>
      </c>
      <c r="R20" s="108" t="n">
        <v>4</v>
      </c>
      <c r="S20" s="122">
        <f>R20*100/$E$20</f>
        <v/>
      </c>
      <c r="T20" s="108" t="n">
        <v>20</v>
      </c>
      <c r="U20" s="107">
        <f>T20*100/$E$20</f>
        <v/>
      </c>
      <c r="V20" s="108" t="n"/>
      <c r="W20" s="107">
        <f>V20*100/$E$20</f>
        <v/>
      </c>
      <c r="X20" s="108" t="n"/>
      <c r="Y20" s="107">
        <f>X20*100/$E$20</f>
        <v/>
      </c>
      <c r="Z20" s="108" t="n"/>
      <c r="AA20" s="107">
        <f>Z20*100/$E$20</f>
        <v/>
      </c>
      <c r="AB20" s="108" t="n"/>
      <c r="AC20" s="107">
        <f>AB20*100/$E$20</f>
        <v/>
      </c>
      <c r="AD20" s="108" t="n"/>
      <c r="AE20" s="122">
        <f>AD20*100/$E$20</f>
        <v/>
      </c>
      <c r="AF20" s="108" t="n"/>
      <c r="AG20" s="122">
        <f>AF20*100/$E$20</f>
        <v/>
      </c>
      <c r="AH20" s="108" t="n"/>
      <c r="AI20" s="107">
        <f>AH20*100/$E$20</f>
        <v/>
      </c>
      <c r="AJ20" s="108" t="n"/>
      <c r="AK20" s="107">
        <f>AJ20*100/$E$20</f>
        <v/>
      </c>
      <c r="AL20" s="108" t="n"/>
      <c r="AM20" s="107">
        <f>AL20*100/$E$20</f>
        <v/>
      </c>
      <c r="AN20" s="108" t="n"/>
      <c r="AO20" s="107">
        <f>AN20*100/$E$20</f>
        <v/>
      </c>
      <c r="AP20" s="108" t="n">
        <v>1</v>
      </c>
      <c r="AQ20" s="107">
        <f>AP20*100/$E$20</f>
        <v/>
      </c>
      <c r="AR20" s="108" t="n"/>
      <c r="AS20" s="107">
        <f>AR20*100/$E$20</f>
        <v/>
      </c>
      <c r="AT20" s="108" t="n">
        <v>12</v>
      </c>
      <c r="AU20" s="90">
        <f>AT20*100/$E$20</f>
        <v/>
      </c>
      <c r="AV20" s="108" t="n">
        <v>8</v>
      </c>
      <c r="AW20" s="107">
        <f>AV20*100/$E$20</f>
        <v/>
      </c>
      <c r="AX20" s="108" t="n">
        <v>20</v>
      </c>
      <c r="AY20" s="107">
        <f>AX20*100/$E$20</f>
        <v/>
      </c>
      <c r="AZ20" s="108" t="n"/>
      <c r="BA20" s="107">
        <f>AZ20*100/$E$20</f>
        <v/>
      </c>
      <c r="BB20" s="108" t="n">
        <v>4</v>
      </c>
      <c r="BC20" s="107">
        <f>BB20*100/$E$20</f>
        <v/>
      </c>
      <c r="BD20" s="108" t="n"/>
      <c r="BE20" s="107">
        <f>BD20*100/$E$20</f>
        <v/>
      </c>
      <c r="BF20" s="108" t="n"/>
      <c r="BG20" s="107">
        <f>BF20*100/$E$20</f>
        <v/>
      </c>
      <c r="BH20" s="108" t="n"/>
      <c r="BI20" s="107">
        <f>BH20*100/$E$20</f>
        <v/>
      </c>
      <c r="BJ20" s="108" t="n"/>
      <c r="BK20" s="107">
        <f>BJ20*100/$E$20</f>
        <v/>
      </c>
      <c r="BL20" s="108" t="n"/>
      <c r="BM20" s="107">
        <f>BL20*100/$E$20</f>
        <v/>
      </c>
      <c r="BN20" s="108" t="n"/>
      <c r="BO20" s="107">
        <f>BN20*100/$E$20</f>
        <v/>
      </c>
      <c r="BP20" s="108" t="n"/>
      <c r="BQ20" s="107">
        <f>BP20*100/$E$20</f>
        <v/>
      </c>
      <c r="BR20" s="108" t="n"/>
      <c r="BS20" s="107">
        <f>BR20*100/$E$20</f>
        <v/>
      </c>
      <c r="BT20" s="108" t="n"/>
      <c r="BU20" s="107">
        <f>BT20*100/$E$20</f>
        <v/>
      </c>
      <c r="BV20" s="108" t="n"/>
      <c r="BW20" s="107">
        <f>BV20*100/$E$20</f>
        <v/>
      </c>
      <c r="BX20" s="108" t="n">
        <v>8</v>
      </c>
      <c r="BY20" s="107">
        <f>BX20*100/$E$20</f>
        <v/>
      </c>
      <c r="BZ20" s="108" t="n">
        <v>4</v>
      </c>
      <c r="CA20" s="107">
        <f>BZ20*100/$E$20</f>
        <v/>
      </c>
      <c r="CB20" s="108" t="n"/>
      <c r="CC20" s="107">
        <f>CB20*100/$E$20</f>
        <v/>
      </c>
      <c r="CD20" s="108" t="n"/>
      <c r="CE20" s="107">
        <f>CD20*100/$E$20</f>
        <v/>
      </c>
      <c r="CF20" s="108" t="n"/>
      <c r="CG20" s="107">
        <f>CF20*100/$E$20</f>
        <v/>
      </c>
      <c r="CH20" s="108" t="n"/>
      <c r="CI20" s="107">
        <f>CH20*100/$E$20</f>
        <v/>
      </c>
      <c r="CJ20" s="108" t="n"/>
      <c r="CK20" s="107">
        <f>CJ20*100/$E$20</f>
        <v/>
      </c>
      <c r="CL20" s="108" t="n"/>
      <c r="CM20" s="107">
        <f>CL20*100/$E$20</f>
        <v/>
      </c>
      <c r="CN20" s="108" t="n"/>
      <c r="CO20" s="122">
        <f>CN20*100/$E$20</f>
        <v/>
      </c>
      <c r="CP20" s="108" t="n"/>
      <c r="CQ20" s="107">
        <f>CP20*100/$E$20</f>
        <v/>
      </c>
      <c r="CR20" s="108" t="n"/>
      <c r="CS20" s="122">
        <f>CR20*100/$E$20</f>
        <v/>
      </c>
      <c r="CT20" s="108" t="n"/>
      <c r="CU20" s="122">
        <f>CT20*100/$E$20</f>
        <v/>
      </c>
      <c r="CV20" s="108" t="n"/>
      <c r="CW20" s="122">
        <f>CV20*100/$E$20</f>
        <v/>
      </c>
      <c r="CX20" s="108" t="n">
        <v>6</v>
      </c>
      <c r="CY20" s="122">
        <f>CX20*100/$E$20</f>
        <v/>
      </c>
      <c r="CZ20" s="108" t="n"/>
      <c r="DA20" s="122">
        <f>CZ20*100/$E$20</f>
        <v/>
      </c>
      <c r="DB20" s="108" t="n"/>
      <c r="DC20" s="122">
        <f>DB20*100/$E$20</f>
        <v/>
      </c>
      <c r="DD20" s="108" t="n"/>
      <c r="DE20" s="122">
        <f>DD20*100/$E$20</f>
        <v/>
      </c>
      <c r="DF20" s="108" t="n"/>
      <c r="DG20" s="122">
        <f>DF20*100/$E$20</f>
        <v/>
      </c>
      <c r="DH20" s="108" t="n"/>
      <c r="DI20" s="122">
        <f>DH20*100/$E$20</f>
        <v/>
      </c>
      <c r="DJ20" s="108" t="n"/>
      <c r="DK20" s="122">
        <f>DJ20*100/$E$20</f>
        <v/>
      </c>
      <c r="DL20" s="108" t="n"/>
      <c r="DM20" s="122">
        <f>DL20*100/$E$20</f>
        <v/>
      </c>
      <c r="DN20" s="108" t="n"/>
      <c r="DO20" s="122">
        <f>DN20*100/$E$20</f>
        <v/>
      </c>
      <c r="DP20" s="108" t="n"/>
      <c r="DQ20" s="122">
        <f>DP20*100/$E$20</f>
        <v/>
      </c>
      <c r="DR20" s="108" t="n"/>
      <c r="DS20" s="122">
        <f>DR20*100/$E$20</f>
        <v/>
      </c>
      <c r="DT20" s="108" t="n"/>
      <c r="DU20" s="122">
        <f>DT20*100/$E$20</f>
        <v/>
      </c>
      <c r="DV20" s="108" t="n"/>
      <c r="DW20" s="122">
        <f>DV20*100/$E$20</f>
        <v/>
      </c>
      <c r="DX20" s="108" t="n"/>
      <c r="DY20" s="122">
        <f>DX20*100/$E$20</f>
        <v/>
      </c>
      <c r="DZ20" s="108" t="n"/>
      <c r="EA20" s="122">
        <f>DZ20*100/$E$20</f>
        <v/>
      </c>
      <c r="EB20" s="108" t="n"/>
      <c r="EC20" s="122">
        <f>EB20*100/$E$20</f>
        <v/>
      </c>
      <c r="ED20" s="108" t="n">
        <v>4</v>
      </c>
      <c r="EE20" s="122">
        <f>ED20*100/$E$20</f>
        <v/>
      </c>
      <c r="EF20" s="108" t="n"/>
      <c r="EG20" s="122">
        <f>EF20*100/$E$20</f>
        <v/>
      </c>
      <c r="EH20" s="108" t="n"/>
      <c r="EI20" s="122">
        <f>EH20*100/$E$20</f>
        <v/>
      </c>
      <c r="EJ20" s="108" t="n"/>
      <c r="EK20" s="122">
        <f>EJ20*100/$E$20</f>
        <v/>
      </c>
      <c r="EL20" s="108" t="n">
        <v>16</v>
      </c>
      <c r="EM20" s="122">
        <f>EL20*100/$E$20</f>
        <v/>
      </c>
      <c r="EN20" s="108" t="n"/>
      <c r="EO20" s="122">
        <f>EN20*100/$E$20</f>
        <v/>
      </c>
      <c r="EP20" s="108" t="n"/>
      <c r="EQ20" s="122">
        <f>EP20*100/$E$20</f>
        <v/>
      </c>
      <c r="ER20" s="108" t="n">
        <v>6</v>
      </c>
      <c r="ES20" s="122">
        <f>ER20*100/$E$20</f>
        <v/>
      </c>
      <c r="ET20" s="108" t="n"/>
      <c r="EU20" s="122">
        <f>ET20*100/$E$20</f>
        <v/>
      </c>
      <c r="EV20" s="108" t="n"/>
      <c r="EW20" s="122">
        <f>EV20*100/$E$20</f>
        <v/>
      </c>
      <c r="EX20" s="108" t="n"/>
      <c r="EY20" s="122">
        <f>EX20*100/$E$20</f>
        <v/>
      </c>
      <c r="EZ20" s="108" t="n"/>
      <c r="FA20" s="122">
        <f>EZ20*100/$E$20</f>
        <v/>
      </c>
      <c r="FB20" s="108" t="n"/>
      <c r="FC20" s="122">
        <f>FB20*100/$E$20</f>
        <v/>
      </c>
      <c r="FD20" s="108" t="n"/>
      <c r="FE20" s="122">
        <f>FD20*100/$E$20</f>
        <v/>
      </c>
      <c r="FF20" s="108" t="n"/>
      <c r="FG20" s="122">
        <f>FF20*100/$E$20</f>
        <v/>
      </c>
      <c r="FH20" s="108" t="n"/>
      <c r="FI20" s="122">
        <f>FH20*100/$E$20</f>
        <v/>
      </c>
      <c r="FJ20" s="108" t="n"/>
      <c r="FK20" s="122">
        <f>FJ20*100/$E$20</f>
        <v/>
      </c>
      <c r="FL20" s="108" t="n"/>
      <c r="FM20" s="122">
        <f>FL20*100/$E$20</f>
        <v/>
      </c>
      <c r="FN20" s="108" t="n"/>
      <c r="FO20" s="122">
        <f>FN20*100/$E$20</f>
        <v/>
      </c>
      <c r="FP20" s="108" t="n"/>
      <c r="FQ20" s="122">
        <f>FP20*100/$E$20</f>
        <v/>
      </c>
      <c r="FR20" s="108" t="n"/>
      <c r="FS20" s="122">
        <f>FR20*100/$E$20</f>
        <v/>
      </c>
      <c r="FT20" s="108" t="n"/>
      <c r="FU20" s="122">
        <f>FT20*100/$E$20</f>
        <v/>
      </c>
      <c r="FV20" s="108" t="n">
        <v>22</v>
      </c>
      <c r="FW20" s="122">
        <f>FV20*100/$E$20</f>
        <v/>
      </c>
      <c r="FX20" s="108" t="n"/>
      <c r="FY20" s="107">
        <f>FX20*100/$E$20</f>
        <v/>
      </c>
      <c r="FZ20" s="108" t="n">
        <v>19</v>
      </c>
      <c r="GA20" s="107">
        <f>FZ20*100/$E$20</f>
        <v/>
      </c>
      <c r="GB20" s="108" t="n"/>
      <c r="GC20" s="107">
        <f>GB20*100/$E$20</f>
        <v/>
      </c>
      <c r="GD20" s="108" t="n"/>
      <c r="GE20" s="107">
        <f>GD20*100/$E$20</f>
        <v/>
      </c>
      <c r="GF20" s="108" t="n">
        <v>3</v>
      </c>
      <c r="GG20" s="107">
        <f>GF20*100/$E$20</f>
        <v/>
      </c>
      <c r="GH20" s="108" t="n"/>
      <c r="GI20" s="107">
        <f>GH20*100/$E$20</f>
        <v/>
      </c>
      <c r="GJ20" s="108" t="n"/>
      <c r="GK20" s="122">
        <f>GJ20*100/$E$20</f>
        <v/>
      </c>
      <c r="GL20" s="108" t="n"/>
      <c r="GM20" s="107">
        <f>GL20*100/$E$20</f>
        <v/>
      </c>
      <c r="GN20" s="108" t="n"/>
      <c r="GO20" s="122">
        <f>GN20*100/$E$20</f>
        <v/>
      </c>
      <c r="GP20" s="108" t="n"/>
      <c r="GQ20" s="107">
        <f>GP20*100/$E$20</f>
        <v/>
      </c>
      <c r="GR20" s="108" t="n"/>
      <c r="GS20" s="122">
        <f>GR20*100/$E$20</f>
        <v/>
      </c>
      <c r="GT20" s="108" t="n"/>
      <c r="GU20" s="122">
        <f>GT20*100/$E$20</f>
        <v/>
      </c>
      <c r="GV20" s="108" t="n"/>
      <c r="GW20" s="122">
        <f>GV20*100/$E$20</f>
        <v/>
      </c>
      <c r="GX20" s="108" t="n"/>
      <c r="GY20" s="107">
        <f>GX20*100/$E$20</f>
        <v/>
      </c>
      <c r="GZ20" s="108" t="n"/>
      <c r="HA20" s="107">
        <f>GZ20*100/$E$20</f>
        <v/>
      </c>
      <c r="HB20" s="108" t="n"/>
      <c r="HC20" s="107">
        <f>HB20*100/$E$20</f>
        <v/>
      </c>
      <c r="HD20" s="108" t="n"/>
      <c r="HE20" s="107">
        <f>HD20*100/$E$20</f>
        <v/>
      </c>
      <c r="HF20" s="108" t="n"/>
      <c r="HG20" s="107">
        <f>HF20*100/$E$20</f>
        <v/>
      </c>
      <c r="HH20" s="108" t="n"/>
      <c r="HI20" s="107">
        <f>HH20*100/$E$20</f>
        <v/>
      </c>
      <c r="HJ20" s="108" t="n"/>
      <c r="HK20" s="107">
        <f>HJ20*100/$E$20</f>
        <v/>
      </c>
      <c r="HL20" s="108" t="n"/>
      <c r="HM20" s="107">
        <f>HL20*100/$E$20</f>
        <v/>
      </c>
      <c r="HN20" s="108" t="n"/>
      <c r="HO20" s="107">
        <f>HN20*100/$E$20</f>
        <v/>
      </c>
      <c r="HP20" s="108" t="n"/>
      <c r="HQ20" s="107">
        <f>HP20*100/$E$20</f>
        <v/>
      </c>
      <c r="HR20" s="108" t="n"/>
      <c r="HS20" s="107">
        <f>HR20*100/$E$20</f>
        <v/>
      </c>
      <c r="HT20" s="108" t="n"/>
      <c r="HU20" s="107">
        <f>HT20*100/$E$20</f>
        <v/>
      </c>
      <c r="HV20" s="108" t="n"/>
      <c r="HW20" s="107">
        <f>HV20*100/$E$20</f>
        <v/>
      </c>
      <c r="HX20" s="108" t="n"/>
      <c r="HY20" s="107">
        <f>HX20*100/$E$20</f>
        <v/>
      </c>
      <c r="HZ20" s="108" t="n"/>
      <c r="IA20" s="122">
        <f>HZ20*100/$E$20</f>
        <v/>
      </c>
      <c r="IB20" s="108" t="n"/>
      <c r="IC20" s="122">
        <f>IB20*100/$E$20</f>
        <v/>
      </c>
      <c r="ID20" s="108" t="n"/>
      <c r="IE20" s="122">
        <f>ID20*100/$E$20</f>
        <v/>
      </c>
      <c r="IF20" s="108" t="n"/>
      <c r="IG20" s="122">
        <f>IF20*100/$E$20</f>
        <v/>
      </c>
      <c r="IH20" s="108" t="n"/>
      <c r="II20" s="122">
        <f>IH20*100/$E$20</f>
        <v/>
      </c>
      <c r="IJ20" s="108" t="n"/>
      <c r="IK20" s="122">
        <f>IJ20*100/$E$20</f>
        <v/>
      </c>
      <c r="IL20" s="108" t="n"/>
      <c r="IM20" s="107">
        <f>IL20*100/$E$20</f>
        <v/>
      </c>
      <c r="IN20" s="108" t="n"/>
      <c r="IO20" s="107">
        <f>IN20*100/$E$20</f>
        <v/>
      </c>
      <c r="IP20" s="108" t="n"/>
      <c r="IQ20" s="122">
        <f>IP20*100/$E$20</f>
        <v/>
      </c>
      <c r="IR20" s="108" t="n"/>
      <c r="IS20" s="122">
        <f>IR20*100/$E$20</f>
        <v/>
      </c>
      <c r="IT20" s="108" t="n"/>
      <c r="IU20" s="122">
        <f>IT20*100/$E$20</f>
        <v/>
      </c>
      <c r="IV20" s="108" t="n"/>
      <c r="IW20" s="122">
        <f>IV20*100/$E$20</f>
        <v/>
      </c>
      <c r="IX20" s="108" t="n"/>
      <c r="IY20" s="122">
        <f>IX20*100/$E$20</f>
        <v/>
      </c>
      <c r="IZ20" s="108" t="n"/>
      <c r="JA20" s="122">
        <f>IZ20*100/$E$20</f>
        <v/>
      </c>
      <c r="JB20" s="108" t="n"/>
      <c r="JC20" s="122">
        <f>JB20*100/$E$20</f>
        <v/>
      </c>
      <c r="JD20" s="108" t="n"/>
      <c r="JE20" s="122">
        <f>JD20*100/$E$20</f>
        <v/>
      </c>
      <c r="JF20" s="108" t="n"/>
      <c r="JG20" s="122">
        <f>JF20*100/$E$20</f>
        <v/>
      </c>
      <c r="JH20" s="108" t="n"/>
      <c r="JI20" s="122">
        <f>JH20*100/$E$20</f>
        <v/>
      </c>
      <c r="JJ20" s="108" t="n"/>
      <c r="JK20" s="122">
        <f>JJ20*100/$E$20</f>
        <v/>
      </c>
      <c r="JL20" s="108" t="n">
        <v>32</v>
      </c>
      <c r="JM20" s="122">
        <f>JL20*100/$E$20</f>
        <v/>
      </c>
      <c r="JN20" s="108" t="n"/>
      <c r="JO20" s="122">
        <f>JN20*100/$E$20</f>
        <v/>
      </c>
      <c r="JP20" s="108" t="n"/>
      <c r="JQ20" s="122">
        <f>JP20*100/$E$20</f>
        <v/>
      </c>
      <c r="JR20" s="108" t="n"/>
      <c r="JS20" s="122">
        <f>JR20*100/$E$20</f>
        <v/>
      </c>
      <c r="JT20" s="108" t="n"/>
      <c r="JU20" s="122">
        <f>JT20*100/$E$20</f>
        <v/>
      </c>
      <c r="JV20" s="108" t="n"/>
      <c r="JW20" s="122">
        <f>JV20*100/$E$20</f>
        <v/>
      </c>
      <c r="JX20" s="108" t="n"/>
      <c r="JY20" s="122">
        <f>JX20*100/$E$20</f>
        <v/>
      </c>
      <c r="JZ20" s="55">
        <f>JN20+JP20+JR20+JT20+JV20+JX20</f>
        <v/>
      </c>
      <c r="KA20" s="53">
        <f>JO20+JQ20+JS20+JU20+JW20+JY20</f>
        <v/>
      </c>
      <c r="KB20" s="64">
        <f>H20+J20+L20+N20+P20+R20+T20+V20+X20+Z20+AB20+AD20+AF20+AH20+AJ20+AL20+AN20+AP20+AR20+AT20+AV20+AX20+AZ20+BB20+BD20+BF20+BH20+BJ20+BL20+BN20+BP20+BR20+BT20+BV20+BX20+BZ20+CB20+CD20+CF20+CH20+CZ20+DB20+DD20+DF20+DH20+DJ20+DL20+DN20+DP20+DR20+DT20+DV20+DX20+DZ20+EB20+ED20+EF20+EH20+EJ20+EL20+EN20+EP20+ER20+ET20+EV20+FN20+FP20+FR20+FT20+FV20+FX20+FZ20+GB20+GD20+GF20+GH20+GJ20+GL20+GN20+GP20+GR20+GT20+GV20+GX20+GZ20+HB20+HD20+HF20+HH20+HJ20+HL20+HN20+HP20+HR20+HT20+HV20+HX20+HZ20+IB20+ID20+IF20+IH20+IJ20+IL20+IN20+IP20+IR20+IT20+IV20+IX20+IZ20+JB20+JD20+JF20+JH20+JJ20+JL20+JZ20+CJ20+CL20+CN20+CP20+CR20+CT20+CV20+CX20+EX20+EZ20+FB20+FD20+FF20+FH20+FJ20+FL20</f>
        <v/>
      </c>
      <c r="KC20" s="66">
        <f>I20+K20+M20+O20+Q20+S20+U20+W20+Y20+AA20+AC20+AE20+AG20+AI20+AK20+AM20+AO20+AQ20+AS20+AU20+AW20+AY20+BA20+BC20+BE20+BG20+BI20+BK20+BM20+BO20+BQ20+BS20+BU20+BW20+BY20+CA20+CC20+CE20+CG20+CI20+DA20+DC20+DE20+DG20+DI20+DK20+DM20+DO20+DQ20+DS20+DU20+DW20+DY20+EA20+EC20+EE20+EG20+EI20+EK20+EM20+EO20+EQ20+ES20+EU20+EW20+FO20+FS20+FU20+FW20+FQ20+FY20+GA20+GC20+GE20+GG20+GI20+GK20+GM20+GO20+GQ20+GS20+GU20+GW20+GY20+HA20+HC20+HE20+HG20+HI20+HK20+HM20+HO20+HQ20+HS20+HU20+HW20+HY20+IA20+IC20+IE20+IG20+II20+IK20+IM20+IO20+IQ20+IS20+IU20+IW20+IY20+JA20+JC20+JE20+JG20+JI20+JK20+JM20+KA20+CK20+CM20+CO20+CQ20+CS20+CU20+CW20+CY20+EY20+FA20+FC20+FE20+FG20+FI20+FK20+FM20</f>
        <v/>
      </c>
      <c r="KD20" s="44">
        <f>JO20+JQ20+JS20+JU20+JW20+JY20</f>
        <v/>
      </c>
      <c r="KE20" s="45">
        <f>KB20=E20</f>
        <v/>
      </c>
      <c r="KF20" s="101">
        <f>E20-KB20</f>
        <v/>
      </c>
      <c r="KG20" s="17" t="n"/>
    </row>
    <row r="21" ht="21.75" customFormat="1" customHeight="1" s="67">
      <c r="A21" s="130">
        <f>A20+1</f>
        <v/>
      </c>
      <c r="B21" s="175" t="inlineStr">
        <is>
          <t>Еналов А.Д.</t>
        </is>
      </c>
      <c r="C21" s="176" t="inlineStr">
        <is>
          <t>слесарь</t>
        </is>
      </c>
      <c r="D21" s="177">
        <f>$D$5</f>
        <v/>
      </c>
      <c r="E21" s="202" t="n">
        <v>112</v>
      </c>
      <c r="F21" s="191" t="n">
        <v>68902.87</v>
      </c>
      <c r="G21" s="52">
        <f>F21/D21</f>
        <v/>
      </c>
      <c r="H21" s="125" t="n"/>
      <c r="I21" s="107">
        <f>H21*100/$E$21</f>
        <v/>
      </c>
      <c r="J21" s="108" t="n"/>
      <c r="K21" s="107">
        <f>J21*100/$E$21</f>
        <v/>
      </c>
      <c r="L21" s="108" t="n"/>
      <c r="M21" s="107">
        <f>L21*100/$E$21</f>
        <v/>
      </c>
      <c r="N21" s="108" t="n"/>
      <c r="O21" s="107">
        <f>N21*100/$E$21</f>
        <v/>
      </c>
      <c r="P21" s="108" t="n"/>
      <c r="Q21" s="122">
        <f>P21*100/$E$21</f>
        <v/>
      </c>
      <c r="R21" s="108" t="n"/>
      <c r="S21" s="122">
        <f>R21*100/$E$21</f>
        <v/>
      </c>
      <c r="T21" s="108" t="n"/>
      <c r="U21" s="122">
        <f>T21*100/$E$21</f>
        <v/>
      </c>
      <c r="V21" s="108" t="n"/>
      <c r="W21" s="122">
        <f>V21*100/$E$21</f>
        <v/>
      </c>
      <c r="X21" s="108" t="n"/>
      <c r="Y21" s="122">
        <f>X21*100/$E$21</f>
        <v/>
      </c>
      <c r="Z21" s="108" t="n"/>
      <c r="AA21" s="122">
        <f>Z21*100/$E$21</f>
        <v/>
      </c>
      <c r="AB21" s="108" t="n"/>
      <c r="AC21" s="122">
        <f>AB21*100/$E$21</f>
        <v/>
      </c>
      <c r="AD21" s="108" t="n"/>
      <c r="AE21" s="122">
        <f>AD21*100/$E$21</f>
        <v/>
      </c>
      <c r="AF21" s="108" t="n"/>
      <c r="AG21" s="122">
        <f>AF21*100/$E$21</f>
        <v/>
      </c>
      <c r="AH21" s="108" t="n"/>
      <c r="AI21" s="122">
        <f>AH21*100/$E$21</f>
        <v/>
      </c>
      <c r="AJ21" s="108" t="n"/>
      <c r="AK21" s="122">
        <f>AJ21*100/$E$21</f>
        <v/>
      </c>
      <c r="AL21" s="108" t="n"/>
      <c r="AM21" s="122">
        <f>AL21*100/$E$21</f>
        <v/>
      </c>
      <c r="AN21" s="108" t="n"/>
      <c r="AO21" s="122">
        <f>AN21*100/$E$21</f>
        <v/>
      </c>
      <c r="AP21" s="108" t="n"/>
      <c r="AQ21" s="122">
        <f>AP21*100/$E$21</f>
        <v/>
      </c>
      <c r="AR21" s="108" t="n"/>
      <c r="AS21" s="122">
        <f>AR21*100/$E$21</f>
        <v/>
      </c>
      <c r="AT21" s="108" t="n"/>
      <c r="AU21" s="90">
        <f>AT21*100/$E$21</f>
        <v/>
      </c>
      <c r="AV21" s="108" t="n"/>
      <c r="AW21" s="122">
        <f>AV21*100/$E$21</f>
        <v/>
      </c>
      <c r="AX21" s="108" t="n"/>
      <c r="AY21" s="122">
        <f>AX21*100/$E$21</f>
        <v/>
      </c>
      <c r="AZ21" s="108" t="n"/>
      <c r="BA21" s="122">
        <f>AZ21*100/$E$21</f>
        <v/>
      </c>
      <c r="BB21" s="108" t="n"/>
      <c r="BC21" s="122">
        <f>BB21*100/$E$21</f>
        <v/>
      </c>
      <c r="BD21" s="108" t="n"/>
      <c r="BE21" s="122">
        <f>BD21*100/$E$21</f>
        <v/>
      </c>
      <c r="BF21" s="108" t="n"/>
      <c r="BG21" s="122">
        <f>BF21*100/$E$21</f>
        <v/>
      </c>
      <c r="BH21" s="108" t="n"/>
      <c r="BI21" s="122">
        <f>BH21*100/$E$21</f>
        <v/>
      </c>
      <c r="BJ21" s="108" t="n"/>
      <c r="BK21" s="122">
        <f>BJ21*100/$E$21</f>
        <v/>
      </c>
      <c r="BL21" s="108" t="n"/>
      <c r="BM21" s="122">
        <f>BL21*100/$E$21</f>
        <v/>
      </c>
      <c r="BN21" s="108" t="n"/>
      <c r="BO21" s="122">
        <f>BN21*100/$E$21</f>
        <v/>
      </c>
      <c r="BP21" s="108" t="n"/>
      <c r="BQ21" s="122">
        <f>BP21*100/$E$21</f>
        <v/>
      </c>
      <c r="BR21" s="108" t="n"/>
      <c r="BS21" s="122">
        <f>BR21*100/$E$21</f>
        <v/>
      </c>
      <c r="BT21" s="108" t="n"/>
      <c r="BU21" s="122">
        <f>BT21*100/$E$21</f>
        <v/>
      </c>
      <c r="BV21" s="108" t="n"/>
      <c r="BW21" s="122">
        <f>BV21*100/$E$21</f>
        <v/>
      </c>
      <c r="BX21" s="108" t="n"/>
      <c r="BY21" s="122">
        <f>BX21*100/$E$21</f>
        <v/>
      </c>
      <c r="BZ21" s="108" t="n"/>
      <c r="CA21" s="122">
        <f>BZ21*100/$E$21</f>
        <v/>
      </c>
      <c r="CB21" s="108" t="n"/>
      <c r="CC21" s="122">
        <f>CB21*100/$E$21</f>
        <v/>
      </c>
      <c r="CD21" s="108" t="n"/>
      <c r="CE21" s="122">
        <f>CD21*100/$E$21</f>
        <v/>
      </c>
      <c r="CF21" s="108" t="n"/>
      <c r="CG21" s="122">
        <f>CF21*100/$E$21</f>
        <v/>
      </c>
      <c r="CH21" s="108" t="n"/>
      <c r="CI21" s="122">
        <f>CH21*100/$E$21</f>
        <v/>
      </c>
      <c r="CJ21" s="108" t="n"/>
      <c r="CK21" s="122">
        <f>CJ21*100/$E$21</f>
        <v/>
      </c>
      <c r="CL21" s="108" t="n"/>
      <c r="CM21" s="122">
        <f>CL21*100/$E$21</f>
        <v/>
      </c>
      <c r="CN21" s="108" t="n"/>
      <c r="CO21" s="122">
        <f>CN21*100/$E$21</f>
        <v/>
      </c>
      <c r="CP21" s="108" t="n"/>
      <c r="CQ21" s="122">
        <f>CP21*100/$E$21</f>
        <v/>
      </c>
      <c r="CR21" s="108" t="n"/>
      <c r="CS21" s="122">
        <f>CR21*100/$E$21</f>
        <v/>
      </c>
      <c r="CT21" s="108" t="n"/>
      <c r="CU21" s="122">
        <f>CT21*100/$E$21</f>
        <v/>
      </c>
      <c r="CV21" s="108" t="n"/>
      <c r="CW21" s="122">
        <f>CV21*100/$E$21</f>
        <v/>
      </c>
      <c r="CX21" s="108" t="n"/>
      <c r="CY21" s="122">
        <f>CX21*100/$E$21</f>
        <v/>
      </c>
      <c r="CZ21" s="108" t="n"/>
      <c r="DA21" s="122">
        <f>CZ21*100/$E$21</f>
        <v/>
      </c>
      <c r="DB21" s="108" t="n"/>
      <c r="DC21" s="122">
        <f>DB21*100/$E$21</f>
        <v/>
      </c>
      <c r="DD21" s="108" t="n"/>
      <c r="DE21" s="122">
        <f>DD21*100/$E$21</f>
        <v/>
      </c>
      <c r="DF21" s="108" t="n"/>
      <c r="DG21" s="122">
        <f>DF21*100/$E$21</f>
        <v/>
      </c>
      <c r="DH21" s="108" t="n"/>
      <c r="DI21" s="122">
        <f>DH21*100/$E$21</f>
        <v/>
      </c>
      <c r="DJ21" s="108" t="n"/>
      <c r="DK21" s="122">
        <f>DJ21*100/$E$21</f>
        <v/>
      </c>
      <c r="DL21" s="108" t="n"/>
      <c r="DM21" s="122">
        <f>DL21*100/$E$21</f>
        <v/>
      </c>
      <c r="DN21" s="108" t="n"/>
      <c r="DO21" s="122">
        <f>DN21*100/$E$21</f>
        <v/>
      </c>
      <c r="DP21" s="108" t="n">
        <v>39</v>
      </c>
      <c r="DQ21" s="122">
        <f>DP21*100/$E$21</f>
        <v/>
      </c>
      <c r="DR21" s="108" t="n">
        <v>73</v>
      </c>
      <c r="DS21" s="122">
        <f>DR21*100/$E$21</f>
        <v/>
      </c>
      <c r="DT21" s="108" t="n"/>
      <c r="DU21" s="122">
        <f>DT21*100/$E$21</f>
        <v/>
      </c>
      <c r="DV21" s="108" t="n"/>
      <c r="DW21" s="122">
        <f>DV21*100/$E$21</f>
        <v/>
      </c>
      <c r="DX21" s="108" t="n"/>
      <c r="DY21" s="122">
        <f>DX21*100/$E$21</f>
        <v/>
      </c>
      <c r="DZ21" s="108" t="n"/>
      <c r="EA21" s="122">
        <f>DZ21*100/$E$21</f>
        <v/>
      </c>
      <c r="EB21" s="108" t="n"/>
      <c r="EC21" s="122">
        <f>EB21*100/$E$21</f>
        <v/>
      </c>
      <c r="ED21" s="108" t="n"/>
      <c r="EE21" s="122">
        <f>ED21*100/$E$21</f>
        <v/>
      </c>
      <c r="EF21" s="108" t="n"/>
      <c r="EG21" s="122">
        <f>EF21*100/$E$21</f>
        <v/>
      </c>
      <c r="EH21" s="108" t="n"/>
      <c r="EI21" s="122">
        <f>EH21*100/$E$21</f>
        <v/>
      </c>
      <c r="EJ21" s="108" t="n"/>
      <c r="EK21" s="122">
        <f>EJ21*100/$E$21</f>
        <v/>
      </c>
      <c r="EL21" s="108" t="n"/>
      <c r="EM21" s="122">
        <f>EL21*100/$E$21</f>
        <v/>
      </c>
      <c r="EN21" s="108" t="n"/>
      <c r="EO21" s="122">
        <f>EN21*100/$E$21</f>
        <v/>
      </c>
      <c r="EP21" s="108" t="n"/>
      <c r="EQ21" s="122">
        <f>EP21*100/$E$21</f>
        <v/>
      </c>
      <c r="ER21" s="108" t="n"/>
      <c r="ES21" s="122">
        <f>ER21*100/$E$21</f>
        <v/>
      </c>
      <c r="ET21" s="108" t="n"/>
      <c r="EU21" s="122">
        <f>ET21*100/$E$21</f>
        <v/>
      </c>
      <c r="EV21" s="108" t="n"/>
      <c r="EW21" s="122">
        <f>EV21*100/$E$21</f>
        <v/>
      </c>
      <c r="EX21" s="108" t="n"/>
      <c r="EY21" s="122">
        <f>EX21*100/$E$21</f>
        <v/>
      </c>
      <c r="EZ21" s="108" t="n"/>
      <c r="FA21" s="122">
        <f>EZ21*100/$E$21</f>
        <v/>
      </c>
      <c r="FB21" s="108" t="n"/>
      <c r="FC21" s="122">
        <f>FB21*100/$E$21</f>
        <v/>
      </c>
      <c r="FD21" s="108" t="n"/>
      <c r="FE21" s="122">
        <f>FD21*100/$E$21</f>
        <v/>
      </c>
      <c r="FF21" s="108" t="n"/>
      <c r="FG21" s="122">
        <f>FF21*100/$E$21</f>
        <v/>
      </c>
      <c r="FH21" s="108" t="n"/>
      <c r="FI21" s="122">
        <f>FH21*100/$E$21</f>
        <v/>
      </c>
      <c r="FJ21" s="108" t="n"/>
      <c r="FK21" s="122">
        <f>FJ21*100/$E$21</f>
        <v/>
      </c>
      <c r="FL21" s="108" t="n"/>
      <c r="FM21" s="122">
        <f>FL21*100/$E$21</f>
        <v/>
      </c>
      <c r="FN21" s="108" t="n"/>
      <c r="FO21" s="122">
        <f>FN21*100/$E$21</f>
        <v/>
      </c>
      <c r="FP21" s="108" t="n"/>
      <c r="FQ21" s="122">
        <f>FP21*100/$E$21</f>
        <v/>
      </c>
      <c r="FR21" s="108" t="n"/>
      <c r="FS21" s="122">
        <f>FR21*100/$E$21</f>
        <v/>
      </c>
      <c r="FT21" s="108" t="n"/>
      <c r="FU21" s="122">
        <f>FT21*100/$E$21</f>
        <v/>
      </c>
      <c r="FV21" s="108" t="n"/>
      <c r="FW21" s="122">
        <f>FV21*100/$E$21</f>
        <v/>
      </c>
      <c r="FX21" s="108" t="n"/>
      <c r="FY21" s="122">
        <f>FX21*100/$E$21</f>
        <v/>
      </c>
      <c r="FZ21" s="108" t="n"/>
      <c r="GA21" s="122">
        <f>FZ21*100/$E$21</f>
        <v/>
      </c>
      <c r="GB21" s="108" t="n"/>
      <c r="GC21" s="122">
        <f>GB21*100/$E$21</f>
        <v/>
      </c>
      <c r="GD21" s="108" t="n"/>
      <c r="GE21" s="122">
        <f>GD21*100/$E$21</f>
        <v/>
      </c>
      <c r="GF21" s="108" t="n"/>
      <c r="GG21" s="122">
        <f>GF21*100/$E$21</f>
        <v/>
      </c>
      <c r="GH21" s="108" t="n"/>
      <c r="GI21" s="122">
        <f>GH21*100/$E$21</f>
        <v/>
      </c>
      <c r="GJ21" s="108" t="n"/>
      <c r="GK21" s="122">
        <f>GJ21*100/$E$21</f>
        <v/>
      </c>
      <c r="GL21" s="108" t="n"/>
      <c r="GM21" s="122">
        <f>GL21*100/$E$21</f>
        <v/>
      </c>
      <c r="GN21" s="108" t="n"/>
      <c r="GO21" s="122">
        <f>GN21*100/$E$21</f>
        <v/>
      </c>
      <c r="GP21" s="108" t="n"/>
      <c r="GQ21" s="122">
        <f>GP21*100/$E$21</f>
        <v/>
      </c>
      <c r="GR21" s="108" t="n"/>
      <c r="GS21" s="122">
        <f>GR21*100/$E$21</f>
        <v/>
      </c>
      <c r="GT21" s="108" t="n"/>
      <c r="GU21" s="122">
        <f>GT21*100/$E$21</f>
        <v/>
      </c>
      <c r="GV21" s="108" t="n"/>
      <c r="GW21" s="122">
        <f>GV21*100/$E$21</f>
        <v/>
      </c>
      <c r="GX21" s="108" t="n"/>
      <c r="GY21" s="122">
        <f>GX21*100/$E$21</f>
        <v/>
      </c>
      <c r="GZ21" s="108" t="n"/>
      <c r="HA21" s="122">
        <f>GZ21*100/$E$21</f>
        <v/>
      </c>
      <c r="HB21" s="108" t="n"/>
      <c r="HC21" s="122">
        <f>HB21*100/$E$21</f>
        <v/>
      </c>
      <c r="HD21" s="108" t="n"/>
      <c r="HE21" s="122">
        <f>HD21*100/$E$21</f>
        <v/>
      </c>
      <c r="HF21" s="108" t="n"/>
      <c r="HG21" s="122">
        <f>HF21*100/$E$21</f>
        <v/>
      </c>
      <c r="HH21" s="108" t="n"/>
      <c r="HI21" s="122">
        <f>HH21*100/$E$21</f>
        <v/>
      </c>
      <c r="HJ21" s="108" t="n"/>
      <c r="HK21" s="122">
        <f>HJ21*100/$E$21</f>
        <v/>
      </c>
      <c r="HL21" s="108" t="n"/>
      <c r="HM21" s="122">
        <f>HL21*100/$E$21</f>
        <v/>
      </c>
      <c r="HN21" s="108" t="n"/>
      <c r="HO21" s="122">
        <f>HN21*100/$E$21</f>
        <v/>
      </c>
      <c r="HP21" s="108" t="n"/>
      <c r="HQ21" s="122">
        <f>HP21*100/$E$21</f>
        <v/>
      </c>
      <c r="HR21" s="108" t="n"/>
      <c r="HS21" s="122">
        <f>HR21*100/$E$21</f>
        <v/>
      </c>
      <c r="HT21" s="108" t="n"/>
      <c r="HU21" s="122">
        <f>HT21*100/$E$21</f>
        <v/>
      </c>
      <c r="HV21" s="108" t="n"/>
      <c r="HW21" s="122">
        <f>HV21*100/$E$21</f>
        <v/>
      </c>
      <c r="HX21" s="108" t="n"/>
      <c r="HY21" s="122">
        <f>HX21*100/$E$21</f>
        <v/>
      </c>
      <c r="HZ21" s="108" t="n"/>
      <c r="IA21" s="122">
        <f>HZ21*100/$E$21</f>
        <v/>
      </c>
      <c r="IB21" s="108" t="n"/>
      <c r="IC21" s="122">
        <f>IB21*100/$E$21</f>
        <v/>
      </c>
      <c r="ID21" s="108" t="n"/>
      <c r="IE21" s="122">
        <f>ID21*100/$E$21</f>
        <v/>
      </c>
      <c r="IF21" s="108" t="n"/>
      <c r="IG21" s="122">
        <f>IF21*100/$E$21</f>
        <v/>
      </c>
      <c r="IH21" s="108" t="n"/>
      <c r="II21" s="122">
        <f>IH21*100/$E$21</f>
        <v/>
      </c>
      <c r="IJ21" s="108" t="n"/>
      <c r="IK21" s="122">
        <f>IJ21*100/$E$21</f>
        <v/>
      </c>
      <c r="IL21" s="108" t="n"/>
      <c r="IM21" s="122">
        <f>IL21*100/$E$21</f>
        <v/>
      </c>
      <c r="IN21" s="108" t="n"/>
      <c r="IO21" s="122">
        <f>IN21*100/$E$21</f>
        <v/>
      </c>
      <c r="IP21" s="108" t="n"/>
      <c r="IQ21" s="122">
        <f>IP21*100/$E$21</f>
        <v/>
      </c>
      <c r="IR21" s="108" t="n"/>
      <c r="IS21" s="122">
        <f>IR21*100/$E$21</f>
        <v/>
      </c>
      <c r="IT21" s="108" t="n"/>
      <c r="IU21" s="122">
        <f>IT21*100/$E$21</f>
        <v/>
      </c>
      <c r="IV21" s="108" t="n"/>
      <c r="IW21" s="122">
        <f>IV21*100/$E$21</f>
        <v/>
      </c>
      <c r="IX21" s="108" t="n"/>
      <c r="IY21" s="122">
        <f>IX21*100/$E$21</f>
        <v/>
      </c>
      <c r="IZ21" s="108" t="n"/>
      <c r="JA21" s="122">
        <f>IZ21*100/$E$21</f>
        <v/>
      </c>
      <c r="JB21" s="108" t="n"/>
      <c r="JC21" s="122">
        <f>JB21*100/$E$21</f>
        <v/>
      </c>
      <c r="JD21" s="108" t="n"/>
      <c r="JE21" s="122">
        <f>JD21*100/$E$21</f>
        <v/>
      </c>
      <c r="JF21" s="108" t="n"/>
      <c r="JG21" s="122">
        <f>JF21*100/$E$21</f>
        <v/>
      </c>
      <c r="JH21" s="108" t="n"/>
      <c r="JI21" s="122">
        <f>JH21*100/$E$21</f>
        <v/>
      </c>
      <c r="JJ21" s="108" t="n"/>
      <c r="JK21" s="122">
        <f>JJ21*100/$E$21</f>
        <v/>
      </c>
      <c r="JL21" s="108" t="n"/>
      <c r="JM21" s="122">
        <f>JL21*100/$E$21</f>
        <v/>
      </c>
      <c r="JN21" s="108" t="n"/>
      <c r="JO21" s="122">
        <f>JN21*100/$E$21</f>
        <v/>
      </c>
      <c r="JP21" s="108" t="n"/>
      <c r="JQ21" s="122">
        <f>JP21*100/$E$21</f>
        <v/>
      </c>
      <c r="JR21" s="108" t="n"/>
      <c r="JS21" s="122">
        <f>JR21*100/$E$21</f>
        <v/>
      </c>
      <c r="JT21" s="108" t="n"/>
      <c r="JU21" s="122">
        <f>JT21*100/$E$21</f>
        <v/>
      </c>
      <c r="JV21" s="108" t="n"/>
      <c r="JW21" s="122">
        <f>JV21*100/$E$21</f>
        <v/>
      </c>
      <c r="JX21" s="108" t="n"/>
      <c r="JY21" s="122">
        <f>JX21*100/$E$21</f>
        <v/>
      </c>
      <c r="JZ21" s="55">
        <f>JN21+JP21+JR21+JT21+JV21+JX21</f>
        <v/>
      </c>
      <c r="KA21" s="53">
        <f>JO21+JQ21+JS21+JU21+JW21+JY21</f>
        <v/>
      </c>
      <c r="KB21" s="64">
        <f>H21+J21+L21+N21+P21+R21+T21+V21+X21+Z21+AB21+AD21+AF21+AH21+AJ21+AL21+AN21+AP21+AR21+AT21+AV21+AX21+AZ21+BB21+BD21+BF21+BH21+BJ21+BL21+BN21+BP21+BR21+BT21+BV21+BX21+BZ21+CB21+CD21+CF21+CH21+CZ21+DB21+DD21+DF21+DH21+DJ21+DL21+DN21+DP21+DR21+DT21+DV21+DX21+DZ21+EB21+ED21+EF21+EH21+EJ21+EL21+EN21+EP21+ER21+ET21+EV21+FN21+FP21+FR21+FT21+FV21+FX21+FZ21+GB21+GD21+GF21+GH21+GJ21+GL21+GN21+GP21+GR21+GT21+GV21+GX21+GZ21+HB21+HD21+HF21+HH21+HJ21+HL21+HN21+HP21+HR21+HT21+HV21+HX21+HZ21+IB21+ID21+IF21+IH21+IJ21+IL21+IN21+IP21+IR21+IT21+IV21+IX21+IZ21+JB21+JD21+JF21+JH21+JJ21+JL21+JZ21+CJ21+CL21+CN21+CP21+CR21+CT21+CV21+CX21+EX21+EZ21+FB21+FD21+FF21+FH21+FJ21+FL21</f>
        <v/>
      </c>
      <c r="KC21" s="66">
        <f>I21+K21+M21+O21+Q21+S21+U21+W21+Y21+AA21+AC21+AE21+AG21+AI21+AK21+AM21+AO21+AQ21+AS21+AU21+AW21+AY21+BA21+BC21+BE21+BG21+BI21+BK21+BM21+BO21+BQ21+BS21+BU21+BW21+BY21+CA21+CC21+CE21+CG21+CI21+DA21+DC21+DE21+DG21+DI21+DK21+DM21+DO21+DQ21+DS21+DU21+DW21+DY21+EA21+EC21+EE21+EG21+EI21+EK21+EM21+EO21+EQ21+ES21+EU21+EW21+FO21+FS21+FU21+FW21+FQ21+FY21+GA21+GC21+GE21+GG21+GI21+GK21+GM21+GO21+GQ21+GS21+GU21+GW21+GY21+HA21+HC21+HE21+HG21+HI21+HK21+HM21+HO21+HQ21+HS21+HU21+HW21+HY21+IA21+IC21+IE21+IG21+II21+IK21+IM21+IO21+IQ21+IS21+IU21+IW21+IY21+JA21+JC21+JE21+JG21+JI21+JK21+JM21+KA21+CK21+CM21+CO21+CQ21+CS21+CU21+CW21+CY21+EY21+FA21+FC21+FE21+FG21+FI21+FK21+FM21</f>
        <v/>
      </c>
      <c r="KD21" s="44">
        <f>JO21+JQ21+JS21+JU21+JW21+JY21</f>
        <v/>
      </c>
      <c r="KE21" s="45">
        <f>KB21=E21</f>
        <v/>
      </c>
      <c r="KF21" s="101">
        <f>E21-KB21</f>
        <v/>
      </c>
      <c r="KG21" s="17" t="n"/>
    </row>
    <row r="22" ht="21.75" customFormat="1" customHeight="1" s="67">
      <c r="A22" s="130">
        <f>A21+1</f>
        <v/>
      </c>
      <c r="B22" s="175" t="inlineStr">
        <is>
          <t>Еналов Д.А.</t>
        </is>
      </c>
      <c r="C22" s="176" t="inlineStr">
        <is>
          <t>слесарь</t>
        </is>
      </c>
      <c r="D22" s="177">
        <f>$D$5</f>
        <v/>
      </c>
      <c r="E22" s="202" t="n">
        <v>160</v>
      </c>
      <c r="F22" s="191" t="n">
        <v>97702.28</v>
      </c>
      <c r="G22" s="52">
        <f>F22/D22</f>
        <v/>
      </c>
      <c r="H22" s="125" t="n"/>
      <c r="I22" s="107">
        <f>H22*100/$E$22</f>
        <v/>
      </c>
      <c r="J22" s="108" t="n"/>
      <c r="K22" s="107">
        <f>J22*100/$E$22</f>
        <v/>
      </c>
      <c r="L22" s="108" t="n"/>
      <c r="M22" s="107">
        <f>L22*100/$E$22</f>
        <v/>
      </c>
      <c r="N22" s="108" t="n"/>
      <c r="O22" s="107">
        <f>N22*100/$E$22</f>
        <v/>
      </c>
      <c r="P22" s="108" t="n"/>
      <c r="Q22" s="122">
        <f>P22*100/$E$22</f>
        <v/>
      </c>
      <c r="R22" s="108" t="n">
        <v>7</v>
      </c>
      <c r="S22" s="107">
        <f>R22*100/$E$22</f>
        <v/>
      </c>
      <c r="T22" s="108" t="n">
        <v>12</v>
      </c>
      <c r="U22" s="107">
        <f>T22*100/$E$22</f>
        <v/>
      </c>
      <c r="V22" s="108" t="n">
        <v>10</v>
      </c>
      <c r="W22" s="107">
        <f>V22*100/$E$22</f>
        <v/>
      </c>
      <c r="X22" s="108" t="n">
        <v>11</v>
      </c>
      <c r="Y22" s="107">
        <f>X22*100/$E$22</f>
        <v/>
      </c>
      <c r="Z22" s="108" t="n"/>
      <c r="AA22" s="107">
        <f>Z22*100/$E$22</f>
        <v/>
      </c>
      <c r="AB22" s="108" t="n"/>
      <c r="AC22" s="107">
        <f>AB22*100/$E$22</f>
        <v/>
      </c>
      <c r="AD22" s="108" t="n"/>
      <c r="AE22" s="107">
        <f>AD22*100/$E$22</f>
        <v/>
      </c>
      <c r="AF22" s="108" t="n"/>
      <c r="AG22" s="107">
        <f>AF22*100/$E$22</f>
        <v/>
      </c>
      <c r="AH22" s="108" t="n">
        <v>4</v>
      </c>
      <c r="AI22" s="107">
        <f>AH22*100/$E$22</f>
        <v/>
      </c>
      <c r="AJ22" s="108" t="n"/>
      <c r="AK22" s="107">
        <f>AJ22*100/$E$22</f>
        <v/>
      </c>
      <c r="AL22" s="108" t="n"/>
      <c r="AM22" s="107">
        <f>AL22*100/$E$22</f>
        <v/>
      </c>
      <c r="AN22" s="108" t="n"/>
      <c r="AO22" s="107">
        <f>AN22*100/$E$22</f>
        <v/>
      </c>
      <c r="AP22" s="108" t="n"/>
      <c r="AQ22" s="107">
        <f>AP22*100/$E$22</f>
        <v/>
      </c>
      <c r="AR22" s="108" t="n"/>
      <c r="AS22" s="107">
        <f>AR22*100/$E$22</f>
        <v/>
      </c>
      <c r="AT22" s="108" t="n"/>
      <c r="AU22" s="90">
        <f>AT22*100/$E$22</f>
        <v/>
      </c>
      <c r="AV22" s="108" t="n">
        <v>8</v>
      </c>
      <c r="AW22" s="107">
        <f>AV22*100/$E$22</f>
        <v/>
      </c>
      <c r="AX22" s="108" t="n">
        <v>8</v>
      </c>
      <c r="AY22" s="107">
        <f>AX22*100/$E$22</f>
        <v/>
      </c>
      <c r="AZ22" s="108" t="n"/>
      <c r="BA22" s="107">
        <f>AZ22*100/$E$22</f>
        <v/>
      </c>
      <c r="BB22" s="108" t="n"/>
      <c r="BC22" s="107">
        <f>BB22*100/$E$22</f>
        <v/>
      </c>
      <c r="BD22" s="108" t="n"/>
      <c r="BE22" s="107">
        <f>BD22*100/$E$22</f>
        <v/>
      </c>
      <c r="BF22" s="108" t="n"/>
      <c r="BG22" s="107">
        <f>BF22*100/$E$22</f>
        <v/>
      </c>
      <c r="BH22" s="108" t="n"/>
      <c r="BI22" s="107">
        <f>BH22*100/$E$22</f>
        <v/>
      </c>
      <c r="BJ22" s="108" t="n"/>
      <c r="BK22" s="107">
        <f>BJ22*100/$E$22</f>
        <v/>
      </c>
      <c r="BL22" s="108" t="n"/>
      <c r="BM22" s="107">
        <f>BL22*100/$E$22</f>
        <v/>
      </c>
      <c r="BN22" s="108" t="n"/>
      <c r="BO22" s="107">
        <f>BN22*100/$E$22</f>
        <v/>
      </c>
      <c r="BP22" s="108" t="n"/>
      <c r="BQ22" s="107">
        <f>BP22*100/$E$22</f>
        <v/>
      </c>
      <c r="BR22" s="108" t="n"/>
      <c r="BS22" s="107">
        <f>BR22*100/$E$22</f>
        <v/>
      </c>
      <c r="BT22" s="108" t="n">
        <v>2</v>
      </c>
      <c r="BU22" s="107">
        <f>BT22*100/$E$22</f>
        <v/>
      </c>
      <c r="BV22" s="108" t="n"/>
      <c r="BW22" s="107">
        <f>BV22*100/$E$22</f>
        <v/>
      </c>
      <c r="BX22" s="108" t="n"/>
      <c r="BY22" s="107">
        <f>BX22*100/$E$22</f>
        <v/>
      </c>
      <c r="BZ22" s="108" t="n"/>
      <c r="CA22" s="107">
        <f>BZ22*100/$E$22</f>
        <v/>
      </c>
      <c r="CB22" s="108" t="n"/>
      <c r="CC22" s="107">
        <f>CB22*100/$E$22</f>
        <v/>
      </c>
      <c r="CD22" s="108" t="n"/>
      <c r="CE22" s="107">
        <f>CD22*100/$E$22</f>
        <v/>
      </c>
      <c r="CF22" s="108" t="n"/>
      <c r="CG22" s="107">
        <f>CF22*100/$E$22</f>
        <v/>
      </c>
      <c r="CH22" s="108" t="n"/>
      <c r="CI22" s="107">
        <f>CH22*100/$E$22</f>
        <v/>
      </c>
      <c r="CJ22" s="108" t="n"/>
      <c r="CK22" s="107">
        <f>CJ22*100/$E$22</f>
        <v/>
      </c>
      <c r="CL22" s="108" t="n"/>
      <c r="CM22" s="107">
        <f>CL22*100/$E$22</f>
        <v/>
      </c>
      <c r="CN22" s="108" t="n"/>
      <c r="CO22" s="122">
        <f>CN22*100/$E$22</f>
        <v/>
      </c>
      <c r="CP22" s="108" t="n"/>
      <c r="CQ22" s="107">
        <f>CP22*100/$E$22</f>
        <v/>
      </c>
      <c r="CR22" s="108" t="n"/>
      <c r="CS22" s="122">
        <f>CR22*100/$E$22</f>
        <v/>
      </c>
      <c r="CT22" s="108" t="n"/>
      <c r="CU22" s="122">
        <f>CT22*100/$E$22</f>
        <v/>
      </c>
      <c r="CV22" s="108" t="n"/>
      <c r="CW22" s="122">
        <f>CV22*100/$E$22</f>
        <v/>
      </c>
      <c r="CX22" s="108" t="n"/>
      <c r="CY22" s="122">
        <f>CX22*100/$E$22</f>
        <v/>
      </c>
      <c r="CZ22" s="108" t="n"/>
      <c r="DA22" s="122">
        <f>CZ22*100/$E$22</f>
        <v/>
      </c>
      <c r="DB22" s="108" t="n"/>
      <c r="DC22" s="122">
        <f>DB22*100/$E$22</f>
        <v/>
      </c>
      <c r="DD22" s="108" t="n"/>
      <c r="DE22" s="122">
        <f>DD22*100/$E$22</f>
        <v/>
      </c>
      <c r="DF22" s="108" t="n"/>
      <c r="DG22" s="122">
        <f>DF22*100/$E$22</f>
        <v/>
      </c>
      <c r="DH22" s="108" t="n">
        <v>3</v>
      </c>
      <c r="DI22" s="122">
        <f>DH22*100/$E$22</f>
        <v/>
      </c>
      <c r="DJ22" s="108" t="n"/>
      <c r="DK22" s="122">
        <f>DJ22*100/$E$22</f>
        <v/>
      </c>
      <c r="DL22" s="108" t="n"/>
      <c r="DM22" s="122">
        <f>DL22*100/$E$22</f>
        <v/>
      </c>
      <c r="DN22" s="108" t="n"/>
      <c r="DO22" s="122">
        <f>DN22*100/$E$22</f>
        <v/>
      </c>
      <c r="DP22" s="108" t="n"/>
      <c r="DQ22" s="122">
        <f>DP22*100/$E$22</f>
        <v/>
      </c>
      <c r="DR22" s="108" t="n"/>
      <c r="DS22" s="107">
        <f>DR22*100/$E$22</f>
        <v/>
      </c>
      <c r="DT22" s="108" t="n"/>
      <c r="DU22" s="122">
        <f>DT22*100/$E$22</f>
        <v/>
      </c>
      <c r="DV22" s="108" t="n"/>
      <c r="DW22" s="122">
        <f>DV22*100/$E$22</f>
        <v/>
      </c>
      <c r="DX22" s="108" t="n"/>
      <c r="DY22" s="122">
        <f>DX22*100/$E$22</f>
        <v/>
      </c>
      <c r="DZ22" s="108" t="n"/>
      <c r="EA22" s="122">
        <f>DZ22*100/$E$22</f>
        <v/>
      </c>
      <c r="EB22" s="108" t="n"/>
      <c r="EC22" s="122">
        <f>EB22*100/$E$22</f>
        <v/>
      </c>
      <c r="ED22" s="108" t="n"/>
      <c r="EE22" s="122">
        <f>ED22*100/$E$22</f>
        <v/>
      </c>
      <c r="EF22" s="108" t="n"/>
      <c r="EG22" s="122">
        <f>EF22*100/$E$22</f>
        <v/>
      </c>
      <c r="EH22" s="108" t="n"/>
      <c r="EI22" s="107">
        <f>EH22*100/$E$22</f>
        <v/>
      </c>
      <c r="EJ22" s="108" t="n">
        <v>4</v>
      </c>
      <c r="EK22" s="107">
        <f>EJ22*100/$E$22</f>
        <v/>
      </c>
      <c r="EL22" s="108" t="n"/>
      <c r="EM22" s="107">
        <f>EL22*100/$E$22</f>
        <v/>
      </c>
      <c r="EN22" s="108" t="n"/>
      <c r="EO22" s="107">
        <f>EN22*100/$E$22</f>
        <v/>
      </c>
      <c r="EP22" s="108" t="n"/>
      <c r="EQ22" s="107">
        <f>EP22*100/$E$22</f>
        <v/>
      </c>
      <c r="ER22" s="108" t="n"/>
      <c r="ES22" s="107">
        <f>ER22*100/$E$22</f>
        <v/>
      </c>
      <c r="ET22" s="108" t="n"/>
      <c r="EU22" s="107">
        <f>ET22*100/$E$22</f>
        <v/>
      </c>
      <c r="EV22" s="108" t="n"/>
      <c r="EW22" s="122">
        <f>EV22*100/$E$22</f>
        <v/>
      </c>
      <c r="EX22" s="108" t="n"/>
      <c r="EY22" s="122">
        <f>EX22*100/$E$22</f>
        <v/>
      </c>
      <c r="EZ22" s="108" t="n"/>
      <c r="FA22" s="122">
        <f>EZ22*100/$E$22</f>
        <v/>
      </c>
      <c r="FB22" s="108" t="n"/>
      <c r="FC22" s="122">
        <f>FB22*100/$E$22</f>
        <v/>
      </c>
      <c r="FD22" s="108" t="n"/>
      <c r="FE22" s="122">
        <f>FD22*100/$E$22</f>
        <v/>
      </c>
      <c r="FF22" s="108" t="n"/>
      <c r="FG22" s="122">
        <f>FF22*100/$E$22</f>
        <v/>
      </c>
      <c r="FH22" s="108" t="n">
        <v>2</v>
      </c>
      <c r="FI22" s="122">
        <f>FH22*100/$E$22</f>
        <v/>
      </c>
      <c r="FJ22" s="108" t="n"/>
      <c r="FK22" s="122">
        <f>FJ22*100/$E$22</f>
        <v/>
      </c>
      <c r="FL22" s="108" t="n"/>
      <c r="FM22" s="122">
        <f>FL22*100/$E$22</f>
        <v/>
      </c>
      <c r="FN22" s="108" t="n"/>
      <c r="FO22" s="122">
        <f>FN22*100/$E$22</f>
        <v/>
      </c>
      <c r="FP22" s="108" t="n"/>
      <c r="FQ22" s="107">
        <f>FP22*100/$E$22</f>
        <v/>
      </c>
      <c r="FR22" s="108" t="n">
        <v>11</v>
      </c>
      <c r="FS22" s="107">
        <f>FR22*100/$E$22</f>
        <v/>
      </c>
      <c r="FT22" s="108" t="n"/>
      <c r="FU22" s="107">
        <f>FT22*100/$E$22</f>
        <v/>
      </c>
      <c r="FV22" s="108" t="n"/>
      <c r="FW22" s="107">
        <f>FV22*100/$E$22</f>
        <v/>
      </c>
      <c r="FX22" s="108" t="n"/>
      <c r="FY22" s="107">
        <f>FX22*100/$E$22</f>
        <v/>
      </c>
      <c r="FZ22" s="108" t="n"/>
      <c r="GA22" s="107">
        <f>FZ22*100/$E$22</f>
        <v/>
      </c>
      <c r="GB22" s="108" t="n"/>
      <c r="GC22" s="107">
        <f>GB22*100/$E$22</f>
        <v/>
      </c>
      <c r="GD22" s="108" t="n"/>
      <c r="GE22" s="107">
        <f>GD22*100/$E$22</f>
        <v/>
      </c>
      <c r="GF22" s="108" t="n">
        <v>20</v>
      </c>
      <c r="GG22" s="107">
        <f>GF22*100/$E$22</f>
        <v/>
      </c>
      <c r="GH22" s="108" t="n">
        <v>6</v>
      </c>
      <c r="GI22" s="107">
        <f>GH22*100/$E$22</f>
        <v/>
      </c>
      <c r="GJ22" s="108" t="n"/>
      <c r="GK22" s="122">
        <f>GJ22*100/$E$22</f>
        <v/>
      </c>
      <c r="GL22" s="108" t="n">
        <v>8</v>
      </c>
      <c r="GM22" s="107">
        <f>GL22*100/$E$22</f>
        <v/>
      </c>
      <c r="GN22" s="108" t="n">
        <v>11</v>
      </c>
      <c r="GO22" s="122">
        <f>GN22*100/$E$22</f>
        <v/>
      </c>
      <c r="GP22" s="108" t="n">
        <v>17</v>
      </c>
      <c r="GQ22" s="107">
        <f>GP22*100/$E$22</f>
        <v/>
      </c>
      <c r="GR22" s="108" t="n">
        <v>12</v>
      </c>
      <c r="GS22" s="122">
        <f>GR22*100/$E$22</f>
        <v/>
      </c>
      <c r="GT22" s="108" t="n"/>
      <c r="GU22" s="122">
        <f>GT22*100/$E$22</f>
        <v/>
      </c>
      <c r="GV22" s="108" t="n"/>
      <c r="GW22" s="107">
        <f>GV22*100/$E$22</f>
        <v/>
      </c>
      <c r="GX22" s="108" t="n"/>
      <c r="GY22" s="107">
        <f>GX22*100/$E$22</f>
        <v/>
      </c>
      <c r="GZ22" s="108" t="n"/>
      <c r="HA22" s="107">
        <f>GZ22*100/$E$22</f>
        <v/>
      </c>
      <c r="HB22" s="108" t="n"/>
      <c r="HC22" s="107">
        <f>HB22*100/$E$22</f>
        <v/>
      </c>
      <c r="HD22" s="108" t="n"/>
      <c r="HE22" s="107">
        <f>HD22*100/$E$22</f>
        <v/>
      </c>
      <c r="HF22" s="108" t="n"/>
      <c r="HG22" s="107">
        <f>HF22*100/$E$22</f>
        <v/>
      </c>
      <c r="HH22" s="108" t="n"/>
      <c r="HI22" s="107">
        <f>HH22*100/$E$22</f>
        <v/>
      </c>
      <c r="HJ22" s="108" t="n">
        <v>2</v>
      </c>
      <c r="HK22" s="107">
        <f>HJ22*100/$E$22</f>
        <v/>
      </c>
      <c r="HL22" s="108" t="n"/>
      <c r="HM22" s="107">
        <f>HL22*100/$E$22</f>
        <v/>
      </c>
      <c r="HN22" s="108" t="n"/>
      <c r="HO22" s="107">
        <f>HN22*100/$E$22</f>
        <v/>
      </c>
      <c r="HP22" s="108" t="n"/>
      <c r="HQ22" s="107">
        <f>HP22*100/$E$22</f>
        <v/>
      </c>
      <c r="HR22" s="108" t="n"/>
      <c r="HS22" s="107">
        <f>HR22*100/$E$22</f>
        <v/>
      </c>
      <c r="HT22" s="108" t="n"/>
      <c r="HU22" s="107">
        <f>HT22*100/$E$22</f>
        <v/>
      </c>
      <c r="HV22" s="108" t="n"/>
      <c r="HW22" s="107">
        <f>HV22*100/$E$22</f>
        <v/>
      </c>
      <c r="HX22" s="108" t="n"/>
      <c r="HY22" s="107">
        <f>HX22*100/$E$22</f>
        <v/>
      </c>
      <c r="HZ22" s="108" t="n"/>
      <c r="IA22" s="122">
        <f>HZ22*100/$E$22</f>
        <v/>
      </c>
      <c r="IB22" s="108" t="n"/>
      <c r="IC22" s="122">
        <f>IB22*100/$E$22</f>
        <v/>
      </c>
      <c r="ID22" s="108" t="n"/>
      <c r="IE22" s="122">
        <f>ID22*100/$E$22</f>
        <v/>
      </c>
      <c r="IF22" s="108" t="n"/>
      <c r="IG22" s="122">
        <f>IF22*100/$E$22</f>
        <v/>
      </c>
      <c r="IH22" s="108" t="n"/>
      <c r="II22" s="122">
        <f>IH22*100/$E$22</f>
        <v/>
      </c>
      <c r="IJ22" s="108" t="n"/>
      <c r="IK22" s="122">
        <f>IJ22*100/$E$22</f>
        <v/>
      </c>
      <c r="IL22" s="108" t="n"/>
      <c r="IM22" s="107">
        <f>IL22*100/$E$22</f>
        <v/>
      </c>
      <c r="IN22" s="108" t="n"/>
      <c r="IO22" s="107">
        <f>IN22*100/$E$22</f>
        <v/>
      </c>
      <c r="IP22" s="108" t="n"/>
      <c r="IQ22" s="122">
        <f>IP22*100/$E$22</f>
        <v/>
      </c>
      <c r="IR22" s="108" t="n"/>
      <c r="IS22" s="122">
        <f>IR22*100/$E$22</f>
        <v/>
      </c>
      <c r="IT22" s="108" t="n"/>
      <c r="IU22" s="122">
        <f>IT22*100/$E$22</f>
        <v/>
      </c>
      <c r="IV22" s="108" t="n"/>
      <c r="IW22" s="122">
        <f>IV22*100/$E$22</f>
        <v/>
      </c>
      <c r="IX22" s="108" t="n"/>
      <c r="IY22" s="122">
        <f>IX22*100/$E$22</f>
        <v/>
      </c>
      <c r="IZ22" s="108" t="n"/>
      <c r="JA22" s="122">
        <f>IZ22*100/$E$22</f>
        <v/>
      </c>
      <c r="JB22" s="108" t="n"/>
      <c r="JC22" s="122">
        <f>JB22*100/$E$22</f>
        <v/>
      </c>
      <c r="JD22" s="108" t="n"/>
      <c r="JE22" s="122">
        <f>JD22*100/$E$22</f>
        <v/>
      </c>
      <c r="JF22" s="108" t="n"/>
      <c r="JG22" s="107">
        <f>JF22*100/$E$22</f>
        <v/>
      </c>
      <c r="JH22" s="108" t="n"/>
      <c r="JI22" s="122">
        <f>JH22*100/$E$22</f>
        <v/>
      </c>
      <c r="JJ22" s="108" t="n"/>
      <c r="JK22" s="107">
        <f>JJ22*100/$E$22</f>
        <v/>
      </c>
      <c r="JL22" s="108" t="n">
        <v>2</v>
      </c>
      <c r="JM22" s="122">
        <f>JL22*100/$E$22</f>
        <v/>
      </c>
      <c r="JN22" s="108" t="n"/>
      <c r="JO22" s="107">
        <f>JN22*100/$E$22</f>
        <v/>
      </c>
      <c r="JP22" s="108" t="n"/>
      <c r="JQ22" s="107">
        <f>JP22*100/$E$22</f>
        <v/>
      </c>
      <c r="JR22" s="108" t="n"/>
      <c r="JS22" s="107">
        <f>JR22*100/$E$22</f>
        <v/>
      </c>
      <c r="JT22" s="108" t="n"/>
      <c r="JU22" s="107">
        <f>JT22*100/$E$22</f>
        <v/>
      </c>
      <c r="JV22" s="108" t="n"/>
      <c r="JW22" s="107">
        <f>JV22*100/$E$22</f>
        <v/>
      </c>
      <c r="JX22" s="108" t="n"/>
      <c r="JY22" s="107">
        <f>JX22*100/$E$22</f>
        <v/>
      </c>
      <c r="JZ22" s="55">
        <f>JN22+JP22+JR22+JT22+JV22+JX22</f>
        <v/>
      </c>
      <c r="KA22" s="53">
        <f>JO22+JQ22+JS22+JU22+JW22+JY22</f>
        <v/>
      </c>
      <c r="KB22" s="64">
        <f>H22+J22+L22+N22+P22+R22+T22+V22+X22+Z22+AB22+AD22+AF22+AH22+AJ22+AL22+AN22+AP22+AR22+AT22+AV22+AX22+AZ22+BB22+BD22+BF22+BH22+BJ22+BL22+BN22+BP22+BR22+BT22+BV22+BX22+BZ22+CB22+CD22+CF22+CH22+CZ22+DB22+DD22+DF22+DH22+DJ22+DL22+DN22+DP22+DR22+DT22+DV22+DX22+DZ22+EB22+ED22+EF22+EH22+EJ22+EL22+EN22+EP22+ER22+ET22+EV22+FN22+FP22+FR22+FT22+FV22+FX22+FZ22+GB22+GD22+GF22+GH22+GJ22+GL22+GN22+GP22+GR22+GT22+GV22+GX22+GZ22+HB22+HD22+HF22+HH22+HJ22+HL22+HN22+HP22+HR22+HT22+HV22+HX22+HZ22+IB22+ID22+IF22+IH22+IJ22+IL22+IN22+IP22+IR22+IT22+IV22+IX22+IZ22+JB22+JD22+JF22+JH22+JJ22+JL22+JZ22+CJ22+CL22+CN22+CP22+CR22+CT22+CV22+CX22+EX22+EZ22+FB22+FD22+FF22+FH22+FJ22+FL22</f>
        <v/>
      </c>
      <c r="KC22" s="66">
        <f>I22+K22+M22+O22+Q22+S22+U22+W22+Y22+AA22+AC22+AE22+AG22+AI22+AK22+AM22+AO22+AQ22+AS22+AU22+AW22+AY22+BA22+BC22+BE22+BG22+BI22+BK22+BM22+BO22+BQ22+BS22+BU22+BW22+BY22+CA22+CC22+CE22+CG22+CI22+DA22+DC22+DE22+DG22+DI22+DK22+DM22+DO22+DQ22+DS22+DU22+DW22+DY22+EA22+EC22+EE22+EG22+EI22+EK22+EM22+EO22+EQ22+ES22+EU22+EW22+FO22+FS22+FU22+FW22+FQ22+FY22+GA22+GC22+GE22+GG22+GI22+GK22+GM22+GO22+GQ22+GS22+GU22+GW22+GY22+HA22+HC22+HE22+HG22+HI22+HK22+HM22+HO22+HQ22+HS22+HU22+HW22+HY22+IA22+IC22+IE22+IG22+II22+IK22+IM22+IO22+IQ22+IS22+IU22+IW22+IY22+JA22+JC22+JE22+JG22+JI22+JK22+JM22+KA22+CK22+CM22+CO22+CQ22+CS22+CU22+CW22+CY22+EY22+FA22+FC22+FE22+FG22+FI22+FK22+FM22</f>
        <v/>
      </c>
      <c r="KD22" s="44">
        <f>JO22+JQ22+JS22+JU22+JW22+JY22</f>
        <v/>
      </c>
      <c r="KE22" s="45">
        <f>KB22=E22</f>
        <v/>
      </c>
      <c r="KF22" s="101">
        <f>E22-KB22</f>
        <v/>
      </c>
      <c r="KG22" s="17" t="n"/>
    </row>
    <row r="23" ht="21.75" customFormat="1" customHeight="1" s="17">
      <c r="A23" s="130">
        <f>A22+1</f>
        <v/>
      </c>
      <c r="B23" s="199" t="inlineStr">
        <is>
          <t>Енин К.С.</t>
        </is>
      </c>
      <c r="C23" s="200" t="inlineStr">
        <is>
          <t>токарь</t>
        </is>
      </c>
      <c r="D23" s="177">
        <f>$D$5</f>
        <v/>
      </c>
      <c r="E23" s="203" t="n">
        <v>190</v>
      </c>
      <c r="F23" s="178" t="n">
        <v>101150.45</v>
      </c>
      <c r="G23" s="52">
        <f>F23/D23</f>
        <v/>
      </c>
      <c r="H23" s="125" t="n"/>
      <c r="I23" s="107">
        <f>H23*100/$E$23</f>
        <v/>
      </c>
      <c r="J23" s="108" t="n"/>
      <c r="K23" s="107">
        <f>J23*100/$E$23</f>
        <v/>
      </c>
      <c r="L23" s="108" t="n"/>
      <c r="M23" s="107">
        <f>L23*100/$E$23</f>
        <v/>
      </c>
      <c r="N23" s="108" t="n"/>
      <c r="O23" s="107">
        <f>N23*100/$E$23</f>
        <v/>
      </c>
      <c r="P23" s="108" t="n"/>
      <c r="Q23" s="122">
        <f>P23*100/$E$23</f>
        <v/>
      </c>
      <c r="R23" s="108" t="n"/>
      <c r="S23" s="122">
        <f>R23*100/$E$23</f>
        <v/>
      </c>
      <c r="T23" s="108" t="n"/>
      <c r="U23" s="107">
        <f>T23*100/$E$23</f>
        <v/>
      </c>
      <c r="V23" s="108" t="n"/>
      <c r="W23" s="107">
        <f>V23*100/$E$23</f>
        <v/>
      </c>
      <c r="X23" s="108" t="n"/>
      <c r="Y23" s="107">
        <f>X23*100/$E$23</f>
        <v/>
      </c>
      <c r="Z23" s="108" t="n"/>
      <c r="AA23" s="107">
        <f>Z23*100/$E$23</f>
        <v/>
      </c>
      <c r="AB23" s="108" t="n"/>
      <c r="AC23" s="107">
        <f>AB23*100/$E$23</f>
        <v/>
      </c>
      <c r="AD23" s="108" t="n"/>
      <c r="AE23" s="122">
        <f>AD23*100/$E$23</f>
        <v/>
      </c>
      <c r="AF23" s="108" t="n"/>
      <c r="AG23" s="122">
        <f>AF23*100/$E$23</f>
        <v/>
      </c>
      <c r="AH23" s="108" t="n"/>
      <c r="AI23" s="107">
        <f>AH23*100/$E$23</f>
        <v/>
      </c>
      <c r="AJ23" s="108" t="n"/>
      <c r="AK23" s="107">
        <f>AJ23*100/$E$23</f>
        <v/>
      </c>
      <c r="AL23" s="108" t="n"/>
      <c r="AM23" s="107">
        <f>AL23*100/$E$23</f>
        <v/>
      </c>
      <c r="AN23" s="108" t="n"/>
      <c r="AO23" s="107">
        <f>AN23*100/$E$23</f>
        <v/>
      </c>
      <c r="AP23" s="108" t="n"/>
      <c r="AQ23" s="107">
        <f>AP23*100/$E$23</f>
        <v/>
      </c>
      <c r="AR23" s="108" t="n"/>
      <c r="AS23" s="107">
        <f>AR23*100/$E$23</f>
        <v/>
      </c>
      <c r="AT23" s="108" t="n"/>
      <c r="AU23" s="90">
        <f>AT23*100/$E$23</f>
        <v/>
      </c>
      <c r="AV23" s="108" t="n"/>
      <c r="AW23" s="107">
        <f>AV23*100/$E$23</f>
        <v/>
      </c>
      <c r="AX23" s="108" t="n">
        <v>14</v>
      </c>
      <c r="AY23" s="107">
        <f>AX23*100/$E$23</f>
        <v/>
      </c>
      <c r="AZ23" s="108" t="n"/>
      <c r="BA23" s="107">
        <f>AZ23*100/$E$23</f>
        <v/>
      </c>
      <c r="BB23" s="108" t="n"/>
      <c r="BC23" s="107">
        <f>BB23*100/$E$23</f>
        <v/>
      </c>
      <c r="BD23" s="108" t="n"/>
      <c r="BE23" s="107">
        <f>BD23*100/$E$23</f>
        <v/>
      </c>
      <c r="BF23" s="108" t="n"/>
      <c r="BG23" s="107">
        <f>BF23*100/$E$23</f>
        <v/>
      </c>
      <c r="BH23" s="108" t="n"/>
      <c r="BI23" s="107">
        <f>BH23*100/$E$23</f>
        <v/>
      </c>
      <c r="BJ23" s="108" t="n"/>
      <c r="BK23" s="107">
        <f>BJ23*100/$E$23</f>
        <v/>
      </c>
      <c r="BL23" s="108" t="n"/>
      <c r="BM23" s="107">
        <f>BL23*100/$E$23</f>
        <v/>
      </c>
      <c r="BN23" s="108" t="n"/>
      <c r="BO23" s="107">
        <f>BN23*100/$E$23</f>
        <v/>
      </c>
      <c r="BP23" s="108" t="n"/>
      <c r="BQ23" s="107">
        <f>BP23*100/$E$23</f>
        <v/>
      </c>
      <c r="BR23" s="108" t="n"/>
      <c r="BS23" s="107">
        <f>BR23*100/$E$23</f>
        <v/>
      </c>
      <c r="BT23" s="108" t="n"/>
      <c r="BU23" s="107">
        <f>BT23*100/$E$23</f>
        <v/>
      </c>
      <c r="BV23" s="108" t="n"/>
      <c r="BW23" s="107">
        <f>BV23*100/$E$23</f>
        <v/>
      </c>
      <c r="BX23" s="108" t="n"/>
      <c r="BY23" s="107">
        <f>BX23*100/$E$23</f>
        <v/>
      </c>
      <c r="BZ23" s="108" t="n"/>
      <c r="CA23" s="107">
        <f>BZ23*100/$E$23</f>
        <v/>
      </c>
      <c r="CB23" s="108" t="n"/>
      <c r="CC23" s="107">
        <f>CB23*100/$E$23</f>
        <v/>
      </c>
      <c r="CD23" s="108" t="n"/>
      <c r="CE23" s="107">
        <f>CD23*100/$E$23</f>
        <v/>
      </c>
      <c r="CF23" s="108" t="n"/>
      <c r="CG23" s="107">
        <f>CF23*100/$E$23</f>
        <v/>
      </c>
      <c r="CH23" s="108" t="n"/>
      <c r="CI23" s="107">
        <f>CH23*100/$E$23</f>
        <v/>
      </c>
      <c r="CJ23" s="108" t="n"/>
      <c r="CK23" s="107">
        <f>CJ23*100/$E$23</f>
        <v/>
      </c>
      <c r="CL23" s="108" t="n"/>
      <c r="CM23" s="107">
        <f>CL23*100/$E$23</f>
        <v/>
      </c>
      <c r="CN23" s="108" t="n"/>
      <c r="CO23" s="122">
        <f>CN23*100/$E$23</f>
        <v/>
      </c>
      <c r="CP23" s="108" t="n"/>
      <c r="CQ23" s="107">
        <f>CP23*100/$E$23</f>
        <v/>
      </c>
      <c r="CR23" s="108" t="n"/>
      <c r="CS23" s="122">
        <f>CR23*100/$E$23</f>
        <v/>
      </c>
      <c r="CT23" s="108" t="n"/>
      <c r="CU23" s="122">
        <f>CT23*100/$E$23</f>
        <v/>
      </c>
      <c r="CV23" s="108" t="n"/>
      <c r="CW23" s="122">
        <f>CV23*100/$E$23</f>
        <v/>
      </c>
      <c r="CX23" s="108" t="n"/>
      <c r="CY23" s="122">
        <f>CX23*100/$E$23</f>
        <v/>
      </c>
      <c r="CZ23" s="108" t="n"/>
      <c r="DA23" s="122">
        <f>CZ23*100/$E$23</f>
        <v/>
      </c>
      <c r="DB23" s="108" t="n"/>
      <c r="DC23" s="122">
        <f>DB23*100/$E$23</f>
        <v/>
      </c>
      <c r="DD23" s="108" t="n"/>
      <c r="DE23" s="122">
        <f>DD23*100/$E$23</f>
        <v/>
      </c>
      <c r="DF23" s="108" t="n"/>
      <c r="DG23" s="122">
        <f>DF23*100/$E$23</f>
        <v/>
      </c>
      <c r="DH23" s="108" t="n"/>
      <c r="DI23" s="122">
        <f>DH23*100/$E$23</f>
        <v/>
      </c>
      <c r="DJ23" s="108" t="n"/>
      <c r="DK23" s="122">
        <f>DJ23*100/$E$23</f>
        <v/>
      </c>
      <c r="DL23" s="108" t="n"/>
      <c r="DM23" s="122">
        <f>DL23*100/$E$23</f>
        <v/>
      </c>
      <c r="DN23" s="108" t="n"/>
      <c r="DO23" s="122">
        <f>DN23*100/$E$23</f>
        <v/>
      </c>
      <c r="DP23" s="108" t="n"/>
      <c r="DQ23" s="122">
        <f>DP23*100/$E$23</f>
        <v/>
      </c>
      <c r="DR23" s="108" t="n"/>
      <c r="DS23" s="122">
        <f>DR23*100/$E$23</f>
        <v/>
      </c>
      <c r="DT23" s="108" t="n"/>
      <c r="DU23" s="122">
        <f>DT23*100/$E$23</f>
        <v/>
      </c>
      <c r="DV23" s="108" t="n"/>
      <c r="DW23" s="122">
        <f>DV23*100/$E$23</f>
        <v/>
      </c>
      <c r="DX23" s="108" t="n"/>
      <c r="DY23" s="122">
        <f>DX23*100/$E$23</f>
        <v/>
      </c>
      <c r="DZ23" s="108" t="n"/>
      <c r="EA23" s="122">
        <f>DZ23*100/$E$23</f>
        <v/>
      </c>
      <c r="EB23" s="108" t="n"/>
      <c r="EC23" s="122">
        <f>EB23*100/$E$23</f>
        <v/>
      </c>
      <c r="ED23" s="108" t="n">
        <v>58</v>
      </c>
      <c r="EE23" s="122">
        <f>ED23*100/$E$23</f>
        <v/>
      </c>
      <c r="EF23" s="108" t="n"/>
      <c r="EG23" s="122">
        <f>EF23*100/$E$23</f>
        <v/>
      </c>
      <c r="EH23" s="108" t="n"/>
      <c r="EI23" s="122">
        <f>EH23*100/$E$23</f>
        <v/>
      </c>
      <c r="EJ23" s="108" t="n"/>
      <c r="EK23" s="122">
        <f>EJ23*100/$E$23</f>
        <v/>
      </c>
      <c r="EL23" s="108" t="n">
        <v>42</v>
      </c>
      <c r="EM23" s="122">
        <f>EL23*100/$E$23</f>
        <v/>
      </c>
      <c r="EN23" s="108" t="n"/>
      <c r="EO23" s="122">
        <f>EN23*100/$E$23</f>
        <v/>
      </c>
      <c r="EP23" s="108" t="n"/>
      <c r="EQ23" s="122">
        <f>EP23*100/$E$23</f>
        <v/>
      </c>
      <c r="ER23" s="108" t="n"/>
      <c r="ES23" s="122">
        <f>ER23*100/$E$23</f>
        <v/>
      </c>
      <c r="ET23" s="108" t="n"/>
      <c r="EU23" s="122">
        <f>ET23*100/$E$23</f>
        <v/>
      </c>
      <c r="EV23" s="108" t="n"/>
      <c r="EW23" s="122">
        <f>EV23*100/$E$23</f>
        <v/>
      </c>
      <c r="EX23" s="108" t="n"/>
      <c r="EY23" s="122">
        <f>EX23*100/$E$23</f>
        <v/>
      </c>
      <c r="EZ23" s="108" t="n"/>
      <c r="FA23" s="122">
        <f>EZ23*100/$E$23</f>
        <v/>
      </c>
      <c r="FB23" s="108" t="n"/>
      <c r="FC23" s="122">
        <f>FB23*100/$E$23</f>
        <v/>
      </c>
      <c r="FD23" s="108" t="n"/>
      <c r="FE23" s="122">
        <f>FD23*100/$E$23</f>
        <v/>
      </c>
      <c r="FF23" s="108" t="n"/>
      <c r="FG23" s="122">
        <f>FF23*100/$E$23</f>
        <v/>
      </c>
      <c r="FH23" s="108" t="n"/>
      <c r="FI23" s="122">
        <f>FH23*100/$E$23</f>
        <v/>
      </c>
      <c r="FJ23" s="108" t="n"/>
      <c r="FK23" s="122">
        <f>FJ23*100/$E$23</f>
        <v/>
      </c>
      <c r="FL23" s="108" t="n"/>
      <c r="FM23" s="122">
        <f>FL23*100/$E$23</f>
        <v/>
      </c>
      <c r="FN23" s="108" t="n"/>
      <c r="FO23" s="122">
        <f>FN23*100/$E$23</f>
        <v/>
      </c>
      <c r="FP23" s="108" t="n"/>
      <c r="FQ23" s="122">
        <f>FP23*100/$E$23</f>
        <v/>
      </c>
      <c r="FR23" s="108" t="n"/>
      <c r="FS23" s="122">
        <f>FR23*100/$E$23</f>
        <v/>
      </c>
      <c r="FT23" s="108" t="n">
        <v>27</v>
      </c>
      <c r="FU23" s="122">
        <f>FT23*100/$E$23</f>
        <v/>
      </c>
      <c r="FV23" s="108" t="n">
        <v>24</v>
      </c>
      <c r="FW23" s="122">
        <f>FV23*100/$E$23</f>
        <v/>
      </c>
      <c r="FX23" s="108" t="n"/>
      <c r="FY23" s="107">
        <f>FX23*100/$E$23</f>
        <v/>
      </c>
      <c r="FZ23" s="108" t="n"/>
      <c r="GA23" s="107">
        <f>FZ23*100/$E$23</f>
        <v/>
      </c>
      <c r="GB23" s="108" t="n"/>
      <c r="GC23" s="107">
        <f>GB23*100/$E$23</f>
        <v/>
      </c>
      <c r="GD23" s="108" t="n"/>
      <c r="GE23" s="107">
        <f>GD23*100/$E$23</f>
        <v/>
      </c>
      <c r="GF23" s="108" t="n">
        <v>4</v>
      </c>
      <c r="GG23" s="107">
        <f>GF23*100/$E$23</f>
        <v/>
      </c>
      <c r="GH23" s="108" t="n">
        <v>16</v>
      </c>
      <c r="GI23" s="107">
        <f>GH23*100/$E$23</f>
        <v/>
      </c>
      <c r="GJ23" s="108" t="n"/>
      <c r="GK23" s="122">
        <f>GJ23*100/$E$23</f>
        <v/>
      </c>
      <c r="GL23" s="108" t="n"/>
      <c r="GM23" s="107">
        <f>GL23*100/$E$23</f>
        <v/>
      </c>
      <c r="GN23" s="108" t="n"/>
      <c r="GO23" s="122">
        <f>GN23*100/$E$23</f>
        <v/>
      </c>
      <c r="GP23" s="108" t="n"/>
      <c r="GQ23" s="107">
        <f>GP23*100/$E$23</f>
        <v/>
      </c>
      <c r="GR23" s="108" t="n"/>
      <c r="GS23" s="122">
        <f>GR23*100/$E$23</f>
        <v/>
      </c>
      <c r="GT23" s="108" t="n"/>
      <c r="GU23" s="122">
        <f>GT23*100/$E$23</f>
        <v/>
      </c>
      <c r="GV23" s="108" t="n"/>
      <c r="GW23" s="122">
        <f>GV23*100/$E$23</f>
        <v/>
      </c>
      <c r="GX23" s="108" t="n"/>
      <c r="GY23" s="107">
        <f>GX23*100/$E$23</f>
        <v/>
      </c>
      <c r="GZ23" s="108" t="n"/>
      <c r="HA23" s="107">
        <f>GZ23*100/$E$23</f>
        <v/>
      </c>
      <c r="HB23" s="108" t="n"/>
      <c r="HC23" s="107">
        <f>HB23*100/$E$23</f>
        <v/>
      </c>
      <c r="HD23" s="108" t="n"/>
      <c r="HE23" s="107">
        <f>HD23*100/$E$23</f>
        <v/>
      </c>
      <c r="HF23" s="108" t="n"/>
      <c r="HG23" s="107">
        <f>HF23*100/$E$23</f>
        <v/>
      </c>
      <c r="HH23" s="108" t="n"/>
      <c r="HI23" s="107">
        <f>HH23*100/$E$23</f>
        <v/>
      </c>
      <c r="HJ23" s="108" t="n"/>
      <c r="HK23" s="107">
        <f>HJ23*100/$E$23</f>
        <v/>
      </c>
      <c r="HL23" s="108" t="n"/>
      <c r="HM23" s="107">
        <f>HL23*100/$E$23</f>
        <v/>
      </c>
      <c r="HN23" s="108" t="n"/>
      <c r="HO23" s="107">
        <f>HN23*100/$E$23</f>
        <v/>
      </c>
      <c r="HP23" s="108" t="n"/>
      <c r="HQ23" s="107">
        <f>HP23*100/$E$23</f>
        <v/>
      </c>
      <c r="HR23" s="108" t="n"/>
      <c r="HS23" s="107">
        <f>HR23*100/$E$23</f>
        <v/>
      </c>
      <c r="HT23" s="108" t="n"/>
      <c r="HU23" s="107">
        <f>HT23*100/$E$23</f>
        <v/>
      </c>
      <c r="HV23" s="108" t="n"/>
      <c r="HW23" s="107">
        <f>HV23*100/$E$23</f>
        <v/>
      </c>
      <c r="HX23" s="108" t="n"/>
      <c r="HY23" s="107">
        <f>HX23*100/$E$23</f>
        <v/>
      </c>
      <c r="HZ23" s="108" t="n"/>
      <c r="IA23" s="122">
        <f>HZ23*100/$E$23</f>
        <v/>
      </c>
      <c r="IB23" s="108" t="n"/>
      <c r="IC23" s="122">
        <f>IB23*100/$E$23</f>
        <v/>
      </c>
      <c r="ID23" s="108" t="n"/>
      <c r="IE23" s="122">
        <f>ID23*100/$E$23</f>
        <v/>
      </c>
      <c r="IF23" s="108" t="n"/>
      <c r="IG23" s="122">
        <f>IF23*100/$E$23</f>
        <v/>
      </c>
      <c r="IH23" s="108" t="n"/>
      <c r="II23" s="122">
        <f>IH23*100/$E$23</f>
        <v/>
      </c>
      <c r="IJ23" s="108" t="n"/>
      <c r="IK23" s="122">
        <f>IJ23*100/$E$23</f>
        <v/>
      </c>
      <c r="IL23" s="108" t="n"/>
      <c r="IM23" s="107">
        <f>IL23*100/$E$23</f>
        <v/>
      </c>
      <c r="IN23" s="108" t="n"/>
      <c r="IO23" s="107">
        <f>IN23*100/$E$23</f>
        <v/>
      </c>
      <c r="IP23" s="108" t="n"/>
      <c r="IQ23" s="122">
        <f>IP23*100/$E$23</f>
        <v/>
      </c>
      <c r="IR23" s="108" t="n"/>
      <c r="IS23" s="122">
        <f>IR23*100/$E$23</f>
        <v/>
      </c>
      <c r="IT23" s="108" t="n"/>
      <c r="IU23" s="122">
        <f>IT23*100/$E$23</f>
        <v/>
      </c>
      <c r="IV23" s="108" t="n"/>
      <c r="IW23" s="122">
        <f>IV23*100/$E$23</f>
        <v/>
      </c>
      <c r="IX23" s="108" t="n"/>
      <c r="IY23" s="122">
        <f>IX23*100/$E$23</f>
        <v/>
      </c>
      <c r="IZ23" s="108" t="n"/>
      <c r="JA23" s="122">
        <f>IZ23*100/$E$23</f>
        <v/>
      </c>
      <c r="JB23" s="108" t="n"/>
      <c r="JC23" s="122">
        <f>JB23*100/$E$23</f>
        <v/>
      </c>
      <c r="JD23" s="108" t="n"/>
      <c r="JE23" s="122">
        <f>JD23*100/$E$23</f>
        <v/>
      </c>
      <c r="JF23" s="108" t="n"/>
      <c r="JG23" s="122">
        <f>JF23*100/$E$23</f>
        <v/>
      </c>
      <c r="JH23" s="108" t="n"/>
      <c r="JI23" s="122">
        <f>JH23*100/$E$23</f>
        <v/>
      </c>
      <c r="JJ23" s="108" t="n"/>
      <c r="JK23" s="122">
        <f>JJ23*100/$E$23</f>
        <v/>
      </c>
      <c r="JL23" s="108" t="n">
        <v>5</v>
      </c>
      <c r="JM23" s="122">
        <f>JL23*100/$E$23</f>
        <v/>
      </c>
      <c r="JN23" s="108" t="n"/>
      <c r="JO23" s="122">
        <f>JN23*100/$E$23</f>
        <v/>
      </c>
      <c r="JP23" s="108" t="n"/>
      <c r="JQ23" s="122">
        <f>JP23*100/$E$23</f>
        <v/>
      </c>
      <c r="JR23" s="108" t="n"/>
      <c r="JS23" s="122">
        <f>JR23*100/$E$23</f>
        <v/>
      </c>
      <c r="JT23" s="108" t="n"/>
      <c r="JU23" s="122">
        <f>JT23*100/$E$23</f>
        <v/>
      </c>
      <c r="JV23" s="108" t="n"/>
      <c r="JW23" s="122">
        <f>JV23*100/$E$23</f>
        <v/>
      </c>
      <c r="JX23" s="108" t="n"/>
      <c r="JY23" s="122">
        <f>JX23*100/$E$23</f>
        <v/>
      </c>
      <c r="JZ23" s="55">
        <f>JN23+JP23+JR23+JT23+JV23+JX23</f>
        <v/>
      </c>
      <c r="KA23" s="53">
        <f>JO23+JQ23+JS23+JU23+JW23+JY23</f>
        <v/>
      </c>
      <c r="KB23" s="64">
        <f>H23+J23+L23+N23+P23+R23+T23+V23+X23+Z23+AB23+AD23+AF23+AH23+AJ23+AL23+AN23+AP23+AR23+AT23+AV23+AX23+AZ23+BB23+BD23+BF23+BH23+BJ23+BL23+BN23+BP23+BR23+BT23+BV23+BX23+BZ23+CB23+CD23+CF23+CH23+CZ23+DB23+DD23+DF23+DH23+DJ23+DL23+DN23+DP23+DR23+DT23+DV23+DX23+DZ23+EB23+ED23+EF23+EH23+EJ23+EL23+EN23+EP23+ER23+ET23+EV23+FN23+FP23+FR23+FT23+FV23+FX23+FZ23+GB23+GD23+GF23+GH23+GJ23+GL23+GN23+GP23+GR23+GT23+GV23+GX23+GZ23+HB23+HD23+HF23+HH23+HJ23+HL23+HN23+HP23+HR23+HT23+HV23+HX23+HZ23+IB23+ID23+IF23+IH23+IJ23+IL23+IN23+IP23+IR23+IT23+IV23+IX23+IZ23+JB23+JD23+JF23+JH23+JJ23+JL23+JZ23+CJ23+CL23+CN23+CP23+CR23+CT23+CV23+CX23+EX23+EZ23+FB23+FD23+FF23+FH23+FJ23+FL23</f>
        <v/>
      </c>
      <c r="KC23" s="66">
        <f>I23+K23+M23+O23+Q23+S23+U23+W23+Y23+AA23+AC23+AE23+AG23+AI23+AK23+AM23+AO23+AQ23+AS23+AU23+AW23+AY23+BA23+BC23+BE23+BG23+BI23+BK23+BM23+BO23+BQ23+BS23+BU23+BW23+BY23+CA23+CC23+CE23+CG23+CI23+DA23+DC23+DE23+DG23+DI23+DK23+DM23+DO23+DQ23+DS23+DU23+DW23+DY23+EA23+EC23+EE23+EG23+EI23+EK23+EM23+EO23+EQ23+ES23+EU23+EW23+FO23+FS23+FU23+FW23+FQ23+FY23+GA23+GC23+GE23+GG23+GI23+GK23+GM23+GO23+GQ23+GS23+GU23+GW23+GY23+HA23+HC23+HE23+HG23+HI23+HK23+HM23+HO23+HQ23+HS23+HU23+HW23+HY23+IA23+IC23+IE23+IG23+II23+IK23+IM23+IO23+IQ23+IS23+IU23+IW23+IY23+JA23+JC23+JE23+JG23+JI23+JK23+JM23+KA23+CK23+CM23+CO23+CQ23+CS23+CU23+CW23+CY23+EY23+FA23+FC23+FE23+FG23+FI23+FK23+FM23</f>
        <v/>
      </c>
      <c r="KD23" s="44">
        <f>JO23+JQ23+JS23+JU23+JW23+JY23</f>
        <v/>
      </c>
      <c r="KE23" s="45">
        <f>KB23=E23</f>
        <v/>
      </c>
      <c r="KF23" s="101">
        <f>E23-KB23</f>
        <v/>
      </c>
      <c r="KG23" s="14" t="n"/>
    </row>
    <row r="24" ht="21.75" customFormat="1" customHeight="1" s="17">
      <c r="A24" s="130">
        <f>A23+1</f>
        <v/>
      </c>
      <c r="B24" s="199" t="inlineStr">
        <is>
          <t>Иванов А.И.</t>
        </is>
      </c>
      <c r="C24" s="200" t="inlineStr">
        <is>
          <t>токарь</t>
        </is>
      </c>
      <c r="D24" s="177">
        <f>$D$5</f>
        <v/>
      </c>
      <c r="E24" s="203" t="n">
        <v>167</v>
      </c>
      <c r="F24" s="178" t="n">
        <v>101150.45</v>
      </c>
      <c r="G24" s="52">
        <f>F24/D24</f>
        <v/>
      </c>
      <c r="H24" s="125" t="n"/>
      <c r="I24" s="122">
        <f>H24*100/$E$24</f>
        <v/>
      </c>
      <c r="J24" s="108" t="n"/>
      <c r="K24" s="122">
        <f>J24*100/$E$24</f>
        <v/>
      </c>
      <c r="L24" s="108" t="n">
        <v>8</v>
      </c>
      <c r="M24" s="122">
        <f>L24*100/$E$24</f>
        <v/>
      </c>
      <c r="N24" s="108" t="n"/>
      <c r="O24" s="122">
        <f>N24*100/$E$24</f>
        <v/>
      </c>
      <c r="P24" s="108" t="n"/>
      <c r="Q24" s="122">
        <f>P24*100/$E$24</f>
        <v/>
      </c>
      <c r="R24" s="108" t="n">
        <v>8</v>
      </c>
      <c r="S24" s="122">
        <f>R24*100/$E$24</f>
        <v/>
      </c>
      <c r="T24" s="108" t="n"/>
      <c r="U24" s="122">
        <f>T24*100/$E$24</f>
        <v/>
      </c>
      <c r="V24" s="108" t="n"/>
      <c r="W24" s="122">
        <f>V24*100/$E$24</f>
        <v/>
      </c>
      <c r="X24" s="108" t="n"/>
      <c r="Y24" s="122">
        <f>X24*100/$E$24</f>
        <v/>
      </c>
      <c r="Z24" s="108" t="n"/>
      <c r="AA24" s="122">
        <f>Z24*100/$E$24</f>
        <v/>
      </c>
      <c r="AB24" s="108" t="n"/>
      <c r="AC24" s="122">
        <f>AB24*100/$E$24</f>
        <v/>
      </c>
      <c r="AD24" s="108" t="n">
        <v>4</v>
      </c>
      <c r="AE24" s="122">
        <f>AD24*100/$E$24</f>
        <v/>
      </c>
      <c r="AF24" s="108" t="n">
        <v>5</v>
      </c>
      <c r="AG24" s="122">
        <f>AF24*100/$E$24</f>
        <v/>
      </c>
      <c r="AH24" s="108" t="n"/>
      <c r="AI24" s="122">
        <f>AH24*100/$E$24</f>
        <v/>
      </c>
      <c r="AJ24" s="108" t="n"/>
      <c r="AK24" s="122">
        <f>AJ24*100/$E$24</f>
        <v/>
      </c>
      <c r="AL24" s="108" t="n">
        <v>7</v>
      </c>
      <c r="AM24" s="122">
        <f>AL24*100/$E$24</f>
        <v/>
      </c>
      <c r="AN24" s="108" t="n">
        <v>8</v>
      </c>
      <c r="AO24" s="122">
        <f>AN24*100/$E$24</f>
        <v/>
      </c>
      <c r="AP24" s="108" t="n"/>
      <c r="AQ24" s="122">
        <f>AP24*100/$E$24</f>
        <v/>
      </c>
      <c r="AR24" s="108" t="n"/>
      <c r="AS24" s="122">
        <f>AR24*100/$E$24</f>
        <v/>
      </c>
      <c r="AT24" s="108" t="n"/>
      <c r="AU24" s="90">
        <f>AT24*100/$E$24</f>
        <v/>
      </c>
      <c r="AV24" s="108" t="n">
        <v>14</v>
      </c>
      <c r="AW24" s="122">
        <f>AV24*100/$E$24</f>
        <v/>
      </c>
      <c r="AX24" s="108" t="n">
        <v>18</v>
      </c>
      <c r="AY24" s="122">
        <f>AX24*100/$E$24</f>
        <v/>
      </c>
      <c r="AZ24" s="108" t="n"/>
      <c r="BA24" s="122">
        <f>AZ24*100/$E$24</f>
        <v/>
      </c>
      <c r="BB24" s="108" t="n"/>
      <c r="BC24" s="122">
        <f>BB24*100/$E$24</f>
        <v/>
      </c>
      <c r="BD24" s="108" t="n"/>
      <c r="BE24" s="122">
        <f>BD24*100/$E$24</f>
        <v/>
      </c>
      <c r="BF24" s="108" t="n"/>
      <c r="BG24" s="122">
        <f>BF24*100/$E$24</f>
        <v/>
      </c>
      <c r="BH24" s="108" t="n"/>
      <c r="BI24" s="122">
        <f>BH24*100/$E$24</f>
        <v/>
      </c>
      <c r="BJ24" s="108" t="n"/>
      <c r="BK24" s="122">
        <f>BJ24*100/$E$24</f>
        <v/>
      </c>
      <c r="BL24" s="108" t="n"/>
      <c r="BM24" s="122">
        <f>BL24*100/$E$24</f>
        <v/>
      </c>
      <c r="BN24" s="108" t="n"/>
      <c r="BO24" s="122">
        <f>BN24*100/$E$24</f>
        <v/>
      </c>
      <c r="BP24" s="108" t="n"/>
      <c r="BQ24" s="122">
        <f>BP24*100/$E$24</f>
        <v/>
      </c>
      <c r="BR24" s="108" t="n"/>
      <c r="BS24" s="122">
        <f>BR24*100/$E$24</f>
        <v/>
      </c>
      <c r="BT24" s="108" t="n"/>
      <c r="BU24" s="122">
        <f>BT24*100/$E$24</f>
        <v/>
      </c>
      <c r="BV24" s="108" t="n"/>
      <c r="BW24" s="122">
        <f>BV24*100/$E$24</f>
        <v/>
      </c>
      <c r="BX24" s="108" t="n"/>
      <c r="BY24" s="122">
        <f>BX24*100/$E$24</f>
        <v/>
      </c>
      <c r="BZ24" s="108" t="n"/>
      <c r="CA24" s="122">
        <f>BZ24*100/$E$24</f>
        <v/>
      </c>
      <c r="CB24" s="108" t="n"/>
      <c r="CC24" s="122">
        <f>CB24*100/$E$24</f>
        <v/>
      </c>
      <c r="CD24" s="108" t="n"/>
      <c r="CE24" s="122">
        <f>CD24*100/$E$24</f>
        <v/>
      </c>
      <c r="CF24" s="108" t="n"/>
      <c r="CG24" s="122">
        <f>CF24*100/$E$24</f>
        <v/>
      </c>
      <c r="CH24" s="108" t="n"/>
      <c r="CI24" s="122">
        <f>CH24*100/$E$24</f>
        <v/>
      </c>
      <c r="CJ24" s="108" t="n"/>
      <c r="CK24" s="122">
        <f>CJ24*100/$E$24</f>
        <v/>
      </c>
      <c r="CL24" s="108" t="n"/>
      <c r="CM24" s="122">
        <f>CL24*100/$E$24</f>
        <v/>
      </c>
      <c r="CN24" s="108" t="n"/>
      <c r="CO24" s="122">
        <f>CN24*100/$E$24</f>
        <v/>
      </c>
      <c r="CP24" s="108" t="n"/>
      <c r="CQ24" s="122">
        <f>CP24*100/$E$24</f>
        <v/>
      </c>
      <c r="CR24" s="108" t="n"/>
      <c r="CS24" s="122">
        <f>CR24*100/$E$24</f>
        <v/>
      </c>
      <c r="CT24" s="108" t="n"/>
      <c r="CU24" s="122">
        <f>CT24*100/$E$24</f>
        <v/>
      </c>
      <c r="CV24" s="108" t="n"/>
      <c r="CW24" s="122">
        <f>CV24*100/$E$24</f>
        <v/>
      </c>
      <c r="CX24" s="108" t="n"/>
      <c r="CY24" s="122">
        <f>CX24*100/$E$24</f>
        <v/>
      </c>
      <c r="CZ24" s="108" t="n"/>
      <c r="DA24" s="122">
        <f>CZ24*100/$E$24</f>
        <v/>
      </c>
      <c r="DB24" s="108" t="n">
        <v>5</v>
      </c>
      <c r="DC24" s="122">
        <f>DB24*100/$E$24</f>
        <v/>
      </c>
      <c r="DD24" s="108" t="n"/>
      <c r="DE24" s="122">
        <f>DD24*100/$E$24</f>
        <v/>
      </c>
      <c r="DF24" s="108" t="n">
        <v>6</v>
      </c>
      <c r="DG24" s="122">
        <f>DF24*100/$E$24</f>
        <v/>
      </c>
      <c r="DH24" s="108" t="n"/>
      <c r="DI24" s="122">
        <f>DH24*100/$E$24</f>
        <v/>
      </c>
      <c r="DJ24" s="108" t="n"/>
      <c r="DK24" s="122">
        <f>DJ24*100/$E$24</f>
        <v/>
      </c>
      <c r="DL24" s="108" t="n"/>
      <c r="DM24" s="122">
        <f>DL24*100/$E$24</f>
        <v/>
      </c>
      <c r="DN24" s="108" t="n"/>
      <c r="DO24" s="122">
        <f>DN24*100/$E$24</f>
        <v/>
      </c>
      <c r="DP24" s="108" t="n"/>
      <c r="DQ24" s="122">
        <f>DP24*100/$E$24</f>
        <v/>
      </c>
      <c r="DR24" s="108" t="n"/>
      <c r="DS24" s="122">
        <f>DR24*100/$E$24</f>
        <v/>
      </c>
      <c r="DT24" s="108" t="n"/>
      <c r="DU24" s="122">
        <f>DT24*100/$E$24</f>
        <v/>
      </c>
      <c r="DV24" s="108" t="n"/>
      <c r="DW24" s="122">
        <f>DV24*100/$E$24</f>
        <v/>
      </c>
      <c r="DX24" s="108" t="n">
        <v>8</v>
      </c>
      <c r="DY24" s="122">
        <f>DX24*100/$E$24</f>
        <v/>
      </c>
      <c r="DZ24" s="108" t="n"/>
      <c r="EA24" s="122">
        <f>DZ24*100/$E$24</f>
        <v/>
      </c>
      <c r="EB24" s="108" t="n"/>
      <c r="EC24" s="122">
        <f>EB24*100/$E$24</f>
        <v/>
      </c>
      <c r="ED24" s="108" t="n"/>
      <c r="EE24" s="122">
        <f>ED24*100/$E$24</f>
        <v/>
      </c>
      <c r="EF24" s="108" t="n"/>
      <c r="EG24" s="122">
        <f>EF24*100/$E$24</f>
        <v/>
      </c>
      <c r="EH24" s="108" t="n"/>
      <c r="EI24" s="122">
        <f>EH24*100/$E$24</f>
        <v/>
      </c>
      <c r="EJ24" s="108" t="n"/>
      <c r="EK24" s="122">
        <f>EJ24*100/$E$24</f>
        <v/>
      </c>
      <c r="EL24" s="108" t="n">
        <v>8</v>
      </c>
      <c r="EM24" s="122">
        <f>EL24*100/$E$24</f>
        <v/>
      </c>
      <c r="EN24" s="108" t="n"/>
      <c r="EO24" s="122">
        <f>EN24*100/$E$24</f>
        <v/>
      </c>
      <c r="EP24" s="108" t="n"/>
      <c r="EQ24" s="122">
        <f>EP24*100/$E$24</f>
        <v/>
      </c>
      <c r="ER24" s="108" t="n">
        <v>2</v>
      </c>
      <c r="ES24" s="122">
        <f>ER24*100/$E$24</f>
        <v/>
      </c>
      <c r="ET24" s="108" t="n"/>
      <c r="EU24" s="122">
        <f>ET24*100/$E$24</f>
        <v/>
      </c>
      <c r="EV24" s="108" t="n"/>
      <c r="EW24" s="122">
        <f>EV24*100/$E$24</f>
        <v/>
      </c>
      <c r="EX24" s="108" t="n">
        <v>3</v>
      </c>
      <c r="EY24" s="122">
        <f>EX24*100/$E$24</f>
        <v/>
      </c>
      <c r="EZ24" s="108" t="n"/>
      <c r="FA24" s="122">
        <f>EZ24*100/$E$24</f>
        <v/>
      </c>
      <c r="FB24" s="108" t="n"/>
      <c r="FC24" s="122">
        <f>FB24*100/$E$24</f>
        <v/>
      </c>
      <c r="FD24" s="108" t="n"/>
      <c r="FE24" s="122">
        <f>FD24*100/$E$24</f>
        <v/>
      </c>
      <c r="FF24" s="108" t="n"/>
      <c r="FG24" s="122">
        <f>FF24*100/$E$24</f>
        <v/>
      </c>
      <c r="FH24" s="108" t="n">
        <v>1</v>
      </c>
      <c r="FI24" s="122">
        <f>FH24*100/$E$24</f>
        <v/>
      </c>
      <c r="FJ24" s="108" t="n"/>
      <c r="FK24" s="122">
        <f>FJ24*100/$E$24</f>
        <v/>
      </c>
      <c r="FL24" s="108" t="n">
        <v>3</v>
      </c>
      <c r="FM24" s="122">
        <f>FL24*100/$E$24</f>
        <v/>
      </c>
      <c r="FN24" s="108" t="n"/>
      <c r="FO24" s="122">
        <f>FN24*100/$E$24</f>
        <v/>
      </c>
      <c r="FP24" s="108" t="n"/>
      <c r="FQ24" s="122">
        <f>FP24*100/$E$24</f>
        <v/>
      </c>
      <c r="FR24" s="108" t="n"/>
      <c r="FS24" s="122">
        <f>FR24*100/$E$24</f>
        <v/>
      </c>
      <c r="FT24" s="108" t="n"/>
      <c r="FU24" s="122">
        <f>FT24*100/$E$24</f>
        <v/>
      </c>
      <c r="FV24" s="108" t="n">
        <v>12</v>
      </c>
      <c r="FW24" s="122">
        <f>FV24*100/$E$24</f>
        <v/>
      </c>
      <c r="FX24" s="108" t="n"/>
      <c r="FY24" s="122">
        <f>FX24*100/$E$24</f>
        <v/>
      </c>
      <c r="FZ24" s="108" t="n"/>
      <c r="GA24" s="122">
        <f>FZ24*100/$E$24</f>
        <v/>
      </c>
      <c r="GB24" s="108" t="n"/>
      <c r="GC24" s="122">
        <f>GB24*100/$E$24</f>
        <v/>
      </c>
      <c r="GD24" s="108" t="n">
        <v>4</v>
      </c>
      <c r="GE24" s="122">
        <f>GD24*100/$E$24</f>
        <v/>
      </c>
      <c r="GF24" s="108" t="n"/>
      <c r="GG24" s="122">
        <f>GF24*100/$E$24</f>
        <v/>
      </c>
      <c r="GH24" s="108" t="n"/>
      <c r="GI24" s="122">
        <f>GH24*100/$E$24</f>
        <v/>
      </c>
      <c r="GJ24" s="108" t="n"/>
      <c r="GK24" s="122">
        <f>GJ24*100/$E$24</f>
        <v/>
      </c>
      <c r="GL24" s="108" t="n"/>
      <c r="GM24" s="122">
        <f>GL24*100/$E$24</f>
        <v/>
      </c>
      <c r="GN24" s="108" t="n"/>
      <c r="GO24" s="122">
        <f>GN24*100/$E$24</f>
        <v/>
      </c>
      <c r="GP24" s="108" t="n"/>
      <c r="GQ24" s="122">
        <f>GP24*100/$E$24</f>
        <v/>
      </c>
      <c r="GR24" s="108" t="n"/>
      <c r="GS24" s="122">
        <f>GR24*100/$E$24</f>
        <v/>
      </c>
      <c r="GT24" s="108" t="n"/>
      <c r="GU24" s="122">
        <f>GT24*100/$E$24</f>
        <v/>
      </c>
      <c r="GV24" s="108" t="n">
        <v>10</v>
      </c>
      <c r="GW24" s="122">
        <f>GV24*100/$E$24</f>
        <v/>
      </c>
      <c r="GX24" s="108" t="n"/>
      <c r="GY24" s="122">
        <f>GX24*100/$E$24</f>
        <v/>
      </c>
      <c r="GZ24" s="108" t="n"/>
      <c r="HA24" s="122">
        <f>GZ24*100/$E$24</f>
        <v/>
      </c>
      <c r="HB24" s="108" t="n"/>
      <c r="HC24" s="122">
        <f>HB24*100/$E$24</f>
        <v/>
      </c>
      <c r="HD24" s="108" t="n">
        <v>5</v>
      </c>
      <c r="HE24" s="122">
        <f>HD24*100/$E$24</f>
        <v/>
      </c>
      <c r="HF24" s="108" t="n"/>
      <c r="HG24" s="122">
        <f>HF24*100/$E$24</f>
        <v/>
      </c>
      <c r="HH24" s="108" t="n">
        <v>4</v>
      </c>
      <c r="HI24" s="122">
        <f>HH24*100/$E$24</f>
        <v/>
      </c>
      <c r="HJ24" s="108" t="n"/>
      <c r="HK24" s="122">
        <f>HJ24*100/$E$24</f>
        <v/>
      </c>
      <c r="HL24" s="108" t="n"/>
      <c r="HM24" s="122">
        <f>HL24*100/$E$24</f>
        <v/>
      </c>
      <c r="HN24" s="108" t="n"/>
      <c r="HO24" s="122">
        <f>HN24*100/$E$24</f>
        <v/>
      </c>
      <c r="HP24" s="108" t="n"/>
      <c r="HQ24" s="122">
        <f>HP24*100/$E$24</f>
        <v/>
      </c>
      <c r="HR24" s="108" t="n"/>
      <c r="HS24" s="122">
        <f>HR24*100/$E$24</f>
        <v/>
      </c>
      <c r="HT24" s="108" t="n"/>
      <c r="HU24" s="122">
        <f>HT24*100/$E$24</f>
        <v/>
      </c>
      <c r="HV24" s="108" t="n"/>
      <c r="HW24" s="122">
        <f>HV24*100/$E$24</f>
        <v/>
      </c>
      <c r="HX24" s="108" t="n"/>
      <c r="HY24" s="122">
        <f>HX24*100/$E$24</f>
        <v/>
      </c>
      <c r="HZ24" s="108" t="n"/>
      <c r="IA24" s="122">
        <f>HZ24*100/$E$24</f>
        <v/>
      </c>
      <c r="IB24" s="108" t="n"/>
      <c r="IC24" s="122">
        <f>IB24*100/$E$24</f>
        <v/>
      </c>
      <c r="ID24" s="108" t="n"/>
      <c r="IE24" s="122">
        <f>ID24*100/$E$24</f>
        <v/>
      </c>
      <c r="IF24" s="108" t="n"/>
      <c r="IG24" s="122">
        <f>IF24*100/$E$24</f>
        <v/>
      </c>
      <c r="IH24" s="108" t="n"/>
      <c r="II24" s="122">
        <f>IH24*100/$E$24</f>
        <v/>
      </c>
      <c r="IJ24" s="108" t="n"/>
      <c r="IK24" s="122">
        <f>IJ24*100/$E$24</f>
        <v/>
      </c>
      <c r="IL24" s="108" t="n"/>
      <c r="IM24" s="122">
        <f>IL24*100/$E$24</f>
        <v/>
      </c>
      <c r="IN24" s="108" t="n"/>
      <c r="IO24" s="122">
        <f>IN24*100/$E$24</f>
        <v/>
      </c>
      <c r="IP24" s="108" t="n"/>
      <c r="IQ24" s="122">
        <f>IP24*100/$E$24</f>
        <v/>
      </c>
      <c r="IR24" s="108" t="n"/>
      <c r="IS24" s="122">
        <f>IR24*100/$E$24</f>
        <v/>
      </c>
      <c r="IT24" s="108" t="n"/>
      <c r="IU24" s="122">
        <f>IT24*100/$E$24</f>
        <v/>
      </c>
      <c r="IV24" s="108" t="n"/>
      <c r="IW24" s="122">
        <f>IV24*100/$E$24</f>
        <v/>
      </c>
      <c r="IX24" s="108" t="n"/>
      <c r="IY24" s="122">
        <f>IX24*100/$E$24</f>
        <v/>
      </c>
      <c r="IZ24" s="108" t="n"/>
      <c r="JA24" s="122">
        <f>IZ24*100/$E$24</f>
        <v/>
      </c>
      <c r="JB24" s="108" t="n"/>
      <c r="JC24" s="122">
        <f>JB24*100/$E$24</f>
        <v/>
      </c>
      <c r="JD24" s="108" t="n"/>
      <c r="JE24" s="122">
        <f>JD24*100/$E$24</f>
        <v/>
      </c>
      <c r="JF24" s="108" t="n"/>
      <c r="JG24" s="122">
        <f>JF24*100/$E$24</f>
        <v/>
      </c>
      <c r="JH24" s="108" t="n"/>
      <c r="JI24" s="122">
        <f>JH24*100/$E$24</f>
        <v/>
      </c>
      <c r="JJ24" s="108" t="n"/>
      <c r="JK24" s="122">
        <f>JJ24*100/$E$24</f>
        <v/>
      </c>
      <c r="JL24" s="108" t="n">
        <v>21</v>
      </c>
      <c r="JM24" s="122">
        <f>JL24*100/$E$24</f>
        <v/>
      </c>
      <c r="JN24" s="108" t="n"/>
      <c r="JO24" s="122">
        <f>JN24*100/$E$24</f>
        <v/>
      </c>
      <c r="JP24" s="108" t="n"/>
      <c r="JQ24" s="122">
        <f>JP24*100/$E$24</f>
        <v/>
      </c>
      <c r="JR24" s="108" t="n"/>
      <c r="JS24" s="122">
        <f>JR24*100/$E$24</f>
        <v/>
      </c>
      <c r="JT24" s="108" t="n"/>
      <c r="JU24" s="122">
        <f>JT24*100/$E$24</f>
        <v/>
      </c>
      <c r="JV24" s="108" t="n"/>
      <c r="JW24" s="122">
        <f>JV24*100/$E$24</f>
        <v/>
      </c>
      <c r="JX24" s="108" t="n"/>
      <c r="JY24" s="122">
        <f>JX24*100/$E$24</f>
        <v/>
      </c>
      <c r="JZ24" s="55">
        <f>JN24+JP24+JR24+JT24+JV24+JX24</f>
        <v/>
      </c>
      <c r="KA24" s="53">
        <f>JO24+JQ24+JS24+JU24+JW24+JY24</f>
        <v/>
      </c>
      <c r="KB24" s="64">
        <f>H24+J24+L24+N24+P24+R24+T24+V24+X24+Z24+AB24+AD24+AF24+AH24+AJ24+AL24+AN24+AP24+AR24+AT24+AV24+AX24+AZ24+BB24+BD24+BF24+BH24+BJ24+BL24+BN24+BP24+BR24+BT24+BV24+BX24+BZ24+CB24+CD24+CF24+CH24+CZ24+DB24+DD24+DF24+DH24+DJ24+DL24+DN24+DP24+DR24+DT24+DV24+DX24+DZ24+EB24+ED24+EF24+EH24+EJ24+EL24+EN24+EP24+ER24+ET24+EV24+FN24+FP24+FR24+FT24+FV24+FX24+FZ24+GB24+GD24+GF24+GH24+GJ24+GL24+GN24+GP24+GR24+GT24+GV24+GX24+GZ24+HB24+HD24+HF24+HH24+HJ24+HL24+HN24+HP24+HR24+HT24+HV24+HX24+HZ24+IB24+ID24+IF24+IH24+IJ24+IL24+IN24+IP24+IR24+IT24+IV24+IX24+IZ24+JB24+JD24+JF24+JH24+JJ24+JL24+JZ24+CJ24+CL24+CN24+CP24+CR24+CT24+CV24+CX24+EX24+EZ24+FB24+FD24+FF24+FH24+FJ24+FL24</f>
        <v/>
      </c>
      <c r="KC24" s="66">
        <f>I24+K24+M24+O24+Q24+S24+U24+W24+Y24+AA24+AC24+AE24+AG24+AI24+AK24+AM24+AO24+AQ24+AS24+AU24+AW24+AY24+BA24+BC24+BE24+BG24+BI24+BK24+BM24+BO24+BQ24+BS24+BU24+BW24+BY24+CA24+CC24+CE24+CG24+CI24+DA24+DC24+DE24+DG24+DI24+DK24+DM24+DO24+DQ24+DS24+DU24+DW24+DY24+EA24+EC24+EE24+EG24+EI24+EK24+EM24+EO24+EQ24+ES24+EU24+EW24+FO24+FS24+FU24+FW24+FQ24+FY24+GA24+GC24+GE24+GG24+GI24+GK24+GM24+GO24+GQ24+GS24+GU24+GW24+GY24+HA24+HC24+HE24+HG24+HI24+HK24+HM24+HO24+HQ24+HS24+HU24+HW24+HY24+IA24+IC24+IE24+IG24+II24+IK24+IM24+IO24+IQ24+IS24+IU24+IW24+IY24+JA24+JC24+JE24+JG24+JI24+JK24+JM24+KA24+CK24+CM24+CO24+CQ24+CS24+CU24+CW24+CY24+EY24+FA24+FC24+FE24+FG24+FI24+FK24+FM24</f>
        <v/>
      </c>
      <c r="KD24" s="44">
        <f>JO24+JQ24+JS24+JU24+JW24+JY24</f>
        <v/>
      </c>
      <c r="KE24" s="45">
        <f>KB24=E24</f>
        <v/>
      </c>
      <c r="KF24" s="101">
        <f>E24-KB24</f>
        <v/>
      </c>
      <c r="KG24" s="67" t="n"/>
    </row>
    <row r="25" ht="21.75" customFormat="1" customHeight="1" s="18">
      <c r="A25" s="130">
        <f>A24+1</f>
        <v/>
      </c>
      <c r="B25" s="199" t="inlineStr">
        <is>
          <t>Ившин К.С.</t>
        </is>
      </c>
      <c r="C25" s="176" t="inlineStr">
        <is>
          <t>сварщик</t>
        </is>
      </c>
      <c r="D25" s="177">
        <f>$D$5</f>
        <v/>
      </c>
      <c r="E25" s="202" t="n"/>
      <c r="F25" s="178" t="n">
        <v>61252.7</v>
      </c>
      <c r="G25" s="52">
        <f>F25/D25</f>
        <v/>
      </c>
      <c r="H25" s="125" t="n"/>
      <c r="I25" s="107">
        <f>H25*100/$E$25</f>
        <v/>
      </c>
      <c r="J25" s="108" t="n"/>
      <c r="K25" s="107">
        <f>J25*100/$E$25</f>
        <v/>
      </c>
      <c r="L25" s="108" t="n"/>
      <c r="M25" s="107">
        <f>L25*100/$E$25</f>
        <v/>
      </c>
      <c r="N25" s="108" t="n"/>
      <c r="O25" s="107">
        <f>N25*100/$E$25</f>
        <v/>
      </c>
      <c r="P25" s="108" t="n"/>
      <c r="Q25" s="122">
        <f>P25*100/$E$25</f>
        <v/>
      </c>
      <c r="R25" s="108" t="n"/>
      <c r="S25" s="122">
        <f>R25*100/$E$25</f>
        <v/>
      </c>
      <c r="T25" s="108" t="n"/>
      <c r="U25" s="107">
        <f>T25*100/$E$25</f>
        <v/>
      </c>
      <c r="V25" s="108" t="n"/>
      <c r="W25" s="107">
        <f>V25*100/$E$25</f>
        <v/>
      </c>
      <c r="X25" s="108" t="n"/>
      <c r="Y25" s="107">
        <f>X25*100/$E$25</f>
        <v/>
      </c>
      <c r="Z25" s="108" t="n"/>
      <c r="AA25" s="107">
        <f>Z25*100/$E$25</f>
        <v/>
      </c>
      <c r="AB25" s="108" t="n"/>
      <c r="AC25" s="107">
        <f>AB25*100/$E$25</f>
        <v/>
      </c>
      <c r="AD25" s="108" t="n"/>
      <c r="AE25" s="122">
        <f>AD25*100/$E$25</f>
        <v/>
      </c>
      <c r="AF25" s="108" t="n"/>
      <c r="AG25" s="122">
        <f>AF25*100/$E$25</f>
        <v/>
      </c>
      <c r="AH25" s="108" t="n"/>
      <c r="AI25" s="107">
        <f>AH25*100/$E$25</f>
        <v/>
      </c>
      <c r="AJ25" s="108" t="n"/>
      <c r="AK25" s="107">
        <f>AJ25*100/$E$25</f>
        <v/>
      </c>
      <c r="AL25" s="108" t="n"/>
      <c r="AM25" s="107">
        <f>AL25*100/$E$25</f>
        <v/>
      </c>
      <c r="AN25" s="108" t="n"/>
      <c r="AO25" s="107">
        <f>AN25*100/$E$25</f>
        <v/>
      </c>
      <c r="AP25" s="108" t="n"/>
      <c r="AQ25" s="107">
        <f>AP25*100/$E$25</f>
        <v/>
      </c>
      <c r="AR25" s="108" t="n"/>
      <c r="AS25" s="107">
        <f>AR25*100/$E$25</f>
        <v/>
      </c>
      <c r="AT25" s="108" t="n"/>
      <c r="AU25" s="90">
        <f>AT25*100/$E$25</f>
        <v/>
      </c>
      <c r="AV25" s="108" t="n"/>
      <c r="AW25" s="107">
        <f>AV25*100/$E$25</f>
        <v/>
      </c>
      <c r="AX25" s="108" t="n"/>
      <c r="AY25" s="107">
        <f>AX25*100/$E$25</f>
        <v/>
      </c>
      <c r="AZ25" s="108" t="n"/>
      <c r="BA25" s="107">
        <f>AZ25*100/$E$25</f>
        <v/>
      </c>
      <c r="BB25" s="108" t="n"/>
      <c r="BC25" s="107">
        <f>BB25*100/$E$25</f>
        <v/>
      </c>
      <c r="BD25" s="108" t="n"/>
      <c r="BE25" s="107">
        <f>BD25*100/$E$25</f>
        <v/>
      </c>
      <c r="BF25" s="108" t="n"/>
      <c r="BG25" s="107">
        <f>BF25*100/$E$25</f>
        <v/>
      </c>
      <c r="BH25" s="108" t="n"/>
      <c r="BI25" s="107">
        <f>BH25*100/$E$25</f>
        <v/>
      </c>
      <c r="BJ25" s="108" t="n"/>
      <c r="BK25" s="107">
        <f>BJ25*100/$E$25</f>
        <v/>
      </c>
      <c r="BL25" s="108" t="n"/>
      <c r="BM25" s="107">
        <f>BL25*100/$E$25</f>
        <v/>
      </c>
      <c r="BN25" s="108" t="n"/>
      <c r="BO25" s="107">
        <f>BN25*100/$E$25</f>
        <v/>
      </c>
      <c r="BP25" s="108" t="n"/>
      <c r="BQ25" s="107">
        <f>BP25*100/$E$25</f>
        <v/>
      </c>
      <c r="BR25" s="108" t="n"/>
      <c r="BS25" s="107">
        <f>BR25*100/$E$25</f>
        <v/>
      </c>
      <c r="BT25" s="108" t="n"/>
      <c r="BU25" s="107">
        <f>BT25*100/$E$25</f>
        <v/>
      </c>
      <c r="BV25" s="108" t="n"/>
      <c r="BW25" s="107">
        <f>BV25*100/$E$25</f>
        <v/>
      </c>
      <c r="BX25" s="108" t="n"/>
      <c r="BY25" s="107">
        <f>BX25*100/$E$25</f>
        <v/>
      </c>
      <c r="BZ25" s="108" t="n"/>
      <c r="CA25" s="107">
        <f>BZ25*100/$E$25</f>
        <v/>
      </c>
      <c r="CB25" s="108" t="n"/>
      <c r="CC25" s="107">
        <f>CB25*100/$E$25</f>
        <v/>
      </c>
      <c r="CD25" s="108" t="n"/>
      <c r="CE25" s="107">
        <f>CD25*100/$E$25</f>
        <v/>
      </c>
      <c r="CF25" s="108" t="n"/>
      <c r="CG25" s="107">
        <f>CF25*100/$E$25</f>
        <v/>
      </c>
      <c r="CH25" s="108" t="n"/>
      <c r="CI25" s="107">
        <f>CH25*100/$E$25</f>
        <v/>
      </c>
      <c r="CJ25" s="108" t="n"/>
      <c r="CK25" s="107">
        <f>CJ25*100/$E$25</f>
        <v/>
      </c>
      <c r="CL25" s="108" t="n"/>
      <c r="CM25" s="107">
        <f>CL25*100/$E$25</f>
        <v/>
      </c>
      <c r="CN25" s="108" t="n"/>
      <c r="CO25" s="122">
        <f>CN25*100/$E$25</f>
        <v/>
      </c>
      <c r="CP25" s="108" t="n"/>
      <c r="CQ25" s="107">
        <f>CP25*100/$E$25</f>
        <v/>
      </c>
      <c r="CR25" s="108" t="n"/>
      <c r="CS25" s="122">
        <f>CR25*100/$E$25</f>
        <v/>
      </c>
      <c r="CT25" s="108" t="n"/>
      <c r="CU25" s="122">
        <f>CT25*100/$E$25</f>
        <v/>
      </c>
      <c r="CV25" s="108" t="n"/>
      <c r="CW25" s="122">
        <f>CV25*100/$E$25</f>
        <v/>
      </c>
      <c r="CX25" s="108" t="n"/>
      <c r="CY25" s="122">
        <f>CX25*100/$E$25</f>
        <v/>
      </c>
      <c r="CZ25" s="108" t="n"/>
      <c r="DA25" s="122">
        <f>CZ25*100/$E$25</f>
        <v/>
      </c>
      <c r="DB25" s="108" t="n"/>
      <c r="DC25" s="122">
        <f>DB25*100/$E$25</f>
        <v/>
      </c>
      <c r="DD25" s="108" t="n"/>
      <c r="DE25" s="122">
        <f>DD25*100/$E$25</f>
        <v/>
      </c>
      <c r="DF25" s="108" t="n"/>
      <c r="DG25" s="122">
        <f>DF25*100/$E$25</f>
        <v/>
      </c>
      <c r="DH25" s="108" t="n"/>
      <c r="DI25" s="122">
        <f>DH25*100/$E$25</f>
        <v/>
      </c>
      <c r="DJ25" s="108" t="n"/>
      <c r="DK25" s="122">
        <f>DJ25*100/$E$25</f>
        <v/>
      </c>
      <c r="DL25" s="108" t="n"/>
      <c r="DM25" s="122">
        <f>DL25*100/$E$25</f>
        <v/>
      </c>
      <c r="DN25" s="108" t="n"/>
      <c r="DO25" s="122">
        <f>DN25*100/$E$25</f>
        <v/>
      </c>
      <c r="DP25" s="108" t="n"/>
      <c r="DQ25" s="122">
        <f>DP25*100/$E$25</f>
        <v/>
      </c>
      <c r="DR25" s="108" t="n"/>
      <c r="DS25" s="122">
        <f>DR25*100/$E$25</f>
        <v/>
      </c>
      <c r="DT25" s="108" t="n"/>
      <c r="DU25" s="122">
        <f>DT25*100/$E$25</f>
        <v/>
      </c>
      <c r="DV25" s="108" t="n"/>
      <c r="DW25" s="122">
        <f>DV25*100/$E$25</f>
        <v/>
      </c>
      <c r="DX25" s="108" t="n"/>
      <c r="DY25" s="122">
        <f>DX25*100/$E$25</f>
        <v/>
      </c>
      <c r="DZ25" s="108" t="n"/>
      <c r="EA25" s="122">
        <f>DZ25*100/$E$25</f>
        <v/>
      </c>
      <c r="EB25" s="108" t="n"/>
      <c r="EC25" s="122">
        <f>EB25*100/$E$25</f>
        <v/>
      </c>
      <c r="ED25" s="108" t="n"/>
      <c r="EE25" s="122">
        <f>ED25*100/$E$25</f>
        <v/>
      </c>
      <c r="EF25" s="108" t="n"/>
      <c r="EG25" s="122">
        <f>EF25*100/$E$25</f>
        <v/>
      </c>
      <c r="EH25" s="108" t="n"/>
      <c r="EI25" s="122">
        <f>EH25*100/$E$25</f>
        <v/>
      </c>
      <c r="EJ25" s="108" t="n"/>
      <c r="EK25" s="122">
        <f>EJ25*100/$E$25</f>
        <v/>
      </c>
      <c r="EL25" s="108" t="n"/>
      <c r="EM25" s="122">
        <f>EL25*100/$E$25</f>
        <v/>
      </c>
      <c r="EN25" s="108" t="n"/>
      <c r="EO25" s="122">
        <f>EN25*100/$E$25</f>
        <v/>
      </c>
      <c r="EP25" s="108" t="n"/>
      <c r="EQ25" s="122">
        <f>EP25*100/$E$25</f>
        <v/>
      </c>
      <c r="ER25" s="108" t="n"/>
      <c r="ES25" s="122">
        <f>ER25*100/$E$25</f>
        <v/>
      </c>
      <c r="ET25" s="108" t="n"/>
      <c r="EU25" s="122">
        <f>ET25*100/$E$25</f>
        <v/>
      </c>
      <c r="EV25" s="108" t="n"/>
      <c r="EW25" s="122">
        <f>EV25*100/$E$25</f>
        <v/>
      </c>
      <c r="EX25" s="108" t="n"/>
      <c r="EY25" s="122">
        <f>EX25*100/$E$25</f>
        <v/>
      </c>
      <c r="EZ25" s="108" t="n"/>
      <c r="FA25" s="122">
        <f>EZ25*100/$E$25</f>
        <v/>
      </c>
      <c r="FB25" s="108" t="n"/>
      <c r="FC25" s="122">
        <f>FB25*100/$E$25</f>
        <v/>
      </c>
      <c r="FD25" s="108" t="n"/>
      <c r="FE25" s="122">
        <f>FD25*100/$E$25</f>
        <v/>
      </c>
      <c r="FF25" s="108" t="n"/>
      <c r="FG25" s="122">
        <f>FF25*100/$E$25</f>
        <v/>
      </c>
      <c r="FH25" s="108" t="n"/>
      <c r="FI25" s="122">
        <f>FH25*100/$E$25</f>
        <v/>
      </c>
      <c r="FJ25" s="108" t="n"/>
      <c r="FK25" s="122">
        <f>FJ25*100/$E$25</f>
        <v/>
      </c>
      <c r="FL25" s="108" t="n"/>
      <c r="FM25" s="122">
        <f>FL25*100/$E$25</f>
        <v/>
      </c>
      <c r="FN25" s="108" t="n"/>
      <c r="FO25" s="122">
        <f>FN25*100/$E$25</f>
        <v/>
      </c>
      <c r="FP25" s="108" t="n"/>
      <c r="FQ25" s="122">
        <f>FP25*100/$E$25</f>
        <v/>
      </c>
      <c r="FR25" s="108" t="n"/>
      <c r="FS25" s="122">
        <f>FR25*100/$E$25</f>
        <v/>
      </c>
      <c r="FT25" s="108" t="n"/>
      <c r="FU25" s="122">
        <f>FT25*100/$E$25</f>
        <v/>
      </c>
      <c r="FV25" s="108" t="n"/>
      <c r="FW25" s="122">
        <f>FV25*100/$E$25</f>
        <v/>
      </c>
      <c r="FX25" s="108" t="n"/>
      <c r="FY25" s="107">
        <f>FX25*100/$E$25</f>
        <v/>
      </c>
      <c r="FZ25" s="108" t="n"/>
      <c r="GA25" s="107">
        <f>FZ25*100/$E$25</f>
        <v/>
      </c>
      <c r="GB25" s="108" t="n"/>
      <c r="GC25" s="107">
        <f>GB25*100/$E$25</f>
        <v/>
      </c>
      <c r="GD25" s="108" t="n"/>
      <c r="GE25" s="107">
        <f>GD25*100/$E$25</f>
        <v/>
      </c>
      <c r="GF25" s="108" t="n"/>
      <c r="GG25" s="107">
        <f>GF25*100/$E$25</f>
        <v/>
      </c>
      <c r="GH25" s="108" t="n"/>
      <c r="GI25" s="107">
        <f>GH25*100/$E$25</f>
        <v/>
      </c>
      <c r="GJ25" s="108" t="n"/>
      <c r="GK25" s="122">
        <f>GJ25*100/$E$25</f>
        <v/>
      </c>
      <c r="GL25" s="108" t="n"/>
      <c r="GM25" s="107">
        <f>GL25*100/$E$25</f>
        <v/>
      </c>
      <c r="GN25" s="108" t="n"/>
      <c r="GO25" s="122">
        <f>GN25*100/$E$25</f>
        <v/>
      </c>
      <c r="GP25" s="108" t="n"/>
      <c r="GQ25" s="107">
        <f>GP25*100/$E$25</f>
        <v/>
      </c>
      <c r="GR25" s="108" t="n"/>
      <c r="GS25" s="122">
        <f>GR25*100/$E$25</f>
        <v/>
      </c>
      <c r="GT25" s="108" t="n"/>
      <c r="GU25" s="122">
        <f>GT25*100/$E$25</f>
        <v/>
      </c>
      <c r="GV25" s="108" t="n"/>
      <c r="GW25" s="122">
        <f>GV25*100/$E$25</f>
        <v/>
      </c>
      <c r="GX25" s="108" t="n"/>
      <c r="GY25" s="107">
        <f>GX25*100/$E$25</f>
        <v/>
      </c>
      <c r="GZ25" s="108" t="n"/>
      <c r="HA25" s="107">
        <f>GZ25*100/$E$25</f>
        <v/>
      </c>
      <c r="HB25" s="108" t="n"/>
      <c r="HC25" s="107">
        <f>HB25*100/$E$25</f>
        <v/>
      </c>
      <c r="HD25" s="108" t="n"/>
      <c r="HE25" s="107">
        <f>HD25*100/$E$25</f>
        <v/>
      </c>
      <c r="HF25" s="108" t="n"/>
      <c r="HG25" s="107">
        <f>HF25*100/$E$25</f>
        <v/>
      </c>
      <c r="HH25" s="108" t="n"/>
      <c r="HI25" s="107">
        <f>HH25*100/$E$25</f>
        <v/>
      </c>
      <c r="HJ25" s="108" t="n"/>
      <c r="HK25" s="107">
        <f>HJ25*100/$E$25</f>
        <v/>
      </c>
      <c r="HL25" s="108" t="n"/>
      <c r="HM25" s="107">
        <f>HL25*100/$E$25</f>
        <v/>
      </c>
      <c r="HN25" s="108" t="n"/>
      <c r="HO25" s="107">
        <f>HN25*100/$E$25</f>
        <v/>
      </c>
      <c r="HP25" s="108" t="n"/>
      <c r="HQ25" s="107">
        <f>HP25*100/$E$25</f>
        <v/>
      </c>
      <c r="HR25" s="108" t="n"/>
      <c r="HS25" s="107">
        <f>HR25*100/$E$25</f>
        <v/>
      </c>
      <c r="HT25" s="108" t="n"/>
      <c r="HU25" s="107">
        <f>HT25*100/$E$25</f>
        <v/>
      </c>
      <c r="HV25" s="108" t="n"/>
      <c r="HW25" s="107">
        <f>HV25*100/$E$25</f>
        <v/>
      </c>
      <c r="HX25" s="108" t="n"/>
      <c r="HY25" s="107">
        <f>HX25*100/$E$25</f>
        <v/>
      </c>
      <c r="HZ25" s="108" t="n"/>
      <c r="IA25" s="122">
        <f>HZ25*100/$E$25</f>
        <v/>
      </c>
      <c r="IB25" s="108" t="n"/>
      <c r="IC25" s="122">
        <f>IB25*100/$E$25</f>
        <v/>
      </c>
      <c r="ID25" s="108" t="n"/>
      <c r="IE25" s="122">
        <f>ID25*100/$E$25</f>
        <v/>
      </c>
      <c r="IF25" s="108" t="n"/>
      <c r="IG25" s="122">
        <f>IF25*100/$E$25</f>
        <v/>
      </c>
      <c r="IH25" s="108" t="n"/>
      <c r="II25" s="122">
        <f>IH25*100/$E$25</f>
        <v/>
      </c>
      <c r="IJ25" s="108" t="n"/>
      <c r="IK25" s="122">
        <f>IJ25*100/$E$25</f>
        <v/>
      </c>
      <c r="IL25" s="108" t="n"/>
      <c r="IM25" s="107">
        <f>IL25*100/$E$25</f>
        <v/>
      </c>
      <c r="IN25" s="108" t="n"/>
      <c r="IO25" s="107">
        <f>IN25*100/$E$25</f>
        <v/>
      </c>
      <c r="IP25" s="108" t="n"/>
      <c r="IQ25" s="122">
        <f>IP25*100/$E$25</f>
        <v/>
      </c>
      <c r="IR25" s="108" t="n"/>
      <c r="IS25" s="122">
        <f>IR25*100/$E$25</f>
        <v/>
      </c>
      <c r="IT25" s="108" t="n"/>
      <c r="IU25" s="122">
        <f>IT25*100/$E$25</f>
        <v/>
      </c>
      <c r="IV25" s="108" t="n"/>
      <c r="IW25" s="122">
        <f>IV25*100/$E$25</f>
        <v/>
      </c>
      <c r="IX25" s="108" t="n"/>
      <c r="IY25" s="122">
        <f>IX25*100/$E$25</f>
        <v/>
      </c>
      <c r="IZ25" s="108" t="n"/>
      <c r="JA25" s="122">
        <f>IZ25*100/$E$25</f>
        <v/>
      </c>
      <c r="JB25" s="108" t="n"/>
      <c r="JC25" s="122">
        <f>JB25*100/$E$25</f>
        <v/>
      </c>
      <c r="JD25" s="108" t="n"/>
      <c r="JE25" s="122">
        <f>JD25*100/$E$25</f>
        <v/>
      </c>
      <c r="JF25" s="108" t="n"/>
      <c r="JG25" s="122">
        <f>JF25*100/$E$25</f>
        <v/>
      </c>
      <c r="JH25" s="108" t="n"/>
      <c r="JI25" s="122">
        <f>JH25*100/$E$25</f>
        <v/>
      </c>
      <c r="JJ25" s="108" t="n"/>
      <c r="JK25" s="122">
        <f>JJ25*100/$E$25</f>
        <v/>
      </c>
      <c r="JL25" s="108" t="n"/>
      <c r="JM25" s="122">
        <f>JL25*100/$E$25</f>
        <v/>
      </c>
      <c r="JN25" s="108" t="n"/>
      <c r="JO25" s="122">
        <f>JN25*100/$E$25</f>
        <v/>
      </c>
      <c r="JP25" s="108" t="n"/>
      <c r="JQ25" s="122">
        <f>JP25*100/$E$25</f>
        <v/>
      </c>
      <c r="JR25" s="108" t="n"/>
      <c r="JS25" s="122">
        <f>JR25*100/$E$25</f>
        <v/>
      </c>
      <c r="JT25" s="108" t="n"/>
      <c r="JU25" s="122">
        <f>JT25*100/$E$25</f>
        <v/>
      </c>
      <c r="JV25" s="108" t="n"/>
      <c r="JW25" s="122">
        <f>JV25*100/$E$25</f>
        <v/>
      </c>
      <c r="JX25" s="108" t="n"/>
      <c r="JY25" s="122">
        <f>JX25*100/$E$25</f>
        <v/>
      </c>
      <c r="JZ25" s="55">
        <f>JN25+JP25+JR25+JT25+JV25+JX25</f>
        <v/>
      </c>
      <c r="KA25" s="53">
        <f>JO25+JQ25+JS25+JU25+JW25+JY25</f>
        <v/>
      </c>
      <c r="KB25" s="64">
        <f>H25+J25+L25+N25+P25+R25+T25+V25+X25+Z25+AB25+AD25+AF25+AH25+AJ25+AL25+AN25+AP25+AR25+AT25+AV25+AX25+AZ25+BB25+BD25+BF25+BH25+BJ25+BL25+BN25+BP25+BR25+BT25+BV25+BX25+BZ25+CB25+CD25+CF25+CH25+CZ25+DB25+DD25+DF25+DH25+DJ25+DL25+DN25+DP25+DR25+DT25+DV25+DX25+DZ25+EB25+ED25+EF25+EH25+EJ25+EL25+EN25+EP25+ER25+ET25+EV25+FN25+FP25+FR25+FT25+FV25+FX25+FZ25+GB25+GD25+GF25+GH25+GJ25+GL25+GN25+GP25+GR25+GT25+GV25+GX25+GZ25+HB25+HD25+HF25+HH25+HJ25+HL25+HN25+HP25+HR25+HT25+HV25+HX25+HZ25+IB25+ID25+IF25+IH25+IJ25+IL25+IN25+IP25+IR25+IT25+IV25+IX25+IZ25+JB25+JD25+JF25+JH25+JJ25+JL25+JZ25+CJ25+CL25+CN25+CP25+CR25+CT25+CV25+CX25+EX25+EZ25+FB25+FD25+FF25+FH25+FJ25+FL25</f>
        <v/>
      </c>
      <c r="KC25" s="66">
        <f>I25+K25+M25+O25+Q25+S25+U25+W25+Y25+AA25+AC25+AE25+AG25+AI25+AK25+AM25+AO25+AQ25+AS25+AU25+AW25+AY25+BA25+BC25+BE25+BG25+BI25+BK25+BM25+BO25+BQ25+BS25+BU25+BW25+BY25+CA25+CC25+CE25+CG25+CI25+DA25+DC25+DE25+DG25+DI25+DK25+DM25+DO25+DQ25+DS25+DU25+DW25+DY25+EA25+EC25+EE25+EG25+EI25+EK25+EM25+EO25+EQ25+ES25+EU25+EW25+FO25+FS25+FU25+FW25+FQ25+FY25+GA25+GC25+GE25+GG25+GI25+GK25+GM25+GO25+GQ25+GS25+GU25+GW25+GY25+HA25+HC25+HE25+HG25+HI25+HK25+HM25+HO25+HQ25+HS25+HU25+HW25+HY25+IA25+IC25+IE25+IG25+II25+IK25+IM25+IO25+IQ25+IS25+IU25+IW25+IY25+JA25+JC25+JE25+JG25+JI25+JK25+JM25+KA25+CK25+CM25+CO25+CQ25+CS25+CU25+CW25+CY25+EY25+FA25+FC25+FE25+FG25+FI25+FK25+FM25</f>
        <v/>
      </c>
      <c r="KD25" s="44">
        <f>JO25+JQ25+JS25+JU25+JW25+JY25</f>
        <v/>
      </c>
      <c r="KE25" s="46">
        <f>KB25=E25</f>
        <v/>
      </c>
      <c r="KF25" s="101">
        <f>E25-KB25</f>
        <v/>
      </c>
      <c r="KG25" s="19" t="n"/>
      <c r="KH25" s="11" t="n"/>
      <c r="KI25" s="11" t="n"/>
      <c r="KJ25" s="11" t="n"/>
      <c r="KK25" s="11" t="n"/>
      <c r="KL25" s="11" t="n"/>
      <c r="KM25" s="11" t="n"/>
      <c r="KN25" s="11" t="n"/>
      <c r="KO25" s="11" t="n"/>
    </row>
    <row r="26" ht="21.75" customFormat="1" customHeight="1" s="19">
      <c r="A26" s="126">
        <f>A25+1</f>
        <v/>
      </c>
      <c r="B26" s="192" t="inlineStr">
        <is>
          <t>Капичников А.С.</t>
        </is>
      </c>
      <c r="C26" s="176" t="inlineStr">
        <is>
          <t>слесарь</t>
        </is>
      </c>
      <c r="D26" s="177">
        <f>$D$5</f>
        <v/>
      </c>
      <c r="E26" s="202" t="n">
        <v>163</v>
      </c>
      <c r="F26" s="178" t="n">
        <v>68902.87</v>
      </c>
      <c r="G26" s="52">
        <f>F26/D26</f>
        <v/>
      </c>
      <c r="H26" s="125" t="n"/>
      <c r="I26" s="107">
        <f>H26*100/$E$26</f>
        <v/>
      </c>
      <c r="J26" s="108" t="n"/>
      <c r="K26" s="107">
        <f>J26*100/$E$26</f>
        <v/>
      </c>
      <c r="L26" s="108" t="n"/>
      <c r="M26" s="107">
        <f>L26*100/$E$26</f>
        <v/>
      </c>
      <c r="N26" s="108" t="n"/>
      <c r="O26" s="107">
        <f>N26*100/$E$26</f>
        <v/>
      </c>
      <c r="P26" s="108" t="n"/>
      <c r="Q26" s="122">
        <f>P26*100/$E$26</f>
        <v/>
      </c>
      <c r="R26" s="108" t="n"/>
      <c r="S26" s="122">
        <f>R26*100/$E$26</f>
        <v/>
      </c>
      <c r="T26" s="108" t="n"/>
      <c r="U26" s="107">
        <f>T26*100/$E$26</f>
        <v/>
      </c>
      <c r="V26" s="108" t="n"/>
      <c r="W26" s="107">
        <f>V26*100/$E$26</f>
        <v/>
      </c>
      <c r="X26" s="108" t="n"/>
      <c r="Y26" s="107">
        <f>X26*100/$E$26</f>
        <v/>
      </c>
      <c r="Z26" s="108" t="n"/>
      <c r="AA26" s="107">
        <f>Z26*100/$E$26</f>
        <v/>
      </c>
      <c r="AB26" s="108" t="n"/>
      <c r="AC26" s="107">
        <f>AB26*100/$E$26</f>
        <v/>
      </c>
      <c r="AD26" s="108" t="n"/>
      <c r="AE26" s="122">
        <f>AD26*100/$E$26</f>
        <v/>
      </c>
      <c r="AF26" s="108" t="n"/>
      <c r="AG26" s="122">
        <f>AF26*100/$E$26</f>
        <v/>
      </c>
      <c r="AH26" s="108" t="n"/>
      <c r="AI26" s="107">
        <f>AH26*100/$E$26</f>
        <v/>
      </c>
      <c r="AJ26" s="108" t="n"/>
      <c r="AK26" s="107">
        <f>AJ26*100/$E$26</f>
        <v/>
      </c>
      <c r="AL26" s="108" t="n"/>
      <c r="AM26" s="107">
        <f>AL26*100/$E$26</f>
        <v/>
      </c>
      <c r="AN26" s="108" t="n"/>
      <c r="AO26" s="107">
        <f>AN26*100/$E$26</f>
        <v/>
      </c>
      <c r="AP26" s="108" t="n"/>
      <c r="AQ26" s="107">
        <f>AP26*100/$E$26</f>
        <v/>
      </c>
      <c r="AR26" s="108" t="n"/>
      <c r="AS26" s="107">
        <f>AR26*100/$E$26</f>
        <v/>
      </c>
      <c r="AT26" s="108" t="n"/>
      <c r="AU26" s="90">
        <f>AT26*100/$E$26</f>
        <v/>
      </c>
      <c r="AV26" s="108" t="n"/>
      <c r="AW26" s="107">
        <f>AV26*100/$E$26</f>
        <v/>
      </c>
      <c r="AX26" s="108" t="n"/>
      <c r="AY26" s="107">
        <f>AX26*100/$E$26</f>
        <v/>
      </c>
      <c r="AZ26" s="108" t="n"/>
      <c r="BA26" s="107">
        <f>AZ26*100/$E$26</f>
        <v/>
      </c>
      <c r="BB26" s="108" t="n"/>
      <c r="BC26" s="107">
        <f>BB26*100/$E$26</f>
        <v/>
      </c>
      <c r="BD26" s="108" t="n"/>
      <c r="BE26" s="107">
        <f>BD26*100/$E$26</f>
        <v/>
      </c>
      <c r="BF26" s="108" t="n"/>
      <c r="BG26" s="107">
        <f>BF26*100/$E$26</f>
        <v/>
      </c>
      <c r="BH26" s="108" t="n"/>
      <c r="BI26" s="107">
        <f>BH26*100/$E$26</f>
        <v/>
      </c>
      <c r="BJ26" s="108" t="n"/>
      <c r="BK26" s="107">
        <f>BJ26*100/$E$26</f>
        <v/>
      </c>
      <c r="BL26" s="108" t="n"/>
      <c r="BM26" s="107">
        <f>BL26*100/$E$26</f>
        <v/>
      </c>
      <c r="BN26" s="108" t="n"/>
      <c r="BO26" s="107">
        <f>BN26*100/$E$26</f>
        <v/>
      </c>
      <c r="BP26" s="108" t="n"/>
      <c r="BQ26" s="107">
        <f>BP26*100/$E$26</f>
        <v/>
      </c>
      <c r="BR26" s="108" t="n"/>
      <c r="BS26" s="107">
        <f>BR26*100/$E$26</f>
        <v/>
      </c>
      <c r="BT26" s="108" t="n"/>
      <c r="BU26" s="107">
        <f>BT26*100/$E$26</f>
        <v/>
      </c>
      <c r="BV26" s="108" t="n"/>
      <c r="BW26" s="107">
        <f>BV26*100/$E$26</f>
        <v/>
      </c>
      <c r="BX26" s="108" t="n"/>
      <c r="BY26" s="107">
        <f>BX26*100/$E$26</f>
        <v/>
      </c>
      <c r="BZ26" s="108" t="n"/>
      <c r="CA26" s="107">
        <f>BZ26*100/$E$26</f>
        <v/>
      </c>
      <c r="CB26" s="108" t="n"/>
      <c r="CC26" s="107">
        <f>CB26*100/$E$26</f>
        <v/>
      </c>
      <c r="CD26" s="108" t="n"/>
      <c r="CE26" s="107">
        <f>CD26*100/$E$26</f>
        <v/>
      </c>
      <c r="CF26" s="108" t="n"/>
      <c r="CG26" s="107">
        <f>CF26*100/$E$26</f>
        <v/>
      </c>
      <c r="CH26" s="108" t="n"/>
      <c r="CI26" s="107">
        <f>CH26*100/$E$26</f>
        <v/>
      </c>
      <c r="CJ26" s="108" t="n"/>
      <c r="CK26" s="107">
        <f>CJ26*100/$E$26</f>
        <v/>
      </c>
      <c r="CL26" s="108" t="n"/>
      <c r="CM26" s="107">
        <f>CL26*100/$E$26</f>
        <v/>
      </c>
      <c r="CN26" s="108" t="n"/>
      <c r="CO26" s="122">
        <f>CN26*100/$E$26</f>
        <v/>
      </c>
      <c r="CP26" s="108" t="n"/>
      <c r="CQ26" s="107">
        <f>CP26*100/$E$26</f>
        <v/>
      </c>
      <c r="CR26" s="108" t="n"/>
      <c r="CS26" s="122">
        <f>CR26*100/$E$26</f>
        <v/>
      </c>
      <c r="CT26" s="108" t="n"/>
      <c r="CU26" s="122">
        <f>CT26*100/$E$26</f>
        <v/>
      </c>
      <c r="CV26" s="108" t="n"/>
      <c r="CW26" s="122">
        <f>CV26*100/$E$26</f>
        <v/>
      </c>
      <c r="CX26" s="108" t="n"/>
      <c r="CY26" s="122">
        <f>CX26*100/$E$26</f>
        <v/>
      </c>
      <c r="CZ26" s="108" t="n"/>
      <c r="DA26" s="122">
        <f>CZ26*100/$E$26</f>
        <v/>
      </c>
      <c r="DB26" s="108" t="n"/>
      <c r="DC26" s="122">
        <f>DB26*100/$E$26</f>
        <v/>
      </c>
      <c r="DD26" s="108" t="n"/>
      <c r="DE26" s="122">
        <f>DD26*100/$E$26</f>
        <v/>
      </c>
      <c r="DF26" s="108" t="n"/>
      <c r="DG26" s="122">
        <f>DF26*100/$E$26</f>
        <v/>
      </c>
      <c r="DH26" s="108" t="n"/>
      <c r="DI26" s="122">
        <f>DH26*100/$E$26</f>
        <v/>
      </c>
      <c r="DJ26" s="108" t="n"/>
      <c r="DK26" s="122">
        <f>DJ26*100/$E$26</f>
        <v/>
      </c>
      <c r="DL26" s="108" t="n"/>
      <c r="DM26" s="122">
        <f>DL26*100/$E$26</f>
        <v/>
      </c>
      <c r="DN26" s="108" t="n"/>
      <c r="DO26" s="122">
        <f>DN26*100/$E$26</f>
        <v/>
      </c>
      <c r="DP26" s="108" t="n">
        <v>80</v>
      </c>
      <c r="DQ26" s="122">
        <f>DP26*100/$E$26</f>
        <v/>
      </c>
      <c r="DR26" s="108" t="n">
        <v>83</v>
      </c>
      <c r="DS26" s="122">
        <f>DR26*100/$E$26</f>
        <v/>
      </c>
      <c r="DT26" s="108" t="n"/>
      <c r="DU26" s="122">
        <f>DT26*100/$E$26</f>
        <v/>
      </c>
      <c r="DV26" s="108" t="n"/>
      <c r="DW26" s="122">
        <f>DV26*100/$E$26</f>
        <v/>
      </c>
      <c r="DX26" s="108" t="n"/>
      <c r="DY26" s="122">
        <f>DX26*100/$E$26</f>
        <v/>
      </c>
      <c r="DZ26" s="108" t="n"/>
      <c r="EA26" s="122">
        <f>DZ26*100/$E$26</f>
        <v/>
      </c>
      <c r="EB26" s="108" t="n"/>
      <c r="EC26" s="122">
        <f>EB26*100/$E$26</f>
        <v/>
      </c>
      <c r="ED26" s="108" t="n"/>
      <c r="EE26" s="122">
        <f>ED26*100/$E$26</f>
        <v/>
      </c>
      <c r="EF26" s="108" t="n"/>
      <c r="EG26" s="122">
        <f>EF26*100/$E$26</f>
        <v/>
      </c>
      <c r="EH26" s="108" t="n"/>
      <c r="EI26" s="122">
        <f>EH26*100/$E$26</f>
        <v/>
      </c>
      <c r="EJ26" s="108" t="n"/>
      <c r="EK26" s="122">
        <f>EJ26*100/$E$26</f>
        <v/>
      </c>
      <c r="EL26" s="108" t="n"/>
      <c r="EM26" s="122">
        <f>EL26*100/$E$26</f>
        <v/>
      </c>
      <c r="EN26" s="108" t="n"/>
      <c r="EO26" s="122">
        <f>EN26*100/$E$26</f>
        <v/>
      </c>
      <c r="EP26" s="108" t="n"/>
      <c r="EQ26" s="122">
        <f>EP26*100/$E$26</f>
        <v/>
      </c>
      <c r="ER26" s="108" t="n"/>
      <c r="ES26" s="122">
        <f>ER26*100/$E$26</f>
        <v/>
      </c>
      <c r="ET26" s="108" t="n"/>
      <c r="EU26" s="122">
        <f>ET26*100/$E$26</f>
        <v/>
      </c>
      <c r="EV26" s="108" t="n"/>
      <c r="EW26" s="122">
        <f>EV26*100/$E$26</f>
        <v/>
      </c>
      <c r="EX26" s="108" t="n"/>
      <c r="EY26" s="122">
        <f>EX26*100/$E$26</f>
        <v/>
      </c>
      <c r="EZ26" s="108" t="n"/>
      <c r="FA26" s="122">
        <f>EZ26*100/$E$26</f>
        <v/>
      </c>
      <c r="FB26" s="108" t="n"/>
      <c r="FC26" s="122">
        <f>FB26*100/$E$26</f>
        <v/>
      </c>
      <c r="FD26" s="108" t="n"/>
      <c r="FE26" s="122">
        <f>FD26*100/$E$26</f>
        <v/>
      </c>
      <c r="FF26" s="108" t="n"/>
      <c r="FG26" s="122">
        <f>FF26*100/$E$26</f>
        <v/>
      </c>
      <c r="FH26" s="108" t="n"/>
      <c r="FI26" s="122">
        <f>FH26*100/$E$26</f>
        <v/>
      </c>
      <c r="FJ26" s="108" t="n"/>
      <c r="FK26" s="122">
        <f>FJ26*100/$E$26</f>
        <v/>
      </c>
      <c r="FL26" s="108" t="n"/>
      <c r="FM26" s="122">
        <f>FL26*100/$E$26</f>
        <v/>
      </c>
      <c r="FN26" s="108" t="n"/>
      <c r="FO26" s="122">
        <f>FN26*100/$E$26</f>
        <v/>
      </c>
      <c r="FP26" s="108" t="n"/>
      <c r="FQ26" s="122">
        <f>FP26*100/$E$26</f>
        <v/>
      </c>
      <c r="FR26" s="108" t="n"/>
      <c r="FS26" s="122">
        <f>FR26*100/$E$26</f>
        <v/>
      </c>
      <c r="FT26" s="108" t="n"/>
      <c r="FU26" s="122">
        <f>FT26*100/$E$26</f>
        <v/>
      </c>
      <c r="FV26" s="108" t="n"/>
      <c r="FW26" s="122">
        <f>FV26*100/$E$26</f>
        <v/>
      </c>
      <c r="FX26" s="108" t="n"/>
      <c r="FY26" s="107">
        <f>FX26*100/$E$26</f>
        <v/>
      </c>
      <c r="FZ26" s="108" t="n"/>
      <c r="GA26" s="107">
        <f>FZ26*100/$E$26</f>
        <v/>
      </c>
      <c r="GB26" s="108" t="n"/>
      <c r="GC26" s="107">
        <f>GB26*100/$E$26</f>
        <v/>
      </c>
      <c r="GD26" s="108" t="n"/>
      <c r="GE26" s="107">
        <f>GD26*100/$E$26</f>
        <v/>
      </c>
      <c r="GF26" s="108" t="n"/>
      <c r="GG26" s="107">
        <f>GF26*100/$E$26</f>
        <v/>
      </c>
      <c r="GH26" s="108" t="n"/>
      <c r="GI26" s="107">
        <f>GH26*100/$E$26</f>
        <v/>
      </c>
      <c r="GJ26" s="108" t="n"/>
      <c r="GK26" s="122">
        <f>GJ26*100/$E$26</f>
        <v/>
      </c>
      <c r="GL26" s="108" t="n"/>
      <c r="GM26" s="107">
        <f>GL26*100/$E$26</f>
        <v/>
      </c>
      <c r="GN26" s="108" t="n"/>
      <c r="GO26" s="122">
        <f>GN26*100/$E$26</f>
        <v/>
      </c>
      <c r="GP26" s="108" t="n"/>
      <c r="GQ26" s="107">
        <f>GP26*100/$E$26</f>
        <v/>
      </c>
      <c r="GR26" s="108" t="n"/>
      <c r="GS26" s="122">
        <f>GR26*100/$E$26</f>
        <v/>
      </c>
      <c r="GT26" s="108" t="n"/>
      <c r="GU26" s="122">
        <f>GT26*100/$E$26</f>
        <v/>
      </c>
      <c r="GV26" s="108" t="n"/>
      <c r="GW26" s="122">
        <f>GV26*100/$E$26</f>
        <v/>
      </c>
      <c r="GX26" s="108" t="n"/>
      <c r="GY26" s="107">
        <f>GX26*100/$E$26</f>
        <v/>
      </c>
      <c r="GZ26" s="108" t="n"/>
      <c r="HA26" s="107">
        <f>GZ26*100/$E$26</f>
        <v/>
      </c>
      <c r="HB26" s="108" t="n"/>
      <c r="HC26" s="107">
        <f>HB26*100/$E$26</f>
        <v/>
      </c>
      <c r="HD26" s="108" t="n"/>
      <c r="HE26" s="107">
        <f>HD26*100/$E$26</f>
        <v/>
      </c>
      <c r="HF26" s="108" t="n"/>
      <c r="HG26" s="107">
        <f>HF26*100/$E$26</f>
        <v/>
      </c>
      <c r="HH26" s="108" t="n"/>
      <c r="HI26" s="107">
        <f>HH26*100/$E$26</f>
        <v/>
      </c>
      <c r="HJ26" s="108" t="n"/>
      <c r="HK26" s="107">
        <f>HJ26*100/$E$26</f>
        <v/>
      </c>
      <c r="HL26" s="108" t="n"/>
      <c r="HM26" s="107">
        <f>HL26*100/$E$26</f>
        <v/>
      </c>
      <c r="HN26" s="108" t="n"/>
      <c r="HO26" s="107">
        <f>HN26*100/$E$26</f>
        <v/>
      </c>
      <c r="HP26" s="108" t="n"/>
      <c r="HQ26" s="107">
        <f>HP26*100/$E$26</f>
        <v/>
      </c>
      <c r="HR26" s="108" t="n"/>
      <c r="HS26" s="107">
        <f>HR26*100/$E$26</f>
        <v/>
      </c>
      <c r="HT26" s="108" t="n"/>
      <c r="HU26" s="107">
        <f>HT26*100/$E$26</f>
        <v/>
      </c>
      <c r="HV26" s="108" t="n"/>
      <c r="HW26" s="107">
        <f>HV26*100/$E$26</f>
        <v/>
      </c>
      <c r="HX26" s="108" t="n"/>
      <c r="HY26" s="107">
        <f>HX26*100/$E$26</f>
        <v/>
      </c>
      <c r="HZ26" s="108" t="n"/>
      <c r="IA26" s="122">
        <f>HZ26*100/$E$26</f>
        <v/>
      </c>
      <c r="IB26" s="108" t="n"/>
      <c r="IC26" s="122">
        <f>IB26*100/$E$26</f>
        <v/>
      </c>
      <c r="ID26" s="108" t="n"/>
      <c r="IE26" s="122">
        <f>ID26*100/$E$26</f>
        <v/>
      </c>
      <c r="IF26" s="108" t="n"/>
      <c r="IG26" s="122">
        <f>IF26*100/$E$26</f>
        <v/>
      </c>
      <c r="IH26" s="108" t="n"/>
      <c r="II26" s="122">
        <f>IH26*100/$E$26</f>
        <v/>
      </c>
      <c r="IJ26" s="108" t="n"/>
      <c r="IK26" s="122">
        <f>IJ26*100/$E$26</f>
        <v/>
      </c>
      <c r="IL26" s="108" t="n"/>
      <c r="IM26" s="107">
        <f>IL26*100/$E$26</f>
        <v/>
      </c>
      <c r="IN26" s="108" t="n"/>
      <c r="IO26" s="107">
        <f>IN26*100/$E$26</f>
        <v/>
      </c>
      <c r="IP26" s="108" t="n"/>
      <c r="IQ26" s="122">
        <f>IP26*100/$E$26</f>
        <v/>
      </c>
      <c r="IR26" s="108" t="n"/>
      <c r="IS26" s="122">
        <f>IR26*100/$E$26</f>
        <v/>
      </c>
      <c r="IT26" s="108" t="n"/>
      <c r="IU26" s="122">
        <f>IT26*100/$E$26</f>
        <v/>
      </c>
      <c r="IV26" s="108" t="n"/>
      <c r="IW26" s="122">
        <f>IV26*100/$E$26</f>
        <v/>
      </c>
      <c r="IX26" s="108" t="n"/>
      <c r="IY26" s="122">
        <f>IX26*100/$E$26</f>
        <v/>
      </c>
      <c r="IZ26" s="108" t="n"/>
      <c r="JA26" s="122">
        <f>IZ26*100/$E$26</f>
        <v/>
      </c>
      <c r="JB26" s="108" t="n"/>
      <c r="JC26" s="122">
        <f>JB26*100/$E$26</f>
        <v/>
      </c>
      <c r="JD26" s="108" t="n"/>
      <c r="JE26" s="122">
        <f>JD26*100/$E$26</f>
        <v/>
      </c>
      <c r="JF26" s="108" t="n"/>
      <c r="JG26" s="122">
        <f>JF26*100/$E$26</f>
        <v/>
      </c>
      <c r="JH26" s="108" t="n"/>
      <c r="JI26" s="122">
        <f>JH26*100/$E$26</f>
        <v/>
      </c>
      <c r="JJ26" s="108" t="n"/>
      <c r="JK26" s="122">
        <f>JJ26*100/$E$26</f>
        <v/>
      </c>
      <c r="JL26" s="108" t="n"/>
      <c r="JM26" s="122">
        <f>JL26*100/$E$26</f>
        <v/>
      </c>
      <c r="JN26" s="108" t="n"/>
      <c r="JO26" s="122">
        <f>JN26*100/$E$26</f>
        <v/>
      </c>
      <c r="JP26" s="108" t="n"/>
      <c r="JQ26" s="122">
        <f>JP26*100/$E$26</f>
        <v/>
      </c>
      <c r="JR26" s="108" t="n"/>
      <c r="JS26" s="122">
        <f>JR26*100/$E$26</f>
        <v/>
      </c>
      <c r="JT26" s="108" t="n"/>
      <c r="JU26" s="122">
        <f>JT26*100/$E$26</f>
        <v/>
      </c>
      <c r="JV26" s="132" t="n"/>
      <c r="JW26" s="122">
        <f>JV26*100/$E$26</f>
        <v/>
      </c>
      <c r="JX26" s="132" t="n"/>
      <c r="JY26" s="122">
        <f>JX26*100/$E$26</f>
        <v/>
      </c>
      <c r="JZ26" s="55">
        <f>JN26+JP26+JR26+JT26+JV26+JX26</f>
        <v/>
      </c>
      <c r="KA26" s="53">
        <f>JO26+JQ26+JS26+JU26+JW26+JY26</f>
        <v/>
      </c>
      <c r="KB26" s="64">
        <f>H26+J26+L26+N26+P26+R26+T26+V26+X26+Z26+AB26+AD26+AF26+AH26+AJ26+AL26+AN26+AP26+AR26+AT26+AV26+AX26+AZ26+BB26+BD26+BF26+BH26+BJ26+BL26+BN26+BP26+BR26+BT26+BV26+BX26+BZ26+CB26+CD26+CF26+CH26+CZ26+DB26+DD26+DF26+DH26+DJ26+DL26+DN26+DP26+DR26+DT26+DV26+DX26+DZ26+EB26+ED26+EF26+EH26+EJ26+EL26+EN26+EP26+ER26+ET26+EV26+FN26+FP26+FR26+FT26+FV26+FX26+FZ26+GB26+GD26+GF26+GH26+GJ26+GL26+GN26+GP26+GR26+GT26+GV26+GX26+GZ26+HB26+HD26+HF26+HH26+HJ26+HL26+HN26+HP26+HR26+HT26+HV26+HX26+HZ26+IB26+ID26+IF26+IH26+IJ26+IL26+IN26+IP26+IR26+IT26+IV26+IX26+IZ26+JB26+JD26+JF26+JH26+JJ26+JL26+JZ26+CJ26+CL26+CN26+CP26+CR26+CT26+CV26+CX26+EX26+EZ26+FB26+FD26+FF26+FH26+FJ26+FL26</f>
        <v/>
      </c>
      <c r="KC26" s="66">
        <f>I26+K26+M26+O26+Q26+S26+U26+W26+Y26+AA26+AC26+AE26+AG26+AI26+AK26+AM26+AO26+AQ26+AS26+AU26+AW26+AY26+BA26+BC26+BE26+BG26+BI26+BK26+BM26+BO26+BQ26+BS26+BU26+BW26+BY26+CA26+CC26+CE26+CG26+CI26+DA26+DC26+DE26+DG26+DI26+DK26+DM26+DO26+DQ26+DS26+DU26+DW26+DY26+EA26+EC26+EE26+EG26+EI26+EK26+EM26+EO26+EQ26+ES26+EU26+EW26+FO26+FS26+FU26+FW26+FQ26+FY26+GA26+GC26+GE26+GG26+GI26+GK26+GM26+GO26+GQ26+GS26+GU26+GW26+GY26+HA26+HC26+HE26+HG26+HI26+HK26+HM26+HO26+HQ26+HS26+HU26+HW26+HY26+IA26+IC26+IE26+IG26+II26+IK26+IM26+IO26+IQ26+IS26+IU26+IW26+IY26+JA26+JC26+JE26+JG26+JI26+JK26+JM26+KA26+CK26+CM26+CO26+CQ26+CS26+CU26+CW26+CY26+EY26+FA26+FC26+FE26+FG26+FI26+FK26+FM26</f>
        <v/>
      </c>
      <c r="KD26" s="44">
        <f>JO26+JQ26+JS26+JU26+JW26+JY26</f>
        <v/>
      </c>
      <c r="KE26" s="46">
        <f>KB26=E26</f>
        <v/>
      </c>
      <c r="KF26" s="101">
        <f>E26-KB26</f>
        <v/>
      </c>
      <c r="KG26" s="20" t="n"/>
    </row>
    <row r="27" ht="21.75" customFormat="1" customHeight="1" s="19">
      <c r="A27" s="126">
        <f>A26+1</f>
        <v/>
      </c>
      <c r="B27" s="192" t="inlineStr">
        <is>
          <t>Кожемякин Е.А.</t>
        </is>
      </c>
      <c r="C27" s="176" t="inlineStr">
        <is>
          <t>сварщик</t>
        </is>
      </c>
      <c r="D27" s="177">
        <f>$D$5</f>
        <v/>
      </c>
      <c r="E27" s="202" t="n">
        <v>0</v>
      </c>
      <c r="F27" s="193" t="n">
        <v>61252.7</v>
      </c>
      <c r="G27" s="52">
        <f>F27/D27</f>
        <v/>
      </c>
      <c r="H27" s="125" t="n"/>
      <c r="I27" s="107">
        <f>H27*100/$E$27</f>
        <v/>
      </c>
      <c r="J27" s="108" t="n"/>
      <c r="K27" s="122">
        <f>J27*100/$E$27</f>
        <v/>
      </c>
      <c r="L27" s="108" t="n"/>
      <c r="M27" s="122">
        <f>L27*100/$E$27</f>
        <v/>
      </c>
      <c r="N27" s="108" t="n"/>
      <c r="O27" s="122">
        <f>N27*100/$E$27</f>
        <v/>
      </c>
      <c r="P27" s="108" t="n"/>
      <c r="Q27" s="122">
        <f>P27*100/$E$27</f>
        <v/>
      </c>
      <c r="R27" s="108" t="n"/>
      <c r="S27" s="122">
        <f>R27*100/$E$27</f>
        <v/>
      </c>
      <c r="T27" s="108" t="n"/>
      <c r="U27" s="122">
        <f>T27*100/$E$27</f>
        <v/>
      </c>
      <c r="V27" s="108" t="n"/>
      <c r="W27" s="107">
        <f>V27*100/$E$27</f>
        <v/>
      </c>
      <c r="X27" s="108" t="n"/>
      <c r="Y27" s="107">
        <f>X27*100/$E$27</f>
        <v/>
      </c>
      <c r="Z27" s="108" t="n"/>
      <c r="AA27" s="122">
        <f>Z27*100/$E$27</f>
        <v/>
      </c>
      <c r="AB27" s="108" t="n"/>
      <c r="AC27" s="107">
        <f>AB27*100/$E$27</f>
        <v/>
      </c>
      <c r="AD27" s="108" t="n"/>
      <c r="AE27" s="122">
        <f>AD27*100/$E$27</f>
        <v/>
      </c>
      <c r="AF27" s="108" t="n"/>
      <c r="AG27" s="107">
        <f>AF27*100/$E$27</f>
        <v/>
      </c>
      <c r="AH27" s="108" t="n"/>
      <c r="AI27" s="107">
        <f>AH27*100/$E$27</f>
        <v/>
      </c>
      <c r="AJ27" s="108" t="n"/>
      <c r="AK27" s="107">
        <f>AJ27*100/$E$27</f>
        <v/>
      </c>
      <c r="AL27" s="108" t="n"/>
      <c r="AM27" s="107">
        <f>AL27*100/$E$27</f>
        <v/>
      </c>
      <c r="AN27" s="108" t="n"/>
      <c r="AO27" s="107">
        <f>AN27*100/$E$27</f>
        <v/>
      </c>
      <c r="AP27" s="108" t="n"/>
      <c r="AQ27" s="107">
        <f>AP27*100/$E$27</f>
        <v/>
      </c>
      <c r="AR27" s="108" t="n"/>
      <c r="AS27" s="107">
        <f>AR27*100/$E$27</f>
        <v/>
      </c>
      <c r="AT27" s="108" t="n"/>
      <c r="AU27" s="90">
        <f>AT27*100/$E$27</f>
        <v/>
      </c>
      <c r="AV27" s="108" t="n"/>
      <c r="AW27" s="107">
        <f>AV27*100/$E$27</f>
        <v/>
      </c>
      <c r="AX27" s="108" t="n"/>
      <c r="AY27" s="107">
        <f>AX27*100/$E$27</f>
        <v/>
      </c>
      <c r="AZ27" s="108" t="n"/>
      <c r="BA27" s="107">
        <f>AZ27*100/$E$27</f>
        <v/>
      </c>
      <c r="BB27" s="108" t="n"/>
      <c r="BC27" s="107">
        <f>BB27*100/$E$27</f>
        <v/>
      </c>
      <c r="BD27" s="108" t="n"/>
      <c r="BE27" s="107">
        <f>BD27*100/$E$27</f>
        <v/>
      </c>
      <c r="BF27" s="108" t="n"/>
      <c r="BG27" s="139">
        <f>BF27*100/$E$27</f>
        <v/>
      </c>
      <c r="BH27" s="108" t="n"/>
      <c r="BI27" s="107">
        <f>BH27*100/$E$27</f>
        <v/>
      </c>
      <c r="BJ27" s="108" t="n"/>
      <c r="BK27" s="107">
        <f>BJ27*100/$E$27</f>
        <v/>
      </c>
      <c r="BL27" s="108" t="n"/>
      <c r="BM27" s="107">
        <f>BL27*100/$E$27</f>
        <v/>
      </c>
      <c r="BN27" s="108" t="n"/>
      <c r="BO27" s="107">
        <f>BN27*100/$E$27</f>
        <v/>
      </c>
      <c r="BP27" s="108" t="n"/>
      <c r="BQ27" s="107">
        <f>BP27*100/$E$27</f>
        <v/>
      </c>
      <c r="BR27" s="108" t="n"/>
      <c r="BS27" s="107">
        <f>BR27*100/$E$27</f>
        <v/>
      </c>
      <c r="BT27" s="108" t="n"/>
      <c r="BU27" s="107">
        <f>BT27*100/$E$27</f>
        <v/>
      </c>
      <c r="BV27" s="108" t="n"/>
      <c r="BW27" s="107">
        <f>BV27*100/$E$27</f>
        <v/>
      </c>
      <c r="BX27" s="108" t="n"/>
      <c r="BY27" s="107">
        <f>BX27*100/$E$27</f>
        <v/>
      </c>
      <c r="BZ27" s="108" t="n"/>
      <c r="CA27" s="107">
        <f>BZ27*100/$E$27</f>
        <v/>
      </c>
      <c r="CB27" s="108" t="n"/>
      <c r="CC27" s="107">
        <f>CB27*100/$E$27</f>
        <v/>
      </c>
      <c r="CD27" s="108" t="n"/>
      <c r="CE27" s="139">
        <f>CD27*100/$E$27</f>
        <v/>
      </c>
      <c r="CF27" s="108" t="n"/>
      <c r="CG27" s="107">
        <f>CF27*100/$E$27</f>
        <v/>
      </c>
      <c r="CH27" s="108" t="n"/>
      <c r="CI27" s="107">
        <f>CH27*100/$E$27</f>
        <v/>
      </c>
      <c r="CJ27" s="108" t="n"/>
      <c r="CK27" s="107">
        <f>CJ27*100/$E$27</f>
        <v/>
      </c>
      <c r="CL27" s="108" t="n"/>
      <c r="CM27" s="107">
        <f>CL27*100/$E$27</f>
        <v/>
      </c>
      <c r="CN27" s="108" t="n"/>
      <c r="CO27" s="122">
        <f>CN27*100/$E$27</f>
        <v/>
      </c>
      <c r="CP27" s="108" t="n"/>
      <c r="CQ27" s="107">
        <f>CP27*100/$E$27</f>
        <v/>
      </c>
      <c r="CR27" s="108" t="n"/>
      <c r="CS27" s="122">
        <f>CR27*100/$E$27</f>
        <v/>
      </c>
      <c r="CT27" s="108" t="n"/>
      <c r="CU27" s="122">
        <f>CT27*100/$E$27</f>
        <v/>
      </c>
      <c r="CV27" s="108" t="n"/>
      <c r="CW27" s="122">
        <f>CV27*100/$E$27</f>
        <v/>
      </c>
      <c r="CX27" s="108" t="n"/>
      <c r="CY27" s="122">
        <f>CX27*100/$E$27</f>
        <v/>
      </c>
      <c r="CZ27" s="108" t="n"/>
      <c r="DA27" s="122">
        <f>CZ27*100/$E$27</f>
        <v/>
      </c>
      <c r="DB27" s="108" t="n"/>
      <c r="DC27" s="122">
        <f>DB27*100/$E$27</f>
        <v/>
      </c>
      <c r="DD27" s="108" t="n"/>
      <c r="DE27" s="122">
        <f>DD27*100/$E$27</f>
        <v/>
      </c>
      <c r="DF27" s="108" t="n"/>
      <c r="DG27" s="122">
        <f>DF27*100/$E$27</f>
        <v/>
      </c>
      <c r="DH27" s="108" t="n"/>
      <c r="DI27" s="122">
        <f>DH27*100/$E$27</f>
        <v/>
      </c>
      <c r="DJ27" s="108" t="n"/>
      <c r="DK27" s="122">
        <f>DJ27*100/$E$27</f>
        <v/>
      </c>
      <c r="DL27" s="108" t="n"/>
      <c r="DM27" s="122">
        <f>DL27*100/$E$27</f>
        <v/>
      </c>
      <c r="DN27" s="108" t="n"/>
      <c r="DO27" s="122">
        <f>DN27*100/$E$27</f>
        <v/>
      </c>
      <c r="DP27" s="108" t="n"/>
      <c r="DQ27" s="122">
        <f>DP27*100/$E$27</f>
        <v/>
      </c>
      <c r="DR27" s="108" t="n"/>
      <c r="DS27" s="139">
        <f>DR27*100/$E$27</f>
        <v/>
      </c>
      <c r="DT27" s="108" t="n"/>
      <c r="DU27" s="122">
        <f>DT27*100/$E$27</f>
        <v/>
      </c>
      <c r="DV27" s="108" t="n"/>
      <c r="DW27" s="122">
        <f>DV27*100/$E$27</f>
        <v/>
      </c>
      <c r="DX27" s="108" t="n"/>
      <c r="DY27" s="122">
        <f>DX27*100/$E$27</f>
        <v/>
      </c>
      <c r="DZ27" s="108" t="n"/>
      <c r="EA27" s="122">
        <f>DZ27*100/$E$27</f>
        <v/>
      </c>
      <c r="EB27" s="108" t="n"/>
      <c r="EC27" s="122">
        <f>EB27*100/$E$27</f>
        <v/>
      </c>
      <c r="ED27" s="108" t="n"/>
      <c r="EE27" s="122">
        <f>ED27*100/$E$27</f>
        <v/>
      </c>
      <c r="EF27" s="108" t="n"/>
      <c r="EG27" s="122">
        <f>EF27*100/$E$27</f>
        <v/>
      </c>
      <c r="EH27" s="108" t="n"/>
      <c r="EI27" s="139">
        <f>EH27*100/$E$27</f>
        <v/>
      </c>
      <c r="EJ27" s="108" t="n"/>
      <c r="EK27" s="139">
        <f>EJ27*100/$E$27</f>
        <v/>
      </c>
      <c r="EL27" s="108" t="n"/>
      <c r="EM27" s="139">
        <f>EL27*100/$E$27</f>
        <v/>
      </c>
      <c r="EN27" s="108" t="n"/>
      <c r="EO27" s="139">
        <f>EN27*100/$E$27</f>
        <v/>
      </c>
      <c r="EP27" s="108" t="n"/>
      <c r="EQ27" s="139">
        <f>EP27*100/$E$27</f>
        <v/>
      </c>
      <c r="ER27" s="108" t="n"/>
      <c r="ES27" s="139">
        <f>ER27*100/$E$27</f>
        <v/>
      </c>
      <c r="ET27" s="108" t="n"/>
      <c r="EU27" s="140">
        <f>ET27*100/$E$27</f>
        <v/>
      </c>
      <c r="EV27" s="108" t="n"/>
      <c r="EW27" s="122">
        <f>EV27*100/$E$27</f>
        <v/>
      </c>
      <c r="EX27" s="108" t="n"/>
      <c r="EY27" s="122">
        <f>EX27*100/$E$27</f>
        <v/>
      </c>
      <c r="EZ27" s="108" t="n"/>
      <c r="FA27" s="122">
        <f>EZ27*100/$E$27</f>
        <v/>
      </c>
      <c r="FB27" s="108" t="n"/>
      <c r="FC27" s="122">
        <f>FB27*100/$E$27</f>
        <v/>
      </c>
      <c r="FD27" s="108" t="n"/>
      <c r="FE27" s="122">
        <f>FD27*100/$E$27</f>
        <v/>
      </c>
      <c r="FF27" s="108" t="n"/>
      <c r="FG27" s="122">
        <f>FF27*100/$E$27</f>
        <v/>
      </c>
      <c r="FH27" s="108" t="n"/>
      <c r="FI27" s="122">
        <f>FH27*100/$E$27</f>
        <v/>
      </c>
      <c r="FJ27" s="108" t="n"/>
      <c r="FK27" s="122">
        <f>FJ27*100/$E$27</f>
        <v/>
      </c>
      <c r="FL27" s="108" t="n"/>
      <c r="FM27" s="122">
        <f>FL27*100/$E$27</f>
        <v/>
      </c>
      <c r="FN27" s="108" t="n"/>
      <c r="FO27" s="122">
        <f>FN27*100/$E$27</f>
        <v/>
      </c>
      <c r="FP27" s="108" t="n"/>
      <c r="FQ27" s="139">
        <f>FP27*100/$E$27</f>
        <v/>
      </c>
      <c r="FR27" s="108" t="n"/>
      <c r="FS27" s="139">
        <f>FR27*100/$E$27</f>
        <v/>
      </c>
      <c r="FT27" s="108" t="n"/>
      <c r="FU27" s="139">
        <f>FT27*100/$E$27</f>
        <v/>
      </c>
      <c r="FV27" s="108" t="n"/>
      <c r="FW27" s="139">
        <f>FV27*100/$E$27</f>
        <v/>
      </c>
      <c r="FX27" s="108" t="n"/>
      <c r="FY27" s="139">
        <f>FX27*100/$E$27</f>
        <v/>
      </c>
      <c r="FZ27" s="108" t="n"/>
      <c r="GA27" s="140">
        <f>FZ27*100/$E$27</f>
        <v/>
      </c>
      <c r="GB27" s="108" t="n"/>
      <c r="GC27" s="140">
        <f>GB27*100/$E$27</f>
        <v/>
      </c>
      <c r="GD27" s="108" t="n"/>
      <c r="GE27" s="139">
        <f>GD27*100/$E$27</f>
        <v/>
      </c>
      <c r="GF27" s="108" t="n"/>
      <c r="GG27" s="140">
        <f>GF27*100/$E$27</f>
        <v/>
      </c>
      <c r="GH27" s="108" t="n"/>
      <c r="GI27" s="139">
        <f>GH27*100/$E$27</f>
        <v/>
      </c>
      <c r="GJ27" s="108" t="n"/>
      <c r="GK27" s="122">
        <f>GJ27*100/$E$27</f>
        <v/>
      </c>
      <c r="GL27" s="108" t="n"/>
      <c r="GM27" s="139">
        <f>GL27*100/$E$27</f>
        <v/>
      </c>
      <c r="GN27" s="133" t="n"/>
      <c r="GO27" s="122">
        <f>GN27*100/$E$27</f>
        <v/>
      </c>
      <c r="GP27" s="133" t="n"/>
      <c r="GQ27" s="139">
        <f>GP27*100/$E$27</f>
        <v/>
      </c>
      <c r="GR27" s="133" t="n"/>
      <c r="GS27" s="122">
        <f>GR27*100/$E$27</f>
        <v/>
      </c>
      <c r="GT27" s="133" t="n"/>
      <c r="GU27" s="122">
        <f>GT27*100/$E$27</f>
        <v/>
      </c>
      <c r="GV27" s="133" t="n"/>
      <c r="GW27" s="139">
        <f>GV27*100/$E$27</f>
        <v/>
      </c>
      <c r="GX27" s="133" t="n"/>
      <c r="GY27" s="139">
        <f>GX27*100/$E$27</f>
        <v/>
      </c>
      <c r="GZ27" s="133" t="n"/>
      <c r="HA27" s="139">
        <f>GZ27*100/$E$27</f>
        <v/>
      </c>
      <c r="HB27" s="133" t="n"/>
      <c r="HC27" s="139">
        <f>HB27*100/$E$27</f>
        <v/>
      </c>
      <c r="HD27" s="133" t="n"/>
      <c r="HE27" s="139">
        <f>HD27*100/$E$27</f>
        <v/>
      </c>
      <c r="HF27" s="133" t="n"/>
      <c r="HG27" s="140">
        <f>HF27*100/$E$27</f>
        <v/>
      </c>
      <c r="HH27" s="133" t="n"/>
      <c r="HI27" s="140">
        <f>HH27*100/$E$27</f>
        <v/>
      </c>
      <c r="HJ27" s="133" t="n"/>
      <c r="HK27" s="139">
        <f>HJ27*100/$E$27</f>
        <v/>
      </c>
      <c r="HL27" s="133" t="n"/>
      <c r="HM27" s="140">
        <f>HL27*100/$E$27</f>
        <v/>
      </c>
      <c r="HN27" s="133" t="n"/>
      <c r="HO27" s="139">
        <f>HN27*100/$E$27</f>
        <v/>
      </c>
      <c r="HP27" s="133" t="n"/>
      <c r="HQ27" s="140">
        <f>HP27*100/$E$27</f>
        <v/>
      </c>
      <c r="HR27" s="133" t="n"/>
      <c r="HS27" s="139">
        <f>HR27*100/$E$27</f>
        <v/>
      </c>
      <c r="HT27" s="133" t="n"/>
      <c r="HU27" s="140">
        <f>HT27*100/$E$27</f>
        <v/>
      </c>
      <c r="HV27" s="133" t="n"/>
      <c r="HW27" s="139">
        <f>HV27*100/$E$27</f>
        <v/>
      </c>
      <c r="HX27" s="108" t="n"/>
      <c r="HY27" s="140">
        <f>HX27*100/$E$27</f>
        <v/>
      </c>
      <c r="HZ27" s="108" t="n"/>
      <c r="IA27" s="122">
        <f>HZ27*100/$E$27</f>
        <v/>
      </c>
      <c r="IB27" s="108" t="n"/>
      <c r="IC27" s="122">
        <f>IB27*100/$E$27</f>
        <v/>
      </c>
      <c r="ID27" s="133" t="n"/>
      <c r="IE27" s="122">
        <f>ID27*100/$E$27</f>
        <v/>
      </c>
      <c r="IF27" s="108" t="n"/>
      <c r="IG27" s="122">
        <f>IF27*100/$E$27</f>
        <v/>
      </c>
      <c r="IH27" s="108" t="n"/>
      <c r="II27" s="122">
        <f>IH27*100/$E$27</f>
        <v/>
      </c>
      <c r="IJ27" s="108" t="n"/>
      <c r="IK27" s="122">
        <f>IJ27*100/$E$27</f>
        <v/>
      </c>
      <c r="IL27" s="108" t="n"/>
      <c r="IM27" s="140">
        <f>IL27*100/$E$27</f>
        <v/>
      </c>
      <c r="IN27" s="108" t="n"/>
      <c r="IO27" s="140">
        <f>IN27*100/$E$27</f>
        <v/>
      </c>
      <c r="IP27" s="108" t="n"/>
      <c r="IQ27" s="122">
        <f>IP27*100/$E$27</f>
        <v/>
      </c>
      <c r="IR27" s="108" t="n"/>
      <c r="IS27" s="122">
        <f>IR27*100/$E$27</f>
        <v/>
      </c>
      <c r="IT27" s="108" t="n"/>
      <c r="IU27" s="122">
        <f>IT27*100/$E$27</f>
        <v/>
      </c>
      <c r="IV27" s="133" t="n"/>
      <c r="IW27" s="122">
        <f>IV27*100/$E$27</f>
        <v/>
      </c>
      <c r="IX27" s="133" t="n"/>
      <c r="IY27" s="122">
        <f>IX27*100/$E$27</f>
        <v/>
      </c>
      <c r="IZ27" s="133" t="n"/>
      <c r="JA27" s="122">
        <f>IZ27*100/$E$27</f>
        <v/>
      </c>
      <c r="JB27" s="108" t="n"/>
      <c r="JC27" s="122">
        <f>JB27*100/$E$27</f>
        <v/>
      </c>
      <c r="JD27" s="108" t="n"/>
      <c r="JE27" s="122">
        <f>JD27*100/$E$27</f>
        <v/>
      </c>
      <c r="JF27" s="133" t="n"/>
      <c r="JG27" s="139">
        <f>JF27*100/$E$27</f>
        <v/>
      </c>
      <c r="JH27" s="133" t="n"/>
      <c r="JI27" s="122">
        <f>JH27*100/$E$27</f>
        <v/>
      </c>
      <c r="JJ27" s="133" t="n"/>
      <c r="JK27" s="139">
        <f>JJ27*100/$E$27</f>
        <v/>
      </c>
      <c r="JL27" s="108" t="n"/>
      <c r="JM27" s="122">
        <f>JL27*100/$E$27</f>
        <v/>
      </c>
      <c r="JN27" s="108" t="n"/>
      <c r="JO27" s="122">
        <f>JN27*100/$E$27</f>
        <v/>
      </c>
      <c r="JP27" s="108" t="n"/>
      <c r="JQ27" s="122">
        <f>JP27*100/$E$27</f>
        <v/>
      </c>
      <c r="JR27" s="108" t="n"/>
      <c r="JS27" s="122">
        <f>JR27*100/$E$27</f>
        <v/>
      </c>
      <c r="JT27" s="108" t="n"/>
      <c r="JU27" s="122">
        <f>JT27*100/$E$27</f>
        <v/>
      </c>
      <c r="JV27" s="108" t="n"/>
      <c r="JW27" s="122">
        <f>JV27*100/$E$27</f>
        <v/>
      </c>
      <c r="JX27" s="108" t="n"/>
      <c r="JY27" s="122">
        <f>JX27*100/$E$27</f>
        <v/>
      </c>
      <c r="JZ27" s="55">
        <f>JN27+JP27+JR27+JT27+JV27+JX27</f>
        <v/>
      </c>
      <c r="KA27" s="53">
        <f>JO27+JQ27+JS27+JU27+JW27+JY27</f>
        <v/>
      </c>
      <c r="KB27" s="64">
        <f>H27+J27+L27+N27+P27+R27+T27+V27+X27+Z27+AB27+AD27+AF27+AH27+AJ27+AL27+AN27+AP27+AR27+AT27+AV27+AX27+AZ27+BB27+BD27+BF27+BH27+BJ27+BL27+BN27+BP27+BR27+BT27+BV27+BX27+BZ27+CB27+CD27+CF27+CH27+CZ27+DB27+DD27+DF27+DH27+DJ27+DL27+DN27+DP27+DR27+DT27+DV27+DX27+DZ27+EB27+ED27+EF27+EH27+EJ27+EL27+EN27+EP27+ER27+ET27+EV27+FN27+FP27+FR27+FT27+FV27+FX27+FZ27+GB27+GD27+GF27+GH27+GJ27+GL27+GN27+GP27+GR27+GT27+GV27+GX27+GZ27+HB27+HD27+HF27+HH27+HJ27+HL27+HN27+HP27+HR27+HT27+HV27+HX27+HZ27+IB27+ID27+IF27+IH27+IJ27+IL27+IN27+IP27+IR27+IT27+IV27+IX27+IZ27+JB27+JD27+JF27+JH27+JJ27+JL27+JZ27+CJ27+CL27+CN27+CP27+CR27+CT27+CV27+CX27+EX27+EZ27+FB27+FD27+FF27+FH27+FJ27+FL27</f>
        <v/>
      </c>
      <c r="KC27" s="66">
        <f>I27+K27+M27+O27+Q27+S27+U27+W27+Y27+AA27+AC27+AE27+AG27+AI27+AK27+AM27+AO27+AQ27+AS27+AU27+AW27+AY27+BA27+BC27+BE27+BG27+BI27+BK27+BM27+BO27+BQ27+BS27+BU27+BW27+BY27+CA27+CC27+CE27+CG27+CI27+DA27+DC27+DE27+DG27+DI27+DK27+DM27+DO27+DQ27+DS27+DU27+DW27+DY27+EA27+EC27+EE27+EG27+EI27+EK27+EM27+EO27+EQ27+ES27+EU27+EW27+FO27+FS27+FU27+FW27+FQ27+FY27+GA27+GC27+GE27+GG27+GI27+GK27+GM27+GO27+GQ27+GS27+GU27+GW27+GY27+HA27+HC27+HE27+HG27+HI27+HK27+HM27+HO27+HQ27+HS27+HU27+HW27+HY27+IA27+IC27+IE27+IG27+II27+IK27+IM27+IO27+IQ27+IS27+IU27+IW27+IY27+JA27+JC27+JE27+JG27+JI27+JK27+JM27+KA27+CK27+CM27+CO27+CQ27+CS27+CU27+CW27+CY27+EY27+FA27+FC27+FE27+FG27+FI27+FK27+FM27</f>
        <v/>
      </c>
      <c r="KD27" s="44">
        <f>JO27+JQ27+JS27+JU27+JW27+JY27</f>
        <v/>
      </c>
      <c r="KE27" s="46">
        <f>KB27=E27</f>
        <v/>
      </c>
      <c r="KF27" s="101">
        <f>E27-KB27</f>
        <v/>
      </c>
      <c r="KG27" s="138" t="n"/>
    </row>
    <row r="28" ht="21.75" customFormat="1" customHeight="1" s="15">
      <c r="A28" s="126">
        <f>A27+1</f>
        <v/>
      </c>
      <c r="B28" s="175" t="inlineStr">
        <is>
          <t>Корюков А.А.</t>
        </is>
      </c>
      <c r="C28" s="176" t="inlineStr">
        <is>
          <t>токарь</t>
        </is>
      </c>
      <c r="D28" s="177">
        <f>$D$5</f>
        <v/>
      </c>
      <c r="E28" s="202" t="n">
        <v>188</v>
      </c>
      <c r="F28" s="193" t="n">
        <v>126438.55</v>
      </c>
      <c r="G28" s="52">
        <f>F28/D28</f>
        <v/>
      </c>
      <c r="H28" s="125" t="n"/>
      <c r="I28" s="107">
        <f>H28*100/$E$28</f>
        <v/>
      </c>
      <c r="J28" s="108" t="n"/>
      <c r="K28" s="107">
        <f>J28*100/$E$28</f>
        <v/>
      </c>
      <c r="L28" s="108" t="n"/>
      <c r="M28" s="107">
        <f>L28*100/$E$28</f>
        <v/>
      </c>
      <c r="N28" s="108" t="n"/>
      <c r="O28" s="107">
        <f>N28*100/$E$28</f>
        <v/>
      </c>
      <c r="P28" s="108" t="n"/>
      <c r="Q28" s="122">
        <f>P28*100/$E$28</f>
        <v/>
      </c>
      <c r="R28" s="108" t="n">
        <v>4</v>
      </c>
      <c r="S28" s="122">
        <f>R28*100/$E$28</f>
        <v/>
      </c>
      <c r="T28" s="108" t="n"/>
      <c r="U28" s="107">
        <f>T28*100/$E$28</f>
        <v/>
      </c>
      <c r="V28" s="108" t="n"/>
      <c r="W28" s="107">
        <f>V28*100/$E$28</f>
        <v/>
      </c>
      <c r="X28" s="108" t="n"/>
      <c r="Y28" s="107">
        <f>X28*100/$E$28</f>
        <v/>
      </c>
      <c r="Z28" s="108" t="n"/>
      <c r="AA28" s="107">
        <f>Z28*100/$E$28</f>
        <v/>
      </c>
      <c r="AB28" s="108" t="n"/>
      <c r="AC28" s="107">
        <f>AB28*100/$E$28</f>
        <v/>
      </c>
      <c r="AD28" s="108" t="n"/>
      <c r="AE28" s="122">
        <f>AD28*100/$E$28</f>
        <v/>
      </c>
      <c r="AF28" s="108" t="n"/>
      <c r="AG28" s="122">
        <f>AF28*100/$E$28</f>
        <v/>
      </c>
      <c r="AH28" s="108" t="n"/>
      <c r="AI28" s="107">
        <f>AH28*100/$E$28</f>
        <v/>
      </c>
      <c r="AJ28" s="108" t="n"/>
      <c r="AK28" s="107">
        <f>AJ28*100/$E$28</f>
        <v/>
      </c>
      <c r="AL28" s="108" t="n"/>
      <c r="AM28" s="107">
        <f>AL28*100/$E$28</f>
        <v/>
      </c>
      <c r="AN28" s="108" t="n"/>
      <c r="AO28" s="107">
        <f>AN28*100/$E$28</f>
        <v/>
      </c>
      <c r="AP28" s="108" t="n"/>
      <c r="AQ28" s="107">
        <f>AP28*100/$E$28</f>
        <v/>
      </c>
      <c r="AR28" s="108" t="n"/>
      <c r="AS28" s="107">
        <f>AR28*100/$E$28</f>
        <v/>
      </c>
      <c r="AT28" s="108" t="n"/>
      <c r="AU28" s="90">
        <f>AT28*100/$E$28</f>
        <v/>
      </c>
      <c r="AV28" s="108" t="n"/>
      <c r="AW28" s="107">
        <f>AV28*100/$E$28</f>
        <v/>
      </c>
      <c r="AX28" s="108" t="n">
        <v>11</v>
      </c>
      <c r="AY28" s="107">
        <f>AX28*100/$E$28</f>
        <v/>
      </c>
      <c r="AZ28" s="108" t="n"/>
      <c r="BA28" s="107">
        <f>AZ28*100/$E$28</f>
        <v/>
      </c>
      <c r="BB28" s="108" t="n"/>
      <c r="BC28" s="107">
        <f>BB28*100/$E$28</f>
        <v/>
      </c>
      <c r="BD28" s="108" t="n"/>
      <c r="BE28" s="107">
        <f>BD28*100/$E$28</f>
        <v/>
      </c>
      <c r="BF28" s="108" t="n"/>
      <c r="BG28" s="107">
        <f>BF28*100/$E$28</f>
        <v/>
      </c>
      <c r="BH28" s="108" t="n">
        <v>8</v>
      </c>
      <c r="BI28" s="107">
        <f>BH28*100/$E$28</f>
        <v/>
      </c>
      <c r="BJ28" s="108" t="n"/>
      <c r="BK28" s="107">
        <f>BJ28*100/$E$28</f>
        <v/>
      </c>
      <c r="BL28" s="108" t="n"/>
      <c r="BM28" s="107">
        <f>BL28*100/$E$28</f>
        <v/>
      </c>
      <c r="BN28" s="108" t="n"/>
      <c r="BO28" s="107">
        <f>BN28*100/$E$28</f>
        <v/>
      </c>
      <c r="BP28" s="108" t="n"/>
      <c r="BQ28" s="107">
        <f>BP28*100/$E$28</f>
        <v/>
      </c>
      <c r="BR28" s="108" t="n"/>
      <c r="BS28" s="107">
        <f>BR28*100/$E$28</f>
        <v/>
      </c>
      <c r="BT28" s="108" t="n">
        <v>14</v>
      </c>
      <c r="BU28" s="107">
        <f>BT28*100/$E$28</f>
        <v/>
      </c>
      <c r="BV28" s="108" t="n"/>
      <c r="BW28" s="107">
        <f>BV28*100/$E$28</f>
        <v/>
      </c>
      <c r="BX28" s="108" t="n"/>
      <c r="BY28" s="107">
        <f>BX28*100/$E$28</f>
        <v/>
      </c>
      <c r="BZ28" s="108" t="n"/>
      <c r="CA28" s="107">
        <f>BZ28*100/$E$28</f>
        <v/>
      </c>
      <c r="CB28" s="108" t="n"/>
      <c r="CC28" s="107">
        <f>CB28*100/$E$28</f>
        <v/>
      </c>
      <c r="CD28" s="108" t="n"/>
      <c r="CE28" s="107">
        <f>CD28*100/$E$28</f>
        <v/>
      </c>
      <c r="CF28" s="108" t="n"/>
      <c r="CG28" s="107">
        <f>CF28*100/$E$28</f>
        <v/>
      </c>
      <c r="CH28" s="108" t="n"/>
      <c r="CI28" s="107">
        <f>CH28*100/$E$28</f>
        <v/>
      </c>
      <c r="CJ28" s="108" t="n"/>
      <c r="CK28" s="107">
        <f>CJ28*100/$E$28</f>
        <v/>
      </c>
      <c r="CL28" s="108" t="n"/>
      <c r="CM28" s="107">
        <f>CL28*100/$E$28</f>
        <v/>
      </c>
      <c r="CN28" s="108" t="n"/>
      <c r="CO28" s="122">
        <f>CN28*100/$E$28</f>
        <v/>
      </c>
      <c r="CP28" s="108" t="n"/>
      <c r="CQ28" s="107">
        <f>CP28*100/$E$28</f>
        <v/>
      </c>
      <c r="CR28" s="108" t="n"/>
      <c r="CS28" s="122">
        <f>CR28*100/$E$28</f>
        <v/>
      </c>
      <c r="CT28" s="108" t="n"/>
      <c r="CU28" s="122">
        <f>CT28*100/$E$28</f>
        <v/>
      </c>
      <c r="CV28" s="108" t="n"/>
      <c r="CW28" s="122">
        <f>CV28*100/$E$28</f>
        <v/>
      </c>
      <c r="CX28" s="108" t="n"/>
      <c r="CY28" s="122">
        <f>CX28*100/$E$28</f>
        <v/>
      </c>
      <c r="CZ28" s="108" t="n"/>
      <c r="DA28" s="122">
        <f>CZ28*100/$E$28</f>
        <v/>
      </c>
      <c r="DB28" s="108" t="n"/>
      <c r="DC28" s="122">
        <f>DB28*100/$E$28</f>
        <v/>
      </c>
      <c r="DD28" s="108" t="n"/>
      <c r="DE28" s="122">
        <f>DD28*100/$E$28</f>
        <v/>
      </c>
      <c r="DF28" s="108" t="n"/>
      <c r="DG28" s="122">
        <f>DF28*100/$E$28</f>
        <v/>
      </c>
      <c r="DH28" s="108" t="n"/>
      <c r="DI28" s="122">
        <f>DH28*100/$E$28</f>
        <v/>
      </c>
      <c r="DJ28" s="108" t="n"/>
      <c r="DK28" s="122">
        <f>DJ28*100/$E$28</f>
        <v/>
      </c>
      <c r="DL28" s="108" t="n"/>
      <c r="DM28" s="122">
        <f>DL28*100/$E$28</f>
        <v/>
      </c>
      <c r="DN28" s="108" t="n"/>
      <c r="DO28" s="122">
        <f>DN28*100/$E$28</f>
        <v/>
      </c>
      <c r="DP28" s="108" t="n">
        <v>5</v>
      </c>
      <c r="DQ28" s="122">
        <f>DP28*100/$E$28</f>
        <v/>
      </c>
      <c r="DR28" s="108" t="n">
        <v>15</v>
      </c>
      <c r="DS28" s="122">
        <f>DR28*100/$E$28</f>
        <v/>
      </c>
      <c r="DT28" s="108" t="n"/>
      <c r="DU28" s="122">
        <f>DT28*100/$E$28</f>
        <v/>
      </c>
      <c r="DV28" s="108" t="n"/>
      <c r="DW28" s="122">
        <f>DV28*100/$E$28</f>
        <v/>
      </c>
      <c r="DX28" s="108" t="n"/>
      <c r="DY28" s="122">
        <f>DX28*100/$E$28</f>
        <v/>
      </c>
      <c r="DZ28" s="108" t="n"/>
      <c r="EA28" s="122">
        <f>DZ28*100/$E$28</f>
        <v/>
      </c>
      <c r="EB28" s="108" t="n"/>
      <c r="EC28" s="122">
        <f>EB28*100/$E$28</f>
        <v/>
      </c>
      <c r="ED28" s="108" t="n">
        <v>100</v>
      </c>
      <c r="EE28" s="122">
        <f>ED28*100/$E$28</f>
        <v/>
      </c>
      <c r="EF28" s="108" t="n"/>
      <c r="EG28" s="122">
        <f>EF28*100/$E$28</f>
        <v/>
      </c>
      <c r="EH28" s="108" t="n"/>
      <c r="EI28" s="122">
        <f>EH28*100/$E$28</f>
        <v/>
      </c>
      <c r="EJ28" s="108" t="n"/>
      <c r="EK28" s="122">
        <f>EJ28*100/$E$28</f>
        <v/>
      </c>
      <c r="EL28" s="108" t="n">
        <v>8</v>
      </c>
      <c r="EM28" s="122">
        <f>EL28*100/$E$28</f>
        <v/>
      </c>
      <c r="EN28" s="108" t="n"/>
      <c r="EO28" s="122">
        <f>EN28*100/$E$28</f>
        <v/>
      </c>
      <c r="EP28" s="108" t="n"/>
      <c r="EQ28" s="122">
        <f>EP28*100/$E$28</f>
        <v/>
      </c>
      <c r="ER28" s="108" t="n"/>
      <c r="ES28" s="122">
        <f>ER28*100/$E$28</f>
        <v/>
      </c>
      <c r="ET28" s="108" t="n"/>
      <c r="EU28" s="122">
        <f>ET28*100/$E$28</f>
        <v/>
      </c>
      <c r="EV28" s="108" t="n"/>
      <c r="EW28" s="122">
        <f>EV28*100/$E$28</f>
        <v/>
      </c>
      <c r="EX28" s="108" t="n"/>
      <c r="EY28" s="122">
        <f>EX28*100/$E$28</f>
        <v/>
      </c>
      <c r="EZ28" s="108" t="n"/>
      <c r="FA28" s="122">
        <f>EZ28*100/$E$28</f>
        <v/>
      </c>
      <c r="FB28" s="108" t="n"/>
      <c r="FC28" s="122">
        <f>FB28*100/$E$28</f>
        <v/>
      </c>
      <c r="FD28" s="108" t="n"/>
      <c r="FE28" s="122">
        <f>FD28*100/$E$28</f>
        <v/>
      </c>
      <c r="FF28" s="108" t="n"/>
      <c r="FG28" s="122">
        <f>FF28*100/$E$28</f>
        <v/>
      </c>
      <c r="FH28" s="108" t="n"/>
      <c r="FI28" s="122">
        <f>FH28*100/$E$28</f>
        <v/>
      </c>
      <c r="FJ28" s="108" t="n"/>
      <c r="FK28" s="122">
        <f>FJ28*100/$E$28</f>
        <v/>
      </c>
      <c r="FL28" s="108" t="n"/>
      <c r="FM28" s="122">
        <f>FL28*100/$E$28</f>
        <v/>
      </c>
      <c r="FN28" s="108" t="n"/>
      <c r="FO28" s="122">
        <f>FN28*100/$E$28</f>
        <v/>
      </c>
      <c r="FP28" s="108" t="n"/>
      <c r="FQ28" s="122">
        <f>FP28*100/$E$28</f>
        <v/>
      </c>
      <c r="FR28" s="108" t="n"/>
      <c r="FS28" s="122">
        <f>FR28*100/$E$28</f>
        <v/>
      </c>
      <c r="FT28" s="108" t="n">
        <v>23</v>
      </c>
      <c r="FU28" s="122">
        <f>FT28*100/$E$28</f>
        <v/>
      </c>
      <c r="FV28" s="108" t="n"/>
      <c r="FW28" s="122">
        <f>FV28*100/$E$28</f>
        <v/>
      </c>
      <c r="FX28" s="108" t="n"/>
      <c r="FY28" s="107">
        <f>FX28*100/$E$28</f>
        <v/>
      </c>
      <c r="FZ28" s="108" t="n"/>
      <c r="GA28" s="107">
        <f>FZ28*100/$E$28</f>
        <v/>
      </c>
      <c r="GB28" s="108" t="n"/>
      <c r="GC28" s="107">
        <f>GB28*100/$E$28</f>
        <v/>
      </c>
      <c r="GD28" s="108" t="n"/>
      <c r="GE28" s="107">
        <f>GD28*100/$E$28</f>
        <v/>
      </c>
      <c r="GF28" s="108" t="n"/>
      <c r="GG28" s="107">
        <f>GF28*100/$E$28</f>
        <v/>
      </c>
      <c r="GH28" s="108" t="n"/>
      <c r="GI28" s="107">
        <f>GH28*100/$E$28</f>
        <v/>
      </c>
      <c r="GJ28" s="108" t="n"/>
      <c r="GK28" s="122">
        <f>GJ28*100/$E$28</f>
        <v/>
      </c>
      <c r="GL28" s="108" t="n"/>
      <c r="GM28" s="107">
        <f>GL28*100/$E$28</f>
        <v/>
      </c>
      <c r="GN28" s="108" t="n"/>
      <c r="GO28" s="122">
        <f>GN28*100/$E$28</f>
        <v/>
      </c>
      <c r="GP28" s="108" t="n"/>
      <c r="GQ28" s="107">
        <f>GP28*100/$E$28</f>
        <v/>
      </c>
      <c r="GR28" s="108" t="n"/>
      <c r="GS28" s="122">
        <f>GR28*100/$E$28</f>
        <v/>
      </c>
      <c r="GT28" s="108" t="n"/>
      <c r="GU28" s="122">
        <f>GT28*100/$E$28</f>
        <v/>
      </c>
      <c r="GV28" s="108" t="n"/>
      <c r="GW28" s="122">
        <f>GV28*100/$E$28</f>
        <v/>
      </c>
      <c r="GX28" s="108" t="n"/>
      <c r="GY28" s="107">
        <f>GX28*100/$E$28</f>
        <v/>
      </c>
      <c r="GZ28" s="108" t="n"/>
      <c r="HA28" s="107">
        <f>GZ28*100/$E$28</f>
        <v/>
      </c>
      <c r="HB28" s="108" t="n"/>
      <c r="HC28" s="107">
        <f>HB28*100/$E$28</f>
        <v/>
      </c>
      <c r="HD28" s="108" t="n"/>
      <c r="HE28" s="107">
        <f>HD28*100/$E$28</f>
        <v/>
      </c>
      <c r="HF28" s="108" t="n"/>
      <c r="HG28" s="107">
        <f>HF28*100/$E$28</f>
        <v/>
      </c>
      <c r="HH28" s="108" t="n"/>
      <c r="HI28" s="107">
        <f>HH28*100/$E$28</f>
        <v/>
      </c>
      <c r="HJ28" s="108" t="n"/>
      <c r="HK28" s="107">
        <f>HJ28*100/$E$28</f>
        <v/>
      </c>
      <c r="HL28" s="108" t="n"/>
      <c r="HM28" s="107">
        <f>HL28*100/$E$28</f>
        <v/>
      </c>
      <c r="HN28" s="108" t="n"/>
      <c r="HO28" s="107">
        <f>HN28*100/$E$28</f>
        <v/>
      </c>
      <c r="HP28" s="108" t="n"/>
      <c r="HQ28" s="107">
        <f>HP28*100/$E$28</f>
        <v/>
      </c>
      <c r="HR28" s="108" t="n"/>
      <c r="HS28" s="107">
        <f>HR28*100/$E$28</f>
        <v/>
      </c>
      <c r="HT28" s="108" t="n"/>
      <c r="HU28" s="107">
        <f>HT28*100/$E$28</f>
        <v/>
      </c>
      <c r="HV28" s="108" t="n"/>
      <c r="HW28" s="107">
        <f>HV28*100/$E$28</f>
        <v/>
      </c>
      <c r="HX28" s="108" t="n"/>
      <c r="HY28" s="107">
        <f>HX28*100/$E$28</f>
        <v/>
      </c>
      <c r="HZ28" s="108" t="n"/>
      <c r="IA28" s="122">
        <f>HZ28*100/$E$28</f>
        <v/>
      </c>
      <c r="IB28" s="108" t="n"/>
      <c r="IC28" s="122">
        <f>IB28*100/$E$28</f>
        <v/>
      </c>
      <c r="ID28" s="108" t="n"/>
      <c r="IE28" s="122">
        <f>ID28*100/$E$28</f>
        <v/>
      </c>
      <c r="IF28" s="108" t="n"/>
      <c r="IG28" s="122">
        <f>IF28*100/$E$28</f>
        <v/>
      </c>
      <c r="IH28" s="108" t="n"/>
      <c r="II28" s="122">
        <f>IH28*100/$E$28</f>
        <v/>
      </c>
      <c r="IJ28" s="108" t="n"/>
      <c r="IK28" s="122">
        <f>IJ28*100/$E$28</f>
        <v/>
      </c>
      <c r="IL28" s="108" t="n"/>
      <c r="IM28" s="107">
        <f>IL28*100/$E$28</f>
        <v/>
      </c>
      <c r="IN28" s="108" t="n"/>
      <c r="IO28" s="107">
        <f>IN28*100/$E$28</f>
        <v/>
      </c>
      <c r="IP28" s="108" t="n"/>
      <c r="IQ28" s="122">
        <f>IP28*100/$E$28</f>
        <v/>
      </c>
      <c r="IR28" s="108" t="n"/>
      <c r="IS28" s="122">
        <f>IR28*100/$E$28</f>
        <v/>
      </c>
      <c r="IT28" s="108" t="n"/>
      <c r="IU28" s="122">
        <f>IT28*100/$E$28</f>
        <v/>
      </c>
      <c r="IV28" s="108" t="n"/>
      <c r="IW28" s="122">
        <f>IV28*100/$E$28</f>
        <v/>
      </c>
      <c r="IX28" s="108" t="n"/>
      <c r="IY28" s="122">
        <f>IX28*100/$E$28</f>
        <v/>
      </c>
      <c r="IZ28" s="108" t="n"/>
      <c r="JA28" s="122">
        <f>IZ28*100/$E$28</f>
        <v/>
      </c>
      <c r="JB28" s="108" t="n"/>
      <c r="JC28" s="122">
        <f>JB28*100/$E$28</f>
        <v/>
      </c>
      <c r="JD28" s="108" t="n"/>
      <c r="JE28" s="122">
        <f>JD28*100/$E$28</f>
        <v/>
      </c>
      <c r="JF28" s="108" t="n"/>
      <c r="JG28" s="122">
        <f>JF28*100/$E$28</f>
        <v/>
      </c>
      <c r="JH28" s="108" t="n"/>
      <c r="JI28" s="122">
        <f>JH28*100/$E$28</f>
        <v/>
      </c>
      <c r="JJ28" s="108" t="n"/>
      <c r="JK28" s="122">
        <f>JJ28*100/$E$28</f>
        <v/>
      </c>
      <c r="JL28" s="108" t="n"/>
      <c r="JM28" s="122">
        <f>JL28*100/$E$28</f>
        <v/>
      </c>
      <c r="JN28" s="108" t="n"/>
      <c r="JO28" s="121">
        <f>JN28*100/$E$28</f>
        <v/>
      </c>
      <c r="JP28" s="108" t="n"/>
      <c r="JQ28" s="121">
        <f>JP28*100/$E$28</f>
        <v/>
      </c>
      <c r="JR28" s="108" t="n"/>
      <c r="JS28" s="121">
        <f>JR28*100/$E$28</f>
        <v/>
      </c>
      <c r="JT28" s="108" t="n"/>
      <c r="JU28" s="121">
        <f>JT28*100/$E$28</f>
        <v/>
      </c>
      <c r="JV28" s="108" t="n"/>
      <c r="JW28" s="121">
        <f>JV28*100/$E$28</f>
        <v/>
      </c>
      <c r="JX28" s="108" t="n"/>
      <c r="JY28" s="121">
        <f>JX28*100/$E$28</f>
        <v/>
      </c>
      <c r="JZ28" s="55">
        <f>JN28+JP28+JR28+JT28+JV28+JX28</f>
        <v/>
      </c>
      <c r="KA28" s="53">
        <f>JO28+JQ28+JS28+JU28+JW28+JY28</f>
        <v/>
      </c>
      <c r="KB28" s="64">
        <f>H28+J28+L28+N28+P28+R28+T28+V28+X28+Z28+AB28+AD28+AF28+AH28+AJ28+AL28+AN28+AP28+AR28+AT28+AV28+AX28+AZ28+BB28+BD28+BF28+BH28+BJ28+BL28+BN28+BP28+BR28+BT28+BV28+BX28+BZ28+CB28+CD28+CF28+CH28+CZ28+DB28+DD28+DF28+DH28+DJ28+DL28+DN28+DP28+DR28+DT28+DV28+DX28+DZ28+EB28+ED28+EF28+EH28+EJ28+EL28+EN28+EP28+ER28+ET28+EV28+FN28+FP28+FR28+FT28+FV28+FX28+FZ28+GB28+GD28+GF28+GH28+GJ28+GL28+GN28+GP28+GR28+GT28+GV28+GX28+GZ28+HB28+HD28+HF28+HH28+HJ28+HL28+HN28+HP28+HR28+HT28+HV28+HX28+HZ28+IB28+ID28+IF28+IH28+IJ28+IL28+IN28+IP28+IR28+IT28+IV28+IX28+IZ28+JB28+JD28+JF28+JH28+JJ28+JL28+JZ28+CJ28+CL28+CN28+CP28+CR28+CT28+CV28+CX28+EX28+EZ28+FB28+FD28+FF28+FH28+FJ28+FL28</f>
        <v/>
      </c>
      <c r="KC28" s="66">
        <f>I28+K28+M28+O28+Q28+S28+U28+W28+Y28+AA28+AC28+AE28+AG28+AI28+AK28+AM28+AO28+AQ28+AS28+AU28+AW28+AY28+BA28+BC28+BE28+BG28+BI28+BK28+BM28+BO28+BQ28+BS28+BU28+BW28+BY28+CA28+CC28+CE28+CG28+CI28+DA28+DC28+DE28+DG28+DI28+DK28+DM28+DO28+DQ28+DS28+DU28+DW28+DY28+EA28+EC28+EE28+EG28+EI28+EK28+EM28+EO28+EQ28+ES28+EU28+EW28+FO28+FS28+FU28+FW28+FQ28+FY28+GA28+GC28+GE28+GG28+GI28+GK28+GM28+GO28+GQ28+GS28+GU28+GW28+GY28+HA28+HC28+HE28+HG28+HI28+HK28+HM28+HO28+HQ28+HS28+HU28+HW28+HY28+IA28+IC28+IE28+IG28+II28+IK28+IM28+IO28+IQ28+IS28+IU28+IW28+IY28+JA28+JC28+JE28+JG28+JI28+JK28+JM28+KA28+CK28+CM28+CO28+CQ28+CS28+CU28+CW28+CY28+EY28+FA28+FC28+FE28+FG28+FI28+FK28+FM28</f>
        <v/>
      </c>
      <c r="KD28" s="44">
        <f>JO28+JQ28+JS28+JU28+JW28+JY28</f>
        <v/>
      </c>
      <c r="KE28" s="45">
        <f>KB28=E28</f>
        <v/>
      </c>
      <c r="KF28" s="101">
        <f>E28-KB28</f>
        <v/>
      </c>
      <c r="KG28" s="21" t="n"/>
    </row>
    <row r="29" ht="21.75" customFormat="1" customHeight="1" s="22">
      <c r="A29" s="126">
        <f>A28+1</f>
        <v/>
      </c>
      <c r="B29" s="175" t="inlineStr">
        <is>
          <t>Кузнецов И.Р.</t>
        </is>
      </c>
      <c r="C29" s="194" t="inlineStr">
        <is>
          <t>слесарь</t>
        </is>
      </c>
      <c r="D29" s="177">
        <f>$D$5</f>
        <v/>
      </c>
      <c r="E29" s="202" t="n">
        <v>161</v>
      </c>
      <c r="F29" s="193" t="n">
        <v>49335</v>
      </c>
      <c r="G29" s="52">
        <f>F29/D29</f>
        <v/>
      </c>
      <c r="H29" s="125" t="n"/>
      <c r="I29" s="107">
        <f>H29*100/$E$29</f>
        <v/>
      </c>
      <c r="J29" s="108" t="n"/>
      <c r="K29" s="107">
        <f>J29*100/$E$29</f>
        <v/>
      </c>
      <c r="L29" s="108" t="n"/>
      <c r="M29" s="107">
        <f>L29*100/$E$29</f>
        <v/>
      </c>
      <c r="N29" s="108" t="n"/>
      <c r="O29" s="107">
        <f>N29*100/$E$29</f>
        <v/>
      </c>
      <c r="P29" s="108" t="n"/>
      <c r="Q29" s="122">
        <f>P29*100/$E$29</f>
        <v/>
      </c>
      <c r="R29" s="108" t="n"/>
      <c r="S29" s="122">
        <f>R29*100/$E$29</f>
        <v/>
      </c>
      <c r="T29" s="108" t="n"/>
      <c r="U29" s="107">
        <f>T29*100/$E$29</f>
        <v/>
      </c>
      <c r="V29" s="108" t="n"/>
      <c r="W29" s="107">
        <f>V29*100/$E$29</f>
        <v/>
      </c>
      <c r="X29" s="108" t="n"/>
      <c r="Y29" s="107">
        <f>X29*100/$E$29</f>
        <v/>
      </c>
      <c r="Z29" s="108" t="n"/>
      <c r="AA29" s="107">
        <f>Z29*100/$E$29</f>
        <v/>
      </c>
      <c r="AB29" s="108" t="n"/>
      <c r="AC29" s="107">
        <f>AB29*100/$E$29</f>
        <v/>
      </c>
      <c r="AD29" s="108" t="n"/>
      <c r="AE29" s="122">
        <f>AD29*100/$E$29</f>
        <v/>
      </c>
      <c r="AF29" s="108" t="n"/>
      <c r="AG29" s="122">
        <f>AF29*100/$E$29</f>
        <v/>
      </c>
      <c r="AH29" s="108" t="n"/>
      <c r="AI29" s="107">
        <f>AH29*100/$E$29</f>
        <v/>
      </c>
      <c r="AJ29" s="108" t="n"/>
      <c r="AK29" s="107">
        <f>AJ29*100/$E$29</f>
        <v/>
      </c>
      <c r="AL29" s="108" t="n"/>
      <c r="AM29" s="107">
        <f>AL29*100/$E$29</f>
        <v/>
      </c>
      <c r="AN29" s="108" t="n"/>
      <c r="AO29" s="107">
        <f>AN29*100/$E$29</f>
        <v/>
      </c>
      <c r="AP29" s="108" t="n"/>
      <c r="AQ29" s="107">
        <f>AP29*100/$E$29</f>
        <v/>
      </c>
      <c r="AR29" s="108" t="n"/>
      <c r="AS29" s="107">
        <f>AR29*100/$E$29</f>
        <v/>
      </c>
      <c r="AT29" s="108" t="n"/>
      <c r="AU29" s="90">
        <f>AT29*100/$E$29</f>
        <v/>
      </c>
      <c r="AV29" s="108" t="n"/>
      <c r="AW29" s="107">
        <f>AV29*100/$E$29</f>
        <v/>
      </c>
      <c r="AX29" s="108" t="n"/>
      <c r="AY29" s="107">
        <f>AX29*100/$E$29</f>
        <v/>
      </c>
      <c r="AZ29" s="108" t="n"/>
      <c r="BA29" s="107">
        <f>AZ29*100/$E$29</f>
        <v/>
      </c>
      <c r="BB29" s="108" t="n"/>
      <c r="BC29" s="107">
        <f>BB29*100/$E$29</f>
        <v/>
      </c>
      <c r="BD29" s="108" t="n">
        <v>17.5</v>
      </c>
      <c r="BE29" s="107">
        <f>BD29*100/$E$29</f>
        <v/>
      </c>
      <c r="BF29" s="108" t="n"/>
      <c r="BG29" s="107">
        <f>BF29*100/$E$29</f>
        <v/>
      </c>
      <c r="BH29" s="108" t="n"/>
      <c r="BI29" s="107">
        <f>BH29*100/$E$29</f>
        <v/>
      </c>
      <c r="BJ29" s="108" t="n"/>
      <c r="BK29" s="107">
        <f>BJ29*100/$E$29</f>
        <v/>
      </c>
      <c r="BL29" s="108" t="n"/>
      <c r="BM29" s="107">
        <f>BL29*100/$E$29</f>
        <v/>
      </c>
      <c r="BN29" s="108" t="n">
        <v>2</v>
      </c>
      <c r="BO29" s="107">
        <f>BN29*100/$E$29</f>
        <v/>
      </c>
      <c r="BP29" s="108" t="n"/>
      <c r="BQ29" s="107">
        <f>BP29*100/$E$29</f>
        <v/>
      </c>
      <c r="BR29" s="108" t="n"/>
      <c r="BS29" s="107">
        <f>BR29*100/$E$29</f>
        <v/>
      </c>
      <c r="BT29" s="108" t="n"/>
      <c r="BU29" s="107">
        <f>BT29*100/$E$29</f>
        <v/>
      </c>
      <c r="BV29" s="108" t="n">
        <v>6.5</v>
      </c>
      <c r="BW29" s="107">
        <f>BV29*100/$E$29</f>
        <v/>
      </c>
      <c r="BX29" s="108" t="n"/>
      <c r="BY29" s="107">
        <f>BX29*100/$E$29</f>
        <v/>
      </c>
      <c r="BZ29" s="108" t="n">
        <v>2</v>
      </c>
      <c r="CA29" s="107">
        <f>BZ29*100/$E$29</f>
        <v/>
      </c>
      <c r="CB29" s="108" t="n"/>
      <c r="CC29" s="107">
        <f>CB29*100/$E$29</f>
        <v/>
      </c>
      <c r="CD29" s="108" t="n"/>
      <c r="CE29" s="107">
        <f>CD29*100/$E$29</f>
        <v/>
      </c>
      <c r="CF29" s="108" t="n">
        <v>7.5</v>
      </c>
      <c r="CG29" s="107">
        <f>CF29*100/$E$29</f>
        <v/>
      </c>
      <c r="CH29" s="108" t="n"/>
      <c r="CI29" s="107">
        <f>CH29*100/$E$29</f>
        <v/>
      </c>
      <c r="CJ29" s="108" t="n">
        <v>2.5</v>
      </c>
      <c r="CK29" s="107">
        <f>CJ29*100/$E$29</f>
        <v/>
      </c>
      <c r="CL29" s="108" t="n"/>
      <c r="CM29" s="107">
        <f>CL29*100/$E$29</f>
        <v/>
      </c>
      <c r="CN29" s="108" t="n">
        <v>8</v>
      </c>
      <c r="CO29" s="122">
        <f>CN29*100/$E$29</f>
        <v/>
      </c>
      <c r="CP29" s="108" t="n">
        <v>1.5</v>
      </c>
      <c r="CQ29" s="107">
        <f>CP29*100/$E$29</f>
        <v/>
      </c>
      <c r="CR29" s="108" t="n"/>
      <c r="CS29" s="122">
        <f>CR29*100/$E$29</f>
        <v/>
      </c>
      <c r="CT29" s="108" t="n"/>
      <c r="CU29" s="122">
        <f>CT29*100/$E$29</f>
        <v/>
      </c>
      <c r="CV29" s="108" t="n"/>
      <c r="CW29" s="122">
        <f>CV29*100/$E$29</f>
        <v/>
      </c>
      <c r="CX29" s="108" t="n"/>
      <c r="CY29" s="122">
        <f>CX29*100/$E$29</f>
        <v/>
      </c>
      <c r="CZ29" s="108" t="n"/>
      <c r="DA29" s="122">
        <f>CZ29*100/$E$29</f>
        <v/>
      </c>
      <c r="DB29" s="108" t="n"/>
      <c r="DC29" s="122">
        <f>DB29*100/$E$29</f>
        <v/>
      </c>
      <c r="DD29" s="108" t="n"/>
      <c r="DE29" s="122">
        <f>DD29*100/$E$29</f>
        <v/>
      </c>
      <c r="DF29" s="108" t="n"/>
      <c r="DG29" s="122">
        <f>DF29*100/$E$29</f>
        <v/>
      </c>
      <c r="DH29" s="108" t="n">
        <v>12.5</v>
      </c>
      <c r="DI29" s="122">
        <f>DH29*100/$E$29</f>
        <v/>
      </c>
      <c r="DJ29" s="108" t="n"/>
      <c r="DK29" s="122">
        <f>DJ29*100/$E$29</f>
        <v/>
      </c>
      <c r="DL29" s="108" t="n">
        <v>0.5</v>
      </c>
      <c r="DM29" s="122">
        <f>DL29*100/$E$29</f>
        <v/>
      </c>
      <c r="DN29" s="108" t="n">
        <v>0.5</v>
      </c>
      <c r="DO29" s="122">
        <f>DN29*100/$E$29</f>
        <v/>
      </c>
      <c r="DP29" s="108" t="n"/>
      <c r="DQ29" s="122">
        <f>DP29*100/$E$29</f>
        <v/>
      </c>
      <c r="DR29" s="108" t="n"/>
      <c r="DS29" s="122">
        <f>DR29*100/E29</f>
        <v/>
      </c>
      <c r="DT29" s="108" t="n"/>
      <c r="DU29" s="122">
        <f>DT29*100/$E$29</f>
        <v/>
      </c>
      <c r="DV29" s="108" t="n"/>
      <c r="DW29" s="122">
        <f>DV29*100/$E$29</f>
        <v/>
      </c>
      <c r="DX29" s="108" t="n"/>
      <c r="DY29" s="122">
        <f>DX29*100/$E$29</f>
        <v/>
      </c>
      <c r="DZ29" s="108" t="n"/>
      <c r="EA29" s="122">
        <f>DZ29*100/$E$29</f>
        <v/>
      </c>
      <c r="EB29" s="108" t="n">
        <v>8</v>
      </c>
      <c r="EC29" s="122">
        <f>EB29*100/$E$29</f>
        <v/>
      </c>
      <c r="ED29" s="108" t="n"/>
      <c r="EE29" s="122">
        <f>ED29*100/$E$29</f>
        <v/>
      </c>
      <c r="EF29" s="108" t="n">
        <v>1</v>
      </c>
      <c r="EG29" s="122">
        <f>EF29*100/$E$29</f>
        <v/>
      </c>
      <c r="EH29" s="108" t="n"/>
      <c r="EI29" s="122">
        <f>EH29*100/$E$29</f>
        <v/>
      </c>
      <c r="EJ29" s="108" t="n"/>
      <c r="EK29" s="122">
        <f>EJ29*100/$E$29</f>
        <v/>
      </c>
      <c r="EL29" s="108" t="n"/>
      <c r="EM29" s="122">
        <f>EL29*100/$E$29</f>
        <v/>
      </c>
      <c r="EN29" s="108" t="n"/>
      <c r="EO29" s="122">
        <f>EN29*100/$E$29</f>
        <v/>
      </c>
      <c r="EP29" s="108" t="n">
        <v>4</v>
      </c>
      <c r="EQ29" s="122">
        <f>EP29*100/$E$29</f>
        <v/>
      </c>
      <c r="ER29" s="108" t="n">
        <v>2</v>
      </c>
      <c r="ES29" s="122">
        <f>ER29*100/$E$29</f>
        <v/>
      </c>
      <c r="ET29" s="108" t="n"/>
      <c r="EU29" s="122">
        <f>ET29*100/$E$29</f>
        <v/>
      </c>
      <c r="EV29" s="108" t="n"/>
      <c r="EW29" s="122">
        <f>EV29*100/$E$29</f>
        <v/>
      </c>
      <c r="EX29" s="108" t="n"/>
      <c r="EY29" s="122">
        <f>EX29*100/$E$29</f>
        <v/>
      </c>
      <c r="EZ29" s="108" t="n"/>
      <c r="FA29" s="122">
        <f>EZ29*100/$E$29</f>
        <v/>
      </c>
      <c r="FB29" s="108" t="n"/>
      <c r="FC29" s="122">
        <f>FB29*100/$E$29</f>
        <v/>
      </c>
      <c r="FD29" s="108" t="n"/>
      <c r="FE29" s="122">
        <f>FD29*100/$E$29</f>
        <v/>
      </c>
      <c r="FF29" s="108" t="n"/>
      <c r="FG29" s="122">
        <f>FF29*100/$E$29</f>
        <v/>
      </c>
      <c r="FH29" s="108" t="n"/>
      <c r="FI29" s="122">
        <f>FH29*100/$E$29</f>
        <v/>
      </c>
      <c r="FJ29" s="108" t="n"/>
      <c r="FK29" s="122">
        <f>FJ29*100/$E$29</f>
        <v/>
      </c>
      <c r="FL29" s="108" t="n"/>
      <c r="FM29" s="122">
        <f>FL29*100/$E$29</f>
        <v/>
      </c>
      <c r="FN29" s="108" t="n"/>
      <c r="FO29" s="122">
        <f>FN29*100/$E$29</f>
        <v/>
      </c>
      <c r="FP29" s="108" t="n">
        <v>13</v>
      </c>
      <c r="FQ29" s="122">
        <f>FP29*100/$E$29</f>
        <v/>
      </c>
      <c r="FR29" s="108" t="n"/>
      <c r="FS29" s="122">
        <f>FR29*100/$E$29</f>
        <v/>
      </c>
      <c r="FT29" s="108" t="n"/>
      <c r="FU29" s="122">
        <f>FT29*100/$E$29</f>
        <v/>
      </c>
      <c r="FV29" s="108" t="n">
        <v>5.5</v>
      </c>
      <c r="FW29" s="122">
        <f>FV29*100/$E$29</f>
        <v/>
      </c>
      <c r="FX29" s="108" t="n"/>
      <c r="FY29" s="107">
        <f>FX29*100/$E$29</f>
        <v/>
      </c>
      <c r="FZ29" s="108" t="n">
        <v>3</v>
      </c>
      <c r="GA29" s="107">
        <f>FZ29*100/$E$29</f>
        <v/>
      </c>
      <c r="GB29" s="108" t="n"/>
      <c r="GC29" s="107">
        <f>GB29*100/$E$29</f>
        <v/>
      </c>
      <c r="GD29" s="108" t="n">
        <v>8</v>
      </c>
      <c r="GE29" s="107">
        <f>GD29*100/$E$29</f>
        <v/>
      </c>
      <c r="GF29" s="108" t="n"/>
      <c r="GG29" s="107">
        <f>GF29*100/$E$29</f>
        <v/>
      </c>
      <c r="GH29" s="108" t="n"/>
      <c r="GI29" s="107">
        <f>GH29*100/$E$29</f>
        <v/>
      </c>
      <c r="GJ29" s="108" t="n"/>
      <c r="GK29" s="122">
        <f>GJ29*100/$E$29</f>
        <v/>
      </c>
      <c r="GL29" s="108" t="n"/>
      <c r="GM29" s="107">
        <f>GL29*100/$E$29</f>
        <v/>
      </c>
      <c r="GN29" s="108" t="n"/>
      <c r="GO29" s="122">
        <f>GN29*100/$E$29</f>
        <v/>
      </c>
      <c r="GP29" s="108" t="n"/>
      <c r="GQ29" s="107">
        <f>GP29*100/$E$29</f>
        <v/>
      </c>
      <c r="GR29" s="108" t="n"/>
      <c r="GS29" s="122">
        <f>GR29*100/$E$29</f>
        <v/>
      </c>
      <c r="GT29" s="108" t="n">
        <v>2.5</v>
      </c>
      <c r="GU29" s="122">
        <f>GT29*100/$E$29</f>
        <v/>
      </c>
      <c r="GV29" s="108" t="n"/>
      <c r="GW29" s="122">
        <f>GV29*100/$E$29</f>
        <v/>
      </c>
      <c r="GX29" s="108" t="n"/>
      <c r="GY29" s="107">
        <f>GX29*100/$E$29</f>
        <v/>
      </c>
      <c r="GZ29" s="108" t="n">
        <v>2</v>
      </c>
      <c r="HA29" s="107">
        <f>GZ29*100/$E$29</f>
        <v/>
      </c>
      <c r="HB29" s="108" t="n">
        <v>4</v>
      </c>
      <c r="HC29" s="107">
        <f>HB29*100/$E$29</f>
        <v/>
      </c>
      <c r="HD29" s="108" t="n">
        <v>1</v>
      </c>
      <c r="HE29" s="107">
        <f>HD29*100/$E$29</f>
        <v/>
      </c>
      <c r="HF29" s="108" t="n">
        <v>0.5</v>
      </c>
      <c r="HG29" s="107">
        <f>HF29*100/$E$29</f>
        <v/>
      </c>
      <c r="HH29" s="108" t="n"/>
      <c r="HI29" s="107">
        <f>HH29*100/$E$29</f>
        <v/>
      </c>
      <c r="HJ29" s="108" t="n"/>
      <c r="HK29" s="107">
        <f>HJ29*100/$E$29</f>
        <v/>
      </c>
      <c r="HL29" s="108" t="n"/>
      <c r="HM29" s="107">
        <f>HL29*100/$E$29</f>
        <v/>
      </c>
      <c r="HN29" s="108" t="n"/>
      <c r="HO29" s="107">
        <f>HN29*100/$E$29</f>
        <v/>
      </c>
      <c r="HP29" s="108" t="n"/>
      <c r="HQ29" s="107">
        <f>HP29*100/$E$29</f>
        <v/>
      </c>
      <c r="HR29" s="108" t="n"/>
      <c r="HS29" s="107">
        <f>HR29*100/$E$29</f>
        <v/>
      </c>
      <c r="HT29" s="108" t="n"/>
      <c r="HU29" s="107">
        <f>HT29*100/$E$29</f>
        <v/>
      </c>
      <c r="HV29" s="108" t="n"/>
      <c r="HW29" s="107">
        <f>HV29*100/$E$29</f>
        <v/>
      </c>
      <c r="HX29" s="108" t="n"/>
      <c r="HY29" s="107">
        <f>HX29*100/$E$29</f>
        <v/>
      </c>
      <c r="HZ29" s="108" t="n"/>
      <c r="IA29" s="122">
        <f>HZ29*100/$E$29</f>
        <v/>
      </c>
      <c r="IB29" s="108" t="n"/>
      <c r="IC29" s="122">
        <f>IB29*100/$E$29</f>
        <v/>
      </c>
      <c r="ID29" s="108" t="n"/>
      <c r="IE29" s="122">
        <f>ID29*100/$E$29</f>
        <v/>
      </c>
      <c r="IF29" s="108" t="n"/>
      <c r="IG29" s="122">
        <f>IF29*100/$E$29</f>
        <v/>
      </c>
      <c r="IH29" s="108" t="n"/>
      <c r="II29" s="122">
        <f>IH29*100/$E$29</f>
        <v/>
      </c>
      <c r="IJ29" s="108" t="n"/>
      <c r="IK29" s="122">
        <f>IJ29*100/$E$29</f>
        <v/>
      </c>
      <c r="IL29" s="108" t="n"/>
      <c r="IM29" s="107">
        <f>IL29*100/$E$29</f>
        <v/>
      </c>
      <c r="IN29" s="108" t="n"/>
      <c r="IO29" s="107">
        <f>IN29*100/$E$29</f>
        <v/>
      </c>
      <c r="IP29" s="108" t="n"/>
      <c r="IQ29" s="122">
        <f>IP29*100/$E$29</f>
        <v/>
      </c>
      <c r="IR29" s="108" t="n"/>
      <c r="IS29" s="122">
        <f>IR29*100/$E$29</f>
        <v/>
      </c>
      <c r="IT29" s="108" t="n"/>
      <c r="IU29" s="122">
        <f>IT29*100/$E$29</f>
        <v/>
      </c>
      <c r="IV29" s="108" t="n"/>
      <c r="IW29" s="122">
        <f>IV29*100/$E$29</f>
        <v/>
      </c>
      <c r="IX29" s="108" t="n"/>
      <c r="IY29" s="122">
        <f>IX29*100/$E$29</f>
        <v/>
      </c>
      <c r="IZ29" s="108" t="n"/>
      <c r="JA29" s="122">
        <f>IZ29*100/$E$29</f>
        <v/>
      </c>
      <c r="JB29" s="108" t="n"/>
      <c r="JC29" s="122">
        <f>JB29*100/$E$29</f>
        <v/>
      </c>
      <c r="JD29" s="108" t="n"/>
      <c r="JE29" s="122">
        <f>JD29*100/$E$29</f>
        <v/>
      </c>
      <c r="JF29" s="108" t="n"/>
      <c r="JG29" s="122">
        <f>JF29*100/$E$29</f>
        <v/>
      </c>
      <c r="JH29" s="108" t="n"/>
      <c r="JI29" s="122">
        <f>JH29*100/$E$29</f>
        <v/>
      </c>
      <c r="JJ29" s="108" t="n"/>
      <c r="JK29" s="122">
        <f>JJ29*100/$E$29</f>
        <v/>
      </c>
      <c r="JL29" s="108" t="n">
        <v>45.5</v>
      </c>
      <c r="JM29" s="122">
        <f>JL29*100/$E$29</f>
        <v/>
      </c>
      <c r="JN29" s="108" t="n"/>
      <c r="JO29" s="121">
        <f>JN29*100/$E$29</f>
        <v/>
      </c>
      <c r="JP29" s="108" t="n"/>
      <c r="JQ29" s="121">
        <f>JP29*100/$E$29</f>
        <v/>
      </c>
      <c r="JR29" s="108" t="n"/>
      <c r="JS29" s="121">
        <f>JR29*100/$E$29</f>
        <v/>
      </c>
      <c r="JT29" s="108" t="n"/>
      <c r="JU29" s="121">
        <f>JT29*100/$E$29</f>
        <v/>
      </c>
      <c r="JV29" s="108" t="n"/>
      <c r="JW29" s="121">
        <f>JV29*100/$E$29</f>
        <v/>
      </c>
      <c r="JX29" s="108" t="n"/>
      <c r="JY29" s="121">
        <f>JX29*100/$E$29</f>
        <v/>
      </c>
      <c r="JZ29" s="55">
        <f>JN29+JP29+JR29+JT29+JV29+JX29</f>
        <v/>
      </c>
      <c r="KA29" s="53">
        <f>JO29+JQ29+JS29+JU29+JW29+JY29</f>
        <v/>
      </c>
      <c r="KB29" s="64">
        <f>H29+J29+L29+N29+P29+R29+T29+V29+X29+Z29+AB29+AD29+AF29+AH29+AJ29+AL29+AN29+AP29+AR29+AT29+AV29+AX29+AZ29+BB29+BD29+BF29+BH29+BJ29+BL29+BN29+BP29+BR29+BT29+BV29+BX29+BZ29+CB29+CD29+CF29+CH29+CZ29+DB29+DD29+DF29+DH29+DJ29+DL29+DN29+DP29+DR29+DT29+DV29+DX29+DZ29+EB29+ED29+EF29+EH29+EJ29+EL29+EN29+EP29+ER29+ET29+EV29+FN29+FP29+FR29+FT29+FV29+FX29+FZ29+GB29+GD29+GF29+GH29+GJ29+GL29+GN29+GP29+GR29+GT29+GV29+GX29+GZ29+HB29+HD29+HF29+HH29+HJ29+HL29+HN29+HP29+HR29+HT29+HV29+HX29+HZ29+IB29+ID29+IF29+IH29+IJ29+IL29+IN29+IP29+IR29+IT29+IV29+IX29+IZ29+JB29+JD29+JF29+JH29+JJ29+JL29+JZ29+CJ29+CL29+CN29+CP29+CR29+CT29+CV29+CX29+EX29+EZ29+FB29+FD29+FF29+FH29+FJ29+FL29</f>
        <v/>
      </c>
      <c r="KC29" s="66">
        <f>I29+K29+M29+O29+Q29+S29+U29+W29+Y29+AA29+AC29+AE29+AG29+AI29+AK29+AM29+AO29+AQ29+AS29+AU29+AW29+AY29+BA29+BC29+BE29+BG29+BI29+BK29+BM29+BO29+BQ29+BS29+BU29+BW29+BY29+CA29+CC29+CE29+CG29+CI29+DA29+DC29+DE29+DG29+DI29+DK29+DM29+DO29+DQ29+DS29+DU29+DW29+DY29+EA29+EC29+EE29+EG29+EI29+EK29+EM29+EO29+EQ29+ES29+EU29+EW29+FO29+FS29+FU29+FW29+FQ29+FY29+GA29+GC29+GE29+GG29+GI29+GK29+GM29+GO29+GQ29+GS29+GU29+GW29+GY29+HA29+HC29+HE29+HG29+HI29+HK29+HM29+HO29+HQ29+HS29+HU29+HW29+HY29+IA29+IC29+IE29+IG29+II29+IK29+IM29+IO29+IQ29+IS29+IU29+IW29+IY29+JA29+JC29+JE29+JG29+JI29+JK29+JM29+KA29+CK29+CM29+CO29+CQ29+CS29+CU29+CW29+CY29+EY29+FA29+FC29+FE29+FG29+FI29+FK29+FM29</f>
        <v/>
      </c>
      <c r="KD29" s="44">
        <f>JO29+JQ29+JS29+JU29+JW29+JY29</f>
        <v/>
      </c>
      <c r="KE29" s="45">
        <f>KB29=E29</f>
        <v/>
      </c>
      <c r="KF29" s="101">
        <f>E29-KB29</f>
        <v/>
      </c>
      <c r="KG29" s="21" t="n"/>
    </row>
    <row r="30" ht="21.75" customFormat="1" customHeight="1" s="22">
      <c r="A30" s="126">
        <f>A29+1</f>
        <v/>
      </c>
      <c r="B30" s="175" t="inlineStr">
        <is>
          <t>Кузнецов Р.А.</t>
        </is>
      </c>
      <c r="C30" s="176" t="inlineStr">
        <is>
          <t>сварщик</t>
        </is>
      </c>
      <c r="D30" s="177">
        <f>$D$5</f>
        <v/>
      </c>
      <c r="E30" s="202" t="n">
        <v>135</v>
      </c>
      <c r="F30" s="193" t="n">
        <v>84149.67999999999</v>
      </c>
      <c r="G30" s="52">
        <f>F30/D30</f>
        <v/>
      </c>
      <c r="H30" s="108" t="n"/>
      <c r="I30" s="122">
        <f>H30*100/$E$30</f>
        <v/>
      </c>
      <c r="J30" s="108" t="n"/>
      <c r="K30" s="122">
        <f>J30*100/$E$30</f>
        <v/>
      </c>
      <c r="L30" s="108" t="n"/>
      <c r="M30" s="122">
        <f>L30*100/$E$30</f>
        <v/>
      </c>
      <c r="N30" s="108" t="n"/>
      <c r="O30" s="122">
        <f>N30*100/$E$30</f>
        <v/>
      </c>
      <c r="P30" s="108" t="n"/>
      <c r="Q30" s="122">
        <f>P30*100/$E$30</f>
        <v/>
      </c>
      <c r="R30" s="108" t="n"/>
      <c r="S30" s="122">
        <f>R30*100/$E$30</f>
        <v/>
      </c>
      <c r="T30" s="108" t="n"/>
      <c r="U30" s="122">
        <f>T30*100/$E$30</f>
        <v/>
      </c>
      <c r="V30" s="108" t="n"/>
      <c r="W30" s="122">
        <f>V30*100/$E$30</f>
        <v/>
      </c>
      <c r="X30" s="108" t="n"/>
      <c r="Y30" s="122">
        <f>X30*100/$E$30</f>
        <v/>
      </c>
      <c r="Z30" s="108" t="n"/>
      <c r="AA30" s="122">
        <f>Z30*100/$E$30</f>
        <v/>
      </c>
      <c r="AB30" s="108" t="n"/>
      <c r="AC30" s="122">
        <f>AB30*100/$E$30</f>
        <v/>
      </c>
      <c r="AD30" s="108" t="n"/>
      <c r="AE30" s="122">
        <f>AD30*100/$E$30</f>
        <v/>
      </c>
      <c r="AF30" s="108" t="n"/>
      <c r="AG30" s="122">
        <f>AF30*100/$E$30</f>
        <v/>
      </c>
      <c r="AH30" s="108" t="n"/>
      <c r="AI30" s="122">
        <f>AH30*100/$E$30</f>
        <v/>
      </c>
      <c r="AJ30" s="108" t="n"/>
      <c r="AK30" s="122">
        <f>AJ30*100/$E$30</f>
        <v/>
      </c>
      <c r="AL30" s="108" t="n"/>
      <c r="AM30" s="122">
        <f>AL30*100/$E$30</f>
        <v/>
      </c>
      <c r="AN30" s="108" t="n"/>
      <c r="AO30" s="122">
        <f>AN30*100/$E$30</f>
        <v/>
      </c>
      <c r="AP30" s="108" t="n"/>
      <c r="AQ30" s="122">
        <f>AP30*100/$E$30</f>
        <v/>
      </c>
      <c r="AR30" s="108" t="n"/>
      <c r="AS30" s="122">
        <f>AR30*100/$E$30</f>
        <v/>
      </c>
      <c r="AT30" s="108" t="n"/>
      <c r="AU30" s="90">
        <f>AT30*100/$E$30</f>
        <v/>
      </c>
      <c r="AV30" s="108" t="n"/>
      <c r="AW30" s="122">
        <f>AV30*100/$E$30</f>
        <v/>
      </c>
      <c r="AX30" s="108" t="n"/>
      <c r="AY30" s="122">
        <f>AX30*100/$E$30</f>
        <v/>
      </c>
      <c r="AZ30" s="108" t="n"/>
      <c r="BA30" s="122">
        <f>AZ30*100/$E$30</f>
        <v/>
      </c>
      <c r="BB30" s="108" t="n"/>
      <c r="BC30" s="122">
        <f>BB30*100/$E$30</f>
        <v/>
      </c>
      <c r="BD30" s="108" t="n"/>
      <c r="BE30" s="122">
        <f>BD30*100/$E$30</f>
        <v/>
      </c>
      <c r="BF30" s="108" t="n"/>
      <c r="BG30" s="122">
        <f>BF30*100/$E$30</f>
        <v/>
      </c>
      <c r="BH30" s="108" t="n"/>
      <c r="BI30" s="122">
        <f>BH30*100/$E$30</f>
        <v/>
      </c>
      <c r="BJ30" s="108" t="n"/>
      <c r="BK30" s="122">
        <f>BJ30*100/$E$30</f>
        <v/>
      </c>
      <c r="BL30" s="108" t="n"/>
      <c r="BM30" s="122">
        <f>BL30*100/$E$30</f>
        <v/>
      </c>
      <c r="BN30" s="108" t="n">
        <v>18</v>
      </c>
      <c r="BO30" s="122">
        <f>BN30*100/$E$30</f>
        <v/>
      </c>
      <c r="BP30" s="108" t="n"/>
      <c r="BQ30" s="122">
        <f>BP30*100/$E$30</f>
        <v/>
      </c>
      <c r="BR30" s="108" t="n"/>
      <c r="BS30" s="122">
        <f>BR30*100/$E$30</f>
        <v/>
      </c>
      <c r="BT30" s="108" t="n"/>
      <c r="BU30" s="122">
        <f>BT30*100/$E$30</f>
        <v/>
      </c>
      <c r="BV30" s="108" t="n">
        <v>18</v>
      </c>
      <c r="BW30" s="122">
        <f>BV30*100/$E$30</f>
        <v/>
      </c>
      <c r="BX30" s="108" t="n"/>
      <c r="BY30" s="122">
        <f>BX30*100/$E$30</f>
        <v/>
      </c>
      <c r="BZ30" s="108" t="n"/>
      <c r="CA30" s="122">
        <f>BZ30*100/$E$30</f>
        <v/>
      </c>
      <c r="CB30" s="108" t="n"/>
      <c r="CC30" s="122">
        <f>CB30*100/$E$30</f>
        <v/>
      </c>
      <c r="CD30" s="108" t="n"/>
      <c r="CE30" s="122">
        <f>CD30*100/$E$30</f>
        <v/>
      </c>
      <c r="CF30" s="108" t="n">
        <v>16</v>
      </c>
      <c r="CG30" s="122">
        <f>CF30*100/$E$30</f>
        <v/>
      </c>
      <c r="CH30" s="108" t="n"/>
      <c r="CI30" s="122">
        <f>CH30*100/$E$30</f>
        <v/>
      </c>
      <c r="CJ30" s="108" t="n"/>
      <c r="CK30" s="122">
        <f>CJ30*100/$E$30</f>
        <v/>
      </c>
      <c r="CL30" s="108" t="n"/>
      <c r="CM30" s="122">
        <f>CL30*100/$E$30</f>
        <v/>
      </c>
      <c r="CN30" s="108" t="n">
        <v>12</v>
      </c>
      <c r="CO30" s="122">
        <f>CN30*100/$E$30</f>
        <v/>
      </c>
      <c r="CP30" s="108" t="n"/>
      <c r="CQ30" s="122">
        <f>CP30*100/$E$30</f>
        <v/>
      </c>
      <c r="CR30" s="108" t="n"/>
      <c r="CS30" s="122">
        <f>CR30*100/$E$30</f>
        <v/>
      </c>
      <c r="CT30" s="108" t="n"/>
      <c r="CU30" s="122">
        <f>CT30*100/$E$30</f>
        <v/>
      </c>
      <c r="CV30" s="108" t="n"/>
      <c r="CW30" s="122">
        <f>CV30*100/$E$30</f>
        <v/>
      </c>
      <c r="CX30" s="108" t="n"/>
      <c r="CY30" s="122">
        <f>CX30*100/$E$30</f>
        <v/>
      </c>
      <c r="CZ30" s="108" t="n"/>
      <c r="DA30" s="122">
        <f>CZ30*100/$E$30</f>
        <v/>
      </c>
      <c r="DB30" s="108" t="n"/>
      <c r="DC30" s="122">
        <f>DB30*100/$E$30</f>
        <v/>
      </c>
      <c r="DD30" s="108" t="n"/>
      <c r="DE30" s="122">
        <f>DD30*100/$E$30</f>
        <v/>
      </c>
      <c r="DF30" s="108" t="n"/>
      <c r="DG30" s="122">
        <f>DF30*100/$E$30</f>
        <v/>
      </c>
      <c r="DH30" s="108" t="n"/>
      <c r="DI30" s="122">
        <f>DH30*100/$E$30</f>
        <v/>
      </c>
      <c r="DJ30" s="108" t="n"/>
      <c r="DK30" s="122">
        <f>DJ30*100/$E$30</f>
        <v/>
      </c>
      <c r="DL30" s="108" t="n"/>
      <c r="DM30" s="122">
        <f>DL30*100/$E$30</f>
        <v/>
      </c>
      <c r="DN30" s="108" t="n"/>
      <c r="DO30" s="122">
        <f>DN30*100/$E$30</f>
        <v/>
      </c>
      <c r="DP30" s="108" t="n">
        <v>8</v>
      </c>
      <c r="DQ30" s="122">
        <f>DP30*100/$E$30</f>
        <v/>
      </c>
      <c r="DR30" s="108" t="n">
        <v>8</v>
      </c>
      <c r="DS30" s="122">
        <f>DR30*100/$E$30</f>
        <v/>
      </c>
      <c r="DT30" s="108" t="n"/>
      <c r="DU30" s="122">
        <f>DT30*100/$E$30</f>
        <v/>
      </c>
      <c r="DV30" s="108" t="n"/>
      <c r="DW30" s="122">
        <f>DV30*100/$E$30</f>
        <v/>
      </c>
      <c r="DX30" s="108" t="n"/>
      <c r="DY30" s="122">
        <f>DX30*100/$E$30</f>
        <v/>
      </c>
      <c r="DZ30" s="108" t="n"/>
      <c r="EA30" s="122">
        <f>DZ30*100/$E$30</f>
        <v/>
      </c>
      <c r="EB30" s="108" t="n"/>
      <c r="EC30" s="122">
        <f>EB30*100/$E$30</f>
        <v/>
      </c>
      <c r="ED30" s="108" t="n"/>
      <c r="EE30" s="122">
        <f>ED30*100/$E$30</f>
        <v/>
      </c>
      <c r="EF30" s="108" t="n"/>
      <c r="EG30" s="122">
        <f>EF30*100/$E$30</f>
        <v/>
      </c>
      <c r="EH30" s="108" t="n"/>
      <c r="EI30" s="122">
        <f>EH30*100/$E$30</f>
        <v/>
      </c>
      <c r="EJ30" s="108" t="n"/>
      <c r="EK30" s="122">
        <f>EJ30*100/$E$30</f>
        <v/>
      </c>
      <c r="EL30" s="108" t="n"/>
      <c r="EM30" s="122">
        <f>EL30*100/$E$30</f>
        <v/>
      </c>
      <c r="EN30" s="108" t="n"/>
      <c r="EO30" s="122">
        <f>EN30*100/$E$30</f>
        <v/>
      </c>
      <c r="EP30" s="108" t="n"/>
      <c r="EQ30" s="122">
        <f>EP30*100/$E$30</f>
        <v/>
      </c>
      <c r="ER30" s="108" t="n"/>
      <c r="ES30" s="122">
        <f>ER30*100/$E$30</f>
        <v/>
      </c>
      <c r="ET30" s="108" t="n"/>
      <c r="EU30" s="122">
        <f>ET30*100/$E$30</f>
        <v/>
      </c>
      <c r="EV30" s="108" t="n"/>
      <c r="EW30" s="122">
        <f>EV30*100/$E$30</f>
        <v/>
      </c>
      <c r="EX30" s="108" t="n"/>
      <c r="EY30" s="122">
        <f>EX30*100/$E$30</f>
        <v/>
      </c>
      <c r="EZ30" s="108" t="n"/>
      <c r="FA30" s="122">
        <f>EZ30*100/$E$30</f>
        <v/>
      </c>
      <c r="FB30" s="108" t="n"/>
      <c r="FC30" s="122">
        <f>FB30*100/$E$30</f>
        <v/>
      </c>
      <c r="FD30" s="108" t="n"/>
      <c r="FE30" s="122">
        <f>FD30*100/$E$30</f>
        <v/>
      </c>
      <c r="FF30" s="108" t="n"/>
      <c r="FG30" s="122">
        <f>FF30*100/$E$30</f>
        <v/>
      </c>
      <c r="FH30" s="108" t="n"/>
      <c r="FI30" s="122">
        <f>FH30*100/$E$30</f>
        <v/>
      </c>
      <c r="FJ30" s="108" t="n"/>
      <c r="FK30" s="122">
        <f>FJ30*100/$E$30</f>
        <v/>
      </c>
      <c r="FL30" s="108" t="n"/>
      <c r="FM30" s="122">
        <f>FL30*100/$E$30</f>
        <v/>
      </c>
      <c r="FN30" s="108" t="n"/>
      <c r="FO30" s="122">
        <f>FN30*100/$E$30</f>
        <v/>
      </c>
      <c r="FP30" s="108" t="n">
        <v>47</v>
      </c>
      <c r="FQ30" s="122">
        <f>FP30*100/$E$30</f>
        <v/>
      </c>
      <c r="FR30" s="108" t="n"/>
      <c r="FS30" s="122">
        <f>FR30*100/$E$30</f>
        <v/>
      </c>
      <c r="FT30" s="108" t="n"/>
      <c r="FU30" s="122">
        <f>FT30*100/$E$30</f>
        <v/>
      </c>
      <c r="FV30" s="108" t="n"/>
      <c r="FW30" s="122">
        <f>FV30*100/$E$30</f>
        <v/>
      </c>
      <c r="FX30" s="108" t="n"/>
      <c r="FY30" s="122">
        <f>FX30*100/$E$30</f>
        <v/>
      </c>
      <c r="FZ30" s="108" t="n"/>
      <c r="GA30" s="122">
        <f>FZ30*100/$E$30</f>
        <v/>
      </c>
      <c r="GB30" s="108" t="n"/>
      <c r="GC30" s="122">
        <f>GB30*100/$E$30</f>
        <v/>
      </c>
      <c r="GD30" s="108" t="n"/>
      <c r="GE30" s="122">
        <f>GD30*100/$E$30</f>
        <v/>
      </c>
      <c r="GF30" s="108" t="n"/>
      <c r="GG30" s="122">
        <f>GF30*100/$E$30</f>
        <v/>
      </c>
      <c r="GH30" s="108" t="n"/>
      <c r="GI30" s="122">
        <f>GH30*100/$E$30</f>
        <v/>
      </c>
      <c r="GJ30" s="108" t="n"/>
      <c r="GK30" s="122">
        <f>GJ30*100/$E$30</f>
        <v/>
      </c>
      <c r="GL30" s="108" t="n"/>
      <c r="GM30" s="122">
        <f>GL30*100/$E$30</f>
        <v/>
      </c>
      <c r="GN30" s="108" t="n"/>
      <c r="GO30" s="122">
        <f>GN30*100/$E$30</f>
        <v/>
      </c>
      <c r="GP30" s="108" t="n"/>
      <c r="GQ30" s="122">
        <f>GP30*100/$E$30</f>
        <v/>
      </c>
      <c r="GR30" s="108" t="n"/>
      <c r="GS30" s="122">
        <f>GR30*100/$E$30</f>
        <v/>
      </c>
      <c r="GT30" s="108" t="n"/>
      <c r="GU30" s="122">
        <f>GT30*100/$E$30</f>
        <v/>
      </c>
      <c r="GV30" s="108" t="n"/>
      <c r="GW30" s="122">
        <f>GV30*100/$E$30</f>
        <v/>
      </c>
      <c r="GX30" s="108" t="n"/>
      <c r="GY30" s="122">
        <f>GX30*100/$E$30</f>
        <v/>
      </c>
      <c r="GZ30" s="108" t="n"/>
      <c r="HA30" s="122">
        <f>GZ30*100/$E$30</f>
        <v/>
      </c>
      <c r="HB30" s="108" t="n"/>
      <c r="HC30" s="122">
        <f>HB30*100/$E$30</f>
        <v/>
      </c>
      <c r="HD30" s="108" t="n"/>
      <c r="HE30" s="122">
        <f>HD30*100/$E$30</f>
        <v/>
      </c>
      <c r="HF30" s="108" t="n"/>
      <c r="HG30" s="122">
        <f>HF30*100/$E$30</f>
        <v/>
      </c>
      <c r="HH30" s="108" t="n"/>
      <c r="HI30" s="122">
        <f>HH30*100/$E$30</f>
        <v/>
      </c>
      <c r="HJ30" s="108" t="n"/>
      <c r="HK30" s="122">
        <f>HJ30*100/$E$30</f>
        <v/>
      </c>
      <c r="HL30" s="108" t="n"/>
      <c r="HM30" s="122">
        <f>HL30*100/$E$30</f>
        <v/>
      </c>
      <c r="HN30" s="108" t="n"/>
      <c r="HO30" s="122">
        <f>HN30*100/$E$30</f>
        <v/>
      </c>
      <c r="HP30" s="108" t="n">
        <v>4</v>
      </c>
      <c r="HQ30" s="122">
        <f>HP30*100/$E$30</f>
        <v/>
      </c>
      <c r="HR30" s="108" t="n">
        <v>4</v>
      </c>
      <c r="HS30" s="122">
        <f>HR30*100/$E$30</f>
        <v/>
      </c>
      <c r="HT30" s="108" t="n"/>
      <c r="HU30" s="122">
        <f>HT30*100/$E$30</f>
        <v/>
      </c>
      <c r="HV30" s="108" t="n"/>
      <c r="HW30" s="122">
        <f>HV30*100/$E$30</f>
        <v/>
      </c>
      <c r="HX30" s="108" t="n"/>
      <c r="HY30" s="122">
        <f>HX30*100/$E$30</f>
        <v/>
      </c>
      <c r="HZ30" s="108" t="n"/>
      <c r="IA30" s="122">
        <f>HZ30*100/$E$30</f>
        <v/>
      </c>
      <c r="IB30" s="108" t="n"/>
      <c r="IC30" s="122">
        <f>IB30*100/$E$30</f>
        <v/>
      </c>
      <c r="ID30" s="108" t="n"/>
      <c r="IE30" s="122">
        <f>ID30*100/$E$30</f>
        <v/>
      </c>
      <c r="IF30" s="108" t="n"/>
      <c r="IG30" s="122">
        <f>IF30*100/$E$30</f>
        <v/>
      </c>
      <c r="IH30" s="108" t="n"/>
      <c r="II30" s="122">
        <f>IH30*100/$E$30</f>
        <v/>
      </c>
      <c r="IJ30" s="108" t="n"/>
      <c r="IK30" s="122">
        <f>IJ30*100/$E$30</f>
        <v/>
      </c>
      <c r="IL30" s="108" t="n"/>
      <c r="IM30" s="122">
        <f>IL30*100/$E$30</f>
        <v/>
      </c>
      <c r="IN30" s="108" t="n"/>
      <c r="IO30" s="122">
        <f>IN30*100/$E$30</f>
        <v/>
      </c>
      <c r="IP30" s="108" t="n"/>
      <c r="IQ30" s="122">
        <f>IP30*100/$E$30</f>
        <v/>
      </c>
      <c r="IR30" s="108" t="n"/>
      <c r="IS30" s="122">
        <f>IR30*100/$E$30</f>
        <v/>
      </c>
      <c r="IT30" s="108" t="n"/>
      <c r="IU30" s="122">
        <f>IT30*100/$E$30</f>
        <v/>
      </c>
      <c r="IV30" s="108" t="n"/>
      <c r="IW30" s="122">
        <f>IV30*100/$E$30</f>
        <v/>
      </c>
      <c r="IX30" s="108" t="n"/>
      <c r="IY30" s="122">
        <f>IX30*100/$E$30</f>
        <v/>
      </c>
      <c r="IZ30" s="108" t="n"/>
      <c r="JA30" s="122">
        <f>IZ30*100/$E$30</f>
        <v/>
      </c>
      <c r="JB30" s="108" t="n"/>
      <c r="JC30" s="122">
        <f>JB30*100/$E$30</f>
        <v/>
      </c>
      <c r="JD30" s="108" t="n"/>
      <c r="JE30" s="122">
        <f>JD30*100/$E$30</f>
        <v/>
      </c>
      <c r="JF30" s="108" t="n"/>
      <c r="JG30" s="122">
        <f>JF30*100/$E$30</f>
        <v/>
      </c>
      <c r="JH30" s="108" t="n"/>
      <c r="JI30" s="122">
        <f>JH30*100/$E$30</f>
        <v/>
      </c>
      <c r="JJ30" s="108" t="n"/>
      <c r="JK30" s="122">
        <f>JJ30*100/$E$30</f>
        <v/>
      </c>
      <c r="JL30" s="108" t="n"/>
      <c r="JM30" s="122">
        <f>JL30*100/$E$30</f>
        <v/>
      </c>
      <c r="JN30" s="108" t="n"/>
      <c r="JO30" s="122">
        <f>JN30*100/$E$30</f>
        <v/>
      </c>
      <c r="JP30" s="108" t="n"/>
      <c r="JQ30" s="122">
        <f>JP30*100/$E$30</f>
        <v/>
      </c>
      <c r="JR30" s="108" t="n"/>
      <c r="JS30" s="122">
        <f>JR30*100/$E$30</f>
        <v/>
      </c>
      <c r="JT30" s="108" t="n"/>
      <c r="JU30" s="122">
        <f>JT30*100/$E$30</f>
        <v/>
      </c>
      <c r="JV30" s="108" t="n"/>
      <c r="JW30" s="122">
        <f>JV30*100/$E$30</f>
        <v/>
      </c>
      <c r="JX30" s="108" t="n"/>
      <c r="JY30" s="122">
        <f>JX30*100/$E$30</f>
        <v/>
      </c>
      <c r="JZ30" s="55">
        <f>JN30+JP30+JR30+JT30+JV30+JX30</f>
        <v/>
      </c>
      <c r="KA30" s="53">
        <f>JO30+JQ30+JS30+JU30+JW30+JY30</f>
        <v/>
      </c>
      <c r="KB30" s="64">
        <f>H30+J30+L30+N30+P30+R30+T30+V30+X30+Z30+AB30+AD30+AF30+AH30+AJ30+AL30+AN30+AP30+AR30+AT30+AV30+AX30+AZ30+BB30+BD30+BF30+BH30+BJ30+BL30+BN30+BP30+BR30+BT30+BV30+BX30+BZ30+CB30+CD30+CF30+CH30+CZ30+DB30+DD30+DF30+DH30+DJ30+DL30+DN30+DP30+DR30+DT30+DV30+DX30+DZ30+EB30+ED30+EF30+EH30+EJ30+EL30+EN30+EP30+ER30+ET30+EV30+FN30+FP30+FR30+FT30+FV30+FX30+FZ30+GB30+GD30+GF30+GH30+GJ30+GL30+GN30+GP30+GR30+GT30+GV30+GX30+GZ30+HB30+HD30+HF30+HH30+HJ30+HL30+HN30+HP30+HR30+HT30+HV30+HX30+HZ30+IB30+ID30+IF30+IH30+IJ30+IL30+IN30+IP30+IR30+IT30+IV30+IX30+IZ30+JB30+JD30+JF30+JH30+JJ30+JL30+JZ30+CJ30+CL30+CN30+CP30+CR30+CT30+CV30+CX30+EX30+EZ30+FB30+FD30+FF30+FH30+FJ30+FL30</f>
        <v/>
      </c>
      <c r="KC30" s="66">
        <f>I30+K30+M30+O30+Q30+S30+U30+W30+Y30+AA30+AC30+AE30+AG30+AI30+AK30+AM30+AO30+AQ30+AS30+AU30+AW30+AY30+BA30+BC30+BE30+BG30+BI30+BK30+BM30+BO30+BQ30+BS30+BU30+BW30+BY30+CA30+CC30+CE30+CG30+CI30+DA30+DC30+DE30+DG30+DI30+DK30+DM30+DO30+DQ30+DS30+DU30+DW30+DY30+EA30+EC30+EE30+EG30+EI30+EK30+EM30+EO30+EQ30+ES30+EU30+EW30+FO30+FS30+FU30+FW30+FQ30+FY30+GA30+GC30+GE30+GG30+GI30+GK30+GM30+GO30+GQ30+GS30+GU30+GW30+GY30+HA30+HC30+HE30+HG30+HI30+HK30+HM30+HO30+HQ30+HS30+HU30+HW30+HY30+IA30+IC30+IE30+IG30+II30+IK30+IM30+IO30+IQ30+IS30+IU30+IW30+IY30+JA30+JC30+JE30+JG30+JI30+JK30+JM30+KA30+CK30+CM30+CO30+CQ30+CS30+CU30+CW30+CY30+EY30+FA30+FC30+FE30+FG30+FI30+FK30+FM30</f>
        <v/>
      </c>
      <c r="KD30" s="44">
        <f>JO30+JQ30+JS30+JU30+JW30+JY30</f>
        <v/>
      </c>
      <c r="KE30" s="45">
        <f>KB30=E30</f>
        <v/>
      </c>
      <c r="KF30" s="101">
        <f>E30-KB30</f>
        <v/>
      </c>
      <c r="KG30" s="21" t="n"/>
    </row>
    <row r="31" ht="29.25" customFormat="1" customHeight="1" s="21">
      <c r="A31" s="126">
        <f>A30+1</f>
        <v/>
      </c>
      <c r="B31" s="175" t="inlineStr">
        <is>
          <t>Ленинг И.Н.</t>
        </is>
      </c>
      <c r="C31" s="176" t="inlineStr">
        <is>
          <t xml:space="preserve">Оператор СПУ </t>
        </is>
      </c>
      <c r="D31" s="177">
        <f>$D$5</f>
        <v/>
      </c>
      <c r="E31" s="202" t="n">
        <v>196</v>
      </c>
      <c r="F31" s="193" t="n">
        <v>126855.63</v>
      </c>
      <c r="G31" s="52">
        <f>F31/D31</f>
        <v/>
      </c>
      <c r="H31" s="125" t="n"/>
      <c r="I31" s="107">
        <f>H31*100/$E$31</f>
        <v/>
      </c>
      <c r="J31" s="108" t="n"/>
      <c r="K31" s="107">
        <f>J31*100/$E$31</f>
        <v/>
      </c>
      <c r="L31" s="108" t="n"/>
      <c r="M31" s="107">
        <f>L31*100/$E$31</f>
        <v/>
      </c>
      <c r="N31" s="108" t="n"/>
      <c r="O31" s="107">
        <f>N31*100/$E$31</f>
        <v/>
      </c>
      <c r="P31" s="108" t="n"/>
      <c r="Q31" s="122">
        <f>P31*100/$E$31</f>
        <v/>
      </c>
      <c r="R31" s="108" t="n"/>
      <c r="S31" s="122">
        <f>R31*100/$E$31</f>
        <v/>
      </c>
      <c r="T31" s="108" t="n"/>
      <c r="U31" s="107">
        <f>T31*100/$E$31</f>
        <v/>
      </c>
      <c r="V31" s="108" t="n"/>
      <c r="W31" s="107">
        <f>V31*100/$E$31</f>
        <v/>
      </c>
      <c r="X31" s="108" t="n"/>
      <c r="Y31" s="107">
        <f>X31*100/$E$31</f>
        <v/>
      </c>
      <c r="Z31" s="108" t="n"/>
      <c r="AA31" s="107">
        <f>Z31*100/$E$31</f>
        <v/>
      </c>
      <c r="AB31" s="108" t="n"/>
      <c r="AC31" s="107">
        <f>AB31*100/$E$31</f>
        <v/>
      </c>
      <c r="AD31" s="108" t="n"/>
      <c r="AE31" s="122">
        <f>AD31*100/$E$31</f>
        <v/>
      </c>
      <c r="AF31" s="108" t="n"/>
      <c r="AG31" s="122">
        <f>AF31*100/$E$31</f>
        <v/>
      </c>
      <c r="AH31" s="108" t="n"/>
      <c r="AI31" s="107">
        <f>AH31*100/$E$31</f>
        <v/>
      </c>
      <c r="AJ31" s="108" t="n"/>
      <c r="AK31" s="107">
        <f>AJ31*100/$E$31</f>
        <v/>
      </c>
      <c r="AL31" s="108" t="n"/>
      <c r="AM31" s="107">
        <f>AL31*100/$E$31</f>
        <v/>
      </c>
      <c r="AN31" s="108" t="n"/>
      <c r="AO31" s="107">
        <f>AN31*100/$E$31</f>
        <v/>
      </c>
      <c r="AP31" s="108" t="n"/>
      <c r="AQ31" s="107">
        <f>AP31*100/$E$31</f>
        <v/>
      </c>
      <c r="AR31" s="108" t="n"/>
      <c r="AS31" s="107">
        <f>AR31*100/$E$31</f>
        <v/>
      </c>
      <c r="AT31" s="108" t="n"/>
      <c r="AU31" s="90">
        <f>AT31*100/$E$31</f>
        <v/>
      </c>
      <c r="AV31" s="108" t="n"/>
      <c r="AW31" s="107">
        <f>AV31*100/$E$31</f>
        <v/>
      </c>
      <c r="AX31" s="108" t="n">
        <v>4</v>
      </c>
      <c r="AY31" s="107">
        <f>AX31*100/$E$31</f>
        <v/>
      </c>
      <c r="AZ31" s="108" t="n">
        <v>12</v>
      </c>
      <c r="BA31" s="107">
        <f>AZ31*100/$E$31</f>
        <v/>
      </c>
      <c r="BB31" s="108" t="n">
        <v>12</v>
      </c>
      <c r="BC31" s="107">
        <f>BB31*100/$E$31</f>
        <v/>
      </c>
      <c r="BD31" s="108" t="n">
        <v>12</v>
      </c>
      <c r="BE31" s="107">
        <f>BD31*100/$E$31</f>
        <v/>
      </c>
      <c r="BF31" s="108" t="n">
        <v>10</v>
      </c>
      <c r="BG31" s="107">
        <f>BF31*100/$E$31</f>
        <v/>
      </c>
      <c r="BH31" s="108" t="n"/>
      <c r="BI31" s="107">
        <f>BH31*100/$E$31</f>
        <v/>
      </c>
      <c r="BJ31" s="108" t="n"/>
      <c r="BK31" s="107">
        <f>BJ31*100/$E$31</f>
        <v/>
      </c>
      <c r="BL31" s="108" t="n"/>
      <c r="BM31" s="107">
        <f>BL31*100/$E$31</f>
        <v/>
      </c>
      <c r="BN31" s="108" t="n"/>
      <c r="BO31" s="107">
        <f>BN31*100/$E$31</f>
        <v/>
      </c>
      <c r="BP31" s="108" t="n"/>
      <c r="BQ31" s="107">
        <f>BP31*100/$E$31</f>
        <v/>
      </c>
      <c r="BR31" s="108" t="n"/>
      <c r="BS31" s="107">
        <f>BR31*100/$E$31</f>
        <v/>
      </c>
      <c r="BT31" s="108" t="n"/>
      <c r="BU31" s="107">
        <f>BT31*100/$E$31</f>
        <v/>
      </c>
      <c r="BV31" s="108" t="n"/>
      <c r="BW31" s="107">
        <f>BV31*100/$E$31</f>
        <v/>
      </c>
      <c r="BX31" s="108" t="n"/>
      <c r="BY31" s="107">
        <f>BX31*100/$E$31</f>
        <v/>
      </c>
      <c r="BZ31" s="108" t="n"/>
      <c r="CA31" s="107">
        <f>BZ31*100/$E$31</f>
        <v/>
      </c>
      <c r="CB31" s="108" t="n"/>
      <c r="CC31" s="107">
        <f>CB31*100/$E$31</f>
        <v/>
      </c>
      <c r="CD31" s="108" t="n"/>
      <c r="CE31" s="107">
        <f>CD31*100/$E$31</f>
        <v/>
      </c>
      <c r="CF31" s="108" t="n"/>
      <c r="CG31" s="107">
        <f>CF31*100/$E$31</f>
        <v/>
      </c>
      <c r="CH31" s="108" t="n"/>
      <c r="CI31" s="107">
        <f>CH31*100/$E$31</f>
        <v/>
      </c>
      <c r="CJ31" s="108" t="n"/>
      <c r="CK31" s="107">
        <f>CJ31*100/$E$31</f>
        <v/>
      </c>
      <c r="CL31" s="108" t="n"/>
      <c r="CM31" s="107">
        <f>CL31*100/$E$31</f>
        <v/>
      </c>
      <c r="CN31" s="108" t="n"/>
      <c r="CO31" s="122">
        <f>CN31*100/$E$31</f>
        <v/>
      </c>
      <c r="CP31" s="108" t="n"/>
      <c r="CQ31" s="107">
        <f>CP31*100/$E$31</f>
        <v/>
      </c>
      <c r="CR31" s="108" t="n"/>
      <c r="CS31" s="122">
        <f>CR31*100/$E$31</f>
        <v/>
      </c>
      <c r="CT31" s="108" t="n"/>
      <c r="CU31" s="122">
        <f>CT31*100/$E$31</f>
        <v/>
      </c>
      <c r="CV31" s="108" t="n"/>
      <c r="CW31" s="122">
        <f>CV31*100/$E$31</f>
        <v/>
      </c>
      <c r="CX31" s="108" t="n">
        <v>50</v>
      </c>
      <c r="CY31" s="122">
        <f>CX31*100/$E$31</f>
        <v/>
      </c>
      <c r="CZ31" s="108" t="n"/>
      <c r="DA31" s="122">
        <f>CZ31*100/$E$31</f>
        <v/>
      </c>
      <c r="DB31" s="108" t="n"/>
      <c r="DC31" s="122">
        <f>DB31*100/$E$31</f>
        <v/>
      </c>
      <c r="DD31" s="108" t="n"/>
      <c r="DE31" s="122">
        <f>DD31*100/$E$31</f>
        <v/>
      </c>
      <c r="DF31" s="108" t="n"/>
      <c r="DG31" s="122">
        <f>DF31*100/$E$31</f>
        <v/>
      </c>
      <c r="DH31" s="108" t="n"/>
      <c r="DI31" s="122">
        <f>DH31*100/$E$31</f>
        <v/>
      </c>
      <c r="DJ31" s="108" t="n"/>
      <c r="DK31" s="122">
        <f>DJ31*100/$E$31</f>
        <v/>
      </c>
      <c r="DL31" s="108" t="n"/>
      <c r="DM31" s="122">
        <f>DL31*100/$E$31</f>
        <v/>
      </c>
      <c r="DN31" s="108" t="n"/>
      <c r="DO31" s="122">
        <f>DN31*100/$E$31</f>
        <v/>
      </c>
      <c r="DP31" s="108" t="n"/>
      <c r="DQ31" s="122">
        <f>DP31*100/$E$31</f>
        <v/>
      </c>
      <c r="DR31" s="108" t="n"/>
      <c r="DS31" s="122">
        <f>DR31*100/$E$31</f>
        <v/>
      </c>
      <c r="DT31" s="108" t="n"/>
      <c r="DU31" s="122">
        <f>DT31*100/$E$31</f>
        <v/>
      </c>
      <c r="DV31" s="108" t="n"/>
      <c r="DW31" s="122">
        <f>DV31*100/$E$31</f>
        <v/>
      </c>
      <c r="DX31" s="108" t="n"/>
      <c r="DY31" s="122">
        <f>DX31*100/$E$31</f>
        <v/>
      </c>
      <c r="DZ31" s="108" t="n"/>
      <c r="EA31" s="122">
        <f>DZ31*100/$E$31</f>
        <v/>
      </c>
      <c r="EB31" s="108" t="n"/>
      <c r="EC31" s="122">
        <f>EB31*100/$E$31</f>
        <v/>
      </c>
      <c r="ED31" s="108" t="n"/>
      <c r="EE31" s="122">
        <f>ED31*100/$E$31</f>
        <v/>
      </c>
      <c r="EF31" s="108" t="n"/>
      <c r="EG31" s="122">
        <f>EF31*100/$E$31</f>
        <v/>
      </c>
      <c r="EH31" s="108" t="n"/>
      <c r="EI31" s="122">
        <f>EH31*100/$E$31</f>
        <v/>
      </c>
      <c r="EJ31" s="108" t="n"/>
      <c r="EK31" s="122">
        <f>EJ31*100/$E$31</f>
        <v/>
      </c>
      <c r="EL31" s="108" t="n">
        <v>9</v>
      </c>
      <c r="EM31" s="122">
        <f>EL31*100/$E$31</f>
        <v/>
      </c>
      <c r="EN31" s="108" t="n"/>
      <c r="EO31" s="122">
        <f>EN31*100/$E$31</f>
        <v/>
      </c>
      <c r="EP31" s="108" t="n"/>
      <c r="EQ31" s="122">
        <f>EP31*100/$E$31</f>
        <v/>
      </c>
      <c r="ER31" s="108" t="n"/>
      <c r="ES31" s="122">
        <f>ER31*100/$E$31</f>
        <v/>
      </c>
      <c r="ET31" s="108" t="n"/>
      <c r="EU31" s="122">
        <f>ET31*100/$E$31</f>
        <v/>
      </c>
      <c r="EV31" s="108" t="n"/>
      <c r="EW31" s="122">
        <f>EV31*100/$E$31</f>
        <v/>
      </c>
      <c r="EX31" s="108" t="n"/>
      <c r="EY31" s="122">
        <f>EX31*100/$E$31</f>
        <v/>
      </c>
      <c r="EZ31" s="108" t="n"/>
      <c r="FA31" s="122">
        <f>EZ31*100/$E$31</f>
        <v/>
      </c>
      <c r="FB31" s="108" t="n"/>
      <c r="FC31" s="122">
        <f>FB31*100/$E$31</f>
        <v/>
      </c>
      <c r="FD31" s="108" t="n"/>
      <c r="FE31" s="122">
        <f>FD31*100/$E$31</f>
        <v/>
      </c>
      <c r="FF31" s="108" t="n"/>
      <c r="FG31" s="122">
        <f>FF31*100/$E$31</f>
        <v/>
      </c>
      <c r="FH31" s="108" t="n"/>
      <c r="FI31" s="122">
        <f>FH31*100/$E$31</f>
        <v/>
      </c>
      <c r="FJ31" s="108" t="n"/>
      <c r="FK31" s="122">
        <f>FJ31*100/$E$31</f>
        <v/>
      </c>
      <c r="FL31" s="108" t="n"/>
      <c r="FM31" s="122">
        <f>FL31*100/$E$31</f>
        <v/>
      </c>
      <c r="FN31" s="108" t="n">
        <v>9</v>
      </c>
      <c r="FO31" s="122">
        <f>FN31*100/$E$31</f>
        <v/>
      </c>
      <c r="FP31" s="108" t="n"/>
      <c r="FQ31" s="122">
        <f>FP31*100/$E$31</f>
        <v/>
      </c>
      <c r="FR31" s="108" t="n"/>
      <c r="FS31" s="122">
        <f>FR31*100/$E$31</f>
        <v/>
      </c>
      <c r="FT31" s="108" t="n">
        <v>28</v>
      </c>
      <c r="FU31" s="122">
        <f>FT31*100/$E$31</f>
        <v/>
      </c>
      <c r="FV31" s="108" t="n">
        <v>14</v>
      </c>
      <c r="FW31" s="122">
        <f>FV31*100/$E$31</f>
        <v/>
      </c>
      <c r="FX31" s="108" t="n"/>
      <c r="FY31" s="107">
        <f>FX31*100/$E$31</f>
        <v/>
      </c>
      <c r="FZ31" s="108" t="n">
        <v>6</v>
      </c>
      <c r="GA31" s="107">
        <f>FZ31*100/$E$31</f>
        <v/>
      </c>
      <c r="GB31" s="108" t="n"/>
      <c r="GC31" s="107">
        <f>GB31*100/$E$31</f>
        <v/>
      </c>
      <c r="GD31" s="108" t="n"/>
      <c r="GE31" s="107">
        <f>GD31*100/$E$31</f>
        <v/>
      </c>
      <c r="GF31" s="108" t="n">
        <v>30</v>
      </c>
      <c r="GG31" s="107">
        <f>GF31*100/$E$31</f>
        <v/>
      </c>
      <c r="GH31" s="108" t="n"/>
      <c r="GI31" s="107">
        <f>GH31*100/$E$31</f>
        <v/>
      </c>
      <c r="GJ31" s="108" t="n"/>
      <c r="GK31" s="122">
        <f>GJ31*100/$E$31</f>
        <v/>
      </c>
      <c r="GL31" s="108" t="n"/>
      <c r="GM31" s="107">
        <f>GL31*100/$E$31</f>
        <v/>
      </c>
      <c r="GN31" s="108" t="n"/>
      <c r="GO31" s="122">
        <f>GN31*100/$E$31</f>
        <v/>
      </c>
      <c r="GP31" s="108" t="n"/>
      <c r="GQ31" s="107">
        <f>GP31*100/$E$31</f>
        <v/>
      </c>
      <c r="GR31" s="108" t="n"/>
      <c r="GS31" s="122">
        <f>GR31*100/$E$31</f>
        <v/>
      </c>
      <c r="GT31" s="108" t="n"/>
      <c r="GU31" s="122">
        <f>GT31*100/$E$31</f>
        <v/>
      </c>
      <c r="GV31" s="108" t="n"/>
      <c r="GW31" s="122">
        <f>GV31*100/$E$31</f>
        <v/>
      </c>
      <c r="GX31" s="108" t="n"/>
      <c r="GY31" s="107">
        <f>GX31*100/$E$31</f>
        <v/>
      </c>
      <c r="GZ31" s="108" t="n"/>
      <c r="HA31" s="107">
        <f>GZ31*100/$E$31</f>
        <v/>
      </c>
      <c r="HB31" s="108" t="n"/>
      <c r="HC31" s="107">
        <f>HB31*100/$E$31</f>
        <v/>
      </c>
      <c r="HD31" s="108" t="n"/>
      <c r="HE31" s="107">
        <f>HD31*100/$E$31</f>
        <v/>
      </c>
      <c r="HF31" s="108" t="n"/>
      <c r="HG31" s="107">
        <f>HF31*100/$E$31</f>
        <v/>
      </c>
      <c r="HH31" s="108" t="n"/>
      <c r="HI31" s="107">
        <f>HH31*100/$E$31</f>
        <v/>
      </c>
      <c r="HJ31" s="108" t="n"/>
      <c r="HK31" s="107">
        <f>HJ31*100/$E$31</f>
        <v/>
      </c>
      <c r="HL31" s="108" t="n"/>
      <c r="HM31" s="107">
        <f>HL31*100/$E$31</f>
        <v/>
      </c>
      <c r="HN31" s="108" t="n"/>
      <c r="HO31" s="107">
        <f>HN31*100/$E$31</f>
        <v/>
      </c>
      <c r="HP31" s="108" t="n"/>
      <c r="HQ31" s="107">
        <f>HP31*100/$E$31</f>
        <v/>
      </c>
      <c r="HR31" s="108" t="n"/>
      <c r="HS31" s="107">
        <f>HR31*100/$E$31</f>
        <v/>
      </c>
      <c r="HT31" s="108" t="n"/>
      <c r="HU31" s="107">
        <f>HT31*100/$E$31</f>
        <v/>
      </c>
      <c r="HV31" s="108" t="n"/>
      <c r="HW31" s="107">
        <f>HV31*100/$E$31</f>
        <v/>
      </c>
      <c r="HX31" s="108" t="n"/>
      <c r="HY31" s="107">
        <f>HX31*100/$E$31</f>
        <v/>
      </c>
      <c r="HZ31" s="108" t="n"/>
      <c r="IA31" s="122">
        <f>HZ31*100/$E$31</f>
        <v/>
      </c>
      <c r="IB31" s="108" t="n"/>
      <c r="IC31" s="122">
        <f>IB31*100/$E$31</f>
        <v/>
      </c>
      <c r="ID31" s="108" t="n"/>
      <c r="IE31" s="122">
        <f>ID31*100/$E$31</f>
        <v/>
      </c>
      <c r="IF31" s="108" t="n"/>
      <c r="IG31" s="122">
        <f>IF31*100/$E$31</f>
        <v/>
      </c>
      <c r="IH31" s="108" t="n"/>
      <c r="II31" s="122">
        <f>IH31*100/$E$31</f>
        <v/>
      </c>
      <c r="IJ31" s="108" t="n"/>
      <c r="IK31" s="122">
        <f>IJ31*100/$E$31</f>
        <v/>
      </c>
      <c r="IL31" s="108" t="n"/>
      <c r="IM31" s="107">
        <f>IL31*100/$E$31</f>
        <v/>
      </c>
      <c r="IN31" s="108" t="n"/>
      <c r="IO31" s="107">
        <f>IN31*100/$E$31</f>
        <v/>
      </c>
      <c r="IP31" s="108" t="n"/>
      <c r="IQ31" s="122">
        <f>IP31*100/$E$31</f>
        <v/>
      </c>
      <c r="IR31" s="108" t="n"/>
      <c r="IS31" s="122">
        <f>IR31*100/$E$31</f>
        <v/>
      </c>
      <c r="IT31" s="108" t="n"/>
      <c r="IU31" s="122">
        <f>IT31*100/$E$31</f>
        <v/>
      </c>
      <c r="IV31" s="108" t="n"/>
      <c r="IW31" s="122">
        <f>IV31*100/$E$31</f>
        <v/>
      </c>
      <c r="IX31" s="108" t="n"/>
      <c r="IY31" s="122">
        <f>IX31*100/$E$31</f>
        <v/>
      </c>
      <c r="IZ31" s="108" t="n"/>
      <c r="JA31" s="122">
        <f>IZ31*100/$E$31</f>
        <v/>
      </c>
      <c r="JB31" s="108" t="n"/>
      <c r="JC31" s="122">
        <f>JB31*100/$E$31</f>
        <v/>
      </c>
      <c r="JD31" s="108" t="n"/>
      <c r="JE31" s="122">
        <f>JD31*100/$E$31</f>
        <v/>
      </c>
      <c r="JF31" s="108" t="n"/>
      <c r="JG31" s="122">
        <f>JF31*100/$E$31</f>
        <v/>
      </c>
      <c r="JH31" s="108" t="n"/>
      <c r="JI31" s="122">
        <f>JH31*100/$E$31</f>
        <v/>
      </c>
      <c r="JJ31" s="108" t="n"/>
      <c r="JK31" s="122">
        <f>JJ31*100/$E$31</f>
        <v/>
      </c>
      <c r="JL31" s="108" t="n"/>
      <c r="JM31" s="122">
        <f>JL31*100/$E$31</f>
        <v/>
      </c>
      <c r="JN31" s="132" t="n"/>
      <c r="JO31" s="121">
        <f>JN31*100/$E$31</f>
        <v/>
      </c>
      <c r="JP31" s="132" t="n"/>
      <c r="JQ31" s="121">
        <f>JP31*100/$E$31</f>
        <v/>
      </c>
      <c r="JR31" s="132" t="n"/>
      <c r="JS31" s="121">
        <f>JR31*100/$E$31</f>
        <v/>
      </c>
      <c r="JT31" s="132" t="n"/>
      <c r="JU31" s="121">
        <f>JT31*100/$E$31</f>
        <v/>
      </c>
      <c r="JV31" s="108" t="n"/>
      <c r="JW31" s="121">
        <f>JV31*100/$E$31</f>
        <v/>
      </c>
      <c r="JX31" s="108" t="n"/>
      <c r="JY31" s="121">
        <f>JX31*100/$E$31</f>
        <v/>
      </c>
      <c r="JZ31" s="55">
        <f>JN31+JP31+JR31+JT31+JV31+JX31</f>
        <v/>
      </c>
      <c r="KA31" s="53">
        <f>JO31+JQ31+JS31+JU31+JW31+JY31</f>
        <v/>
      </c>
      <c r="KB31" s="64">
        <f>H31+J31+L31+N31+P31+R31+T31+V31+X31+Z31+AB31+AD31+AF31+AH31+AJ31+AL31+AN31+AP31+AR31+AT31+AV31+AX31+AZ31+BB31+BD31+BF31+BH31+BJ31+BL31+BN31+BP31+BR31+BT31+BV31+BX31+BZ31+CB31+CD31+CF31+CH31+CZ31+DB31+DD31+DF31+DH31+DJ31+DL31+DN31+DP31+DR31+DT31+DV31+DX31+DZ31+EB31+ED31+EF31+EH31+EJ31+EL31+EN31+EP31+ER31+ET31+EV31+FN31+FP31+FR31+FT31+FV31+FX31+FZ31+GB31+GD31+GF31+GH31+GJ31+GL31+GN31+GP31+GR31+GT31+GV31+GX31+GZ31+HB31+HD31+HF31+HH31+HJ31+HL31+HN31+HP31+HR31+HT31+HV31+HX31+HZ31+IB31+ID31+IF31+IH31+IJ31+IL31+IN31+IP31+IR31+IT31+IV31+IX31+IZ31+JB31+JD31+JF31+JH31+JJ31+JL31+JZ31+CJ31+CL31+CN31+CP31+CR31+CT31+CV31+CX31+EX31+EZ31+FB31+FD31+FF31+FH31+FJ31+FL31</f>
        <v/>
      </c>
      <c r="KC31" s="66">
        <f>I31+K31+M31+O31+Q31+S31+U31+W31+Y31+AA31+AC31+AE31+AG31+AI31+AK31+AM31+AO31+AQ31+AS31+AU31+AW31+AY31+BA31+BC31+BE31+BG31+BI31+BK31+BM31+BO31+BQ31+BS31+BU31+BW31+BY31+CA31+CC31+CE31+CG31+CI31+DA31+DC31+DE31+DG31+DI31+DK31+DM31+DO31+DQ31+DS31+DU31+DW31+DY31+EA31+EC31+EE31+EG31+EI31+EK31+EM31+EO31+EQ31+ES31+EU31+EW31+FO31+FS31+FU31+FW31+FQ31+FY31+GA31+GC31+GE31+GG31+GI31+GK31+GM31+GO31+GQ31+GS31+GU31+GW31+GY31+HA31+HC31+HE31+HG31+HI31+HK31+HM31+HO31+HQ31+HS31+HU31+HW31+HY31+IA31+IC31+IE31+IG31+II31+IK31+IM31+IO31+IQ31+IS31+IU31+IW31+IY31+JA31+JC31+JE31+JG31+JI31+JK31+JM31+KA31+CK31+CM31+CO31+CQ31+CS31+CU31+CW31+CY31+EY31+FA31+FC31+FE31+FG31+FI31+FK31+FM31</f>
        <v/>
      </c>
      <c r="KD31" s="44">
        <f>JO31+JQ31+JS31+JU31+JW31+JY31</f>
        <v/>
      </c>
      <c r="KE31" s="45">
        <f>KB31=E31</f>
        <v/>
      </c>
      <c r="KF31" s="101">
        <f>E31-KB31</f>
        <v/>
      </c>
      <c r="KG31" s="23" t="n"/>
    </row>
    <row r="32" ht="21.75" customFormat="1" customHeight="1" s="21">
      <c r="A32" s="126">
        <f>A31+1</f>
        <v/>
      </c>
      <c r="B32" s="175" t="inlineStr">
        <is>
          <t>Маргиани Г.И.</t>
        </is>
      </c>
      <c r="C32" s="176" t="inlineStr">
        <is>
          <t xml:space="preserve">Оператор СПУ </t>
        </is>
      </c>
      <c r="D32" s="177">
        <f>$D$5</f>
        <v/>
      </c>
      <c r="E32" s="202" t="n">
        <v>179</v>
      </c>
      <c r="F32" s="193" t="n">
        <v>113793.54</v>
      </c>
      <c r="G32" s="52">
        <f>F32/D32</f>
        <v/>
      </c>
      <c r="H32" s="125" t="n"/>
      <c r="I32" s="107">
        <f>H32*100/$E$32</f>
        <v/>
      </c>
      <c r="J32" s="108" t="n"/>
      <c r="K32" s="107">
        <f>J32*100/$E$32</f>
        <v/>
      </c>
      <c r="L32" s="108" t="n"/>
      <c r="M32" s="107">
        <f>L32*100/$E$32</f>
        <v/>
      </c>
      <c r="N32" s="108" t="n"/>
      <c r="O32" s="107">
        <f>N32*100/$E$32</f>
        <v/>
      </c>
      <c r="P32" s="108" t="n"/>
      <c r="Q32" s="122">
        <f>P32*100/$E$32</f>
        <v/>
      </c>
      <c r="R32" s="108" t="n">
        <v>20</v>
      </c>
      <c r="S32" s="122">
        <f>R32*100/$E$32</f>
        <v/>
      </c>
      <c r="T32" s="108" t="n"/>
      <c r="U32" s="107">
        <f>T32*100/$E$32</f>
        <v/>
      </c>
      <c r="V32" s="108" t="n"/>
      <c r="W32" s="107">
        <f>V32*100/$E$32</f>
        <v/>
      </c>
      <c r="X32" s="108" t="n"/>
      <c r="Y32" s="107">
        <f>X32*100/$E$32</f>
        <v/>
      </c>
      <c r="Z32" s="108" t="n"/>
      <c r="AA32" s="107">
        <f>Z32*100/$E$32</f>
        <v/>
      </c>
      <c r="AB32" s="108" t="n"/>
      <c r="AC32" s="107">
        <f>AB32*100/$E$32</f>
        <v/>
      </c>
      <c r="AD32" s="108" t="n"/>
      <c r="AE32" s="122">
        <f>AD32*100/$E$32</f>
        <v/>
      </c>
      <c r="AF32" s="108" t="n"/>
      <c r="AG32" s="122">
        <f>AF32*100/$E$32</f>
        <v/>
      </c>
      <c r="AH32" s="108" t="n"/>
      <c r="AI32" s="107">
        <f>AH32*100/$E$32</f>
        <v/>
      </c>
      <c r="AJ32" s="108" t="n"/>
      <c r="AK32" s="107">
        <f>AJ32*100/$E$32</f>
        <v/>
      </c>
      <c r="AL32" s="108" t="n"/>
      <c r="AM32" s="107">
        <f>AL32*100/$E$32</f>
        <v/>
      </c>
      <c r="AN32" s="108" t="n"/>
      <c r="AO32" s="107">
        <f>AN32*100/$E$32</f>
        <v/>
      </c>
      <c r="AP32" s="108" t="n"/>
      <c r="AQ32" s="107">
        <f>AP32*100/$E$32</f>
        <v/>
      </c>
      <c r="AR32" s="108" t="n"/>
      <c r="AS32" s="107">
        <f>AR32*100/$E$32</f>
        <v/>
      </c>
      <c r="AT32" s="108" t="n"/>
      <c r="AU32" s="90">
        <f>AT32*100/$E$32</f>
        <v/>
      </c>
      <c r="AV32" s="108" t="n">
        <v>21</v>
      </c>
      <c r="AW32" s="107">
        <f>AV32*100/$E$32</f>
        <v/>
      </c>
      <c r="AX32" s="108" t="n">
        <v>12</v>
      </c>
      <c r="AY32" s="107">
        <f>AX32*100/$E$32</f>
        <v/>
      </c>
      <c r="AZ32" s="108" t="n"/>
      <c r="BA32" s="122">
        <f>AZ32*100/$E$32</f>
        <v/>
      </c>
      <c r="BB32" s="108" t="n">
        <v>8</v>
      </c>
      <c r="BC32" s="107">
        <f>BB32*100/$E$32</f>
        <v/>
      </c>
      <c r="BD32" s="108" t="n">
        <v>10</v>
      </c>
      <c r="BE32" s="107">
        <f>BD32*100/$E$32</f>
        <v/>
      </c>
      <c r="BF32" s="108" t="n"/>
      <c r="BG32" s="107">
        <f>BF32*100/$E$32</f>
        <v/>
      </c>
      <c r="BH32" s="108" t="n"/>
      <c r="BI32" s="107">
        <f>BH32*100/$E$32</f>
        <v/>
      </c>
      <c r="BJ32" s="108" t="n">
        <v>12</v>
      </c>
      <c r="BK32" s="107">
        <f>BJ32*100/$E$32</f>
        <v/>
      </c>
      <c r="BL32" s="108" t="n">
        <v>4</v>
      </c>
      <c r="BM32" s="107">
        <f>BL32*100/$E$32</f>
        <v/>
      </c>
      <c r="BN32" s="108" t="n"/>
      <c r="BO32" s="107">
        <f>BN32*100/$E$32</f>
        <v/>
      </c>
      <c r="BP32" s="108" t="n"/>
      <c r="BQ32" s="107">
        <f>BP32*100/$E$32</f>
        <v/>
      </c>
      <c r="BR32" s="108" t="n"/>
      <c r="BS32" s="107">
        <f>BR32*100/$E$32</f>
        <v/>
      </c>
      <c r="BT32" s="108" t="n">
        <v>4</v>
      </c>
      <c r="BU32" s="107">
        <f>BT32*100/$E$32</f>
        <v/>
      </c>
      <c r="BV32" s="108" t="n"/>
      <c r="BW32" s="107">
        <f>BV32*100/$E$32</f>
        <v/>
      </c>
      <c r="BX32" s="108" t="n"/>
      <c r="BY32" s="107">
        <f>BX32*100/$E$32</f>
        <v/>
      </c>
      <c r="BZ32" s="108" t="n">
        <v>8</v>
      </c>
      <c r="CA32" s="107">
        <f>BZ32*100/$E$32</f>
        <v/>
      </c>
      <c r="CB32" s="108" t="n">
        <v>4</v>
      </c>
      <c r="CC32" s="107">
        <f>CB32*100/$E$32</f>
        <v/>
      </c>
      <c r="CD32" s="108" t="n">
        <v>20</v>
      </c>
      <c r="CE32" s="107">
        <f>CD32*100/$E$32</f>
        <v/>
      </c>
      <c r="CF32" s="108" t="n">
        <v>12</v>
      </c>
      <c r="CG32" s="107">
        <f>CF32*100/$E$32</f>
        <v/>
      </c>
      <c r="CH32" s="108" t="n"/>
      <c r="CI32" s="107">
        <f>CH32*100/$E$32</f>
        <v/>
      </c>
      <c r="CJ32" s="108" t="n"/>
      <c r="CK32" s="107">
        <f>CJ32*100/$E$32</f>
        <v/>
      </c>
      <c r="CL32" s="108" t="n"/>
      <c r="CM32" s="107">
        <f>CL32*100/$E$32</f>
        <v/>
      </c>
      <c r="CN32" s="108" t="n"/>
      <c r="CO32" s="122">
        <f>CN32*100/$E$32</f>
        <v/>
      </c>
      <c r="CP32" s="108" t="n"/>
      <c r="CQ32" s="107">
        <f>CP32*100/$E$32</f>
        <v/>
      </c>
      <c r="CR32" s="108" t="n"/>
      <c r="CS32" s="122">
        <f>CR32*100/$E$32</f>
        <v/>
      </c>
      <c r="CT32" s="108" t="n"/>
      <c r="CU32" s="122">
        <f>CT32*100/$E$32</f>
        <v/>
      </c>
      <c r="CV32" s="108" t="n"/>
      <c r="CW32" s="122">
        <f>CV32*100/$E$32</f>
        <v/>
      </c>
      <c r="CX32" s="108" t="n"/>
      <c r="CY32" s="122">
        <f>CX32*100/$E$32</f>
        <v/>
      </c>
      <c r="CZ32" s="108" t="n">
        <v>8</v>
      </c>
      <c r="DA32" s="122">
        <f>CZ32*100/$E$32</f>
        <v/>
      </c>
      <c r="DB32" s="108" t="n"/>
      <c r="DC32" s="122">
        <f>DB32*100/$E$32</f>
        <v/>
      </c>
      <c r="DD32" s="108" t="n"/>
      <c r="DE32" s="122">
        <f>DD32*100/$E$32</f>
        <v/>
      </c>
      <c r="DF32" s="108" t="n"/>
      <c r="DG32" s="122">
        <f>DF32*100/$E$32</f>
        <v/>
      </c>
      <c r="DH32" s="108" t="n"/>
      <c r="DI32" s="122">
        <f>DH32*100/$E$32</f>
        <v/>
      </c>
      <c r="DJ32" s="108" t="n"/>
      <c r="DK32" s="122">
        <f>DJ32*100/$E$32</f>
        <v/>
      </c>
      <c r="DL32" s="108" t="n"/>
      <c r="DM32" s="122">
        <f>DL32*100/$E$32</f>
        <v/>
      </c>
      <c r="DN32" s="108" t="n"/>
      <c r="DO32" s="122">
        <f>DN32*100/$E$32</f>
        <v/>
      </c>
      <c r="DP32" s="108" t="n"/>
      <c r="DQ32" s="122">
        <f>DP32*100/$E$32</f>
        <v/>
      </c>
      <c r="DR32" s="108" t="n"/>
      <c r="DS32" s="107">
        <f>DR32*100/$E$32</f>
        <v/>
      </c>
      <c r="DT32" s="108" t="n"/>
      <c r="DU32" s="122">
        <f>DT32*100/$E$32</f>
        <v/>
      </c>
      <c r="DV32" s="108" t="n"/>
      <c r="DW32" s="122">
        <f>DV32*100/$E$32</f>
        <v/>
      </c>
      <c r="DX32" s="108" t="n"/>
      <c r="DY32" s="122">
        <f>DX32*100/$E$32</f>
        <v/>
      </c>
      <c r="DZ32" s="108" t="n"/>
      <c r="EA32" s="122">
        <f>DZ32*100/$E$32</f>
        <v/>
      </c>
      <c r="EB32" s="108" t="n">
        <v>4</v>
      </c>
      <c r="EC32" s="122">
        <f>EB32*100/$E$32</f>
        <v/>
      </c>
      <c r="ED32" s="108" t="n"/>
      <c r="EE32" s="122">
        <f>ED32*100/$E$32</f>
        <v/>
      </c>
      <c r="EF32" s="108" t="n"/>
      <c r="EG32" s="122">
        <f>EF32*100/$E$32</f>
        <v/>
      </c>
      <c r="EH32" s="108" t="n"/>
      <c r="EI32" s="122">
        <f>EH32*100/$E$32</f>
        <v/>
      </c>
      <c r="EJ32" s="108" t="n"/>
      <c r="EK32" s="122">
        <f>EJ32*100/$E$32</f>
        <v/>
      </c>
      <c r="EL32" s="108" t="n"/>
      <c r="EM32" s="122">
        <f>EL32*100/$E$32</f>
        <v/>
      </c>
      <c r="EN32" s="108" t="n"/>
      <c r="EO32" s="122">
        <f>EN32*100/$E$32</f>
        <v/>
      </c>
      <c r="EP32" s="108" t="n"/>
      <c r="EQ32" s="122">
        <f>EP32*100/$E$32</f>
        <v/>
      </c>
      <c r="ER32" s="108" t="n">
        <v>12</v>
      </c>
      <c r="ES32" s="107">
        <f>ER32*100/$E$32</f>
        <v/>
      </c>
      <c r="ET32" s="108" t="n"/>
      <c r="EU32" s="107">
        <f>ET32*100/$E$32</f>
        <v/>
      </c>
      <c r="EV32" s="108" t="n"/>
      <c r="EW32" s="122">
        <f>EV32*100/$E$32</f>
        <v/>
      </c>
      <c r="EX32" s="108" t="n"/>
      <c r="EY32" s="122">
        <f>EX32*100/$E$32</f>
        <v/>
      </c>
      <c r="EZ32" s="108" t="n"/>
      <c r="FA32" s="122">
        <f>EZ32*100/$E$32</f>
        <v/>
      </c>
      <c r="FB32" s="108" t="n">
        <v>6</v>
      </c>
      <c r="FC32" s="122">
        <f>FB32*100/$E$32</f>
        <v/>
      </c>
      <c r="FD32" s="108" t="n"/>
      <c r="FE32" s="122">
        <f>FD32*100/$E$32</f>
        <v/>
      </c>
      <c r="FF32" s="108" t="n"/>
      <c r="FG32" s="122">
        <f>FF32*100/$E$32</f>
        <v/>
      </c>
      <c r="FH32" s="108" t="n"/>
      <c r="FI32" s="122">
        <f>FH32*100/$E$32</f>
        <v/>
      </c>
      <c r="FJ32" s="108" t="n"/>
      <c r="FK32" s="122">
        <f>FJ32*100/$E$32</f>
        <v/>
      </c>
      <c r="FL32" s="108" t="n"/>
      <c r="FM32" s="122">
        <f>FL32*100/$E$32</f>
        <v/>
      </c>
      <c r="FN32" s="108" t="n"/>
      <c r="FO32" s="122">
        <f>FN32*100/$E$32</f>
        <v/>
      </c>
      <c r="FP32" s="108" t="n"/>
      <c r="FQ32" s="122">
        <f>FP32*100/$E$32</f>
        <v/>
      </c>
      <c r="FR32" s="108" t="n"/>
      <c r="FS32" s="122">
        <f>FR32*100/$E$32</f>
        <v/>
      </c>
      <c r="FT32" s="108" t="n"/>
      <c r="FU32" s="122">
        <f>FT32*100/$E$32</f>
        <v/>
      </c>
      <c r="FV32" s="108" t="n">
        <v>6</v>
      </c>
      <c r="FW32" s="122">
        <f>FV32*100/$E$32</f>
        <v/>
      </c>
      <c r="FX32" s="108" t="n"/>
      <c r="FY32" s="122">
        <f>FX32*100/$E$32</f>
        <v/>
      </c>
      <c r="FZ32" s="108" t="n"/>
      <c r="GA32" s="122">
        <f>FZ32*100/$E$32</f>
        <v/>
      </c>
      <c r="GB32" s="108" t="n"/>
      <c r="GC32" s="107">
        <f>GB32*100/$E$32</f>
        <v/>
      </c>
      <c r="GD32" s="108" t="n"/>
      <c r="GE32" s="107">
        <f>GD32*100/$E$32</f>
        <v/>
      </c>
      <c r="GF32" s="108" t="n">
        <v>4</v>
      </c>
      <c r="GG32" s="107">
        <f>GF32*100/$E$32</f>
        <v/>
      </c>
      <c r="GH32" s="108" t="n"/>
      <c r="GI32" s="107">
        <f>GH32*100/$E$32</f>
        <v/>
      </c>
      <c r="GJ32" s="108" t="n"/>
      <c r="GK32" s="122">
        <f>GJ32*100/$E$32</f>
        <v/>
      </c>
      <c r="GL32" s="108" t="n"/>
      <c r="GM32" s="107">
        <f>GL32*100/$E$32</f>
        <v/>
      </c>
      <c r="GN32" s="108" t="n"/>
      <c r="GO32" s="122">
        <f>GN32*100/$E$32</f>
        <v/>
      </c>
      <c r="GP32" s="125" t="n"/>
      <c r="GQ32" s="122">
        <f>GP32*100/$E$32</f>
        <v/>
      </c>
      <c r="GR32" s="108" t="n"/>
      <c r="GS32" s="122">
        <f>GR32*100/$E$32</f>
        <v/>
      </c>
      <c r="GT32" s="108" t="n"/>
      <c r="GU32" s="122">
        <f>GT32*100/$E$32</f>
        <v/>
      </c>
      <c r="GV32" s="108" t="n"/>
      <c r="GW32" s="107">
        <f>GV32*100/$E$32</f>
        <v/>
      </c>
      <c r="GX32" s="108" t="n"/>
      <c r="GY32" s="107">
        <f>GX32*100/$E$32</f>
        <v/>
      </c>
      <c r="GZ32" s="108" t="n"/>
      <c r="HA32" s="122">
        <f>GZ32*100/$E$32</f>
        <v/>
      </c>
      <c r="HB32" s="108" t="n"/>
      <c r="HC32" s="122">
        <f>HB32*100/$E$32</f>
        <v/>
      </c>
      <c r="HD32" s="108" t="n"/>
      <c r="HE32" s="122">
        <f>HD32*100/$E$32</f>
        <v/>
      </c>
      <c r="HF32" s="108" t="n"/>
      <c r="HG32" s="122">
        <f>HF32*100/$E$32</f>
        <v/>
      </c>
      <c r="HH32" s="108" t="n"/>
      <c r="HI32" s="122">
        <f>HH32*100/$E$32</f>
        <v/>
      </c>
      <c r="HJ32" s="108" t="n"/>
      <c r="HK32" s="122">
        <f>HJ32*100/$E$32</f>
        <v/>
      </c>
      <c r="HL32" s="108" t="n"/>
      <c r="HM32" s="107">
        <f>HL32*100/$E$32</f>
        <v/>
      </c>
      <c r="HN32" s="108" t="n"/>
      <c r="HO32" s="107">
        <f>HN32*100/$E$32</f>
        <v/>
      </c>
      <c r="HP32" s="108" t="n"/>
      <c r="HQ32" s="107">
        <f>HP32*100/$E$32</f>
        <v/>
      </c>
      <c r="HR32" s="108" t="n"/>
      <c r="HS32" s="107">
        <f>HR32*100/$E$32</f>
        <v/>
      </c>
      <c r="HT32" s="108" t="n"/>
      <c r="HU32" s="107">
        <f>HT32*100/$E$32</f>
        <v/>
      </c>
      <c r="HV32" s="108" t="n"/>
      <c r="HW32" s="107">
        <f>HV32*100/$E$32</f>
        <v/>
      </c>
      <c r="HX32" s="108" t="n"/>
      <c r="HY32" s="122">
        <f>HX32*100/$E$32</f>
        <v/>
      </c>
      <c r="HZ32" s="108" t="n"/>
      <c r="IA32" s="122">
        <f>HZ32*100/$E$32</f>
        <v/>
      </c>
      <c r="IB32" s="108" t="n"/>
      <c r="IC32" s="122">
        <f>IB32*100/$E$32</f>
        <v/>
      </c>
      <c r="ID32" s="108" t="n"/>
      <c r="IE32" s="122">
        <f>ID32*100/$E$32</f>
        <v/>
      </c>
      <c r="IF32" s="108" t="n"/>
      <c r="IG32" s="122">
        <f>IF32*100/$E$32</f>
        <v/>
      </c>
      <c r="IH32" s="108" t="n"/>
      <c r="II32" s="122">
        <f>IH32*100/$E$32</f>
        <v/>
      </c>
      <c r="IJ32" s="108" t="n"/>
      <c r="IK32" s="122">
        <f>IJ32*100/$E$32</f>
        <v/>
      </c>
      <c r="IL32" s="108" t="n"/>
      <c r="IM32" s="122">
        <f>IL32*100/$E$32</f>
        <v/>
      </c>
      <c r="IN32" s="108" t="n"/>
      <c r="IO32" s="122">
        <f>IN32*100/$E$32</f>
        <v/>
      </c>
      <c r="IP32" s="108" t="n"/>
      <c r="IQ32" s="122">
        <f>IP32*100/$E$32</f>
        <v/>
      </c>
      <c r="IR32" s="108" t="n"/>
      <c r="IS32" s="122">
        <f>IR32*100/$E$32</f>
        <v/>
      </c>
      <c r="IT32" s="108" t="n"/>
      <c r="IU32" s="122">
        <f>IT32*100/$E$32</f>
        <v/>
      </c>
      <c r="IV32" s="108" t="n"/>
      <c r="IW32" s="122">
        <f>IV32*100/$E$32</f>
        <v/>
      </c>
      <c r="IX32" s="108" t="n"/>
      <c r="IY32" s="122">
        <f>IX32*100/$E$32</f>
        <v/>
      </c>
      <c r="IZ32" s="108" t="n"/>
      <c r="JA32" s="122">
        <f>IZ32*100/$E$32</f>
        <v/>
      </c>
      <c r="JB32" s="108" t="n"/>
      <c r="JC32" s="122">
        <f>JB32*100/$E$32</f>
        <v/>
      </c>
      <c r="JD32" s="108" t="n"/>
      <c r="JE32" s="122">
        <f>JD32*100/$E$32</f>
        <v/>
      </c>
      <c r="JF32" s="108" t="n"/>
      <c r="JG32" s="107">
        <f>JF32*100/$E$32</f>
        <v/>
      </c>
      <c r="JH32" s="108" t="n"/>
      <c r="JI32" s="122">
        <f>JH32*100/$E$32</f>
        <v/>
      </c>
      <c r="JJ32" s="125" t="n"/>
      <c r="JK32" s="122">
        <f>JJ32*100/$E$32</f>
        <v/>
      </c>
      <c r="JL32" s="108" t="n">
        <v>4</v>
      </c>
      <c r="JM32" s="122">
        <f>JL32*100/$E$32</f>
        <v/>
      </c>
      <c r="JN32" s="108" t="n"/>
      <c r="JO32" s="107">
        <f>JN32*100/$E$32</f>
        <v/>
      </c>
      <c r="JP32" s="108" t="n"/>
      <c r="JQ32" s="107">
        <f>JP32*100/$E$32</f>
        <v/>
      </c>
      <c r="JR32" s="108" t="n"/>
      <c r="JS32" s="107">
        <f>JR32*100/$E$32</f>
        <v/>
      </c>
      <c r="JT32" s="108" t="n"/>
      <c r="JU32" s="122">
        <f>JT32*100/$E$32</f>
        <v/>
      </c>
      <c r="JV32" s="108" t="n"/>
      <c r="JW32" s="122">
        <f>JV32*100/$E$32</f>
        <v/>
      </c>
      <c r="JX32" s="108" t="n"/>
      <c r="JY32" s="122">
        <f>JX32*100/$E$32</f>
        <v/>
      </c>
      <c r="JZ32" s="55">
        <f>JN32+JP32+JR32+JT32+JV32+JX32</f>
        <v/>
      </c>
      <c r="KA32" s="53">
        <f>JO32+JQ32+JS32+JU32+JW32+JY32</f>
        <v/>
      </c>
      <c r="KB32" s="64">
        <f>H32+J32+L32+N32+P32+R32+T32+V32+X32+Z32+AB32+AD32+AF32+AH32+AJ32+AL32+AN32+AP32+AR32+AT32+AV32+AX32+AZ32+BB32+BD32+BF32+BH32+BJ32+BL32+BN32+BP32+BR32+BT32+BV32+BX32+BZ32+CB32+CD32+CF32+CH32+CZ32+DB32+DD32+DF32+DH32+DJ32+DL32+DN32+DP32+DR32+DT32+DV32+DX32+DZ32+EB32+ED32+EF32+EH32+EJ32+EL32+EN32+EP32+ER32+ET32+EV32+FN32+FP32+FR32+FT32+FV32+FX32+FZ32+GB32+GD32+GF32+GH32+GJ32+GL32+GN32+GP32+GR32+GT32+GV32+GX32+GZ32+HB32+HD32+HF32+HH32+HJ32+HL32+HN32+HP32+HR32+HT32+HV32+HX32+HZ32+IB32+ID32+IF32+IH32+IJ32+IL32+IN32+IP32+IR32+IT32+IV32+IX32+IZ32+JB32+JD32+JF32+JH32+JJ32+JL32+JZ32+CJ32+CL32+CN32+CP32+CR32+CT32+CV32+CX32+EX32+EZ32+FB32+FD32+FF32+FH32+FJ32+FL32</f>
        <v/>
      </c>
      <c r="KC32" s="66">
        <f>I32+K32+M32+O32+Q32+S32+U32+W32+Y32+AA32+AC32+AE32+AG32+AI32+AK32+AM32+AO32+AQ32+AS32+AU32+AW32+AY32+BA32+BC32+BE32+BG32+BI32+BK32+BM32+BO32+BQ32+BS32+BU32+BW32+BY32+CA32+CC32+CE32+CG32+CI32+DA32+DC32+DE32+DG32+DI32+DK32+DM32+DO32+DQ32+DS32+DU32+DW32+DY32+EA32+EC32+EE32+EG32+EI32+EK32+EM32+EO32+EQ32+ES32+EU32+EW32+FO32+FS32+FU32+FW32+FQ32+FY32+GA32+GC32+GE32+GG32+GI32+GK32+GM32+GO32+GQ32+GS32+GU32+GW32+GY32+HA32+HC32+HE32+HG32+HI32+HK32+HM32+HO32+HQ32+HS32+HU32+HW32+HY32+IA32+IC32+IE32+IG32+II32+IK32+IM32+IO32+IQ32+IS32+IU32+IW32+IY32+JA32+JC32+JE32+JG32+JI32+JK32+JM32+KA32+CK32+CM32+CO32+CQ32+CS32+CU32+CW32+CY32+EY32+FA32+FC32+FE32+FG32+FI32+FK32+FM32</f>
        <v/>
      </c>
      <c r="KD32" s="44">
        <f>JO32+JQ32+JS32+JU32+JW32+JY32</f>
        <v/>
      </c>
      <c r="KE32" s="45">
        <f>KB32=E32</f>
        <v/>
      </c>
      <c r="KF32" s="101">
        <f>E32-KB32</f>
        <v/>
      </c>
      <c r="KG32" s="23" t="n"/>
    </row>
    <row r="33" ht="21.75" customFormat="1" customHeight="1" s="23">
      <c r="A33" s="126">
        <f>A32+1</f>
        <v/>
      </c>
      <c r="B33" s="175" t="inlineStr">
        <is>
          <t>Михеев В.О.</t>
        </is>
      </c>
      <c r="C33" s="194" t="inlineStr">
        <is>
          <t>электрогазосварщик</t>
        </is>
      </c>
      <c r="D33" s="177">
        <f>$D$5</f>
        <v/>
      </c>
      <c r="E33" s="202" t="n">
        <v>87</v>
      </c>
      <c r="F33" s="193" t="n">
        <v>55633.55</v>
      </c>
      <c r="G33" s="52">
        <f>F33/D33</f>
        <v/>
      </c>
      <c r="H33" s="125" t="n"/>
      <c r="I33" s="107">
        <f>H33*100/$E$33</f>
        <v/>
      </c>
      <c r="J33" s="108" t="n"/>
      <c r="K33" s="107">
        <f>J33*100/$E$33</f>
        <v/>
      </c>
      <c r="L33" s="108" t="n"/>
      <c r="M33" s="107">
        <f>L33*100/$E$33</f>
        <v/>
      </c>
      <c r="N33" s="108" t="n"/>
      <c r="O33" s="107">
        <f>N33*100/$E$33</f>
        <v/>
      </c>
      <c r="P33" s="108" t="n"/>
      <c r="Q33" s="122">
        <f>P33*100/$E$33</f>
        <v/>
      </c>
      <c r="R33" s="108" t="n"/>
      <c r="S33" s="122">
        <f>R33*100/$E$33</f>
        <v/>
      </c>
      <c r="T33" s="108" t="n"/>
      <c r="U33" s="107">
        <f>T33*100/$E$33</f>
        <v/>
      </c>
      <c r="V33" s="108" t="n"/>
      <c r="W33" s="107">
        <f>V33*100/$E$33</f>
        <v/>
      </c>
      <c r="X33" s="108" t="n"/>
      <c r="Y33" s="107">
        <f>X33*100/$E$33</f>
        <v/>
      </c>
      <c r="Z33" s="108" t="n"/>
      <c r="AA33" s="107">
        <f>Z33*100/$E$33</f>
        <v/>
      </c>
      <c r="AB33" s="108" t="n"/>
      <c r="AC33" s="107">
        <f>AB33*100/$E$33</f>
        <v/>
      </c>
      <c r="AD33" s="108" t="n"/>
      <c r="AE33" s="122">
        <f>AD33*100/$E$33</f>
        <v/>
      </c>
      <c r="AF33" s="108" t="n"/>
      <c r="AG33" s="122">
        <f>AF33*100/$E$33</f>
        <v/>
      </c>
      <c r="AH33" s="108" t="n"/>
      <c r="AI33" s="107">
        <f>AH33*100/$E$33</f>
        <v/>
      </c>
      <c r="AJ33" s="108" t="n"/>
      <c r="AK33" s="107">
        <f>AJ33*100/$E$33</f>
        <v/>
      </c>
      <c r="AL33" s="108" t="n"/>
      <c r="AM33" s="107">
        <f>AL33*100/$E$33</f>
        <v/>
      </c>
      <c r="AN33" s="108" t="n"/>
      <c r="AO33" s="107">
        <f>AN33*100/$E$33</f>
        <v/>
      </c>
      <c r="AP33" s="108" t="n"/>
      <c r="AQ33" s="107">
        <f>AP33*100/$E$33</f>
        <v/>
      </c>
      <c r="AR33" s="108" t="n"/>
      <c r="AS33" s="107">
        <f>AR33*100/$E$33</f>
        <v/>
      </c>
      <c r="AT33" s="108" t="n"/>
      <c r="AU33" s="90">
        <f>AT33*100/$E$33</f>
        <v/>
      </c>
      <c r="AV33" s="108" t="n"/>
      <c r="AW33" s="107">
        <f>AV33*100/$E$33</f>
        <v/>
      </c>
      <c r="AX33" s="108" t="n"/>
      <c r="AY33" s="107">
        <f>AX33*100/$E$33</f>
        <v/>
      </c>
      <c r="AZ33" s="108" t="n"/>
      <c r="BA33" s="107">
        <f>AZ33*100/$E$33</f>
        <v/>
      </c>
      <c r="BB33" s="108" t="n"/>
      <c r="BC33" s="107">
        <f>BB33*100/$E$33</f>
        <v/>
      </c>
      <c r="BD33" s="108" t="n"/>
      <c r="BE33" s="107">
        <f>BD33*100/$E$33</f>
        <v/>
      </c>
      <c r="BF33" s="108" t="n"/>
      <c r="BG33" s="107">
        <f>BF33*100/$E$33</f>
        <v/>
      </c>
      <c r="BH33" s="108" t="n"/>
      <c r="BI33" s="107">
        <f>BH33*100/$E$33</f>
        <v/>
      </c>
      <c r="BJ33" s="108" t="n"/>
      <c r="BK33" s="107">
        <f>BJ33*100/$E$33</f>
        <v/>
      </c>
      <c r="BL33" s="108" t="n"/>
      <c r="BM33" s="107">
        <f>BL33*100/$E$33</f>
        <v/>
      </c>
      <c r="BN33" s="108" t="n"/>
      <c r="BO33" s="107">
        <f>BN33*100/$E$33</f>
        <v/>
      </c>
      <c r="BP33" s="108" t="n"/>
      <c r="BQ33" s="107">
        <f>BP33*100/$E$33</f>
        <v/>
      </c>
      <c r="BR33" s="108" t="n"/>
      <c r="BS33" s="107">
        <f>BR33*100/$E$33</f>
        <v/>
      </c>
      <c r="BT33" s="108" t="n"/>
      <c r="BU33" s="107">
        <f>BT33*100/$E$33</f>
        <v/>
      </c>
      <c r="BV33" s="108" t="n"/>
      <c r="BW33" s="107">
        <f>BV33*100/$E$33</f>
        <v/>
      </c>
      <c r="BX33" s="108" t="n"/>
      <c r="BY33" s="107">
        <f>BX33*100/$E$33</f>
        <v/>
      </c>
      <c r="BZ33" s="108" t="n"/>
      <c r="CA33" s="107">
        <f>BZ33*100/$E$33</f>
        <v/>
      </c>
      <c r="CB33" s="108" t="n"/>
      <c r="CC33" s="107">
        <f>CB33*100/$E$33</f>
        <v/>
      </c>
      <c r="CD33" s="108" t="n"/>
      <c r="CE33" s="107">
        <f>CD33*100/$E$33</f>
        <v/>
      </c>
      <c r="CF33" s="108" t="n"/>
      <c r="CG33" s="107">
        <f>CF33*100/$E$33</f>
        <v/>
      </c>
      <c r="CH33" s="108" t="n"/>
      <c r="CI33" s="107">
        <f>CH33*100/$E$33</f>
        <v/>
      </c>
      <c r="CJ33" s="108" t="n"/>
      <c r="CK33" s="107">
        <f>CJ33*100/$E$33</f>
        <v/>
      </c>
      <c r="CL33" s="108" t="n"/>
      <c r="CM33" s="107">
        <f>CL33*100/$E$33</f>
        <v/>
      </c>
      <c r="CN33" s="108" t="n"/>
      <c r="CO33" s="122">
        <f>CN33*100/$E$33</f>
        <v/>
      </c>
      <c r="CP33" s="108" t="n"/>
      <c r="CQ33" s="107">
        <f>CP33*100/$E$33</f>
        <v/>
      </c>
      <c r="CR33" s="108" t="n"/>
      <c r="CS33" s="122">
        <f>CR33*100/$E$33</f>
        <v/>
      </c>
      <c r="CT33" s="108" t="n"/>
      <c r="CU33" s="122">
        <f>CT33*100/$E$33</f>
        <v/>
      </c>
      <c r="CV33" s="108" t="n"/>
      <c r="CW33" s="122">
        <f>CV33*100/$E$33</f>
        <v/>
      </c>
      <c r="CX33" s="108" t="n"/>
      <c r="CY33" s="122">
        <f>CX33*100/$E$33</f>
        <v/>
      </c>
      <c r="CZ33" s="108" t="n"/>
      <c r="DA33" s="122">
        <f>CZ33*100/$E$33</f>
        <v/>
      </c>
      <c r="DB33" s="108" t="n"/>
      <c r="DC33" s="122">
        <f>DB33*100/$E$33</f>
        <v/>
      </c>
      <c r="DD33" s="108" t="n"/>
      <c r="DE33" s="122">
        <f>DD33*100/$E$33</f>
        <v/>
      </c>
      <c r="DF33" s="108" t="n"/>
      <c r="DG33" s="122">
        <f>DF33*100/$E$33</f>
        <v/>
      </c>
      <c r="DH33" s="108" t="n"/>
      <c r="DI33" s="122">
        <f>DH33*100/$E$33</f>
        <v/>
      </c>
      <c r="DJ33" s="108" t="n"/>
      <c r="DK33" s="122">
        <f>DJ33*100/$E$33</f>
        <v/>
      </c>
      <c r="DL33" s="108" t="n"/>
      <c r="DM33" s="122">
        <f>DL33*100/$E$33</f>
        <v/>
      </c>
      <c r="DN33" s="108" t="n"/>
      <c r="DO33" s="122">
        <f>DN33*100/$E$33</f>
        <v/>
      </c>
      <c r="DP33" s="108" t="n"/>
      <c r="DQ33" s="122">
        <f>DP33*100/$E$33</f>
        <v/>
      </c>
      <c r="DR33" s="108" t="n"/>
      <c r="DS33" s="122">
        <f>DR33*100/$E$33</f>
        <v/>
      </c>
      <c r="DT33" s="108" t="n"/>
      <c r="DU33" s="122">
        <f>DT33*100/$E$33</f>
        <v/>
      </c>
      <c r="DV33" s="108" t="n"/>
      <c r="DW33" s="122">
        <f>DV33*100/$E$33</f>
        <v/>
      </c>
      <c r="DX33" s="108" t="n"/>
      <c r="DY33" s="122">
        <f>DX33*100/$E$33</f>
        <v/>
      </c>
      <c r="DZ33" s="108" t="n"/>
      <c r="EA33" s="122">
        <f>DZ33*100/$E$33</f>
        <v/>
      </c>
      <c r="EB33" s="108" t="n"/>
      <c r="EC33" s="122">
        <f>EB33*100/$E$33</f>
        <v/>
      </c>
      <c r="ED33" s="108" t="n"/>
      <c r="EE33" s="122">
        <f>ED33*100/$E$33</f>
        <v/>
      </c>
      <c r="EF33" s="108" t="n"/>
      <c r="EG33" s="122">
        <f>EF33*100/$E$33</f>
        <v/>
      </c>
      <c r="EH33" s="108" t="n"/>
      <c r="EI33" s="122">
        <f>EH33*100/$E$33</f>
        <v/>
      </c>
      <c r="EJ33" s="108" t="n"/>
      <c r="EK33" s="122">
        <f>EJ33*100/$E$33</f>
        <v/>
      </c>
      <c r="EL33" s="108" t="n"/>
      <c r="EM33" s="122">
        <f>EL33*100/$E$33</f>
        <v/>
      </c>
      <c r="EN33" s="108" t="n"/>
      <c r="EO33" s="122">
        <f>EN33*100/$E$33</f>
        <v/>
      </c>
      <c r="EP33" s="108" t="n"/>
      <c r="EQ33" s="122">
        <f>EP33*100/$E$33</f>
        <v/>
      </c>
      <c r="ER33" s="108" t="n"/>
      <c r="ES33" s="122">
        <f>ER33*100/$E$33</f>
        <v/>
      </c>
      <c r="ET33" s="108" t="n"/>
      <c r="EU33" s="122">
        <f>ET33*100/$E$33</f>
        <v/>
      </c>
      <c r="EV33" s="108" t="n"/>
      <c r="EW33" s="122">
        <f>EV33*100/$E$33</f>
        <v/>
      </c>
      <c r="EX33" s="108" t="n"/>
      <c r="EY33" s="122">
        <f>EX33*100/$E$33</f>
        <v/>
      </c>
      <c r="EZ33" s="108" t="n"/>
      <c r="FA33" s="122">
        <f>EZ33*100/$E$33</f>
        <v/>
      </c>
      <c r="FB33" s="108" t="n"/>
      <c r="FC33" s="122">
        <f>FB33*100/$E$33</f>
        <v/>
      </c>
      <c r="FD33" s="108" t="n"/>
      <c r="FE33" s="122">
        <f>FD33*100/$E$33</f>
        <v/>
      </c>
      <c r="FF33" s="108" t="n"/>
      <c r="FG33" s="122">
        <f>FF33*100/$E$33</f>
        <v/>
      </c>
      <c r="FH33" s="108" t="n"/>
      <c r="FI33" s="122">
        <f>FH33*100/$E$33</f>
        <v/>
      </c>
      <c r="FJ33" s="108" t="n"/>
      <c r="FK33" s="122">
        <f>FJ33*100/$E$33</f>
        <v/>
      </c>
      <c r="FL33" s="108" t="n"/>
      <c r="FM33" s="122">
        <f>FL33*100/$E$33</f>
        <v/>
      </c>
      <c r="FN33" s="108" t="n"/>
      <c r="FO33" s="122">
        <f>FN33*100/$E$33</f>
        <v/>
      </c>
      <c r="FP33" s="108" t="n"/>
      <c r="FQ33" s="122">
        <f>FP33*100/$E$33</f>
        <v/>
      </c>
      <c r="FR33" s="108" t="n"/>
      <c r="FS33" s="122">
        <f>FR33*100/$E$33</f>
        <v/>
      </c>
      <c r="FT33" s="108" t="n"/>
      <c r="FU33" s="122">
        <f>FT33*100/$E$33</f>
        <v/>
      </c>
      <c r="FV33" s="108" t="n"/>
      <c r="FW33" s="122">
        <f>FV33*100/$E$33</f>
        <v/>
      </c>
      <c r="FX33" s="108" t="n"/>
      <c r="FY33" s="107">
        <f>FX33*100/$E$33</f>
        <v/>
      </c>
      <c r="FZ33" s="108" t="n"/>
      <c r="GA33" s="107">
        <f>FZ33*100/$E$33</f>
        <v/>
      </c>
      <c r="GB33" s="108" t="n"/>
      <c r="GC33" s="107">
        <f>GB33*100/$E$33</f>
        <v/>
      </c>
      <c r="GD33" s="108" t="n"/>
      <c r="GE33" s="107">
        <f>GD33*100/$E$33</f>
        <v/>
      </c>
      <c r="GF33" s="108" t="n"/>
      <c r="GG33" s="107">
        <f>GF33*100/$E$33</f>
        <v/>
      </c>
      <c r="GH33" s="108" t="n"/>
      <c r="GI33" s="107">
        <f>GH33*100/$E$33</f>
        <v/>
      </c>
      <c r="GJ33" s="108" t="n"/>
      <c r="GK33" s="122">
        <f>GJ33*100/$E$33</f>
        <v/>
      </c>
      <c r="GL33" s="108" t="n"/>
      <c r="GM33" s="107">
        <f>GL33*100/$E$33</f>
        <v/>
      </c>
      <c r="GN33" s="108" t="n"/>
      <c r="GO33" s="122">
        <f>GN33*100/$E$33</f>
        <v/>
      </c>
      <c r="GP33" s="108" t="n"/>
      <c r="GQ33" s="107">
        <f>GP33*100/$E$33</f>
        <v/>
      </c>
      <c r="GR33" s="108" t="n"/>
      <c r="GS33" s="122">
        <f>GR33*100/$E$33</f>
        <v/>
      </c>
      <c r="GT33" s="108" t="n"/>
      <c r="GU33" s="122">
        <f>GT33*100/$E$33</f>
        <v/>
      </c>
      <c r="GV33" s="108" t="n"/>
      <c r="GW33" s="122">
        <f>GV33*100/$E$33</f>
        <v/>
      </c>
      <c r="GX33" s="108" t="n"/>
      <c r="GY33" s="107">
        <f>GX33*100/$E$33</f>
        <v/>
      </c>
      <c r="GZ33" s="108" t="n"/>
      <c r="HA33" s="107">
        <f>GZ33*100/$E$33</f>
        <v/>
      </c>
      <c r="HB33" s="108" t="n"/>
      <c r="HC33" s="107">
        <f>HB33*100/$E$33</f>
        <v/>
      </c>
      <c r="HD33" s="108" t="n"/>
      <c r="HE33" s="107">
        <f>HD33*100/$E$33</f>
        <v/>
      </c>
      <c r="HF33" s="108" t="n"/>
      <c r="HG33" s="107">
        <f>HF33*100/$E$33</f>
        <v/>
      </c>
      <c r="HH33" s="108" t="n"/>
      <c r="HI33" s="107">
        <f>HH33*100/$E$33</f>
        <v/>
      </c>
      <c r="HJ33" s="108" t="n"/>
      <c r="HK33" s="107">
        <f>HJ33*100/$E$33</f>
        <v/>
      </c>
      <c r="HL33" s="108" t="n"/>
      <c r="HM33" s="107">
        <f>HL33*100/$E$33</f>
        <v/>
      </c>
      <c r="HN33" s="108" t="n"/>
      <c r="HO33" s="107">
        <f>HN33*100/$E$33</f>
        <v/>
      </c>
      <c r="HP33" s="108" t="n">
        <v>4</v>
      </c>
      <c r="HQ33" s="107">
        <f>HP33*100/$E$33</f>
        <v/>
      </c>
      <c r="HR33" s="108" t="n">
        <v>4</v>
      </c>
      <c r="HS33" s="107">
        <f>HR33*100/$E$33</f>
        <v/>
      </c>
      <c r="HT33" s="108" t="n"/>
      <c r="HU33" s="107">
        <f>HT33*100/$E$33</f>
        <v/>
      </c>
      <c r="HV33" s="108" t="n"/>
      <c r="HW33" s="107">
        <f>HV33*100/$E$33</f>
        <v/>
      </c>
      <c r="HX33" s="108" t="n"/>
      <c r="HY33" s="107">
        <f>HX33*100/$E$33</f>
        <v/>
      </c>
      <c r="HZ33" s="108" t="n"/>
      <c r="IA33" s="122">
        <f>HZ33*100/$E$33</f>
        <v/>
      </c>
      <c r="IB33" s="108" t="n"/>
      <c r="IC33" s="122">
        <f>IB33*100/$E$33</f>
        <v/>
      </c>
      <c r="ID33" s="108" t="n"/>
      <c r="IE33" s="122">
        <f>ID33*100/$E$33</f>
        <v/>
      </c>
      <c r="IF33" s="108" t="n"/>
      <c r="IG33" s="122">
        <f>IF33*100/$E$33</f>
        <v/>
      </c>
      <c r="IH33" s="108" t="n"/>
      <c r="II33" s="122">
        <f>IH33*100/$E$33</f>
        <v/>
      </c>
      <c r="IJ33" s="108" t="n"/>
      <c r="IK33" s="122">
        <f>IJ33*100/$E$33</f>
        <v/>
      </c>
      <c r="IL33" s="108" t="n"/>
      <c r="IM33" s="107">
        <f>IL33*100/$E$33</f>
        <v/>
      </c>
      <c r="IN33" s="108" t="n"/>
      <c r="IO33" s="107">
        <f>IN33*100/$E$33</f>
        <v/>
      </c>
      <c r="IP33" s="108" t="n"/>
      <c r="IQ33" s="122">
        <f>IP33*100/$E$33</f>
        <v/>
      </c>
      <c r="IR33" s="108" t="n"/>
      <c r="IS33" s="122">
        <f>IR33*100/$E$33</f>
        <v/>
      </c>
      <c r="IT33" s="108" t="n"/>
      <c r="IU33" s="122">
        <f>IT33*100/$E$33</f>
        <v/>
      </c>
      <c r="IV33" s="108" t="n"/>
      <c r="IW33" s="122">
        <f>IV33*100/$E$33</f>
        <v/>
      </c>
      <c r="IX33" s="108" t="n"/>
      <c r="IY33" s="122">
        <f>IX33*100/$E$33</f>
        <v/>
      </c>
      <c r="IZ33" s="108" t="n"/>
      <c r="JA33" s="122">
        <f>IZ33*100/$E$33</f>
        <v/>
      </c>
      <c r="JB33" s="108" t="n"/>
      <c r="JC33" s="122">
        <f>JB33*100/$E$33</f>
        <v/>
      </c>
      <c r="JD33" s="108" t="n"/>
      <c r="JE33" s="122">
        <f>JD33*100/$E$33</f>
        <v/>
      </c>
      <c r="JF33" s="108" t="n"/>
      <c r="JG33" s="122">
        <f>JF33*100/$E$33</f>
        <v/>
      </c>
      <c r="JH33" s="108" t="n"/>
      <c r="JI33" s="122">
        <f>JH33*100/$E$33</f>
        <v/>
      </c>
      <c r="JJ33" s="108" t="n"/>
      <c r="JK33" s="122">
        <f>JJ33*100/$E$33</f>
        <v/>
      </c>
      <c r="JL33" s="108" t="n">
        <v>79</v>
      </c>
      <c r="JM33" s="122">
        <f>JL33*100/$E$33</f>
        <v/>
      </c>
      <c r="JN33" s="108" t="n"/>
      <c r="JO33" s="121">
        <f>JN33*100/$E$33</f>
        <v/>
      </c>
      <c r="JP33" s="108" t="n"/>
      <c r="JQ33" s="121">
        <f>JP33*100/$E$33</f>
        <v/>
      </c>
      <c r="JR33" s="108" t="n"/>
      <c r="JS33" s="121">
        <f>JR33*100/$E$33</f>
        <v/>
      </c>
      <c r="JT33" s="108" t="n"/>
      <c r="JU33" s="121">
        <f>JT33*100/$E$33</f>
        <v/>
      </c>
      <c r="JV33" s="108" t="n"/>
      <c r="JW33" s="121">
        <f>JV33*100/$E$33</f>
        <v/>
      </c>
      <c r="JX33" s="108" t="n"/>
      <c r="JY33" s="121">
        <f>JX33*100/$E$33</f>
        <v/>
      </c>
      <c r="JZ33" s="55">
        <f>JN33+JP33+JR33+JT33+JV33+JX33</f>
        <v/>
      </c>
      <c r="KA33" s="53">
        <f>JO33+JQ33+JS33+JU33+JW33+JY33</f>
        <v/>
      </c>
      <c r="KB33" s="64">
        <f>H33+J33+L33+N33+P33+R33+T33+V33+X33+Z33+AB33+AD33+AF33+AH33+AJ33+AL33+AN33+AP33+AR33+AT33+AV33+AX33+AZ33+BB33+BD33+BF33+BH33+BJ33+BL33+BN33+BP33+BR33+BT33+BV33+BX33+BZ33+CB33+CD33+CF33+CH33+CZ33+DB33+DD33+DF33+DH33+DJ33+DL33+DN33+DP33+DR33+DT33+DV33+DX33+DZ33+EB33+ED33+EF33+EH33+EJ33+EL33+EN33+EP33+ER33+ET33+EV33+FN33+FP33+FR33+FT33+FV33+FX33+FZ33+GB33+GD33+GF33+GH33+GJ33+GL33+GN33+GP33+GR33+GT33+GV33+GX33+GZ33+HB33+HD33+HF33+HH33+HJ33+HL33+HN33+HP33+HR33+HT33+HV33+HX33+HZ33+IB33+ID33+IF33+IH33+IJ33+IL33+IN33+IP33+IR33+IT33+IV33+IX33+IZ33+JB33+JD33+JF33+JH33+JJ33+JL33+JZ33+CJ33+CL33+CN33+CP33+CR33+CT33+CV33+CX33+EX33+EZ33+FB33+FD33+FF33+FH33+FJ33+FL33</f>
        <v/>
      </c>
      <c r="KC33" s="66">
        <f>I33+K33+M33+O33+Q33+S33+U33+W33+Y33+AA33+AC33+AE33+AG33+AI33+AK33+AM33+AO33+AQ33+AS33+AU33+AW33+AY33+BA33+BC33+BE33+BG33+BI33+BK33+BM33+BO33+BQ33+BS33+BU33+BW33+BY33+CA33+CC33+CE33+CG33+CI33+DA33+DC33+DE33+DG33+DI33+DK33+DM33+DO33+DQ33+DS33+DU33+DW33+DY33+EA33+EC33+EE33+EG33+EI33+EK33+EM33+EO33+EQ33+ES33+EU33+EW33+FO33+FS33+FU33+FW33+FQ33+FY33+GA33+GC33+GE33+GG33+GI33+GK33+GM33+GO33+GQ33+GS33+GU33+GW33+GY33+HA33+HC33+HE33+HG33+HI33+HK33+HM33+HO33+HQ33+HS33+HU33+HW33+HY33+IA33+IC33+IE33+IG33+II33+IK33+IM33+IO33+IQ33+IS33+IU33+IW33+IY33+JA33+JC33+JE33+JG33+JI33+JK33+JM33+KA33+CK33+CM33+CO33+CQ33+CS33+CU33+CW33+CY33+EY33+FA33+FC33+FE33+FG33+FI33+FK33+FM33</f>
        <v/>
      </c>
      <c r="KD33" s="44">
        <f>JO33+JQ33+JS33+JU33+JW33+JY33</f>
        <v/>
      </c>
      <c r="KE33" s="45">
        <f>KB33=E33</f>
        <v/>
      </c>
      <c r="KF33" s="101">
        <f>E33-KB33</f>
        <v/>
      </c>
      <c r="KG33" s="11" t="n"/>
    </row>
    <row r="34" ht="21.75" customFormat="1" customHeight="1" s="11">
      <c r="A34" s="126">
        <f>A33+1</f>
        <v/>
      </c>
      <c r="B34" s="201" t="inlineStr">
        <is>
          <t>Неверов Г.А.</t>
        </is>
      </c>
      <c r="C34" s="194" t="inlineStr">
        <is>
          <t>слесарь</t>
        </is>
      </c>
      <c r="D34" s="177">
        <f>$D$5</f>
        <v/>
      </c>
      <c r="E34" s="202" t="n">
        <v>159</v>
      </c>
      <c r="F34" s="193" t="n">
        <v>68902.87</v>
      </c>
      <c r="G34" s="52">
        <f>F34/D34</f>
        <v/>
      </c>
      <c r="H34" s="125" t="n"/>
      <c r="I34" s="107">
        <f>H34*100/$E$34</f>
        <v/>
      </c>
      <c r="J34" s="108" t="n"/>
      <c r="K34" s="107">
        <f>J34*100/$E$34</f>
        <v/>
      </c>
      <c r="L34" s="108" t="n"/>
      <c r="M34" s="107">
        <f>L34*100/$E$34</f>
        <v/>
      </c>
      <c r="N34" s="108" t="n"/>
      <c r="O34" s="107">
        <f>N34*100/$E$34</f>
        <v/>
      </c>
      <c r="P34" s="108" t="n"/>
      <c r="Q34" s="122">
        <f>P34*100/$E$34</f>
        <v/>
      </c>
      <c r="R34" s="108" t="n">
        <v>2</v>
      </c>
      <c r="S34" s="122">
        <f>R34*100/$E$34</f>
        <v/>
      </c>
      <c r="T34" s="108" t="n">
        <v>16</v>
      </c>
      <c r="U34" s="107">
        <f>T34*100/$E$34</f>
        <v/>
      </c>
      <c r="V34" s="108" t="n"/>
      <c r="W34" s="107">
        <f>V34*100/$E$34</f>
        <v/>
      </c>
      <c r="X34" s="108" t="n"/>
      <c r="Y34" s="107">
        <f>X34*100/$E$34</f>
        <v/>
      </c>
      <c r="Z34" s="108" t="n"/>
      <c r="AA34" s="107">
        <f>Z34*100/$E$34</f>
        <v/>
      </c>
      <c r="AB34" s="108" t="n"/>
      <c r="AC34" s="107">
        <f>AB34*100/$E$34</f>
        <v/>
      </c>
      <c r="AD34" s="108" t="n"/>
      <c r="AE34" s="122">
        <f>AD34*100/$E$34</f>
        <v/>
      </c>
      <c r="AF34" s="108" t="n"/>
      <c r="AG34" s="122">
        <f>AF34*100/$E$34</f>
        <v/>
      </c>
      <c r="AH34" s="108" t="n"/>
      <c r="AI34" s="107">
        <f>AH34*100/$E$34</f>
        <v/>
      </c>
      <c r="AJ34" s="108" t="n"/>
      <c r="AK34" s="107">
        <f>AJ34*100/$E$34</f>
        <v/>
      </c>
      <c r="AL34" s="108" t="n"/>
      <c r="AM34" s="107">
        <f>AL34*100/$E$34</f>
        <v/>
      </c>
      <c r="AN34" s="108" t="n"/>
      <c r="AO34" s="107">
        <f>AN34*100/$E$34</f>
        <v/>
      </c>
      <c r="AP34" s="108" t="n"/>
      <c r="AQ34" s="107">
        <f>AP34*100/$E$34</f>
        <v/>
      </c>
      <c r="AR34" s="108" t="n">
        <v>4</v>
      </c>
      <c r="AS34" s="107">
        <f>AR34*100/$E$34</f>
        <v/>
      </c>
      <c r="AT34" s="108" t="n"/>
      <c r="AU34" s="90">
        <f>AT34*100/$E$34</f>
        <v/>
      </c>
      <c r="AV34" s="108" t="n">
        <v>2</v>
      </c>
      <c r="AW34" s="107">
        <f>AV34*100/$E$34</f>
        <v/>
      </c>
      <c r="AX34" s="108" t="n">
        <v>1</v>
      </c>
      <c r="AY34" s="107">
        <f>AX34*100/$E$34</f>
        <v/>
      </c>
      <c r="AZ34" s="108" t="n"/>
      <c r="BA34" s="107">
        <f>AZ34*100/$E$34</f>
        <v/>
      </c>
      <c r="BB34" s="108" t="n">
        <v>7</v>
      </c>
      <c r="BC34" s="107">
        <f>BB34*100/$E$34</f>
        <v/>
      </c>
      <c r="BD34" s="108" t="n">
        <v>2</v>
      </c>
      <c r="BE34" s="107">
        <f>BD34*100/$E$34</f>
        <v/>
      </c>
      <c r="BF34" s="108" t="n">
        <v>4</v>
      </c>
      <c r="BG34" s="107">
        <f>BF34*100/$E$34</f>
        <v/>
      </c>
      <c r="BH34" s="108" t="n"/>
      <c r="BI34" s="107">
        <f>BH34*100/$E$34</f>
        <v/>
      </c>
      <c r="BJ34" s="108" t="n"/>
      <c r="BK34" s="107">
        <f>BJ34*100/$E$34</f>
        <v/>
      </c>
      <c r="BL34" s="108" t="n"/>
      <c r="BM34" s="107">
        <f>BL34*100/$E$34</f>
        <v/>
      </c>
      <c r="BN34" s="108" t="n"/>
      <c r="BO34" s="107">
        <f>BN34*100/$E$34</f>
        <v/>
      </c>
      <c r="BP34" s="108" t="n"/>
      <c r="BQ34" s="107">
        <f>BP34*100/$E$34</f>
        <v/>
      </c>
      <c r="BR34" s="108" t="n"/>
      <c r="BS34" s="107">
        <f>BR34*100/$E$34</f>
        <v/>
      </c>
      <c r="BT34" s="108" t="n"/>
      <c r="BU34" s="107">
        <f>BT34*100/$E$34</f>
        <v/>
      </c>
      <c r="BV34" s="108" t="n"/>
      <c r="BW34" s="107">
        <f>BV34*100/$E$34</f>
        <v/>
      </c>
      <c r="BX34" s="108" t="n">
        <v>1</v>
      </c>
      <c r="BY34" s="107">
        <f>BX34*100/$E$34</f>
        <v/>
      </c>
      <c r="BZ34" s="108" t="n"/>
      <c r="CA34" s="107">
        <f>BZ34*100/$E$34</f>
        <v/>
      </c>
      <c r="CB34" s="108" t="n"/>
      <c r="CC34" s="107">
        <f>CB34*100/$E$34</f>
        <v/>
      </c>
      <c r="CD34" s="108" t="n"/>
      <c r="CE34" s="107">
        <f>CD34*100/$E$34</f>
        <v/>
      </c>
      <c r="CF34" s="108" t="n">
        <v>9</v>
      </c>
      <c r="CG34" s="107">
        <f>CF34*100/$E$34</f>
        <v/>
      </c>
      <c r="CH34" s="108" t="n"/>
      <c r="CI34" s="107">
        <f>CH34*100/$E$34</f>
        <v/>
      </c>
      <c r="CJ34" s="108" t="n"/>
      <c r="CK34" s="107">
        <f>CJ34*100/$E$34</f>
        <v/>
      </c>
      <c r="CL34" s="108" t="n"/>
      <c r="CM34" s="107">
        <f>CL34*100/$E$34</f>
        <v/>
      </c>
      <c r="CN34" s="108" t="n"/>
      <c r="CO34" s="122">
        <f>CN34*100/$E$34</f>
        <v/>
      </c>
      <c r="CP34" s="108" t="n"/>
      <c r="CQ34" s="107">
        <f>CP34*100/$E$34</f>
        <v/>
      </c>
      <c r="CR34" s="108" t="n">
        <v>2</v>
      </c>
      <c r="CS34" s="122">
        <f>CR34*100/$E$34</f>
        <v/>
      </c>
      <c r="CT34" s="108" t="n">
        <v>10</v>
      </c>
      <c r="CU34" s="122">
        <f>CT34*100/$E$34</f>
        <v/>
      </c>
      <c r="CV34" s="108" t="n"/>
      <c r="CW34" s="122">
        <f>CV34*100/$E$34</f>
        <v/>
      </c>
      <c r="CX34" s="108" t="n">
        <v>14</v>
      </c>
      <c r="CY34" s="122">
        <f>CX34*100/$E$34</f>
        <v/>
      </c>
      <c r="CZ34" s="108" t="n"/>
      <c r="DA34" s="122">
        <f>CZ34*100/$E$34</f>
        <v/>
      </c>
      <c r="DB34" s="108" t="n">
        <v>2</v>
      </c>
      <c r="DC34" s="122">
        <f>DB34*100/$E$34</f>
        <v/>
      </c>
      <c r="DD34" s="108" t="n"/>
      <c r="DE34" s="122">
        <f>DD34*100/$E$34</f>
        <v/>
      </c>
      <c r="DF34" s="108" t="n"/>
      <c r="DG34" s="122">
        <f>DF34*100/$E$34</f>
        <v/>
      </c>
      <c r="DH34" s="108" t="n"/>
      <c r="DI34" s="122">
        <f>DH34*100/$E$34</f>
        <v/>
      </c>
      <c r="DJ34" s="108" t="n"/>
      <c r="DK34" s="122">
        <f>DJ34*100/$E$34</f>
        <v/>
      </c>
      <c r="DL34" s="108" t="n"/>
      <c r="DM34" s="122">
        <f>DL34*100/$E$34</f>
        <v/>
      </c>
      <c r="DN34" s="108" t="n"/>
      <c r="DO34" s="122">
        <f>DN34*100/$E$34</f>
        <v/>
      </c>
      <c r="DP34" s="108" t="n"/>
      <c r="DQ34" s="122">
        <f>DP34*100/$E$34</f>
        <v/>
      </c>
      <c r="DR34" s="108" t="n"/>
      <c r="DS34" s="122">
        <f>DR34*100/$E$34</f>
        <v/>
      </c>
      <c r="DT34" s="108" t="n"/>
      <c r="DU34" s="122">
        <f>DT34*100/$E$34</f>
        <v/>
      </c>
      <c r="DV34" s="108" t="n"/>
      <c r="DW34" s="122">
        <f>DV34*100/$E$34</f>
        <v/>
      </c>
      <c r="DX34" s="108" t="n"/>
      <c r="DY34" s="122">
        <f>DX34*100/$E$34</f>
        <v/>
      </c>
      <c r="DZ34" s="108" t="n"/>
      <c r="EA34" s="122">
        <f>DZ34*100/$E$34</f>
        <v/>
      </c>
      <c r="EB34" s="108" t="n">
        <v>7</v>
      </c>
      <c r="EC34" s="122">
        <f>EB34*100/$E$34</f>
        <v/>
      </c>
      <c r="ED34" s="108" t="n"/>
      <c r="EE34" s="122">
        <f>ED34*100/$E$34</f>
        <v/>
      </c>
      <c r="EF34" s="108" t="n"/>
      <c r="EG34" s="122">
        <f>EF34*100/$E$34</f>
        <v/>
      </c>
      <c r="EH34" s="108" t="n"/>
      <c r="EI34" s="122">
        <f>EH34*100/$E$34</f>
        <v/>
      </c>
      <c r="EJ34" s="108" t="n"/>
      <c r="EK34" s="122">
        <f>EJ34*100/$E$34</f>
        <v/>
      </c>
      <c r="EL34" s="108" t="n"/>
      <c r="EM34" s="122">
        <f>EL34*100/$E$34</f>
        <v/>
      </c>
      <c r="EN34" s="108" t="n"/>
      <c r="EO34" s="122">
        <f>EN34*100/$E$34</f>
        <v/>
      </c>
      <c r="EP34" s="108" t="n"/>
      <c r="EQ34" s="122">
        <f>EP34*100/$E$34</f>
        <v/>
      </c>
      <c r="ER34" s="108" t="n"/>
      <c r="ES34" s="122">
        <f>ER34*100/$E$34</f>
        <v/>
      </c>
      <c r="ET34" s="108" t="n"/>
      <c r="EU34" s="122">
        <f>ET34*100/$E$34</f>
        <v/>
      </c>
      <c r="EV34" s="108" t="n"/>
      <c r="EW34" s="122">
        <f>EV34*100/$E$34</f>
        <v/>
      </c>
      <c r="EX34" s="108" t="n">
        <v>2</v>
      </c>
      <c r="EY34" s="122">
        <f>EX34*100/$E$34</f>
        <v/>
      </c>
      <c r="EZ34" s="108" t="n"/>
      <c r="FA34" s="122">
        <f>EZ34*100/$E$34</f>
        <v/>
      </c>
      <c r="FB34" s="108" t="n"/>
      <c r="FC34" s="122">
        <f>FB34*100/$E$34</f>
        <v/>
      </c>
      <c r="FD34" s="108" t="n"/>
      <c r="FE34" s="122">
        <f>FD34*100/$E$34</f>
        <v/>
      </c>
      <c r="FF34" s="108" t="n">
        <v>6</v>
      </c>
      <c r="FG34" s="122">
        <f>FF34*100/$E$34</f>
        <v/>
      </c>
      <c r="FH34" s="108" t="n"/>
      <c r="FI34" s="122">
        <f>FH34*100/$E$34</f>
        <v/>
      </c>
      <c r="FJ34" s="108" t="n">
        <v>2</v>
      </c>
      <c r="FK34" s="122">
        <f>FJ34*100/$E$34</f>
        <v/>
      </c>
      <c r="FL34" s="108" t="n"/>
      <c r="FM34" s="122">
        <f>FL34*100/$E$34</f>
        <v/>
      </c>
      <c r="FN34" s="108" t="n"/>
      <c r="FO34" s="122">
        <f>FN34*100/$E$34</f>
        <v/>
      </c>
      <c r="FP34" s="108" t="n"/>
      <c r="FQ34" s="122">
        <f>FP34*100/$E$34</f>
        <v/>
      </c>
      <c r="FR34" s="108" t="n"/>
      <c r="FS34" s="122">
        <f>FR34*100/$E$34</f>
        <v/>
      </c>
      <c r="FT34" s="108" t="n">
        <v>2</v>
      </c>
      <c r="FU34" s="122">
        <f>FT34*100/$E$34</f>
        <v/>
      </c>
      <c r="FV34" s="108" t="n"/>
      <c r="FW34" s="122">
        <f>FV34*100/$E$34</f>
        <v/>
      </c>
      <c r="FX34" s="108" t="n"/>
      <c r="FY34" s="107">
        <f>FX34*100/$E$34</f>
        <v/>
      </c>
      <c r="FZ34" s="108" t="n">
        <v>12</v>
      </c>
      <c r="GA34" s="107">
        <f>FZ34*100/$E$34</f>
        <v/>
      </c>
      <c r="GB34" s="108" t="n"/>
      <c r="GC34" s="107">
        <f>GB34*100/$E$34</f>
        <v/>
      </c>
      <c r="GD34" s="108" t="n"/>
      <c r="GE34" s="107">
        <f>GD34*100/$E$34</f>
        <v/>
      </c>
      <c r="GF34" s="108" t="n"/>
      <c r="GG34" s="107">
        <f>GF34*100/$E$34</f>
        <v/>
      </c>
      <c r="GH34" s="108" t="n"/>
      <c r="GI34" s="107">
        <f>GH34*100/$E$34</f>
        <v/>
      </c>
      <c r="GJ34" s="108" t="n"/>
      <c r="GK34" s="122">
        <f>GJ34*100/$E$34</f>
        <v/>
      </c>
      <c r="GL34" s="108" t="n"/>
      <c r="GM34" s="107">
        <f>GL34*100/$E$34</f>
        <v/>
      </c>
      <c r="GN34" s="108" t="n"/>
      <c r="GO34" s="122">
        <f>GN34*100/$E$34</f>
        <v/>
      </c>
      <c r="GP34" s="108" t="n"/>
      <c r="GQ34" s="107">
        <f>GP34*100/$E$34</f>
        <v/>
      </c>
      <c r="GR34" s="108" t="n"/>
      <c r="GS34" s="122">
        <f>GR34*100/$E$34</f>
        <v/>
      </c>
      <c r="GT34" s="108" t="n"/>
      <c r="GU34" s="122">
        <f>GT34*100/$E$34</f>
        <v/>
      </c>
      <c r="GV34" s="108" t="n"/>
      <c r="GW34" s="122">
        <f>GV34*100/$E$34</f>
        <v/>
      </c>
      <c r="GX34" s="108" t="n">
        <v>1</v>
      </c>
      <c r="GY34" s="107">
        <f>GX34*100/$E$34</f>
        <v/>
      </c>
      <c r="GZ34" s="108" t="n">
        <v>7.5</v>
      </c>
      <c r="HA34" s="107">
        <f>GZ34*100/$E$34</f>
        <v/>
      </c>
      <c r="HB34" s="108" t="n"/>
      <c r="HC34" s="107">
        <f>HB34*100/$E$34</f>
        <v/>
      </c>
      <c r="HD34" s="108" t="n">
        <v>6.5</v>
      </c>
      <c r="HE34" s="107">
        <f>HD34*100/$E$34</f>
        <v/>
      </c>
      <c r="HF34" s="108" t="n">
        <v>2</v>
      </c>
      <c r="HG34" s="107">
        <f>HF34*100/$E$34</f>
        <v/>
      </c>
      <c r="HH34" s="108" t="n">
        <v>5</v>
      </c>
      <c r="HI34" s="107">
        <f>HH34*100/$E$34</f>
        <v/>
      </c>
      <c r="HJ34" s="108" t="n"/>
      <c r="HK34" s="107">
        <f>HJ34*100/$E$34</f>
        <v/>
      </c>
      <c r="HL34" s="108" t="n"/>
      <c r="HM34" s="107">
        <f>HL34*100/$E$34</f>
        <v/>
      </c>
      <c r="HN34" s="108" t="n"/>
      <c r="HO34" s="107">
        <f>HN34*100/$E$34</f>
        <v/>
      </c>
      <c r="HP34" s="108" t="n"/>
      <c r="HQ34" s="107">
        <f>HP34*100/$E$34</f>
        <v/>
      </c>
      <c r="HR34" s="108" t="n"/>
      <c r="HS34" s="107">
        <f>HR34*100/$E$34</f>
        <v/>
      </c>
      <c r="HT34" s="108" t="n"/>
      <c r="HU34" s="107">
        <f>HT34*100/$E$34</f>
        <v/>
      </c>
      <c r="HV34" s="108" t="n"/>
      <c r="HW34" s="107">
        <f>HV34*100/$E$34</f>
        <v/>
      </c>
      <c r="HX34" s="108" t="n"/>
      <c r="HY34" s="107">
        <f>HX34*100/$E$34</f>
        <v/>
      </c>
      <c r="HZ34" s="108" t="n"/>
      <c r="IA34" s="122">
        <f>HZ34*100/$E$34</f>
        <v/>
      </c>
      <c r="IB34" s="108" t="n"/>
      <c r="IC34" s="122">
        <f>IB34*100/$E$34</f>
        <v/>
      </c>
      <c r="ID34" s="108" t="n"/>
      <c r="IE34" s="122">
        <f>ID34*100/$E$34</f>
        <v/>
      </c>
      <c r="IF34" s="108" t="n"/>
      <c r="IG34" s="122">
        <f>IF34*100/$E$34</f>
        <v/>
      </c>
      <c r="IH34" s="108" t="n"/>
      <c r="II34" s="122">
        <f>IH34*100/$E$34</f>
        <v/>
      </c>
      <c r="IJ34" s="108" t="n"/>
      <c r="IK34" s="122">
        <f>IJ34*100/$E$34</f>
        <v/>
      </c>
      <c r="IL34" s="108" t="n"/>
      <c r="IM34" s="107">
        <f>IL34*100/$E$34</f>
        <v/>
      </c>
      <c r="IN34" s="108" t="n"/>
      <c r="IO34" s="107">
        <f>IN34*100/$E$34</f>
        <v/>
      </c>
      <c r="IP34" s="108" t="n"/>
      <c r="IQ34" s="122">
        <f>IP34*100/$E$34</f>
        <v/>
      </c>
      <c r="IR34" s="108" t="n"/>
      <c r="IS34" s="122">
        <f>IR34*100/$E$34</f>
        <v/>
      </c>
      <c r="IT34" s="108" t="n"/>
      <c r="IU34" s="122">
        <f>IT34*100/$E$34</f>
        <v/>
      </c>
      <c r="IV34" s="108" t="n"/>
      <c r="IW34" s="122">
        <f>IV34*100/$E$34</f>
        <v/>
      </c>
      <c r="IX34" s="108" t="n"/>
      <c r="IY34" s="122">
        <f>IX34*100/$E$34</f>
        <v/>
      </c>
      <c r="IZ34" s="108" t="n"/>
      <c r="JA34" s="122">
        <f>IZ34*100/$E$34</f>
        <v/>
      </c>
      <c r="JB34" s="108" t="n"/>
      <c r="JC34" s="122">
        <f>JB34*100/$E$34</f>
        <v/>
      </c>
      <c r="JD34" s="108" t="n"/>
      <c r="JE34" s="122">
        <f>JD34*100/$E$34</f>
        <v/>
      </c>
      <c r="JF34" s="108" t="n"/>
      <c r="JG34" s="122">
        <f>JF34*100/$E$34</f>
        <v/>
      </c>
      <c r="JH34" s="108" t="n"/>
      <c r="JI34" s="122">
        <f>JH34*100/$E$34</f>
        <v/>
      </c>
      <c r="JJ34" s="108" t="n"/>
      <c r="JK34" s="122">
        <f>JJ34*100/$E$34</f>
        <v/>
      </c>
      <c r="JL34" s="108" t="n">
        <v>30</v>
      </c>
      <c r="JM34" s="122">
        <f>JL34*100/$E$34</f>
        <v/>
      </c>
      <c r="JN34" s="108" t="n"/>
      <c r="JO34" s="121">
        <f>JN34*100/$E$34</f>
        <v/>
      </c>
      <c r="JP34" s="108" t="n"/>
      <c r="JQ34" s="121">
        <f>JP34*100/$E$34</f>
        <v/>
      </c>
      <c r="JR34" s="108" t="n"/>
      <c r="JS34" s="121">
        <f>JR34*100/$E$34</f>
        <v/>
      </c>
      <c r="JT34" s="108" t="n"/>
      <c r="JU34" s="121">
        <f>JT34*100/$E$34</f>
        <v/>
      </c>
      <c r="JV34" s="108" t="n"/>
      <c r="JW34" s="121">
        <f>JV34*100/$E$34</f>
        <v/>
      </c>
      <c r="JX34" s="108" t="n"/>
      <c r="JY34" s="121">
        <f>JX34*100/$E$34</f>
        <v/>
      </c>
      <c r="JZ34" s="55">
        <f>JN34+JP34+JR34+JT34+JV34+JX34</f>
        <v/>
      </c>
      <c r="KA34" s="53">
        <f>JO34+JQ34+JS34+JU34+JW34+JY34</f>
        <v/>
      </c>
      <c r="KB34" s="64">
        <f>H34+J34+L34+N34+P34+R34+T34+V34+X34+Z34+AB34+AD34+AF34+AH34+AJ34+AL34+AN34+AP34+AR34+AT34+AV34+AX34+AZ34+BB34+BD34+BF34+BH34+BJ34+BL34+BN34+BP34+BR34+BT34+BV34+BX34+BZ34+CB34+CD34+CF34+CH34+CZ34+DB34+DD34+DF34+DH34+DJ34+DL34+DN34+DP34+DR34+DT34+DV34+DX34+DZ34+EB34+ED34+EF34+EH34+EJ34+EL34+EN34+EP34+ER34+ET34+EV34+FN34+FP34+FR34+FT34+FV34+FX34+FZ34+GB34+GD34+GF34+GH34+GJ34+GL34+GN34+GP34+GR34+GT34+GV34+GX34+GZ34+HB34+HD34+HF34+HH34+HJ34+HL34+HN34+HP34+HR34+HT34+HV34+HX34+HZ34+IB34+ID34+IF34+IH34+IJ34+IL34+IN34+IP34+IR34+IT34+IV34+IX34+IZ34+JB34+JD34+JF34+JH34+JJ34+JL34+JZ34+CJ34+CL34+CN34+CP34+CR34+CT34+CV34+CX34+EX34+EZ34+FB34+FD34+FF34+FH34+FJ34+FL34</f>
        <v/>
      </c>
      <c r="KC34" s="66">
        <f>I34+K34+M34+O34+Q34+S34+U34+W34+Y34+AA34+AC34+AE34+AG34+AI34+AK34+AM34+AO34+AQ34+AS34+AU34+AW34+AY34+BA34+BC34+BE34+BG34+BI34+BK34+BM34+BO34+BQ34+BS34+BU34+BW34+BY34+CA34+CC34+CE34+CG34+CI34+DA34+DC34+DE34+DG34+DI34+DK34+DM34+DO34+DQ34+DS34+DU34+DW34+DY34+EA34+EC34+EE34+EG34+EI34+EK34+EM34+EO34+EQ34+ES34+EU34+EW34+FO34+FS34+FU34+FW34+FQ34+FY34+GA34+GC34+GE34+GG34+GI34+GK34+GM34+GO34+GQ34+GS34+GU34+GW34+GY34+HA34+HC34+HE34+HG34+HI34+HK34+HM34+HO34+HQ34+HS34+HU34+HW34+HY34+IA34+IC34+IE34+IG34+II34+IK34+IM34+IO34+IQ34+IS34+IU34+IW34+IY34+JA34+JC34+JE34+JG34+JI34+JK34+JM34+KA34+CK34+CM34+CO34+CQ34+CS34+CU34+CW34+CY34+EY34+FA34+FC34+FE34+FG34+FI34+FK34+FM34</f>
        <v/>
      </c>
      <c r="KD34" s="44">
        <f>JO34+JQ34+JS34+JU34+JW34+JY34</f>
        <v/>
      </c>
      <c r="KE34" s="45">
        <f>KB34=E34</f>
        <v/>
      </c>
      <c r="KF34" s="101">
        <f>E34-KB34</f>
        <v/>
      </c>
      <c r="KG34" s="23" t="n"/>
    </row>
    <row r="35" ht="21.75" customFormat="1" customHeight="1" s="23">
      <c r="A35" s="126">
        <f>A34+1</f>
        <v/>
      </c>
      <c r="B35" s="175" t="inlineStr">
        <is>
          <t>Никулин В.Г.</t>
        </is>
      </c>
      <c r="C35" s="176" t="inlineStr">
        <is>
          <t>токарь</t>
        </is>
      </c>
      <c r="D35" s="177">
        <f>$D$5</f>
        <v/>
      </c>
      <c r="E35" s="202" t="n">
        <v>180</v>
      </c>
      <c r="F35" s="193" t="n">
        <v>107473.5</v>
      </c>
      <c r="G35" s="52">
        <f>F35/D35</f>
        <v/>
      </c>
      <c r="H35" s="125" t="n"/>
      <c r="I35" s="107">
        <f>H35*100/$E$35</f>
        <v/>
      </c>
      <c r="J35" s="108" t="n"/>
      <c r="K35" s="107">
        <f>J35*100/$E$35</f>
        <v/>
      </c>
      <c r="L35" s="108" t="n"/>
      <c r="M35" s="107">
        <f>L35*100/$E$35</f>
        <v/>
      </c>
      <c r="N35" s="108" t="n"/>
      <c r="O35" s="107">
        <f>N35*100/$E$35</f>
        <v/>
      </c>
      <c r="P35" s="108" t="n"/>
      <c r="Q35" s="122">
        <f>P35*100/$E$35</f>
        <v/>
      </c>
      <c r="R35" s="108" t="n"/>
      <c r="S35" s="122">
        <f>R35*100/$E$35</f>
        <v/>
      </c>
      <c r="T35" s="108" t="n"/>
      <c r="U35" s="107">
        <f>T35*100/$E$35</f>
        <v/>
      </c>
      <c r="V35" s="108" t="n"/>
      <c r="W35" s="107">
        <f>V35*100/$E$35</f>
        <v/>
      </c>
      <c r="X35" s="108" t="n"/>
      <c r="Y35" s="107">
        <f>X35*100/$E$35</f>
        <v/>
      </c>
      <c r="Z35" s="108" t="n"/>
      <c r="AA35" s="107">
        <f>Z35*100/$E$35</f>
        <v/>
      </c>
      <c r="AB35" s="108" t="n"/>
      <c r="AC35" s="107">
        <f>AB35*100/$E$35</f>
        <v/>
      </c>
      <c r="AD35" s="108" t="n"/>
      <c r="AE35" s="122">
        <f>AD35*100/$E$35</f>
        <v/>
      </c>
      <c r="AF35" s="108" t="n"/>
      <c r="AG35" s="122">
        <f>AF35*100/$E$35</f>
        <v/>
      </c>
      <c r="AH35" s="108" t="n"/>
      <c r="AI35" s="107">
        <f>AH35*100/$E$35</f>
        <v/>
      </c>
      <c r="AJ35" s="108" t="n"/>
      <c r="AK35" s="107">
        <f>AJ35*100/$E$35</f>
        <v/>
      </c>
      <c r="AL35" s="108" t="n"/>
      <c r="AM35" s="107">
        <f>AL35*100/$E$35</f>
        <v/>
      </c>
      <c r="AN35" s="108" t="n"/>
      <c r="AO35" s="107">
        <f>AN35*100/$E$35</f>
        <v/>
      </c>
      <c r="AP35" s="108" t="n"/>
      <c r="AQ35" s="107">
        <f>AP35*100/$E$35</f>
        <v/>
      </c>
      <c r="AR35" s="108" t="n"/>
      <c r="AS35" s="107">
        <f>AR35*100/$E$35</f>
        <v/>
      </c>
      <c r="AT35" s="108" t="n"/>
      <c r="AU35" s="90">
        <f>AT35*100/$E$35</f>
        <v/>
      </c>
      <c r="AV35" s="108" t="n"/>
      <c r="AW35" s="107">
        <f>AV35*100/$E$35</f>
        <v/>
      </c>
      <c r="AX35" s="108" t="n">
        <v>20</v>
      </c>
      <c r="AY35" s="107">
        <f>AX35*100/$E$35</f>
        <v/>
      </c>
      <c r="AZ35" s="108" t="n"/>
      <c r="BA35" s="107">
        <f>AZ35*100/$E$35</f>
        <v/>
      </c>
      <c r="BB35" s="108" t="n"/>
      <c r="BC35" s="107">
        <f>BB35*100/$E$35</f>
        <v/>
      </c>
      <c r="BD35" s="108" t="n"/>
      <c r="BE35" s="107">
        <f>BD35*100/$E$35</f>
        <v/>
      </c>
      <c r="BF35" s="108" t="n"/>
      <c r="BG35" s="107">
        <f>BF35*100/$E$35</f>
        <v/>
      </c>
      <c r="BH35" s="108" t="n"/>
      <c r="BI35" s="107">
        <f>BH35*100/$E$35</f>
        <v/>
      </c>
      <c r="BJ35" s="108" t="n"/>
      <c r="BK35" s="107">
        <f>BJ35*100/$E$35</f>
        <v/>
      </c>
      <c r="BL35" s="108" t="n"/>
      <c r="BM35" s="107">
        <f>BL35*100/$E$35</f>
        <v/>
      </c>
      <c r="BN35" s="108" t="n"/>
      <c r="BO35" s="107">
        <f>BN35*100/$E$35</f>
        <v/>
      </c>
      <c r="BP35" s="108" t="n"/>
      <c r="BQ35" s="107">
        <f>BP35*100/$E$35</f>
        <v/>
      </c>
      <c r="BR35" s="108" t="n"/>
      <c r="BS35" s="107">
        <f>BR35*100/$E$35</f>
        <v/>
      </c>
      <c r="BT35" s="108" t="n">
        <v>19</v>
      </c>
      <c r="BU35" s="107">
        <f>BT35*100/$E$35</f>
        <v/>
      </c>
      <c r="BV35" s="108" t="n"/>
      <c r="BW35" s="107">
        <f>BV35*100/$E$35</f>
        <v/>
      </c>
      <c r="BX35" s="108" t="n"/>
      <c r="BY35" s="107">
        <f>BX35*100/$E$35</f>
        <v/>
      </c>
      <c r="BZ35" s="108" t="n"/>
      <c r="CA35" s="107">
        <f>BZ35*100/$E$35</f>
        <v/>
      </c>
      <c r="CB35" s="108" t="n"/>
      <c r="CC35" s="107">
        <f>CB35*100/$E$35</f>
        <v/>
      </c>
      <c r="CD35" s="108" t="n"/>
      <c r="CE35" s="107">
        <f>CD35*100/$E$35</f>
        <v/>
      </c>
      <c r="CF35" s="108" t="n"/>
      <c r="CG35" s="107">
        <f>CF35*100/$E$35</f>
        <v/>
      </c>
      <c r="CH35" s="108" t="n"/>
      <c r="CI35" s="107">
        <f>CH35*100/$E$35</f>
        <v/>
      </c>
      <c r="CJ35" s="108" t="n"/>
      <c r="CK35" s="107">
        <f>CJ35*100/$E$35</f>
        <v/>
      </c>
      <c r="CL35" s="108" t="n"/>
      <c r="CM35" s="107">
        <f>CL35*100/$E$35</f>
        <v/>
      </c>
      <c r="CN35" s="108" t="n"/>
      <c r="CO35" s="122">
        <f>CN35*100/$E$35</f>
        <v/>
      </c>
      <c r="CP35" s="108" t="n"/>
      <c r="CQ35" s="107">
        <f>CP35*100/$E$35</f>
        <v/>
      </c>
      <c r="CR35" s="108" t="n"/>
      <c r="CS35" s="122">
        <f>CR35*100/$E$35</f>
        <v/>
      </c>
      <c r="CT35" s="108" t="n"/>
      <c r="CU35" s="122">
        <f>CT35*100/$E$35</f>
        <v/>
      </c>
      <c r="CV35" s="108" t="n"/>
      <c r="CW35" s="122">
        <f>CV35*100/$E$35</f>
        <v/>
      </c>
      <c r="CX35" s="108" t="n"/>
      <c r="CY35" s="122">
        <f>CX35*100/$E$35</f>
        <v/>
      </c>
      <c r="CZ35" s="108" t="n"/>
      <c r="DA35" s="122">
        <f>CZ35*100/$E$35</f>
        <v/>
      </c>
      <c r="DB35" s="108" t="n"/>
      <c r="DC35" s="122">
        <f>DB35*100/$E$35</f>
        <v/>
      </c>
      <c r="DD35" s="108" t="n"/>
      <c r="DE35" s="122">
        <f>DD35*100/$E$35</f>
        <v/>
      </c>
      <c r="DF35" s="108" t="n"/>
      <c r="DG35" s="122">
        <f>DF35*100/$E$35</f>
        <v/>
      </c>
      <c r="DH35" s="108" t="n"/>
      <c r="DI35" s="122">
        <f>DH35*100/$E$35</f>
        <v/>
      </c>
      <c r="DJ35" s="108" t="n"/>
      <c r="DK35" s="122">
        <f>DJ35*100/$E$35</f>
        <v/>
      </c>
      <c r="DL35" s="108" t="n"/>
      <c r="DM35" s="122">
        <f>DL35*100/$E$35</f>
        <v/>
      </c>
      <c r="DN35" s="108" t="n"/>
      <c r="DO35" s="122">
        <f>DN35*100/$E$35</f>
        <v/>
      </c>
      <c r="DP35" s="108" t="n">
        <v>12</v>
      </c>
      <c r="DQ35" s="122">
        <f>DP35*100/$E$35</f>
        <v/>
      </c>
      <c r="DR35" s="108" t="n">
        <v>12</v>
      </c>
      <c r="DS35" s="122">
        <f>DR35*100/$E$35</f>
        <v/>
      </c>
      <c r="DT35" s="108" t="n"/>
      <c r="DU35" s="122">
        <f>DT35*100/$E$35</f>
        <v/>
      </c>
      <c r="DV35" s="108" t="n">
        <v>12</v>
      </c>
      <c r="DW35" s="122">
        <f>DV35*100/$E$35</f>
        <v/>
      </c>
      <c r="DX35" s="108" t="n"/>
      <c r="DY35" s="122">
        <f>DX35*100/$E$35</f>
        <v/>
      </c>
      <c r="DZ35" s="108" t="n"/>
      <c r="EA35" s="122">
        <f>DZ35*100/$E$35</f>
        <v/>
      </c>
      <c r="EB35" s="108" t="n"/>
      <c r="EC35" s="122">
        <f>EB35*100/$E$35</f>
        <v/>
      </c>
      <c r="ED35" s="108" t="n">
        <v>12</v>
      </c>
      <c r="EE35" s="122">
        <f>ED35*100/$E$35</f>
        <v/>
      </c>
      <c r="EF35" s="108" t="n"/>
      <c r="EG35" s="122">
        <f>EF35*100/$E$35</f>
        <v/>
      </c>
      <c r="EH35" s="108" t="n"/>
      <c r="EI35" s="122">
        <f>EH35*100/$E$35</f>
        <v/>
      </c>
      <c r="EJ35" s="108" t="n"/>
      <c r="EK35" s="122">
        <f>EJ35*100/$E$35</f>
        <v/>
      </c>
      <c r="EL35" s="108" t="n"/>
      <c r="EM35" s="122">
        <f>EL35*100/$E$35</f>
        <v/>
      </c>
      <c r="EN35" s="108" t="n"/>
      <c r="EO35" s="122">
        <f>EN35*100/$E$35</f>
        <v/>
      </c>
      <c r="EP35" s="108" t="n"/>
      <c r="EQ35" s="122">
        <f>EP35*100/$E$35</f>
        <v/>
      </c>
      <c r="ER35" s="108" t="n"/>
      <c r="ES35" s="122">
        <f>ER35*100/$E$35</f>
        <v/>
      </c>
      <c r="ET35" s="108" t="n"/>
      <c r="EU35" s="122">
        <f>ET35*100/$E$35</f>
        <v/>
      </c>
      <c r="EV35" s="108" t="n"/>
      <c r="EW35" s="122">
        <f>EV35*100/$E$35</f>
        <v/>
      </c>
      <c r="EX35" s="108" t="n"/>
      <c r="EY35" s="122">
        <f>EX35*100/$E$35</f>
        <v/>
      </c>
      <c r="EZ35" s="108" t="n"/>
      <c r="FA35" s="122">
        <f>EZ35*100/$E$35</f>
        <v/>
      </c>
      <c r="FB35" s="108" t="n"/>
      <c r="FC35" s="122">
        <f>FB35*100/$E$35</f>
        <v/>
      </c>
      <c r="FD35" s="108" t="n"/>
      <c r="FE35" s="122">
        <f>FD35*100/$E$35</f>
        <v/>
      </c>
      <c r="FF35" s="108" t="n"/>
      <c r="FG35" s="122">
        <f>FF35*100/$E$35</f>
        <v/>
      </c>
      <c r="FH35" s="108" t="n"/>
      <c r="FI35" s="122">
        <f>FH35*100/$E$35</f>
        <v/>
      </c>
      <c r="FJ35" s="108" t="n"/>
      <c r="FK35" s="122">
        <f>FJ35*100/$E$35</f>
        <v/>
      </c>
      <c r="FL35" s="108" t="n"/>
      <c r="FM35" s="122">
        <f>FL35*100/$E$35</f>
        <v/>
      </c>
      <c r="FN35" s="108" t="n"/>
      <c r="FO35" s="122">
        <f>FN35*100/$E$35</f>
        <v/>
      </c>
      <c r="FP35" s="108" t="n"/>
      <c r="FQ35" s="122">
        <f>FP35*100/$E$35</f>
        <v/>
      </c>
      <c r="FR35" s="108" t="n"/>
      <c r="FS35" s="122">
        <f>FR35*100/$E$35</f>
        <v/>
      </c>
      <c r="FT35" s="108" t="n">
        <v>4</v>
      </c>
      <c r="FU35" s="122">
        <f>FT35*100/$E$35</f>
        <v/>
      </c>
      <c r="FV35" s="108" t="n"/>
      <c r="FW35" s="122">
        <f>FV35*100/$E$35</f>
        <v/>
      </c>
      <c r="FX35" s="108" t="n"/>
      <c r="FY35" s="107">
        <f>FX35*100/$E$35</f>
        <v/>
      </c>
      <c r="FZ35" s="108" t="n"/>
      <c r="GA35" s="107">
        <f>FZ35*100/$E$35</f>
        <v/>
      </c>
      <c r="GB35" s="108" t="n"/>
      <c r="GC35" s="107">
        <f>GB35*100/$E$35</f>
        <v/>
      </c>
      <c r="GD35" s="108" t="n"/>
      <c r="GE35" s="107">
        <f>GD35*100/$E$35</f>
        <v/>
      </c>
      <c r="GF35" s="108" t="n"/>
      <c r="GG35" s="107">
        <f>GF35*100/$E$35</f>
        <v/>
      </c>
      <c r="GH35" s="108" t="n"/>
      <c r="GI35" s="107">
        <f>GH35*100/$E$35</f>
        <v/>
      </c>
      <c r="GJ35" s="108" t="n"/>
      <c r="GK35" s="122">
        <f>GJ35*100/$E$35</f>
        <v/>
      </c>
      <c r="GL35" s="108" t="n"/>
      <c r="GM35" s="107">
        <f>GL35*100/$E$35</f>
        <v/>
      </c>
      <c r="GN35" s="108" t="n"/>
      <c r="GO35" s="122">
        <f>GN35*100/$E$35</f>
        <v/>
      </c>
      <c r="GP35" s="108" t="n"/>
      <c r="GQ35" s="107">
        <f>GP35*100/$E$35</f>
        <v/>
      </c>
      <c r="GR35" s="108" t="n"/>
      <c r="GS35" s="122">
        <f>GR35*100/$E$35</f>
        <v/>
      </c>
      <c r="GT35" s="108" t="n"/>
      <c r="GU35" s="122">
        <f>GT35*100/$E$35</f>
        <v/>
      </c>
      <c r="GV35" s="108" t="n"/>
      <c r="GW35" s="122">
        <f>GV35*100/$E$35</f>
        <v/>
      </c>
      <c r="GX35" s="108" t="n">
        <v>12</v>
      </c>
      <c r="GY35" s="107">
        <f>GX35*100/$E$35</f>
        <v/>
      </c>
      <c r="GZ35" s="108" t="n"/>
      <c r="HA35" s="107">
        <f>GZ35*100/$E$35</f>
        <v/>
      </c>
      <c r="HB35" s="108" t="n"/>
      <c r="HC35" s="107">
        <f>HB35*100/$E$35</f>
        <v/>
      </c>
      <c r="HD35" s="108" t="n"/>
      <c r="HE35" s="107">
        <f>HD35*100/$E$35</f>
        <v/>
      </c>
      <c r="HF35" s="108" t="n">
        <v>18</v>
      </c>
      <c r="HG35" s="107">
        <f>HF35*100/$E$35</f>
        <v/>
      </c>
      <c r="HH35" s="108" t="n">
        <v>47</v>
      </c>
      <c r="HI35" s="107">
        <f>HH35*100/$E$35</f>
        <v/>
      </c>
      <c r="HJ35" s="108" t="n"/>
      <c r="HK35" s="107">
        <f>HJ35*100/$E$35</f>
        <v/>
      </c>
      <c r="HL35" s="108" t="n">
        <v>12</v>
      </c>
      <c r="HM35" s="107">
        <f>HL35*100/$E$35</f>
        <v/>
      </c>
      <c r="HN35" s="108" t="n"/>
      <c r="HO35" s="107">
        <f>HN35*100/$E$35</f>
        <v/>
      </c>
      <c r="HP35" s="108" t="n"/>
      <c r="HQ35" s="107">
        <f>HP35*100/$E$35</f>
        <v/>
      </c>
      <c r="HR35" s="108" t="n"/>
      <c r="HS35" s="107">
        <f>HR35*100/$E$35</f>
        <v/>
      </c>
      <c r="HT35" s="108" t="n"/>
      <c r="HU35" s="107">
        <f>HT35*100/$E$35</f>
        <v/>
      </c>
      <c r="HV35" s="108" t="n"/>
      <c r="HW35" s="107">
        <f>HV35*100/$E$35</f>
        <v/>
      </c>
      <c r="HX35" s="108" t="n"/>
      <c r="HY35" s="107">
        <f>HX35*100/$E$35</f>
        <v/>
      </c>
      <c r="HZ35" s="108" t="n"/>
      <c r="IA35" s="122">
        <f>HZ35*100/$E$35</f>
        <v/>
      </c>
      <c r="IB35" s="108" t="n"/>
      <c r="IC35" s="122">
        <f>IB35*100/$E$35</f>
        <v/>
      </c>
      <c r="ID35" s="108" t="n"/>
      <c r="IE35" s="122">
        <f>ID35*100/$E$35</f>
        <v/>
      </c>
      <c r="IF35" s="108" t="n"/>
      <c r="IG35" s="122">
        <f>IF35*100/$E$35</f>
        <v/>
      </c>
      <c r="IH35" s="108" t="n"/>
      <c r="II35" s="122">
        <f>IH35*100/$E$35</f>
        <v/>
      </c>
      <c r="IJ35" s="108" t="n"/>
      <c r="IK35" s="122">
        <f>IJ35*100/$E$35</f>
        <v/>
      </c>
      <c r="IL35" s="108" t="n"/>
      <c r="IM35" s="107">
        <f>IL35*100/$E$35</f>
        <v/>
      </c>
      <c r="IN35" s="108" t="n"/>
      <c r="IO35" s="107">
        <f>IN35*100/$E$35</f>
        <v/>
      </c>
      <c r="IP35" s="108" t="n"/>
      <c r="IQ35" s="122">
        <f>IP35*100/$E$35</f>
        <v/>
      </c>
      <c r="IR35" s="108" t="n"/>
      <c r="IS35" s="122">
        <f>IR35*100/$E$35</f>
        <v/>
      </c>
      <c r="IT35" s="108" t="n"/>
      <c r="IU35" s="122">
        <f>IT35*100/$E$35</f>
        <v/>
      </c>
      <c r="IV35" s="108" t="n"/>
      <c r="IW35" s="122">
        <f>IV35*100/$E$35</f>
        <v/>
      </c>
      <c r="IX35" s="108" t="n"/>
      <c r="IY35" s="122">
        <f>IX35*100/$E$35</f>
        <v/>
      </c>
      <c r="IZ35" s="108" t="n"/>
      <c r="JA35" s="122">
        <f>IZ35*100/$E$35</f>
        <v/>
      </c>
      <c r="JB35" s="108" t="n"/>
      <c r="JC35" s="122">
        <f>JB35*100/$E$35</f>
        <v/>
      </c>
      <c r="JD35" s="108" t="n"/>
      <c r="JE35" s="122">
        <f>JD35*100/$E$35</f>
        <v/>
      </c>
      <c r="JF35" s="108" t="n"/>
      <c r="JG35" s="122">
        <f>JF35*100/$E$35</f>
        <v/>
      </c>
      <c r="JH35" s="108" t="n"/>
      <c r="JI35" s="122">
        <f>JH35*100/$E$35</f>
        <v/>
      </c>
      <c r="JJ35" s="108" t="n"/>
      <c r="JK35" s="122">
        <f>JJ35*100/$E$35</f>
        <v/>
      </c>
      <c r="JL35" s="108" t="n"/>
      <c r="JM35" s="122">
        <f>JL35*100/$E$35</f>
        <v/>
      </c>
      <c r="JN35" s="108" t="n"/>
      <c r="JO35" s="121">
        <f>JN35*100/$E$35</f>
        <v/>
      </c>
      <c r="JP35" s="108" t="n"/>
      <c r="JQ35" s="121">
        <f>JP35*100/$E$35</f>
        <v/>
      </c>
      <c r="JR35" s="108" t="n"/>
      <c r="JS35" s="121">
        <f>JR35*100/$E$35</f>
        <v/>
      </c>
      <c r="JT35" s="108" t="n"/>
      <c r="JU35" s="121">
        <f>JT35*100/$E$35</f>
        <v/>
      </c>
      <c r="JV35" s="108" t="n"/>
      <c r="JW35" s="121">
        <f>JV35*100/$E$35</f>
        <v/>
      </c>
      <c r="JX35" s="108" t="n"/>
      <c r="JY35" s="121">
        <f>JX35*100/$E$35</f>
        <v/>
      </c>
      <c r="JZ35" s="55">
        <f>JN35+JP35+JR35+JT35+JV35+JX35</f>
        <v/>
      </c>
      <c r="KA35" s="53">
        <f>JO35+JQ35+JS35+JU35+JW35+JY35</f>
        <v/>
      </c>
      <c r="KB35" s="64">
        <f>H35+J35+L35+N35+P35+R35+T35+V35+X35+Z35+AB35+AD35+AF35+AH35+AJ35+AL35+AN35+AP35+AR35+AT35+AV35+AX35+AZ35+BB35+BD35+BF35+BH35+BJ35+BL35+BN35+BP35+BR35+BT35+BV35+BX35+BZ35+CB35+CD35+CF35+CH35+CZ35+DB35+DD35+DF35+DH35+DJ35+DL35+DN35+DP35+DR35+DT35+DV35+DX35+DZ35+EB35+ED35+EF35+EH35+EJ35+EL35+EN35+EP35+ER35+ET35+EV35+FN35+FP35+FR35+FT35+FV35+FX35+FZ35+GB35+GD35+GF35+GH35+GJ35+GL35+GN35+GP35+GR35+GT35+GV35+GX35+GZ35+HB35+HD35+HF35+HH35+HJ35+HL35+HN35+HP35+HR35+HT35+HV35+HX35+HZ35+IB35+ID35+IF35+IH35+IJ35+IL35+IN35+IP35+IR35+IT35+IV35+IX35+IZ35+JB35+JD35+JF35+JH35+JJ35+JL35+JZ35+CJ35+CL35+CN35+CP35+CR35+CT35+CV35+CX35+EX35+EZ35+FB35+FD35+FF35+FH35+FJ35+FL35</f>
        <v/>
      </c>
      <c r="KC35" s="66">
        <f>I35+K35+M35+O35+Q35+S35+U35+W35+Y35+AA35+AC35+AE35+AG35+AI35+AK35+AM35+AO35+AQ35+AS35+AU35+AW35+AY35+BA35+BC35+BE35+BG35+BI35+BK35+BM35+BO35+BQ35+BS35+BU35+BW35+BY35+CA35+CC35+CE35+CG35+CI35+DA35+DC35+DE35+DG35+DI35+DK35+DM35+DO35+DQ35+DS35+DU35+DW35+DY35+EA35+EC35+EE35+EG35+EI35+EK35+EM35+EO35+EQ35+ES35+EU35+EW35+FO35+FS35+FU35+FW35+FQ35+FY35+GA35+GC35+GE35+GG35+GI35+GK35+GM35+GO35+GQ35+GS35+GU35+GW35+GY35+HA35+HC35+HE35+HG35+HI35+HK35+HM35+HO35+HQ35+HS35+HU35+HW35+HY35+IA35+IC35+IE35+IG35+II35+IK35+IM35+IO35+IQ35+IS35+IU35+IW35+IY35+JA35+JC35+JE35+JG35+JI35+JK35+JM35+KA35+CK35+CM35+CO35+CQ35+CS35+CU35+CW35+CY35+EY35+FA35+FC35+FE35+FG35+FI35+FK35+FM35</f>
        <v/>
      </c>
      <c r="KD35" s="44">
        <f>JO35+JQ35+JS35+JU35+JW35+JY35</f>
        <v/>
      </c>
      <c r="KE35" s="45">
        <f>KB35=E35</f>
        <v/>
      </c>
      <c r="KF35" s="101">
        <f>E35-KB35</f>
        <v/>
      </c>
      <c r="KG35" s="24" t="n"/>
    </row>
    <row r="36" ht="21.75" customFormat="1" customHeight="1" s="24">
      <c r="A36" s="126">
        <f>A35+1</f>
        <v/>
      </c>
      <c r="B36" s="198" t="inlineStr">
        <is>
          <t>Новокрещенов А.С.</t>
        </is>
      </c>
      <c r="C36" s="194" t="inlineStr">
        <is>
          <t>токарь-расточник</t>
        </is>
      </c>
      <c r="D36" s="177">
        <f>$D$5</f>
        <v/>
      </c>
      <c r="E36" s="202" t="n">
        <v>186</v>
      </c>
      <c r="F36" s="193" t="n">
        <v>107473.91</v>
      </c>
      <c r="G36" s="52">
        <f>F36/D36</f>
        <v/>
      </c>
      <c r="H36" s="125" t="n"/>
      <c r="I36" s="107">
        <f>H36*100/$E$36</f>
        <v/>
      </c>
      <c r="J36" s="108" t="n"/>
      <c r="K36" s="107">
        <f>J36*100/$E$36</f>
        <v/>
      </c>
      <c r="L36" s="108" t="n"/>
      <c r="M36" s="107">
        <f>L36*100/$E$36</f>
        <v/>
      </c>
      <c r="N36" s="108" t="n"/>
      <c r="O36" s="107">
        <f>N36*100/$E$36</f>
        <v/>
      </c>
      <c r="P36" s="108" t="n">
        <v>24</v>
      </c>
      <c r="Q36" s="122">
        <f>P36*100/$E$36</f>
        <v/>
      </c>
      <c r="R36" s="108" t="n"/>
      <c r="S36" s="122">
        <f>R36*100/$E$36</f>
        <v/>
      </c>
      <c r="T36" s="108" t="n"/>
      <c r="U36" s="107">
        <f>T36*100/$E$36</f>
        <v/>
      </c>
      <c r="V36" s="108" t="n"/>
      <c r="W36" s="107">
        <f>V36*100/$E$36</f>
        <v/>
      </c>
      <c r="X36" s="108" t="n"/>
      <c r="Y36" s="107">
        <f>X36*100/$E$36</f>
        <v/>
      </c>
      <c r="Z36" s="108" t="n"/>
      <c r="AA36" s="107">
        <f>Z36*100/$E$36</f>
        <v/>
      </c>
      <c r="AB36" s="108" t="n"/>
      <c r="AC36" s="107">
        <f>AB36*100/$E$36</f>
        <v/>
      </c>
      <c r="AD36" s="108" t="n"/>
      <c r="AE36" s="122">
        <f>AD36*100/$E$36</f>
        <v/>
      </c>
      <c r="AF36" s="108" t="n"/>
      <c r="AG36" s="122">
        <f>AF36*100/$E$36</f>
        <v/>
      </c>
      <c r="AH36" s="108" t="n"/>
      <c r="AI36" s="107">
        <f>AH36*100/$E$36</f>
        <v/>
      </c>
      <c r="AJ36" s="108" t="n"/>
      <c r="AK36" s="107">
        <f>AJ36*100/$E$36</f>
        <v/>
      </c>
      <c r="AL36" s="108" t="n"/>
      <c r="AM36" s="107">
        <f>AL36*100/$E$36</f>
        <v/>
      </c>
      <c r="AN36" s="108" t="n"/>
      <c r="AO36" s="107">
        <f>AN36*100/$E$36</f>
        <v/>
      </c>
      <c r="AP36" s="108" t="n"/>
      <c r="AQ36" s="107">
        <f>AP36*100/$E$36</f>
        <v/>
      </c>
      <c r="AR36" s="108" t="n"/>
      <c r="AS36" s="107">
        <f>AR36*100/$E$36</f>
        <v/>
      </c>
      <c r="AT36" s="108" t="n"/>
      <c r="AU36" s="90">
        <f>AT36*100/$E$36</f>
        <v/>
      </c>
      <c r="AV36" s="108" t="n"/>
      <c r="AW36" s="107">
        <f>AV36*100/$E$36</f>
        <v/>
      </c>
      <c r="AX36" s="108" t="n"/>
      <c r="AY36" s="107">
        <f>AX36*100/$E$36</f>
        <v/>
      </c>
      <c r="AZ36" s="108" t="n"/>
      <c r="BA36" s="107">
        <f>AZ36*100/$E$36</f>
        <v/>
      </c>
      <c r="BB36" s="108" t="n"/>
      <c r="BC36" s="107">
        <f>BB36*100/$E$36</f>
        <v/>
      </c>
      <c r="BD36" s="108" t="n"/>
      <c r="BE36" s="107">
        <f>BD36*100/$E$36</f>
        <v/>
      </c>
      <c r="BF36" s="108" t="n"/>
      <c r="BG36" s="107">
        <f>BF36*100/$E$36</f>
        <v/>
      </c>
      <c r="BH36" s="108" t="n"/>
      <c r="BI36" s="107">
        <f>BH36*100/$E$36</f>
        <v/>
      </c>
      <c r="BJ36" s="108" t="n"/>
      <c r="BK36" s="107">
        <f>BJ36*100/$E$36</f>
        <v/>
      </c>
      <c r="BL36" s="108" t="n"/>
      <c r="BM36" s="107">
        <f>BL36*100/$E$36</f>
        <v/>
      </c>
      <c r="BN36" s="108" t="n">
        <v>36</v>
      </c>
      <c r="BO36" s="107">
        <f>BN36*100/$E$36</f>
        <v/>
      </c>
      <c r="BP36" s="108" t="n"/>
      <c r="BQ36" s="107">
        <f>BP36*100/$E$36</f>
        <v/>
      </c>
      <c r="BR36" s="108" t="n"/>
      <c r="BS36" s="107">
        <f>BR36*100/$E$36</f>
        <v/>
      </c>
      <c r="BT36" s="108" t="n"/>
      <c r="BU36" s="107">
        <f>BT36*100/$E$36</f>
        <v/>
      </c>
      <c r="BV36" s="108" t="n">
        <v>30</v>
      </c>
      <c r="BW36" s="107">
        <f>BV36*100/$E$36</f>
        <v/>
      </c>
      <c r="BX36" s="108" t="n"/>
      <c r="BY36" s="107">
        <f>BX36*100/$E$36</f>
        <v/>
      </c>
      <c r="BZ36" s="108" t="n"/>
      <c r="CA36" s="107">
        <f>BZ36*100/$E$36</f>
        <v/>
      </c>
      <c r="CB36" s="108" t="n"/>
      <c r="CC36" s="107">
        <f>CB36*100/$E$36</f>
        <v/>
      </c>
      <c r="CD36" s="108" t="n"/>
      <c r="CE36" s="107">
        <f>CD36*100/$E$36</f>
        <v/>
      </c>
      <c r="CF36" s="108" t="n">
        <v>4</v>
      </c>
      <c r="CG36" s="107">
        <f>CF36*100/$E$36</f>
        <v/>
      </c>
      <c r="CH36" s="108" t="n"/>
      <c r="CI36" s="107">
        <f>CH36*100/$E$36</f>
        <v/>
      </c>
      <c r="CJ36" s="108" t="n"/>
      <c r="CK36" s="107">
        <f>CJ36*100/$E$36</f>
        <v/>
      </c>
      <c r="CL36" s="108" t="n"/>
      <c r="CM36" s="107">
        <f>CL36*100/$E$36</f>
        <v/>
      </c>
      <c r="CN36" s="108" t="n">
        <v>24</v>
      </c>
      <c r="CO36" s="122">
        <f>CN36*100/$E$36</f>
        <v/>
      </c>
      <c r="CP36" s="108" t="n"/>
      <c r="CQ36" s="107">
        <f>CP36*100/$E$36</f>
        <v/>
      </c>
      <c r="CR36" s="108" t="n"/>
      <c r="CS36" s="122">
        <f>CR36*100/$E$36</f>
        <v/>
      </c>
      <c r="CT36" s="108" t="n"/>
      <c r="CU36" s="122">
        <f>CT36*100/$E$36</f>
        <v/>
      </c>
      <c r="CV36" s="108" t="n"/>
      <c r="CW36" s="122">
        <f>CV36*100/$E$36</f>
        <v/>
      </c>
      <c r="CX36" s="108" t="n"/>
      <c r="CY36" s="122">
        <f>CX36*100/$E$36</f>
        <v/>
      </c>
      <c r="CZ36" s="108" t="n"/>
      <c r="DA36" s="122">
        <f>CZ36*100/$E$36</f>
        <v/>
      </c>
      <c r="DB36" s="108" t="n"/>
      <c r="DC36" s="122">
        <f>DB36*100/$E$36</f>
        <v/>
      </c>
      <c r="DD36" s="108" t="n"/>
      <c r="DE36" s="122">
        <f>DD36*100/$E$36</f>
        <v/>
      </c>
      <c r="DF36" s="108" t="n"/>
      <c r="DG36" s="122">
        <f>DF36*100/$E$36</f>
        <v/>
      </c>
      <c r="DH36" s="108" t="n"/>
      <c r="DI36" s="122">
        <f>DH36*100/$E$36</f>
        <v/>
      </c>
      <c r="DJ36" s="108" t="n"/>
      <c r="DK36" s="122">
        <f>DJ36*100/$E$36</f>
        <v/>
      </c>
      <c r="DL36" s="108" t="n"/>
      <c r="DM36" s="122">
        <f>DL36*100/$E$36</f>
        <v/>
      </c>
      <c r="DN36" s="108" t="n"/>
      <c r="DO36" s="122">
        <f>DN36*100/$E$36</f>
        <v/>
      </c>
      <c r="DP36" s="108" t="n"/>
      <c r="DQ36" s="122">
        <f>DP36*100/$E$36</f>
        <v/>
      </c>
      <c r="DR36" s="108" t="n"/>
      <c r="DS36" s="122">
        <f>DR36*100/$E$36</f>
        <v/>
      </c>
      <c r="DT36" s="108" t="n"/>
      <c r="DU36" s="122">
        <f>DT36*100/$E$36</f>
        <v/>
      </c>
      <c r="DV36" s="108" t="n"/>
      <c r="DW36" s="122">
        <f>DV36*100/$E$36</f>
        <v/>
      </c>
      <c r="DX36" s="108" t="n"/>
      <c r="DY36" s="122">
        <f>DX36*100/$E$36</f>
        <v/>
      </c>
      <c r="DZ36" s="108" t="n"/>
      <c r="EA36" s="122">
        <f>DZ36*100/$E$36</f>
        <v/>
      </c>
      <c r="EB36" s="108" t="n"/>
      <c r="EC36" s="122">
        <f>EB36*100/$E$36</f>
        <v/>
      </c>
      <c r="ED36" s="108" t="n"/>
      <c r="EE36" s="122">
        <f>ED36*100/$E$36</f>
        <v/>
      </c>
      <c r="EF36" s="108" t="n"/>
      <c r="EG36" s="122">
        <f>EF36*100/$E$36</f>
        <v/>
      </c>
      <c r="EH36" s="108" t="n">
        <v>12</v>
      </c>
      <c r="EI36" s="122">
        <f>EH36*100/$E$36</f>
        <v/>
      </c>
      <c r="EJ36" s="108" t="n"/>
      <c r="EK36" s="122">
        <f>EJ36*100/$E$36</f>
        <v/>
      </c>
      <c r="EL36" s="108" t="n"/>
      <c r="EM36" s="122">
        <f>EL36*100/$E$36</f>
        <v/>
      </c>
      <c r="EN36" s="108" t="n"/>
      <c r="EO36" s="122">
        <f>EN36*100/$E$36</f>
        <v/>
      </c>
      <c r="EP36" s="108" t="n"/>
      <c r="EQ36" s="122">
        <f>EP36*100/$E$36</f>
        <v/>
      </c>
      <c r="ER36" s="108" t="n"/>
      <c r="ES36" s="122">
        <f>ER36*100/$E$36</f>
        <v/>
      </c>
      <c r="ET36" s="108" t="n"/>
      <c r="EU36" s="122">
        <f>ET36*100/$E$36</f>
        <v/>
      </c>
      <c r="EV36" s="108" t="n"/>
      <c r="EW36" s="122">
        <f>EV36*100/$E$36</f>
        <v/>
      </c>
      <c r="EX36" s="108" t="n"/>
      <c r="EY36" s="122">
        <f>EX36*100/$E$36</f>
        <v/>
      </c>
      <c r="EZ36" s="108" t="n"/>
      <c r="FA36" s="122">
        <f>EZ36*100/$E$36</f>
        <v/>
      </c>
      <c r="FB36" s="108" t="n"/>
      <c r="FC36" s="122">
        <f>FB36*100/$E$36</f>
        <v/>
      </c>
      <c r="FD36" s="108" t="n"/>
      <c r="FE36" s="122">
        <f>FD36*100/$E$36</f>
        <v/>
      </c>
      <c r="FF36" s="108" t="n"/>
      <c r="FG36" s="122">
        <f>FF36*100/$E$36</f>
        <v/>
      </c>
      <c r="FH36" s="108" t="n"/>
      <c r="FI36" s="122">
        <f>FH36*100/$E$36</f>
        <v/>
      </c>
      <c r="FJ36" s="108" t="n"/>
      <c r="FK36" s="122">
        <f>FJ36*100/$E$36</f>
        <v/>
      </c>
      <c r="FL36" s="108" t="n"/>
      <c r="FM36" s="122">
        <f>FL36*100/$E$36</f>
        <v/>
      </c>
      <c r="FN36" s="108" t="n"/>
      <c r="FO36" s="122">
        <f>FN36*100/$E$36</f>
        <v/>
      </c>
      <c r="FP36" s="108" t="n"/>
      <c r="FQ36" s="122">
        <f>FP36*100/$E$36</f>
        <v/>
      </c>
      <c r="FR36" s="108" t="n"/>
      <c r="FS36" s="122">
        <f>FR36*100/$E$36</f>
        <v/>
      </c>
      <c r="FT36" s="108" t="n"/>
      <c r="FU36" s="122">
        <f>FT36*100/$E$36</f>
        <v/>
      </c>
      <c r="FV36" s="108" t="n"/>
      <c r="FW36" s="122">
        <f>FV36*100/$E$36</f>
        <v/>
      </c>
      <c r="FX36" s="108" t="n"/>
      <c r="FY36" s="107">
        <f>FX36*100/$E$36</f>
        <v/>
      </c>
      <c r="FZ36" s="108" t="n"/>
      <c r="GA36" s="107">
        <f>FZ36*100/$E$36</f>
        <v/>
      </c>
      <c r="GB36" s="108" t="n"/>
      <c r="GC36" s="107">
        <f>GB36*100/$E$36</f>
        <v/>
      </c>
      <c r="GD36" s="108" t="n"/>
      <c r="GE36" s="107">
        <f>GD36*100/$E$36</f>
        <v/>
      </c>
      <c r="GF36" s="108" t="n"/>
      <c r="GG36" s="107">
        <f>GF36*100/$E$36</f>
        <v/>
      </c>
      <c r="GH36" s="108" t="n"/>
      <c r="GI36" s="107">
        <f>GH36*100/$E$36</f>
        <v/>
      </c>
      <c r="GJ36" s="108" t="n"/>
      <c r="GK36" s="122">
        <f>GJ36*100/$E$36</f>
        <v/>
      </c>
      <c r="GL36" s="108" t="n"/>
      <c r="GM36" s="107">
        <f>GL36*100/$E$36</f>
        <v/>
      </c>
      <c r="GN36" s="108" t="n"/>
      <c r="GO36" s="122">
        <f>GN36*100/$E$36</f>
        <v/>
      </c>
      <c r="GP36" s="108" t="n"/>
      <c r="GQ36" s="107">
        <f>GP36*100/$E$36</f>
        <v/>
      </c>
      <c r="GR36" s="108" t="n"/>
      <c r="GS36" s="122">
        <f>GR36*100/$E$36</f>
        <v/>
      </c>
      <c r="GT36" s="108" t="n"/>
      <c r="GU36" s="122">
        <f>GT36*100/$E$36</f>
        <v/>
      </c>
      <c r="GV36" s="108" t="n"/>
      <c r="GW36" s="122">
        <f>GV36*100/$E$36</f>
        <v/>
      </c>
      <c r="GX36" s="108" t="n"/>
      <c r="GY36" s="107">
        <f>GX36*100/$E$36</f>
        <v/>
      </c>
      <c r="GZ36" s="108" t="n"/>
      <c r="HA36" s="107">
        <f>GZ36*100/$E$36</f>
        <v/>
      </c>
      <c r="HB36" s="108" t="n"/>
      <c r="HC36" s="107">
        <f>HB36*100/$E$36</f>
        <v/>
      </c>
      <c r="HD36" s="108" t="n"/>
      <c r="HE36" s="107">
        <f>HD36*100/$E$36</f>
        <v/>
      </c>
      <c r="HF36" s="108" t="n">
        <v>1</v>
      </c>
      <c r="HG36" s="107">
        <f>HF36*100/$E$36</f>
        <v/>
      </c>
      <c r="HH36" s="108" t="n"/>
      <c r="HI36" s="107">
        <f>HH36*100/$E$36</f>
        <v/>
      </c>
      <c r="HJ36" s="108" t="n"/>
      <c r="HK36" s="107">
        <f>HJ36*100/$E$36</f>
        <v/>
      </c>
      <c r="HL36" s="108" t="n"/>
      <c r="HM36" s="107">
        <f>HL36*100/$E$36</f>
        <v/>
      </c>
      <c r="HN36" s="108" t="n"/>
      <c r="HO36" s="107">
        <f>HN36*100/$E$36</f>
        <v/>
      </c>
      <c r="HP36" s="108" t="n"/>
      <c r="HQ36" s="107">
        <f>HP36*100/$E$36</f>
        <v/>
      </c>
      <c r="HR36" s="108" t="n"/>
      <c r="HS36" s="107">
        <f>HR36*100/$E$36</f>
        <v/>
      </c>
      <c r="HT36" s="108" t="n"/>
      <c r="HU36" s="107">
        <f>HT36*100/$E$36</f>
        <v/>
      </c>
      <c r="HV36" s="108" t="n"/>
      <c r="HW36" s="107">
        <f>HV36*100/$E$36</f>
        <v/>
      </c>
      <c r="HX36" s="108" t="n"/>
      <c r="HY36" s="107">
        <f>HX36*100/$E$36</f>
        <v/>
      </c>
      <c r="HZ36" s="108" t="n"/>
      <c r="IA36" s="122">
        <f>HZ36*100/$E$36</f>
        <v/>
      </c>
      <c r="IB36" s="108" t="n"/>
      <c r="IC36" s="122">
        <f>IB36*100/$E$36</f>
        <v/>
      </c>
      <c r="ID36" s="108" t="n"/>
      <c r="IE36" s="122">
        <f>ID36*100/$E$36</f>
        <v/>
      </c>
      <c r="IF36" s="108" t="n"/>
      <c r="IG36" s="122">
        <f>IF36*100/$E$36</f>
        <v/>
      </c>
      <c r="IH36" s="108" t="n"/>
      <c r="II36" s="122">
        <f>IH36*100/$E$36</f>
        <v/>
      </c>
      <c r="IJ36" s="108" t="n"/>
      <c r="IK36" s="122">
        <f>IJ36*100/$E$36</f>
        <v/>
      </c>
      <c r="IL36" s="108" t="n"/>
      <c r="IM36" s="107">
        <f>IL36*100/$E$36</f>
        <v/>
      </c>
      <c r="IN36" s="108" t="n"/>
      <c r="IO36" s="107">
        <f>IN36*100/$E$36</f>
        <v/>
      </c>
      <c r="IP36" s="108" t="n"/>
      <c r="IQ36" s="122">
        <f>IP36*100/$E$36</f>
        <v/>
      </c>
      <c r="IR36" s="108" t="n"/>
      <c r="IS36" s="122">
        <f>IR36*100/$E$36</f>
        <v/>
      </c>
      <c r="IT36" s="108" t="n"/>
      <c r="IU36" s="122">
        <f>IT36*100/$E$36</f>
        <v/>
      </c>
      <c r="IV36" s="108" t="n"/>
      <c r="IW36" s="122">
        <f>IV36*100/$E$36</f>
        <v/>
      </c>
      <c r="IX36" s="108" t="n"/>
      <c r="IY36" s="122">
        <f>IX36*100/$E$36</f>
        <v/>
      </c>
      <c r="IZ36" s="108" t="n"/>
      <c r="JA36" s="122">
        <f>IZ36*100/$E$36</f>
        <v/>
      </c>
      <c r="JB36" s="108" t="n"/>
      <c r="JC36" s="122">
        <f>JB36*100/$E$36</f>
        <v/>
      </c>
      <c r="JD36" s="108" t="n"/>
      <c r="JE36" s="122">
        <f>JD36*100/$E$36</f>
        <v/>
      </c>
      <c r="JF36" s="108" t="n"/>
      <c r="JG36" s="122">
        <f>JF36*100/$E$36</f>
        <v/>
      </c>
      <c r="JH36" s="108" t="n"/>
      <c r="JI36" s="122">
        <f>JH36*100/$E$36</f>
        <v/>
      </c>
      <c r="JJ36" s="108" t="n"/>
      <c r="JK36" s="122">
        <f>JJ36*100/$E$36</f>
        <v/>
      </c>
      <c r="JL36" s="108" t="n">
        <v>55</v>
      </c>
      <c r="JM36" s="122">
        <f>JL36*100/$E$36</f>
        <v/>
      </c>
      <c r="JN36" s="108" t="n"/>
      <c r="JO36" s="121">
        <f>JN36*100/$E$36</f>
        <v/>
      </c>
      <c r="JP36" s="108" t="n"/>
      <c r="JQ36" s="121">
        <f>JP36*100/$E$36</f>
        <v/>
      </c>
      <c r="JR36" s="108" t="n"/>
      <c r="JS36" s="121">
        <f>JR36*100/$E$36</f>
        <v/>
      </c>
      <c r="JT36" s="108" t="n"/>
      <c r="JU36" s="121">
        <f>JT36*100/$E$36</f>
        <v/>
      </c>
      <c r="JV36" s="108" t="n"/>
      <c r="JW36" s="121">
        <f>JV36*100/$E$36</f>
        <v/>
      </c>
      <c r="JX36" s="108" t="n"/>
      <c r="JY36" s="121">
        <f>JX36*100/$E$36</f>
        <v/>
      </c>
      <c r="JZ36" s="55">
        <f>JN36+JP36+JR36+JT36+JV36+JX36</f>
        <v/>
      </c>
      <c r="KA36" s="53">
        <f>JO36+JQ36+JS36+JU36+JW36+JY36</f>
        <v/>
      </c>
      <c r="KB36" s="64">
        <f>H36+J36+L36+N36+P36+R36+T36+V36+X36+Z36+AB36+AD36+AF36+AH36+AJ36+AL36+AN36+AP36+AR36+AT36+AV36+AX36+AZ36+BB36+BD36+BF36+BH36+BJ36+BL36+BN36+BP36+BR36+BT36+BV36+BX36+BZ36+CB36+CD36+CF36+CH36+CZ36+DB36+DD36+DF36+DH36+DJ36+DL36+DN36+DP36+DR36+DT36+DV36+DX36+DZ36+EB36+ED36+EF36+EH36+EJ36+EL36+EN36+EP36+ER36+ET36+EV36+FN36+FP36+FR36+FT36+FV36+FX36+FZ36+GB36+GD36+GF36+GH36+GJ36+GL36+GN36+GP36+GR36+GT36+GV36+GX36+GZ36+HB36+HD36+HF36+HH36+HJ36+HL36+HN36+HP36+HR36+HT36+HV36+HX36+HZ36+IB36+ID36+IF36+IH36+IJ36+IL36+IN36+IP36+IR36+IT36+IV36+IX36+IZ36+JB36+JD36+JF36+JH36+JJ36+JL36+JZ36+CJ36+CL36+CN36+CP36+CR36+CT36+CV36+CX36+EX36+EZ36+FB36+FD36+FF36+FH36+FJ36+FL36</f>
        <v/>
      </c>
      <c r="KC36" s="66">
        <f>I36+K36+M36+O36+Q36+S36+U36+W36+Y36+AA36+AC36+AE36+AG36+AI36+AK36+AM36+AO36+AQ36+AS36+AU36+AW36+AY36+BA36+BC36+BE36+BG36+BI36+BK36+BM36+BO36+BQ36+BS36+BU36+BW36+BY36+CA36+CC36+CE36+CG36+CI36+DA36+DC36+DE36+DG36+DI36+DK36+DM36+DO36+DQ36+DS36+DU36+DW36+DY36+EA36+EC36+EE36+EG36+EI36+EK36+EM36+EO36+EQ36+ES36+EU36+EW36+FO36+FS36+FU36+FW36+FQ36+FY36+GA36+GC36+GE36+GG36+GI36+GK36+GM36+GO36+GQ36+GS36+GU36+GW36+GY36+HA36+HC36+HE36+HG36+HI36+HK36+HM36+HO36+HQ36+HS36+HU36+HW36+HY36+IA36+IC36+IE36+IG36+II36+IK36+IM36+IO36+IQ36+IS36+IU36+IW36+IY36+JA36+JC36+JE36+JG36+JI36+JK36+JM36+KA36+CK36+CM36+CO36+CQ36+CS36+CU36+CW36+CY36+EY36+FA36+FC36+FE36+FG36+FI36+FK36+FM36</f>
        <v/>
      </c>
      <c r="KD36" s="44">
        <f>JO36+JQ36+JS36+JU36+JW36+JY36</f>
        <v/>
      </c>
      <c r="KE36" s="45">
        <f>KB36=E36</f>
        <v/>
      </c>
      <c r="KF36" s="101">
        <f>E36-KB36</f>
        <v/>
      </c>
      <c r="KG36" s="22" t="n"/>
    </row>
    <row r="37" ht="21.75" customFormat="1" customHeight="1" s="22">
      <c r="A37" s="126">
        <f>A36+1</f>
        <v/>
      </c>
      <c r="B37" s="175" t="inlineStr">
        <is>
          <t>Носиков А.А.</t>
        </is>
      </c>
      <c r="C37" s="194" t="inlineStr">
        <is>
          <t>Фрезеровщик</t>
        </is>
      </c>
      <c r="D37" s="177">
        <f>$D$5</f>
        <v/>
      </c>
      <c r="E37" s="202" t="n">
        <v>178</v>
      </c>
      <c r="F37" s="193" t="n">
        <v>101150.05</v>
      </c>
      <c r="G37" s="52">
        <f>F37/D37</f>
        <v/>
      </c>
      <c r="H37" s="125" t="n"/>
      <c r="I37" s="107">
        <f>H37*100/$E$37</f>
        <v/>
      </c>
      <c r="J37" s="108" t="n"/>
      <c r="K37" s="107">
        <f>J37*100/$E$37</f>
        <v/>
      </c>
      <c r="L37" s="108" t="n"/>
      <c r="M37" s="107">
        <f>L37*100/$E$37</f>
        <v/>
      </c>
      <c r="N37" s="108" t="n">
        <v>2</v>
      </c>
      <c r="O37" s="107">
        <f>N37*100/$E$37</f>
        <v/>
      </c>
      <c r="P37" s="108" t="n"/>
      <c r="Q37" s="122">
        <f>P37*100/$E$37</f>
        <v/>
      </c>
      <c r="R37" s="108" t="n"/>
      <c r="S37" s="122">
        <f>R37*100/$E$37</f>
        <v/>
      </c>
      <c r="T37" s="108" t="n"/>
      <c r="U37" s="107">
        <f>T37*100/$E$37</f>
        <v/>
      </c>
      <c r="V37" s="108" t="n"/>
      <c r="W37" s="107">
        <f>V37*100/$E$37</f>
        <v/>
      </c>
      <c r="X37" s="108" t="n"/>
      <c r="Y37" s="107">
        <f>X37*100/$E$37</f>
        <v/>
      </c>
      <c r="Z37" s="108" t="n"/>
      <c r="AA37" s="107">
        <f>Z37*100/$E$37</f>
        <v/>
      </c>
      <c r="AB37" s="108" t="n"/>
      <c r="AC37" s="107">
        <f>AB37*100/$E$37</f>
        <v/>
      </c>
      <c r="AD37" s="108" t="n"/>
      <c r="AE37" s="122">
        <f>AD37*100/$E$37</f>
        <v/>
      </c>
      <c r="AF37" s="108" t="n"/>
      <c r="AG37" s="122">
        <f>AF37*100/$E$37</f>
        <v/>
      </c>
      <c r="AH37" s="108" t="n"/>
      <c r="AI37" s="107">
        <f>AH37*100/$E$37</f>
        <v/>
      </c>
      <c r="AJ37" s="108" t="n"/>
      <c r="AK37" s="107">
        <f>AJ37*100/$E$37</f>
        <v/>
      </c>
      <c r="AL37" s="108" t="n"/>
      <c r="AM37" s="107">
        <f>AL37*100/$E$37</f>
        <v/>
      </c>
      <c r="AN37" s="108" t="n"/>
      <c r="AO37" s="107">
        <f>AN37*100/$E$37</f>
        <v/>
      </c>
      <c r="AP37" s="108" t="n"/>
      <c r="AQ37" s="107">
        <f>AP37*100/$E$37</f>
        <v/>
      </c>
      <c r="AR37" s="108" t="n">
        <v>8</v>
      </c>
      <c r="AS37" s="107">
        <f>AR37*100/$E$37</f>
        <v/>
      </c>
      <c r="AT37" s="108" t="n"/>
      <c r="AU37" s="90">
        <f>AT37*100/$E$37</f>
        <v/>
      </c>
      <c r="AV37" s="108" t="n"/>
      <c r="AW37" s="107">
        <f>AV37*100/$E$37</f>
        <v/>
      </c>
      <c r="AX37" s="108" t="n"/>
      <c r="AY37" s="107">
        <f>AX37*100/$E$37</f>
        <v/>
      </c>
      <c r="AZ37" s="108" t="n"/>
      <c r="BA37" s="107">
        <f>AZ37*100/$E$37</f>
        <v/>
      </c>
      <c r="BB37" s="108" t="n">
        <v>14</v>
      </c>
      <c r="BC37" s="107">
        <f>BB37*100/$E$37</f>
        <v/>
      </c>
      <c r="BD37" s="108" t="n">
        <v>10</v>
      </c>
      <c r="BE37" s="107">
        <f>BD37*100/$E$37</f>
        <v/>
      </c>
      <c r="BF37" s="108" t="n"/>
      <c r="BG37" s="107">
        <f>BF37*100/$E$37</f>
        <v/>
      </c>
      <c r="BH37" s="108" t="n"/>
      <c r="BI37" s="107">
        <f>BH37*100/$E$37</f>
        <v/>
      </c>
      <c r="BJ37" s="108" t="n"/>
      <c r="BK37" s="107">
        <f>BJ37*100/$E$37</f>
        <v/>
      </c>
      <c r="BL37" s="108" t="n">
        <v>12</v>
      </c>
      <c r="BM37" s="107">
        <f>BL37*100/$E$37</f>
        <v/>
      </c>
      <c r="BN37" s="108" t="n"/>
      <c r="BO37" s="107">
        <f>BN37*100/$E$37</f>
        <v/>
      </c>
      <c r="BP37" s="108" t="n"/>
      <c r="BQ37" s="107">
        <f>BP37*100/$E$37</f>
        <v/>
      </c>
      <c r="BR37" s="108" t="n"/>
      <c r="BS37" s="107">
        <f>BR37*100/$E$37</f>
        <v/>
      </c>
      <c r="BT37" s="108" t="n"/>
      <c r="BU37" s="107">
        <f>BT37*100/$E$37</f>
        <v/>
      </c>
      <c r="BV37" s="108" t="n"/>
      <c r="BW37" s="107">
        <f>BV37*100/$E$37</f>
        <v/>
      </c>
      <c r="BX37" s="108" t="n"/>
      <c r="BY37" s="107">
        <f>BX37*100/$E$37</f>
        <v/>
      </c>
      <c r="BZ37" s="108" t="n">
        <v>4</v>
      </c>
      <c r="CA37" s="107">
        <f>BZ37*100/$E$37</f>
        <v/>
      </c>
      <c r="CB37" s="108" t="n"/>
      <c r="CC37" s="107">
        <f>CB37*100/$E$37</f>
        <v/>
      </c>
      <c r="CD37" s="108" t="n"/>
      <c r="CE37" s="107">
        <f>CD37*100/$E$37</f>
        <v/>
      </c>
      <c r="CF37" s="108" t="n">
        <v>4</v>
      </c>
      <c r="CG37" s="107">
        <f>CF37*100/$E$37</f>
        <v/>
      </c>
      <c r="CH37" s="108" t="n"/>
      <c r="CI37" s="107">
        <f>CH37*100/$E$37</f>
        <v/>
      </c>
      <c r="CJ37" s="108" t="n"/>
      <c r="CK37" s="107">
        <f>CJ37*100/$E$37</f>
        <v/>
      </c>
      <c r="CL37" s="108" t="n"/>
      <c r="CM37" s="107">
        <f>CL37*100/$E$37</f>
        <v/>
      </c>
      <c r="CN37" s="108" t="n"/>
      <c r="CO37" s="122">
        <f>CN37*100/$E$37</f>
        <v/>
      </c>
      <c r="CP37" s="108" t="n"/>
      <c r="CQ37" s="107">
        <f>CP37*100/$E$37</f>
        <v/>
      </c>
      <c r="CR37" s="108" t="n"/>
      <c r="CS37" s="122">
        <f>CR37*100/$E$37</f>
        <v/>
      </c>
      <c r="CT37" s="108" t="n"/>
      <c r="CU37" s="122">
        <f>CT37*100/$E$37</f>
        <v/>
      </c>
      <c r="CV37" s="108" t="n"/>
      <c r="CW37" s="122">
        <f>CV37*100/$E$37</f>
        <v/>
      </c>
      <c r="CX37" s="108" t="n">
        <v>49</v>
      </c>
      <c r="CY37" s="122">
        <f>CX37*100/$E$37</f>
        <v/>
      </c>
      <c r="CZ37" s="108" t="n"/>
      <c r="DA37" s="122">
        <f>CZ37*100/$E$37</f>
        <v/>
      </c>
      <c r="DB37" s="108" t="n"/>
      <c r="DC37" s="122">
        <f>DB37*100/$E$37</f>
        <v/>
      </c>
      <c r="DD37" s="108" t="n"/>
      <c r="DE37" s="122">
        <f>DD37*100/$E$37</f>
        <v/>
      </c>
      <c r="DF37" s="108" t="n"/>
      <c r="DG37" s="122">
        <f>DF37*100/$E$37</f>
        <v/>
      </c>
      <c r="DH37" s="108" t="n"/>
      <c r="DI37" s="122">
        <f>DH37*100/$E$37</f>
        <v/>
      </c>
      <c r="DJ37" s="108" t="n"/>
      <c r="DK37" s="122">
        <f>DJ37*100/$E$37</f>
        <v/>
      </c>
      <c r="DL37" s="108" t="n"/>
      <c r="DM37" s="122">
        <f>DL37*100/$E$37</f>
        <v/>
      </c>
      <c r="DN37" s="108" t="n"/>
      <c r="DO37" s="122">
        <f>DN37*100/$E$37</f>
        <v/>
      </c>
      <c r="DP37" s="108" t="n"/>
      <c r="DQ37" s="122">
        <f>DP37*100/$E$37</f>
        <v/>
      </c>
      <c r="DR37" s="108" t="n"/>
      <c r="DS37" s="122">
        <f>DR37*100/$E$37</f>
        <v/>
      </c>
      <c r="DT37" s="108" t="n"/>
      <c r="DU37" s="122">
        <f>DT37*100/$E$37</f>
        <v/>
      </c>
      <c r="DV37" s="108" t="n"/>
      <c r="DW37" s="122">
        <f>DV37*100/$E$37</f>
        <v/>
      </c>
      <c r="DX37" s="108" t="n"/>
      <c r="DY37" s="122">
        <f>DX37*100/$E$37</f>
        <v/>
      </c>
      <c r="DZ37" s="108" t="n"/>
      <c r="EA37" s="122">
        <f>DZ37*100/$E$37</f>
        <v/>
      </c>
      <c r="EB37" s="108" t="n">
        <v>50</v>
      </c>
      <c r="EC37" s="122">
        <f>EB37*100/$E$37</f>
        <v/>
      </c>
      <c r="ED37" s="108" t="n"/>
      <c r="EE37" s="122">
        <f>ED37*100/$E$37</f>
        <v/>
      </c>
      <c r="EF37" s="108" t="n"/>
      <c r="EG37" s="122">
        <f>EF37*100/$E$37</f>
        <v/>
      </c>
      <c r="EH37" s="108" t="n"/>
      <c r="EI37" s="122">
        <f>EH37*100/$E$37</f>
        <v/>
      </c>
      <c r="EJ37" s="108" t="n"/>
      <c r="EK37" s="122">
        <f>EJ37*100/$E$37</f>
        <v/>
      </c>
      <c r="EL37" s="108" t="n"/>
      <c r="EM37" s="122">
        <f>EL37*100/$E$37</f>
        <v/>
      </c>
      <c r="EN37" s="108" t="n"/>
      <c r="EO37" s="122">
        <f>EN37*100/$E$37</f>
        <v/>
      </c>
      <c r="EP37" s="108" t="n"/>
      <c r="EQ37" s="122">
        <f>EP37*100/$E$37</f>
        <v/>
      </c>
      <c r="ER37" s="108" t="n">
        <v>6</v>
      </c>
      <c r="ES37" s="122">
        <f>ER37*100/$E$37</f>
        <v/>
      </c>
      <c r="ET37" s="108" t="n"/>
      <c r="EU37" s="122">
        <f>ET37*100/$E$37</f>
        <v/>
      </c>
      <c r="EV37" s="108" t="n"/>
      <c r="EW37" s="122">
        <f>EV37*100/$E$37</f>
        <v/>
      </c>
      <c r="EX37" s="108" t="n">
        <v>6</v>
      </c>
      <c r="EY37" s="122">
        <f>EX37*100/$E$37</f>
        <v/>
      </c>
      <c r="EZ37" s="108" t="n"/>
      <c r="FA37" s="122">
        <f>EZ37*100/$E$37</f>
        <v/>
      </c>
      <c r="FB37" s="108" t="n"/>
      <c r="FC37" s="122">
        <f>FB37*100/$E$37</f>
        <v/>
      </c>
      <c r="FD37" s="108" t="n"/>
      <c r="FE37" s="122">
        <f>FD37*100/$E$37</f>
        <v/>
      </c>
      <c r="FF37" s="108" t="n"/>
      <c r="FG37" s="122">
        <f>FF37*100/$E$37</f>
        <v/>
      </c>
      <c r="FH37" s="108" t="n"/>
      <c r="FI37" s="122">
        <f>FH37*100/$E$37</f>
        <v/>
      </c>
      <c r="FJ37" s="108" t="n"/>
      <c r="FK37" s="122">
        <f>FJ37*100/$E$37</f>
        <v/>
      </c>
      <c r="FL37" s="108" t="n"/>
      <c r="FM37" s="122">
        <f>FL37*100/$E$37</f>
        <v/>
      </c>
      <c r="FN37" s="108" t="n"/>
      <c r="FO37" s="122">
        <f>FN37*100/$E$37</f>
        <v/>
      </c>
      <c r="FP37" s="108" t="n"/>
      <c r="FQ37" s="122">
        <f>FP37*100/$E$37</f>
        <v/>
      </c>
      <c r="FR37" s="108" t="n"/>
      <c r="FS37" s="122">
        <f>FR37*100/$E$37</f>
        <v/>
      </c>
      <c r="FT37" s="108" t="n"/>
      <c r="FU37" s="122">
        <f>FT37*100/$E$37</f>
        <v/>
      </c>
      <c r="FV37" s="108" t="n"/>
      <c r="FW37" s="122">
        <f>FV37*100/$E$37</f>
        <v/>
      </c>
      <c r="FX37" s="108" t="n"/>
      <c r="FY37" s="107">
        <f>FX37*100/$E$37</f>
        <v/>
      </c>
      <c r="FZ37" s="108" t="n"/>
      <c r="GA37" s="107">
        <f>FZ37*100/$E$37</f>
        <v/>
      </c>
      <c r="GB37" s="108" t="n"/>
      <c r="GC37" s="107">
        <f>GB37*100/$E$37</f>
        <v/>
      </c>
      <c r="GD37" s="108" t="n"/>
      <c r="GE37" s="107">
        <f>GD37*100/$E$37</f>
        <v/>
      </c>
      <c r="GF37" s="108" t="n"/>
      <c r="GG37" s="107">
        <f>GF37*100/$E$37</f>
        <v/>
      </c>
      <c r="GH37" s="108" t="n"/>
      <c r="GI37" s="107">
        <f>GH37*100/$E$37</f>
        <v/>
      </c>
      <c r="GJ37" s="108" t="n"/>
      <c r="GK37" s="122">
        <f>GJ37*100/$E$37</f>
        <v/>
      </c>
      <c r="GL37" s="108" t="n"/>
      <c r="GM37" s="107">
        <f>GL37*100/$E$37</f>
        <v/>
      </c>
      <c r="GN37" s="108" t="n"/>
      <c r="GO37" s="122">
        <f>GN37*100/$E$37</f>
        <v/>
      </c>
      <c r="GP37" s="108" t="n"/>
      <c r="GQ37" s="107">
        <f>GP37*100/$E$37</f>
        <v/>
      </c>
      <c r="GR37" s="108" t="n"/>
      <c r="GS37" s="122">
        <f>GR37*100/$E$37</f>
        <v/>
      </c>
      <c r="GT37" s="108" t="n"/>
      <c r="GU37" s="122">
        <f>GT37*100/$E$37</f>
        <v/>
      </c>
      <c r="GV37" s="108" t="n"/>
      <c r="GW37" s="122">
        <f>GV37*100/$E$37</f>
        <v/>
      </c>
      <c r="GX37" s="108" t="n"/>
      <c r="GY37" s="107">
        <f>GX37*100/$E$37</f>
        <v/>
      </c>
      <c r="GZ37" s="108" t="n"/>
      <c r="HA37" s="107">
        <f>GZ37*100/$E$37</f>
        <v/>
      </c>
      <c r="HB37" s="108" t="n"/>
      <c r="HC37" s="107">
        <f>HB37*100/$E$37</f>
        <v/>
      </c>
      <c r="HD37" s="108" t="n"/>
      <c r="HE37" s="107">
        <f>HD37*100/$E$37</f>
        <v/>
      </c>
      <c r="HF37" s="108" t="n"/>
      <c r="HG37" s="107">
        <f>HF37*100/$E$37</f>
        <v/>
      </c>
      <c r="HH37" s="108" t="n"/>
      <c r="HI37" s="107">
        <f>HH37*100/$E$37</f>
        <v/>
      </c>
      <c r="HJ37" s="108" t="n"/>
      <c r="HK37" s="107">
        <f>HJ37*100/$E$37</f>
        <v/>
      </c>
      <c r="HL37" s="108" t="n"/>
      <c r="HM37" s="107">
        <f>HL37*100/$E$37</f>
        <v/>
      </c>
      <c r="HN37" s="108" t="n"/>
      <c r="HO37" s="107">
        <f>HN37*100/$E$37</f>
        <v/>
      </c>
      <c r="HP37" s="108" t="n"/>
      <c r="HQ37" s="107">
        <f>HP37*100/$E$37</f>
        <v/>
      </c>
      <c r="HR37" s="108" t="n"/>
      <c r="HS37" s="107">
        <f>HR37*100/$E$37</f>
        <v/>
      </c>
      <c r="HT37" s="108" t="n"/>
      <c r="HU37" s="107">
        <f>HT37*100/$E$37</f>
        <v/>
      </c>
      <c r="HV37" s="108" t="n"/>
      <c r="HW37" s="107">
        <f>HV37*100/$E$37</f>
        <v/>
      </c>
      <c r="HX37" s="108" t="n"/>
      <c r="HY37" s="107">
        <f>HX37*100/$E$37</f>
        <v/>
      </c>
      <c r="HZ37" s="108" t="n"/>
      <c r="IA37" s="122">
        <f>HZ37*100/$E$37</f>
        <v/>
      </c>
      <c r="IB37" s="108" t="n"/>
      <c r="IC37" s="122">
        <f>IB37*100/$E$37</f>
        <v/>
      </c>
      <c r="ID37" s="108" t="n"/>
      <c r="IE37" s="122">
        <f>ID37*100/$E$37</f>
        <v/>
      </c>
      <c r="IF37" s="108" t="n"/>
      <c r="IG37" s="122">
        <f>IF37*100/$E$37</f>
        <v/>
      </c>
      <c r="IH37" s="108" t="n"/>
      <c r="II37" s="122">
        <f>IH37*100/$E$37</f>
        <v/>
      </c>
      <c r="IJ37" s="108" t="n"/>
      <c r="IK37" s="122">
        <f>IJ37*100/$E$37</f>
        <v/>
      </c>
      <c r="IL37" s="108" t="n"/>
      <c r="IM37" s="107">
        <f>IL37*100/$E$37</f>
        <v/>
      </c>
      <c r="IN37" s="108" t="n"/>
      <c r="IO37" s="107">
        <f>IN37*100/$E$37</f>
        <v/>
      </c>
      <c r="IP37" s="108" t="n"/>
      <c r="IQ37" s="122">
        <f>IP37*100/$E$37</f>
        <v/>
      </c>
      <c r="IR37" s="108" t="n"/>
      <c r="IS37" s="122">
        <f>IR37*100/$E$37</f>
        <v/>
      </c>
      <c r="IT37" s="108" t="n"/>
      <c r="IU37" s="122">
        <f>IT37*100/$E$37</f>
        <v/>
      </c>
      <c r="IV37" s="108" t="n"/>
      <c r="IW37" s="122">
        <f>IV37*100/$E$37</f>
        <v/>
      </c>
      <c r="IX37" s="108" t="n"/>
      <c r="IY37" s="122">
        <f>IX37*100/$E$37</f>
        <v/>
      </c>
      <c r="IZ37" s="108" t="n"/>
      <c r="JA37" s="122">
        <f>IZ37*100/$E$37</f>
        <v/>
      </c>
      <c r="JB37" s="108" t="n"/>
      <c r="JC37" s="122">
        <f>JB37*100/$E$37</f>
        <v/>
      </c>
      <c r="JD37" s="108" t="n"/>
      <c r="JE37" s="122">
        <f>JD37*100/$E$37</f>
        <v/>
      </c>
      <c r="JF37" s="108" t="n"/>
      <c r="JG37" s="122">
        <f>JF37*100/$E$37</f>
        <v/>
      </c>
      <c r="JH37" s="108" t="n"/>
      <c r="JI37" s="122">
        <f>JH37*100/$E$37</f>
        <v/>
      </c>
      <c r="JJ37" s="108" t="n"/>
      <c r="JK37" s="122">
        <f>JJ37*100/$E$37</f>
        <v/>
      </c>
      <c r="JL37" s="108" t="n">
        <v>13</v>
      </c>
      <c r="JM37" s="122">
        <f>JL37*100/$E$37</f>
        <v/>
      </c>
      <c r="JN37" s="108" t="n"/>
      <c r="JO37" s="121">
        <f>JN37*100/$E$37</f>
        <v/>
      </c>
      <c r="JP37" s="108" t="n"/>
      <c r="JQ37" s="121">
        <f>JP37*100/$E$37</f>
        <v/>
      </c>
      <c r="JR37" s="108" t="n"/>
      <c r="JS37" s="121">
        <f>JR37*100/$E$37</f>
        <v/>
      </c>
      <c r="JT37" s="108" t="n"/>
      <c r="JU37" s="121">
        <f>JT37*100/$E$37</f>
        <v/>
      </c>
      <c r="JV37" s="117" t="n"/>
      <c r="JW37" s="121">
        <f>JV37*100/$E$37</f>
        <v/>
      </c>
      <c r="JX37" s="117" t="n"/>
      <c r="JY37" s="121">
        <f>JX37*100/$E$37</f>
        <v/>
      </c>
      <c r="JZ37" s="55">
        <f>JN37+JP37+JR37+JT37+JV37+JX37</f>
        <v/>
      </c>
      <c r="KA37" s="53">
        <f>JO37+JQ37+JS37+JU37+JW37+JY37</f>
        <v/>
      </c>
      <c r="KB37" s="64">
        <f>H37+J37+L37+N37+P37+R37+T37+V37+X37+Z37+AB37+AD37+AF37+AH37+AJ37+AL37+AN37+AP37+AR37+AT37+AV37+AX37+AZ37+BB37+BD37+BF37+BH37+BJ37+BL37+BN37+BP37+BR37+BT37+BV37+BX37+BZ37+CB37+CD37+CF37+CH37+CZ37+DB37+DD37+DF37+DH37+DJ37+DL37+DN37+DP37+DR37+DT37+DV37+DX37+DZ37+EB37+ED37+EF37+EH37+EJ37+EL37+EN37+EP37+ER37+ET37+EV37+FN37+FP37+FR37+FT37+FV37+FX37+FZ37+GB37+GD37+GF37+GH37+GJ37+GL37+GN37+GP37+GR37+GT37+GV37+GX37+GZ37+HB37+HD37+HF37+HH37+HJ37+HL37+HN37+HP37+HR37+HT37+HV37+HX37+HZ37+IB37+ID37+IF37+IH37+IJ37+IL37+IN37+IP37+IR37+IT37+IV37+IX37+IZ37+JB37+JD37+JF37+JH37+JJ37+JL37+JZ37+CJ37+CL37+CN37+CP37+CR37+CT37+CV37+CX37+EX37+EZ37+FB37+FD37+FF37+FH37+FJ37+FL37</f>
        <v/>
      </c>
      <c r="KC37" s="66">
        <f>I37+K37+M37+O37+Q37+S37+U37+W37+Y37+AA37+AC37+AE37+AG37+AI37+AK37+AM37+AO37+AQ37+AS37+AU37+AW37+AY37+BA37+BC37+BE37+BG37+BI37+BK37+BM37+BO37+BQ37+BS37+BU37+BW37+BY37+CA37+CC37+CE37+CG37+CI37+DA37+DC37+DE37+DG37+DI37+DK37+DM37+DO37+DQ37+DS37+DU37+DW37+DY37+EA37+EC37+EE37+EG37+EI37+EK37+EM37+EO37+EQ37+ES37+EU37+EW37+FO37+FS37+FU37+FW37+FQ37+FY37+GA37+GC37+GE37+GG37+GI37+GK37+GM37+GO37+GQ37+GS37+GU37+GW37+GY37+HA37+HC37+HE37+HG37+HI37+HK37+HM37+HO37+HQ37+HS37+HU37+HW37+HY37+IA37+IC37+IE37+IG37+II37+IK37+IM37+IO37+IQ37+IS37+IU37+IW37+IY37+JA37+JC37+JE37+JG37+JI37+JK37+JM37+KA37+CK37+CM37+CO37+CQ37+CS37+CU37+CW37+CY37+EY37+FA37+FC37+FE37+FG37+FI37+FK37+FM37</f>
        <v/>
      </c>
      <c r="KD37" s="44">
        <f>JO37+JQ37+JS37+JU37+JW37+JY37</f>
        <v/>
      </c>
      <c r="KE37" s="45">
        <f>KB37=E37</f>
        <v/>
      </c>
      <c r="KF37" s="101">
        <f>E37-KB37</f>
        <v/>
      </c>
      <c r="KG37" s="25" t="n"/>
    </row>
    <row r="38" ht="21.75" customFormat="1" customHeight="1" s="25">
      <c r="A38" s="126">
        <f>A37+1</f>
        <v/>
      </c>
      <c r="B38" s="175" t="inlineStr">
        <is>
          <t>Ряснов С.О.</t>
        </is>
      </c>
      <c r="C38" s="176" t="inlineStr">
        <is>
          <t>Фрезеровщик</t>
        </is>
      </c>
      <c r="D38" s="177">
        <f>$D$5</f>
        <v/>
      </c>
      <c r="E38" s="202" t="n">
        <v>179</v>
      </c>
      <c r="F38" s="193" t="n">
        <v>63219</v>
      </c>
      <c r="G38" s="52">
        <f>F38/D38</f>
        <v/>
      </c>
      <c r="H38" s="125" t="n"/>
      <c r="I38" s="107">
        <f>H38*100/$E$38</f>
        <v/>
      </c>
      <c r="J38" s="108" t="n"/>
      <c r="K38" s="107">
        <f>J38*100/$E$38</f>
        <v/>
      </c>
      <c r="L38" s="108" t="n"/>
      <c r="M38" s="107">
        <f>L38*100/$E$38</f>
        <v/>
      </c>
      <c r="N38" s="108" t="n"/>
      <c r="O38" s="107">
        <f>N38*100/$E$38</f>
        <v/>
      </c>
      <c r="P38" s="108" t="n"/>
      <c r="Q38" s="122">
        <f>P38*100/$E$38</f>
        <v/>
      </c>
      <c r="R38" s="108" t="n"/>
      <c r="S38" s="122">
        <f>R38*100/$E$38</f>
        <v/>
      </c>
      <c r="T38" s="108" t="n"/>
      <c r="U38" s="107">
        <f>T38*100/$E$38</f>
        <v/>
      </c>
      <c r="V38" s="108" t="n"/>
      <c r="W38" s="107">
        <f>V38*100/$E$38</f>
        <v/>
      </c>
      <c r="X38" s="108" t="n"/>
      <c r="Y38" s="107">
        <f>X38*100/$E$38</f>
        <v/>
      </c>
      <c r="Z38" s="108" t="n"/>
      <c r="AA38" s="107">
        <f>Z38*100/$E$38</f>
        <v/>
      </c>
      <c r="AB38" s="108" t="n"/>
      <c r="AC38" s="107">
        <f>AB38*100/$E$38</f>
        <v/>
      </c>
      <c r="AD38" s="108" t="n"/>
      <c r="AE38" s="122">
        <f>AD38*100/$E$38</f>
        <v/>
      </c>
      <c r="AF38" s="108" t="n"/>
      <c r="AG38" s="122">
        <f>AF38*100/$E$38</f>
        <v/>
      </c>
      <c r="AH38" s="108" t="n"/>
      <c r="AI38" s="107">
        <f>AH38*100/$E$38</f>
        <v/>
      </c>
      <c r="AJ38" s="108" t="n"/>
      <c r="AK38" s="107">
        <f>AJ38*100/$E$38</f>
        <v/>
      </c>
      <c r="AL38" s="108" t="n"/>
      <c r="AM38" s="107">
        <f>AL38*100/$E$38</f>
        <v/>
      </c>
      <c r="AN38" s="108" t="n"/>
      <c r="AO38" s="107">
        <f>AN38*100/$E$38</f>
        <v/>
      </c>
      <c r="AP38" s="108" t="n"/>
      <c r="AQ38" s="107">
        <f>AP38*100/$E$38</f>
        <v/>
      </c>
      <c r="AR38" s="108" t="n"/>
      <c r="AS38" s="107">
        <f>AR38*100/$E$38</f>
        <v/>
      </c>
      <c r="AT38" s="108" t="n"/>
      <c r="AU38" s="90">
        <f>AT38*100/$E$38</f>
        <v/>
      </c>
      <c r="AV38" s="108" t="n"/>
      <c r="AW38" s="107">
        <f>AV38*100/$E$38</f>
        <v/>
      </c>
      <c r="AX38" s="108" t="n"/>
      <c r="AY38" s="107">
        <f>AX38*100/$E$38</f>
        <v/>
      </c>
      <c r="AZ38" s="108" t="n"/>
      <c r="BA38" s="107">
        <f>AZ38*100/$E$38</f>
        <v/>
      </c>
      <c r="BB38" s="108" t="n"/>
      <c r="BC38" s="107">
        <f>BB38*100/$E$38</f>
        <v/>
      </c>
      <c r="BD38" s="108" t="n"/>
      <c r="BE38" s="107">
        <f>BD38*100/$E$38</f>
        <v/>
      </c>
      <c r="BF38" s="108" t="n"/>
      <c r="BG38" s="107">
        <f>BF38*100/$E$38</f>
        <v/>
      </c>
      <c r="BH38" s="108" t="n"/>
      <c r="BI38" s="107">
        <f>BH38*100/$E$38</f>
        <v/>
      </c>
      <c r="BJ38" s="108" t="n"/>
      <c r="BK38" s="107">
        <f>BJ38*100/$E$38</f>
        <v/>
      </c>
      <c r="BL38" s="108" t="n"/>
      <c r="BM38" s="107">
        <f>BL38*100/$E$38</f>
        <v/>
      </c>
      <c r="BN38" s="108" t="n">
        <v>42</v>
      </c>
      <c r="BO38" s="107">
        <f>BN38*100/$E$38</f>
        <v/>
      </c>
      <c r="BP38" s="108" t="n"/>
      <c r="BQ38" s="107">
        <f>BP38*100/$E$38</f>
        <v/>
      </c>
      <c r="BR38" s="108" t="n"/>
      <c r="BS38" s="107">
        <f>BR38*100/$E$38</f>
        <v/>
      </c>
      <c r="BT38" s="108" t="n"/>
      <c r="BU38" s="107">
        <f>BT38*100/$E$38</f>
        <v/>
      </c>
      <c r="BV38" s="108" t="n">
        <v>8</v>
      </c>
      <c r="BW38" s="107">
        <f>BV38*100/$E$38</f>
        <v/>
      </c>
      <c r="BX38" s="108" t="n"/>
      <c r="BY38" s="107">
        <f>BX38*100/$E$38</f>
        <v/>
      </c>
      <c r="BZ38" s="108" t="n">
        <v>10</v>
      </c>
      <c r="CA38" s="107">
        <f>BZ38*100/$E$38</f>
        <v/>
      </c>
      <c r="CB38" s="108" t="n"/>
      <c r="CC38" s="107">
        <f>CB38*100/$E$38</f>
        <v/>
      </c>
      <c r="CD38" s="108" t="n">
        <v>3</v>
      </c>
      <c r="CE38" s="107">
        <f>CD38*100/$E$38</f>
        <v/>
      </c>
      <c r="CF38" s="108" t="n">
        <v>23</v>
      </c>
      <c r="CG38" s="107">
        <f>CF38*100/$E$38</f>
        <v/>
      </c>
      <c r="CH38" s="108" t="n"/>
      <c r="CI38" s="107">
        <f>CH38*100/$E$38</f>
        <v/>
      </c>
      <c r="CJ38" s="108" t="n"/>
      <c r="CK38" s="107">
        <f>CJ38*100/$E$38</f>
        <v/>
      </c>
      <c r="CL38" s="108" t="n"/>
      <c r="CM38" s="107">
        <f>CL38*100/$E$38</f>
        <v/>
      </c>
      <c r="CN38" s="108" t="n">
        <v>12</v>
      </c>
      <c r="CO38" s="122">
        <f>CN38*100/$E$38</f>
        <v/>
      </c>
      <c r="CP38" s="108" t="n"/>
      <c r="CQ38" s="107">
        <f>CP38*100/$E$38</f>
        <v/>
      </c>
      <c r="CR38" s="108" t="n"/>
      <c r="CS38" s="122">
        <f>CR38*100/$E$38</f>
        <v/>
      </c>
      <c r="CT38" s="108" t="n"/>
      <c r="CU38" s="122">
        <f>CT38*100/$E$38</f>
        <v/>
      </c>
      <c r="CV38" s="108" t="n"/>
      <c r="CW38" s="122">
        <f>CV38*100/$E$38</f>
        <v/>
      </c>
      <c r="CX38" s="108" t="n">
        <v>24</v>
      </c>
      <c r="CY38" s="122">
        <f>CX38*100/$E$38</f>
        <v/>
      </c>
      <c r="CZ38" s="108" t="n"/>
      <c r="DA38" s="122">
        <f>CZ38*100/$E$38</f>
        <v/>
      </c>
      <c r="DB38" s="108" t="n"/>
      <c r="DC38" s="122">
        <f>DB38*100/$E$38</f>
        <v/>
      </c>
      <c r="DD38" s="108" t="n"/>
      <c r="DE38" s="122">
        <f>DD38*100/$E$38</f>
        <v/>
      </c>
      <c r="DF38" s="108" t="n"/>
      <c r="DG38" s="122">
        <f>DF38*100/$E$38</f>
        <v/>
      </c>
      <c r="DH38" s="108" t="n"/>
      <c r="DI38" s="122">
        <f>DH38*100/$E$38</f>
        <v/>
      </c>
      <c r="DJ38" s="108" t="n"/>
      <c r="DK38" s="122">
        <f>DJ38*100/$E$38</f>
        <v/>
      </c>
      <c r="DL38" s="108" t="n"/>
      <c r="DM38" s="122">
        <f>DL38*100/$E$38</f>
        <v/>
      </c>
      <c r="DN38" s="108" t="n"/>
      <c r="DO38" s="122">
        <f>DN38*100/$E$38</f>
        <v/>
      </c>
      <c r="DP38" s="108" t="n"/>
      <c r="DQ38" s="122">
        <f>DP38*100/$E$38</f>
        <v/>
      </c>
      <c r="DR38" s="108" t="n"/>
      <c r="DS38" s="122">
        <f>DR38*100/$E$38</f>
        <v/>
      </c>
      <c r="DT38" s="108" t="n"/>
      <c r="DU38" s="122">
        <f>DT38*100/$E$38</f>
        <v/>
      </c>
      <c r="DV38" s="108" t="n"/>
      <c r="DW38" s="122">
        <f>DV38*100/$E$38</f>
        <v/>
      </c>
      <c r="DX38" s="108" t="n"/>
      <c r="DY38" s="122">
        <f>DX38*100/$E$38</f>
        <v/>
      </c>
      <c r="DZ38" s="108" t="n"/>
      <c r="EA38" s="122">
        <f>DZ38*100/$E$38</f>
        <v/>
      </c>
      <c r="EB38" s="108" t="n"/>
      <c r="EC38" s="122">
        <f>EB38*100/$E$38</f>
        <v/>
      </c>
      <c r="ED38" s="108" t="n"/>
      <c r="EE38" s="122">
        <f>ED38*100/$E$38</f>
        <v/>
      </c>
      <c r="EF38" s="108" t="n"/>
      <c r="EG38" s="122">
        <f>EF38*100/$E$38</f>
        <v/>
      </c>
      <c r="EH38" s="108" t="n">
        <v>30</v>
      </c>
      <c r="EI38" s="122">
        <f>EH38*100/$E$38</f>
        <v/>
      </c>
      <c r="EJ38" s="108" t="n"/>
      <c r="EK38" s="122">
        <f>EJ38*100/$E$38</f>
        <v/>
      </c>
      <c r="EL38" s="108" t="n"/>
      <c r="EM38" s="122">
        <f>EL38*100/$E$38</f>
        <v/>
      </c>
      <c r="EN38" s="108" t="n"/>
      <c r="EO38" s="122">
        <f>EN38*100/$E$38</f>
        <v/>
      </c>
      <c r="EP38" s="108" t="n"/>
      <c r="EQ38" s="122">
        <f>EP38*100/$E$38</f>
        <v/>
      </c>
      <c r="ER38" s="108" t="n">
        <v>23</v>
      </c>
      <c r="ES38" s="122">
        <f>ER38*100/$E$38</f>
        <v/>
      </c>
      <c r="ET38" s="108" t="n"/>
      <c r="EU38" s="122">
        <f>ET38*100/$E$38</f>
        <v/>
      </c>
      <c r="EV38" s="108" t="n"/>
      <c r="EW38" s="122">
        <f>EV38*100/$E$38</f>
        <v/>
      </c>
      <c r="EX38" s="108" t="n"/>
      <c r="EY38" s="122">
        <f>EX38*100/$E$38</f>
        <v/>
      </c>
      <c r="EZ38" s="108" t="n"/>
      <c r="FA38" s="122">
        <f>EZ38*100/$E$38</f>
        <v/>
      </c>
      <c r="FB38" s="108" t="n"/>
      <c r="FC38" s="122">
        <f>FB38*100/$E$38</f>
        <v/>
      </c>
      <c r="FD38" s="108" t="n"/>
      <c r="FE38" s="122">
        <f>FD38*100/$E$38</f>
        <v/>
      </c>
      <c r="FF38" s="108" t="n"/>
      <c r="FG38" s="122">
        <f>FF38*100/$E$38</f>
        <v/>
      </c>
      <c r="FH38" s="108" t="n"/>
      <c r="FI38" s="122">
        <f>FH38*100/$E$38</f>
        <v/>
      </c>
      <c r="FJ38" s="108" t="n"/>
      <c r="FK38" s="122">
        <f>FJ38*100/$E$38</f>
        <v/>
      </c>
      <c r="FL38" s="108" t="n"/>
      <c r="FM38" s="122">
        <f>FL38*100/$E$38</f>
        <v/>
      </c>
      <c r="FN38" s="108" t="n"/>
      <c r="FO38" s="122">
        <f>FN38*100/$E$38</f>
        <v/>
      </c>
      <c r="FP38" s="108" t="n"/>
      <c r="FQ38" s="122">
        <f>FP38*100/$E$38</f>
        <v/>
      </c>
      <c r="FR38" s="108" t="n"/>
      <c r="FS38" s="122">
        <f>FR38*100/$E$38</f>
        <v/>
      </c>
      <c r="FT38" s="108" t="n"/>
      <c r="FU38" s="122">
        <f>FT38*100/$E$38</f>
        <v/>
      </c>
      <c r="FV38" s="108" t="n"/>
      <c r="FW38" s="122">
        <f>FV38*100/$E$38</f>
        <v/>
      </c>
      <c r="FX38" s="108" t="n"/>
      <c r="FY38" s="107">
        <f>FX38*100/$E$38</f>
        <v/>
      </c>
      <c r="FZ38" s="108" t="n"/>
      <c r="GA38" s="107">
        <f>FZ38*100/$E$38</f>
        <v/>
      </c>
      <c r="GB38" s="108" t="n"/>
      <c r="GC38" s="107">
        <f>GB38*100/$E$38</f>
        <v/>
      </c>
      <c r="GD38" s="108" t="n"/>
      <c r="GE38" s="107">
        <f>GD38*100/$E$38</f>
        <v/>
      </c>
      <c r="GF38" s="108" t="n"/>
      <c r="GG38" s="107">
        <f>GF38*100/$E$38</f>
        <v/>
      </c>
      <c r="GH38" s="108" t="n"/>
      <c r="GI38" s="107">
        <f>GH38*100/$E$38</f>
        <v/>
      </c>
      <c r="GJ38" s="108" t="n"/>
      <c r="GK38" s="122">
        <f>GJ38*100/$E$38</f>
        <v/>
      </c>
      <c r="GL38" s="108" t="n"/>
      <c r="GM38" s="107">
        <f>GL38*100/$E$38</f>
        <v/>
      </c>
      <c r="GN38" s="108" t="n"/>
      <c r="GO38" s="122">
        <f>GN38*100/$E$38</f>
        <v/>
      </c>
      <c r="GP38" s="108" t="n"/>
      <c r="GQ38" s="107">
        <f>GP38*100/$E$38</f>
        <v/>
      </c>
      <c r="GR38" s="108" t="n"/>
      <c r="GS38" s="122">
        <f>GR38*100/$E$38</f>
        <v/>
      </c>
      <c r="GT38" s="108" t="n"/>
      <c r="GU38" s="122">
        <f>GT38*100/$E$38</f>
        <v/>
      </c>
      <c r="GV38" s="108" t="n"/>
      <c r="GW38" s="122">
        <f>GV38*100/$E$38</f>
        <v/>
      </c>
      <c r="GX38" s="108" t="n"/>
      <c r="GY38" s="107">
        <f>GX38*100/$E$38</f>
        <v/>
      </c>
      <c r="GZ38" s="108" t="n"/>
      <c r="HA38" s="107">
        <f>GZ38*100/$E$38</f>
        <v/>
      </c>
      <c r="HB38" s="108" t="n"/>
      <c r="HC38" s="107">
        <f>HB38*100/$E$38</f>
        <v/>
      </c>
      <c r="HD38" s="108" t="n"/>
      <c r="HE38" s="107">
        <f>HD38*100/$E$38</f>
        <v/>
      </c>
      <c r="HF38" s="108" t="n"/>
      <c r="HG38" s="107">
        <f>HF38*100/$E$38</f>
        <v/>
      </c>
      <c r="HH38" s="108" t="n"/>
      <c r="HI38" s="107">
        <f>HH38*100/$E$38</f>
        <v/>
      </c>
      <c r="HJ38" s="108" t="n"/>
      <c r="HK38" s="107">
        <f>HJ38*100/$E$38</f>
        <v/>
      </c>
      <c r="HL38" s="108" t="n"/>
      <c r="HM38" s="107">
        <f>HL38*100/$E$38</f>
        <v/>
      </c>
      <c r="HN38" s="108" t="n"/>
      <c r="HO38" s="107">
        <f>HN38*100/$E$38</f>
        <v/>
      </c>
      <c r="HP38" s="108" t="n"/>
      <c r="HQ38" s="107">
        <f>HP38*100/$E$38</f>
        <v/>
      </c>
      <c r="HR38" s="108" t="n"/>
      <c r="HS38" s="107">
        <f>HR38*100/$E$38</f>
        <v/>
      </c>
      <c r="HT38" s="108" t="n"/>
      <c r="HU38" s="107">
        <f>HT38*100/$E$38</f>
        <v/>
      </c>
      <c r="HV38" s="108" t="n"/>
      <c r="HW38" s="107">
        <f>HV38*100/$E$38</f>
        <v/>
      </c>
      <c r="HX38" s="108" t="n"/>
      <c r="HY38" s="107">
        <f>HX38*100/$E$38</f>
        <v/>
      </c>
      <c r="HZ38" s="108" t="n"/>
      <c r="IA38" s="122">
        <f>HZ38*100/$E$38</f>
        <v/>
      </c>
      <c r="IB38" s="108" t="n"/>
      <c r="IC38" s="122">
        <f>IB38*100/$E$38</f>
        <v/>
      </c>
      <c r="ID38" s="108" t="n"/>
      <c r="IE38" s="122">
        <f>ID38*100/$E$38</f>
        <v/>
      </c>
      <c r="IF38" s="108" t="n"/>
      <c r="IG38" s="122">
        <f>IF38*100/$E$38</f>
        <v/>
      </c>
      <c r="IH38" s="108" t="n"/>
      <c r="II38" s="122">
        <f>IH38*100/$E$38</f>
        <v/>
      </c>
      <c r="IJ38" s="108" t="n"/>
      <c r="IK38" s="122">
        <f>IJ38*100/$E$38</f>
        <v/>
      </c>
      <c r="IL38" s="108" t="n"/>
      <c r="IM38" s="107">
        <f>IL38*100/$E$38</f>
        <v/>
      </c>
      <c r="IN38" s="108" t="n"/>
      <c r="IO38" s="107">
        <f>IN38*100/$E$38</f>
        <v/>
      </c>
      <c r="IP38" s="108" t="n"/>
      <c r="IQ38" s="122">
        <f>IP38*100/$E$38</f>
        <v/>
      </c>
      <c r="IR38" s="108" t="n"/>
      <c r="IS38" s="122">
        <f>IR38*100/$E$38</f>
        <v/>
      </c>
      <c r="IT38" s="108" t="n"/>
      <c r="IU38" s="122">
        <f>IT38*100/$E$38</f>
        <v/>
      </c>
      <c r="IV38" s="108" t="n"/>
      <c r="IW38" s="122">
        <f>IV38*100/$E$38</f>
        <v/>
      </c>
      <c r="IX38" s="108" t="n"/>
      <c r="IY38" s="122">
        <f>IX38*100/$E$38</f>
        <v/>
      </c>
      <c r="IZ38" s="108" t="n"/>
      <c r="JA38" s="122">
        <f>IZ38*100/$E$38</f>
        <v/>
      </c>
      <c r="JB38" s="108" t="n"/>
      <c r="JC38" s="122">
        <f>JB38*100/$E$38</f>
        <v/>
      </c>
      <c r="JD38" s="108" t="n"/>
      <c r="JE38" s="122">
        <f>JD38*100/$E$38</f>
        <v/>
      </c>
      <c r="JF38" s="108" t="n"/>
      <c r="JG38" s="122">
        <f>JF38*100/$E$38</f>
        <v/>
      </c>
      <c r="JH38" s="108" t="n"/>
      <c r="JI38" s="122">
        <f>JH38*100/$E$38</f>
        <v/>
      </c>
      <c r="JJ38" s="108" t="n"/>
      <c r="JK38" s="122">
        <f>JJ38*100/$E$38</f>
        <v/>
      </c>
      <c r="JL38" s="108" t="n">
        <v>4</v>
      </c>
      <c r="JM38" s="122">
        <f>JL38*100/$E$38</f>
        <v/>
      </c>
      <c r="JN38" s="108" t="n"/>
      <c r="JO38" s="121">
        <f>JN38*100/$E$38</f>
        <v/>
      </c>
      <c r="JP38" s="108" t="n"/>
      <c r="JQ38" s="121">
        <f>JP38*100/$E$38</f>
        <v/>
      </c>
      <c r="JR38" s="108" t="n"/>
      <c r="JS38" s="121">
        <f>JR38*100/$E$38</f>
        <v/>
      </c>
      <c r="JT38" s="108" t="n"/>
      <c r="JU38" s="121">
        <f>JT38*100/$E$38</f>
        <v/>
      </c>
      <c r="JV38" s="108" t="n"/>
      <c r="JW38" s="121">
        <f>JV38*100/$E$38</f>
        <v/>
      </c>
      <c r="JX38" s="108" t="n"/>
      <c r="JY38" s="121">
        <f>JX38*100/$E$38</f>
        <v/>
      </c>
      <c r="JZ38" s="55">
        <f>JN38+JP38+JR38+JT38+JV38+JX38</f>
        <v/>
      </c>
      <c r="KA38" s="53">
        <f>JO38+JQ38+JS38+JU38+JW38+JY38</f>
        <v/>
      </c>
      <c r="KB38" s="64">
        <f>H38+J38+L38+N38+P38+R38+T38+V38+X38+Z38+AB38+AD38+AF38+AH38+AJ38+AL38+AN38+AP38+AR38+AT38+AV38+AX38+AZ38+BB38+BD38+BF38+BH38+BJ38+BL38+BN38+BP38+BR38+BT38+BV38+BX38+BZ38+CB38+CD38+CF38+CH38+CZ38+DB38+DD38+DF38+DH38+DJ38+DL38+DN38+DP38+DR38+DT38+DV38+DX38+DZ38+EB38+ED38+EF38+EH38+EJ38+EL38+EN38+EP38+ER38+ET38+EV38+FN38+FP38+FR38+FT38+FV38+FX38+FZ38+GB38+GD38+GF38+GH38+GJ38+GL38+GN38+GP38+GR38+GT38+GV38+GX38+GZ38+HB38+HD38+HF38+HH38+HJ38+HL38+HN38+HP38+HR38+HT38+HV38+HX38+HZ38+IB38+ID38+IF38+IH38+IJ38+IL38+IN38+IP38+IR38+IT38+IV38+IX38+IZ38+JB38+JD38+JF38+JH38+JJ38+JL38+JZ38+CJ38+CL38+CN38+CP38+CR38+CT38+CV38+CX38+EX38+EZ38+FB38+FD38+FF38+FH38+FJ38+FL38</f>
        <v/>
      </c>
      <c r="KC38" s="66">
        <f>I38+K38+M38+O38+Q38+S38+U38+W38+Y38+AA38+AC38+AE38+AG38+AI38+AK38+AM38+AO38+AQ38+AS38+AU38+AW38+AY38+BA38+BC38+BE38+BG38+BI38+BK38+BM38+BO38+BQ38+BS38+BU38+BW38+BY38+CA38+CC38+CE38+CG38+CI38+DA38+DC38+DE38+DG38+DI38+DK38+DM38+DO38+DQ38+DS38+DU38+DW38+DY38+EA38+EC38+EE38+EG38+EI38+EK38+EM38+EO38+EQ38+ES38+EU38+EW38+FO38+FS38+FU38+FW38+FQ38+FY38+GA38+GC38+GE38+GG38+GI38+GK38+GM38+GO38+GQ38+GS38+GU38+GW38+GY38+HA38+HC38+HE38+HG38+HI38+HK38+HM38+HO38+HQ38+HS38+HU38+HW38+HY38+IA38+IC38+IE38+IG38+II38+IK38+IM38+IO38+IQ38+IS38+IU38+IW38+IY38+JA38+JC38+JE38+JG38+JI38+JK38+JM38+KA38+CK38+CM38+CO38+CQ38+CS38+CU38+CW38+CY38+EY38+FA38+FC38+FE38+FG38+FI38+FK38+FM38</f>
        <v/>
      </c>
      <c r="KD38" s="44">
        <f>JO38+JQ38+JS38+JU38+JW38+JY38</f>
        <v/>
      </c>
      <c r="KE38" s="45">
        <f>KB38=E38</f>
        <v/>
      </c>
      <c r="KF38" s="101">
        <f>E38-KB38</f>
        <v/>
      </c>
      <c r="KG38" s="15" t="n"/>
    </row>
    <row r="39" ht="21.75" customFormat="1" customHeight="1" s="25">
      <c r="A39" s="126">
        <f>A38+1</f>
        <v/>
      </c>
      <c r="B39" s="175" t="inlineStr">
        <is>
          <t>Протасов С.А.</t>
        </is>
      </c>
      <c r="C39" s="194" t="inlineStr">
        <is>
          <t>слесарь МСР</t>
        </is>
      </c>
      <c r="D39" s="177">
        <f>$D$5</f>
        <v/>
      </c>
      <c r="E39" s="202" t="n">
        <v>160</v>
      </c>
      <c r="F39" s="193" t="n">
        <v>84149.67999999999</v>
      </c>
      <c r="G39" s="52">
        <f>F39/D39</f>
        <v/>
      </c>
      <c r="H39" s="125" t="n"/>
      <c r="I39" s="107">
        <f>H39*100/$E$39</f>
        <v/>
      </c>
      <c r="J39" s="108" t="n"/>
      <c r="K39" s="107">
        <f>J39*100/$E$39</f>
        <v/>
      </c>
      <c r="L39" s="108" t="n"/>
      <c r="M39" s="107">
        <f>L39*100/$E$39</f>
        <v/>
      </c>
      <c r="N39" s="108" t="n"/>
      <c r="O39" s="107">
        <f>N39*100/$E$39</f>
        <v/>
      </c>
      <c r="P39" s="108" t="n"/>
      <c r="Q39" s="122">
        <f>P39*100/$E$39</f>
        <v/>
      </c>
      <c r="R39" s="108" t="n">
        <v>7</v>
      </c>
      <c r="S39" s="122">
        <f>R39*100/$E$39</f>
        <v/>
      </c>
      <c r="T39" s="108" t="n">
        <v>12</v>
      </c>
      <c r="U39" s="107">
        <f>T39*100/$E$39</f>
        <v/>
      </c>
      <c r="V39" s="108" t="n">
        <v>10</v>
      </c>
      <c r="W39" s="107">
        <f>V39*100/$E$39</f>
        <v/>
      </c>
      <c r="X39" s="108" t="n">
        <v>11</v>
      </c>
      <c r="Y39" s="107">
        <f>X39*100/$E$39</f>
        <v/>
      </c>
      <c r="Z39" s="108" t="n"/>
      <c r="AA39" s="107">
        <f>Z39*100/$E$39</f>
        <v/>
      </c>
      <c r="AB39" s="108" t="n"/>
      <c r="AC39" s="107">
        <f>AB39*100/$E$39</f>
        <v/>
      </c>
      <c r="AD39" s="108" t="n"/>
      <c r="AE39" s="122">
        <f>AD39*100/$E$39</f>
        <v/>
      </c>
      <c r="AF39" s="108" t="n"/>
      <c r="AG39" s="122">
        <f>AF39*100/$E$39</f>
        <v/>
      </c>
      <c r="AH39" s="108" t="n">
        <v>4</v>
      </c>
      <c r="AI39" s="107">
        <f>AH39*100/$E$39</f>
        <v/>
      </c>
      <c r="AJ39" s="108" t="n"/>
      <c r="AK39" s="107">
        <f>AJ39*100/$E$39</f>
        <v/>
      </c>
      <c r="AL39" s="108" t="n"/>
      <c r="AM39" s="107">
        <f>AL39*100/$E$39</f>
        <v/>
      </c>
      <c r="AN39" s="108" t="n"/>
      <c r="AO39" s="107">
        <f>AN39*100/$E$39</f>
        <v/>
      </c>
      <c r="AP39" s="108" t="n"/>
      <c r="AQ39" s="107">
        <f>AP39*100/$E$39</f>
        <v/>
      </c>
      <c r="AR39" s="108" t="n"/>
      <c r="AS39" s="107">
        <f>AR39*100/$E$39</f>
        <v/>
      </c>
      <c r="AT39" s="108" t="n"/>
      <c r="AU39" s="90">
        <f>AT39*100/$E$39</f>
        <v/>
      </c>
      <c r="AV39" s="108" t="n">
        <v>8</v>
      </c>
      <c r="AW39" s="107">
        <f>AV39*100/$E$39</f>
        <v/>
      </c>
      <c r="AX39" s="108" t="n">
        <v>8</v>
      </c>
      <c r="AY39" s="107">
        <f>AX39*100/$E$39</f>
        <v/>
      </c>
      <c r="AZ39" s="108" t="n"/>
      <c r="BA39" s="107">
        <f>AZ39*100/$E$39</f>
        <v/>
      </c>
      <c r="BB39" s="108" t="n"/>
      <c r="BC39" s="107">
        <f>BB39*100/$E$39</f>
        <v/>
      </c>
      <c r="BD39" s="108" t="n"/>
      <c r="BE39" s="107">
        <f>BD39*100/$E$39</f>
        <v/>
      </c>
      <c r="BF39" s="108" t="n"/>
      <c r="BG39" s="107">
        <f>BF39*100/$E$39</f>
        <v/>
      </c>
      <c r="BH39" s="108" t="n"/>
      <c r="BI39" s="107">
        <f>BH39*100/$E$39</f>
        <v/>
      </c>
      <c r="BJ39" s="108" t="n"/>
      <c r="BK39" s="107">
        <f>BJ39*100/$E$39</f>
        <v/>
      </c>
      <c r="BL39" s="108" t="n"/>
      <c r="BM39" s="107">
        <f>BL39*100/$E$39</f>
        <v/>
      </c>
      <c r="BN39" s="108" t="n"/>
      <c r="BO39" s="107">
        <f>BN39*100/$E$39</f>
        <v/>
      </c>
      <c r="BP39" s="108" t="n"/>
      <c r="BQ39" s="107">
        <f>BP39*100/$E$39</f>
        <v/>
      </c>
      <c r="BR39" s="108" t="n"/>
      <c r="BS39" s="107">
        <f>BR39*100/$E$39</f>
        <v/>
      </c>
      <c r="BT39" s="108" t="n">
        <v>2</v>
      </c>
      <c r="BU39" s="107">
        <f>BT39*100/$E$39</f>
        <v/>
      </c>
      <c r="BV39" s="108" t="n"/>
      <c r="BW39" s="107">
        <f>BV39*100/$E$39</f>
        <v/>
      </c>
      <c r="BX39" s="108" t="n"/>
      <c r="BY39" s="107">
        <f>BX39*100/$E$39</f>
        <v/>
      </c>
      <c r="BZ39" s="108" t="n"/>
      <c r="CA39" s="107">
        <f>BZ39*100/$E$39</f>
        <v/>
      </c>
      <c r="CB39" s="108" t="n"/>
      <c r="CC39" s="107">
        <f>CB39*100/$E$39</f>
        <v/>
      </c>
      <c r="CD39" s="108" t="n"/>
      <c r="CE39" s="107">
        <f>CD39*100/$E$39</f>
        <v/>
      </c>
      <c r="CF39" s="108" t="n"/>
      <c r="CG39" s="107">
        <f>CF39*100/$E$39</f>
        <v/>
      </c>
      <c r="CH39" s="108" t="n"/>
      <c r="CI39" s="107">
        <f>CH39*100/$E$39</f>
        <v/>
      </c>
      <c r="CJ39" s="108" t="n"/>
      <c r="CK39" s="107">
        <f>CJ39*100/$E$39</f>
        <v/>
      </c>
      <c r="CL39" s="108" t="n"/>
      <c r="CM39" s="107">
        <f>CL39*100/$E$39</f>
        <v/>
      </c>
      <c r="CN39" s="108" t="n"/>
      <c r="CO39" s="122">
        <f>CN39*100/$E$39</f>
        <v/>
      </c>
      <c r="CP39" s="108" t="n"/>
      <c r="CQ39" s="107">
        <f>CP39*100/$E$39</f>
        <v/>
      </c>
      <c r="CR39" s="108" t="n"/>
      <c r="CS39" s="122">
        <f>CR39*100/$E$39</f>
        <v/>
      </c>
      <c r="CT39" s="108" t="n"/>
      <c r="CU39" s="122">
        <f>CT39*100/$E$39</f>
        <v/>
      </c>
      <c r="CV39" s="108" t="n"/>
      <c r="CW39" s="122">
        <f>CV39*100/$E$39</f>
        <v/>
      </c>
      <c r="CX39" s="108" t="n"/>
      <c r="CY39" s="122">
        <f>CX39*100/$E$39</f>
        <v/>
      </c>
      <c r="CZ39" s="108" t="n"/>
      <c r="DA39" s="122">
        <f>CZ39*100/$E$39</f>
        <v/>
      </c>
      <c r="DB39" s="108" t="n"/>
      <c r="DC39" s="122">
        <f>DB39*100/$E$39</f>
        <v/>
      </c>
      <c r="DD39" s="108" t="n"/>
      <c r="DE39" s="122">
        <f>DD39*100/$E$39</f>
        <v/>
      </c>
      <c r="DF39" s="108" t="n"/>
      <c r="DG39" s="122">
        <f>DF39*100/$E$39</f>
        <v/>
      </c>
      <c r="DH39" s="108" t="n">
        <v>3</v>
      </c>
      <c r="DI39" s="122">
        <f>DH39*100/$E$39</f>
        <v/>
      </c>
      <c r="DJ39" s="108" t="n"/>
      <c r="DK39" s="122">
        <f>DJ39*100/$E$39</f>
        <v/>
      </c>
      <c r="DL39" s="108" t="n"/>
      <c r="DM39" s="122">
        <f>DL39*100/$E$39</f>
        <v/>
      </c>
      <c r="DN39" s="108" t="n"/>
      <c r="DO39" s="122">
        <f>DN39*100/$E$39</f>
        <v/>
      </c>
      <c r="DP39" s="108" t="n"/>
      <c r="DQ39" s="122">
        <f>DP39*100/$E$39</f>
        <v/>
      </c>
      <c r="DR39" s="108" t="n"/>
      <c r="DS39" s="122">
        <f>DR39*100/E39</f>
        <v/>
      </c>
      <c r="DT39" s="108" t="n"/>
      <c r="DU39" s="122">
        <f>DT39*100/$E$39</f>
        <v/>
      </c>
      <c r="DV39" s="108" t="n"/>
      <c r="DW39" s="122">
        <f>DV39*100/$E$39</f>
        <v/>
      </c>
      <c r="DX39" s="108" t="n"/>
      <c r="DY39" s="122">
        <f>DX39*100/$E$39</f>
        <v/>
      </c>
      <c r="DZ39" s="108" t="n"/>
      <c r="EA39" s="122">
        <f>DZ39*100/$E$39</f>
        <v/>
      </c>
      <c r="EB39" s="108" t="n"/>
      <c r="EC39" s="122">
        <f>EB39*100/$E$39</f>
        <v/>
      </c>
      <c r="ED39" s="108" t="n"/>
      <c r="EE39" s="122">
        <f>ED39*100/$E$39</f>
        <v/>
      </c>
      <c r="EF39" s="108" t="n"/>
      <c r="EG39" s="122">
        <f>EF39*100/$E$39</f>
        <v/>
      </c>
      <c r="EH39" s="108" t="n"/>
      <c r="EI39" s="122">
        <f>EH39*100/$E$39</f>
        <v/>
      </c>
      <c r="EJ39" s="108" t="n">
        <v>4</v>
      </c>
      <c r="EK39" s="122">
        <f>EJ39*100/$E$39</f>
        <v/>
      </c>
      <c r="EL39" s="108" t="n"/>
      <c r="EM39" s="122">
        <f>EL39*100/$E$39</f>
        <v/>
      </c>
      <c r="EN39" s="108" t="n"/>
      <c r="EO39" s="122">
        <f>EN39*100/$E$39</f>
        <v/>
      </c>
      <c r="EP39" s="108" t="n"/>
      <c r="EQ39" s="122">
        <f>EP39*100/$E$39</f>
        <v/>
      </c>
      <c r="ER39" s="108" t="n"/>
      <c r="ES39" s="122">
        <f>ER39*100/$E$39</f>
        <v/>
      </c>
      <c r="ET39" s="108" t="n"/>
      <c r="EU39" s="122">
        <f>ET39*100/$E$39</f>
        <v/>
      </c>
      <c r="EV39" s="108" t="n"/>
      <c r="EW39" s="122">
        <f>EV39*100/$E$39</f>
        <v/>
      </c>
      <c r="EX39" s="108" t="n"/>
      <c r="EY39" s="122">
        <f>EX39*100/$E$39</f>
        <v/>
      </c>
      <c r="EZ39" s="108" t="n"/>
      <c r="FA39" s="122">
        <f>EZ39*100/$E$39</f>
        <v/>
      </c>
      <c r="FB39" s="108" t="n"/>
      <c r="FC39" s="122">
        <f>FB39*100/$E$39</f>
        <v/>
      </c>
      <c r="FD39" s="108" t="n"/>
      <c r="FE39" s="122">
        <f>FD39*100/$E$39</f>
        <v/>
      </c>
      <c r="FF39" s="108" t="n"/>
      <c r="FG39" s="122">
        <f>FF39*100/$E$39</f>
        <v/>
      </c>
      <c r="FH39" s="108" t="n">
        <v>2</v>
      </c>
      <c r="FI39" s="122">
        <f>FH39*100/$E$39</f>
        <v/>
      </c>
      <c r="FJ39" s="108" t="n"/>
      <c r="FK39" s="122">
        <f>FJ39*100/$E$39</f>
        <v/>
      </c>
      <c r="FL39" s="108" t="n"/>
      <c r="FM39" s="122">
        <f>FL39*100/$E$39</f>
        <v/>
      </c>
      <c r="FN39" s="108" t="n"/>
      <c r="FO39" s="122">
        <f>FN39*100/$E$39</f>
        <v/>
      </c>
      <c r="FP39" s="108" t="n"/>
      <c r="FQ39" s="122">
        <f>FP39*100/E39</f>
        <v/>
      </c>
      <c r="FR39" s="108" t="n">
        <v>11</v>
      </c>
      <c r="FS39" s="122">
        <f>FR39*100/$E$39</f>
        <v/>
      </c>
      <c r="FT39" s="108" t="n"/>
      <c r="FU39" s="122">
        <f>FT39*100/$E$39</f>
        <v/>
      </c>
      <c r="FV39" s="108" t="n"/>
      <c r="FW39" s="122">
        <f>FV39*100/$E$39</f>
        <v/>
      </c>
      <c r="FX39" s="108" t="n"/>
      <c r="FY39" s="107">
        <f>FX39*100/$E$39</f>
        <v/>
      </c>
      <c r="FZ39" s="108" t="n"/>
      <c r="GA39" s="107">
        <f>FZ39*100/$E$39</f>
        <v/>
      </c>
      <c r="GB39" s="108" t="n"/>
      <c r="GC39" s="107">
        <f>GB39*100/$E$39</f>
        <v/>
      </c>
      <c r="GD39" s="108" t="n"/>
      <c r="GE39" s="107">
        <f>GD39*100/$E$39</f>
        <v/>
      </c>
      <c r="GF39" s="108" t="n">
        <v>20</v>
      </c>
      <c r="GG39" s="107">
        <f>GF39*100/$E$39</f>
        <v/>
      </c>
      <c r="GH39" s="108" t="n">
        <v>6</v>
      </c>
      <c r="GI39" s="107">
        <f>GH39*100/$E$39</f>
        <v/>
      </c>
      <c r="GJ39" s="108" t="n"/>
      <c r="GK39" s="122">
        <f>GJ39*100/$E$39</f>
        <v/>
      </c>
      <c r="GL39" s="108" t="n">
        <v>11</v>
      </c>
      <c r="GM39" s="107">
        <f>GL39*100/$E$39</f>
        <v/>
      </c>
      <c r="GN39" s="108" t="n">
        <v>8</v>
      </c>
      <c r="GO39" s="122">
        <f>GN39*100/$E$39</f>
        <v/>
      </c>
      <c r="GP39" s="108" t="n">
        <v>17</v>
      </c>
      <c r="GQ39" s="107">
        <f>GP39*100/$E$39</f>
        <v/>
      </c>
      <c r="GR39" s="108" t="n">
        <v>12</v>
      </c>
      <c r="GS39" s="122">
        <f>GR39*100/$E$39</f>
        <v/>
      </c>
      <c r="GT39" s="108" t="n"/>
      <c r="GU39" s="122">
        <f>GT39*100/$E$39</f>
        <v/>
      </c>
      <c r="GV39" s="108" t="n"/>
      <c r="GW39" s="122">
        <f>GV39*100/$E$39</f>
        <v/>
      </c>
      <c r="GX39" s="108" t="n"/>
      <c r="GY39" s="107">
        <f>GX39*100/$E$39</f>
        <v/>
      </c>
      <c r="GZ39" s="108" t="n"/>
      <c r="HA39" s="107">
        <f>GZ39*100/$E$39</f>
        <v/>
      </c>
      <c r="HB39" s="108" t="n"/>
      <c r="HC39" s="107">
        <f>HB39*100/$E$39</f>
        <v/>
      </c>
      <c r="HD39" s="108" t="n"/>
      <c r="HE39" s="107">
        <f>HD39*100/$E$39</f>
        <v/>
      </c>
      <c r="HF39" s="108" t="n"/>
      <c r="HG39" s="107">
        <f>HF39*100/$E$39</f>
        <v/>
      </c>
      <c r="HH39" s="108" t="n"/>
      <c r="HI39" s="107">
        <f>HH39*100/$E$39</f>
        <v/>
      </c>
      <c r="HJ39" s="108" t="n">
        <v>2</v>
      </c>
      <c r="HK39" s="107">
        <f>HJ39*100/$E$39</f>
        <v/>
      </c>
      <c r="HL39" s="108" t="n"/>
      <c r="HM39" s="107">
        <f>HL39*100/$E$39</f>
        <v/>
      </c>
      <c r="HN39" s="108" t="n"/>
      <c r="HO39" s="107">
        <f>HN39*100/$E$39</f>
        <v/>
      </c>
      <c r="HP39" s="108" t="n"/>
      <c r="HQ39" s="107">
        <f>HP39*100/$E$39</f>
        <v/>
      </c>
      <c r="HR39" s="108" t="n"/>
      <c r="HS39" s="107">
        <f>HR39*100/$E$39</f>
        <v/>
      </c>
      <c r="HT39" s="108" t="n"/>
      <c r="HU39" s="107">
        <f>HT39*100/$E$39</f>
        <v/>
      </c>
      <c r="HV39" s="108" t="n"/>
      <c r="HW39" s="107">
        <f>HV39*100/$E$39</f>
        <v/>
      </c>
      <c r="HX39" s="108" t="n"/>
      <c r="HY39" s="107">
        <f>HX39*100/$E$39</f>
        <v/>
      </c>
      <c r="HZ39" s="108" t="n"/>
      <c r="IA39" s="122">
        <f>HZ39*100/$E$39</f>
        <v/>
      </c>
      <c r="IB39" s="108" t="n"/>
      <c r="IC39" s="122">
        <f>IB39*100/$E$39</f>
        <v/>
      </c>
      <c r="ID39" s="108" t="n"/>
      <c r="IE39" s="122">
        <f>ID39*100/$E$39</f>
        <v/>
      </c>
      <c r="IF39" s="108" t="n"/>
      <c r="IG39" s="122">
        <f>IF39*100/$E$39</f>
        <v/>
      </c>
      <c r="IH39" s="108" t="n"/>
      <c r="II39" s="122">
        <f>IH39*100/$E$39</f>
        <v/>
      </c>
      <c r="IJ39" s="108" t="n"/>
      <c r="IK39" s="122">
        <f>IJ39*100/$E$39</f>
        <v/>
      </c>
      <c r="IL39" s="108" t="n"/>
      <c r="IM39" s="107">
        <f>IL39*100/$E$39</f>
        <v/>
      </c>
      <c r="IN39" s="108" t="n"/>
      <c r="IO39" s="107">
        <f>IN39*100/$E$39</f>
        <v/>
      </c>
      <c r="IP39" s="108" t="n"/>
      <c r="IQ39" s="122">
        <f>IP39*100/$E$39</f>
        <v/>
      </c>
      <c r="IR39" s="108" t="n"/>
      <c r="IS39" s="122">
        <f>IR39*100/$E$39</f>
        <v/>
      </c>
      <c r="IT39" s="108" t="n"/>
      <c r="IU39" s="122">
        <f>IT39*100/$E$39</f>
        <v/>
      </c>
      <c r="IV39" s="108" t="n"/>
      <c r="IW39" s="122">
        <f>IV39*100/$E$39</f>
        <v/>
      </c>
      <c r="IX39" s="108" t="n"/>
      <c r="IY39" s="122">
        <f>IX39*100/$E$39</f>
        <v/>
      </c>
      <c r="IZ39" s="108" t="n"/>
      <c r="JA39" s="122">
        <f>IZ39*100/$E$39</f>
        <v/>
      </c>
      <c r="JB39" s="108" t="n"/>
      <c r="JC39" s="122">
        <f>JB39*100/$E$39</f>
        <v/>
      </c>
      <c r="JD39" s="108" t="n"/>
      <c r="JE39" s="122">
        <f>JD39*100/$E$39</f>
        <v/>
      </c>
      <c r="JF39" s="108" t="n"/>
      <c r="JG39" s="122">
        <f>JF39*100/$E$39</f>
        <v/>
      </c>
      <c r="JH39" s="108" t="n"/>
      <c r="JI39" s="122">
        <f>JH39*100/$E$39</f>
        <v/>
      </c>
      <c r="JJ39" s="108" t="n"/>
      <c r="JK39" s="122">
        <f>JJ39*100/$E$39</f>
        <v/>
      </c>
      <c r="JL39" s="108" t="n">
        <v>2</v>
      </c>
      <c r="JM39" s="122">
        <f>JL39*100/$E$39</f>
        <v/>
      </c>
      <c r="JN39" s="108" t="n"/>
      <c r="JO39" s="121">
        <f>JN39*100/$E$39</f>
        <v/>
      </c>
      <c r="JP39" s="108" t="n"/>
      <c r="JQ39" s="121">
        <f>JP39*100/$E$39</f>
        <v/>
      </c>
      <c r="JR39" s="108" t="n"/>
      <c r="JS39" s="121">
        <f>JR39*100/$E$39</f>
        <v/>
      </c>
      <c r="JT39" s="108" t="n"/>
      <c r="JU39" s="121">
        <f>JT39*100/$E$39</f>
        <v/>
      </c>
      <c r="JV39" s="108" t="n"/>
      <c r="JW39" s="121">
        <f>JV39*100/$E$39</f>
        <v/>
      </c>
      <c r="JX39" s="108" t="n"/>
      <c r="JY39" s="121">
        <f>JX39*100/$E$39</f>
        <v/>
      </c>
      <c r="JZ39" s="55">
        <f>JN39+JP39+JR39+JT39+JV39+JX39</f>
        <v/>
      </c>
      <c r="KA39" s="53">
        <f>JO39+JQ39+JS39+JU39+JW39+JY39</f>
        <v/>
      </c>
      <c r="KB39" s="64">
        <f>H39+J39+L39+N39+P39+R39+T39+V39+X39+Z39+AB39+AD39+AF39+AH39+AJ39+AL39+AN39+AP39+AR39+AT39+AV39+AX39+AZ39+BB39+BD39+BF39+BH39+BJ39+BL39+BN39+BP39+BR39+BT39+BV39+BX39+BZ39+CB39+CD39+CF39+CH39+CZ39+DB39+DD39+DF39+DH39+DJ39+DL39+DN39+DP39+DR39+DT39+DV39+DX39+DZ39+EB39+ED39+EF39+EH39+EJ39+EL39+EN39+EP39+ER39+ET39+EV39+FN39+FP39+FR39+FT39+FV39+FX39+FZ39+GB39+GD39+GF39+GH39+GJ39+GL39+GN39+GP39+GR39+GT39+GV39+GX39+GZ39+HB39+HD39+HF39+HH39+HJ39+HL39+HN39+HP39+HR39+HT39+HV39+HX39+HZ39+IB39+ID39+IF39+IH39+IJ39+IL39+IN39+IP39+IR39+IT39+IV39+IX39+IZ39+JB39+JD39+JF39+JH39+JJ39+JL39+JZ39+CJ39+CL39+CN39+CP39+CR39+CT39+CV39+CX39+EX39+EZ39+FB39+FD39+FF39+FH39+FJ39+FL39</f>
        <v/>
      </c>
      <c r="KC39" s="66">
        <f>I39+K39+M39+O39+Q39+S39+U39+W39+Y39+AA39+AC39+AE39+AG39+AI39+AK39+AM39+AO39+AQ39+AS39+AU39+AW39+AY39+BA39+BC39+BE39+BG39+BI39+BK39+BM39+BO39+BQ39+BS39+BU39+BW39+BY39+CA39+CC39+CE39+CG39+CI39+DA39+DC39+DE39+DG39+DI39+DK39+DM39+DO39+DQ39+DS39+DU39+DW39+DY39+EA39+EC39+EE39+EG39+EI39+EK39+EM39+EO39+EQ39+ES39+EU39+EW39+FO39+FS39+FU39+FW39+FQ39+FY39+GA39+GC39+GE39+GG39+GI39+GK39+GM39+GO39+GQ39+GS39+GU39+GW39+GY39+HA39+HC39+HE39+HG39+HI39+HK39+HM39+HO39+HQ39+HS39+HU39+HW39+HY39+IA39+IC39+IE39+IG39+II39+IK39+IM39+IO39+IQ39+IS39+IU39+IW39+IY39+JA39+JC39+JE39+JG39+JI39+JK39+JM39+KA39+CK39+CM39+CO39+CQ39+CS39+CU39+CW39+CY39+EY39+FA39+FC39+FE39+FG39+FI39+FK39+FM39</f>
        <v/>
      </c>
      <c r="KD39" s="44">
        <f>JO39+JQ39+JS39+JU39+JW39+JY39</f>
        <v/>
      </c>
      <c r="KE39" s="45">
        <f>KB39=E39</f>
        <v/>
      </c>
      <c r="KF39" s="101">
        <f>E39-KB39</f>
        <v/>
      </c>
      <c r="KG39" s="15" t="n"/>
    </row>
    <row r="40" ht="21.75" customFormat="1" customHeight="1" s="25">
      <c r="A40" s="126">
        <f>A39+1</f>
        <v/>
      </c>
      <c r="B40" s="175" t="inlineStr">
        <is>
          <t>Селивановский А.К.</t>
        </is>
      </c>
      <c r="C40" s="194" t="inlineStr">
        <is>
          <t>токарь-расточник</t>
        </is>
      </c>
      <c r="D40" s="177">
        <f>$D$5</f>
        <v/>
      </c>
      <c r="E40" s="202" t="n">
        <v>159</v>
      </c>
      <c r="F40" s="193" t="n">
        <v>101150.45</v>
      </c>
      <c r="G40" s="52">
        <f>F40/D40</f>
        <v/>
      </c>
      <c r="H40" s="125" t="n">
        <v>7</v>
      </c>
      <c r="I40" s="107">
        <f>H40*100/$E$40</f>
        <v/>
      </c>
      <c r="J40" s="108" t="n"/>
      <c r="K40" s="107">
        <f>J40*100/$E$40</f>
        <v/>
      </c>
      <c r="L40" s="108" t="n"/>
      <c r="M40" s="107">
        <f>L40*100/$E$40</f>
        <v/>
      </c>
      <c r="N40" s="108" t="n"/>
      <c r="O40" s="107">
        <f>N40*100/$E$40</f>
        <v/>
      </c>
      <c r="P40" s="108" t="n">
        <v>21</v>
      </c>
      <c r="Q40" s="122">
        <f>P40*100/$E$40</f>
        <v/>
      </c>
      <c r="R40" s="108" t="n"/>
      <c r="S40" s="122">
        <f>R40*100/$E$40</f>
        <v/>
      </c>
      <c r="T40" s="108" t="n"/>
      <c r="U40" s="107">
        <f>T40*100/$E$40</f>
        <v/>
      </c>
      <c r="V40" s="108" t="n"/>
      <c r="W40" s="107">
        <f>V40*100/$E$40</f>
        <v/>
      </c>
      <c r="X40" s="108" t="n"/>
      <c r="Y40" s="107">
        <f>X40*100/$E$40</f>
        <v/>
      </c>
      <c r="Z40" s="108" t="n"/>
      <c r="AA40" s="107">
        <f>Z40*100/$E$40</f>
        <v/>
      </c>
      <c r="AB40" s="108" t="n"/>
      <c r="AC40" s="107">
        <f>AB40*100/$E$40</f>
        <v/>
      </c>
      <c r="AD40" s="108" t="n"/>
      <c r="AE40" s="122">
        <f>AD40*100/$E$40</f>
        <v/>
      </c>
      <c r="AF40" s="108" t="n"/>
      <c r="AG40" s="122">
        <f>AF40*100/$E$40</f>
        <v/>
      </c>
      <c r="AH40" s="108" t="n">
        <v>16</v>
      </c>
      <c r="AI40" s="107">
        <f>AH40*100/$E$40</f>
        <v/>
      </c>
      <c r="AJ40" s="108" t="n"/>
      <c r="AK40" s="107">
        <f>AJ40*100/$E$40</f>
        <v/>
      </c>
      <c r="AL40" s="108" t="n"/>
      <c r="AM40" s="107">
        <f>AL40*100/$E$40</f>
        <v/>
      </c>
      <c r="AN40" s="108" t="n"/>
      <c r="AO40" s="107">
        <f>AN40*100/$E$40</f>
        <v/>
      </c>
      <c r="AP40" s="108" t="n"/>
      <c r="AQ40" s="107">
        <f>AP40*100/$E$40</f>
        <v/>
      </c>
      <c r="AR40" s="108" t="n"/>
      <c r="AS40" s="107">
        <f>AR40*100/$E$40</f>
        <v/>
      </c>
      <c r="AT40" s="108" t="n"/>
      <c r="AU40" s="90">
        <f>AT40*100/$E$40</f>
        <v/>
      </c>
      <c r="AV40" s="108" t="n"/>
      <c r="AW40" s="107">
        <f>AV40*100/$E$40</f>
        <v/>
      </c>
      <c r="AX40" s="108" t="n">
        <v>4</v>
      </c>
      <c r="AY40" s="107">
        <f>AX40*100/$E$40</f>
        <v/>
      </c>
      <c r="AZ40" s="108" t="n"/>
      <c r="BA40" s="107">
        <f>AZ40*100/$E$40</f>
        <v/>
      </c>
      <c r="BB40" s="108" t="n"/>
      <c r="BC40" s="107">
        <f>BB40*100/$E$40</f>
        <v/>
      </c>
      <c r="BD40" s="108" t="n">
        <v>16</v>
      </c>
      <c r="BE40" s="107">
        <f>BD40*100/$E$40</f>
        <v/>
      </c>
      <c r="BF40" s="108" t="n"/>
      <c r="BG40" s="107">
        <f>BF40*100/$E$40</f>
        <v/>
      </c>
      <c r="BH40" s="108" t="n"/>
      <c r="BI40" s="107">
        <f>BH40*100/$E$40</f>
        <v/>
      </c>
      <c r="BJ40" s="108" t="n"/>
      <c r="BK40" s="107">
        <f>BJ40*100/$E$40</f>
        <v/>
      </c>
      <c r="BL40" s="108" t="n"/>
      <c r="BM40" s="107">
        <f>BL40*100/$E$40</f>
        <v/>
      </c>
      <c r="BN40" s="108" t="n"/>
      <c r="BO40" s="107">
        <f>BN40*100/$E$40</f>
        <v/>
      </c>
      <c r="BP40" s="108" t="n"/>
      <c r="BQ40" s="107">
        <f>BP40*100/$E$40</f>
        <v/>
      </c>
      <c r="BR40" s="108" t="n"/>
      <c r="BS40" s="107">
        <f>BR40*100/$E$40</f>
        <v/>
      </c>
      <c r="BT40" s="108" t="n">
        <v>24</v>
      </c>
      <c r="BU40" s="107">
        <f>BT40*100/$E$40</f>
        <v/>
      </c>
      <c r="BV40" s="108" t="n"/>
      <c r="BW40" s="107">
        <f>BV40*100/$E$40</f>
        <v/>
      </c>
      <c r="BX40" s="108" t="n"/>
      <c r="BY40" s="107">
        <f>BX40*100/$E$40</f>
        <v/>
      </c>
      <c r="BZ40" s="108" t="n"/>
      <c r="CA40" s="107">
        <f>BZ40*100/$E$40</f>
        <v/>
      </c>
      <c r="CB40" s="108" t="n"/>
      <c r="CC40" s="107">
        <f>CB40*100/$E$40</f>
        <v/>
      </c>
      <c r="CD40" s="108" t="n"/>
      <c r="CE40" s="107">
        <f>CD40*100/$E$40</f>
        <v/>
      </c>
      <c r="CF40" s="108" t="n"/>
      <c r="CG40" s="107">
        <f>CF40*100/$E$40</f>
        <v/>
      </c>
      <c r="CH40" s="108" t="n"/>
      <c r="CI40" s="107">
        <f>CH40*100/$E$40</f>
        <v/>
      </c>
      <c r="CJ40" s="108" t="n"/>
      <c r="CK40" s="107">
        <f>CJ40*100/$E$40</f>
        <v/>
      </c>
      <c r="CL40" s="108" t="n">
        <v>44</v>
      </c>
      <c r="CM40" s="107">
        <f>CL40*100/$E$40</f>
        <v/>
      </c>
      <c r="CN40" s="108" t="n"/>
      <c r="CO40" s="122">
        <f>CN40*100/$E$40</f>
        <v/>
      </c>
      <c r="CP40" s="108" t="n"/>
      <c r="CQ40" s="107">
        <f>CP40*100/$E$40</f>
        <v/>
      </c>
      <c r="CR40" s="108" t="n"/>
      <c r="CS40" s="122">
        <f>CR40*100/$E$40</f>
        <v/>
      </c>
      <c r="CT40" s="108" t="n"/>
      <c r="CU40" s="122">
        <f>CT40*100/$E$40</f>
        <v/>
      </c>
      <c r="CV40" s="108" t="n"/>
      <c r="CW40" s="122">
        <f>CV40*100/$E$40</f>
        <v/>
      </c>
      <c r="CX40" s="108" t="n"/>
      <c r="CY40" s="122">
        <f>CX40*100/$E$40</f>
        <v/>
      </c>
      <c r="CZ40" s="108" t="n"/>
      <c r="DA40" s="122">
        <f>CZ40*100/$E$40</f>
        <v/>
      </c>
      <c r="DB40" s="108" t="n"/>
      <c r="DC40" s="122">
        <f>DB40*100/$E$40</f>
        <v/>
      </c>
      <c r="DD40" s="108" t="n"/>
      <c r="DE40" s="122">
        <f>DD40*100/$E$40</f>
        <v/>
      </c>
      <c r="DF40" s="108" t="n"/>
      <c r="DG40" s="122">
        <f>DF40*100/$E$40</f>
        <v/>
      </c>
      <c r="DH40" s="108" t="n"/>
      <c r="DI40" s="122">
        <f>DH40*100/$E$40</f>
        <v/>
      </c>
      <c r="DJ40" s="108" t="n"/>
      <c r="DK40" s="122">
        <f>DJ40*100/$E$40</f>
        <v/>
      </c>
      <c r="DL40" s="108" t="n"/>
      <c r="DM40" s="122">
        <f>DL40*100/$E$40</f>
        <v/>
      </c>
      <c r="DN40" s="108" t="n"/>
      <c r="DO40" s="122">
        <f>DN40*100/$E$40</f>
        <v/>
      </c>
      <c r="DP40" s="108" t="n"/>
      <c r="DQ40" s="122">
        <f>DP40*100/$E$40</f>
        <v/>
      </c>
      <c r="DR40" s="108" t="n">
        <v>2</v>
      </c>
      <c r="DS40" s="122">
        <f>DR40*100/$E$40</f>
        <v/>
      </c>
      <c r="DT40" s="108" t="n"/>
      <c r="DU40" s="122">
        <f>DT40*100/$E$40</f>
        <v/>
      </c>
      <c r="DV40" s="108" t="n"/>
      <c r="DW40" s="122">
        <f>DV40*100/$E$40</f>
        <v/>
      </c>
      <c r="DX40" s="108" t="n"/>
      <c r="DY40" s="122">
        <f>DX40*100/$E$40</f>
        <v/>
      </c>
      <c r="DZ40" s="108" t="n">
        <v>4</v>
      </c>
      <c r="EA40" s="122">
        <f>DZ40*100/$E$40</f>
        <v/>
      </c>
      <c r="EB40" s="108" t="n"/>
      <c r="EC40" s="122">
        <f>EB40*100/$E$40</f>
        <v/>
      </c>
      <c r="ED40" s="108" t="n"/>
      <c r="EE40" s="122">
        <f>ED40*100/$E$40</f>
        <v/>
      </c>
      <c r="EF40" s="108" t="n"/>
      <c r="EG40" s="122">
        <f>EF40*100/$E$40</f>
        <v/>
      </c>
      <c r="EH40" s="108" t="n"/>
      <c r="EI40" s="122">
        <f>EH40*100/$E$40</f>
        <v/>
      </c>
      <c r="EJ40" s="108" t="n"/>
      <c r="EK40" s="122">
        <f>EJ40*100/$E$40</f>
        <v/>
      </c>
      <c r="EL40" s="108" t="n"/>
      <c r="EM40" s="122">
        <f>EL40*100/$E$40</f>
        <v/>
      </c>
      <c r="EN40" s="108" t="n"/>
      <c r="EO40" s="122">
        <f>EN40*100/$E$40</f>
        <v/>
      </c>
      <c r="EP40" s="108" t="n"/>
      <c r="EQ40" s="122">
        <f>EP40*100/$E$40</f>
        <v/>
      </c>
      <c r="ER40" s="108" t="n"/>
      <c r="ES40" s="122">
        <f>ER40*100/$E$40</f>
        <v/>
      </c>
      <c r="ET40" s="108" t="n"/>
      <c r="EU40" s="122">
        <f>ET40*100/$E$40</f>
        <v/>
      </c>
      <c r="EV40" s="108" t="n"/>
      <c r="EW40" s="122">
        <f>EV40*100/$E$40</f>
        <v/>
      </c>
      <c r="EX40" s="108" t="n"/>
      <c r="EY40" s="122">
        <f>EX40*100/$E$40</f>
        <v/>
      </c>
      <c r="EZ40" s="108" t="n"/>
      <c r="FA40" s="122">
        <f>EZ40*100/$E$40</f>
        <v/>
      </c>
      <c r="FB40" s="108" t="n"/>
      <c r="FC40" s="122">
        <f>FB40*100/$E$40</f>
        <v/>
      </c>
      <c r="FD40" s="108" t="n"/>
      <c r="FE40" s="122">
        <f>FD40*100/$E$40</f>
        <v/>
      </c>
      <c r="FF40" s="108" t="n"/>
      <c r="FG40" s="122">
        <f>FF40*100/$E$40</f>
        <v/>
      </c>
      <c r="FH40" s="108" t="n"/>
      <c r="FI40" s="122">
        <f>FH40*100/$E$40</f>
        <v/>
      </c>
      <c r="FJ40" s="108" t="n"/>
      <c r="FK40" s="122">
        <f>FJ40*100/$E$40</f>
        <v/>
      </c>
      <c r="FL40" s="108" t="n"/>
      <c r="FM40" s="122">
        <f>FL40*100/$E$40</f>
        <v/>
      </c>
      <c r="FN40" s="108" t="n"/>
      <c r="FO40" s="122">
        <f>FN40*100/$E$40</f>
        <v/>
      </c>
      <c r="FP40" s="108" t="n"/>
      <c r="FQ40" s="122">
        <f>FP40*100/$E$40</f>
        <v/>
      </c>
      <c r="FR40" s="108" t="n"/>
      <c r="FS40" s="122">
        <f>FR40*100/$E$40</f>
        <v/>
      </c>
      <c r="FT40" s="108" t="n">
        <v>1</v>
      </c>
      <c r="FU40" s="122">
        <f>FT40*100/$E$40</f>
        <v/>
      </c>
      <c r="FV40" s="108" t="n"/>
      <c r="FW40" s="122">
        <f>FV40*100/$E$40</f>
        <v/>
      </c>
      <c r="FX40" s="108" t="n"/>
      <c r="FY40" s="107">
        <f>FX40*100/$E$40</f>
        <v/>
      </c>
      <c r="FZ40" s="108" t="n"/>
      <c r="GA40" s="107">
        <f>FZ40*100/$E$40</f>
        <v/>
      </c>
      <c r="GB40" s="108" t="n"/>
      <c r="GC40" s="107">
        <f>GB40*100/$E$40</f>
        <v/>
      </c>
      <c r="GD40" s="108" t="n">
        <v>10</v>
      </c>
      <c r="GE40" s="107">
        <f>GD40*100/$E$40</f>
        <v/>
      </c>
      <c r="GF40" s="108" t="n"/>
      <c r="GG40" s="107">
        <f>GF40*100/$E$40</f>
        <v/>
      </c>
      <c r="GH40" s="108" t="n"/>
      <c r="GI40" s="107">
        <f>GH40*100/$E$40</f>
        <v/>
      </c>
      <c r="GJ40" s="108" t="n"/>
      <c r="GK40" s="122">
        <f>GJ40*100/$E$40</f>
        <v/>
      </c>
      <c r="GL40" s="108" t="n"/>
      <c r="GM40" s="107">
        <f>GL40*100/$E$40</f>
        <v/>
      </c>
      <c r="GN40" s="108" t="n"/>
      <c r="GO40" s="122">
        <f>GN40*100/$E$40</f>
        <v/>
      </c>
      <c r="GP40" s="108" t="n"/>
      <c r="GQ40" s="107">
        <f>GP40*100/$E$40</f>
        <v/>
      </c>
      <c r="GR40" s="108" t="n"/>
      <c r="GS40" s="122">
        <f>GR40*100/$E$40</f>
        <v/>
      </c>
      <c r="GT40" s="108" t="n"/>
      <c r="GU40" s="122">
        <f>GT40*100/$E$40</f>
        <v/>
      </c>
      <c r="GV40" s="108" t="n"/>
      <c r="GW40" s="122">
        <f>GV40*100/$E$40</f>
        <v/>
      </c>
      <c r="GX40" s="108" t="n"/>
      <c r="GY40" s="107">
        <f>GX40*100/$E$40</f>
        <v/>
      </c>
      <c r="GZ40" s="108" t="n">
        <v>1</v>
      </c>
      <c r="HA40" s="107">
        <f>GZ40*100/$E$40</f>
        <v/>
      </c>
      <c r="HB40" s="108" t="n"/>
      <c r="HC40" s="107">
        <f>HB40*100/$E$40</f>
        <v/>
      </c>
      <c r="HD40" s="108" t="n"/>
      <c r="HE40" s="107">
        <f>HD40*100/$E$40</f>
        <v/>
      </c>
      <c r="HF40" s="108" t="n"/>
      <c r="HG40" s="107">
        <f>HF40*100/$E$40</f>
        <v/>
      </c>
      <c r="HH40" s="108" t="n">
        <v>4</v>
      </c>
      <c r="HI40" s="107">
        <f>HH40*100/$E$40</f>
        <v/>
      </c>
      <c r="HJ40" s="108" t="n"/>
      <c r="HK40" s="107">
        <f>HJ40*100/$E$40</f>
        <v/>
      </c>
      <c r="HL40" s="108" t="n"/>
      <c r="HM40" s="107">
        <f>HL40*100/$E$40</f>
        <v/>
      </c>
      <c r="HN40" s="108" t="n"/>
      <c r="HO40" s="107">
        <f>HN40*100/$E$40</f>
        <v/>
      </c>
      <c r="HP40" s="108" t="n"/>
      <c r="HQ40" s="107">
        <f>HP40*100/$E$40</f>
        <v/>
      </c>
      <c r="HR40" s="108" t="n"/>
      <c r="HS40" s="107">
        <f>HR40*100/$E$40</f>
        <v/>
      </c>
      <c r="HT40" s="108" t="n"/>
      <c r="HU40" s="107">
        <f>HT40*100/$E$40</f>
        <v/>
      </c>
      <c r="HV40" s="108" t="n"/>
      <c r="HW40" s="107">
        <f>HV40*100/$E$40</f>
        <v/>
      </c>
      <c r="HX40" s="108" t="n"/>
      <c r="HY40" s="107">
        <f>HX40*100/$E$40</f>
        <v/>
      </c>
      <c r="HZ40" s="108" t="n"/>
      <c r="IA40" s="122">
        <f>HZ40*100/$E$40</f>
        <v/>
      </c>
      <c r="IB40" s="108" t="n"/>
      <c r="IC40" s="122">
        <f>IB40*100/$E$40</f>
        <v/>
      </c>
      <c r="ID40" s="108" t="n"/>
      <c r="IE40" s="122">
        <f>ID40*100/$E$40</f>
        <v/>
      </c>
      <c r="IF40" s="108" t="n"/>
      <c r="IG40" s="122">
        <f>IF40*100/$E$40</f>
        <v/>
      </c>
      <c r="IH40" s="108" t="n"/>
      <c r="II40" s="122">
        <f>IH40*100/$E$40</f>
        <v/>
      </c>
      <c r="IJ40" s="108" t="n"/>
      <c r="IK40" s="122">
        <f>IJ40*100/$E$40</f>
        <v/>
      </c>
      <c r="IL40" s="108" t="n"/>
      <c r="IM40" s="107">
        <f>IL40*100/$E$40</f>
        <v/>
      </c>
      <c r="IN40" s="108" t="n"/>
      <c r="IO40" s="107">
        <f>IN40*100/$E$40</f>
        <v/>
      </c>
      <c r="IP40" s="108" t="n"/>
      <c r="IQ40" s="122">
        <f>IP40*100/$E$40</f>
        <v/>
      </c>
      <c r="IR40" s="108" t="n"/>
      <c r="IS40" s="122">
        <f>IR40*100/$E$40</f>
        <v/>
      </c>
      <c r="IT40" s="108" t="n"/>
      <c r="IU40" s="122">
        <f>IT40*100/$E$40</f>
        <v/>
      </c>
      <c r="IV40" s="108" t="n"/>
      <c r="IW40" s="122">
        <f>IV40*100/$E$40</f>
        <v/>
      </c>
      <c r="IX40" s="108" t="n"/>
      <c r="IY40" s="122">
        <f>IX40*100/$E$40</f>
        <v/>
      </c>
      <c r="IZ40" s="108" t="n"/>
      <c r="JA40" s="122">
        <f>IZ40*100/$E$40</f>
        <v/>
      </c>
      <c r="JB40" s="108" t="n"/>
      <c r="JC40" s="122">
        <f>JB40*100/$E$40</f>
        <v/>
      </c>
      <c r="JD40" s="108" t="n"/>
      <c r="JE40" s="122">
        <f>JD40*100/$E$40</f>
        <v/>
      </c>
      <c r="JF40" s="108" t="n"/>
      <c r="JG40" s="122">
        <f>JF40*100/$E$40</f>
        <v/>
      </c>
      <c r="JH40" s="108" t="n"/>
      <c r="JI40" s="122">
        <f>JH40*100/$E$40</f>
        <v/>
      </c>
      <c r="JJ40" s="108" t="n"/>
      <c r="JK40" s="122">
        <f>JJ40*100/$E$40</f>
        <v/>
      </c>
      <c r="JL40" s="108" t="n">
        <v>5</v>
      </c>
      <c r="JM40" s="122">
        <f>JL40*100/$E$40</f>
        <v/>
      </c>
      <c r="JN40" s="108" t="n"/>
      <c r="JO40" s="121">
        <f>JN40*100/$E$40</f>
        <v/>
      </c>
      <c r="JP40" s="108" t="n"/>
      <c r="JQ40" s="121">
        <f>JP40*100/$E$40</f>
        <v/>
      </c>
      <c r="JR40" s="108" t="n"/>
      <c r="JS40" s="121">
        <f>JR40*100/$E$40</f>
        <v/>
      </c>
      <c r="JT40" s="108" t="n"/>
      <c r="JU40" s="121">
        <f>JT40*100/$E$40</f>
        <v/>
      </c>
      <c r="JV40" s="108" t="n"/>
      <c r="JW40" s="121">
        <f>JV40*100/$E$40</f>
        <v/>
      </c>
      <c r="JX40" s="108" t="n"/>
      <c r="JY40" s="121">
        <f>JX40*100/$E$40</f>
        <v/>
      </c>
      <c r="JZ40" s="55">
        <f>JN40+JP40+JR40+JT40+JV40+JX40</f>
        <v/>
      </c>
      <c r="KA40" s="53">
        <f>JO40+JQ40+JS40+JU40+JW40+JY40</f>
        <v/>
      </c>
      <c r="KB40" s="64">
        <f>H40+J40+L40+N40+P40+R40+T40+V40+X40+Z40+AB40+AD40+AF40+AH40+AJ40+AL40+AN40+AP40+AR40+AT40+AV40+AX40+AZ40+BB40+BD40+BF40+BH40+BJ40+BL40+BN40+BP40+BR40+BT40+BV40+BX40+BZ40+CB40+CD40+CF40+CH40+CZ40+DB40+DD40+DF40+DH40+DJ40+DL40+DN40+DP40+DR40+DT40+DV40+DX40+DZ40+EB40+ED40+EF40+EH40+EJ40+EL40+EN40+EP40+ER40+ET40+EV40+FN40+FP40+FR40+FT40+FV40+FX40+FZ40+GB40+GD40+GF40+GH40+GJ40+GL40+GN40+GP40+GR40+GT40+GV40+GX40+GZ40+HB40+HD40+HF40+HH40+HJ40+HL40+HN40+HP40+HR40+HT40+HV40+HX40+HZ40+IB40+ID40+IF40+IH40+IJ40+IL40+IN40+IP40+IR40+IT40+IV40+IX40+IZ40+JB40+JD40+JF40+JH40+JJ40+JL40+JZ40+CJ40+CL40+CN40+CP40+CR40+CT40+CV40+CX40+EX40+EZ40+FB40+FD40+FF40+FH40+FJ40+FL40</f>
        <v/>
      </c>
      <c r="KC40" s="66">
        <f>I40+K40+M40+O40+Q40+S40+U40+W40+Y40+AA40+AC40+AE40+AG40+AI40+AK40+AM40+AO40+AQ40+AS40+AU40+AW40+AY40+BA40+BC40+BE40+BG40+BI40+BK40+BM40+BO40+BQ40+BS40+BU40+BW40+BY40+CA40+CC40+CE40+CG40+CI40+DA40+DC40+DE40+DG40+DI40+DK40+DM40+DO40+DQ40+DS40+DU40+DW40+DY40+EA40+EC40+EE40+EG40+EI40+EK40+EM40+EO40+EQ40+ES40+EU40+EW40+FO40+FS40+FU40+FW40+FQ40+FY40+GA40+GC40+GE40+GG40+GI40+GK40+GM40+GO40+GQ40+GS40+GU40+GW40+GY40+HA40+HC40+HE40+HG40+HI40+HK40+HM40+HO40+HQ40+HS40+HU40+HW40+HY40+IA40+IC40+IE40+IG40+II40+IK40+IM40+IO40+IQ40+IS40+IU40+IW40+IY40+JA40+JC40+JE40+JG40+JI40+JK40+JM40+KA40+CK40+CM40+CO40+CQ40+CS40+CU40+CW40+CY40+EY40+FA40+FC40+FE40+FG40+FI40+FK40+FM40</f>
        <v/>
      </c>
      <c r="KD40" s="44">
        <f>JO40+JQ40+JS40+JU40+JW40+JY40</f>
        <v/>
      </c>
      <c r="KE40" s="45">
        <f>KB40=E40</f>
        <v/>
      </c>
      <c r="KF40" s="101">
        <f>E40-KB40</f>
        <v/>
      </c>
      <c r="KG40" s="17" t="n"/>
    </row>
    <row r="41" ht="21.75" customFormat="1" customHeight="1" s="17">
      <c r="A41" s="126">
        <f>A40+1</f>
        <v/>
      </c>
      <c r="B41" s="175" t="inlineStr">
        <is>
          <t>Серебреннников Е.В.</t>
        </is>
      </c>
      <c r="C41" s="176" t="inlineStr">
        <is>
          <t>слесарь МСР</t>
        </is>
      </c>
      <c r="D41" s="177">
        <f>$D$5</f>
        <v/>
      </c>
      <c r="E41" s="202" t="n"/>
      <c r="F41" s="193" t="n">
        <v>55770</v>
      </c>
      <c r="G41" s="52">
        <f>F41/D41</f>
        <v/>
      </c>
      <c r="H41" s="125" t="n"/>
      <c r="I41" s="107">
        <f>H41*100/$E$41</f>
        <v/>
      </c>
      <c r="J41" s="108" t="n"/>
      <c r="K41" s="107">
        <f>J41*100/$E$41</f>
        <v/>
      </c>
      <c r="L41" s="108" t="n"/>
      <c r="M41" s="107">
        <f>L41*100/$E$41</f>
        <v/>
      </c>
      <c r="N41" s="108" t="n"/>
      <c r="O41" s="107">
        <f>N41*100/$E$41</f>
        <v/>
      </c>
      <c r="P41" s="108" t="n"/>
      <c r="Q41" s="122">
        <f>P41*100/$E$41</f>
        <v/>
      </c>
      <c r="R41" s="108" t="n"/>
      <c r="S41" s="122">
        <f>R41*100/$E$41</f>
        <v/>
      </c>
      <c r="T41" s="108" t="n"/>
      <c r="U41" s="107">
        <f>T41*100/$E$41</f>
        <v/>
      </c>
      <c r="V41" s="108" t="n"/>
      <c r="W41" s="107">
        <f>V41*100/$E$41</f>
        <v/>
      </c>
      <c r="X41" s="108" t="n"/>
      <c r="Y41" s="107">
        <f>X41*100/$E$41</f>
        <v/>
      </c>
      <c r="Z41" s="108" t="n"/>
      <c r="AA41" s="107">
        <f>Z41*100/$E$41</f>
        <v/>
      </c>
      <c r="AB41" s="108" t="n"/>
      <c r="AC41" s="107">
        <f>AB41*100/$E$41</f>
        <v/>
      </c>
      <c r="AD41" s="108" t="n"/>
      <c r="AE41" s="122">
        <f>AD41*100/$E$41</f>
        <v/>
      </c>
      <c r="AF41" s="108" t="n"/>
      <c r="AG41" s="122">
        <f>AF41*100/$E$41</f>
        <v/>
      </c>
      <c r="AH41" s="108" t="n"/>
      <c r="AI41" s="107">
        <f>AH41*100/$E$41</f>
        <v/>
      </c>
      <c r="AJ41" s="108" t="n"/>
      <c r="AK41" s="107">
        <f>AJ41*100/$E$41</f>
        <v/>
      </c>
      <c r="AL41" s="108" t="n"/>
      <c r="AM41" s="107">
        <f>AL41*100/$E$41</f>
        <v/>
      </c>
      <c r="AN41" s="108" t="n"/>
      <c r="AO41" s="107">
        <f>AN41*100/$E$41</f>
        <v/>
      </c>
      <c r="AP41" s="108" t="n"/>
      <c r="AQ41" s="107">
        <f>AP41*100/$E$41</f>
        <v/>
      </c>
      <c r="AR41" s="108" t="n"/>
      <c r="AS41" s="107">
        <f>AR41*100/$E$41</f>
        <v/>
      </c>
      <c r="AT41" s="108" t="n"/>
      <c r="AU41" s="90">
        <f>AT41*100/$E$41</f>
        <v/>
      </c>
      <c r="AV41" s="108" t="n"/>
      <c r="AW41" s="107">
        <f>AV41*100/$E$41</f>
        <v/>
      </c>
      <c r="AX41" s="108" t="n"/>
      <c r="AY41" s="107">
        <f>AX41*100/$E$41</f>
        <v/>
      </c>
      <c r="AZ41" s="108" t="n"/>
      <c r="BA41" s="107">
        <f>AZ41*100/$E$41</f>
        <v/>
      </c>
      <c r="BB41" s="108" t="n"/>
      <c r="BC41" s="107">
        <f>BB41*100/$E$41</f>
        <v/>
      </c>
      <c r="BD41" s="108" t="n"/>
      <c r="BE41" s="107">
        <f>BD41*100/$E$41</f>
        <v/>
      </c>
      <c r="BF41" s="108" t="n"/>
      <c r="BG41" s="107">
        <f>BF41*100/$E$41</f>
        <v/>
      </c>
      <c r="BH41" s="108" t="n"/>
      <c r="BI41" s="107">
        <f>BH41*100/$E$41</f>
        <v/>
      </c>
      <c r="BJ41" s="108" t="n"/>
      <c r="BK41" s="107">
        <f>BJ41*100/$E$41</f>
        <v/>
      </c>
      <c r="BL41" s="108" t="n"/>
      <c r="BM41" s="107">
        <f>BL41*100/$E$41</f>
        <v/>
      </c>
      <c r="BN41" s="108" t="n"/>
      <c r="BO41" s="107">
        <f>BN41*100/$E$41</f>
        <v/>
      </c>
      <c r="BP41" s="108" t="n"/>
      <c r="BQ41" s="107">
        <f>BP41*100/$E$41</f>
        <v/>
      </c>
      <c r="BR41" s="108" t="n"/>
      <c r="BS41" s="107">
        <f>BR41*100/$E$41</f>
        <v/>
      </c>
      <c r="BT41" s="108" t="n"/>
      <c r="BU41" s="107">
        <f>BT41*100/$E$41</f>
        <v/>
      </c>
      <c r="BV41" s="108" t="n"/>
      <c r="BW41" s="107">
        <f>BV41*100/$E$41</f>
        <v/>
      </c>
      <c r="BX41" s="108" t="n"/>
      <c r="BY41" s="107">
        <f>BX41*100/$E$41</f>
        <v/>
      </c>
      <c r="BZ41" s="108" t="n"/>
      <c r="CA41" s="107">
        <f>BZ41*100/$E$41</f>
        <v/>
      </c>
      <c r="CB41" s="108" t="n"/>
      <c r="CC41" s="107">
        <f>CB41*100/$E$41</f>
        <v/>
      </c>
      <c r="CD41" s="108" t="n"/>
      <c r="CE41" s="107">
        <f>CD41*100/$E$41</f>
        <v/>
      </c>
      <c r="CF41" s="108" t="n"/>
      <c r="CG41" s="107">
        <f>CF41*100/$E$41</f>
        <v/>
      </c>
      <c r="CH41" s="108" t="n"/>
      <c r="CI41" s="107">
        <f>CH41*100/$E$41</f>
        <v/>
      </c>
      <c r="CJ41" s="108" t="n"/>
      <c r="CK41" s="107">
        <f>CJ41*100/$E$41</f>
        <v/>
      </c>
      <c r="CL41" s="108" t="n"/>
      <c r="CM41" s="107">
        <f>CL41*100/$E$41</f>
        <v/>
      </c>
      <c r="CN41" s="108" t="n"/>
      <c r="CO41" s="122">
        <f>CN41*100/$E$41</f>
        <v/>
      </c>
      <c r="CP41" s="108" t="n"/>
      <c r="CQ41" s="107">
        <f>CP41*100/$E$41</f>
        <v/>
      </c>
      <c r="CR41" s="108" t="n"/>
      <c r="CS41" s="122">
        <f>CR41*100/$E$41</f>
        <v/>
      </c>
      <c r="CT41" s="108" t="n"/>
      <c r="CU41" s="122">
        <f>CT41*100/$E$41</f>
        <v/>
      </c>
      <c r="CV41" s="108" t="n"/>
      <c r="CW41" s="122">
        <f>CV41*100/$E$41</f>
        <v/>
      </c>
      <c r="CX41" s="108" t="n"/>
      <c r="CY41" s="122">
        <f>CX41*100/$E$41</f>
        <v/>
      </c>
      <c r="CZ41" s="108" t="n"/>
      <c r="DA41" s="122">
        <f>CZ41*100/$E$41</f>
        <v/>
      </c>
      <c r="DB41" s="108" t="n"/>
      <c r="DC41" s="122">
        <f>DB41*100/$E$41</f>
        <v/>
      </c>
      <c r="DD41" s="108" t="n"/>
      <c r="DE41" s="122">
        <f>DD41*100/$E$41</f>
        <v/>
      </c>
      <c r="DF41" s="108" t="n"/>
      <c r="DG41" s="122">
        <f>DF41*100/$E$41</f>
        <v/>
      </c>
      <c r="DH41" s="108" t="n"/>
      <c r="DI41" s="122">
        <f>DH41*100/$E$41</f>
        <v/>
      </c>
      <c r="DJ41" s="108" t="n"/>
      <c r="DK41" s="122">
        <f>DJ41*100/$E$41</f>
        <v/>
      </c>
      <c r="DL41" s="108" t="n"/>
      <c r="DM41" s="122">
        <f>DL41*100/$E$41</f>
        <v/>
      </c>
      <c r="DN41" s="108" t="n"/>
      <c r="DO41" s="122">
        <f>DN41*100/$E$41</f>
        <v/>
      </c>
      <c r="DP41" s="108" t="n"/>
      <c r="DQ41" s="122">
        <f>DP41*100/$E$41</f>
        <v/>
      </c>
      <c r="DR41" s="108" t="n"/>
      <c r="DS41" s="122">
        <f>DR41*100/$E$41</f>
        <v/>
      </c>
      <c r="DT41" s="108" t="n"/>
      <c r="DU41" s="122">
        <f>DT41*100/$E$41</f>
        <v/>
      </c>
      <c r="DV41" s="108" t="n"/>
      <c r="DW41" s="122">
        <f>DV41*100/$E$41</f>
        <v/>
      </c>
      <c r="DX41" s="108" t="n"/>
      <c r="DY41" s="122">
        <f>DX41*100/$E$41</f>
        <v/>
      </c>
      <c r="DZ41" s="108" t="n"/>
      <c r="EA41" s="122">
        <f>DZ41*100/$E$41</f>
        <v/>
      </c>
      <c r="EB41" s="108" t="n"/>
      <c r="EC41" s="122">
        <f>EB41*100/$E$41</f>
        <v/>
      </c>
      <c r="ED41" s="108" t="n"/>
      <c r="EE41" s="122">
        <f>ED41*100/$E$41</f>
        <v/>
      </c>
      <c r="EF41" s="108" t="n"/>
      <c r="EG41" s="122">
        <f>EF41*100/$E$41</f>
        <v/>
      </c>
      <c r="EH41" s="108" t="n"/>
      <c r="EI41" s="122">
        <f>EH41*100/$E$41</f>
        <v/>
      </c>
      <c r="EJ41" s="108" t="n"/>
      <c r="EK41" s="122">
        <f>EJ41*100/$E$41</f>
        <v/>
      </c>
      <c r="EL41" s="108" t="n"/>
      <c r="EM41" s="122">
        <f>EL41*100/$E$41</f>
        <v/>
      </c>
      <c r="EN41" s="108" t="n"/>
      <c r="EO41" s="122">
        <f>EN41*100/$E$41</f>
        <v/>
      </c>
      <c r="EP41" s="108" t="n"/>
      <c r="EQ41" s="122">
        <f>EP41*100/$E$41</f>
        <v/>
      </c>
      <c r="ER41" s="108" t="n"/>
      <c r="ES41" s="122">
        <f>ER41*100/$E$41</f>
        <v/>
      </c>
      <c r="ET41" s="108" t="n"/>
      <c r="EU41" s="122">
        <f>ET41*100/$E$41</f>
        <v/>
      </c>
      <c r="EV41" s="108" t="n"/>
      <c r="EW41" s="122">
        <f>EV41*100/$E$41</f>
        <v/>
      </c>
      <c r="EX41" s="108" t="n"/>
      <c r="EY41" s="122">
        <f>EX41*100/$E$41</f>
        <v/>
      </c>
      <c r="EZ41" s="108" t="n"/>
      <c r="FA41" s="122">
        <f>EZ41*100/$E$41</f>
        <v/>
      </c>
      <c r="FB41" s="108" t="n"/>
      <c r="FC41" s="122">
        <f>FB41*100/$E$41</f>
        <v/>
      </c>
      <c r="FD41" s="108" t="n"/>
      <c r="FE41" s="122">
        <f>FD41*100/$E$41</f>
        <v/>
      </c>
      <c r="FF41" s="108" t="n"/>
      <c r="FG41" s="122">
        <f>FF41*100/$E$41</f>
        <v/>
      </c>
      <c r="FH41" s="108" t="n"/>
      <c r="FI41" s="122">
        <f>FH41*100/$E$41</f>
        <v/>
      </c>
      <c r="FJ41" s="108" t="n"/>
      <c r="FK41" s="122">
        <f>FJ41*100/$E$41</f>
        <v/>
      </c>
      <c r="FL41" s="108" t="n"/>
      <c r="FM41" s="122">
        <f>FL41*100/$E$41</f>
        <v/>
      </c>
      <c r="FN41" s="108" t="n"/>
      <c r="FO41" s="122">
        <f>FN41*100/$E$41</f>
        <v/>
      </c>
      <c r="FP41" s="108" t="n"/>
      <c r="FQ41" s="122">
        <f>FP41*100/$E$41</f>
        <v/>
      </c>
      <c r="FR41" s="108" t="n"/>
      <c r="FS41" s="122">
        <f>FR41*100/$E$41</f>
        <v/>
      </c>
      <c r="FT41" s="108" t="n"/>
      <c r="FU41" s="122">
        <f>FT41*100/$E$41</f>
        <v/>
      </c>
      <c r="FV41" s="108" t="n"/>
      <c r="FW41" s="122">
        <f>FV41*100/$E$41</f>
        <v/>
      </c>
      <c r="FX41" s="108" t="n"/>
      <c r="FY41" s="107">
        <f>FX41*100/$E$41</f>
        <v/>
      </c>
      <c r="FZ41" s="108" t="n"/>
      <c r="GA41" s="107">
        <f>FZ41*100/$E$41</f>
        <v/>
      </c>
      <c r="GB41" s="108" t="n"/>
      <c r="GC41" s="107">
        <f>GB41*100/$E$41</f>
        <v/>
      </c>
      <c r="GD41" s="108" t="n"/>
      <c r="GE41" s="107">
        <f>GD41*100/$E$41</f>
        <v/>
      </c>
      <c r="GF41" s="108" t="n"/>
      <c r="GG41" s="107">
        <f>GF41*100/$E$41</f>
        <v/>
      </c>
      <c r="GH41" s="108" t="n"/>
      <c r="GI41" s="107">
        <f>GH41*100/$E$41</f>
        <v/>
      </c>
      <c r="GJ41" s="108" t="n"/>
      <c r="GK41" s="122">
        <f>GJ41*100/$E$41</f>
        <v/>
      </c>
      <c r="GL41" s="108" t="n"/>
      <c r="GM41" s="107">
        <f>GL41*100/$E$41</f>
        <v/>
      </c>
      <c r="GN41" s="108" t="n"/>
      <c r="GO41" s="122">
        <f>GN41*100/$E$41</f>
        <v/>
      </c>
      <c r="GP41" s="108" t="n"/>
      <c r="GQ41" s="107">
        <f>GP41*100/$E$41</f>
        <v/>
      </c>
      <c r="GR41" s="108" t="n"/>
      <c r="GS41" s="122">
        <f>GR41*100/$E$41</f>
        <v/>
      </c>
      <c r="GT41" s="108" t="n"/>
      <c r="GU41" s="122">
        <f>GT41*100/$E$41</f>
        <v/>
      </c>
      <c r="GV41" s="108" t="n"/>
      <c r="GW41" s="122">
        <f>GV41*100/$E$41</f>
        <v/>
      </c>
      <c r="GX41" s="108" t="n"/>
      <c r="GY41" s="107">
        <f>GX41*100/$E$41</f>
        <v/>
      </c>
      <c r="GZ41" s="108" t="n"/>
      <c r="HA41" s="107">
        <f>GZ41*100/$E$41</f>
        <v/>
      </c>
      <c r="HB41" s="108" t="n"/>
      <c r="HC41" s="107">
        <f>HB41*100/$E$41</f>
        <v/>
      </c>
      <c r="HD41" s="108" t="n"/>
      <c r="HE41" s="107">
        <f>HD41*100/$E$41</f>
        <v/>
      </c>
      <c r="HF41" s="108" t="n"/>
      <c r="HG41" s="107">
        <f>HF41*100/$E$41</f>
        <v/>
      </c>
      <c r="HH41" s="108" t="n"/>
      <c r="HI41" s="107">
        <f>HH41*100/$E$41</f>
        <v/>
      </c>
      <c r="HJ41" s="108" t="n"/>
      <c r="HK41" s="107">
        <f>HJ41*100/$E$41</f>
        <v/>
      </c>
      <c r="HL41" s="108" t="n"/>
      <c r="HM41" s="107">
        <f>HL41*100/$E$41</f>
        <v/>
      </c>
      <c r="HN41" s="108" t="n"/>
      <c r="HO41" s="107">
        <f>HN41*100/$E$41</f>
        <v/>
      </c>
      <c r="HP41" s="108" t="n"/>
      <c r="HQ41" s="107">
        <f>HP41*100/$E$41</f>
        <v/>
      </c>
      <c r="HR41" s="108" t="n"/>
      <c r="HS41" s="107">
        <f>HR41*100/$E$41</f>
        <v/>
      </c>
      <c r="HT41" s="108" t="n"/>
      <c r="HU41" s="107">
        <f>HT41*100/$E$41</f>
        <v/>
      </c>
      <c r="HV41" s="108" t="n"/>
      <c r="HW41" s="107">
        <f>HV41*100/$E$41</f>
        <v/>
      </c>
      <c r="HX41" s="108" t="n"/>
      <c r="HY41" s="107">
        <f>HX41*100/$E$41</f>
        <v/>
      </c>
      <c r="HZ41" s="108" t="n"/>
      <c r="IA41" s="122">
        <f>HZ41*100/$E$41</f>
        <v/>
      </c>
      <c r="IB41" s="108" t="n"/>
      <c r="IC41" s="122">
        <f>IB41*100/$E$41</f>
        <v/>
      </c>
      <c r="ID41" s="108" t="n"/>
      <c r="IE41" s="122">
        <f>ID41*100/$E$41</f>
        <v/>
      </c>
      <c r="IF41" s="108" t="n"/>
      <c r="IG41" s="122">
        <f>IF41*100/$E$41</f>
        <v/>
      </c>
      <c r="IH41" s="108" t="n"/>
      <c r="II41" s="122">
        <f>IH41*100/$E$41</f>
        <v/>
      </c>
      <c r="IJ41" s="108" t="n"/>
      <c r="IK41" s="122">
        <f>IJ41*100/$E$41</f>
        <v/>
      </c>
      <c r="IL41" s="108" t="n"/>
      <c r="IM41" s="107">
        <f>IL41*100/$E$41</f>
        <v/>
      </c>
      <c r="IN41" s="108" t="n"/>
      <c r="IO41" s="107">
        <f>IN41*100/$E$41</f>
        <v/>
      </c>
      <c r="IP41" s="108" t="n"/>
      <c r="IQ41" s="122">
        <f>IP41*100/$E$41</f>
        <v/>
      </c>
      <c r="IR41" s="108" t="n"/>
      <c r="IS41" s="122">
        <f>IR41*100/$E$41</f>
        <v/>
      </c>
      <c r="IT41" s="108" t="n"/>
      <c r="IU41" s="122">
        <f>IT41*100/$E$41</f>
        <v/>
      </c>
      <c r="IV41" s="108" t="n"/>
      <c r="IW41" s="122">
        <f>IV41*100/$E$41</f>
        <v/>
      </c>
      <c r="IX41" s="108" t="n"/>
      <c r="IY41" s="122">
        <f>IX41*100/$E$41</f>
        <v/>
      </c>
      <c r="IZ41" s="108" t="n"/>
      <c r="JA41" s="122">
        <f>IZ41*100/$E$41</f>
        <v/>
      </c>
      <c r="JB41" s="108" t="n"/>
      <c r="JC41" s="122">
        <f>JB41*100/$E$41</f>
        <v/>
      </c>
      <c r="JD41" s="108" t="n"/>
      <c r="JE41" s="122">
        <f>JD41*100/$E$41</f>
        <v/>
      </c>
      <c r="JF41" s="108" t="n"/>
      <c r="JG41" s="122">
        <f>JF41*100/$E$41</f>
        <v/>
      </c>
      <c r="JH41" s="108" t="n"/>
      <c r="JI41" s="122">
        <f>JH41*100/$E$41</f>
        <v/>
      </c>
      <c r="JJ41" s="108" t="n"/>
      <c r="JK41" s="122">
        <f>JJ41*100/$E$41</f>
        <v/>
      </c>
      <c r="JL41" s="108" t="n"/>
      <c r="JM41" s="122">
        <f>JL41*100/$E$41</f>
        <v/>
      </c>
      <c r="JN41" s="108" t="n"/>
      <c r="JO41" s="121">
        <f>JN41*100/$E$41</f>
        <v/>
      </c>
      <c r="JP41" s="108" t="n"/>
      <c r="JQ41" s="121">
        <f>JP41*100/$E$41</f>
        <v/>
      </c>
      <c r="JR41" s="108" t="n"/>
      <c r="JS41" s="121">
        <f>JR41*100/$E$41</f>
        <v/>
      </c>
      <c r="JT41" s="108" t="n"/>
      <c r="JU41" s="121">
        <f>JT41*100/$E$41</f>
        <v/>
      </c>
      <c r="JV41" s="108" t="n"/>
      <c r="JW41" s="121">
        <f>JV41*100/$E$41</f>
        <v/>
      </c>
      <c r="JX41" s="108" t="n"/>
      <c r="JY41" s="121">
        <f>JX41*100/$E$41</f>
        <v/>
      </c>
      <c r="JZ41" s="55">
        <f>JN41+JP41+JR41+JT41+JV41+JX41</f>
        <v/>
      </c>
      <c r="KA41" s="53">
        <f>JO41+JQ41+JS41+JU41+JW41+JY41</f>
        <v/>
      </c>
      <c r="KB41" s="64">
        <f>H41+J41+L41+N41+P41+R41+T41+V41+X41+Z41+AB41+AD41+AF41+AH41+AJ41+AL41+AN41+AP41+AR41+AT41+AV41+AX41+AZ41+BB41+BD41+BF41+BH41+BJ41+BL41+BN41+BP41+BR41+BT41+BV41+BX41+BZ41+CB41+CD41+CF41+CH41+CZ41+DB41+DD41+DF41+DH41+DJ41+DL41+DN41+DP41+DR41+DT41+DV41+DX41+DZ41+EB41+ED41+EF41+EH41+EJ41+EL41+EN41+EP41+ER41+ET41+EV41+FN41+FP41+FR41+FT41+FV41+FX41+FZ41+GB41+GD41+GF41+GH41+GJ41+GL41+GN41+GP41+GR41+GT41+GV41+GX41+GZ41+HB41+HD41+HF41+HH41+HJ41+HL41+HN41+HP41+HR41+HT41+HV41+HX41+HZ41+IB41+ID41+IF41+IH41+IJ41+IL41+IN41+IP41+IR41+IT41+IV41+IX41+IZ41+JB41+JD41+JF41+JH41+JJ41+JL41+JZ41+CJ41+CL41+CN41+CP41+CR41+CT41+CV41+CX41+EX41+EZ41+FB41+FD41+FF41+FH41+FJ41+FL41</f>
        <v/>
      </c>
      <c r="KC41" s="66">
        <f>I41+K41+M41+O41+Q41+S41+U41+W41+Y41+AA41+AC41+AE41+AG41+AI41+AK41+AM41+AO41+AQ41+AS41+AU41+AW41+AY41+BA41+BC41+BE41+BG41+BI41+BK41+BM41+BO41+BQ41+BS41+BU41+BW41+BY41+CA41+CC41+CE41+CG41+CI41+DA41+DC41+DE41+DG41+DI41+DK41+DM41+DO41+DQ41+DS41+DU41+DW41+DY41+EA41+EC41+EE41+EG41+EI41+EK41+EM41+EO41+EQ41+ES41+EU41+EW41+FO41+FS41+FU41+FW41+FQ41+FY41+GA41+GC41+GE41+GG41+GI41+GK41+GM41+GO41+GQ41+GS41+GU41+GW41+GY41+HA41+HC41+HE41+HG41+HI41+HK41+HM41+HO41+HQ41+HS41+HU41+HW41+HY41+IA41+IC41+IE41+IG41+II41+IK41+IM41+IO41+IQ41+IS41+IU41+IW41+IY41+JA41+JC41+JE41+JG41+JI41+JK41+JM41+KA41+CK41+CM41+CO41+CQ41+CS41+CU41+CW41+CY41+EY41+FA41+FC41+FE41+FG41+FI41+FK41+FM41</f>
        <v/>
      </c>
      <c r="KD41" s="44">
        <f>JO41+JQ41+JS41+JU41+JW41+JY41</f>
        <v/>
      </c>
      <c r="KE41" s="45">
        <f>KB41=E41</f>
        <v/>
      </c>
      <c r="KF41" s="101">
        <f>E41-KB41</f>
        <v/>
      </c>
      <c r="KG41" s="26" t="n"/>
    </row>
    <row r="42" ht="21.75" customFormat="1" customHeight="1" s="27">
      <c r="A42" s="126">
        <f>A41+1</f>
        <v/>
      </c>
      <c r="B42" s="175" t="inlineStr">
        <is>
          <t>Сидоров Ю.В.</t>
        </is>
      </c>
      <c r="C42" s="176" t="inlineStr">
        <is>
          <t>ЧПУ</t>
        </is>
      </c>
      <c r="D42" s="177">
        <f>$D$5</f>
        <v/>
      </c>
      <c r="E42" s="202" t="n">
        <v>159</v>
      </c>
      <c r="F42" s="193" t="n">
        <v>120115.09</v>
      </c>
      <c r="G42" s="52">
        <f>F42/D42</f>
        <v/>
      </c>
      <c r="H42" s="125" t="n"/>
      <c r="I42" s="107">
        <f>H42*100/$E$42</f>
        <v/>
      </c>
      <c r="J42" s="108" t="n"/>
      <c r="K42" s="107">
        <f>J42*100/$E$42</f>
        <v/>
      </c>
      <c r="L42" s="108" t="n"/>
      <c r="M42" s="107">
        <f>L42*100/$E$42</f>
        <v/>
      </c>
      <c r="N42" s="108" t="n"/>
      <c r="O42" s="107">
        <f>N42*100/$E$42</f>
        <v/>
      </c>
      <c r="P42" s="108" t="n"/>
      <c r="Q42" s="122">
        <f>P42*100/$E$42</f>
        <v/>
      </c>
      <c r="R42" s="108" t="n"/>
      <c r="S42" s="122">
        <f>R42*100/$E$42</f>
        <v/>
      </c>
      <c r="T42" s="108" t="n"/>
      <c r="U42" s="107">
        <f>T42*100/$E$42</f>
        <v/>
      </c>
      <c r="V42" s="108" t="n"/>
      <c r="W42" s="107">
        <f>V42*100/$E$42</f>
        <v/>
      </c>
      <c r="X42" s="108" t="n"/>
      <c r="Y42" s="107">
        <f>X42*100/$E$42</f>
        <v/>
      </c>
      <c r="Z42" s="108" t="n"/>
      <c r="AA42" s="107">
        <f>Z42*100/$E$42</f>
        <v/>
      </c>
      <c r="AB42" s="108" t="n"/>
      <c r="AC42" s="107">
        <f>AB42*100/$E$42</f>
        <v/>
      </c>
      <c r="AD42" s="108" t="n"/>
      <c r="AE42" s="122">
        <f>AD42*100/$E$42</f>
        <v/>
      </c>
      <c r="AF42" s="108" t="n"/>
      <c r="AG42" s="122">
        <f>AF42*100/$E$42</f>
        <v/>
      </c>
      <c r="AH42" s="108" t="n">
        <v>4</v>
      </c>
      <c r="AI42" s="107">
        <f>AH42*100/$E$42</f>
        <v/>
      </c>
      <c r="AJ42" s="108" t="n"/>
      <c r="AK42" s="107">
        <f>AJ42*100/$E$42</f>
        <v/>
      </c>
      <c r="AL42" s="108" t="n">
        <v>7</v>
      </c>
      <c r="AM42" s="107">
        <f>AL42*100/$E$42</f>
        <v/>
      </c>
      <c r="AN42" s="108" t="n"/>
      <c r="AO42" s="107">
        <f>AN42*100/$E$42</f>
        <v/>
      </c>
      <c r="AP42" s="108" t="n"/>
      <c r="AQ42" s="107">
        <f>AP42*100/$E$42</f>
        <v/>
      </c>
      <c r="AR42" s="108" t="n">
        <v>8</v>
      </c>
      <c r="AS42" s="107">
        <f>AR42*100/$E$42</f>
        <v/>
      </c>
      <c r="AT42" s="108" t="n"/>
      <c r="AU42" s="90">
        <f>AT42*100/$E$42</f>
        <v/>
      </c>
      <c r="AV42" s="108" t="n">
        <v>4</v>
      </c>
      <c r="AW42" s="107">
        <f>AV42*100/$E$42</f>
        <v/>
      </c>
      <c r="AX42" s="108" t="n"/>
      <c r="AY42" s="107">
        <f>AX42*100/$E$42</f>
        <v/>
      </c>
      <c r="AZ42" s="108" t="n"/>
      <c r="BA42" s="107">
        <f>AZ42*100/$E$42</f>
        <v/>
      </c>
      <c r="BB42" s="108" t="n">
        <v>4</v>
      </c>
      <c r="BC42" s="107">
        <f>BB42*100/$E$42</f>
        <v/>
      </c>
      <c r="BD42" s="108" t="n">
        <v>4</v>
      </c>
      <c r="BE42" s="107">
        <f>BD42*100/$E$42</f>
        <v/>
      </c>
      <c r="BF42" s="108" t="n"/>
      <c r="BG42" s="107">
        <f>BF42*100/$E$42</f>
        <v/>
      </c>
      <c r="BH42" s="108" t="n"/>
      <c r="BI42" s="107">
        <f>BH42*100/$E$42</f>
        <v/>
      </c>
      <c r="BJ42" s="108" t="n"/>
      <c r="BK42" s="107">
        <f>BJ42*100/$E$42</f>
        <v/>
      </c>
      <c r="BL42" s="108" t="n">
        <v>4</v>
      </c>
      <c r="BM42" s="107">
        <f>BL42*100/$E$42</f>
        <v/>
      </c>
      <c r="BN42" s="108" t="n"/>
      <c r="BO42" s="107">
        <f>BN42*100/$E$42</f>
        <v/>
      </c>
      <c r="BP42" s="108" t="n"/>
      <c r="BQ42" s="107">
        <f>BP42*100/$E$42</f>
        <v/>
      </c>
      <c r="BR42" s="108" t="n"/>
      <c r="BS42" s="107">
        <f>BR42*100/$E$42</f>
        <v/>
      </c>
      <c r="BT42" s="108" t="n">
        <v>47</v>
      </c>
      <c r="BU42" s="107">
        <f>BT42*100/$E$42</f>
        <v/>
      </c>
      <c r="BV42" s="108" t="n"/>
      <c r="BW42" s="107">
        <f>BV42*100/$E$42</f>
        <v/>
      </c>
      <c r="BX42" s="108" t="n"/>
      <c r="BY42" s="107">
        <f>BX42*100/$E$42</f>
        <v/>
      </c>
      <c r="BZ42" s="108" t="n"/>
      <c r="CA42" s="107">
        <f>BZ42*100/$E$42</f>
        <v/>
      </c>
      <c r="CB42" s="108" t="n"/>
      <c r="CC42" s="107">
        <f>CB42*100/$E$42</f>
        <v/>
      </c>
      <c r="CD42" s="108" t="n"/>
      <c r="CE42" s="107">
        <f>CD42*100/$E$42</f>
        <v/>
      </c>
      <c r="CF42" s="108" t="n"/>
      <c r="CG42" s="107">
        <f>CF42*100/$E$42</f>
        <v/>
      </c>
      <c r="CH42" s="108" t="n"/>
      <c r="CI42" s="107">
        <f>CH42*100/$E$42</f>
        <v/>
      </c>
      <c r="CJ42" s="108" t="n"/>
      <c r="CK42" s="107">
        <f>CJ42*100/$E$42</f>
        <v/>
      </c>
      <c r="CL42" s="108" t="n">
        <v>9</v>
      </c>
      <c r="CM42" s="107">
        <f>CL42*100/$E$42</f>
        <v/>
      </c>
      <c r="CN42" s="108" t="n"/>
      <c r="CO42" s="122">
        <f>CN42*100/$E$42</f>
        <v/>
      </c>
      <c r="CP42" s="108" t="n"/>
      <c r="CQ42" s="107">
        <f>CP42*100/$E$42</f>
        <v/>
      </c>
      <c r="CR42" s="108" t="n"/>
      <c r="CS42" s="122">
        <f>CR42*100/$E$42</f>
        <v/>
      </c>
      <c r="CT42" s="108" t="n"/>
      <c r="CU42" s="122">
        <f>CT42*100/$E$42</f>
        <v/>
      </c>
      <c r="CV42" s="108" t="n"/>
      <c r="CW42" s="122">
        <f>CV42*100/$E$42</f>
        <v/>
      </c>
      <c r="CX42" s="108" t="n"/>
      <c r="CY42" s="122">
        <f>CX42*100/$E$42</f>
        <v/>
      </c>
      <c r="CZ42" s="108" t="n"/>
      <c r="DA42" s="122">
        <f>CZ42*100/$E$42</f>
        <v/>
      </c>
      <c r="DB42" s="108" t="n"/>
      <c r="DC42" s="122">
        <f>DB42*100/$E$42</f>
        <v/>
      </c>
      <c r="DD42" s="108" t="n"/>
      <c r="DE42" s="122">
        <f>DD42*100/$E$42</f>
        <v/>
      </c>
      <c r="DF42" s="108" t="n"/>
      <c r="DG42" s="122">
        <f>DF42*100/$E$42</f>
        <v/>
      </c>
      <c r="DH42" s="108" t="n"/>
      <c r="DI42" s="122">
        <f>DH42*100/$E$42</f>
        <v/>
      </c>
      <c r="DJ42" s="108" t="n"/>
      <c r="DK42" s="122">
        <f>DJ42*100/$E$42</f>
        <v/>
      </c>
      <c r="DL42" s="108" t="n"/>
      <c r="DM42" s="122">
        <f>DL42*100/$E$42</f>
        <v/>
      </c>
      <c r="DN42" s="108" t="n"/>
      <c r="DO42" s="122">
        <f>DN42*100/$E$42</f>
        <v/>
      </c>
      <c r="DP42" s="108" t="n"/>
      <c r="DQ42" s="122">
        <f>DP42*100/$E$42</f>
        <v/>
      </c>
      <c r="DR42" s="108" t="n"/>
      <c r="DS42" s="122">
        <f>DR42*100/$E$42</f>
        <v/>
      </c>
      <c r="DT42" s="108" t="n"/>
      <c r="DU42" s="122">
        <f>DT42*100/$E$42</f>
        <v/>
      </c>
      <c r="DV42" s="108" t="n"/>
      <c r="DW42" s="122">
        <f>DV42*100/$E$42</f>
        <v/>
      </c>
      <c r="DX42" s="108" t="n"/>
      <c r="DY42" s="122">
        <f>DX42*100/$E$42</f>
        <v/>
      </c>
      <c r="DZ42" s="108" t="n"/>
      <c r="EA42" s="122">
        <f>DZ42*100/$E$42</f>
        <v/>
      </c>
      <c r="EB42" s="108" t="n"/>
      <c r="EC42" s="122">
        <f>EB42*100/$E$42</f>
        <v/>
      </c>
      <c r="ED42" s="108" t="n"/>
      <c r="EE42" s="122">
        <f>ED42*100/$E$42</f>
        <v/>
      </c>
      <c r="EF42" s="108" t="n"/>
      <c r="EG42" s="122">
        <f>EF42*100/$E$42</f>
        <v/>
      </c>
      <c r="EH42" s="108" t="n"/>
      <c r="EI42" s="122">
        <f>EH42*100/$E$42</f>
        <v/>
      </c>
      <c r="EJ42" s="108" t="n"/>
      <c r="EK42" s="122">
        <f>EJ42*100/$E$42</f>
        <v/>
      </c>
      <c r="EL42" s="108" t="n">
        <v>8</v>
      </c>
      <c r="EM42" s="122">
        <f>EL42*100/$E$42</f>
        <v/>
      </c>
      <c r="EN42" s="108" t="n">
        <v>12</v>
      </c>
      <c r="EO42" s="122">
        <f>EN42*100/$E$42</f>
        <v/>
      </c>
      <c r="EP42" s="108" t="n"/>
      <c r="EQ42" s="122">
        <f>EP42*100/$E$42</f>
        <v/>
      </c>
      <c r="ER42" s="108" t="n">
        <v>3</v>
      </c>
      <c r="ES42" s="122">
        <f>ER42*100/$E$42</f>
        <v/>
      </c>
      <c r="ET42" s="108" t="n"/>
      <c r="EU42" s="122">
        <f>ET42*100/$E$42</f>
        <v/>
      </c>
      <c r="EV42" s="108" t="n">
        <v>13</v>
      </c>
      <c r="EW42" s="122">
        <f>EV42*100/$E$42</f>
        <v/>
      </c>
      <c r="EX42" s="108" t="n">
        <v>12</v>
      </c>
      <c r="EY42" s="122">
        <f>EX42*100/$E$42</f>
        <v/>
      </c>
      <c r="EZ42" s="108" t="n"/>
      <c r="FA42" s="122">
        <f>EZ42*100/$E$42</f>
        <v/>
      </c>
      <c r="FB42" s="108" t="n"/>
      <c r="FC42" s="122">
        <f>FB42*100/$E$42</f>
        <v/>
      </c>
      <c r="FD42" s="108" t="n">
        <v>5</v>
      </c>
      <c r="FE42" s="122">
        <f>FD42*100/$E$42</f>
        <v/>
      </c>
      <c r="FF42" s="108" t="n"/>
      <c r="FG42" s="122">
        <f>FF42*100/$E$42</f>
        <v/>
      </c>
      <c r="FH42" s="108" t="n"/>
      <c r="FI42" s="122">
        <f>FH42*100/$E$42</f>
        <v/>
      </c>
      <c r="FJ42" s="108" t="n"/>
      <c r="FK42" s="122">
        <f>FJ42*100/$E$42</f>
        <v/>
      </c>
      <c r="FL42" s="108" t="n">
        <v>2</v>
      </c>
      <c r="FM42" s="122">
        <f>FL42*100/$E$42</f>
        <v/>
      </c>
      <c r="FN42" s="108" t="n"/>
      <c r="FO42" s="122">
        <f>FN42*100/$E$42</f>
        <v/>
      </c>
      <c r="FP42" s="108" t="n"/>
      <c r="FQ42" s="122">
        <f>FP42*100/$E$42</f>
        <v/>
      </c>
      <c r="FR42" s="108" t="n"/>
      <c r="FS42" s="122">
        <f>FR42*100/$E$42</f>
        <v/>
      </c>
      <c r="FT42" s="108" t="n"/>
      <c r="FU42" s="122">
        <f>FT42*100/$E$42</f>
        <v/>
      </c>
      <c r="FV42" s="108" t="n">
        <v>9</v>
      </c>
      <c r="FW42" s="122">
        <f>FV42*100/$E$42</f>
        <v/>
      </c>
      <c r="FX42" s="108" t="n"/>
      <c r="FY42" s="107">
        <f>FX42*100/$E$42</f>
        <v/>
      </c>
      <c r="FZ42" s="108" t="n"/>
      <c r="GA42" s="107">
        <f>FZ42*100/$E$42</f>
        <v/>
      </c>
      <c r="GB42" s="108" t="n"/>
      <c r="GC42" s="107">
        <f>GB42*100/$E$42</f>
        <v/>
      </c>
      <c r="GD42" s="108" t="n"/>
      <c r="GE42" s="107">
        <f>GD42*100/$E$42</f>
        <v/>
      </c>
      <c r="GF42" s="108" t="n"/>
      <c r="GG42" s="107">
        <f>GF42*100/$E$42</f>
        <v/>
      </c>
      <c r="GH42" s="108" t="n"/>
      <c r="GI42" s="107">
        <f>GH42*100/$E$42</f>
        <v/>
      </c>
      <c r="GJ42" s="108" t="n"/>
      <c r="GK42" s="122">
        <f>GJ42*100/$E$42</f>
        <v/>
      </c>
      <c r="GL42" s="108" t="n"/>
      <c r="GM42" s="107">
        <f>GL42*100/$E$42</f>
        <v/>
      </c>
      <c r="GN42" s="108" t="n"/>
      <c r="GO42" s="122">
        <f>GN42*100/$E$42</f>
        <v/>
      </c>
      <c r="GP42" s="108" t="n"/>
      <c r="GQ42" s="107">
        <f>GP42*100/$E$42</f>
        <v/>
      </c>
      <c r="GR42" s="108" t="n"/>
      <c r="GS42" s="122">
        <f>GR42*100/$E$42</f>
        <v/>
      </c>
      <c r="GT42" s="108" t="n"/>
      <c r="GU42" s="122">
        <f>GT42*100/$E$42</f>
        <v/>
      </c>
      <c r="GV42" s="108" t="n"/>
      <c r="GW42" s="122">
        <f>GV42*100/$E$42</f>
        <v/>
      </c>
      <c r="GX42" s="108" t="n"/>
      <c r="GY42" s="107">
        <f>GX42*100/$E$42</f>
        <v/>
      </c>
      <c r="GZ42" s="108" t="n"/>
      <c r="HA42" s="107">
        <f>GZ42*100/$E$42</f>
        <v/>
      </c>
      <c r="HB42" s="108" t="n"/>
      <c r="HC42" s="107">
        <f>HB42*100/$E$42</f>
        <v/>
      </c>
      <c r="HD42" s="108" t="n"/>
      <c r="HE42" s="107">
        <f>HD42*100/$E$42</f>
        <v/>
      </c>
      <c r="HF42" s="108" t="n"/>
      <c r="HG42" s="107">
        <f>HF42*100/$E$42</f>
        <v/>
      </c>
      <c r="HH42" s="108" t="n"/>
      <c r="HI42" s="107">
        <f>HH42*100/$E$42</f>
        <v/>
      </c>
      <c r="HJ42" s="108" t="n"/>
      <c r="HK42" s="107">
        <f>HJ42*100/$E$42</f>
        <v/>
      </c>
      <c r="HL42" s="108" t="n"/>
      <c r="HM42" s="107">
        <f>HL42*100/$E$42</f>
        <v/>
      </c>
      <c r="HN42" s="108" t="n"/>
      <c r="HO42" s="107">
        <f>HN42*100/$E$42</f>
        <v/>
      </c>
      <c r="HP42" s="108" t="n"/>
      <c r="HQ42" s="107">
        <f>HP42*100/$E$42</f>
        <v/>
      </c>
      <c r="HR42" s="108" t="n"/>
      <c r="HS42" s="107">
        <f>HR42*100/$E$42</f>
        <v/>
      </c>
      <c r="HT42" s="108" t="n"/>
      <c r="HU42" s="107">
        <f>HT42*100/$E$42</f>
        <v/>
      </c>
      <c r="HV42" s="108" t="n"/>
      <c r="HW42" s="107">
        <f>HV42*100/$E$42</f>
        <v/>
      </c>
      <c r="HX42" s="108" t="n"/>
      <c r="HY42" s="107">
        <f>HX42*100/$E$42</f>
        <v/>
      </c>
      <c r="HZ42" s="108" t="n"/>
      <c r="IA42" s="122">
        <f>HZ42*100/$E$42</f>
        <v/>
      </c>
      <c r="IB42" s="108" t="n"/>
      <c r="IC42" s="122">
        <f>IB42*100/$E$42</f>
        <v/>
      </c>
      <c r="ID42" s="108" t="n"/>
      <c r="IE42" s="122">
        <f>ID42*100/$E$42</f>
        <v/>
      </c>
      <c r="IF42" s="108" t="n"/>
      <c r="IG42" s="122">
        <f>IF42*100/$E$42</f>
        <v/>
      </c>
      <c r="IH42" s="108" t="n"/>
      <c r="II42" s="122">
        <f>IH42*100/$E$42</f>
        <v/>
      </c>
      <c r="IJ42" s="108" t="n"/>
      <c r="IK42" s="122">
        <f>IJ42*100/$E$42</f>
        <v/>
      </c>
      <c r="IL42" s="108" t="n"/>
      <c r="IM42" s="107">
        <f>IL42*100/$E$42</f>
        <v/>
      </c>
      <c r="IN42" s="108" t="n"/>
      <c r="IO42" s="107">
        <f>IN42*100/$E$42</f>
        <v/>
      </c>
      <c r="IP42" s="108" t="n"/>
      <c r="IQ42" s="122">
        <f>IP42*100/$E$42</f>
        <v/>
      </c>
      <c r="IR42" s="108" t="n"/>
      <c r="IS42" s="122">
        <f>IR42*100/$E$42</f>
        <v/>
      </c>
      <c r="IT42" s="108" t="n"/>
      <c r="IU42" s="122">
        <f>IT42*100/$E$42</f>
        <v/>
      </c>
      <c r="IV42" s="108" t="n"/>
      <c r="IW42" s="122">
        <f>IV42*100/$E$42</f>
        <v/>
      </c>
      <c r="IX42" s="108" t="n"/>
      <c r="IY42" s="122">
        <f>IX42*100/$E$42</f>
        <v/>
      </c>
      <c r="IZ42" s="108" t="n"/>
      <c r="JA42" s="122">
        <f>IZ42*100/$E$42</f>
        <v/>
      </c>
      <c r="JB42" s="108" t="n"/>
      <c r="JC42" s="122">
        <f>JB42*100/$E$42</f>
        <v/>
      </c>
      <c r="JD42" s="108" t="n"/>
      <c r="JE42" s="122">
        <f>JD42*100/$E$42</f>
        <v/>
      </c>
      <c r="JF42" s="108" t="n"/>
      <c r="JG42" s="122">
        <f>JF42*100/$E$42</f>
        <v/>
      </c>
      <c r="JH42" s="108" t="n"/>
      <c r="JI42" s="122">
        <f>JH42*100/$E$42</f>
        <v/>
      </c>
      <c r="JJ42" s="108" t="n"/>
      <c r="JK42" s="122">
        <f>JJ42*100/$E$42</f>
        <v/>
      </c>
      <c r="JL42" s="108" t="n">
        <v>4</v>
      </c>
      <c r="JM42" s="122">
        <f>JL42*100/$E$42</f>
        <v/>
      </c>
      <c r="JN42" s="108" t="n"/>
      <c r="JO42" s="121">
        <f>JN42*100/$E$42</f>
        <v/>
      </c>
      <c r="JP42" s="108" t="n"/>
      <c r="JQ42" s="121">
        <f>JP42*100/$E$42</f>
        <v/>
      </c>
      <c r="JR42" s="108" t="n"/>
      <c r="JS42" s="121">
        <f>JR42*100/$E$42</f>
        <v/>
      </c>
      <c r="JT42" s="108" t="n"/>
      <c r="JU42" s="121">
        <f>JT42*100/$E$42</f>
        <v/>
      </c>
      <c r="JV42" s="108" t="n"/>
      <c r="JW42" s="121">
        <f>JV42*100/$E$42</f>
        <v/>
      </c>
      <c r="JX42" s="108" t="n"/>
      <c r="JY42" s="121">
        <f>JX42*100/$E$42</f>
        <v/>
      </c>
      <c r="JZ42" s="55">
        <f>JN42+JP42+JR42+JT42+JV42+JX42</f>
        <v/>
      </c>
      <c r="KA42" s="53">
        <f>JO42+JQ42+JS42+JU42+JW42+JY42</f>
        <v/>
      </c>
      <c r="KB42" s="64">
        <f>H42+J42+L42+N42+P42+R42+T42+V42+X42+Z42+AB42+AD42+AF42+AH42+AJ42+AL42+AN42+AP42+AR42+AT42+AV42+AX42+AZ42+BB42+BD42+BF42+BH42+BJ42+BL42+BN42+BP42+BR42+BT42+BV42+BX42+BZ42+CB42+CD42+CF42+CH42+CZ42+DB42+DD42+DF42+DH42+DJ42+DL42+DN42+DP42+DR42+DT42+DV42+DX42+DZ42+EB42+ED42+EF42+EH42+EJ42+EL42+EN42+EP42+ER42+ET42+EV42+FN42+FP42+FR42+FT42+FV42+FX42+FZ42+GB42+GD42+GF42+GH42+GJ42+GL42+GN42+GP42+GR42+GT42+GV42+GX42+GZ42+HB42+HD42+HF42+HH42+HJ42+HL42+HN42+HP42+HR42+HT42+HV42+HX42+HZ42+IB42+ID42+IF42+IH42+IJ42+IL42+IN42+IP42+IR42+IT42+IV42+IX42+IZ42+JB42+JD42+JF42+JH42+JJ42+JL42+JZ42+CJ42+CL42+CN42+CP42+CR42+CT42+CV42+CX42+EX42+EZ42+FB42+FD42+FF42+FH42+FJ42+FL42</f>
        <v/>
      </c>
      <c r="KC42" s="66">
        <f>I42+K42+M42+O42+Q42+S42+U42+W42+Y42+AA42+AC42+AE42+AG42+AI42+AK42+AM42+AO42+AQ42+AS42+AU42+AW42+AY42+BA42+BC42+BE42+BG42+BI42+BK42+BM42+BO42+BQ42+BS42+BU42+BW42+BY42+CA42+CC42+CE42+CG42+CI42+DA42+DC42+DE42+DG42+DI42+DK42+DM42+DO42+DQ42+DS42+DU42+DW42+DY42+EA42+EC42+EE42+EG42+EI42+EK42+EM42+EO42+EQ42+ES42+EU42+EW42+FO42+FS42+FU42+FW42+FQ42+FY42+GA42+GC42+GE42+GG42+GI42+GK42+GM42+GO42+GQ42+GS42+GU42+GW42+GY42+HA42+HC42+HE42+HG42+HI42+HK42+HM42+HO42+HQ42+HS42+HU42+HW42+HY42+IA42+IC42+IE42+IG42+II42+IK42+IM42+IO42+IQ42+IS42+IU42+IW42+IY42+JA42+JC42+JE42+JG42+JI42+JK42+JM42+KA42+CK42+CM42+CO42+CQ42+CS42+CU42+CW42+CY42+EY42+FA42+FC42+FE42+FG42+FI42+FK42+FM42</f>
        <v/>
      </c>
      <c r="KD42" s="44">
        <f>JO42+JQ42+JS42+JU42+JW42+JY42</f>
        <v/>
      </c>
      <c r="KE42" s="45">
        <f>KB42=E42</f>
        <v/>
      </c>
      <c r="KF42" s="101">
        <f>E42-KB42</f>
        <v/>
      </c>
      <c r="KG42" s="11" t="n"/>
    </row>
    <row r="43" ht="21.75" customFormat="1" customHeight="1" s="11">
      <c r="A43" s="126">
        <f>A42+1</f>
        <v/>
      </c>
      <c r="B43" s="175" t="inlineStr">
        <is>
          <t>Соколов Р.Т.</t>
        </is>
      </c>
      <c r="C43" s="176" t="inlineStr">
        <is>
          <t>сварщик</t>
        </is>
      </c>
      <c r="D43" s="177">
        <f>$D$5</f>
        <v/>
      </c>
      <c r="E43" s="202" t="n">
        <v>192</v>
      </c>
      <c r="F43" s="193" t="n">
        <v>84149.67999999999</v>
      </c>
      <c r="G43" s="52">
        <f>F43/D43</f>
        <v/>
      </c>
      <c r="H43" s="125" t="n"/>
      <c r="I43" s="107">
        <f>H43*100/$E$43</f>
        <v/>
      </c>
      <c r="J43" s="108" t="n"/>
      <c r="K43" s="107">
        <f>J43*100/$E$43</f>
        <v/>
      </c>
      <c r="L43" s="108" t="n"/>
      <c r="M43" s="107">
        <f>L43*100/$E$43</f>
        <v/>
      </c>
      <c r="N43" s="108" t="n"/>
      <c r="O43" s="107">
        <f>N43*100/$E$43</f>
        <v/>
      </c>
      <c r="P43" s="108" t="n"/>
      <c r="Q43" s="122">
        <f>P43*100/$E$43</f>
        <v/>
      </c>
      <c r="R43" s="108" t="n"/>
      <c r="S43" s="122">
        <f>R43*100/$E$43</f>
        <v/>
      </c>
      <c r="T43" s="108" t="n"/>
      <c r="U43" s="107">
        <f>T43*100/$E$43</f>
        <v/>
      </c>
      <c r="V43" s="108" t="n"/>
      <c r="W43" s="107">
        <f>V43*100/$E$43</f>
        <v/>
      </c>
      <c r="X43" s="108" t="n"/>
      <c r="Y43" s="107">
        <f>X43*100/$E$43</f>
        <v/>
      </c>
      <c r="Z43" s="108" t="n"/>
      <c r="AA43" s="107">
        <f>Z43*100/$E$43</f>
        <v/>
      </c>
      <c r="AB43" s="108" t="n"/>
      <c r="AC43" s="107">
        <f>AB43*100/$E$43</f>
        <v/>
      </c>
      <c r="AD43" s="108" t="n"/>
      <c r="AE43" s="122">
        <f>AD43*100/$E$43</f>
        <v/>
      </c>
      <c r="AF43" s="108" t="n"/>
      <c r="AG43" s="122">
        <f>AF43*100/$E$43</f>
        <v/>
      </c>
      <c r="AH43" s="108" t="n"/>
      <c r="AI43" s="107">
        <f>AH43*100/$E$43</f>
        <v/>
      </c>
      <c r="AJ43" s="108" t="n"/>
      <c r="AK43" s="107">
        <f>AJ43*100/$E$43</f>
        <v/>
      </c>
      <c r="AL43" s="108" t="n"/>
      <c r="AM43" s="107">
        <f>AL43*100/$E$43</f>
        <v/>
      </c>
      <c r="AN43" s="108" t="n"/>
      <c r="AO43" s="107">
        <f>AN43*100/$E$43</f>
        <v/>
      </c>
      <c r="AP43" s="108" t="n">
        <v>3</v>
      </c>
      <c r="AQ43" s="107">
        <f>AP43*100/$E$43</f>
        <v/>
      </c>
      <c r="AR43" s="108" t="n"/>
      <c r="AS43" s="107">
        <f>AR43*100/$E$43</f>
        <v/>
      </c>
      <c r="AT43" s="108" t="n"/>
      <c r="AU43" s="90">
        <f>AT43*100/$E$43</f>
        <v/>
      </c>
      <c r="AV43" s="108" t="n"/>
      <c r="AW43" s="107">
        <f>AV43*100/$E$43</f>
        <v/>
      </c>
      <c r="AX43" s="108" t="n"/>
      <c r="AY43" s="107">
        <f>AX43*100/$E$43</f>
        <v/>
      </c>
      <c r="AZ43" s="108" t="n"/>
      <c r="BA43" s="107">
        <f>AZ43*100/$E$43</f>
        <v/>
      </c>
      <c r="BB43" s="108" t="n"/>
      <c r="BC43" s="107">
        <f>BB43*100/$E$43</f>
        <v/>
      </c>
      <c r="BD43" s="108" t="n"/>
      <c r="BE43" s="107">
        <f>BD43*100/$E$43</f>
        <v/>
      </c>
      <c r="BF43" s="108" t="n"/>
      <c r="BG43" s="107">
        <f>BF43*100/$E$43</f>
        <v/>
      </c>
      <c r="BH43" s="108" t="n"/>
      <c r="BI43" s="107">
        <f>BH43*100/$E$43</f>
        <v/>
      </c>
      <c r="BJ43" s="108" t="n"/>
      <c r="BK43" s="107">
        <f>BJ43*100/$E$43</f>
        <v/>
      </c>
      <c r="BL43" s="108" t="n"/>
      <c r="BM43" s="107">
        <f>BL43*100/$E$43</f>
        <v/>
      </c>
      <c r="BN43" s="108" t="n"/>
      <c r="BO43" s="107">
        <f>BN43*100/$E$43</f>
        <v/>
      </c>
      <c r="BP43" s="108" t="n"/>
      <c r="BQ43" s="107">
        <f>BP43*100/$E$43</f>
        <v/>
      </c>
      <c r="BR43" s="108" t="n"/>
      <c r="BS43" s="107">
        <f>BR43*100/$E$43</f>
        <v/>
      </c>
      <c r="BT43" s="108" t="n"/>
      <c r="BU43" s="107">
        <f>BT43*100/$E$43</f>
        <v/>
      </c>
      <c r="BV43" s="108" t="n"/>
      <c r="BW43" s="107">
        <f>BV43*100/$E$43</f>
        <v/>
      </c>
      <c r="BX43" s="108" t="n">
        <v>8</v>
      </c>
      <c r="BY43" s="107">
        <f>BX43*100/$E$43</f>
        <v/>
      </c>
      <c r="BZ43" s="108" t="n"/>
      <c r="CA43" s="107">
        <f>BZ43*100/$E$43</f>
        <v/>
      </c>
      <c r="CB43" s="108" t="n"/>
      <c r="CC43" s="107">
        <f>CB43*100/$E$43</f>
        <v/>
      </c>
      <c r="CD43" s="108" t="n"/>
      <c r="CE43" s="107">
        <f>CD43*100/$E$43</f>
        <v/>
      </c>
      <c r="CF43" s="108" t="n">
        <v>6</v>
      </c>
      <c r="CG43" s="107">
        <f>CF43*100/$E$43</f>
        <v/>
      </c>
      <c r="CH43" s="108" t="n"/>
      <c r="CI43" s="107">
        <f>CH43*100/$E$43</f>
        <v/>
      </c>
      <c r="CJ43" s="108" t="n"/>
      <c r="CK43" s="107">
        <f>CJ43*100/$E$43</f>
        <v/>
      </c>
      <c r="CL43" s="108" t="n"/>
      <c r="CM43" s="107">
        <f>CL43*100/$E$43</f>
        <v/>
      </c>
      <c r="CN43" s="108" t="n"/>
      <c r="CO43" s="122">
        <f>CN43*100/$E$43</f>
        <v/>
      </c>
      <c r="CP43" s="108" t="n"/>
      <c r="CQ43" s="107">
        <f>CP43*100/$E$43</f>
        <v/>
      </c>
      <c r="CR43" s="108" t="n"/>
      <c r="CS43" s="122">
        <f>CR43*100/$E$43</f>
        <v/>
      </c>
      <c r="CT43" s="108" t="n"/>
      <c r="CU43" s="122">
        <f>CT43*100/$E$43</f>
        <v/>
      </c>
      <c r="CV43" s="108" t="n"/>
      <c r="CW43" s="122">
        <f>CV43*100/$E$43</f>
        <v/>
      </c>
      <c r="CX43" s="108" t="n">
        <v>6</v>
      </c>
      <c r="CY43" s="122">
        <f>CX43*100/$E$43</f>
        <v/>
      </c>
      <c r="CZ43" s="108" t="n"/>
      <c r="DA43" s="122">
        <f>CZ43*100/$E$43</f>
        <v/>
      </c>
      <c r="DB43" s="108" t="n"/>
      <c r="DC43" s="122">
        <f>DB43*100/$E$43</f>
        <v/>
      </c>
      <c r="DD43" s="108" t="n"/>
      <c r="DE43" s="122">
        <f>DD43*100/$E$43</f>
        <v/>
      </c>
      <c r="DF43" s="108" t="n"/>
      <c r="DG43" s="122">
        <f>DF43*100/$E$43</f>
        <v/>
      </c>
      <c r="DH43" s="108" t="n"/>
      <c r="DI43" s="122">
        <f>DH43*100/$E$43</f>
        <v/>
      </c>
      <c r="DJ43" s="108" t="n"/>
      <c r="DK43" s="122">
        <f>DJ43*100/$E$43</f>
        <v/>
      </c>
      <c r="DL43" s="108" t="n"/>
      <c r="DM43" s="122">
        <f>DL43*100/$E$43</f>
        <v/>
      </c>
      <c r="DN43" s="108" t="n"/>
      <c r="DO43" s="122">
        <f>DN43*100/$E$43</f>
        <v/>
      </c>
      <c r="DP43" s="108" t="n">
        <v>3</v>
      </c>
      <c r="DQ43" s="122">
        <f>DP43*100/$E$43</f>
        <v/>
      </c>
      <c r="DR43" s="108" t="n"/>
      <c r="DS43" s="122">
        <f>DR43*100/$E$43</f>
        <v/>
      </c>
      <c r="DT43" s="108" t="n"/>
      <c r="DU43" s="122">
        <f>DT43*100/$E$43</f>
        <v/>
      </c>
      <c r="DV43" s="108" t="n"/>
      <c r="DW43" s="122">
        <f>DV43*100/$E$43</f>
        <v/>
      </c>
      <c r="DX43" s="108" t="n"/>
      <c r="DY43" s="122">
        <f>DX43*100/$E$43</f>
        <v/>
      </c>
      <c r="DZ43" s="108" t="n"/>
      <c r="EA43" s="122">
        <f>DZ43*100/$E$43</f>
        <v/>
      </c>
      <c r="EB43" s="108" t="n">
        <v>18</v>
      </c>
      <c r="EC43" s="122">
        <f>EB43*100/$E$43</f>
        <v/>
      </c>
      <c r="ED43" s="108" t="n"/>
      <c r="EE43" s="122">
        <f>ED43*100/$E$43</f>
        <v/>
      </c>
      <c r="EF43" s="108" t="n"/>
      <c r="EG43" s="122">
        <f>EF43*100/$E$43</f>
        <v/>
      </c>
      <c r="EH43" s="108" t="n"/>
      <c r="EI43" s="122">
        <f>EH43*100/$E$43</f>
        <v/>
      </c>
      <c r="EJ43" s="108" t="n"/>
      <c r="EK43" s="122">
        <f>EJ43*100/$E$43</f>
        <v/>
      </c>
      <c r="EL43" s="108" t="n"/>
      <c r="EM43" s="122">
        <f>EL43*100/$E$43</f>
        <v/>
      </c>
      <c r="EN43" s="108" t="n"/>
      <c r="EO43" s="122">
        <f>EN43*100/$E$43</f>
        <v/>
      </c>
      <c r="EP43" s="108" t="n"/>
      <c r="EQ43" s="122">
        <f>EP43*100/$E$43</f>
        <v/>
      </c>
      <c r="ER43" s="108" t="n">
        <v>4</v>
      </c>
      <c r="ES43" s="122">
        <f>ER43*100/$E$43</f>
        <v/>
      </c>
      <c r="ET43" s="108" t="n"/>
      <c r="EU43" s="122">
        <f>ET43*100/$E$43</f>
        <v/>
      </c>
      <c r="EV43" s="108" t="n"/>
      <c r="EW43" s="122">
        <f>EV43*100/$E$43</f>
        <v/>
      </c>
      <c r="EX43" s="108" t="n"/>
      <c r="EY43" s="122">
        <f>EX43*100/$E$43</f>
        <v/>
      </c>
      <c r="EZ43" s="108" t="n"/>
      <c r="FA43" s="122">
        <f>EZ43*100/$E$43</f>
        <v/>
      </c>
      <c r="FB43" s="108" t="n"/>
      <c r="FC43" s="122">
        <f>FB43*100/$E$43</f>
        <v/>
      </c>
      <c r="FD43" s="108" t="n"/>
      <c r="FE43" s="122">
        <f>FD43*100/$E$43</f>
        <v/>
      </c>
      <c r="FF43" s="108" t="n">
        <v>7</v>
      </c>
      <c r="FG43" s="122">
        <f>FF43*100/$E$43</f>
        <v/>
      </c>
      <c r="FH43" s="108" t="n"/>
      <c r="FI43" s="122">
        <f>FH43*100/$E$43</f>
        <v/>
      </c>
      <c r="FJ43" s="108" t="n"/>
      <c r="FK43" s="122">
        <f>FJ43*100/$E$43</f>
        <v/>
      </c>
      <c r="FL43" s="108" t="n"/>
      <c r="FM43" s="122">
        <f>FL43*100/$E$43</f>
        <v/>
      </c>
      <c r="FN43" s="108" t="n"/>
      <c r="FO43" s="122">
        <f>FN43*100/$E$43</f>
        <v/>
      </c>
      <c r="FP43" s="108" t="n"/>
      <c r="FQ43" s="122">
        <f>FP43*100/$E$43</f>
        <v/>
      </c>
      <c r="FR43" s="108" t="n"/>
      <c r="FS43" s="122">
        <f>FR43*100/$E$43</f>
        <v/>
      </c>
      <c r="FT43" s="108" t="n"/>
      <c r="FU43" s="122">
        <f>FT43*100/$E$43</f>
        <v/>
      </c>
      <c r="FV43" s="108" t="n"/>
      <c r="FW43" s="122">
        <f>FV43*100/$E$43</f>
        <v/>
      </c>
      <c r="FX43" s="108" t="n"/>
      <c r="FY43" s="107">
        <f>FX43*100/$E$43</f>
        <v/>
      </c>
      <c r="FZ43" s="108" t="n">
        <v>45</v>
      </c>
      <c r="GA43" s="107">
        <f>FZ43*100/$E$43</f>
        <v/>
      </c>
      <c r="GB43" s="108" t="n"/>
      <c r="GC43" s="107">
        <f>GB43*100/$E$43</f>
        <v/>
      </c>
      <c r="GD43" s="108" t="n"/>
      <c r="GE43" s="107">
        <f>GD43*100/$E$43</f>
        <v/>
      </c>
      <c r="GF43" s="108" t="n">
        <v>6</v>
      </c>
      <c r="GG43" s="107">
        <f>GF43*100/$E$43</f>
        <v/>
      </c>
      <c r="GH43" s="108" t="n">
        <v>6</v>
      </c>
      <c r="GI43" s="107">
        <f>GH43*100/$E$43</f>
        <v/>
      </c>
      <c r="GJ43" s="108" t="n"/>
      <c r="GK43" s="122">
        <f>GJ43*100/$E$43</f>
        <v/>
      </c>
      <c r="GL43" s="108" t="n"/>
      <c r="GM43" s="107">
        <f>GL43*100/$E$43</f>
        <v/>
      </c>
      <c r="GN43" s="108" t="n"/>
      <c r="GO43" s="122">
        <f>GN43*100/$E$43</f>
        <v/>
      </c>
      <c r="GP43" s="108" t="n"/>
      <c r="GQ43" s="107">
        <f>GP43*100/$E$43</f>
        <v/>
      </c>
      <c r="GR43" s="108" t="n"/>
      <c r="GS43" s="122">
        <f>GR43*100/$E$43</f>
        <v/>
      </c>
      <c r="GT43" s="108" t="n"/>
      <c r="GU43" s="122">
        <f>GT43*100/$E$43</f>
        <v/>
      </c>
      <c r="GV43" s="108" t="n"/>
      <c r="GW43" s="122">
        <f>GV43*100/$E$43</f>
        <v/>
      </c>
      <c r="GX43" s="108" t="n">
        <v>9.5</v>
      </c>
      <c r="GY43" s="107">
        <f>GX43*100/$E$43</f>
        <v/>
      </c>
      <c r="GZ43" s="108" t="n"/>
      <c r="HA43" s="107">
        <f>GZ43*100/$E$43</f>
        <v/>
      </c>
      <c r="HB43" s="108" t="n"/>
      <c r="HC43" s="107">
        <f>HB43*100/$E$43</f>
        <v/>
      </c>
      <c r="HD43" s="108" t="n">
        <v>39.5</v>
      </c>
      <c r="HE43" s="107">
        <f>HD43*100/$E$43</f>
        <v/>
      </c>
      <c r="HF43" s="108" t="n">
        <v>4</v>
      </c>
      <c r="HG43" s="107">
        <f>HF43*100/$E$43</f>
        <v/>
      </c>
      <c r="HH43" s="108" t="n">
        <v>6</v>
      </c>
      <c r="HI43" s="107">
        <f>HH43*100/$E$43</f>
        <v/>
      </c>
      <c r="HJ43" s="108" t="n"/>
      <c r="HK43" s="107">
        <f>HJ43*100/$E$43</f>
        <v/>
      </c>
      <c r="HL43" s="108" t="n">
        <v>6</v>
      </c>
      <c r="HM43" s="107">
        <f>HL43*100/$E$43</f>
        <v/>
      </c>
      <c r="HN43" s="108" t="n"/>
      <c r="HO43" s="107">
        <f>HN43*100/$E$43</f>
        <v/>
      </c>
      <c r="HP43" s="108" t="n"/>
      <c r="HQ43" s="107">
        <f>HP43*100/$E$43</f>
        <v/>
      </c>
      <c r="HR43" s="108" t="n"/>
      <c r="HS43" s="107">
        <f>HR43*100/$E$43</f>
        <v/>
      </c>
      <c r="HT43" s="108" t="n"/>
      <c r="HU43" s="107">
        <f>HT43*100/$E$43</f>
        <v/>
      </c>
      <c r="HV43" s="108" t="n"/>
      <c r="HW43" s="107">
        <f>HV43*100/$E$43</f>
        <v/>
      </c>
      <c r="HX43" s="108" t="n"/>
      <c r="HY43" s="107">
        <f>HX43*100/$E$43</f>
        <v/>
      </c>
      <c r="HZ43" s="108" t="n"/>
      <c r="IA43" s="122">
        <f>HZ43*100/$E$43</f>
        <v/>
      </c>
      <c r="IB43" s="108" t="n"/>
      <c r="IC43" s="122">
        <f>IB43*100/$E$43</f>
        <v/>
      </c>
      <c r="ID43" s="108" t="n"/>
      <c r="IE43" s="122">
        <f>ID43*100/$E$43</f>
        <v/>
      </c>
      <c r="IF43" s="108" t="n"/>
      <c r="IG43" s="122">
        <f>IF43*100/$E$43</f>
        <v/>
      </c>
      <c r="IH43" s="108" t="n"/>
      <c r="II43" s="122">
        <f>IH43*100/$E$43</f>
        <v/>
      </c>
      <c r="IJ43" s="108" t="n"/>
      <c r="IK43" s="122">
        <f>IJ43*100/$E$43</f>
        <v/>
      </c>
      <c r="IL43" s="108" t="n"/>
      <c r="IM43" s="107">
        <f>IL43*100/$E$43</f>
        <v/>
      </c>
      <c r="IN43" s="108" t="n"/>
      <c r="IO43" s="107">
        <f>IN43*100/$E$43</f>
        <v/>
      </c>
      <c r="IP43" s="108" t="n"/>
      <c r="IQ43" s="122">
        <f>IP43*100/$E$43</f>
        <v/>
      </c>
      <c r="IR43" s="108" t="n"/>
      <c r="IS43" s="122">
        <f>IR43*100/$E$43</f>
        <v/>
      </c>
      <c r="IT43" s="108" t="n"/>
      <c r="IU43" s="122">
        <f>IT43*100/$E$43</f>
        <v/>
      </c>
      <c r="IV43" s="108" t="n"/>
      <c r="IW43" s="122">
        <f>IV43*100/$E$43</f>
        <v/>
      </c>
      <c r="IX43" s="108" t="n"/>
      <c r="IY43" s="122">
        <f>IX43*100/$E$43</f>
        <v/>
      </c>
      <c r="IZ43" s="108" t="n"/>
      <c r="JA43" s="122">
        <f>IZ43*100/$E$43</f>
        <v/>
      </c>
      <c r="JB43" s="108" t="n"/>
      <c r="JC43" s="122">
        <f>JB43*100/$E$43</f>
        <v/>
      </c>
      <c r="JD43" s="108" t="n"/>
      <c r="JE43" s="122">
        <f>JD43*100/$E$43</f>
        <v/>
      </c>
      <c r="JF43" s="108" t="n"/>
      <c r="JG43" s="122">
        <f>JF43*100/$E$43</f>
        <v/>
      </c>
      <c r="JH43" s="108" t="n"/>
      <c r="JI43" s="122">
        <f>JH43*100/$E$43</f>
        <v/>
      </c>
      <c r="JJ43" s="108" t="n"/>
      <c r="JK43" s="122">
        <f>JJ43*100/$E$43</f>
        <v/>
      </c>
      <c r="JL43" s="108" t="n">
        <v>15</v>
      </c>
      <c r="JM43" s="122">
        <f>JL43*100/$E$43</f>
        <v/>
      </c>
      <c r="JN43" s="108" t="n"/>
      <c r="JO43" s="121">
        <f>JN43*100/$E$43</f>
        <v/>
      </c>
      <c r="JP43" s="108" t="n"/>
      <c r="JQ43" s="121">
        <f>JP43*100/$E$43</f>
        <v/>
      </c>
      <c r="JR43" s="108" t="n"/>
      <c r="JS43" s="121">
        <f>JR43*100/$E$43</f>
        <v/>
      </c>
      <c r="JT43" s="108" t="n"/>
      <c r="JU43" s="121">
        <f>JT43*100/$E$43</f>
        <v/>
      </c>
      <c r="JV43" s="108" t="n"/>
      <c r="JW43" s="121">
        <f>JV43*100/$E$43</f>
        <v/>
      </c>
      <c r="JX43" s="108" t="n"/>
      <c r="JY43" s="121">
        <f>JX43*100/$E$43</f>
        <v/>
      </c>
      <c r="JZ43" s="55">
        <f>JN43+JP43+JR43+JT43+JV43+JX43</f>
        <v/>
      </c>
      <c r="KA43" s="53">
        <f>JO43+JQ43+JS43+JU43+JW43+JY43</f>
        <v/>
      </c>
      <c r="KB43" s="64">
        <f>H43+J43+L43+N43+P43+R43+T43+V43+X43+Z43+AB43+AD43+AF43+AH43+AJ43+AL43+AN43+AP43+AR43+AT43+AV43+AX43+AZ43+BB43+BD43+BF43+BH43+BJ43+BL43+BN43+BP43+BR43+BT43+BV43+BX43+BZ43+CB43+CD43+CF43+CH43+CZ43+DB43+DD43+DF43+DH43+DJ43+DL43+DN43+DP43+DR43+DT43+DV43+DX43+DZ43+EB43+ED43+EF43+EH43+EJ43+EL43+EN43+EP43+ER43+ET43+EV43+FN43+FP43+FR43+FT43+FV43+FX43+FZ43+GB43+GD43+GF43+GH43+GJ43+GL43+GN43+GP43+GR43+GT43+GV43+GX43+GZ43+HB43+HD43+HF43+HH43+HJ43+HL43+HN43+HP43+HR43+HT43+HV43+HX43+HZ43+IB43+ID43+IF43+IH43+IJ43+IL43+IN43+IP43+IR43+IT43+IV43+IX43+IZ43+JB43+JD43+JF43+JH43+JJ43+JL43+JZ43+CJ43+CL43+CN43+CP43+CR43+CT43+CV43+CX43+EX43+EZ43+FB43+FD43+FF43+FH43+FJ43+FL43</f>
        <v/>
      </c>
      <c r="KC43" s="66">
        <f>I43+K43+M43+O43+Q43+S43+U43+W43+Y43+AA43+AC43+AE43+AG43+AI43+AK43+AM43+AO43+AQ43+AS43+AU43+AW43+AY43+BA43+BC43+BE43+BG43+BI43+BK43+BM43+BO43+BQ43+BS43+BU43+BW43+BY43+CA43+CC43+CE43+CG43+CI43+DA43+DC43+DE43+DG43+DI43+DK43+DM43+DO43+DQ43+DS43+DU43+DW43+DY43+EA43+EC43+EE43+EG43+EI43+EK43+EM43+EO43+EQ43+ES43+EU43+EW43+FO43+FS43+FU43+FW43+FQ43+FY43+GA43+GC43+GE43+GG43+GI43+GK43+GM43+GO43+GQ43+GS43+GU43+GW43+GY43+HA43+HC43+HE43+HG43+HI43+HK43+HM43+HO43+HQ43+HS43+HU43+HW43+HY43+IA43+IC43+IE43+IG43+II43+IK43+IM43+IO43+IQ43+IS43+IU43+IW43+IY43+JA43+JC43+JE43+JG43+JI43+JK43+JM43+KA43+CK43+CM43+CO43+CQ43+CS43+CU43+CW43+CY43+EY43+FA43+FC43+FE43+FG43+FI43+FK43+FM43</f>
        <v/>
      </c>
      <c r="KD43" s="44">
        <f>JO43+JQ43+JS43+JU43+JW43+JY43</f>
        <v/>
      </c>
      <c r="KE43" s="45">
        <f>KB43=E43</f>
        <v/>
      </c>
      <c r="KF43" s="101">
        <f>E43-KB43</f>
        <v/>
      </c>
      <c r="KG43" s="26" t="n"/>
    </row>
    <row r="44" ht="21.75" customFormat="1" customHeight="1" s="26">
      <c r="A44" s="126">
        <f>A43+1</f>
        <v/>
      </c>
      <c r="B44" s="175" t="inlineStr">
        <is>
          <t>Сорокин Е</t>
        </is>
      </c>
      <c r="C44" s="176" t="inlineStr">
        <is>
          <t>сварщик</t>
        </is>
      </c>
      <c r="D44" s="177">
        <f>$D$5</f>
        <v/>
      </c>
      <c r="E44" s="202" t="n"/>
      <c r="F44" s="193" t="n">
        <v>84149.67999999999</v>
      </c>
      <c r="G44" s="52">
        <f>F44/D44</f>
        <v/>
      </c>
      <c r="H44" s="125" t="n"/>
      <c r="I44" s="107">
        <f>H44*100/$E$44</f>
        <v/>
      </c>
      <c r="J44" s="108" t="n"/>
      <c r="K44" s="107">
        <f>J44*100/$E$44</f>
        <v/>
      </c>
      <c r="L44" s="108" t="n"/>
      <c r="M44" s="107">
        <f>L44*100/$E$44</f>
        <v/>
      </c>
      <c r="N44" s="108" t="n"/>
      <c r="O44" s="107">
        <f>N44*100/$E$44</f>
        <v/>
      </c>
      <c r="P44" s="108" t="n"/>
      <c r="Q44" s="122">
        <f>P44*100/$E$44</f>
        <v/>
      </c>
      <c r="R44" s="108" t="n"/>
      <c r="S44" s="122">
        <f>R44*100/$E$44</f>
        <v/>
      </c>
      <c r="T44" s="108" t="n"/>
      <c r="U44" s="107">
        <f>T44*100/$E$44</f>
        <v/>
      </c>
      <c r="V44" s="108" t="n"/>
      <c r="W44" s="107">
        <f>V44*100/$E$44</f>
        <v/>
      </c>
      <c r="X44" s="108" t="n"/>
      <c r="Y44" s="107">
        <f>X44*100/$E$44</f>
        <v/>
      </c>
      <c r="Z44" s="108" t="n"/>
      <c r="AA44" s="107">
        <f>Z44*100/$E$44</f>
        <v/>
      </c>
      <c r="AB44" s="108" t="n"/>
      <c r="AC44" s="107">
        <f>AB44*100/$E$44</f>
        <v/>
      </c>
      <c r="AD44" s="108" t="n"/>
      <c r="AE44" s="122">
        <f>AD44*100/$E$44</f>
        <v/>
      </c>
      <c r="AF44" s="108" t="n"/>
      <c r="AG44" s="122">
        <f>AF44*100/$E$44</f>
        <v/>
      </c>
      <c r="AH44" s="108" t="n"/>
      <c r="AI44" s="107">
        <f>AH44*100/$E$44</f>
        <v/>
      </c>
      <c r="AJ44" s="108" t="n"/>
      <c r="AK44" s="107">
        <f>AJ44*100/$E$44</f>
        <v/>
      </c>
      <c r="AL44" s="108" t="n"/>
      <c r="AM44" s="107">
        <f>AL44*100/$E$44</f>
        <v/>
      </c>
      <c r="AN44" s="108" t="n"/>
      <c r="AO44" s="107">
        <f>AN44*100/$E$44</f>
        <v/>
      </c>
      <c r="AP44" s="108" t="n"/>
      <c r="AQ44" s="107">
        <f>AP44*100/$E$44</f>
        <v/>
      </c>
      <c r="AR44" s="108" t="n"/>
      <c r="AS44" s="107">
        <f>AR44*100/$E$44</f>
        <v/>
      </c>
      <c r="AT44" s="108" t="n"/>
      <c r="AU44" s="90">
        <f>AT44*100/$E$44</f>
        <v/>
      </c>
      <c r="AV44" s="108" t="n"/>
      <c r="AW44" s="107">
        <f>AV44*100/$E$44</f>
        <v/>
      </c>
      <c r="AX44" s="108" t="n"/>
      <c r="AY44" s="107">
        <f>AX44*100/$E$44</f>
        <v/>
      </c>
      <c r="AZ44" s="108" t="n"/>
      <c r="BA44" s="107">
        <f>AZ44*100/$E$44</f>
        <v/>
      </c>
      <c r="BB44" s="108" t="n"/>
      <c r="BC44" s="107">
        <f>BB44*100/$E$44</f>
        <v/>
      </c>
      <c r="BD44" s="108" t="n"/>
      <c r="BE44" s="107">
        <f>BD44*100/$E$44</f>
        <v/>
      </c>
      <c r="BF44" s="108" t="n"/>
      <c r="BG44" s="107">
        <f>BF44*100/$E$44</f>
        <v/>
      </c>
      <c r="BH44" s="108" t="n"/>
      <c r="BI44" s="107">
        <f>BH44*100/$E$44</f>
        <v/>
      </c>
      <c r="BJ44" s="108" t="n"/>
      <c r="BK44" s="107">
        <f>BJ44*100/$E$44</f>
        <v/>
      </c>
      <c r="BL44" s="108" t="n"/>
      <c r="BM44" s="107">
        <f>BL44*100/$E$44</f>
        <v/>
      </c>
      <c r="BN44" s="108" t="n"/>
      <c r="BO44" s="107">
        <f>BN44*100/$E$44</f>
        <v/>
      </c>
      <c r="BP44" s="108" t="n"/>
      <c r="BQ44" s="107">
        <f>BP44*100/$E$44</f>
        <v/>
      </c>
      <c r="BR44" s="108" t="n"/>
      <c r="BS44" s="107">
        <f>BR44*100/$E$44</f>
        <v/>
      </c>
      <c r="BT44" s="108" t="n"/>
      <c r="BU44" s="107">
        <f>BT44*100/$E$44</f>
        <v/>
      </c>
      <c r="BV44" s="108" t="n"/>
      <c r="BW44" s="107">
        <f>BV44*100/$E$44</f>
        <v/>
      </c>
      <c r="BX44" s="108" t="n"/>
      <c r="BY44" s="107">
        <f>BX44*100/$E$44</f>
        <v/>
      </c>
      <c r="BZ44" s="108" t="n"/>
      <c r="CA44" s="107">
        <f>BZ44*100/$E$44</f>
        <v/>
      </c>
      <c r="CB44" s="108" t="n"/>
      <c r="CC44" s="107">
        <f>CB44*100/$E$44</f>
        <v/>
      </c>
      <c r="CD44" s="108" t="n"/>
      <c r="CE44" s="107">
        <f>CD44*100/$E$44</f>
        <v/>
      </c>
      <c r="CF44" s="108" t="n"/>
      <c r="CG44" s="107">
        <f>CF44*100/$E$44</f>
        <v/>
      </c>
      <c r="CH44" s="108" t="n"/>
      <c r="CI44" s="107">
        <f>CH44*100/$E$44</f>
        <v/>
      </c>
      <c r="CJ44" s="108" t="n"/>
      <c r="CK44" s="107">
        <f>CJ44*100/$E$44</f>
        <v/>
      </c>
      <c r="CL44" s="108" t="n"/>
      <c r="CM44" s="107">
        <f>CL44*100/$E$44</f>
        <v/>
      </c>
      <c r="CN44" s="108" t="n"/>
      <c r="CO44" s="122">
        <f>CN44*100/$E$44</f>
        <v/>
      </c>
      <c r="CP44" s="108" t="n"/>
      <c r="CQ44" s="107">
        <f>CP44*100/$E$44</f>
        <v/>
      </c>
      <c r="CR44" s="108" t="n"/>
      <c r="CS44" s="122">
        <f>CR44*100/$E$44</f>
        <v/>
      </c>
      <c r="CT44" s="108" t="n"/>
      <c r="CU44" s="122">
        <f>CT44*100/$E$44</f>
        <v/>
      </c>
      <c r="CV44" s="108" t="n"/>
      <c r="CW44" s="122">
        <f>CV44*100/$E$44</f>
        <v/>
      </c>
      <c r="CX44" s="108" t="n"/>
      <c r="CY44" s="122">
        <f>CX44*100/$E$44</f>
        <v/>
      </c>
      <c r="CZ44" s="108" t="n"/>
      <c r="DA44" s="122">
        <f>CZ44*100/$E$44</f>
        <v/>
      </c>
      <c r="DB44" s="108" t="n"/>
      <c r="DC44" s="122">
        <f>DB44*100/$E$44</f>
        <v/>
      </c>
      <c r="DD44" s="108" t="n"/>
      <c r="DE44" s="122">
        <f>DD44*100/$E$44</f>
        <v/>
      </c>
      <c r="DF44" s="108" t="n"/>
      <c r="DG44" s="122">
        <f>DF44*100/$E$44</f>
        <v/>
      </c>
      <c r="DH44" s="108" t="n"/>
      <c r="DI44" s="122">
        <f>DH44*100/$E$44</f>
        <v/>
      </c>
      <c r="DJ44" s="108" t="n"/>
      <c r="DK44" s="122">
        <f>DJ44*100/$E$44</f>
        <v/>
      </c>
      <c r="DL44" s="108" t="n"/>
      <c r="DM44" s="122">
        <f>DL44*100/$E$44</f>
        <v/>
      </c>
      <c r="DN44" s="108" t="n"/>
      <c r="DO44" s="122">
        <f>DN44*100/$E$44</f>
        <v/>
      </c>
      <c r="DP44" s="108" t="n"/>
      <c r="DQ44" s="122">
        <f>DP44*100/$E$44</f>
        <v/>
      </c>
      <c r="DR44" s="108" t="n"/>
      <c r="DS44" s="122">
        <f>DR44*100/$E$44</f>
        <v/>
      </c>
      <c r="DT44" s="108" t="n"/>
      <c r="DU44" s="122">
        <f>DT44*100/$E$44</f>
        <v/>
      </c>
      <c r="DV44" s="108" t="n"/>
      <c r="DW44" s="122">
        <f>DV44*100/$E$44</f>
        <v/>
      </c>
      <c r="DX44" s="108" t="n"/>
      <c r="DY44" s="122">
        <f>DX44*100/$E$44</f>
        <v/>
      </c>
      <c r="DZ44" s="108" t="n"/>
      <c r="EA44" s="122">
        <f>DZ44*100/$E$44</f>
        <v/>
      </c>
      <c r="EB44" s="108" t="n"/>
      <c r="EC44" s="122">
        <f>EB44*100/$E$44</f>
        <v/>
      </c>
      <c r="ED44" s="108" t="n"/>
      <c r="EE44" s="122">
        <f>ED44*100/$E$44</f>
        <v/>
      </c>
      <c r="EF44" s="108" t="n"/>
      <c r="EG44" s="122">
        <f>EF44*100/$E$44</f>
        <v/>
      </c>
      <c r="EH44" s="108" t="n"/>
      <c r="EI44" s="122">
        <f>EH44*100/$E$44</f>
        <v/>
      </c>
      <c r="EJ44" s="108" t="n"/>
      <c r="EK44" s="122">
        <f>EJ44*100/$E$44</f>
        <v/>
      </c>
      <c r="EL44" s="108" t="n"/>
      <c r="EM44" s="122">
        <f>EL44*100/$E$44</f>
        <v/>
      </c>
      <c r="EN44" s="108" t="n"/>
      <c r="EO44" s="122">
        <f>EN44*100/$E$44</f>
        <v/>
      </c>
      <c r="EP44" s="108" t="n"/>
      <c r="EQ44" s="122">
        <f>EP44*100/$E$44</f>
        <v/>
      </c>
      <c r="ER44" s="108" t="n"/>
      <c r="ES44" s="122">
        <f>ER44*100/$E$44</f>
        <v/>
      </c>
      <c r="ET44" s="108" t="n"/>
      <c r="EU44" s="122">
        <f>ET44*100/$E$44</f>
        <v/>
      </c>
      <c r="EV44" s="108" t="n"/>
      <c r="EW44" s="122">
        <f>EV44*100/$E$44</f>
        <v/>
      </c>
      <c r="EX44" s="108" t="n"/>
      <c r="EY44" s="122">
        <f>EX44*100/$E$44</f>
        <v/>
      </c>
      <c r="EZ44" s="108" t="n"/>
      <c r="FA44" s="122">
        <f>EZ44*100/$E$44</f>
        <v/>
      </c>
      <c r="FB44" s="108" t="n"/>
      <c r="FC44" s="122">
        <f>FB44*100/$E$44</f>
        <v/>
      </c>
      <c r="FD44" s="108" t="n"/>
      <c r="FE44" s="122">
        <f>FD44*100/$E$44</f>
        <v/>
      </c>
      <c r="FF44" s="108" t="n"/>
      <c r="FG44" s="122">
        <f>FF44*100/$E$44</f>
        <v/>
      </c>
      <c r="FH44" s="108" t="n"/>
      <c r="FI44" s="122">
        <f>FH44*100/$E$44</f>
        <v/>
      </c>
      <c r="FJ44" s="108" t="n"/>
      <c r="FK44" s="122">
        <f>FJ44*100/$E$44</f>
        <v/>
      </c>
      <c r="FL44" s="108" t="n"/>
      <c r="FM44" s="122">
        <f>FL44*100/$E$44</f>
        <v/>
      </c>
      <c r="FN44" s="108" t="n"/>
      <c r="FO44" s="122">
        <f>FN44*100/$E$44</f>
        <v/>
      </c>
      <c r="FP44" s="108" t="n"/>
      <c r="FQ44" s="122">
        <f>FP44*100/$E$44</f>
        <v/>
      </c>
      <c r="FR44" s="108" t="n"/>
      <c r="FS44" s="122">
        <f>FR44*100/$E$44</f>
        <v/>
      </c>
      <c r="FT44" s="108" t="n"/>
      <c r="FU44" s="122">
        <f>FT44*100/$E$44</f>
        <v/>
      </c>
      <c r="FV44" s="108" t="n"/>
      <c r="FW44" s="122">
        <f>FV44*100/$E$44</f>
        <v/>
      </c>
      <c r="FX44" s="108" t="n"/>
      <c r="FY44" s="107">
        <f>FX44*100/$E$44</f>
        <v/>
      </c>
      <c r="FZ44" s="108" t="n"/>
      <c r="GA44" s="107">
        <f>FZ44*100/$E$44</f>
        <v/>
      </c>
      <c r="GB44" s="108" t="n"/>
      <c r="GC44" s="107">
        <f>GB44*100/$E$44</f>
        <v/>
      </c>
      <c r="GD44" s="108" t="n"/>
      <c r="GE44" s="107">
        <f>GD44*100/$E$44</f>
        <v/>
      </c>
      <c r="GF44" s="108" t="n"/>
      <c r="GG44" s="107">
        <f>GF44*100/$E$44</f>
        <v/>
      </c>
      <c r="GH44" s="108" t="n"/>
      <c r="GI44" s="107">
        <f>GH44*100/$E$44</f>
        <v/>
      </c>
      <c r="GJ44" s="108" t="n"/>
      <c r="GK44" s="122">
        <f>GJ44*100/$E$44</f>
        <v/>
      </c>
      <c r="GL44" s="108" t="n"/>
      <c r="GM44" s="107">
        <f>GL44*100/$E$44</f>
        <v/>
      </c>
      <c r="GN44" s="108" t="n"/>
      <c r="GO44" s="122">
        <f>GN44*100/$E$44</f>
        <v/>
      </c>
      <c r="GP44" s="108" t="n"/>
      <c r="GQ44" s="107">
        <f>GP44*100/$E$44</f>
        <v/>
      </c>
      <c r="GR44" s="108" t="n"/>
      <c r="GS44" s="122">
        <f>GR44*100/$E$44</f>
        <v/>
      </c>
      <c r="GT44" s="108" t="n"/>
      <c r="GU44" s="122">
        <f>GT44*100/$E$44</f>
        <v/>
      </c>
      <c r="GV44" s="108" t="n"/>
      <c r="GW44" s="122">
        <f>GV44*100/$E$44</f>
        <v/>
      </c>
      <c r="GX44" s="108" t="n"/>
      <c r="GY44" s="107">
        <f>GX44*100/$E$44</f>
        <v/>
      </c>
      <c r="GZ44" s="108" t="n"/>
      <c r="HA44" s="107">
        <f>GZ44*100/$E$44</f>
        <v/>
      </c>
      <c r="HB44" s="108" t="n"/>
      <c r="HC44" s="107">
        <f>HB44*100/$E$44</f>
        <v/>
      </c>
      <c r="HD44" s="108" t="n"/>
      <c r="HE44" s="107">
        <f>HD44*100/$E$44</f>
        <v/>
      </c>
      <c r="HF44" s="108" t="n"/>
      <c r="HG44" s="107">
        <f>HF44*100/$E$44</f>
        <v/>
      </c>
      <c r="HH44" s="108" t="n"/>
      <c r="HI44" s="107">
        <f>HH44*100/$E$44</f>
        <v/>
      </c>
      <c r="HJ44" s="108" t="n"/>
      <c r="HK44" s="107">
        <f>HJ44*100/$E$44</f>
        <v/>
      </c>
      <c r="HL44" s="108" t="n"/>
      <c r="HM44" s="107">
        <f>HL44*100/$E$44</f>
        <v/>
      </c>
      <c r="HN44" s="108" t="n"/>
      <c r="HO44" s="107">
        <f>HN44*100/$E$44</f>
        <v/>
      </c>
      <c r="HP44" s="108" t="n"/>
      <c r="HQ44" s="107">
        <f>HP44*100/$E$44</f>
        <v/>
      </c>
      <c r="HR44" s="108" t="n"/>
      <c r="HS44" s="107">
        <f>HR44*100/$E$44</f>
        <v/>
      </c>
      <c r="HT44" s="108" t="n"/>
      <c r="HU44" s="107">
        <f>HT44*100/$E$44</f>
        <v/>
      </c>
      <c r="HV44" s="108" t="n"/>
      <c r="HW44" s="107">
        <f>HV44*100/$E$44</f>
        <v/>
      </c>
      <c r="HX44" s="108" t="n"/>
      <c r="HY44" s="107">
        <f>HX44*100/$E$44</f>
        <v/>
      </c>
      <c r="HZ44" s="108" t="n"/>
      <c r="IA44" s="122">
        <f>HZ44*100/$E$44</f>
        <v/>
      </c>
      <c r="IB44" s="108" t="n"/>
      <c r="IC44" s="122">
        <f>IB44*100/$E$44</f>
        <v/>
      </c>
      <c r="ID44" s="108" t="n"/>
      <c r="IE44" s="122">
        <f>ID44*100/$E$44</f>
        <v/>
      </c>
      <c r="IF44" s="108" t="n"/>
      <c r="IG44" s="122">
        <f>IF44*100/$E$44</f>
        <v/>
      </c>
      <c r="IH44" s="108" t="n"/>
      <c r="II44" s="122">
        <f>IH44*100/$E$44</f>
        <v/>
      </c>
      <c r="IJ44" s="108" t="n"/>
      <c r="IK44" s="122">
        <f>IJ44*100/$E$44</f>
        <v/>
      </c>
      <c r="IL44" s="108" t="n"/>
      <c r="IM44" s="107">
        <f>IL44*100/$E$44</f>
        <v/>
      </c>
      <c r="IN44" s="108" t="n"/>
      <c r="IO44" s="107">
        <f>IN44*100/$E$44</f>
        <v/>
      </c>
      <c r="IP44" s="108" t="n"/>
      <c r="IQ44" s="122">
        <f>IP44*100/$E$44</f>
        <v/>
      </c>
      <c r="IR44" s="108" t="n"/>
      <c r="IS44" s="122">
        <f>IR44*100/$E$44</f>
        <v/>
      </c>
      <c r="IT44" s="108" t="n"/>
      <c r="IU44" s="122">
        <f>IT44*100/$E$44</f>
        <v/>
      </c>
      <c r="IV44" s="108" t="n"/>
      <c r="IW44" s="122">
        <f>IV44*100/$E$44</f>
        <v/>
      </c>
      <c r="IX44" s="108" t="n"/>
      <c r="IY44" s="122">
        <f>IX44*100/$E$44</f>
        <v/>
      </c>
      <c r="IZ44" s="108" t="n"/>
      <c r="JA44" s="122">
        <f>IZ44*100/$E$44</f>
        <v/>
      </c>
      <c r="JB44" s="108" t="n"/>
      <c r="JC44" s="122">
        <f>JB44*100/$E$44</f>
        <v/>
      </c>
      <c r="JD44" s="108" t="n"/>
      <c r="JE44" s="122">
        <f>JD44*100/$E$44</f>
        <v/>
      </c>
      <c r="JF44" s="133" t="n"/>
      <c r="JG44" s="122">
        <f>JF44*100/$E$44</f>
        <v/>
      </c>
      <c r="JH44" s="108" t="n"/>
      <c r="JI44" s="122">
        <f>JH44*100/$E$44</f>
        <v/>
      </c>
      <c r="JJ44" s="108" t="n"/>
      <c r="JK44" s="122">
        <f>JJ44*100/$E$44</f>
        <v/>
      </c>
      <c r="JL44" s="108" t="n"/>
      <c r="JM44" s="122">
        <f>JL44*100/$E$44</f>
        <v/>
      </c>
      <c r="JN44" s="108" t="n"/>
      <c r="JO44" s="121">
        <f>JN44*100/$E$44</f>
        <v/>
      </c>
      <c r="JP44" s="108" t="n"/>
      <c r="JQ44" s="121">
        <f>JP44*100/$E$44</f>
        <v/>
      </c>
      <c r="JR44" s="108" t="n"/>
      <c r="JS44" s="121">
        <f>JR44*100/$E$44</f>
        <v/>
      </c>
      <c r="JT44" s="108" t="n"/>
      <c r="JU44" s="121">
        <f>JT44*100/$E$44</f>
        <v/>
      </c>
      <c r="JV44" s="108" t="n"/>
      <c r="JW44" s="121">
        <f>JV44*100/$E$44</f>
        <v/>
      </c>
      <c r="JX44" s="108" t="n"/>
      <c r="JY44" s="121">
        <f>JX44*100/$E$44</f>
        <v/>
      </c>
      <c r="JZ44" s="55">
        <f>JN44+JP44+JR44+JT44+JV44+JX44</f>
        <v/>
      </c>
      <c r="KA44" s="53">
        <f>JO44+JQ44+JS44+JU44+JW44+JY44</f>
        <v/>
      </c>
      <c r="KB44" s="64">
        <f>H44+J44+L44+N44+P44+R44+T44+V44+X44+Z44+AB44+AD44+AF44+AH44+AJ44+AL44+AN44+AP44+AR44+AT44+AV44+AX44+AZ44+BB44+BD44+BF44+BH44+BJ44+BL44+BN44+BP44+BR44+BT44+BV44+BX44+BZ44+CB44+CD44+CF44+CH44+CZ44+DB44+DD44+DF44+DH44+DJ44+DL44+DN44+DP44+DR44+DT44+DV44+DX44+DZ44+EB44+ED44+EF44+EH44+EJ44+EL44+EN44+EP44+ER44+ET44+EV44+FN44+FP44+FR44+FT44+FV44+FX44+FZ44+GB44+GD44+GF44+GH44+GJ44+GL44+GN44+GP44+GR44+GT44+GV44+GX44+GZ44+HB44+HD44+HF44+HH44+HJ44+HL44+HN44+HP44+HR44+HT44+HV44+HX44+HZ44+IB44+ID44+IF44+IH44+IJ44+IL44+IN44+IP44+IR44+IT44+IV44+IX44+IZ44+JB44+JD44+JF44+JH44+JJ44+JL44+JZ44+CJ44+CL44+CN44+CP44+CR44+CT44+CV44+CX44+EX44+EZ44+FB44+FD44+FF44+FH44+FJ44+FL44</f>
        <v/>
      </c>
      <c r="KC44" s="66">
        <f>I44+K44+M44+O44+Q44+S44+U44+W44+Y44+AA44+AC44+AE44+AG44+AI44+AK44+AM44+AO44+AQ44+AS44+AU44+AW44+AY44+BA44+BC44+BE44+BG44+BI44+BK44+BM44+BO44+BQ44+BS44+BU44+BW44+BY44+CA44+CC44+CE44+CG44+CI44+DA44+DC44+DE44+DG44+DI44+DK44+DM44+DO44+DQ44+DS44+DU44+DW44+DY44+EA44+EC44+EE44+EG44+EI44+EK44+EM44+EO44+EQ44+ES44+EU44+EW44+FO44+FS44+FU44+FW44+FQ44+FY44+GA44+GC44+GE44+GG44+GI44+GK44+GM44+GO44+GQ44+GS44+GU44+GW44+GY44+HA44+HC44+HE44+HG44+HI44+HK44+HM44+HO44+HQ44+HS44+HU44+HW44+HY44+IA44+IC44+IE44+IG44+II44+IK44+IM44+IO44+IQ44+IS44+IU44+IW44+IY44+JA44+JC44+JE44+JG44+JI44+JK44+JM44+KA44+CK44+CM44+CO44+CQ44+CS44+CU44+CW44+CY44+EY44+FA44+FC44+FE44+FG44+FI44+FK44+FM44</f>
        <v/>
      </c>
      <c r="KD44" s="44">
        <f>JO44+JQ44+JS44+JU44+JW44+JY44</f>
        <v/>
      </c>
      <c r="KE44" s="45">
        <f>KB44=E44</f>
        <v/>
      </c>
      <c r="KF44" s="101">
        <f>E44-KB44</f>
        <v/>
      </c>
      <c r="KG44" s="17" t="n"/>
    </row>
    <row r="45" ht="21.75" customFormat="1" customHeight="1" s="17">
      <c r="A45" s="126">
        <f>A44+1</f>
        <v/>
      </c>
      <c r="B45" s="175" t="inlineStr">
        <is>
          <t>Титаев А.А.</t>
        </is>
      </c>
      <c r="C45" s="176" t="inlineStr">
        <is>
          <t>слесарь МСР</t>
        </is>
      </c>
      <c r="D45" s="177">
        <f>$D$5</f>
        <v/>
      </c>
      <c r="E45" s="202" t="n">
        <v>40</v>
      </c>
      <c r="F45" s="178" t="n">
        <v>55770</v>
      </c>
      <c r="G45" s="52">
        <f>F45/D45</f>
        <v/>
      </c>
      <c r="H45" s="125" t="n"/>
      <c r="I45" s="107">
        <f>H45*100/$E$45</f>
        <v/>
      </c>
      <c r="J45" s="108" t="n"/>
      <c r="K45" s="107">
        <f>J45*100/$E$45</f>
        <v/>
      </c>
      <c r="L45" s="108" t="n"/>
      <c r="M45" s="107">
        <f>L45*100/$E$45</f>
        <v/>
      </c>
      <c r="N45" s="108" t="n"/>
      <c r="O45" s="107">
        <f>N45*100/$E$45</f>
        <v/>
      </c>
      <c r="P45" s="108" t="n"/>
      <c r="Q45" s="122">
        <f>P45*100/$E$45</f>
        <v/>
      </c>
      <c r="R45" s="108" t="n"/>
      <c r="S45" s="122">
        <f>R45*100/$E$45</f>
        <v/>
      </c>
      <c r="T45" s="108" t="n"/>
      <c r="U45" s="107">
        <f>T45*100/$E$45</f>
        <v/>
      </c>
      <c r="V45" s="108" t="n"/>
      <c r="W45" s="107">
        <f>V45*100/$E$45</f>
        <v/>
      </c>
      <c r="X45" s="108" t="n"/>
      <c r="Y45" s="107">
        <f>X45*100/$E$45</f>
        <v/>
      </c>
      <c r="Z45" s="108" t="n"/>
      <c r="AA45" s="107">
        <f>Z45*100/$E$45</f>
        <v/>
      </c>
      <c r="AB45" s="108" t="n"/>
      <c r="AC45" s="107">
        <f>AB45*100/$E$45</f>
        <v/>
      </c>
      <c r="AD45" s="108" t="n"/>
      <c r="AE45" s="122">
        <f>AD45*100/$E$45</f>
        <v/>
      </c>
      <c r="AF45" s="108" t="n"/>
      <c r="AG45" s="122">
        <f>AF45*100/$E$45</f>
        <v/>
      </c>
      <c r="AH45" s="108" t="n"/>
      <c r="AI45" s="107">
        <f>AH45*100/$E$45</f>
        <v/>
      </c>
      <c r="AJ45" s="108" t="n"/>
      <c r="AK45" s="107">
        <f>AJ45*100/$E$45</f>
        <v/>
      </c>
      <c r="AL45" s="108" t="n"/>
      <c r="AM45" s="107">
        <f>AL45*100/$E$45</f>
        <v/>
      </c>
      <c r="AN45" s="108" t="n">
        <v>2</v>
      </c>
      <c r="AO45" s="107">
        <f>AN45*100/$E$45</f>
        <v/>
      </c>
      <c r="AP45" s="108" t="n"/>
      <c r="AQ45" s="107">
        <f>AP45*100/$E$45</f>
        <v/>
      </c>
      <c r="AR45" s="108" t="n"/>
      <c r="AS45" s="107">
        <f>AR45*100/$E$45</f>
        <v/>
      </c>
      <c r="AT45" s="108" t="n"/>
      <c r="AU45" s="90">
        <f>AT45*100/$E$45</f>
        <v/>
      </c>
      <c r="AV45" s="108" t="n"/>
      <c r="AW45" s="107">
        <f>AV45*100/$E$45</f>
        <v/>
      </c>
      <c r="AX45" s="108" t="n"/>
      <c r="AY45" s="107">
        <f>AX45*100/$E$45</f>
        <v/>
      </c>
      <c r="AZ45" s="108" t="n"/>
      <c r="BA45" s="107">
        <f>AZ45*100/$E$45</f>
        <v/>
      </c>
      <c r="BB45" s="108" t="n"/>
      <c r="BC45" s="107">
        <f>BB45*100/$E$45</f>
        <v/>
      </c>
      <c r="BD45" s="108" t="n"/>
      <c r="BE45" s="107">
        <f>BD45*100/$E$45</f>
        <v/>
      </c>
      <c r="BF45" s="108" t="n"/>
      <c r="BG45" s="107">
        <f>BF45*100/$E$45</f>
        <v/>
      </c>
      <c r="BH45" s="108" t="n"/>
      <c r="BI45" s="107">
        <f>BH45*100/$E$45</f>
        <v/>
      </c>
      <c r="BJ45" s="108" t="n"/>
      <c r="BK45" s="107">
        <f>BJ45*100/$E$45</f>
        <v/>
      </c>
      <c r="BL45" s="108" t="n"/>
      <c r="BM45" s="107">
        <f>BL45*100/$E$45</f>
        <v/>
      </c>
      <c r="BN45" s="108" t="n"/>
      <c r="BO45" s="107">
        <f>BN45*100/$E$45</f>
        <v/>
      </c>
      <c r="BP45" s="108" t="n"/>
      <c r="BQ45" s="107">
        <f>BP45*100/$E$45</f>
        <v/>
      </c>
      <c r="BR45" s="108" t="n"/>
      <c r="BS45" s="107">
        <f>BR45*100/$E$45</f>
        <v/>
      </c>
      <c r="BT45" s="108" t="n"/>
      <c r="BU45" s="107">
        <f>BT45*100/$E$45</f>
        <v/>
      </c>
      <c r="BV45" s="108" t="n"/>
      <c r="BW45" s="107">
        <f>BV45*100/$E$45</f>
        <v/>
      </c>
      <c r="BX45" s="108" t="n"/>
      <c r="BY45" s="107">
        <f>BX45*100/$E$45</f>
        <v/>
      </c>
      <c r="BZ45" s="108" t="n"/>
      <c r="CA45" s="107">
        <f>BZ45*100/$E$45</f>
        <v/>
      </c>
      <c r="CB45" s="108" t="n"/>
      <c r="CC45" s="107">
        <f>CB45*100/$E$45</f>
        <v/>
      </c>
      <c r="CD45" s="108" t="n"/>
      <c r="CE45" s="107">
        <f>CD45*100/$E$45</f>
        <v/>
      </c>
      <c r="CF45" s="108" t="n"/>
      <c r="CG45" s="107">
        <f>CF45*100/$E$45</f>
        <v/>
      </c>
      <c r="CH45" s="108" t="n"/>
      <c r="CI45" s="107">
        <f>CH45*100/$E$45</f>
        <v/>
      </c>
      <c r="CJ45" s="108" t="n"/>
      <c r="CK45" s="107">
        <f>CJ45*100/$E$45</f>
        <v/>
      </c>
      <c r="CL45" s="108" t="n"/>
      <c r="CM45" s="107">
        <f>CL45*100/$E$45</f>
        <v/>
      </c>
      <c r="CN45" s="108" t="n"/>
      <c r="CO45" s="122">
        <f>CN45*100/$E$45</f>
        <v/>
      </c>
      <c r="CP45" s="108" t="n"/>
      <c r="CQ45" s="107">
        <f>CP45*100/$E$45</f>
        <v/>
      </c>
      <c r="CR45" s="108" t="n"/>
      <c r="CS45" s="122">
        <f>CR45*100/$E$45</f>
        <v/>
      </c>
      <c r="CT45" s="108" t="n"/>
      <c r="CU45" s="122">
        <f>CT45*100/$E$45</f>
        <v/>
      </c>
      <c r="CV45" s="108" t="n"/>
      <c r="CW45" s="122">
        <f>CV45*100/$E$45</f>
        <v/>
      </c>
      <c r="CX45" s="108" t="n"/>
      <c r="CY45" s="122">
        <f>CX45*100/$E$45</f>
        <v/>
      </c>
      <c r="CZ45" s="108" t="n"/>
      <c r="DA45" s="122">
        <f>CZ45*100/$E$45</f>
        <v/>
      </c>
      <c r="DB45" s="108" t="n"/>
      <c r="DC45" s="122">
        <f>DB45*100/$E$45</f>
        <v/>
      </c>
      <c r="DD45" s="108" t="n"/>
      <c r="DE45" s="122">
        <f>DD45*100/$E$45</f>
        <v/>
      </c>
      <c r="DF45" s="108" t="n"/>
      <c r="DG45" s="122">
        <f>DF45*100/$E$45</f>
        <v/>
      </c>
      <c r="DH45" s="108" t="n"/>
      <c r="DI45" s="122">
        <f>DH45*100/$E$45</f>
        <v/>
      </c>
      <c r="DJ45" s="108" t="n"/>
      <c r="DK45" s="122">
        <f>DJ45*100/$E$45</f>
        <v/>
      </c>
      <c r="DL45" s="108" t="n"/>
      <c r="DM45" s="122">
        <f>DL45*100/$E$45</f>
        <v/>
      </c>
      <c r="DN45" s="108" t="n"/>
      <c r="DO45" s="122">
        <f>DN45*100/$E$45</f>
        <v/>
      </c>
      <c r="DP45" s="108" t="n"/>
      <c r="DQ45" s="122">
        <f>DP45*100/$E$45</f>
        <v/>
      </c>
      <c r="DR45" s="108" t="n"/>
      <c r="DS45" s="122">
        <f>DR45*100/$E$45</f>
        <v/>
      </c>
      <c r="DT45" s="108" t="n"/>
      <c r="DU45" s="122">
        <f>DT45*100/$E$45</f>
        <v/>
      </c>
      <c r="DV45" s="108" t="n"/>
      <c r="DW45" s="122">
        <f>DV45*100/$E$45</f>
        <v/>
      </c>
      <c r="DX45" s="108" t="n"/>
      <c r="DY45" s="122">
        <f>DX45*100/$E$45</f>
        <v/>
      </c>
      <c r="DZ45" s="108" t="n"/>
      <c r="EA45" s="122">
        <f>DZ45*100/$E$45</f>
        <v/>
      </c>
      <c r="EB45" s="108" t="n"/>
      <c r="EC45" s="122">
        <f>EB45*100/$E$45</f>
        <v/>
      </c>
      <c r="ED45" s="108" t="n"/>
      <c r="EE45" s="122">
        <f>ED45*100/$E$45</f>
        <v/>
      </c>
      <c r="EF45" s="108" t="n"/>
      <c r="EG45" s="122">
        <f>EF45*100/$E$45</f>
        <v/>
      </c>
      <c r="EH45" s="108" t="n"/>
      <c r="EI45" s="122">
        <f>EH45*100/$E$45</f>
        <v/>
      </c>
      <c r="EJ45" s="108" t="n"/>
      <c r="EK45" s="122">
        <f>EJ45*100/$E$45</f>
        <v/>
      </c>
      <c r="EL45" s="108" t="n"/>
      <c r="EM45" s="122">
        <f>EL45*100/$E$45</f>
        <v/>
      </c>
      <c r="EN45" s="108" t="n"/>
      <c r="EO45" s="122">
        <f>EN45*100/$E$45</f>
        <v/>
      </c>
      <c r="EP45" s="108" t="n"/>
      <c r="EQ45" s="122">
        <f>EP45*100/$E$45</f>
        <v/>
      </c>
      <c r="ER45" s="108" t="n"/>
      <c r="ES45" s="122">
        <f>ER45*100/$E$45</f>
        <v/>
      </c>
      <c r="ET45" s="108" t="n"/>
      <c r="EU45" s="122">
        <f>ET45*100/$E$45</f>
        <v/>
      </c>
      <c r="EV45" s="108" t="n"/>
      <c r="EW45" s="122">
        <f>EV45*100/$E$45</f>
        <v/>
      </c>
      <c r="EX45" s="108" t="n"/>
      <c r="EY45" s="122">
        <f>EX45*100/$E$45</f>
        <v/>
      </c>
      <c r="EZ45" s="108" t="n"/>
      <c r="FA45" s="122">
        <f>EZ45*100/$E$45</f>
        <v/>
      </c>
      <c r="FB45" s="108" t="n"/>
      <c r="FC45" s="122">
        <f>FB45*100/$E$45</f>
        <v/>
      </c>
      <c r="FD45" s="108" t="n"/>
      <c r="FE45" s="122">
        <f>FD45*100/$E$45</f>
        <v/>
      </c>
      <c r="FF45" s="108" t="n"/>
      <c r="FG45" s="122">
        <f>FF45*100/$E$45</f>
        <v/>
      </c>
      <c r="FH45" s="108" t="n"/>
      <c r="FI45" s="122">
        <f>FH45*100/$E$45</f>
        <v/>
      </c>
      <c r="FJ45" s="108" t="n"/>
      <c r="FK45" s="122">
        <f>FJ45*100/$E$45</f>
        <v/>
      </c>
      <c r="FL45" s="108" t="n"/>
      <c r="FM45" s="122">
        <f>FL45*100/$E$45</f>
        <v/>
      </c>
      <c r="FN45" s="108" t="n"/>
      <c r="FO45" s="122">
        <f>FN45*100/$E$45</f>
        <v/>
      </c>
      <c r="FP45" s="108" t="n"/>
      <c r="FQ45" s="122">
        <f>FP45*100/$E$45</f>
        <v/>
      </c>
      <c r="FR45" s="108" t="n"/>
      <c r="FS45" s="122">
        <f>FR45*100/$E$45</f>
        <v/>
      </c>
      <c r="FT45" s="108" t="n"/>
      <c r="FU45" s="122">
        <f>FT45*100/$E$45</f>
        <v/>
      </c>
      <c r="FV45" s="108" t="n"/>
      <c r="FW45" s="122">
        <f>FV45*100/$E$45</f>
        <v/>
      </c>
      <c r="FX45" s="108" t="n"/>
      <c r="FY45" s="107">
        <f>FX45*100/$E$45</f>
        <v/>
      </c>
      <c r="FZ45" s="108" t="n"/>
      <c r="GA45" s="107">
        <f>FZ45*100/$E$45</f>
        <v/>
      </c>
      <c r="GB45" s="108" t="n"/>
      <c r="GC45" s="107">
        <f>GB45*100/$E$45</f>
        <v/>
      </c>
      <c r="GD45" s="108" t="n"/>
      <c r="GE45" s="107">
        <f>GD45*100/$E$45</f>
        <v/>
      </c>
      <c r="GF45" s="108" t="n"/>
      <c r="GG45" s="107">
        <f>GF45*100/$E$45</f>
        <v/>
      </c>
      <c r="GH45" s="108" t="n"/>
      <c r="GI45" s="107">
        <f>GH45*100/$E$45</f>
        <v/>
      </c>
      <c r="GJ45" s="108" t="n"/>
      <c r="GK45" s="122">
        <f>GJ45*100/$E$45</f>
        <v/>
      </c>
      <c r="GL45" s="108" t="n"/>
      <c r="GM45" s="107">
        <f>GL45*100/$E$45</f>
        <v/>
      </c>
      <c r="GN45" s="108" t="n"/>
      <c r="GO45" s="122">
        <f>GN45*100/$E$45</f>
        <v/>
      </c>
      <c r="GP45" s="108" t="n"/>
      <c r="GQ45" s="107">
        <f>GP45*100/$E$45</f>
        <v/>
      </c>
      <c r="GR45" s="108" t="n"/>
      <c r="GS45" s="122">
        <f>GR45*100/$E$45</f>
        <v/>
      </c>
      <c r="GT45" s="108" t="n"/>
      <c r="GU45" s="122">
        <f>GT45*100/$E$45</f>
        <v/>
      </c>
      <c r="GV45" s="108" t="n"/>
      <c r="GW45" s="122">
        <f>GV45*100/$E$45</f>
        <v/>
      </c>
      <c r="GX45" s="108" t="n"/>
      <c r="GY45" s="107">
        <f>GX45*100/$E$45</f>
        <v/>
      </c>
      <c r="GZ45" s="108" t="n">
        <v>2</v>
      </c>
      <c r="HA45" s="107">
        <f>GZ45*100/$E$45</f>
        <v/>
      </c>
      <c r="HB45" s="108" t="n"/>
      <c r="HC45" s="107">
        <f>HB45*100/$E$45</f>
        <v/>
      </c>
      <c r="HD45" s="108" t="n">
        <v>6</v>
      </c>
      <c r="HE45" s="107">
        <f>HD45*100/$E$45</f>
        <v/>
      </c>
      <c r="HF45" s="108" t="n"/>
      <c r="HG45" s="107">
        <f>HF45*100/$E$45</f>
        <v/>
      </c>
      <c r="HH45" s="108" t="n"/>
      <c r="HI45" s="107">
        <f>HH45*100/$E$45</f>
        <v/>
      </c>
      <c r="HJ45" s="108" t="n"/>
      <c r="HK45" s="107">
        <f>HJ45*100/$E$45</f>
        <v/>
      </c>
      <c r="HL45" s="108" t="n"/>
      <c r="HM45" s="107">
        <f>HL45*100/$E$45</f>
        <v/>
      </c>
      <c r="HN45" s="108" t="n"/>
      <c r="HO45" s="107">
        <f>HN45*100/$E$45</f>
        <v/>
      </c>
      <c r="HP45" s="108" t="n"/>
      <c r="HQ45" s="107">
        <f>HP45*100/$E$45</f>
        <v/>
      </c>
      <c r="HR45" s="108" t="n"/>
      <c r="HS45" s="107">
        <f>HR45*100/$E$45</f>
        <v/>
      </c>
      <c r="HT45" s="108" t="n"/>
      <c r="HU45" s="107">
        <f>HT45*100/$E$45</f>
        <v/>
      </c>
      <c r="HV45" s="108" t="n"/>
      <c r="HW45" s="107">
        <f>HV45*100/$E$45</f>
        <v/>
      </c>
      <c r="HX45" s="108" t="n"/>
      <c r="HY45" s="107">
        <f>HX45*100/$E$45</f>
        <v/>
      </c>
      <c r="HZ45" s="108" t="n"/>
      <c r="IA45" s="122">
        <f>HZ45*100/$E$45</f>
        <v/>
      </c>
      <c r="IB45" s="108" t="n"/>
      <c r="IC45" s="122">
        <f>IB45*100/$E$45</f>
        <v/>
      </c>
      <c r="ID45" s="108" t="n"/>
      <c r="IE45" s="122">
        <f>ID45*100/$E$45</f>
        <v/>
      </c>
      <c r="IF45" s="108" t="n"/>
      <c r="IG45" s="122">
        <f>IF45*100/$E$45</f>
        <v/>
      </c>
      <c r="IH45" s="108" t="n"/>
      <c r="II45" s="122">
        <f>IH45*100/$E$45</f>
        <v/>
      </c>
      <c r="IJ45" s="108" t="n"/>
      <c r="IK45" s="122">
        <f>IJ45*100/$E$45</f>
        <v/>
      </c>
      <c r="IL45" s="108" t="n"/>
      <c r="IM45" s="107">
        <f>IL45*100/$E$45</f>
        <v/>
      </c>
      <c r="IN45" s="108" t="n"/>
      <c r="IO45" s="107">
        <f>IN45*100/$E$45</f>
        <v/>
      </c>
      <c r="IP45" s="108" t="n"/>
      <c r="IQ45" s="122">
        <f>IP45*100/$E$45</f>
        <v/>
      </c>
      <c r="IR45" s="108" t="n"/>
      <c r="IS45" s="122">
        <f>IR45*100/$E$45</f>
        <v/>
      </c>
      <c r="IT45" s="108" t="n"/>
      <c r="IU45" s="122">
        <f>IT45*100/$E$45</f>
        <v/>
      </c>
      <c r="IV45" s="108" t="n"/>
      <c r="IW45" s="122">
        <f>IV45*100/$E$45</f>
        <v/>
      </c>
      <c r="IX45" s="108" t="n"/>
      <c r="IY45" s="122">
        <f>IX45*100/$E$45</f>
        <v/>
      </c>
      <c r="IZ45" s="108" t="n"/>
      <c r="JA45" s="122">
        <f>IZ45*100/$E$45</f>
        <v/>
      </c>
      <c r="JB45" s="108" t="n"/>
      <c r="JC45" s="122">
        <f>JB45*100/$E$45</f>
        <v/>
      </c>
      <c r="JD45" s="108" t="n"/>
      <c r="JE45" s="122">
        <f>JD45*100/$E$45</f>
        <v/>
      </c>
      <c r="JF45" s="108" t="n"/>
      <c r="JG45" s="122">
        <f>JF45*100/$E$45</f>
        <v/>
      </c>
      <c r="JH45" s="108" t="n"/>
      <c r="JI45" s="122">
        <f>JH45*100/$E$45</f>
        <v/>
      </c>
      <c r="JJ45" s="108" t="n"/>
      <c r="JK45" s="122">
        <f>JJ45*100/$E$45</f>
        <v/>
      </c>
      <c r="JL45" s="108" t="n">
        <v>30</v>
      </c>
      <c r="JM45" s="122">
        <f>JL45*100/$E$45</f>
        <v/>
      </c>
      <c r="JN45" s="108" t="n"/>
      <c r="JO45" s="121">
        <f>JN45*100/$E$45</f>
        <v/>
      </c>
      <c r="JP45" s="108" t="n"/>
      <c r="JQ45" s="121">
        <f>JP45*100/$E$45</f>
        <v/>
      </c>
      <c r="JR45" s="108" t="n"/>
      <c r="JS45" s="121">
        <f>JR45*100/$E$45</f>
        <v/>
      </c>
      <c r="JT45" s="108" t="n"/>
      <c r="JU45" s="121">
        <f>JT45*100/$E$45</f>
        <v/>
      </c>
      <c r="JV45" s="132" t="n"/>
      <c r="JW45" s="121">
        <f>JV45*100/$E$45</f>
        <v/>
      </c>
      <c r="JX45" s="132" t="n"/>
      <c r="JY45" s="121">
        <f>JX45*100/$E$45</f>
        <v/>
      </c>
      <c r="JZ45" s="55">
        <f>JN45+JP45+JR45+JT45+JV45+JX45</f>
        <v/>
      </c>
      <c r="KA45" s="53">
        <f>JO45+JQ45+JS45+JU45+JW45+JY45</f>
        <v/>
      </c>
      <c r="KB45" s="64">
        <f>H45+J45+L45+N45+P45+R45+T45+V45+X45+Z45+AB45+AD45+AF45+AH45+AJ45+AL45+AN45+AP45+AR45+AT45+AV45+AX45+AZ45+BB45+BD45+BF45+BH45+BJ45+BL45+BN45+BP45+BR45+BT45+BV45+BX45+BZ45+CB45+CD45+CF45+CH45+CZ45+DB45+DD45+DF45+DH45+DJ45+DL45+DN45+DP45+DR45+DT45+DV45+DX45+DZ45+EB45+ED45+EF45+EH45+EJ45+EL45+EN45+EP45+ER45+ET45+EV45+FN45+FP45+FR45+FT45+FV45+FX45+FZ45+GB45+GD45+GF45+GH45+GJ45+GL45+GN45+GP45+GR45+GT45+GV45+GX45+GZ45+HB45+HD45+HF45+HH45+HJ45+HL45+HN45+HP45+HR45+HT45+HV45+HX45+HZ45+IB45+ID45+IF45+IH45+IJ45+IL45+IN45+IP45+IR45+IT45+IV45+IX45+IZ45+JB45+JD45+JF45+JH45+JJ45+JL45+JZ45+CJ45+CL45+CN45+CP45+CR45+CT45+CV45+CX45+EX45+EZ45+FB45+FD45+FF45+FH45+FJ45+FL45</f>
        <v/>
      </c>
      <c r="KC45" s="66">
        <f>I45+K45+M45+O45+Q45+S45+U45+W45+Y45+AA45+AC45+AE45+AG45+AI45+AK45+AM45+AO45+AQ45+AS45+AU45+AW45+AY45+BA45+BC45+BE45+BG45+BI45+BK45+BM45+BO45+BQ45+BS45+BU45+BW45+BY45+CA45+CC45+CE45+CG45+CI45+DA45+DC45+DE45+DG45+DI45+DK45+DM45+DO45+DQ45+DS45+DU45+DW45+DY45+EA45+EC45+EE45+EG45+EI45+EK45+EM45+EO45+EQ45+ES45+EU45+EW45+FO45+FS45+FU45+FW45+FQ45+FY45+GA45+GC45+GE45+GG45+GI45+GK45+GM45+GO45+GQ45+GS45+GU45+GW45+GY45+HA45+HC45+HE45+HG45+HI45+HK45+HM45+HO45+HQ45+HS45+HU45+HW45+HY45+IA45+IC45+IE45+IG45+II45+IK45+IM45+IO45+IQ45+IS45+IU45+IW45+IY45+JA45+JC45+JE45+JG45+JI45+JK45+JM45+KA45+CK45+CM45+CO45+CQ45+CS45+CU45+CW45+CY45+EY45+FA45+FC45+FE45+FG45+FI45+FK45+FM45</f>
        <v/>
      </c>
      <c r="KD45" s="44">
        <f>JO45+JQ45+JS45+JU45+JW45+JY45</f>
        <v/>
      </c>
      <c r="KE45" s="45">
        <f>KB45=E45</f>
        <v/>
      </c>
      <c r="KF45" s="101">
        <f>E45-KB45</f>
        <v/>
      </c>
      <c r="KG45" s="11" t="n"/>
    </row>
    <row r="46" ht="21.75" customFormat="1" customHeight="1" s="11">
      <c r="A46" s="126">
        <f>A45+1</f>
        <v/>
      </c>
      <c r="B46" s="175" t="inlineStr">
        <is>
          <t>Токарев Н. С.</t>
        </is>
      </c>
      <c r="C46" s="176" t="inlineStr">
        <is>
          <t>фрезеровщик</t>
        </is>
      </c>
      <c r="D46" s="177">
        <f>$D$5</f>
        <v/>
      </c>
      <c r="E46" s="202" t="n"/>
      <c r="F46" s="191" t="n">
        <v>101149.88</v>
      </c>
      <c r="G46" s="52">
        <f>F46/D46</f>
        <v/>
      </c>
      <c r="H46" s="125" t="n"/>
      <c r="I46" s="107">
        <f>H46*100/$E$46</f>
        <v/>
      </c>
      <c r="J46" s="108" t="n"/>
      <c r="K46" s="107">
        <f>J46*100/$E$46</f>
        <v/>
      </c>
      <c r="L46" s="108" t="n"/>
      <c r="M46" s="107">
        <f>L46*100/$E$46</f>
        <v/>
      </c>
      <c r="N46" s="108" t="n"/>
      <c r="O46" s="107">
        <f>N46*100/$E$46</f>
        <v/>
      </c>
      <c r="P46" s="108" t="n"/>
      <c r="Q46" s="122">
        <f>P46*100/$E$46</f>
        <v/>
      </c>
      <c r="R46" s="108" t="n"/>
      <c r="S46" s="122">
        <f>R46*100/$E$46</f>
        <v/>
      </c>
      <c r="T46" s="108" t="n"/>
      <c r="U46" s="107">
        <f>T46*100/$E$46</f>
        <v/>
      </c>
      <c r="V46" s="108" t="n"/>
      <c r="W46" s="107">
        <f>V46*100/$E$46</f>
        <v/>
      </c>
      <c r="X46" s="108" t="n"/>
      <c r="Y46" s="107">
        <f>X46*100/$E$46</f>
        <v/>
      </c>
      <c r="Z46" s="108" t="n"/>
      <c r="AA46" s="107">
        <f>Z46*100/$E$46</f>
        <v/>
      </c>
      <c r="AB46" s="108" t="n"/>
      <c r="AC46" s="107">
        <f>AB46*100/$E$46</f>
        <v/>
      </c>
      <c r="AD46" s="108" t="n"/>
      <c r="AE46" s="122">
        <f>AD46*100/$E$46</f>
        <v/>
      </c>
      <c r="AF46" s="108" t="n"/>
      <c r="AG46" s="122">
        <f>AF46*100/$E$46</f>
        <v/>
      </c>
      <c r="AH46" s="108" t="n"/>
      <c r="AI46" s="107">
        <f>AH46*100/$E$46</f>
        <v/>
      </c>
      <c r="AJ46" s="108" t="n"/>
      <c r="AK46" s="107">
        <f>AJ46*100/$E$46</f>
        <v/>
      </c>
      <c r="AL46" s="108" t="n"/>
      <c r="AM46" s="107">
        <f>AL46*100/$E$46</f>
        <v/>
      </c>
      <c r="AN46" s="108" t="n"/>
      <c r="AO46" s="107">
        <f>AN46*100/$E$46</f>
        <v/>
      </c>
      <c r="AP46" s="108" t="n"/>
      <c r="AQ46" s="107">
        <f>AP46*100/$E$46</f>
        <v/>
      </c>
      <c r="AR46" s="108" t="n"/>
      <c r="AS46" s="107">
        <f>AR46*100/$E$46</f>
        <v/>
      </c>
      <c r="AT46" s="108" t="n"/>
      <c r="AU46" s="90">
        <f>AT46*100/$E$46</f>
        <v/>
      </c>
      <c r="AV46" s="108" t="n"/>
      <c r="AW46" s="107">
        <f>AV46*100/$E$46</f>
        <v/>
      </c>
      <c r="AX46" s="108" t="n"/>
      <c r="AY46" s="107">
        <f>AX46*100/$E$46</f>
        <v/>
      </c>
      <c r="AZ46" s="108" t="n"/>
      <c r="BA46" s="107">
        <f>AZ46*100/$E$46</f>
        <v/>
      </c>
      <c r="BB46" s="108" t="n"/>
      <c r="BC46" s="107">
        <f>BB46*100/$E$46</f>
        <v/>
      </c>
      <c r="BD46" s="108" t="n"/>
      <c r="BE46" s="107">
        <f>BD46*100/$E$46</f>
        <v/>
      </c>
      <c r="BF46" s="108" t="n"/>
      <c r="BG46" s="107">
        <f>BF46*100/$E$46</f>
        <v/>
      </c>
      <c r="BH46" s="108" t="n"/>
      <c r="BI46" s="107">
        <f>BH46*100/$E$46</f>
        <v/>
      </c>
      <c r="BJ46" s="108" t="n"/>
      <c r="BK46" s="107">
        <f>BJ46*100/$E$46</f>
        <v/>
      </c>
      <c r="BL46" s="108" t="n"/>
      <c r="BM46" s="107">
        <f>BL46*100/$E$46</f>
        <v/>
      </c>
      <c r="BN46" s="108" t="n"/>
      <c r="BO46" s="107">
        <f>BN46*100/$E$46</f>
        <v/>
      </c>
      <c r="BP46" s="108" t="n"/>
      <c r="BQ46" s="107">
        <f>BP46*100/$E$46</f>
        <v/>
      </c>
      <c r="BR46" s="108" t="n"/>
      <c r="BS46" s="107">
        <f>BR46*100/$E$46</f>
        <v/>
      </c>
      <c r="BT46" s="108" t="n"/>
      <c r="BU46" s="107">
        <f>BT46*100/$E$46</f>
        <v/>
      </c>
      <c r="BV46" s="108" t="n"/>
      <c r="BW46" s="107">
        <f>BV46*100/$E$46</f>
        <v/>
      </c>
      <c r="BX46" s="108" t="n"/>
      <c r="BY46" s="107">
        <f>BX46*100/$E$46</f>
        <v/>
      </c>
      <c r="BZ46" s="108" t="n"/>
      <c r="CA46" s="107">
        <f>BZ46*100/$E$46</f>
        <v/>
      </c>
      <c r="CB46" s="108" t="n"/>
      <c r="CC46" s="107">
        <f>CB46*100/$E$46</f>
        <v/>
      </c>
      <c r="CD46" s="108" t="n"/>
      <c r="CE46" s="107">
        <f>CD46*100/$E$46</f>
        <v/>
      </c>
      <c r="CF46" s="108" t="n"/>
      <c r="CG46" s="107">
        <f>CF46*100/$E$46</f>
        <v/>
      </c>
      <c r="CH46" s="108" t="n"/>
      <c r="CI46" s="107">
        <f>CH46*100/$E$46</f>
        <v/>
      </c>
      <c r="CJ46" s="108" t="n"/>
      <c r="CK46" s="107">
        <f>CJ46*100/$E$46</f>
        <v/>
      </c>
      <c r="CL46" s="108" t="n"/>
      <c r="CM46" s="107">
        <f>CL46*100/$E$46</f>
        <v/>
      </c>
      <c r="CN46" s="108" t="n"/>
      <c r="CO46" s="122">
        <f>CN46*100/$E$46</f>
        <v/>
      </c>
      <c r="CP46" s="108" t="n"/>
      <c r="CQ46" s="107">
        <f>CP46*100/$E$46</f>
        <v/>
      </c>
      <c r="CR46" s="108" t="n"/>
      <c r="CS46" s="122">
        <f>CR46*100/$E$46</f>
        <v/>
      </c>
      <c r="CT46" s="108" t="n"/>
      <c r="CU46" s="122">
        <f>CT46*100/$E$46</f>
        <v/>
      </c>
      <c r="CV46" s="108" t="n"/>
      <c r="CW46" s="122">
        <f>CV46*100/$E$46</f>
        <v/>
      </c>
      <c r="CX46" s="108" t="n"/>
      <c r="CY46" s="122">
        <f>CX46*100/$E$46</f>
        <v/>
      </c>
      <c r="CZ46" s="108" t="n"/>
      <c r="DA46" s="122">
        <f>CZ46*100/$E$46</f>
        <v/>
      </c>
      <c r="DB46" s="108" t="n"/>
      <c r="DC46" s="122">
        <f>DB46*100/$E$46</f>
        <v/>
      </c>
      <c r="DD46" s="108" t="n"/>
      <c r="DE46" s="122">
        <f>DD46*100/$E$46</f>
        <v/>
      </c>
      <c r="DF46" s="108" t="n"/>
      <c r="DG46" s="122">
        <f>DF46*100/$E$46</f>
        <v/>
      </c>
      <c r="DH46" s="108" t="n"/>
      <c r="DI46" s="122">
        <f>DH46*100/$E$46</f>
        <v/>
      </c>
      <c r="DJ46" s="108" t="n"/>
      <c r="DK46" s="122">
        <f>DJ46*100/$E$46</f>
        <v/>
      </c>
      <c r="DL46" s="108" t="n"/>
      <c r="DM46" s="122">
        <f>DL46*100/$E$46</f>
        <v/>
      </c>
      <c r="DN46" s="108" t="n"/>
      <c r="DO46" s="122">
        <f>DN46*100/$E$46</f>
        <v/>
      </c>
      <c r="DP46" s="108" t="n"/>
      <c r="DQ46" s="122">
        <f>DP46*100/$E$46</f>
        <v/>
      </c>
      <c r="DR46" s="108" t="n"/>
      <c r="DS46" s="122">
        <f>DR46*100/$E$46</f>
        <v/>
      </c>
      <c r="DT46" s="108" t="n"/>
      <c r="DU46" s="122">
        <f>DT46*100/$E$46</f>
        <v/>
      </c>
      <c r="DV46" s="108" t="n"/>
      <c r="DW46" s="122">
        <f>DV46*100/$E$46</f>
        <v/>
      </c>
      <c r="DX46" s="108" t="n"/>
      <c r="DY46" s="122">
        <f>DX46*100/$E$46</f>
        <v/>
      </c>
      <c r="DZ46" s="108" t="n"/>
      <c r="EA46" s="122">
        <f>DZ46*100/$E$46</f>
        <v/>
      </c>
      <c r="EB46" s="108" t="n"/>
      <c r="EC46" s="122">
        <f>EB46*100/$E$46</f>
        <v/>
      </c>
      <c r="ED46" s="108" t="n"/>
      <c r="EE46" s="122">
        <f>ED46*100/$E$46</f>
        <v/>
      </c>
      <c r="EF46" s="108" t="n"/>
      <c r="EG46" s="122">
        <f>EF46*100/$E$46</f>
        <v/>
      </c>
      <c r="EH46" s="108" t="n"/>
      <c r="EI46" s="122">
        <f>EH46*100/$E$46</f>
        <v/>
      </c>
      <c r="EJ46" s="108" t="n"/>
      <c r="EK46" s="122">
        <f>EJ46*100/$E$46</f>
        <v/>
      </c>
      <c r="EL46" s="108" t="n"/>
      <c r="EM46" s="122">
        <f>EL46*100/$E$46</f>
        <v/>
      </c>
      <c r="EN46" s="108" t="n"/>
      <c r="EO46" s="122">
        <f>EN46*100/$E$46</f>
        <v/>
      </c>
      <c r="EP46" s="108" t="n"/>
      <c r="EQ46" s="122">
        <f>EP46*100/$E$46</f>
        <v/>
      </c>
      <c r="ER46" s="108" t="n"/>
      <c r="ES46" s="122">
        <f>ER46*100/$E$46</f>
        <v/>
      </c>
      <c r="ET46" s="108" t="n"/>
      <c r="EU46" s="122">
        <f>ET46*100/$E$46</f>
        <v/>
      </c>
      <c r="EV46" s="108" t="n"/>
      <c r="EW46" s="122">
        <f>EV46*100/$E$46</f>
        <v/>
      </c>
      <c r="EX46" s="108" t="n"/>
      <c r="EY46" s="122">
        <f>EX46*100/$E$46</f>
        <v/>
      </c>
      <c r="EZ46" s="108" t="n"/>
      <c r="FA46" s="122">
        <f>EZ46*100/$E$46</f>
        <v/>
      </c>
      <c r="FB46" s="108" t="n"/>
      <c r="FC46" s="122">
        <f>FB46*100/$E$46</f>
        <v/>
      </c>
      <c r="FD46" s="108" t="n"/>
      <c r="FE46" s="122">
        <f>FD46*100/$E$46</f>
        <v/>
      </c>
      <c r="FF46" s="108" t="n"/>
      <c r="FG46" s="122">
        <f>FF46*100/$E$46</f>
        <v/>
      </c>
      <c r="FH46" s="108" t="n"/>
      <c r="FI46" s="122">
        <f>FH46*100/$E$46</f>
        <v/>
      </c>
      <c r="FJ46" s="108" t="n"/>
      <c r="FK46" s="122">
        <f>FJ46*100/$E$46</f>
        <v/>
      </c>
      <c r="FL46" s="108" t="n"/>
      <c r="FM46" s="122">
        <f>FL46*100/$E$46</f>
        <v/>
      </c>
      <c r="FN46" s="108" t="n"/>
      <c r="FO46" s="122">
        <f>FN46*100/$E$46</f>
        <v/>
      </c>
      <c r="FP46" s="108" t="n"/>
      <c r="FQ46" s="122">
        <f>FP46*100/$E$46</f>
        <v/>
      </c>
      <c r="FR46" s="108" t="n"/>
      <c r="FS46" s="122">
        <f>FR46*100/$E$46</f>
        <v/>
      </c>
      <c r="FT46" s="108" t="n"/>
      <c r="FU46" s="122">
        <f>FT46*100/$E$46</f>
        <v/>
      </c>
      <c r="FV46" s="108" t="n"/>
      <c r="FW46" s="122">
        <f>FV46*100/$E$46</f>
        <v/>
      </c>
      <c r="FX46" s="108" t="n"/>
      <c r="FY46" s="107">
        <f>FX46*100/$E$46</f>
        <v/>
      </c>
      <c r="FZ46" s="108" t="n"/>
      <c r="GA46" s="107">
        <f>FZ46*100/$E$46</f>
        <v/>
      </c>
      <c r="GB46" s="108" t="n"/>
      <c r="GC46" s="107">
        <f>GB46*100/$E$46</f>
        <v/>
      </c>
      <c r="GD46" s="108" t="n"/>
      <c r="GE46" s="107">
        <f>GD46*100/$E$46</f>
        <v/>
      </c>
      <c r="GF46" s="108" t="n"/>
      <c r="GG46" s="107">
        <f>GF46*100/$E$46</f>
        <v/>
      </c>
      <c r="GH46" s="108" t="n"/>
      <c r="GI46" s="107">
        <f>GH46*100/$E$46</f>
        <v/>
      </c>
      <c r="GJ46" s="108" t="n"/>
      <c r="GK46" s="122">
        <f>GJ46*100/$E$46</f>
        <v/>
      </c>
      <c r="GL46" s="108" t="n"/>
      <c r="GM46" s="107">
        <f>GL46*100/$E$46</f>
        <v/>
      </c>
      <c r="GN46" s="108" t="n"/>
      <c r="GO46" s="122">
        <f>GN46*100/$E$46</f>
        <v/>
      </c>
      <c r="GP46" s="108" t="n"/>
      <c r="GQ46" s="107">
        <f>GP46*100/$E$46</f>
        <v/>
      </c>
      <c r="GR46" s="108" t="n"/>
      <c r="GS46" s="122">
        <f>GR46*100/$E$46</f>
        <v/>
      </c>
      <c r="GT46" s="108" t="n"/>
      <c r="GU46" s="122">
        <f>GT46*100/$E$46</f>
        <v/>
      </c>
      <c r="GV46" s="108" t="n"/>
      <c r="GW46" s="122">
        <f>GV46*100/$E$46</f>
        <v/>
      </c>
      <c r="GX46" s="108" t="n"/>
      <c r="GY46" s="107">
        <f>GX46*100/$E$46</f>
        <v/>
      </c>
      <c r="GZ46" s="108" t="n"/>
      <c r="HA46" s="107">
        <f>GZ46*100/$E$46</f>
        <v/>
      </c>
      <c r="HB46" s="108" t="n"/>
      <c r="HC46" s="107">
        <f>HB46*100/$E$46</f>
        <v/>
      </c>
      <c r="HD46" s="108" t="n"/>
      <c r="HE46" s="107">
        <f>HD46*100/$E$46</f>
        <v/>
      </c>
      <c r="HF46" s="108" t="n"/>
      <c r="HG46" s="107">
        <f>HF46*100/$E$46</f>
        <v/>
      </c>
      <c r="HH46" s="108" t="n"/>
      <c r="HI46" s="107">
        <f>HH46*100/$E$46</f>
        <v/>
      </c>
      <c r="HJ46" s="108" t="n"/>
      <c r="HK46" s="107">
        <f>HJ46*100/$E$46</f>
        <v/>
      </c>
      <c r="HL46" s="108" t="n"/>
      <c r="HM46" s="107">
        <f>HL46*100/$E$46</f>
        <v/>
      </c>
      <c r="HN46" s="108" t="n"/>
      <c r="HO46" s="107">
        <f>HN46*100/$E$46</f>
        <v/>
      </c>
      <c r="HP46" s="108" t="n"/>
      <c r="HQ46" s="107">
        <f>HP46*100/$E$46</f>
        <v/>
      </c>
      <c r="HR46" s="108" t="n"/>
      <c r="HS46" s="107">
        <f>HR46*100/$E$46</f>
        <v/>
      </c>
      <c r="HT46" s="108" t="n"/>
      <c r="HU46" s="107">
        <f>HT46*100/$E$46</f>
        <v/>
      </c>
      <c r="HV46" s="108" t="n"/>
      <c r="HW46" s="107">
        <f>HV46*100/$E$46</f>
        <v/>
      </c>
      <c r="HX46" s="108" t="n"/>
      <c r="HY46" s="107">
        <f>HX46*100/$E$46</f>
        <v/>
      </c>
      <c r="HZ46" s="108" t="n"/>
      <c r="IA46" s="122">
        <f>HZ46*100/$E$46</f>
        <v/>
      </c>
      <c r="IB46" s="108" t="n"/>
      <c r="IC46" s="122">
        <f>IB46*100/$E$46</f>
        <v/>
      </c>
      <c r="ID46" s="108" t="n"/>
      <c r="IE46" s="122">
        <f>ID46*100/$E$46</f>
        <v/>
      </c>
      <c r="IF46" s="108" t="n"/>
      <c r="IG46" s="122">
        <f>IF46*100/$E$46</f>
        <v/>
      </c>
      <c r="IH46" s="108" t="n"/>
      <c r="II46" s="122">
        <f>IH46*100/$E$46</f>
        <v/>
      </c>
      <c r="IJ46" s="108" t="n"/>
      <c r="IK46" s="122">
        <f>IJ46*100/$E$46</f>
        <v/>
      </c>
      <c r="IL46" s="108" t="n"/>
      <c r="IM46" s="107">
        <f>IL46*100/$E$46</f>
        <v/>
      </c>
      <c r="IN46" s="108" t="n"/>
      <c r="IO46" s="107">
        <f>IN46*100/$E$46</f>
        <v/>
      </c>
      <c r="IP46" s="108" t="n"/>
      <c r="IQ46" s="122">
        <f>IP46*100/$E$46</f>
        <v/>
      </c>
      <c r="IR46" s="108" t="n"/>
      <c r="IS46" s="122">
        <f>IR46*100/$E$46</f>
        <v/>
      </c>
      <c r="IT46" s="108" t="n"/>
      <c r="IU46" s="122">
        <f>IT46*100/$E$46</f>
        <v/>
      </c>
      <c r="IV46" s="108" t="n"/>
      <c r="IW46" s="122">
        <f>IV46*100/$E$46</f>
        <v/>
      </c>
      <c r="IX46" s="108" t="n"/>
      <c r="IY46" s="122">
        <f>IX46*100/$E$46</f>
        <v/>
      </c>
      <c r="IZ46" s="108" t="n"/>
      <c r="JA46" s="122">
        <f>IZ46*100/$E$46</f>
        <v/>
      </c>
      <c r="JB46" s="108" t="n"/>
      <c r="JC46" s="122">
        <f>JB46*100/$E$46</f>
        <v/>
      </c>
      <c r="JD46" s="108" t="n"/>
      <c r="JE46" s="122">
        <f>JD46*100/$E$46</f>
        <v/>
      </c>
      <c r="JF46" s="108" t="n"/>
      <c r="JG46" s="122">
        <f>JF46*100/$E$46</f>
        <v/>
      </c>
      <c r="JH46" s="108" t="n"/>
      <c r="JI46" s="122">
        <f>JH46*100/$E$46</f>
        <v/>
      </c>
      <c r="JJ46" s="108" t="n"/>
      <c r="JK46" s="122">
        <f>JJ46*100/$E$46</f>
        <v/>
      </c>
      <c r="JL46" s="108" t="n"/>
      <c r="JM46" s="122">
        <f>JL46*100/$E$46</f>
        <v/>
      </c>
      <c r="JN46" s="108" t="n"/>
      <c r="JO46" s="121">
        <f>JN46*100/$E$46</f>
        <v/>
      </c>
      <c r="JP46" s="108" t="n"/>
      <c r="JQ46" s="121">
        <f>JP46*100/$E$46</f>
        <v/>
      </c>
      <c r="JR46" s="108" t="n"/>
      <c r="JS46" s="121">
        <f>JR46*100/$E$46</f>
        <v/>
      </c>
      <c r="JT46" s="108" t="n"/>
      <c r="JU46" s="121">
        <f>JT46*100/$E$46</f>
        <v/>
      </c>
      <c r="JV46" s="108" t="n"/>
      <c r="JW46" s="121">
        <f>JV46*100/$E$46</f>
        <v/>
      </c>
      <c r="JX46" s="108" t="n"/>
      <c r="JY46" s="121">
        <f>JX46*100/$E$46</f>
        <v/>
      </c>
      <c r="JZ46" s="55">
        <f>JN46+JP46+JR46+JT46+JV46+JX46</f>
        <v/>
      </c>
      <c r="KA46" s="53">
        <f>JO46+JQ46+JS46+JU46+JW46+JY46</f>
        <v/>
      </c>
      <c r="KB46" s="64">
        <f>H46+J46+L46+N46+P46+R46+T46+V46+X46+Z46+AB46+AD46+AF46+AH46+AJ46+AL46+AN46+AP46+AR46+AT46+AV46+AX46+AZ46+BB46+BD46+BF46+BH46+BJ46+BL46+BN46+BP46+BR46+BT46+BV46+BX46+BZ46+CB46+CD46+CF46+CH46+CZ46+DB46+DD46+DF46+DH46+DJ46+DL46+DN46+DP46+DR46+DT46+DV46+DX46+DZ46+EB46+ED46+EF46+EH46+EJ46+EL46+EN46+EP46+ER46+ET46+EV46+FN46+FP46+FR46+FT46+FV46+FX46+FZ46+GB46+GD46+GF46+GH46+GJ46+GL46+GN46+GP46+GR46+GT46+GV46+GX46+GZ46+HB46+HD46+HF46+HH46+HJ46+HL46+HN46+HP46+HR46+HT46+HV46+HX46+HZ46+IB46+ID46+IF46+IH46+IJ46+IL46+IN46+IP46+IR46+IT46+IV46+IX46+IZ46+JB46+JD46+JF46+JH46+JJ46+JL46+JZ46+CJ46+CL46+CN46+CP46+CR46+CT46+CV46+CX46+EX46+EZ46+FB46+FD46+FF46+FH46+FJ46+FL46</f>
        <v/>
      </c>
      <c r="KC46" s="66">
        <f>I46+K46+M46+O46+Q46+S46+U46+W46+Y46+AA46+AC46+AE46+AG46+AI46+AK46+AM46+AO46+AQ46+AS46+AU46+AW46+AY46+BA46+BC46+BE46+BG46+BI46+BK46+BM46+BO46+BQ46+BS46+BU46+BW46+BY46+CA46+CC46+CE46+CG46+CI46+DA46+DC46+DE46+DG46+DI46+DK46+DM46+DO46+DQ46+DS46+DU46+DW46+DY46+EA46+EC46+EE46+EG46+EI46+EK46+EM46+EO46+EQ46+ES46+EU46+EW46+FO46+FS46+FU46+FW46+FQ46+FY46+GA46+GC46+GE46+GG46+GI46+GK46+GM46+GO46+GQ46+GS46+GU46+GW46+GY46+HA46+HC46+HE46+HG46+HI46+HK46+HM46+HO46+HQ46+HS46+HU46+HW46+HY46+IA46+IC46+IE46+IG46+II46+IK46+IM46+IO46+IQ46+IS46+IU46+IW46+IY46+JA46+JC46+JE46+JG46+JI46+JK46+JM46+KA46+CK46+CM46+CO46+CQ46+CS46+CU46+CW46+CY46+EY46+FA46+FC46+FE46+FG46+FI46+FK46+FM46</f>
        <v/>
      </c>
      <c r="KD46" s="44">
        <f>JO46+JQ46+JS46+JU46+JW46+JY46</f>
        <v/>
      </c>
      <c r="KE46" s="45">
        <f>KB46=E46</f>
        <v/>
      </c>
      <c r="KF46" s="101">
        <f>E46-KB46</f>
        <v/>
      </c>
      <c r="KG46" s="22" t="n"/>
    </row>
    <row r="47" ht="21.75" customFormat="1" customHeight="1" s="22">
      <c r="A47" s="126">
        <f>A46+1</f>
        <v/>
      </c>
      <c r="B47" s="192" t="inlineStr">
        <is>
          <t>Трикачев С.И.</t>
        </is>
      </c>
      <c r="C47" s="204" t="inlineStr">
        <is>
          <t>токарь</t>
        </is>
      </c>
      <c r="D47" s="206">
        <f>$D$5</f>
        <v/>
      </c>
      <c r="E47" s="207" t="n">
        <v>179</v>
      </c>
      <c r="F47" s="205" t="n">
        <v>107473.5</v>
      </c>
      <c r="G47" s="52">
        <f>F47/D47</f>
        <v/>
      </c>
      <c r="H47" s="125" t="n"/>
      <c r="I47" s="107">
        <f>H47*100/$E$47</f>
        <v/>
      </c>
      <c r="J47" s="108" t="n"/>
      <c r="K47" s="107">
        <f>J47*100/$E$47</f>
        <v/>
      </c>
      <c r="L47" s="108" t="n"/>
      <c r="M47" s="107">
        <f>L47*100/$E$47</f>
        <v/>
      </c>
      <c r="N47" s="108" t="n"/>
      <c r="O47" s="107">
        <f>N47*100/$E$47</f>
        <v/>
      </c>
      <c r="P47" s="108" t="n"/>
      <c r="Q47" s="122">
        <f>P47*100/$E$47</f>
        <v/>
      </c>
      <c r="R47" s="108" t="n"/>
      <c r="S47" s="122">
        <f>R47*100/$E$47</f>
        <v/>
      </c>
      <c r="T47" s="108" t="n"/>
      <c r="U47" s="107">
        <f>T47*100/$E$47</f>
        <v/>
      </c>
      <c r="V47" s="108" t="n"/>
      <c r="W47" s="107">
        <f>V47*100/$E$47</f>
        <v/>
      </c>
      <c r="X47" s="108" t="n"/>
      <c r="Y47" s="107">
        <f>X47*100/$E$47</f>
        <v/>
      </c>
      <c r="Z47" s="108" t="n"/>
      <c r="AA47" s="107">
        <f>Z47*100/$E$47</f>
        <v/>
      </c>
      <c r="AB47" s="108" t="n"/>
      <c r="AC47" s="107">
        <f>AB47*100/$E$47</f>
        <v/>
      </c>
      <c r="AD47" s="108" t="n"/>
      <c r="AE47" s="122">
        <f>AD47*100/$E$47</f>
        <v/>
      </c>
      <c r="AF47" s="108" t="n"/>
      <c r="AG47" s="122">
        <f>AF47*100/$E$47</f>
        <v/>
      </c>
      <c r="AH47" s="108" t="n"/>
      <c r="AI47" s="107">
        <f>AH47*100/$E$47</f>
        <v/>
      </c>
      <c r="AJ47" s="108" t="n"/>
      <c r="AK47" s="107">
        <f>AJ47*100/$E$47</f>
        <v/>
      </c>
      <c r="AL47" s="108" t="n"/>
      <c r="AM47" s="107">
        <f>AL47*100/$E$47</f>
        <v/>
      </c>
      <c r="AN47" s="108" t="n"/>
      <c r="AO47" s="107">
        <f>AN47*100/$E$47</f>
        <v/>
      </c>
      <c r="AP47" s="108" t="n"/>
      <c r="AQ47" s="107">
        <f>AP47*100/$E$47</f>
        <v/>
      </c>
      <c r="AR47" s="108" t="n"/>
      <c r="AS47" s="107">
        <f>AR47*100/$E$47</f>
        <v/>
      </c>
      <c r="AT47" s="108" t="n"/>
      <c r="AU47" s="90">
        <f>AT47*100/$E$47</f>
        <v/>
      </c>
      <c r="AV47" s="108" t="n"/>
      <c r="AW47" s="107">
        <f>AV47*100/$E$47</f>
        <v/>
      </c>
      <c r="AX47" s="108" t="n"/>
      <c r="AY47" s="107">
        <f>AX47*100/$E$47</f>
        <v/>
      </c>
      <c r="AZ47" s="108" t="n"/>
      <c r="BA47" s="107">
        <f>AZ47*100/$E$47</f>
        <v/>
      </c>
      <c r="BB47" s="108" t="n"/>
      <c r="BC47" s="107">
        <f>BB47*100/$E$47</f>
        <v/>
      </c>
      <c r="BD47" s="108" t="n"/>
      <c r="BE47" s="107">
        <f>BD47*100/$E$47</f>
        <v/>
      </c>
      <c r="BF47" s="108" t="n"/>
      <c r="BG47" s="107">
        <f>BF47*100/$E$47</f>
        <v/>
      </c>
      <c r="BH47" s="108" t="n"/>
      <c r="BI47" s="107">
        <f>BH47*100/$E$47</f>
        <v/>
      </c>
      <c r="BJ47" s="108" t="n"/>
      <c r="BK47" s="107">
        <f>BJ47*100/$E$47</f>
        <v/>
      </c>
      <c r="BL47" s="108" t="n"/>
      <c r="BM47" s="107">
        <f>BL47*100/$E$47</f>
        <v/>
      </c>
      <c r="BN47" s="108" t="n"/>
      <c r="BO47" s="107">
        <f>BN47*100/$E$47</f>
        <v/>
      </c>
      <c r="BP47" s="108" t="n"/>
      <c r="BQ47" s="107">
        <f>BP47*100/$E$47</f>
        <v/>
      </c>
      <c r="BR47" s="108" t="n"/>
      <c r="BS47" s="107">
        <f>BR47*100/$E$47</f>
        <v/>
      </c>
      <c r="BT47" s="108" t="n">
        <v>60</v>
      </c>
      <c r="BU47" s="107">
        <f>BT47*100/$E$47</f>
        <v/>
      </c>
      <c r="BV47" s="108" t="n"/>
      <c r="BW47" s="107">
        <f>BV47*100/$E$47</f>
        <v/>
      </c>
      <c r="BX47" s="108" t="n"/>
      <c r="BY47" s="107">
        <f>BX47*100/$E$47</f>
        <v/>
      </c>
      <c r="BZ47" s="108" t="n"/>
      <c r="CA47" s="107">
        <f>BZ47*100/$E$47</f>
        <v/>
      </c>
      <c r="CB47" s="108" t="n"/>
      <c r="CC47" s="107">
        <f>CB47*100/$E$47</f>
        <v/>
      </c>
      <c r="CD47" s="108" t="n"/>
      <c r="CE47" s="107">
        <f>CD47*100/$E$47</f>
        <v/>
      </c>
      <c r="CF47" s="108" t="n"/>
      <c r="CG47" s="107">
        <f>CF47*100/$E$47</f>
        <v/>
      </c>
      <c r="CH47" s="108" t="n"/>
      <c r="CI47" s="107">
        <f>CH47*100/$E$47</f>
        <v/>
      </c>
      <c r="CJ47" s="108" t="n"/>
      <c r="CK47" s="107">
        <f>CJ47*100/$E$47</f>
        <v/>
      </c>
      <c r="CL47" s="108" t="n"/>
      <c r="CM47" s="107">
        <f>CL47*100/$E$47</f>
        <v/>
      </c>
      <c r="CN47" s="108" t="n"/>
      <c r="CO47" s="122">
        <f>CN47*100/$E$47</f>
        <v/>
      </c>
      <c r="CP47" s="108" t="n"/>
      <c r="CQ47" s="107">
        <f>CP47*100/$E$47</f>
        <v/>
      </c>
      <c r="CR47" s="108" t="n"/>
      <c r="CS47" s="122">
        <f>CR47*100/$E$47</f>
        <v/>
      </c>
      <c r="CT47" s="108" t="n"/>
      <c r="CU47" s="122">
        <f>CT47*100/$E$47</f>
        <v/>
      </c>
      <c r="CV47" s="108" t="n"/>
      <c r="CW47" s="122">
        <f>CV47*100/$E$47</f>
        <v/>
      </c>
      <c r="CX47" s="108" t="n"/>
      <c r="CY47" s="122">
        <f>CX47*100/$E$47</f>
        <v/>
      </c>
      <c r="CZ47" s="108" t="n"/>
      <c r="DA47" s="122">
        <f>CZ47*100/$E$47</f>
        <v/>
      </c>
      <c r="DB47" s="108" t="n"/>
      <c r="DC47" s="122">
        <f>DB47*100/$E$47</f>
        <v/>
      </c>
      <c r="DD47" s="108" t="n"/>
      <c r="DE47" s="122">
        <f>DD47*100/$E$47</f>
        <v/>
      </c>
      <c r="DF47" s="108" t="n"/>
      <c r="DG47" s="122">
        <f>DF47*100/$E$47</f>
        <v/>
      </c>
      <c r="DH47" s="108" t="n"/>
      <c r="DI47" s="122">
        <f>DH47*100/$E$47</f>
        <v/>
      </c>
      <c r="DJ47" s="108" t="n"/>
      <c r="DK47" s="122">
        <f>DJ47*100/$E$47</f>
        <v/>
      </c>
      <c r="DL47" s="108" t="n"/>
      <c r="DM47" s="122">
        <f>DL47*100/$E$47</f>
        <v/>
      </c>
      <c r="DN47" s="108" t="n"/>
      <c r="DO47" s="122">
        <f>DN47*100/$E$47</f>
        <v/>
      </c>
      <c r="DP47" s="108" t="n"/>
      <c r="DQ47" s="122">
        <f>DP47*100/$E$47</f>
        <v/>
      </c>
      <c r="DR47" s="108" t="n">
        <v>6</v>
      </c>
      <c r="DS47" s="122">
        <f>DR47*100/$E$47</f>
        <v/>
      </c>
      <c r="DT47" s="108" t="n"/>
      <c r="DU47" s="122">
        <f>DT47*100/$E$47</f>
        <v/>
      </c>
      <c r="DV47" s="108" t="n"/>
      <c r="DW47" s="122">
        <f>DV47*100/$E$47</f>
        <v/>
      </c>
      <c r="DX47" s="108" t="n"/>
      <c r="DY47" s="122">
        <f>DX47*100/$E$47</f>
        <v/>
      </c>
      <c r="DZ47" s="108" t="n"/>
      <c r="EA47" s="122">
        <f>DZ47*100/$E$47</f>
        <v/>
      </c>
      <c r="EB47" s="108" t="n"/>
      <c r="EC47" s="122">
        <f>EB47*100/$E$47</f>
        <v/>
      </c>
      <c r="ED47" s="108" t="n"/>
      <c r="EE47" s="122">
        <f>ED47*100/$E$47</f>
        <v/>
      </c>
      <c r="EF47" s="108" t="n"/>
      <c r="EG47" s="122">
        <f>EF47*100/$E$47</f>
        <v/>
      </c>
      <c r="EH47" s="108" t="n"/>
      <c r="EI47" s="122">
        <f>EH47*100/$E$47</f>
        <v/>
      </c>
      <c r="EJ47" s="108" t="n"/>
      <c r="EK47" s="122">
        <f>EJ47*100/$E$47</f>
        <v/>
      </c>
      <c r="EL47" s="108" t="n"/>
      <c r="EM47" s="122">
        <f>EL47*100/$E$47</f>
        <v/>
      </c>
      <c r="EN47" s="108" t="n"/>
      <c r="EO47" s="122">
        <f>EN47*100/$E$47</f>
        <v/>
      </c>
      <c r="EP47" s="108" t="n"/>
      <c r="EQ47" s="122">
        <f>EP47*100/$E$47</f>
        <v/>
      </c>
      <c r="ER47" s="108" t="n"/>
      <c r="ES47" s="122">
        <f>ER47*100/$E$47</f>
        <v/>
      </c>
      <c r="ET47" s="108" t="n"/>
      <c r="EU47" s="122">
        <f>ET47*100/$E$47</f>
        <v/>
      </c>
      <c r="EV47" s="108" t="n"/>
      <c r="EW47" s="122">
        <f>EV47*100/$E$47</f>
        <v/>
      </c>
      <c r="EX47" s="108" t="n"/>
      <c r="EY47" s="122">
        <f>EX47*100/$E$47</f>
        <v/>
      </c>
      <c r="EZ47" s="108" t="n"/>
      <c r="FA47" s="122">
        <f>EZ47*100/$E$47</f>
        <v/>
      </c>
      <c r="FB47" s="108" t="n"/>
      <c r="FC47" s="122">
        <f>FB47*100/$E$47</f>
        <v/>
      </c>
      <c r="FD47" s="108" t="n"/>
      <c r="FE47" s="122">
        <f>FD47*100/$E$47</f>
        <v/>
      </c>
      <c r="FF47" s="108" t="n"/>
      <c r="FG47" s="122">
        <f>FF47*100/$E$47</f>
        <v/>
      </c>
      <c r="FH47" s="108" t="n"/>
      <c r="FI47" s="122">
        <f>FH47*100/$E$47</f>
        <v/>
      </c>
      <c r="FJ47" s="108" t="n"/>
      <c r="FK47" s="122">
        <f>FJ47*100/$E$47</f>
        <v/>
      </c>
      <c r="FL47" s="108" t="n"/>
      <c r="FM47" s="122">
        <f>FL47*100/$E$47</f>
        <v/>
      </c>
      <c r="FN47" s="108" t="n"/>
      <c r="FO47" s="122">
        <f>FN47*100/$E$47</f>
        <v/>
      </c>
      <c r="FP47" s="108" t="n"/>
      <c r="FQ47" s="122">
        <f>FP47*100/$E$47</f>
        <v/>
      </c>
      <c r="FR47" s="108" t="n"/>
      <c r="FS47" s="122">
        <f>FR47*100/$E$47</f>
        <v/>
      </c>
      <c r="FT47" s="108" t="n"/>
      <c r="FU47" s="122">
        <f>FT47*100/$E$47</f>
        <v/>
      </c>
      <c r="FV47" s="108" t="n"/>
      <c r="FW47" s="122">
        <f>FV47*100/$E$47</f>
        <v/>
      </c>
      <c r="FX47" s="108" t="n"/>
      <c r="FY47" s="107">
        <f>FX47*100/$E$47</f>
        <v/>
      </c>
      <c r="FZ47" s="108" t="n"/>
      <c r="GA47" s="107">
        <f>FZ47*100/$E$47</f>
        <v/>
      </c>
      <c r="GB47" s="108" t="n"/>
      <c r="GC47" s="107">
        <f>GB47*100/$E$47</f>
        <v/>
      </c>
      <c r="GD47" s="108" t="n"/>
      <c r="GE47" s="107">
        <f>GD47*100/$E$47</f>
        <v/>
      </c>
      <c r="GF47" s="108" t="n"/>
      <c r="GG47" s="107">
        <f>GF47*100/$E$47</f>
        <v/>
      </c>
      <c r="GH47" s="108" t="n"/>
      <c r="GI47" s="107">
        <f>GH47*100/$E$47</f>
        <v/>
      </c>
      <c r="GJ47" s="108" t="n"/>
      <c r="GK47" s="122">
        <f>GJ47*100/$E$47</f>
        <v/>
      </c>
      <c r="GL47" s="108" t="n"/>
      <c r="GM47" s="107">
        <f>GL47*100/$E$47</f>
        <v/>
      </c>
      <c r="GN47" s="108" t="n"/>
      <c r="GO47" s="122">
        <f>GN47*100/$E$47</f>
        <v/>
      </c>
      <c r="GP47" s="108" t="n"/>
      <c r="GQ47" s="107">
        <f>GP47*100/$E$47</f>
        <v/>
      </c>
      <c r="GR47" s="108" t="n"/>
      <c r="GS47" s="122">
        <f>GR47*100/$E$47</f>
        <v/>
      </c>
      <c r="GT47" s="108" t="n"/>
      <c r="GU47" s="122">
        <f>GT47*100/$E$47</f>
        <v/>
      </c>
      <c r="GV47" s="108" t="n"/>
      <c r="GW47" s="122">
        <f>GV47*100/$E$47</f>
        <v/>
      </c>
      <c r="GX47" s="108" t="n">
        <v>37</v>
      </c>
      <c r="GY47" s="107">
        <f>GX47*100/$E$47</f>
        <v/>
      </c>
      <c r="GZ47" s="108" t="n"/>
      <c r="HA47" s="107">
        <f>GZ47*100/$E$47</f>
        <v/>
      </c>
      <c r="HB47" s="108" t="n"/>
      <c r="HC47" s="107">
        <f>HB47*100/$E$47</f>
        <v/>
      </c>
      <c r="HD47" s="108" t="n">
        <v>8</v>
      </c>
      <c r="HE47" s="107">
        <f>HD47*100/$E$47</f>
        <v/>
      </c>
      <c r="HF47" s="108" t="n">
        <v>15</v>
      </c>
      <c r="HG47" s="107">
        <f>HF47*100/$E$47</f>
        <v/>
      </c>
      <c r="HH47" s="108" t="n">
        <v>30</v>
      </c>
      <c r="HI47" s="107">
        <f>HH47*100/$E$47</f>
        <v/>
      </c>
      <c r="HJ47" s="108" t="n"/>
      <c r="HK47" s="107">
        <f>HJ47*100/$E$47</f>
        <v/>
      </c>
      <c r="HL47" s="108" t="n">
        <v>23</v>
      </c>
      <c r="HM47" s="107">
        <f>HL47*100/$E$47</f>
        <v/>
      </c>
      <c r="HN47" s="108" t="n"/>
      <c r="HO47" s="107">
        <f>HN47*100/$E$47</f>
        <v/>
      </c>
      <c r="HP47" s="108" t="n"/>
      <c r="HQ47" s="107">
        <f>HP47*100/$E$47</f>
        <v/>
      </c>
      <c r="HR47" s="108" t="n"/>
      <c r="HS47" s="107">
        <f>HR47*100/$E$47</f>
        <v/>
      </c>
      <c r="HT47" s="108" t="n"/>
      <c r="HU47" s="107">
        <f>HT47*100/$E$47</f>
        <v/>
      </c>
      <c r="HV47" s="108" t="n"/>
      <c r="HW47" s="107">
        <f>HV47*100/$E$47</f>
        <v/>
      </c>
      <c r="HX47" s="108" t="n"/>
      <c r="HY47" s="107">
        <f>HX47*100/$E$47</f>
        <v/>
      </c>
      <c r="HZ47" s="108" t="n"/>
      <c r="IA47" s="122">
        <f>HZ47*100/$E$47</f>
        <v/>
      </c>
      <c r="IB47" s="108" t="n"/>
      <c r="IC47" s="122">
        <f>IB47*100/$E$47</f>
        <v/>
      </c>
      <c r="ID47" s="108" t="n"/>
      <c r="IE47" s="122">
        <f>ID47*100/$E$47</f>
        <v/>
      </c>
      <c r="IF47" s="108" t="n"/>
      <c r="IG47" s="122">
        <f>IF47*100/$E$47</f>
        <v/>
      </c>
      <c r="IH47" s="108" t="n"/>
      <c r="II47" s="122">
        <f>IH47*100/$E$47</f>
        <v/>
      </c>
      <c r="IJ47" s="108" t="n"/>
      <c r="IK47" s="122">
        <f>IJ47*100/$E$47</f>
        <v/>
      </c>
      <c r="IL47" s="108" t="n"/>
      <c r="IM47" s="107">
        <f>IL47*100/$E$47</f>
        <v/>
      </c>
      <c r="IN47" s="108" t="n"/>
      <c r="IO47" s="107">
        <f>IN47*100/$E$47</f>
        <v/>
      </c>
      <c r="IP47" s="108" t="n"/>
      <c r="IQ47" s="122">
        <f>IP47*100/$E$47</f>
        <v/>
      </c>
      <c r="IR47" s="108" t="n"/>
      <c r="IS47" s="122">
        <f>IR47*100/$E$47</f>
        <v/>
      </c>
      <c r="IT47" s="108" t="n"/>
      <c r="IU47" s="122">
        <f>IT47*100/$E$47</f>
        <v/>
      </c>
      <c r="IV47" s="108" t="n"/>
      <c r="IW47" s="122">
        <f>IV47*100/$E$47</f>
        <v/>
      </c>
      <c r="IX47" s="108" t="n"/>
      <c r="IY47" s="122">
        <f>IX47*100/$E$47</f>
        <v/>
      </c>
      <c r="IZ47" s="108" t="n"/>
      <c r="JA47" s="122">
        <f>IZ47*100/$E$47</f>
        <v/>
      </c>
      <c r="JB47" s="108" t="n"/>
      <c r="JC47" s="122">
        <f>JB47*100/$E$47</f>
        <v/>
      </c>
      <c r="JD47" s="108" t="n"/>
      <c r="JE47" s="122">
        <f>JD47*100/$E$47</f>
        <v/>
      </c>
      <c r="JF47" s="108" t="n"/>
      <c r="JG47" s="122">
        <f>JF47*100/$E$47</f>
        <v/>
      </c>
      <c r="JH47" s="108" t="n"/>
      <c r="JI47" s="122">
        <f>JH47*100/$E$47</f>
        <v/>
      </c>
      <c r="JJ47" s="108" t="n"/>
      <c r="JK47" s="122">
        <f>JJ47*100/$E$47</f>
        <v/>
      </c>
      <c r="JL47" s="108" t="n"/>
      <c r="JM47" s="122">
        <f>JL47*100/$E$47</f>
        <v/>
      </c>
      <c r="JN47" s="108" t="n"/>
      <c r="JO47" s="121">
        <f>JN47*100/$E$47</f>
        <v/>
      </c>
      <c r="JP47" s="108" t="n"/>
      <c r="JQ47" s="121">
        <f>JP47*100/$E$47</f>
        <v/>
      </c>
      <c r="JR47" s="108" t="n"/>
      <c r="JS47" s="121">
        <f>JR47*100/$E$47</f>
        <v/>
      </c>
      <c r="JT47" s="108" t="n"/>
      <c r="JU47" s="121">
        <f>JT47*100/$E$47</f>
        <v/>
      </c>
      <c r="JV47" s="108" t="n"/>
      <c r="JW47" s="121">
        <f>JV47*100/$E$47</f>
        <v/>
      </c>
      <c r="JX47" s="108" t="n"/>
      <c r="JY47" s="121">
        <f>JX47*100/$E$47</f>
        <v/>
      </c>
      <c r="JZ47" s="55">
        <f>JN47+JP47+JR47+JT47+JV47+JX47</f>
        <v/>
      </c>
      <c r="KA47" s="53">
        <f>JO47+JQ47+JS47+JU47+JW47+JY47</f>
        <v/>
      </c>
      <c r="KB47" s="64">
        <f>H47+J47+L47+N47+P47+R47+T47+V47+X47+Z47+AB47+AD47+AF47+AH47+AJ47+AL47+AN47+AP47+AR47+AT47+AV47+AX47+AZ47+BB47+BD47+BF47+BH47+BJ47+BL47+BN47+BP47+BR47+BT47+BV47+BX47+BZ47+CB47+CD47+CF47+CH47+CZ47+DB47+DD47+DF47+DH47+DJ47+DL47+DN47+DP47+DR47+DT47+DV47+DX47+DZ47+EB47+ED47+EF47+EH47+EJ47+EL47+EN47+EP47+ER47+ET47+EV47+FN47+FP47+FR47+FT47+FV47+FX47+FZ47+GB47+GD47+GF47+GH47+GJ47+GL47+GN47+GP47+GR47+GT47+GV47+GX47+GZ47+HB47+HD47+HF47+HH47+HJ47+HL47+HN47+HP47+HR47+HT47+HV47+HX47+HZ47+IB47+ID47+IF47+IH47+IJ47+IL47+IN47+IP47+IR47+IT47+IV47+IX47+IZ47+JB47+JD47+JF47+JH47+JJ47+JL47+JZ47+CJ47+CL47+CN47+CP47+CR47+CT47+CV47+CX47+EX47+EZ47+FB47+FD47+FF47+FH47+FJ47+FL47</f>
        <v/>
      </c>
      <c r="KC47" s="66">
        <f>I47+K47+M47+O47+Q47+S47+U47+W47+Y47+AA47+AC47+AE47+AG47+AI47+AK47+AM47+AO47+AQ47+AS47+AU47+AW47+AY47+BA47+BC47+BE47+BG47+BI47+BK47+BM47+BO47+BQ47+BS47+BU47+BW47+BY47+CA47+CC47+CE47+CG47+CI47+DA47+DC47+DE47+DG47+DI47+DK47+DM47+DO47+DQ47+DS47+DU47+DW47+DY47+EA47+EC47+EE47+EG47+EI47+EK47+EM47+EO47+EQ47+ES47+EU47+EW47+FO47+FS47+FU47+FW47+FQ47+FY47+GA47+GC47+GE47+GG47+GI47+GK47+GM47+GO47+GQ47+GS47+GU47+GW47+GY47+HA47+HC47+HE47+HG47+HI47+HK47+HM47+HO47+HQ47+HS47+HU47+HW47+HY47+IA47+IC47+IE47+IG47+II47+IK47+IM47+IO47+IQ47+IS47+IU47+IW47+IY47+JA47+JC47+JE47+JG47+JI47+JK47+JM47+KA47+CK47+CM47+CO47+CQ47+CS47+CU47+CW47+CY47+EY47+FA47+FC47+FE47+FG47+FI47+FK47+FM47</f>
        <v/>
      </c>
      <c r="KD47" s="44">
        <f>JO47+JQ47+JS47+JU47+JW47+JY47</f>
        <v/>
      </c>
      <c r="KE47" s="45">
        <f>KB47=E47</f>
        <v/>
      </c>
      <c r="KF47" s="101">
        <f>E47-KB47</f>
        <v/>
      </c>
      <c r="KG47" s="11" t="n"/>
    </row>
    <row r="48" ht="21.75" customFormat="1" customHeight="1" s="26">
      <c r="A48" s="126">
        <f>A47+1</f>
        <v/>
      </c>
      <c r="B48" s="175" t="inlineStr">
        <is>
          <t>Федотов Е.А.</t>
        </is>
      </c>
      <c r="C48" s="176" t="inlineStr">
        <is>
          <t>термист</t>
        </is>
      </c>
      <c r="D48" s="177">
        <f>$D$5</f>
        <v/>
      </c>
      <c r="E48" s="202" t="n">
        <v>159</v>
      </c>
      <c r="F48" s="193" t="n">
        <v>68902.87</v>
      </c>
      <c r="G48" s="52">
        <f>F48/D48</f>
        <v/>
      </c>
      <c r="H48" s="125" t="n"/>
      <c r="I48" s="107">
        <f>H48*100/$E$48</f>
        <v/>
      </c>
      <c r="J48" s="108" t="n"/>
      <c r="K48" s="107">
        <f>J48*100/$E$48</f>
        <v/>
      </c>
      <c r="L48" s="108" t="n"/>
      <c r="M48" s="107">
        <f>L48*100/$E$48</f>
        <v/>
      </c>
      <c r="N48" s="108" t="n"/>
      <c r="O48" s="107">
        <f>N48*100/$E$48</f>
        <v/>
      </c>
      <c r="P48" s="108" t="n">
        <v>2</v>
      </c>
      <c r="Q48" s="122">
        <f>P48*100/$E$48</f>
        <v/>
      </c>
      <c r="R48" s="108" t="n">
        <v>4</v>
      </c>
      <c r="S48" s="122">
        <f>R48*100/$E$48</f>
        <v/>
      </c>
      <c r="T48" s="108" t="n"/>
      <c r="U48" s="107">
        <f>T48*100/$E$48</f>
        <v/>
      </c>
      <c r="V48" s="108" t="n"/>
      <c r="W48" s="107">
        <f>V48*100/$E$48</f>
        <v/>
      </c>
      <c r="X48" s="108" t="n"/>
      <c r="Y48" s="107">
        <f>X48*100/$E$48</f>
        <v/>
      </c>
      <c r="Z48" s="108" t="n">
        <v>14</v>
      </c>
      <c r="AA48" s="107">
        <f>Z48*100/$E$48</f>
        <v/>
      </c>
      <c r="AB48" s="108" t="n">
        <v>2</v>
      </c>
      <c r="AC48" s="107">
        <f>AB48*100/$E$48</f>
        <v/>
      </c>
      <c r="AD48" s="108" t="n">
        <v>3</v>
      </c>
      <c r="AE48" s="122">
        <f>AD48*100/$E$48</f>
        <v/>
      </c>
      <c r="AF48" s="108" t="n"/>
      <c r="AG48" s="122">
        <f>AF48*100/$E$48</f>
        <v/>
      </c>
      <c r="AH48" s="108" t="n">
        <v>2</v>
      </c>
      <c r="AI48" s="107">
        <f>AH48*100/$E$48</f>
        <v/>
      </c>
      <c r="AJ48" s="108" t="n"/>
      <c r="AK48" s="107">
        <f>AJ48*100/$E$48</f>
        <v/>
      </c>
      <c r="AL48" s="108" t="n">
        <v>3</v>
      </c>
      <c r="AM48" s="107">
        <f>AL48*100/$E$48</f>
        <v/>
      </c>
      <c r="AN48" s="108" t="n"/>
      <c r="AO48" s="107">
        <f>AN48*100/$E$48</f>
        <v/>
      </c>
      <c r="AP48" s="108" t="n"/>
      <c r="AQ48" s="107">
        <f>AP48*100/$E$48</f>
        <v/>
      </c>
      <c r="AR48" s="108" t="n">
        <v>8</v>
      </c>
      <c r="AS48" s="107">
        <f>AR48*100/$E$48</f>
        <v/>
      </c>
      <c r="AT48" s="108" t="n">
        <v>4</v>
      </c>
      <c r="AU48" s="90">
        <f>AT48*100/$E$48</f>
        <v/>
      </c>
      <c r="AV48" s="108" t="n">
        <v>2</v>
      </c>
      <c r="AW48" s="107">
        <f>AV48*100/$E$48</f>
        <v/>
      </c>
      <c r="AX48" s="108" t="n">
        <v>10</v>
      </c>
      <c r="AY48" s="107">
        <f>AX48*100/$E$48</f>
        <v/>
      </c>
      <c r="AZ48" s="108" t="n"/>
      <c r="BA48" s="107">
        <f>AZ48*100/$E$48</f>
        <v/>
      </c>
      <c r="BB48" s="108" t="n">
        <v>2</v>
      </c>
      <c r="BC48" s="107">
        <f>BB48*100/$E$48</f>
        <v/>
      </c>
      <c r="BD48" s="108" t="n"/>
      <c r="BE48" s="107">
        <f>BD48*100/$E$48</f>
        <v/>
      </c>
      <c r="BF48" s="108" t="n"/>
      <c r="BG48" s="107">
        <f>BF48*100/$E$48</f>
        <v/>
      </c>
      <c r="BH48" s="108" t="n"/>
      <c r="BI48" s="107">
        <f>BH48*100/$E$48</f>
        <v/>
      </c>
      <c r="BJ48" s="108" t="n"/>
      <c r="BK48" s="107">
        <f>BJ48*100/$E$48</f>
        <v/>
      </c>
      <c r="BL48" s="108" t="n"/>
      <c r="BM48" s="107">
        <f>BL48*100/$E$48</f>
        <v/>
      </c>
      <c r="BN48" s="108" t="n"/>
      <c r="BO48" s="107">
        <f>BN48*100/$E$48</f>
        <v/>
      </c>
      <c r="BP48" s="108" t="n"/>
      <c r="BQ48" s="107">
        <f>BP48*100/$E$48</f>
        <v/>
      </c>
      <c r="BR48" s="108" t="n">
        <v>2.5</v>
      </c>
      <c r="BS48" s="107">
        <f>BR48*100/$E$48</f>
        <v/>
      </c>
      <c r="BT48" s="108" t="n">
        <v>3</v>
      </c>
      <c r="BU48" s="107">
        <f>BT48*100/$E$48</f>
        <v/>
      </c>
      <c r="BV48" s="108" t="n"/>
      <c r="BW48" s="107">
        <f>BV48*100/$E$48</f>
        <v/>
      </c>
      <c r="BX48" s="108" t="n"/>
      <c r="BY48" s="107">
        <f>BX48*100/$E$48</f>
        <v/>
      </c>
      <c r="BZ48" s="108" t="n"/>
      <c r="CA48" s="107">
        <f>BZ48*100/$E$48</f>
        <v/>
      </c>
      <c r="CB48" s="108" t="n"/>
      <c r="CC48" s="107">
        <f>CB48*100/$E$48</f>
        <v/>
      </c>
      <c r="CD48" s="108" t="n"/>
      <c r="CE48" s="107">
        <f>CD48*100/$E$48</f>
        <v/>
      </c>
      <c r="CF48" s="108" t="n">
        <v>9</v>
      </c>
      <c r="CG48" s="107">
        <f>CF48*100/$E$48</f>
        <v/>
      </c>
      <c r="CH48" s="108" t="n"/>
      <c r="CI48" s="107">
        <f>CH48*100/$E$48</f>
        <v/>
      </c>
      <c r="CJ48" s="108" t="n"/>
      <c r="CK48" s="107">
        <f>CJ48*100/$E$48</f>
        <v/>
      </c>
      <c r="CL48" s="108" t="n"/>
      <c r="CM48" s="107">
        <f>CL48*100/$E$48</f>
        <v/>
      </c>
      <c r="CN48" s="108" t="n"/>
      <c r="CO48" s="122">
        <f>CN48*100/$E$48</f>
        <v/>
      </c>
      <c r="CP48" s="108" t="n"/>
      <c r="CQ48" s="107">
        <f>CP48*100/$E$48</f>
        <v/>
      </c>
      <c r="CR48" s="108" t="n"/>
      <c r="CS48" s="122">
        <f>CR48*100/$E$48</f>
        <v/>
      </c>
      <c r="CT48" s="108" t="n"/>
      <c r="CU48" s="122">
        <f>CT48*100/$E$48</f>
        <v/>
      </c>
      <c r="CV48" s="108" t="n"/>
      <c r="CW48" s="122">
        <f>CV48*100/$E$48</f>
        <v/>
      </c>
      <c r="CX48" s="108" t="n"/>
      <c r="CY48" s="122">
        <f>CX48*100/$E$48</f>
        <v/>
      </c>
      <c r="CZ48" s="108" t="n"/>
      <c r="DA48" s="122">
        <f>CZ48*100/$E$48</f>
        <v/>
      </c>
      <c r="DB48" s="108" t="n">
        <v>2</v>
      </c>
      <c r="DC48" s="122">
        <f>DB48*100/$E$48</f>
        <v/>
      </c>
      <c r="DD48" s="108" t="n"/>
      <c r="DE48" s="122">
        <f>DD48*100/$E$48</f>
        <v/>
      </c>
      <c r="DF48" s="108" t="n"/>
      <c r="DG48" s="122">
        <f>DF48*100/$E$48</f>
        <v/>
      </c>
      <c r="DH48" s="108" t="n"/>
      <c r="DI48" s="122">
        <f>DH48*100/$E$48</f>
        <v/>
      </c>
      <c r="DJ48" s="108" t="n"/>
      <c r="DK48" s="122">
        <f>DJ48*100/$E$48</f>
        <v/>
      </c>
      <c r="DL48" s="108" t="n"/>
      <c r="DM48" s="122">
        <f>DL48*100/$E$48</f>
        <v/>
      </c>
      <c r="DN48" s="108" t="n"/>
      <c r="DO48" s="122">
        <f>DN48*100/$E$48</f>
        <v/>
      </c>
      <c r="DP48" s="108" t="n">
        <v>3</v>
      </c>
      <c r="DQ48" s="122">
        <f>DP48*100/$E$48</f>
        <v/>
      </c>
      <c r="DR48" s="108" t="n"/>
      <c r="DS48" s="122">
        <f>DR48*100/$E$48</f>
        <v/>
      </c>
      <c r="DT48" s="108" t="n"/>
      <c r="DU48" s="122">
        <f>DT48*100/$E$48</f>
        <v/>
      </c>
      <c r="DV48" s="108" t="n"/>
      <c r="DW48" s="122">
        <f>DV48*100/$E$48</f>
        <v/>
      </c>
      <c r="DX48" s="108" t="n"/>
      <c r="DY48" s="122">
        <f>DX48*100/$E$48</f>
        <v/>
      </c>
      <c r="DZ48" s="108" t="n"/>
      <c r="EA48" s="122">
        <f>DZ48*100/$E$48</f>
        <v/>
      </c>
      <c r="EB48" s="108" t="n"/>
      <c r="EC48" s="122">
        <f>EB48*100/$E$48</f>
        <v/>
      </c>
      <c r="ED48" s="108" t="n"/>
      <c r="EE48" s="122">
        <f>ED48*100/$E$48</f>
        <v/>
      </c>
      <c r="EF48" s="108" t="n"/>
      <c r="EG48" s="122">
        <f>EF48*100/$E$48</f>
        <v/>
      </c>
      <c r="EH48" s="108" t="n"/>
      <c r="EI48" s="122">
        <f>EH48*100/$E$48</f>
        <v/>
      </c>
      <c r="EJ48" s="108" t="n"/>
      <c r="EK48" s="122">
        <f>EJ48*100/$E$48</f>
        <v/>
      </c>
      <c r="EL48" s="108" t="n">
        <v>12</v>
      </c>
      <c r="EM48" s="122">
        <f>EL48*100/$E$48</f>
        <v/>
      </c>
      <c r="EN48" s="108" t="n"/>
      <c r="EO48" s="122">
        <f>EN48*100/$E$48</f>
        <v/>
      </c>
      <c r="EP48" s="108" t="n"/>
      <c r="EQ48" s="122">
        <f>EP48*100/$E$48</f>
        <v/>
      </c>
      <c r="ER48" s="108" t="n">
        <v>9</v>
      </c>
      <c r="ES48" s="122">
        <f>ER48*100/$E$48</f>
        <v/>
      </c>
      <c r="ET48" s="108" t="n"/>
      <c r="EU48" s="122">
        <f>ET48*100/$E$48</f>
        <v/>
      </c>
      <c r="EV48" s="108" t="n">
        <v>2</v>
      </c>
      <c r="EW48" s="122">
        <f>EV48*100/$E$48</f>
        <v/>
      </c>
      <c r="EX48" s="108" t="n">
        <v>6</v>
      </c>
      <c r="EY48" s="122">
        <f>EX48*100/$E$48</f>
        <v/>
      </c>
      <c r="EZ48" s="108" t="n"/>
      <c r="FA48" s="122">
        <f>EZ48*100/$E$48</f>
        <v/>
      </c>
      <c r="FB48" s="108" t="n"/>
      <c r="FC48" s="122">
        <f>FB48*100/$E$48</f>
        <v/>
      </c>
      <c r="FD48" s="108" t="n">
        <v>2</v>
      </c>
      <c r="FE48" s="122">
        <f>FD48*100/$E$48</f>
        <v/>
      </c>
      <c r="FF48" s="108" t="n"/>
      <c r="FG48" s="122">
        <f>FF48*100/$E$48</f>
        <v/>
      </c>
      <c r="FH48" s="108" t="n"/>
      <c r="FI48" s="122">
        <f>FH48*100/$E$48</f>
        <v/>
      </c>
      <c r="FJ48" s="108" t="n"/>
      <c r="FK48" s="122">
        <f>FJ48*100/$E$48</f>
        <v/>
      </c>
      <c r="FL48" s="108" t="n">
        <v>2</v>
      </c>
      <c r="FM48" s="122">
        <f>FL48*100/$E$48</f>
        <v/>
      </c>
      <c r="FN48" s="108" t="n">
        <v>9</v>
      </c>
      <c r="FO48" s="122">
        <f>FN48*100/$E$48</f>
        <v/>
      </c>
      <c r="FP48" s="108" t="n"/>
      <c r="FQ48" s="122">
        <f>FP48*100/$E$48</f>
        <v/>
      </c>
      <c r="FR48" s="108" t="n"/>
      <c r="FS48" s="122">
        <f>FR48*100/$E$48</f>
        <v/>
      </c>
      <c r="FT48" s="108" t="n">
        <v>3</v>
      </c>
      <c r="FU48" s="122">
        <f>FT48*100/$E$48</f>
        <v/>
      </c>
      <c r="FV48" s="108" t="n">
        <v>13</v>
      </c>
      <c r="FW48" s="122">
        <f>FV48*100/$E$48</f>
        <v/>
      </c>
      <c r="FX48" s="108" t="n"/>
      <c r="FY48" s="107">
        <f>FX48*100/$E$48</f>
        <v/>
      </c>
      <c r="FZ48" s="108" t="n"/>
      <c r="GA48" s="107">
        <f>FZ48*100/$E$48</f>
        <v/>
      </c>
      <c r="GB48" s="108" t="n"/>
      <c r="GC48" s="107">
        <f>GB48*100/$E$48</f>
        <v/>
      </c>
      <c r="GD48" s="108" t="n"/>
      <c r="GE48" s="107">
        <f>GD48*100/$E$48</f>
        <v/>
      </c>
      <c r="GF48" s="108" t="n"/>
      <c r="GG48" s="107">
        <f>GF48*100/$E$48</f>
        <v/>
      </c>
      <c r="GH48" s="108" t="n"/>
      <c r="GI48" s="107">
        <f>GH48*100/$E$48</f>
        <v/>
      </c>
      <c r="GJ48" s="108" t="n">
        <v>3</v>
      </c>
      <c r="GK48" s="122">
        <f>GJ48*100/$E$48</f>
        <v/>
      </c>
      <c r="GL48" s="108" t="n"/>
      <c r="GM48" s="107">
        <f>GL48*100/$E$48</f>
        <v/>
      </c>
      <c r="GN48" s="108" t="n"/>
      <c r="GO48" s="122">
        <f>GN48*100/$E$48</f>
        <v/>
      </c>
      <c r="GP48" s="108" t="n"/>
      <c r="GQ48" s="107">
        <f>GP48*100/$E$48</f>
        <v/>
      </c>
      <c r="GR48" s="108" t="n"/>
      <c r="GS48" s="122">
        <f>GR48*100/$E$48</f>
        <v/>
      </c>
      <c r="GT48" s="108" t="n"/>
      <c r="GU48" s="122">
        <f>GT48*100/$E$48</f>
        <v/>
      </c>
      <c r="GV48" s="108" t="n"/>
      <c r="GW48" s="122">
        <f>GV48*100/$E$48</f>
        <v/>
      </c>
      <c r="GX48" s="108" t="n">
        <v>4</v>
      </c>
      <c r="GY48" s="107">
        <f>GX48*100/$E$48</f>
        <v/>
      </c>
      <c r="GZ48" s="108" t="n"/>
      <c r="HA48" s="107">
        <f>GZ48*100/$E$48</f>
        <v/>
      </c>
      <c r="HB48" s="108" t="n"/>
      <c r="HC48" s="107">
        <f>HB48*100/$E$48</f>
        <v/>
      </c>
      <c r="HD48" s="108" t="n">
        <v>4</v>
      </c>
      <c r="HE48" s="107">
        <f>HD48*100/$E$48</f>
        <v/>
      </c>
      <c r="HF48" s="108" t="n">
        <v>3</v>
      </c>
      <c r="HG48" s="107">
        <f>HF48*100/$E$48</f>
        <v/>
      </c>
      <c r="HH48" s="108" t="n">
        <v>3</v>
      </c>
      <c r="HI48" s="107">
        <f>HH48*100/$E$48</f>
        <v/>
      </c>
      <c r="HJ48" s="108" t="n"/>
      <c r="HK48" s="107">
        <f>HJ48*100/$E$48</f>
        <v/>
      </c>
      <c r="HL48" s="108" t="n">
        <v>2.5</v>
      </c>
      <c r="HM48" s="107">
        <f>HL48*100/$E$48</f>
        <v/>
      </c>
      <c r="HN48" s="108" t="n"/>
      <c r="HO48" s="107">
        <f>HN48*100/$E$48</f>
        <v/>
      </c>
      <c r="HP48" s="108" t="n"/>
      <c r="HQ48" s="107">
        <f>HP48*100/$E$48</f>
        <v/>
      </c>
      <c r="HR48" s="108" t="n"/>
      <c r="HS48" s="107">
        <f>HR48*100/$E$48</f>
        <v/>
      </c>
      <c r="HT48" s="108" t="n"/>
      <c r="HU48" s="107">
        <f>HT48*100/$E$48</f>
        <v/>
      </c>
      <c r="HV48" s="108" t="n"/>
      <c r="HW48" s="107">
        <f>HV48*100/$E$48</f>
        <v/>
      </c>
      <c r="HX48" s="108" t="n"/>
      <c r="HY48" s="107">
        <f>HX48*100/$E$48</f>
        <v/>
      </c>
      <c r="HZ48" s="108" t="n"/>
      <c r="IA48" s="122">
        <f>HZ48*100/$E$48</f>
        <v/>
      </c>
      <c r="IB48" s="108" t="n"/>
      <c r="IC48" s="122">
        <f>IB48*100/$E$48</f>
        <v/>
      </c>
      <c r="ID48" s="108" t="n"/>
      <c r="IE48" s="122">
        <f>ID48*100/$E$48</f>
        <v/>
      </c>
      <c r="IF48" s="108" t="n"/>
      <c r="IG48" s="122">
        <f>IF48*100/$E$48</f>
        <v/>
      </c>
      <c r="IH48" s="108" t="n"/>
      <c r="II48" s="122">
        <f>IH48*100/$E$48</f>
        <v/>
      </c>
      <c r="IJ48" s="108" t="n"/>
      <c r="IK48" s="122">
        <f>IJ48*100/$E$48</f>
        <v/>
      </c>
      <c r="IL48" s="108" t="n"/>
      <c r="IM48" s="107">
        <f>IL48*100/$E$48</f>
        <v/>
      </c>
      <c r="IN48" s="108" t="n"/>
      <c r="IO48" s="107">
        <f>IN48*100/$E$48</f>
        <v/>
      </c>
      <c r="IP48" s="108" t="n"/>
      <c r="IQ48" s="122">
        <f>IP48*100/$E$48</f>
        <v/>
      </c>
      <c r="IR48" s="108" t="n"/>
      <c r="IS48" s="122">
        <f>IR48*100/$E$48</f>
        <v/>
      </c>
      <c r="IT48" s="108" t="n"/>
      <c r="IU48" s="122">
        <f>IT48*100/$E$48</f>
        <v/>
      </c>
      <c r="IV48" s="108" t="n"/>
      <c r="IW48" s="122">
        <f>IV48*100/$E$48</f>
        <v/>
      </c>
      <c r="IX48" s="108" t="n"/>
      <c r="IY48" s="122">
        <f>IX48*100/$E$48</f>
        <v/>
      </c>
      <c r="IZ48" s="108" t="n"/>
      <c r="JA48" s="122">
        <f>IZ48*100/$E$48</f>
        <v/>
      </c>
      <c r="JB48" s="108" t="n"/>
      <c r="JC48" s="122">
        <f>JB48*100/$E$48</f>
        <v/>
      </c>
      <c r="JD48" s="108" t="n"/>
      <c r="JE48" s="122">
        <f>JD48*100/$E$48</f>
        <v/>
      </c>
      <c r="JF48" s="108" t="n"/>
      <c r="JG48" s="122">
        <f>JF48*100/$E$48</f>
        <v/>
      </c>
      <c r="JH48" s="108" t="n"/>
      <c r="JI48" s="122">
        <f>JH48*100/$E$48</f>
        <v/>
      </c>
      <c r="JJ48" s="108" t="n"/>
      <c r="JK48" s="122">
        <f>JJ48*100/$E$48</f>
        <v/>
      </c>
      <c r="JL48" s="108" t="n">
        <v>6</v>
      </c>
      <c r="JM48" s="122">
        <f>JL48*100/$E$48</f>
        <v/>
      </c>
      <c r="JN48" s="108" t="n"/>
      <c r="JO48" s="121">
        <f>JN48*100/$E$48</f>
        <v/>
      </c>
      <c r="JP48" s="108" t="n"/>
      <c r="JQ48" s="121">
        <f>JP48*100/$E$48</f>
        <v/>
      </c>
      <c r="JR48" s="108" t="n"/>
      <c r="JS48" s="121">
        <f>JR48*100/$E$48</f>
        <v/>
      </c>
      <c r="JT48" s="108" t="n"/>
      <c r="JU48" s="121">
        <f>JT48*100/$E$48</f>
        <v/>
      </c>
      <c r="JV48" s="108" t="n"/>
      <c r="JW48" s="121">
        <f>JV48*100/$E$48</f>
        <v/>
      </c>
      <c r="JX48" s="108" t="n"/>
      <c r="JY48" s="121">
        <f>JX48*100/$E$48</f>
        <v/>
      </c>
      <c r="JZ48" s="55">
        <f>JN48+JP48+JR48+JT48+JV48+JX48</f>
        <v/>
      </c>
      <c r="KA48" s="53">
        <f>JO48+JQ48+JS48+JU48+JW48+JY48</f>
        <v/>
      </c>
      <c r="KB48" s="64">
        <f>H48+J48+L48+N48+P48+R48+T48+V48+X48+Z48+AB48+AD48+AF48+AH48+AJ48+AL48+AN48+AP48+AR48+AT48+AV48+AX48+AZ48+BB48+BD48+BF48+BH48+BJ48+BL48+BN48+BP48+BR48+BT48+BV48+BX48+BZ48+CB48+CD48+CF48+CH48+CZ48+DB48+DD48+DF48+DH48+DJ48+DL48+DN48+DP48+DR48+DT48+DV48+DX48+DZ48+EB48+ED48+EF48+EH48+EJ48+EL48+EN48+EP48+ER48+ET48+EV48+FN48+FP48+FR48+FT48+FV48+FX48+FZ48+GB48+GD48+GF48+GH48+GJ48+GL48+GN48+GP48+GR48+GT48+GV48+GX48+GZ48+HB48+HD48+HF48+HH48+HJ48+HL48+HN48+HP48+HR48+HT48+HV48+HX48+HZ48+IB48+ID48+IF48+IH48+IJ48+IL48+IN48+IP48+IR48+IT48+IV48+IX48+IZ48+JB48+JD48+JF48+JH48+JJ48+JL48+JZ48+CJ48+CL48+CN48+CP48+CR48+CT48+CV48+CX48+EX48+EZ48+FB48+FD48+FF48+FH48+FJ48+FL48</f>
        <v/>
      </c>
      <c r="KC48" s="66">
        <f>I48+K48+M48+O48+Q48+S48+U48+W48+Y48+AA48+AC48+AE48+AG48+AI48+AK48+AM48+AO48+AQ48+AS48+AU48+AW48+AY48+BA48+BC48+BE48+BG48+BI48+BK48+BM48+BO48+BQ48+BS48+BU48+BW48+BY48+CA48+CC48+CE48+CG48+CI48+DA48+DC48+DE48+DG48+DI48+DK48+DM48+DO48+DQ48+DS48+DU48+DW48+DY48+EA48+EC48+EE48+EG48+EI48+EK48+EM48+EO48+EQ48+ES48+EU48+EW48+FO48+FS48+FU48+FW48+FQ48+FY48+GA48+GC48+GE48+GG48+GI48+GK48+GM48+GO48+GQ48+GS48+GU48+GW48+GY48+HA48+HC48+HE48+HG48+HI48+HK48+HM48+HO48+HQ48+HS48+HU48+HW48+HY48+IA48+IC48+IE48+IG48+II48+IK48+IM48+IO48+IQ48+IS48+IU48+IW48+IY48+JA48+JC48+JE48+JG48+JI48+JK48+JM48+KA48+CK48+CM48+CO48+CQ48+CS48+CU48+CW48+CY48+EY48+FA48+FC48+FE48+FG48+FI48+FK48+FM48</f>
        <v/>
      </c>
      <c r="KD48" s="44">
        <f>JO48+JQ48+JS48+JU48+JW48+JY48</f>
        <v/>
      </c>
      <c r="KE48" s="45">
        <f>KB48=E48</f>
        <v/>
      </c>
      <c r="KF48" s="101">
        <f>E48-KB48</f>
        <v/>
      </c>
      <c r="KG48" s="29" t="n"/>
    </row>
    <row r="49" ht="21.75" customFormat="1" customHeight="1" s="22">
      <c r="A49" s="126">
        <f>A48+1</f>
        <v/>
      </c>
      <c r="B49" s="175" t="inlineStr">
        <is>
          <t>Фещенко Д.М.</t>
        </is>
      </c>
      <c r="C49" s="176" t="inlineStr">
        <is>
          <t xml:space="preserve">Оператор СПУ </t>
        </is>
      </c>
      <c r="D49" s="177">
        <f>$D$5</f>
        <v/>
      </c>
      <c r="E49" s="202" t="n">
        <v>196</v>
      </c>
      <c r="F49" s="193" t="n">
        <v>101149.88</v>
      </c>
      <c r="G49" s="52">
        <f>F49/D49</f>
        <v/>
      </c>
      <c r="H49" s="125" t="n"/>
      <c r="I49" s="107">
        <f>H49*100/$E$49</f>
        <v/>
      </c>
      <c r="J49" s="108" t="n"/>
      <c r="K49" s="107">
        <f>J49*100/$E$49</f>
        <v/>
      </c>
      <c r="L49" s="108" t="n"/>
      <c r="M49" s="107">
        <f>L49*100/$E$49</f>
        <v/>
      </c>
      <c r="N49" s="108" t="n"/>
      <c r="O49" s="107">
        <f>N49*100/$E$49</f>
        <v/>
      </c>
      <c r="P49" s="108" t="n"/>
      <c r="Q49" s="122">
        <f>P49*100/$E$49</f>
        <v/>
      </c>
      <c r="R49" s="125" t="n">
        <v>10</v>
      </c>
      <c r="S49" s="122">
        <f>R49*100/$E$49</f>
        <v/>
      </c>
      <c r="T49" s="108" t="n"/>
      <c r="U49" s="107">
        <f>T49*100/$E$49</f>
        <v/>
      </c>
      <c r="V49" s="108" t="n"/>
      <c r="W49" s="107">
        <f>V49*100/$E$49</f>
        <v/>
      </c>
      <c r="X49" s="108" t="n"/>
      <c r="Y49" s="107">
        <f>X49*100/$E$49</f>
        <v/>
      </c>
      <c r="Z49" s="108" t="n"/>
      <c r="AA49" s="107">
        <f>Z49*100/$E$49</f>
        <v/>
      </c>
      <c r="AB49" s="108" t="n"/>
      <c r="AC49" s="107">
        <f>AB49*100/$E$49</f>
        <v/>
      </c>
      <c r="AD49" s="108" t="n"/>
      <c r="AE49" s="122">
        <f>AD49*100/$E$49</f>
        <v/>
      </c>
      <c r="AF49" s="108" t="n"/>
      <c r="AG49" s="122">
        <f>AF49*100/$E$49</f>
        <v/>
      </c>
      <c r="AH49" s="108" t="n"/>
      <c r="AI49" s="107">
        <f>AH49*100/$E$49</f>
        <v/>
      </c>
      <c r="AJ49" s="108" t="n"/>
      <c r="AK49" s="107">
        <f>AJ49*100/$E$49</f>
        <v/>
      </c>
      <c r="AL49" s="108" t="n"/>
      <c r="AM49" s="107">
        <f>AL49*100/$E$49</f>
        <v/>
      </c>
      <c r="AN49" s="108" t="n"/>
      <c r="AO49" s="107">
        <f>AN49*100/$E$49</f>
        <v/>
      </c>
      <c r="AP49" s="108" t="n"/>
      <c r="AQ49" s="107">
        <f>AP49*100/$E$49</f>
        <v/>
      </c>
      <c r="AR49" s="108" t="n"/>
      <c r="AS49" s="107">
        <f>AR49*100/$E$49</f>
        <v/>
      </c>
      <c r="AT49" s="108" t="n"/>
      <c r="AU49" s="90">
        <f>AT49*100/$E$49</f>
        <v/>
      </c>
      <c r="AV49" s="108" t="n">
        <v>8</v>
      </c>
      <c r="AW49" s="107">
        <f>AV49*100/$E$49</f>
        <v/>
      </c>
      <c r="AX49" s="108" t="n">
        <v>11</v>
      </c>
      <c r="AY49" s="107">
        <f>AX49*100/$E$49</f>
        <v/>
      </c>
      <c r="AZ49" s="108" t="n"/>
      <c r="BA49" s="107">
        <f>AZ49*100/$E$49</f>
        <v/>
      </c>
      <c r="BB49" s="108" t="n">
        <v>12</v>
      </c>
      <c r="BC49" s="107">
        <f>BB49*100/$E$49</f>
        <v/>
      </c>
      <c r="BD49" s="108" t="n">
        <v>2</v>
      </c>
      <c r="BE49" s="107">
        <f>BD49*100/$E$49</f>
        <v/>
      </c>
      <c r="BF49" s="108" t="n"/>
      <c r="BG49" s="107">
        <f>BF49*100/$E$49</f>
        <v/>
      </c>
      <c r="BH49" s="108" t="n"/>
      <c r="BI49" s="107">
        <f>BH49*100/$E$49</f>
        <v/>
      </c>
      <c r="BJ49" s="108" t="n">
        <v>8</v>
      </c>
      <c r="BK49" s="107">
        <f>BJ49*100/$E$49</f>
        <v/>
      </c>
      <c r="BL49" s="108" t="n">
        <v>3</v>
      </c>
      <c r="BM49" s="107">
        <f>BL49*100/$E$49</f>
        <v/>
      </c>
      <c r="BN49" s="108" t="n"/>
      <c r="BO49" s="107">
        <f>BN49*100/$E$49</f>
        <v/>
      </c>
      <c r="BP49" s="108" t="n"/>
      <c r="BQ49" s="107">
        <f>BP49*100/$E$49</f>
        <v/>
      </c>
      <c r="BR49" s="108" t="n"/>
      <c r="BS49" s="107">
        <f>BR49*100/$E$49</f>
        <v/>
      </c>
      <c r="BT49" s="108" t="n"/>
      <c r="BU49" s="107">
        <f>BT49*100/$E$49</f>
        <v/>
      </c>
      <c r="BV49" s="108" t="n"/>
      <c r="BW49" s="107">
        <f>BV49*100/$E$49</f>
        <v/>
      </c>
      <c r="BX49" s="108" t="n">
        <v>23</v>
      </c>
      <c r="BY49" s="107">
        <f>BX49*100/$E$49</f>
        <v/>
      </c>
      <c r="BZ49" s="108" t="n"/>
      <c r="CA49" s="107">
        <f>BZ49*100/$E$49</f>
        <v/>
      </c>
      <c r="CB49" s="108" t="n"/>
      <c r="CC49" s="107">
        <f>CB49*100/$E$49</f>
        <v/>
      </c>
      <c r="CD49" s="108" t="n">
        <v>11</v>
      </c>
      <c r="CE49" s="107">
        <f>CD49*100/$E$49</f>
        <v/>
      </c>
      <c r="CF49" s="108" t="n">
        <v>35</v>
      </c>
      <c r="CG49" s="107">
        <f>CF49*100/$E$49</f>
        <v/>
      </c>
      <c r="CH49" s="108" t="n"/>
      <c r="CI49" s="107">
        <f>CH49*100/$E$49</f>
        <v/>
      </c>
      <c r="CJ49" s="108" t="n"/>
      <c r="CK49" s="107">
        <f>CJ49*100/$E$49</f>
        <v/>
      </c>
      <c r="CL49" s="108" t="n"/>
      <c r="CM49" s="107">
        <f>CL49*100/$E$49</f>
        <v/>
      </c>
      <c r="CN49" s="108" t="n"/>
      <c r="CO49" s="122">
        <f>CN49*100/$E$49</f>
        <v/>
      </c>
      <c r="CP49" s="108" t="n"/>
      <c r="CQ49" s="107">
        <f>CP49*100/$E$49</f>
        <v/>
      </c>
      <c r="CR49" s="108" t="n"/>
      <c r="CS49" s="122">
        <f>CR49*100/$E$49</f>
        <v/>
      </c>
      <c r="CT49" s="108" t="n"/>
      <c r="CU49" s="122">
        <f>CT49*100/$E$49</f>
        <v/>
      </c>
      <c r="CV49" s="108" t="n"/>
      <c r="CW49" s="122">
        <f>CV49*100/$E$49</f>
        <v/>
      </c>
      <c r="CX49" s="108" t="n"/>
      <c r="CY49" s="122">
        <f>CX49*100/$E$49</f>
        <v/>
      </c>
      <c r="CZ49" s="108" t="n">
        <v>12</v>
      </c>
      <c r="DA49" s="122">
        <f>CZ49*100/$E$49</f>
        <v/>
      </c>
      <c r="DB49" s="108" t="n"/>
      <c r="DC49" s="122">
        <f>DB49*100/$E$49</f>
        <v/>
      </c>
      <c r="DD49" s="108" t="n"/>
      <c r="DE49" s="122">
        <f>DD49*100/$E$49</f>
        <v/>
      </c>
      <c r="DF49" s="108" t="n"/>
      <c r="DG49" s="122">
        <f>DF49*100/$E$49</f>
        <v/>
      </c>
      <c r="DH49" s="108" t="n"/>
      <c r="DI49" s="122">
        <f>DH49*100/$E$49</f>
        <v/>
      </c>
      <c r="DJ49" s="108" t="n"/>
      <c r="DK49" s="122">
        <f>DJ49*100/$E$49</f>
        <v/>
      </c>
      <c r="DL49" s="108" t="n"/>
      <c r="DM49" s="122">
        <f>DL49*100/$E$49</f>
        <v/>
      </c>
      <c r="DN49" s="108" t="n"/>
      <c r="DO49" s="122">
        <f>DN49*100/$E$49</f>
        <v/>
      </c>
      <c r="DP49" s="108" t="n"/>
      <c r="DQ49" s="122">
        <f>DP49*100/$E$49</f>
        <v/>
      </c>
      <c r="DR49" s="108" t="n">
        <v>4</v>
      </c>
      <c r="DS49" s="122">
        <f>DR49*100/$E$49</f>
        <v/>
      </c>
      <c r="DT49" s="108" t="n"/>
      <c r="DU49" s="122">
        <f>DT49*100/$E$49</f>
        <v/>
      </c>
      <c r="DV49" s="108" t="n"/>
      <c r="DW49" s="122">
        <f>DV49*100/$E$49</f>
        <v/>
      </c>
      <c r="DX49" s="108" t="n"/>
      <c r="DY49" s="122">
        <f>DX49*100/$E$49</f>
        <v/>
      </c>
      <c r="DZ49" s="108" t="n"/>
      <c r="EA49" s="122">
        <f>DZ49*100/$E$49</f>
        <v/>
      </c>
      <c r="EB49" s="108" t="n"/>
      <c r="EC49" s="122">
        <f>EB49*100/$E$49</f>
        <v/>
      </c>
      <c r="ED49" s="108" t="n"/>
      <c r="EE49" s="122">
        <f>ED49*100/$E$49</f>
        <v/>
      </c>
      <c r="EF49" s="108" t="n"/>
      <c r="EG49" s="122">
        <f>EF49*100/$E$49</f>
        <v/>
      </c>
      <c r="EH49" s="108" t="n"/>
      <c r="EI49" s="122">
        <f>EH49*100/$E$49</f>
        <v/>
      </c>
      <c r="EJ49" s="108" t="n"/>
      <c r="EK49" s="122">
        <f>EJ49*100/$E$49</f>
        <v/>
      </c>
      <c r="EL49" s="108" t="n">
        <v>17</v>
      </c>
      <c r="EM49" s="122">
        <f>EL49*100/$E$49</f>
        <v/>
      </c>
      <c r="EN49" s="108" t="n"/>
      <c r="EO49" s="122">
        <f>EN49*100/$E$49</f>
        <v/>
      </c>
      <c r="EP49" s="108" t="n"/>
      <c r="EQ49" s="122">
        <f>EP49*100/$E$49</f>
        <v/>
      </c>
      <c r="ER49" s="108" t="n">
        <v>6</v>
      </c>
      <c r="ES49" s="122">
        <f>ER49*100/$E$49</f>
        <v/>
      </c>
      <c r="ET49" s="108" t="n"/>
      <c r="EU49" s="122">
        <f>ET49*100/$E$49</f>
        <v/>
      </c>
      <c r="EV49" s="108" t="n"/>
      <c r="EW49" s="122">
        <f>EV49*100/$E$49</f>
        <v/>
      </c>
      <c r="EX49" s="108" t="n"/>
      <c r="EY49" s="122">
        <f>EX49*100/$E$49</f>
        <v/>
      </c>
      <c r="EZ49" s="108" t="n"/>
      <c r="FA49" s="122">
        <f>EZ49*100/$E$49</f>
        <v/>
      </c>
      <c r="FB49" s="108" t="n"/>
      <c r="FC49" s="122">
        <f>FB49*100/$E$49</f>
        <v/>
      </c>
      <c r="FD49" s="108" t="n">
        <v>4</v>
      </c>
      <c r="FE49" s="122">
        <f>FD49*100/$E$49</f>
        <v/>
      </c>
      <c r="FF49" s="108" t="n"/>
      <c r="FG49" s="122">
        <f>FF49*100/$E$49</f>
        <v/>
      </c>
      <c r="FH49" s="108" t="n">
        <v>5</v>
      </c>
      <c r="FI49" s="122">
        <f>FH49*100/$E$49</f>
        <v/>
      </c>
      <c r="FJ49" s="108" t="n"/>
      <c r="FK49" s="122">
        <f>FJ49*100/$E$49</f>
        <v/>
      </c>
      <c r="FL49" s="108" t="n"/>
      <c r="FM49" s="122">
        <f>FL49*100/$E$49</f>
        <v/>
      </c>
      <c r="FN49" s="108" t="n"/>
      <c r="FO49" s="122">
        <f>FN49*100/$E$49</f>
        <v/>
      </c>
      <c r="FP49" s="108" t="n"/>
      <c r="FQ49" s="122">
        <f>FP49*100/$E$49</f>
        <v/>
      </c>
      <c r="FR49" s="108" t="n"/>
      <c r="FS49" s="122">
        <f>FR49*100/$E$49</f>
        <v/>
      </c>
      <c r="FT49" s="108" t="n"/>
      <c r="FU49" s="122">
        <f>FT49*100/$E$49</f>
        <v/>
      </c>
      <c r="FV49" s="108" t="n">
        <v>12</v>
      </c>
      <c r="FW49" s="122">
        <f>FV49*100/$E$49</f>
        <v/>
      </c>
      <c r="FX49" s="108" t="n"/>
      <c r="FY49" s="107">
        <f>FX49*100/$E$49</f>
        <v/>
      </c>
      <c r="FZ49" s="108" t="n"/>
      <c r="GA49" s="107">
        <f>FZ49*100/$E$49</f>
        <v/>
      </c>
      <c r="GB49" s="108" t="n"/>
      <c r="GC49" s="107">
        <f>GB49*100/$E$49</f>
        <v/>
      </c>
      <c r="GD49" s="108" t="n"/>
      <c r="GE49" s="107">
        <f>GD49*100/$E$49</f>
        <v/>
      </c>
      <c r="GF49" s="108" t="n">
        <v>12</v>
      </c>
      <c r="GG49" s="107">
        <f>GF49*100/$E$49</f>
        <v/>
      </c>
      <c r="GH49" s="108" t="n"/>
      <c r="GI49" s="107">
        <f>GH49*100/$E$49</f>
        <v/>
      </c>
      <c r="GJ49" s="108" t="n"/>
      <c r="GK49" s="122">
        <f>GJ49*100/$E$49</f>
        <v/>
      </c>
      <c r="GL49" s="108" t="n"/>
      <c r="GM49" s="107">
        <f>GL49*100/$E$49</f>
        <v/>
      </c>
      <c r="GN49" s="108" t="n"/>
      <c r="GO49" s="122">
        <f>GN49*100/$E$49</f>
        <v/>
      </c>
      <c r="GP49" s="108" t="n"/>
      <c r="GQ49" s="107">
        <f>GP49*100/$E$49</f>
        <v/>
      </c>
      <c r="GR49" s="108" t="n"/>
      <c r="GS49" s="122">
        <f>GR49*100/$E$49</f>
        <v/>
      </c>
      <c r="GT49" s="108" t="n"/>
      <c r="GU49" s="122">
        <f>GT49*100/$E$49</f>
        <v/>
      </c>
      <c r="GV49" s="108" t="n"/>
      <c r="GW49" s="122">
        <f>GV49*100/$E$49</f>
        <v/>
      </c>
      <c r="GX49" s="108" t="n"/>
      <c r="GY49" s="107">
        <f>GX49*100/$E$49</f>
        <v/>
      </c>
      <c r="GZ49" s="108" t="n"/>
      <c r="HA49" s="107">
        <f>GZ49*100/$E$49</f>
        <v/>
      </c>
      <c r="HB49" s="108" t="n"/>
      <c r="HC49" s="107">
        <f>HB49*100/$E$49</f>
        <v/>
      </c>
      <c r="HD49" s="108" t="n"/>
      <c r="HE49" s="107">
        <f>HD49*100/$E$49</f>
        <v/>
      </c>
      <c r="HF49" s="108" t="n"/>
      <c r="HG49" s="107">
        <f>HF49*100/$E$49</f>
        <v/>
      </c>
      <c r="HH49" s="108" t="n"/>
      <c r="HI49" s="107">
        <f>HH49*100/$E$49</f>
        <v/>
      </c>
      <c r="HJ49" s="108" t="n"/>
      <c r="HK49" s="107">
        <f>HJ49*100/$E$49</f>
        <v/>
      </c>
      <c r="HL49" s="108" t="n"/>
      <c r="HM49" s="107">
        <f>HL49*100/$E$49</f>
        <v/>
      </c>
      <c r="HN49" s="108" t="n"/>
      <c r="HO49" s="107">
        <f>HN49*100/$E$49</f>
        <v/>
      </c>
      <c r="HP49" s="108" t="n"/>
      <c r="HQ49" s="107">
        <f>HP49*100/$E$49</f>
        <v/>
      </c>
      <c r="HR49" s="108" t="n"/>
      <c r="HS49" s="107">
        <f>HR49*100/$E$49</f>
        <v/>
      </c>
      <c r="HT49" s="108" t="n"/>
      <c r="HU49" s="107">
        <f>HT49*100/$E$49</f>
        <v/>
      </c>
      <c r="HV49" s="108" t="n"/>
      <c r="HW49" s="107">
        <f>HV49*100/$E$49</f>
        <v/>
      </c>
      <c r="HX49" s="108" t="n"/>
      <c r="HY49" s="107">
        <f>HX49*100/$E$49</f>
        <v/>
      </c>
      <c r="HZ49" s="108" t="n"/>
      <c r="IA49" s="122">
        <f>HZ49*100/$E$49</f>
        <v/>
      </c>
      <c r="IB49" s="108" t="n"/>
      <c r="IC49" s="122">
        <f>IB49*100/$E$49</f>
        <v/>
      </c>
      <c r="ID49" s="108" t="n"/>
      <c r="IE49" s="122">
        <f>ID49*100/$E$49</f>
        <v/>
      </c>
      <c r="IF49" s="108" t="n"/>
      <c r="IG49" s="122">
        <f>IF49*100/$E$49</f>
        <v/>
      </c>
      <c r="IH49" s="108" t="n"/>
      <c r="II49" s="122">
        <f>IH49*100/$E$49</f>
        <v/>
      </c>
      <c r="IJ49" s="108" t="n"/>
      <c r="IK49" s="122">
        <f>IJ49*100/$E$49</f>
        <v/>
      </c>
      <c r="IL49" s="108" t="n"/>
      <c r="IM49" s="107">
        <f>IL49*100/$E$49</f>
        <v/>
      </c>
      <c r="IN49" s="108" t="n"/>
      <c r="IO49" s="107">
        <f>IN49*100/$E$49</f>
        <v/>
      </c>
      <c r="IP49" s="108" t="n"/>
      <c r="IQ49" s="122">
        <f>IP49*100/$E$49</f>
        <v/>
      </c>
      <c r="IR49" s="108" t="n"/>
      <c r="IS49" s="122">
        <f>IR49*100/$E$49</f>
        <v/>
      </c>
      <c r="IT49" s="108" t="n"/>
      <c r="IU49" s="122">
        <f>IT49*100/$E$49</f>
        <v/>
      </c>
      <c r="IV49" s="108" t="n"/>
      <c r="IW49" s="122">
        <f>IV49*100/$E$49</f>
        <v/>
      </c>
      <c r="IX49" s="108" t="n"/>
      <c r="IY49" s="122">
        <f>IX49*100/$E$49</f>
        <v/>
      </c>
      <c r="IZ49" s="108" t="n"/>
      <c r="JA49" s="122">
        <f>IZ49*100/$E$49</f>
        <v/>
      </c>
      <c r="JB49" s="108" t="n"/>
      <c r="JC49" s="122">
        <f>JB49*100/$E$49</f>
        <v/>
      </c>
      <c r="JD49" s="108" t="n"/>
      <c r="JE49" s="122">
        <f>JD49*100/$E$49</f>
        <v/>
      </c>
      <c r="JF49" s="108" t="n"/>
      <c r="JG49" s="122">
        <f>JF49*100/$E$49</f>
        <v/>
      </c>
      <c r="JH49" s="108" t="n"/>
      <c r="JI49" s="122">
        <f>JH49*100/$E$49</f>
        <v/>
      </c>
      <c r="JJ49" s="108" t="n"/>
      <c r="JK49" s="122">
        <f>JJ49*100/$E$49</f>
        <v/>
      </c>
      <c r="JL49" s="108" t="n">
        <v>1</v>
      </c>
      <c r="JM49" s="122">
        <f>JL49*100/$E$49</f>
        <v/>
      </c>
      <c r="JN49" s="108" t="n"/>
      <c r="JO49" s="121">
        <f>JN49*100/$E$49</f>
        <v/>
      </c>
      <c r="JP49" s="108" t="n"/>
      <c r="JQ49" s="121">
        <f>JP49*100/$E$49</f>
        <v/>
      </c>
      <c r="JR49" s="108" t="n"/>
      <c r="JS49" s="121">
        <f>JR49*100/$E$49</f>
        <v/>
      </c>
      <c r="JT49" s="108" t="n"/>
      <c r="JU49" s="121">
        <f>JT49*100/$E$49</f>
        <v/>
      </c>
      <c r="JV49" s="108" t="n"/>
      <c r="JW49" s="121">
        <f>JV49*100/$E$49</f>
        <v/>
      </c>
      <c r="JX49" s="108" t="n"/>
      <c r="JY49" s="121">
        <f>JX49*100/$E$49</f>
        <v/>
      </c>
      <c r="JZ49" s="55">
        <f>JN49+JP49+JR49+JT49+JV49+JX49</f>
        <v/>
      </c>
      <c r="KA49" s="53">
        <f>JO49+JQ49+JS49+JU49+JW49+JY49</f>
        <v/>
      </c>
      <c r="KB49" s="64">
        <f>H49+J49+L49+N49+P49+R49+T49+V49+X49+Z49+AB49+AD49+AF49+AH49+AJ49+AL49+AN49+AP49+AR49+AT49+AV49+AX49+AZ49+BB49+BD49+BF49+BH49+BJ49+BL49+BN49+BP49+BR49+BT49+BV49+BX49+BZ49+CB49+CD49+CF49+CH49+CZ49+DB49+DD49+DF49+DH49+DJ49+DL49+DN49+DP49+DR49+DT49+DV49+DX49+DZ49+EB49+ED49+EF49+EH49+EJ49+EL49+EN49+EP49+ER49+ET49+EV49+FN49+FP49+FR49+FT49+FV49+FX49+FZ49+GB49+GD49+GF49+GH49+GJ49+GL49+GN49+GP49+GR49+GT49+GV49+GX49+GZ49+HB49+HD49+HF49+HH49+HJ49+HL49+HN49+HP49+HR49+HT49+HV49+HX49+HZ49+IB49+ID49+IF49+IH49+IJ49+IL49+IN49+IP49+IR49+IT49+IV49+IX49+IZ49+JB49+JD49+JF49+JH49+JJ49+JL49+JZ49+CJ49+CL49+CN49+CP49+CR49+CT49+CV49+CX49+EX49+EZ49+FB49+FD49+FF49+FH49+FJ49+FL49</f>
        <v/>
      </c>
      <c r="KC49" s="66">
        <f>I49+K49+M49+O49+Q49+S49+U49+W49+Y49+AA49+AC49+AE49+AG49+AI49+AK49+AM49+AO49+AQ49+AS49+AU49+AW49+AY49+BA49+BC49+BE49+BG49+BI49+BK49+BM49+BO49+BQ49+BS49+BU49+BW49+BY49+CA49+CC49+CE49+CG49+CI49+DA49+DC49+DE49+DG49+DI49+DK49+DM49+DO49+DQ49+DS49+DU49+DW49+DY49+EA49+EC49+EE49+EG49+EI49+EK49+EM49+EO49+EQ49+ES49+EU49+EW49+FO49+FS49+FU49+FW49+FQ49+FY49+GA49+GC49+GE49+GG49+GI49+GK49+GM49+GO49+GQ49+GS49+GU49+GW49+GY49+HA49+HC49+HE49+HG49+HI49+HK49+HM49+HO49+HQ49+HS49+HU49+HW49+HY49+IA49+IC49+IE49+IG49+II49+IK49+IM49+IO49+IQ49+IS49+IU49+IW49+IY49+JA49+JC49+JE49+JG49+JI49+JK49+JM49+KA49+CK49+CM49+CO49+CQ49+CS49+CU49+CW49+CY49+EY49+FA49+FC49+FE49+FG49+FI49+FK49+FM49</f>
        <v/>
      </c>
      <c r="KD49" s="44">
        <f>JO49+JQ49+JS49+JU49+JW49+JY49</f>
        <v/>
      </c>
      <c r="KE49" s="45">
        <f>KB49=E49</f>
        <v/>
      </c>
      <c r="KF49" s="101">
        <f>E49-KB49</f>
        <v/>
      </c>
      <c r="KG49" s="11" t="n"/>
    </row>
    <row r="50" ht="21.75" customFormat="1" customHeight="1" s="195">
      <c r="A50" s="126" t="n">
        <v>42</v>
      </c>
      <c r="B50" s="175" t="inlineStr">
        <is>
          <t>Чигоряев С.А.</t>
        </is>
      </c>
      <c r="C50" s="176" t="inlineStr">
        <is>
          <t>слесарь</t>
        </is>
      </c>
      <c r="D50" s="177">
        <f>$D$5</f>
        <v/>
      </c>
      <c r="E50" s="202" t="n">
        <v>168</v>
      </c>
      <c r="F50" s="193" t="n">
        <v>97702.28</v>
      </c>
      <c r="G50" s="179">
        <f>F50/D50</f>
        <v/>
      </c>
      <c r="H50" s="180" t="n"/>
      <c r="I50" s="140">
        <f>H50*100/$E$50</f>
        <v/>
      </c>
      <c r="J50" s="133" t="n"/>
      <c r="K50" s="140">
        <f>J50*100/$E$50</f>
        <v/>
      </c>
      <c r="L50" s="133" t="n"/>
      <c r="M50" s="140">
        <f>L50*100/$E$50</f>
        <v/>
      </c>
      <c r="N50" s="133" t="n"/>
      <c r="O50" s="140">
        <f>N50*100/$E$50</f>
        <v/>
      </c>
      <c r="P50" s="133" t="n"/>
      <c r="Q50" s="139">
        <f>P50*100/$E$50</f>
        <v/>
      </c>
      <c r="R50" s="133" t="n"/>
      <c r="S50" s="139">
        <f>R50*100/$E$50</f>
        <v/>
      </c>
      <c r="T50" s="133" t="n"/>
      <c r="U50" s="140">
        <f>T50*100/$E$50</f>
        <v/>
      </c>
      <c r="V50" s="133" t="n"/>
      <c r="W50" s="140">
        <f>V50*100/$E$50</f>
        <v/>
      </c>
      <c r="X50" s="133" t="n"/>
      <c r="Y50" s="140">
        <f>X50*100/$E$50</f>
        <v/>
      </c>
      <c r="Z50" s="133" t="n"/>
      <c r="AA50" s="140">
        <f>Z50*100/$E$50</f>
        <v/>
      </c>
      <c r="AB50" s="133" t="n"/>
      <c r="AC50" s="140">
        <f>AB50*100/$E$50</f>
        <v/>
      </c>
      <c r="AD50" s="133" t="n"/>
      <c r="AE50" s="139">
        <f>AD50*100/$E$50</f>
        <v/>
      </c>
      <c r="AF50" s="133" t="n"/>
      <c r="AG50" s="139">
        <f>AF50*100/$E$50</f>
        <v/>
      </c>
      <c r="AH50" s="133" t="n"/>
      <c r="AI50" s="140">
        <f>AH50*100/$E$50</f>
        <v/>
      </c>
      <c r="AJ50" s="133" t="n"/>
      <c r="AK50" s="140">
        <f>AJ50*100/$E$50</f>
        <v/>
      </c>
      <c r="AL50" s="133" t="n"/>
      <c r="AM50" s="140">
        <f>AL50*100/$E$50</f>
        <v/>
      </c>
      <c r="AN50" s="133" t="n"/>
      <c r="AO50" s="140">
        <f>AN50*100/$E$50</f>
        <v/>
      </c>
      <c r="AP50" s="133" t="n"/>
      <c r="AQ50" s="140">
        <f>AP50*100/$E$50</f>
        <v/>
      </c>
      <c r="AR50" s="133" t="n"/>
      <c r="AS50" s="140">
        <f>AR50*100/$E$50</f>
        <v/>
      </c>
      <c r="AT50" s="133" t="n"/>
      <c r="AU50" s="181">
        <f>AT50*100/$E$50</f>
        <v/>
      </c>
      <c r="AV50" s="133" t="n"/>
      <c r="AW50" s="140">
        <f>AV50*100/$E$50</f>
        <v/>
      </c>
      <c r="AX50" s="133" t="n"/>
      <c r="AY50" s="140">
        <f>AX50*100/$E$50</f>
        <v/>
      </c>
      <c r="AZ50" s="133" t="n"/>
      <c r="BA50" s="140">
        <f>AZ50*100/$E$50</f>
        <v/>
      </c>
      <c r="BB50" s="133" t="n"/>
      <c r="BC50" s="140">
        <f>BB50*100/$E$50</f>
        <v/>
      </c>
      <c r="BD50" s="133" t="n"/>
      <c r="BE50" s="140">
        <f>BD50*100/$E$50</f>
        <v/>
      </c>
      <c r="BF50" s="133" t="n"/>
      <c r="BG50" s="140">
        <f>BF50*100/$E$50</f>
        <v/>
      </c>
      <c r="BH50" s="133" t="n"/>
      <c r="BI50" s="140">
        <f>BH50*100/$E$50</f>
        <v/>
      </c>
      <c r="BJ50" s="133" t="n"/>
      <c r="BK50" s="140">
        <f>BJ50*100/$E$50</f>
        <v/>
      </c>
      <c r="BL50" s="133" t="n"/>
      <c r="BM50" s="140">
        <f>BL50*100/$E$50</f>
        <v/>
      </c>
      <c r="BN50" s="133" t="n"/>
      <c r="BO50" s="140">
        <f>BN50*100/$E$50</f>
        <v/>
      </c>
      <c r="BP50" s="133" t="n"/>
      <c r="BQ50" s="140">
        <f>BP50*100/$E$50</f>
        <v/>
      </c>
      <c r="BR50" s="133" t="n"/>
      <c r="BS50" s="140">
        <f>BR50*100/$E$50</f>
        <v/>
      </c>
      <c r="BT50" s="133" t="n"/>
      <c r="BU50" s="140">
        <f>BT50*100/$E$50</f>
        <v/>
      </c>
      <c r="BV50" s="133" t="n"/>
      <c r="BW50" s="140">
        <f>BV50*100/$E$50</f>
        <v/>
      </c>
      <c r="BX50" s="133" t="n"/>
      <c r="BY50" s="140">
        <f>BX50*100/$E$50</f>
        <v/>
      </c>
      <c r="BZ50" s="133" t="n"/>
      <c r="CA50" s="140">
        <f>BZ50*100/$E$50</f>
        <v/>
      </c>
      <c r="CB50" s="133" t="n"/>
      <c r="CC50" s="140">
        <f>CB50*100/$E$50</f>
        <v/>
      </c>
      <c r="CD50" s="133" t="n"/>
      <c r="CE50" s="140">
        <f>CD50*100/$E$50</f>
        <v/>
      </c>
      <c r="CF50" s="133" t="n"/>
      <c r="CG50" s="140">
        <f>CF50*100/$E$50</f>
        <v/>
      </c>
      <c r="CH50" s="133" t="n"/>
      <c r="CI50" s="140">
        <f>CH50*100/$E$50</f>
        <v/>
      </c>
      <c r="CJ50" s="133" t="n"/>
      <c r="CK50" s="140">
        <f>CJ50*100/$E$50</f>
        <v/>
      </c>
      <c r="CL50" s="133" t="n"/>
      <c r="CM50" s="140">
        <f>CL50*100/$E$50</f>
        <v/>
      </c>
      <c r="CN50" s="133" t="n"/>
      <c r="CO50" s="139">
        <f>CN50*100/$E$50</f>
        <v/>
      </c>
      <c r="CP50" s="133" t="n"/>
      <c r="CQ50" s="140">
        <f>CP50*100/$E$50</f>
        <v/>
      </c>
      <c r="CR50" s="133" t="n"/>
      <c r="CS50" s="139">
        <f>CR50*100/$E$50</f>
        <v/>
      </c>
      <c r="CT50" s="133" t="n"/>
      <c r="CU50" s="139">
        <f>CT50*100/$E$50</f>
        <v/>
      </c>
      <c r="CV50" s="133" t="n"/>
      <c r="CW50" s="139">
        <f>CV50*100/$E$50</f>
        <v/>
      </c>
      <c r="CX50" s="133" t="n"/>
      <c r="CY50" s="139">
        <f>CX50*100/$E$50</f>
        <v/>
      </c>
      <c r="CZ50" s="133" t="n"/>
      <c r="DA50" s="139">
        <f>CZ50*100/$E$50</f>
        <v/>
      </c>
      <c r="DB50" s="133" t="n"/>
      <c r="DC50" s="139">
        <f>DB50*100/$E$50</f>
        <v/>
      </c>
      <c r="DD50" s="133" t="n"/>
      <c r="DE50" s="139">
        <f>DD50*100/$E$50</f>
        <v/>
      </c>
      <c r="DF50" s="133" t="n"/>
      <c r="DG50" s="139">
        <f>DF50*100/$E$50</f>
        <v/>
      </c>
      <c r="DH50" s="133" t="n"/>
      <c r="DI50" s="139">
        <f>DH50*100/$E$50</f>
        <v/>
      </c>
      <c r="DJ50" s="133" t="n"/>
      <c r="DK50" s="139">
        <f>DJ50*100/$E$50</f>
        <v/>
      </c>
      <c r="DL50" s="133" t="n"/>
      <c r="DM50" s="139">
        <f>DL50*100/$E$50</f>
        <v/>
      </c>
      <c r="DN50" s="133" t="n"/>
      <c r="DO50" s="139">
        <f>DN50*100/$E$50</f>
        <v/>
      </c>
      <c r="DP50" s="133" t="n">
        <v>80</v>
      </c>
      <c r="DQ50" s="139">
        <f>DP50*100/$E$50</f>
        <v/>
      </c>
      <c r="DR50" s="133" t="n">
        <v>88</v>
      </c>
      <c r="DS50" s="139">
        <f>DR50*100/$E$50</f>
        <v/>
      </c>
      <c r="DT50" s="133" t="n"/>
      <c r="DU50" s="139">
        <f>DT50*100/$E$50</f>
        <v/>
      </c>
      <c r="DV50" s="133" t="n"/>
      <c r="DW50" s="139">
        <f>DV50*100/$E$50</f>
        <v/>
      </c>
      <c r="DX50" s="133" t="n"/>
      <c r="DY50" s="139">
        <f>DX50*100/$E$50</f>
        <v/>
      </c>
      <c r="DZ50" s="133" t="n"/>
      <c r="EA50" s="139">
        <f>DZ50*100/$E$50</f>
        <v/>
      </c>
      <c r="EB50" s="133" t="n"/>
      <c r="EC50" s="139">
        <f>EB50*100/$E$50</f>
        <v/>
      </c>
      <c r="ED50" s="133" t="n"/>
      <c r="EE50" s="139">
        <f>ED50*100/$E$50</f>
        <v/>
      </c>
      <c r="EF50" s="133" t="n"/>
      <c r="EG50" s="139">
        <f>EF50*100/$E$50</f>
        <v/>
      </c>
      <c r="EH50" s="133" t="n"/>
      <c r="EI50" s="139">
        <f>EH50*100/$E$50</f>
        <v/>
      </c>
      <c r="EJ50" s="133" t="n"/>
      <c r="EK50" s="139">
        <f>EJ50*100/$E$50</f>
        <v/>
      </c>
      <c r="EL50" s="133" t="n"/>
      <c r="EM50" s="139">
        <f>EL50*100/$E$50</f>
        <v/>
      </c>
      <c r="EN50" s="133" t="n"/>
      <c r="EO50" s="139">
        <f>EN50*100/$E$50</f>
        <v/>
      </c>
      <c r="EP50" s="133" t="n"/>
      <c r="EQ50" s="139">
        <f>EP50*100/$E$50</f>
        <v/>
      </c>
      <c r="ER50" s="133" t="n"/>
      <c r="ES50" s="139">
        <f>ER50*100/$E$50</f>
        <v/>
      </c>
      <c r="ET50" s="133" t="n"/>
      <c r="EU50" s="139">
        <f>ET50*100/$E$50</f>
        <v/>
      </c>
      <c r="EV50" s="133" t="n"/>
      <c r="EW50" s="139">
        <f>EV50*100/$E$50</f>
        <v/>
      </c>
      <c r="EX50" s="133" t="n"/>
      <c r="EY50" s="139">
        <f>EX50*100/$E$50</f>
        <v/>
      </c>
      <c r="EZ50" s="133" t="n"/>
      <c r="FA50" s="139">
        <f>EZ50*100/$E$50</f>
        <v/>
      </c>
      <c r="FB50" s="133" t="n"/>
      <c r="FC50" s="139">
        <f>FB50*100/$E$50</f>
        <v/>
      </c>
      <c r="FD50" s="133" t="n"/>
      <c r="FE50" s="139">
        <f>FD50*100/$E$50</f>
        <v/>
      </c>
      <c r="FF50" s="133" t="n"/>
      <c r="FG50" s="139">
        <f>FF50*100/$E$50</f>
        <v/>
      </c>
      <c r="FH50" s="133" t="n"/>
      <c r="FI50" s="139">
        <f>FH50*100/$E$50</f>
        <v/>
      </c>
      <c r="FJ50" s="133" t="n"/>
      <c r="FK50" s="139">
        <f>FJ50*100/$E$50</f>
        <v/>
      </c>
      <c r="FL50" s="133" t="n"/>
      <c r="FM50" s="139">
        <f>FL50*100/$E$50</f>
        <v/>
      </c>
      <c r="FN50" s="133" t="n"/>
      <c r="FO50" s="139">
        <f>FN50*100/$E$50</f>
        <v/>
      </c>
      <c r="FP50" s="133" t="n"/>
      <c r="FQ50" s="139">
        <f>FP50*100/$E$50</f>
        <v/>
      </c>
      <c r="FR50" s="133" t="n"/>
      <c r="FS50" s="139">
        <f>FR50*100/$E$50</f>
        <v/>
      </c>
      <c r="FT50" s="133" t="n"/>
      <c r="FU50" s="139">
        <f>FT50*100/$E$50</f>
        <v/>
      </c>
      <c r="FV50" s="133" t="n"/>
      <c r="FW50" s="139">
        <f>FV50*100/$E$50</f>
        <v/>
      </c>
      <c r="FX50" s="133" t="n"/>
      <c r="FY50" s="140">
        <f>FX50*100/$E$50</f>
        <v/>
      </c>
      <c r="FZ50" s="133" t="n"/>
      <c r="GA50" s="140">
        <f>FZ50*100/$E$50</f>
        <v/>
      </c>
      <c r="GB50" s="133" t="n"/>
      <c r="GC50" s="140">
        <f>GB50*100/$E$50</f>
        <v/>
      </c>
      <c r="GD50" s="133" t="n"/>
      <c r="GE50" s="140">
        <f>GD50*100/$E$50</f>
        <v/>
      </c>
      <c r="GF50" s="133" t="n"/>
      <c r="GG50" s="140">
        <f>GF50*100/$E$50</f>
        <v/>
      </c>
      <c r="GH50" s="133" t="n"/>
      <c r="GI50" s="140">
        <f>GH50*100/$E$50</f>
        <v/>
      </c>
      <c r="GJ50" s="133" t="n"/>
      <c r="GK50" s="139">
        <f>GJ50*100/$E$50</f>
        <v/>
      </c>
      <c r="GL50" s="133" t="n"/>
      <c r="GM50" s="140">
        <f>GL50*100/$E$50</f>
        <v/>
      </c>
      <c r="GN50" s="133" t="n"/>
      <c r="GO50" s="139">
        <f>GN50*100/$E$50</f>
        <v/>
      </c>
      <c r="GP50" s="133" t="n"/>
      <c r="GQ50" s="140">
        <f>GP50*100/$E$50</f>
        <v/>
      </c>
      <c r="GR50" s="133" t="n"/>
      <c r="GS50" s="139">
        <f>GR50*100/$E$50</f>
        <v/>
      </c>
      <c r="GT50" s="133" t="n"/>
      <c r="GU50" s="139">
        <f>GT50*100/$E$50</f>
        <v/>
      </c>
      <c r="GV50" s="133" t="n"/>
      <c r="GW50" s="139">
        <f>GV50*100/$E$50</f>
        <v/>
      </c>
      <c r="GX50" s="133" t="n"/>
      <c r="GY50" s="140">
        <f>GX50*100/$E$50</f>
        <v/>
      </c>
      <c r="GZ50" s="133" t="n"/>
      <c r="HA50" s="140">
        <f>GZ50*100/$E$50</f>
        <v/>
      </c>
      <c r="HB50" s="133" t="n"/>
      <c r="HC50" s="140">
        <f>HB50*100/$E$50</f>
        <v/>
      </c>
      <c r="HD50" s="133" t="n"/>
      <c r="HE50" s="140">
        <f>HD50*100/$E$50</f>
        <v/>
      </c>
      <c r="HF50" s="133" t="n"/>
      <c r="HG50" s="140">
        <f>HF50*100/$E$50</f>
        <v/>
      </c>
      <c r="HH50" s="133" t="n"/>
      <c r="HI50" s="140">
        <f>HH50*100/$E$50</f>
        <v/>
      </c>
      <c r="HJ50" s="133" t="n"/>
      <c r="HK50" s="140">
        <f>HJ50*100/$E$50</f>
        <v/>
      </c>
      <c r="HL50" s="133" t="n"/>
      <c r="HM50" s="140">
        <f>HL50*100/$E$50</f>
        <v/>
      </c>
      <c r="HN50" s="133" t="n"/>
      <c r="HO50" s="140">
        <f>HN50*100/$E$50</f>
        <v/>
      </c>
      <c r="HP50" s="133" t="n"/>
      <c r="HQ50" s="140">
        <f>HP50*100/$E$50</f>
        <v/>
      </c>
      <c r="HR50" s="133" t="n"/>
      <c r="HS50" s="140">
        <f>HR50*100/$E$50</f>
        <v/>
      </c>
      <c r="HT50" s="133" t="n"/>
      <c r="HU50" s="140">
        <f>HT50*100/$E$50</f>
        <v/>
      </c>
      <c r="HV50" s="133" t="n"/>
      <c r="HW50" s="140">
        <f>HV50*100/$E$50</f>
        <v/>
      </c>
      <c r="HX50" s="133" t="n"/>
      <c r="HY50" s="140">
        <f>HX50*100/$E$50</f>
        <v/>
      </c>
      <c r="HZ50" s="133" t="n"/>
      <c r="IA50" s="139">
        <f>HZ50*100/$E$50</f>
        <v/>
      </c>
      <c r="IB50" s="133" t="n"/>
      <c r="IC50" s="139">
        <f>IB50*100/$E$50</f>
        <v/>
      </c>
      <c r="ID50" s="133" t="n"/>
      <c r="IE50" s="139">
        <f>ID50*100/$E$50</f>
        <v/>
      </c>
      <c r="IF50" s="133" t="n"/>
      <c r="IG50" s="139">
        <f>IF50*100/$E$50</f>
        <v/>
      </c>
      <c r="IH50" s="133" t="n"/>
      <c r="II50" s="139">
        <f>IH50*100/$E$50</f>
        <v/>
      </c>
      <c r="IJ50" s="133" t="n"/>
      <c r="IK50" s="139">
        <f>IJ50*100/$E$50</f>
        <v/>
      </c>
      <c r="IL50" s="133" t="n"/>
      <c r="IM50" s="140">
        <f>IL50*100/$E$50</f>
        <v/>
      </c>
      <c r="IN50" s="133" t="n"/>
      <c r="IO50" s="140">
        <f>IN50*100/$E$50</f>
        <v/>
      </c>
      <c r="IP50" s="133" t="n"/>
      <c r="IQ50" s="139">
        <f>IP50*100/$E$50</f>
        <v/>
      </c>
      <c r="IR50" s="133" t="n"/>
      <c r="IS50" s="139">
        <f>IR50*100/$E$50</f>
        <v/>
      </c>
      <c r="IT50" s="133" t="n"/>
      <c r="IU50" s="139">
        <f>IT50*100/$E$50</f>
        <v/>
      </c>
      <c r="IV50" s="133" t="n"/>
      <c r="IW50" s="139">
        <f>IV50*100/$E$50</f>
        <v/>
      </c>
      <c r="IX50" s="133" t="n"/>
      <c r="IY50" s="139">
        <f>IX50*100/$E$50</f>
        <v/>
      </c>
      <c r="IZ50" s="133" t="n"/>
      <c r="JA50" s="139">
        <f>IZ50*100/$E$50</f>
        <v/>
      </c>
      <c r="JB50" s="133" t="n"/>
      <c r="JC50" s="139">
        <f>JB50*100/$E$50</f>
        <v/>
      </c>
      <c r="JD50" s="133" t="n"/>
      <c r="JE50" s="139">
        <f>JD50*100/$E$50</f>
        <v/>
      </c>
      <c r="JF50" s="133" t="n"/>
      <c r="JG50" s="139">
        <f>JF50*100/$E$50</f>
        <v/>
      </c>
      <c r="JH50" s="133" t="n"/>
      <c r="JI50" s="139">
        <f>JH50*100/$E$50</f>
        <v/>
      </c>
      <c r="JJ50" s="133" t="n"/>
      <c r="JK50" s="139">
        <f>JJ50*100/$E$50</f>
        <v/>
      </c>
      <c r="JL50" s="133" t="n"/>
      <c r="JM50" s="139">
        <f>JL50*100/$E$50</f>
        <v/>
      </c>
      <c r="JN50" s="133" t="n"/>
      <c r="JO50" s="182">
        <f>JN50*100/$E$50</f>
        <v/>
      </c>
      <c r="JP50" s="133" t="n"/>
      <c r="JQ50" s="182">
        <f>JP50*100/$E$50</f>
        <v/>
      </c>
      <c r="JR50" s="133" t="n"/>
      <c r="JS50" s="182">
        <f>JR50*100/$E$50</f>
        <v/>
      </c>
      <c r="JT50" s="133" t="n"/>
      <c r="JU50" s="182">
        <f>JT50*100/$E$50</f>
        <v/>
      </c>
      <c r="JV50" s="133" t="n"/>
      <c r="JW50" s="182">
        <f>JV50*100/$E$50</f>
        <v/>
      </c>
      <c r="JX50" s="133" t="n"/>
      <c r="JY50" s="182">
        <f>JX50*100/$E$50</f>
        <v/>
      </c>
      <c r="JZ50" s="183">
        <f>JN50+JP50+JR50+JT50+JV50+JX50</f>
        <v/>
      </c>
      <c r="KA50" s="184">
        <f>JO50+JQ50+JS50+JU50+JW50+JY50</f>
        <v/>
      </c>
      <c r="KB50" s="185">
        <f>H50+J50+L50+N50+P50+R50+T50+V50+X50+Z50+AB50+AD50+AF50+AH50+AJ50+AL50+AN50+AP50+AR50+AT50+AV50+AX50+AZ50+BB50+BD50+BF50+BH50+BJ50+BL50+BN50+BP50+BR50+BT50+BV50+BX50+BZ50+CB50+CD50+CF50+CH50+CZ50+DB50+DD50+DF50+DH50+DJ50+DL50+DN50+DP50+DR50+DT50+DV50+DX50+DZ50+EB50+ED50+EF50+EH50+EJ50+EL50+EN50+EP50+ER50+ET50+EV50+FN50+FP50+FR50+FT50+FV50+FX50+FZ50+GB50+GD50+GF50+GH50+GJ50+GL50+GN50+GP50+GR50+GT50+GV50+GX50+GZ50+HB50+HD50+HF50+HH50+HJ50+HL50+HN50+HP50+HR50+HT50+HV50+HX50+HZ50+IB50+ID50+IF50+IH50+IJ50+IL50+IN50+IP50+IR50+IT50+IV50+IX50+IZ50+JB50+JD50+JF50+JH50+JJ50+JL50+JZ50+CJ50+CL50+CN50+CP50+CR50+CT50+CV50+CX50+EX50+EZ50+FB50+FD50+FF50+FH50+FJ50+FL50</f>
        <v/>
      </c>
      <c r="KC50" s="186">
        <f>I50+K50+M50+O50+Q50+S50+U50+W50+Y50+AA50+AC50+AE50+AG50+AI50+AK50+AM50+AO50+AQ50+AS50+AU50+AW50+AY50+BA50+BC50+BE50+BG50+BI50+BK50+BM50+BO50+BQ50+BS50+BU50+BW50+BY50+CA50+CC50+CE50+CG50+CI50+DA50+DC50+DE50+DG50+DI50+DK50+DM50+DO50+DQ50+DS50+DU50+DW50+DY50+EA50+EC50+EE50+EG50+EI50+EK50+EM50+EO50+EQ50+ES50+EU50+EW50+FO50+FS50+FU50+FW50+FQ50+FY50+GA50+GC50+GE50+GG50+GI50+GK50+GM50+GO50+GQ50+GS50+GU50+GW50+GY50+HA50+HC50+HE50+HG50+HI50+HK50+HM50+HO50+HQ50+HS50+HU50+HW50+HY50+IA50+IC50+IE50+IG50+II50+IK50+IM50+IO50+IQ50+IS50+IU50+IW50+IY50+JA50+JC50+JE50+JG50+JI50+JK50+JM50+KA50+CK50+CM50+CO50+CQ50+CS50+CU50+CW50+CY50+EY50+FA50+FC50+FE50+FG50+FI50+FK50+FM50</f>
        <v/>
      </c>
      <c r="KD50" s="187">
        <f>JO50+JQ50+JS50+JU50+JW50+JY50</f>
        <v/>
      </c>
      <c r="KE50" s="188">
        <f>KB50=E50</f>
        <v/>
      </c>
      <c r="KF50" s="189">
        <f>E50-KB50</f>
        <v/>
      </c>
      <c r="KG50" s="196" t="n"/>
    </row>
    <row r="51" ht="27" customFormat="1" customHeight="1" s="11" thickBot="1">
      <c r="A51" s="126">
        <f>A50+1</f>
        <v/>
      </c>
      <c r="B51" s="175" t="inlineStr">
        <is>
          <t>Южиков А.Ю.</t>
        </is>
      </c>
      <c r="C51" s="176" t="inlineStr">
        <is>
          <t>сварщик</t>
        </is>
      </c>
      <c r="D51" s="177">
        <f>$D$5</f>
        <v/>
      </c>
      <c r="E51" s="202" t="n">
        <v>151</v>
      </c>
      <c r="F51" s="193" t="n">
        <v>68853.84</v>
      </c>
      <c r="G51" s="52">
        <f>F51/D51</f>
        <v/>
      </c>
      <c r="H51" s="125" t="n"/>
      <c r="I51" s="107">
        <f>H51*100/$E$51</f>
        <v/>
      </c>
      <c r="J51" s="108" t="n"/>
      <c r="K51" s="107">
        <f>J51*100/$E$51</f>
        <v/>
      </c>
      <c r="L51" s="108" t="n"/>
      <c r="M51" s="107">
        <f>L51*100/$E$51</f>
        <v/>
      </c>
      <c r="N51" s="108" t="n"/>
      <c r="O51" s="107">
        <f>N51*100/$E$51</f>
        <v/>
      </c>
      <c r="P51" s="108" t="n"/>
      <c r="Q51" s="122">
        <f>P51*100/$E$51</f>
        <v/>
      </c>
      <c r="R51" s="125" t="n"/>
      <c r="S51" s="122">
        <f>R51*100/$E$51</f>
        <v/>
      </c>
      <c r="T51" s="108" t="n"/>
      <c r="U51" s="107">
        <f>T51*100/$E$51</f>
        <v/>
      </c>
      <c r="V51" s="108" t="n"/>
      <c r="W51" s="107">
        <f>V51*100/$E$51</f>
        <v/>
      </c>
      <c r="X51" s="108" t="n"/>
      <c r="Y51" s="107">
        <f>X51*100/$E$51</f>
        <v/>
      </c>
      <c r="Z51" s="108" t="n"/>
      <c r="AA51" s="107">
        <f>Z51*100/$E$51</f>
        <v/>
      </c>
      <c r="AB51" s="108" t="n"/>
      <c r="AC51" s="107">
        <f>AB51*100/$E$51</f>
        <v/>
      </c>
      <c r="AD51" s="108" t="n"/>
      <c r="AE51" s="122">
        <f>AD51*100/$E$51</f>
        <v/>
      </c>
      <c r="AF51" s="108" t="n"/>
      <c r="AG51" s="122">
        <f>AF51*100/$E$51</f>
        <v/>
      </c>
      <c r="AH51" s="108" t="n"/>
      <c r="AI51" s="107">
        <f>AH51*100/$E$51</f>
        <v/>
      </c>
      <c r="AJ51" s="108" t="n"/>
      <c r="AK51" s="107">
        <f>AJ51*100/$E$51</f>
        <v/>
      </c>
      <c r="AL51" s="108" t="n"/>
      <c r="AM51" s="107">
        <f>AL51*100/$E$51</f>
        <v/>
      </c>
      <c r="AN51" s="108" t="n"/>
      <c r="AO51" s="107">
        <f>AN51*100/$E$51</f>
        <v/>
      </c>
      <c r="AP51" s="108" t="n"/>
      <c r="AQ51" s="107">
        <f>AP51*100/$E$51</f>
        <v/>
      </c>
      <c r="AR51" s="108" t="n"/>
      <c r="AS51" s="107">
        <f>AR51*100/$E$51</f>
        <v/>
      </c>
      <c r="AT51" s="108" t="n"/>
      <c r="AU51" s="90">
        <f>AT51*100/$E$51</f>
        <v/>
      </c>
      <c r="AV51" s="108" t="n"/>
      <c r="AW51" s="107">
        <f>AV51*100/$E$51</f>
        <v/>
      </c>
      <c r="AX51" s="108" t="n"/>
      <c r="AY51" s="107">
        <f>AX51*100/$E$51</f>
        <v/>
      </c>
      <c r="AZ51" s="108" t="n"/>
      <c r="BA51" s="107">
        <f>AZ51*100/$E$51</f>
        <v/>
      </c>
      <c r="BB51" s="108" t="n"/>
      <c r="BC51" s="107">
        <f>BB51*100/$E$51</f>
        <v/>
      </c>
      <c r="BD51" s="108" t="n"/>
      <c r="BE51" s="107">
        <f>BD51*100/$E$51</f>
        <v/>
      </c>
      <c r="BF51" s="108" t="n"/>
      <c r="BG51" s="107">
        <f>BF51*100/$E$51</f>
        <v/>
      </c>
      <c r="BH51" s="108" t="n"/>
      <c r="BI51" s="107">
        <f>BH51*100/$E$51</f>
        <v/>
      </c>
      <c r="BJ51" s="108" t="n"/>
      <c r="BK51" s="107">
        <f>BJ51*100/$E$51</f>
        <v/>
      </c>
      <c r="BL51" s="108" t="n"/>
      <c r="BM51" s="107">
        <f>BL51*100/$E$51</f>
        <v/>
      </c>
      <c r="BN51" s="108" t="n">
        <v>20.5</v>
      </c>
      <c r="BO51" s="107">
        <f>BN51*100/$E$51</f>
        <v/>
      </c>
      <c r="BP51" s="108" t="n"/>
      <c r="BQ51" s="107">
        <f>BP51*100/$E$51</f>
        <v/>
      </c>
      <c r="BR51" s="108" t="n"/>
      <c r="BS51" s="107">
        <f>BR51*100/$E$51</f>
        <v/>
      </c>
      <c r="BT51" s="108" t="n"/>
      <c r="BU51" s="107">
        <f>BT51*100/$E$51</f>
        <v/>
      </c>
      <c r="BV51" s="108" t="n">
        <v>18</v>
      </c>
      <c r="BW51" s="107">
        <f>BV51*100/$E$51</f>
        <v/>
      </c>
      <c r="BX51" s="108" t="n"/>
      <c r="BY51" s="107">
        <f>BX51*100/$E$51</f>
        <v/>
      </c>
      <c r="BZ51" s="108" t="n"/>
      <c r="CA51" s="107">
        <f>BZ51*100/$E$51</f>
        <v/>
      </c>
      <c r="CB51" s="108" t="n"/>
      <c r="CC51" s="107">
        <f>CB51*100/$E$51</f>
        <v/>
      </c>
      <c r="CD51" s="108" t="n"/>
      <c r="CE51" s="107">
        <f>CD51*100/$E$51</f>
        <v/>
      </c>
      <c r="CF51" s="108" t="n">
        <v>10</v>
      </c>
      <c r="CG51" s="107">
        <f>CF51*100/$E$51</f>
        <v/>
      </c>
      <c r="CH51" s="108" t="n"/>
      <c r="CI51" s="107">
        <f>CH51*100/$E$51</f>
        <v/>
      </c>
      <c r="CJ51" s="108" t="n"/>
      <c r="CK51" s="107">
        <f>CJ51*100/$E$51</f>
        <v/>
      </c>
      <c r="CL51" s="108" t="n"/>
      <c r="CM51" s="107">
        <f>CL51*100/$E$51</f>
        <v/>
      </c>
      <c r="CN51" s="108" t="n">
        <v>12</v>
      </c>
      <c r="CO51" s="122">
        <f>CN51*100/$E$51</f>
        <v/>
      </c>
      <c r="CP51" s="108" t="n"/>
      <c r="CQ51" s="107">
        <f>CP51*100/$E$51</f>
        <v/>
      </c>
      <c r="CR51" s="108" t="n"/>
      <c r="CS51" s="122">
        <f>CR51*100/$E$51</f>
        <v/>
      </c>
      <c r="CT51" s="108" t="n"/>
      <c r="CU51" s="122">
        <f>CT51*100/$E$51</f>
        <v/>
      </c>
      <c r="CV51" s="108" t="n"/>
      <c r="CW51" s="122">
        <f>CV51*100/$E$51</f>
        <v/>
      </c>
      <c r="CX51" s="108" t="n"/>
      <c r="CY51" s="122">
        <f>CX51*100/$E$51</f>
        <v/>
      </c>
      <c r="CZ51" s="108" t="n"/>
      <c r="DA51" s="122">
        <f>CZ51*100/$E$51</f>
        <v/>
      </c>
      <c r="DB51" s="108" t="n"/>
      <c r="DC51" s="122">
        <f>DB51*100/$E$51</f>
        <v/>
      </c>
      <c r="DD51" s="108" t="n"/>
      <c r="DE51" s="122">
        <f>DD51*100/$E$51</f>
        <v/>
      </c>
      <c r="DF51" s="108" t="n"/>
      <c r="DG51" s="122">
        <f>DF51*100/$E$51</f>
        <v/>
      </c>
      <c r="DH51" s="108" t="n"/>
      <c r="DI51" s="122">
        <f>DH51*100/$E$51</f>
        <v/>
      </c>
      <c r="DJ51" s="108" t="n"/>
      <c r="DK51" s="122">
        <f>DJ51*100/$E$51</f>
        <v/>
      </c>
      <c r="DL51" s="108" t="n"/>
      <c r="DM51" s="122">
        <f>DL51*100/$E$51</f>
        <v/>
      </c>
      <c r="DN51" s="108" t="n"/>
      <c r="DO51" s="122">
        <f>DN51*100/$E$51</f>
        <v/>
      </c>
      <c r="DP51" s="108" t="n">
        <v>11.5</v>
      </c>
      <c r="DQ51" s="122">
        <f>DP51*100/$E$51</f>
        <v/>
      </c>
      <c r="DR51" s="108" t="n">
        <v>1.5</v>
      </c>
      <c r="DS51" s="122">
        <f>DR51*100/$E$51</f>
        <v/>
      </c>
      <c r="DT51" s="108" t="n"/>
      <c r="DU51" s="122">
        <f>DT51*100/$E$51</f>
        <v/>
      </c>
      <c r="DV51" s="108" t="n"/>
      <c r="DW51" s="122">
        <f>DV51*100/$E$51</f>
        <v/>
      </c>
      <c r="DX51" s="108" t="n"/>
      <c r="DY51" s="122">
        <f>DX51*100/$E$51</f>
        <v/>
      </c>
      <c r="DZ51" s="108" t="n"/>
      <c r="EA51" s="122">
        <f>DZ51*100/$E$51</f>
        <v/>
      </c>
      <c r="EB51" s="108" t="n"/>
      <c r="EC51" s="122">
        <f>EB51*100/$E$51</f>
        <v/>
      </c>
      <c r="ED51" s="108" t="n"/>
      <c r="EE51" s="122">
        <f>ED51*100/$E$51</f>
        <v/>
      </c>
      <c r="EF51" s="108" t="n"/>
      <c r="EG51" s="122">
        <f>EF51*100/$E$51</f>
        <v/>
      </c>
      <c r="EH51" s="108" t="n"/>
      <c r="EI51" s="122">
        <f>EH51*100/$E$51</f>
        <v/>
      </c>
      <c r="EJ51" s="108" t="n"/>
      <c r="EK51" s="122">
        <f>EJ51*100/$E$51</f>
        <v/>
      </c>
      <c r="EL51" s="108" t="n"/>
      <c r="EM51" s="122">
        <f>EL51*100/$E$51</f>
        <v/>
      </c>
      <c r="EN51" s="108" t="n"/>
      <c r="EO51" s="122">
        <f>EN51*100/$E$51</f>
        <v/>
      </c>
      <c r="EP51" s="108" t="n"/>
      <c r="EQ51" s="122">
        <f>EP51*100/$E$51</f>
        <v/>
      </c>
      <c r="ER51" s="108" t="n"/>
      <c r="ES51" s="122">
        <f>ER51*100/$E$51</f>
        <v/>
      </c>
      <c r="ET51" s="108" t="n"/>
      <c r="EU51" s="122">
        <f>ET51*100/$E$51</f>
        <v/>
      </c>
      <c r="EV51" s="108" t="n"/>
      <c r="EW51" s="122">
        <f>EV51*100/$E$51</f>
        <v/>
      </c>
      <c r="EX51" s="108" t="n"/>
      <c r="EY51" s="122">
        <f>EX51*100/$E$51</f>
        <v/>
      </c>
      <c r="EZ51" s="108" t="n"/>
      <c r="FA51" s="122">
        <f>EZ51*100/$E$51</f>
        <v/>
      </c>
      <c r="FB51" s="108" t="n"/>
      <c r="FC51" s="122">
        <f>FB51*100/$E$51</f>
        <v/>
      </c>
      <c r="FD51" s="108" t="n"/>
      <c r="FE51" s="122">
        <f>FD51*100/$E$51</f>
        <v/>
      </c>
      <c r="FF51" s="108" t="n"/>
      <c r="FG51" s="122">
        <f>FF51*100/$E$51</f>
        <v/>
      </c>
      <c r="FH51" s="108" t="n"/>
      <c r="FI51" s="122">
        <f>FH51*100/$E$51</f>
        <v/>
      </c>
      <c r="FJ51" s="108" t="n"/>
      <c r="FK51" s="122">
        <f>FJ51*100/$E$51</f>
        <v/>
      </c>
      <c r="FL51" s="108" t="n"/>
      <c r="FM51" s="122">
        <f>FL51*100/$E$51</f>
        <v/>
      </c>
      <c r="FN51" s="108" t="n"/>
      <c r="FO51" s="122">
        <f>FN51*100/$E$51</f>
        <v/>
      </c>
      <c r="FP51" s="108" t="n">
        <v>35</v>
      </c>
      <c r="FQ51" s="122">
        <f>FP51*100/$E$51</f>
        <v/>
      </c>
      <c r="FR51" s="108" t="n"/>
      <c r="FS51" s="122">
        <f>FR51*100/$E$51</f>
        <v/>
      </c>
      <c r="FT51" s="108" t="n"/>
      <c r="FU51" s="122">
        <f>FT51*100/$E$51</f>
        <v/>
      </c>
      <c r="FV51" s="108" t="n"/>
      <c r="FW51" s="122">
        <f>FV51*100/$E$51</f>
        <v/>
      </c>
      <c r="FX51" s="108" t="n"/>
      <c r="FY51" s="107">
        <f>FX51*100/$E$51</f>
        <v/>
      </c>
      <c r="FZ51" s="108" t="n"/>
      <c r="GA51" s="107">
        <f>FZ51*100/$E$51</f>
        <v/>
      </c>
      <c r="GB51" s="108" t="n"/>
      <c r="GC51" s="107">
        <f>GB51*100/$E$51</f>
        <v/>
      </c>
      <c r="GD51" s="108" t="n"/>
      <c r="GE51" s="107">
        <f>GD51*100/$E$51</f>
        <v/>
      </c>
      <c r="GF51" s="108" t="n"/>
      <c r="GG51" s="107">
        <f>GF51*100/$E$51</f>
        <v/>
      </c>
      <c r="GH51" s="108" t="n"/>
      <c r="GI51" s="107">
        <f>GH51*100/$E$51</f>
        <v/>
      </c>
      <c r="GJ51" s="108" t="n"/>
      <c r="GK51" s="122">
        <f>GJ51*100/$E$51</f>
        <v/>
      </c>
      <c r="GL51" s="108" t="n"/>
      <c r="GM51" s="107">
        <f>GL51*100/$E$51</f>
        <v/>
      </c>
      <c r="GN51" s="108" t="n"/>
      <c r="GO51" s="122">
        <f>GN51*100/$E$51</f>
        <v/>
      </c>
      <c r="GP51" s="108" t="n"/>
      <c r="GQ51" s="107">
        <f>GP51*100/$E$51</f>
        <v/>
      </c>
      <c r="GR51" s="108" t="n"/>
      <c r="GS51" s="122">
        <f>GR51*100/$E$51</f>
        <v/>
      </c>
      <c r="GT51" s="108" t="n"/>
      <c r="GU51" s="122">
        <f>GT51*100/$E$51</f>
        <v/>
      </c>
      <c r="GV51" s="108" t="n"/>
      <c r="GW51" s="122">
        <f>GV51*100/$E$51</f>
        <v/>
      </c>
      <c r="GX51" s="108" t="n"/>
      <c r="GY51" s="107">
        <f>GX51*100/$E$51</f>
        <v/>
      </c>
      <c r="GZ51" s="108" t="n"/>
      <c r="HA51" s="107">
        <f>GZ51*100/$E$51</f>
        <v/>
      </c>
      <c r="HB51" s="108" t="n"/>
      <c r="HC51" s="107">
        <f>HB51*100/$E$51</f>
        <v/>
      </c>
      <c r="HD51" s="108" t="n"/>
      <c r="HE51" s="107">
        <f>HD51*100/$E$51</f>
        <v/>
      </c>
      <c r="HF51" s="108" t="n"/>
      <c r="HG51" s="107">
        <f>HF51*100/$E$51</f>
        <v/>
      </c>
      <c r="HH51" s="108" t="n"/>
      <c r="HI51" s="107">
        <f>HH51*100/$E$51</f>
        <v/>
      </c>
      <c r="HJ51" s="108" t="n"/>
      <c r="HK51" s="107">
        <f>HJ51*100/$E$51</f>
        <v/>
      </c>
      <c r="HL51" s="108" t="n"/>
      <c r="HM51" s="107">
        <f>HL51*100/$E$51</f>
        <v/>
      </c>
      <c r="HN51" s="108" t="n"/>
      <c r="HO51" s="107">
        <f>HN51*100/$E$51</f>
        <v/>
      </c>
      <c r="HP51" s="108" t="n"/>
      <c r="HQ51" s="107">
        <f>HP51*100/$E$51</f>
        <v/>
      </c>
      <c r="HR51" s="108" t="n"/>
      <c r="HS51" s="107">
        <f>HR51*100/$E$51</f>
        <v/>
      </c>
      <c r="HT51" s="108" t="n"/>
      <c r="HU51" s="107">
        <f>HT51*100/$E$51</f>
        <v/>
      </c>
      <c r="HV51" s="108" t="n"/>
      <c r="HW51" s="107">
        <f>HV51*100/$E$51</f>
        <v/>
      </c>
      <c r="HX51" s="108" t="n"/>
      <c r="HY51" s="107">
        <f>HX51*100/$E$51</f>
        <v/>
      </c>
      <c r="HZ51" s="108" t="n"/>
      <c r="IA51" s="122">
        <f>HZ51*100/$E$51</f>
        <v/>
      </c>
      <c r="IB51" s="108" t="n"/>
      <c r="IC51" s="122">
        <f>IB51*100/$E$51</f>
        <v/>
      </c>
      <c r="ID51" s="108" t="n"/>
      <c r="IE51" s="122">
        <f>ID51*100/$E$51</f>
        <v/>
      </c>
      <c r="IF51" s="108" t="n"/>
      <c r="IG51" s="122">
        <f>IF51*100/$E$51</f>
        <v/>
      </c>
      <c r="IH51" s="108" t="n"/>
      <c r="II51" s="122">
        <f>IH51*100/$E$51</f>
        <v/>
      </c>
      <c r="IJ51" s="108" t="n"/>
      <c r="IK51" s="122">
        <f>IJ51*100/$E$51</f>
        <v/>
      </c>
      <c r="IL51" s="108" t="n"/>
      <c r="IM51" s="107">
        <f>IL51*100/$E$51</f>
        <v/>
      </c>
      <c r="IN51" s="108" t="n"/>
      <c r="IO51" s="107">
        <f>IN51*100/$E$51</f>
        <v/>
      </c>
      <c r="IP51" s="108" t="n"/>
      <c r="IQ51" s="122">
        <f>IP51*100/$E$51</f>
        <v/>
      </c>
      <c r="IR51" s="108" t="n"/>
      <c r="IS51" s="122">
        <f>IR51*100/$E$51</f>
        <v/>
      </c>
      <c r="IT51" s="108" t="n"/>
      <c r="IU51" s="122">
        <f>IT51*100/$E$51</f>
        <v/>
      </c>
      <c r="IV51" s="108" t="n"/>
      <c r="IW51" s="122">
        <f>IV51*100/$E$51</f>
        <v/>
      </c>
      <c r="IX51" s="108" t="n"/>
      <c r="IY51" s="122">
        <f>IX51*100/$E$51</f>
        <v/>
      </c>
      <c r="IZ51" s="108" t="n"/>
      <c r="JA51" s="122">
        <f>IZ51*100/$E$51</f>
        <v/>
      </c>
      <c r="JB51" s="108" t="n"/>
      <c r="JC51" s="122">
        <f>JB51*100/$E$51</f>
        <v/>
      </c>
      <c r="JD51" s="108" t="n"/>
      <c r="JE51" s="122">
        <f>JD51*100/$E$51</f>
        <v/>
      </c>
      <c r="JF51" s="108" t="n"/>
      <c r="JG51" s="122">
        <f>JF51*100/$E$51</f>
        <v/>
      </c>
      <c r="JH51" s="108" t="n"/>
      <c r="JI51" s="122">
        <f>JH51*100/$E$51</f>
        <v/>
      </c>
      <c r="JJ51" s="108" t="n"/>
      <c r="JK51" s="122">
        <f>JJ51*100/$E$51</f>
        <v/>
      </c>
      <c r="JL51" s="108" t="n">
        <v>42.5</v>
      </c>
      <c r="JM51" s="122">
        <f>JL51*100/$E$51</f>
        <v/>
      </c>
      <c r="JN51" s="108" t="n"/>
      <c r="JO51" s="121">
        <f>JN51*100/$E$51</f>
        <v/>
      </c>
      <c r="JP51" s="108" t="n"/>
      <c r="JQ51" s="121">
        <f>JP51*100/$E$51</f>
        <v/>
      </c>
      <c r="JR51" s="108" t="n"/>
      <c r="JS51" s="121">
        <f>JR51*100/$E$51</f>
        <v/>
      </c>
      <c r="JT51" s="108" t="n"/>
      <c r="JU51" s="121">
        <f>JT51*100/$E$51</f>
        <v/>
      </c>
      <c r="JV51" s="108" t="n"/>
      <c r="JW51" s="121">
        <f>JV51*100/$E$51</f>
        <v/>
      </c>
      <c r="JX51" s="108" t="n"/>
      <c r="JY51" s="121">
        <f>JX51*100/$E$51</f>
        <v/>
      </c>
      <c r="JZ51" s="55">
        <f>JN51+JP51+JR51+JT51+JV51+JX51</f>
        <v/>
      </c>
      <c r="KA51" s="53">
        <f>JO51+JQ51+JS51+JU51+JW51+JY51</f>
        <v/>
      </c>
      <c r="KB51" s="64">
        <f>H51+J51+L51+N51+P51+R51+T51+V51+X51+Z51+AB51+AD51+AF51+AH51+AJ51+AL51+AN51+AP51+AR51+AT51+AV51+AX51+AZ51+BB51+BD51+BF51+BH51+BJ51+BL51+BN51+BP51+BR51+BT51+BV51+BX51+BZ51+CB51+CD51+CF51+CH51+CZ51+DB51+DD51+DF51+DH51+DJ51+DL51+DN51+DP51+DR51+DT51+DV51+DX51+DZ51+EB51+ED51+EF51+EH51+EJ51+EL51+EN51+EP51+ER51+ET51+EV51+FN51+FP51+FR51+FT51+FV51+FX51+FZ51+GB51+GD51+GF51+GH51+GJ51+GL51+GN51+GP51+GR51+GT51+GV51+GX51+GZ51+HB51+HD51+HF51+HH51+HJ51+HL51+HN51+HP51+HR51+HT51+HV51+HX51+HZ51+IB51+ID51+IF51+IH51+IJ51+IL51+IN51+IP51+IR51+IT51+IV51+IX51+IZ51+JB51+JD51+JF51+JH51+JJ51+JL51+JZ51+CJ51+CL51+CN51+CP51+CR51+CT51+CV51+CX51+EX51+EZ51+FB51+FD51+FF51+FH51+FJ51+FL51</f>
        <v/>
      </c>
      <c r="KC51" s="66">
        <f>I51+K51+M51+O51+Q51+S51+U51+W51+Y51+AA51+AC51+AE51+AG51+AI51+AK51+AM51+AO51+AQ51+AS51+AU51+AW51+AY51+BA51+BC51+BE51+BG51+BI51+BK51+BM51+BO51+BQ51+BS51+BU51+BW51+BY51+CA51+CC51+CE51+CG51+CI51+DA51+DC51+DE51+DG51+DI51+DK51+DM51+DO51+DQ51+DS51+DU51+DW51+DY51+EA51+EC51+EE51+EG51+EI51+EK51+EM51+EO51+EQ51+ES51+EU51+EW51+FO51+FS51+FU51+FW51+FQ51+FY51+GA51+GC51+GE51+GG51+GI51+GK51+GM51+GO51+GQ51+GS51+GU51+GW51+GY51+HA51+HC51+HE51+HG51+HI51+HK51+HM51+HO51+HQ51+HS51+HU51+HW51+HY51+IA51+IC51+IE51+IG51+II51+IK51+IM51+IO51+IQ51+IS51+IU51+IW51+IY51+JA51+JC51+JE51+JG51+JI51+JK51+JM51+KA51+CK51+CM51+CO51+CQ51+CS51+CU51+CW51+CY51+EY51+FA51+FC51+FE51+FG51+FI51+FK51+FM51</f>
        <v/>
      </c>
      <c r="KD51" s="44">
        <f>JO51+JQ51+JS51+JU51+JW51+JY51</f>
        <v/>
      </c>
      <c r="KE51" s="45">
        <f>KB51=E51</f>
        <v/>
      </c>
      <c r="KF51" s="101">
        <f>E51-KB51</f>
        <v/>
      </c>
      <c r="KG51" s="28" t="n"/>
    </row>
    <row r="52" ht="29.25" customFormat="1" customHeight="1" s="100" thickBot="1">
      <c r="A52" s="129" t="n"/>
      <c r="B52" s="135" t="inlineStr">
        <is>
          <t>Итого</t>
        </is>
      </c>
      <c r="C52" s="91" t="n"/>
      <c r="D52" s="131">
        <f>SUM(D9:D51)</f>
        <v/>
      </c>
      <c r="E52" s="31">
        <f>SUM(E9:E51)</f>
        <v/>
      </c>
      <c r="F52" s="92">
        <f>SUM(F9:F51)</f>
        <v/>
      </c>
      <c r="G52" s="105">
        <f>E52*F53</f>
        <v/>
      </c>
      <c r="H52" s="95">
        <f>SUM(H9:H51)</f>
        <v/>
      </c>
      <c r="I52" s="96">
        <f>SUM(I9:I51)</f>
        <v/>
      </c>
      <c r="J52" s="89">
        <f>SUM(J9:J51)</f>
        <v/>
      </c>
      <c r="K52" s="96">
        <f>SUM(K9:K51)</f>
        <v/>
      </c>
      <c r="L52" s="89">
        <f>SUM(L9:L51)</f>
        <v/>
      </c>
      <c r="M52" s="96">
        <f>SUM(M9:M51)</f>
        <v/>
      </c>
      <c r="N52" s="89">
        <f>SUM(N9:N51)</f>
        <v/>
      </c>
      <c r="O52" s="96">
        <f>SUM(O9:O51)</f>
        <v/>
      </c>
      <c r="P52" s="89">
        <f>SUM(P9:P51)</f>
        <v/>
      </c>
      <c r="Q52" s="96">
        <f>SUM(Q9:Q51)</f>
        <v/>
      </c>
      <c r="R52" s="95">
        <f>SUM(R9:R51)</f>
        <v/>
      </c>
      <c r="S52" s="96">
        <f>SUM(S9:S51)</f>
        <v/>
      </c>
      <c r="T52" s="89">
        <f>SUM(T9:T51)</f>
        <v/>
      </c>
      <c r="U52" s="96">
        <f>SUM(U9:U51)</f>
        <v/>
      </c>
      <c r="V52" s="89">
        <f>SUM(V9:V51)</f>
        <v/>
      </c>
      <c r="W52" s="96">
        <f>SUM(W9:W51)</f>
        <v/>
      </c>
      <c r="X52" s="89">
        <f>SUM(X9:X51)</f>
        <v/>
      </c>
      <c r="Y52" s="96">
        <f>SUM(Y9:Y51)</f>
        <v/>
      </c>
      <c r="Z52" s="89">
        <f>SUM(Z9:Z51)</f>
        <v/>
      </c>
      <c r="AA52" s="96">
        <f>SUM(AA9:AA51)</f>
        <v/>
      </c>
      <c r="AB52" s="89">
        <f>SUM(AB9:AB51)</f>
        <v/>
      </c>
      <c r="AC52" s="96">
        <f>SUM(AC9:AC51)</f>
        <v/>
      </c>
      <c r="AD52" s="89">
        <f>SUM(AD9:AD51)</f>
        <v/>
      </c>
      <c r="AE52" s="96">
        <f>SUM(AE9:AE51)</f>
        <v/>
      </c>
      <c r="AF52" s="89">
        <f>SUM(AF9:AF51)</f>
        <v/>
      </c>
      <c r="AG52" s="96">
        <f>SUM(AG9:AG51)</f>
        <v/>
      </c>
      <c r="AH52" s="89">
        <f>SUM(AH9:AH51)</f>
        <v/>
      </c>
      <c r="AI52" s="96">
        <f>SUM(AI9:AI51)</f>
        <v/>
      </c>
      <c r="AJ52" s="89">
        <f>SUM(AJ9:AJ51)</f>
        <v/>
      </c>
      <c r="AK52" s="96">
        <f>SUM(AK9:AK51)</f>
        <v/>
      </c>
      <c r="AL52" s="89">
        <f>SUM(AL9:AL51)</f>
        <v/>
      </c>
      <c r="AM52" s="96">
        <f>SUM(AM9:AM51)</f>
        <v/>
      </c>
      <c r="AN52" s="89">
        <f>SUM(AN9:AN51)</f>
        <v/>
      </c>
      <c r="AO52" s="96">
        <f>SUM(AO9:AO51)</f>
        <v/>
      </c>
      <c r="AP52" s="89">
        <f>SUM(AP9:AP51)</f>
        <v/>
      </c>
      <c r="AQ52" s="96">
        <f>SUM(AQ9:AQ51)</f>
        <v/>
      </c>
      <c r="AR52" s="89">
        <f>SUM(AR9:AR51)</f>
        <v/>
      </c>
      <c r="AS52" s="96">
        <f>SUM(AS9:AS51)</f>
        <v/>
      </c>
      <c r="AT52" s="89">
        <f>SUM(AT9:AT51)</f>
        <v/>
      </c>
      <c r="AU52" s="96">
        <f>SUM(AU9:AU51)</f>
        <v/>
      </c>
      <c r="AV52" s="89">
        <f>SUM(AV9:AV51)</f>
        <v/>
      </c>
      <c r="AW52" s="96">
        <f>SUM(AW9:AW51)</f>
        <v/>
      </c>
      <c r="AX52" s="89">
        <f>SUM(AX9:AX51)</f>
        <v/>
      </c>
      <c r="AY52" s="96">
        <f>SUM(AY9:AY51)</f>
        <v/>
      </c>
      <c r="AZ52" s="89">
        <f>SUM(AZ9:AZ51)</f>
        <v/>
      </c>
      <c r="BA52" s="96">
        <f>SUM(BA9:BA51)</f>
        <v/>
      </c>
      <c r="BB52" s="89">
        <f>SUM(BB9:BB51)</f>
        <v/>
      </c>
      <c r="BC52" s="96">
        <f>SUM(BC9:BC51)</f>
        <v/>
      </c>
      <c r="BD52" s="89">
        <f>SUM(BD9:BD51)</f>
        <v/>
      </c>
      <c r="BE52" s="96">
        <f>SUM(BE9:BE51)</f>
        <v/>
      </c>
      <c r="BF52" s="89">
        <f>SUM(BF9:BF51)</f>
        <v/>
      </c>
      <c r="BG52" s="96">
        <f>SUM(BG9:BG51)</f>
        <v/>
      </c>
      <c r="BH52" s="89">
        <f>SUM(BH9:BH51)</f>
        <v/>
      </c>
      <c r="BI52" s="96">
        <f>SUM(BI9:BI51)</f>
        <v/>
      </c>
      <c r="BJ52" s="89">
        <f>SUM(BJ9:BJ51)</f>
        <v/>
      </c>
      <c r="BK52" s="96">
        <f>SUM(BK9:BK51)</f>
        <v/>
      </c>
      <c r="BL52" s="89">
        <f>SUM(BL9:BL51)</f>
        <v/>
      </c>
      <c r="BM52" s="96">
        <f>SUM(BM9:BM51)</f>
        <v/>
      </c>
      <c r="BN52" s="89">
        <f>SUM(BN9:BN51)</f>
        <v/>
      </c>
      <c r="BO52" s="96">
        <f>SUM(BO9:BO51)</f>
        <v/>
      </c>
      <c r="BP52" s="89">
        <f>SUM(BP9:BP51)</f>
        <v/>
      </c>
      <c r="BQ52" s="96">
        <f>SUM(BQ9:BQ51)</f>
        <v/>
      </c>
      <c r="BR52" s="89">
        <f>SUM(BR9:BR51)</f>
        <v/>
      </c>
      <c r="BS52" s="96">
        <f>SUM(BS9:BS51)</f>
        <v/>
      </c>
      <c r="BT52" s="89">
        <f>SUM(BT9:BT51)</f>
        <v/>
      </c>
      <c r="BU52" s="96">
        <f>SUM(BU9:BU51)</f>
        <v/>
      </c>
      <c r="BV52" s="89">
        <f>SUM(BV9:BV51)</f>
        <v/>
      </c>
      <c r="BW52" s="96">
        <f>SUM(BW9:BW51)</f>
        <v/>
      </c>
      <c r="BX52" s="89">
        <f>SUM(BX9:BX51)</f>
        <v/>
      </c>
      <c r="BY52" s="96">
        <f>SUM(BY9:BY51)</f>
        <v/>
      </c>
      <c r="BZ52" s="89">
        <f>SUM(BZ9:BZ51)</f>
        <v/>
      </c>
      <c r="CA52" s="96">
        <f>SUM(CA9:CA51)</f>
        <v/>
      </c>
      <c r="CB52" s="89">
        <f>SUM(CB9:CB51)</f>
        <v/>
      </c>
      <c r="CC52" s="96">
        <f>SUM(CC9:CC51)</f>
        <v/>
      </c>
      <c r="CD52" s="89">
        <f>SUM(CD9:CD51)</f>
        <v/>
      </c>
      <c r="CE52" s="96">
        <f>SUM(CE9:CE51)</f>
        <v/>
      </c>
      <c r="CF52" s="89">
        <f>SUM(CF9:CF51)</f>
        <v/>
      </c>
      <c r="CG52" s="96">
        <f>SUM(CG9:CG51)</f>
        <v/>
      </c>
      <c r="CH52" s="89">
        <f>SUM(CH9:CH51)</f>
        <v/>
      </c>
      <c r="CI52" s="96">
        <f>SUM(CI9:CI51)</f>
        <v/>
      </c>
      <c r="CJ52" s="89">
        <f>SUM(CJ9:CJ51)</f>
        <v/>
      </c>
      <c r="CK52" s="96">
        <f>SUM(CK9:CK51)</f>
        <v/>
      </c>
      <c r="CL52" s="89">
        <f>SUM(CL9:CL51)</f>
        <v/>
      </c>
      <c r="CM52" s="96">
        <f>SUM(CM9:CM51)</f>
        <v/>
      </c>
      <c r="CN52" s="89">
        <f>SUM(CN9:CN51)</f>
        <v/>
      </c>
      <c r="CO52" s="96">
        <f>SUM(CO9:CO51)</f>
        <v/>
      </c>
      <c r="CP52" s="89">
        <f>SUM(CP9:CP51)</f>
        <v/>
      </c>
      <c r="CQ52" s="96">
        <f>SUM(CQ9:CQ51)</f>
        <v/>
      </c>
      <c r="CR52" s="89">
        <f>SUM(CR9:CR51)</f>
        <v/>
      </c>
      <c r="CS52" s="96">
        <f>SUM(CS9:CS51)</f>
        <v/>
      </c>
      <c r="CT52" s="89">
        <f>SUM(CT9:CT51)</f>
        <v/>
      </c>
      <c r="CU52" s="96">
        <f>SUM(CU9:CU51)</f>
        <v/>
      </c>
      <c r="CV52" s="89">
        <f>SUM(CV9:CV51)</f>
        <v/>
      </c>
      <c r="CW52" s="96">
        <f>SUM(CW9:CW51)</f>
        <v/>
      </c>
      <c r="CX52" s="89">
        <f>SUM(CX9:CX51)</f>
        <v/>
      </c>
      <c r="CY52" s="96">
        <f>SUM(CY9:CY51)</f>
        <v/>
      </c>
      <c r="CZ52" s="89">
        <f>SUM(CZ9:CZ51)</f>
        <v/>
      </c>
      <c r="DA52" s="96">
        <f>SUM(DA9:DA51)</f>
        <v/>
      </c>
      <c r="DB52" s="89">
        <f>SUM(DB9:DB51)</f>
        <v/>
      </c>
      <c r="DC52" s="96">
        <f>SUM(DC9:DC51)</f>
        <v/>
      </c>
      <c r="DD52" s="89">
        <f>SUM(DD9:DD51)</f>
        <v/>
      </c>
      <c r="DE52" s="96">
        <f>SUM(DE9:DE51)</f>
        <v/>
      </c>
      <c r="DF52" s="89">
        <f>SUM(DF9:DF51)</f>
        <v/>
      </c>
      <c r="DG52" s="96">
        <f>SUM(DG9:DG51)</f>
        <v/>
      </c>
      <c r="DH52" s="89">
        <f>SUM(DH9:DH51)</f>
        <v/>
      </c>
      <c r="DI52" s="96">
        <f>SUM(DI9:DI51)</f>
        <v/>
      </c>
      <c r="DJ52" s="89">
        <f>SUM(DJ9:DJ51)</f>
        <v/>
      </c>
      <c r="DK52" s="96">
        <f>SUM(DK9:DK51)</f>
        <v/>
      </c>
      <c r="DL52" s="89">
        <f>SUM(DL9:DL51)</f>
        <v/>
      </c>
      <c r="DM52" s="96">
        <f>SUM(DM9:DM51)</f>
        <v/>
      </c>
      <c r="DN52" s="89">
        <f>SUM(DN9:DN51)</f>
        <v/>
      </c>
      <c r="DO52" s="96">
        <f>SUM(DO9:DO51)</f>
        <v/>
      </c>
      <c r="DP52" s="89">
        <f>SUM(DP9:DP51)</f>
        <v/>
      </c>
      <c r="DQ52" s="96">
        <f>SUM(DQ9:DQ51)</f>
        <v/>
      </c>
      <c r="DR52" s="89">
        <f>SUM(DR9:DR51)</f>
        <v/>
      </c>
      <c r="DS52" s="96">
        <f>SUM(DS9:DS51)</f>
        <v/>
      </c>
      <c r="DT52" s="89">
        <f>SUM(DT9:DT51)</f>
        <v/>
      </c>
      <c r="DU52" s="96">
        <f>SUM(DU9:DU51)</f>
        <v/>
      </c>
      <c r="DV52" s="89">
        <f>SUM(DV9:DV51)</f>
        <v/>
      </c>
      <c r="DW52" s="96">
        <f>SUM(DW9:DW51)</f>
        <v/>
      </c>
      <c r="DX52" s="89">
        <f>SUM(DX9:DX51)</f>
        <v/>
      </c>
      <c r="DY52" s="96">
        <f>SUM(DY9:DY51)</f>
        <v/>
      </c>
      <c r="DZ52" s="89">
        <f>SUM(DZ9:DZ51)</f>
        <v/>
      </c>
      <c r="EA52" s="96">
        <f>SUM(EA9:EA51)</f>
        <v/>
      </c>
      <c r="EB52" s="89">
        <f>SUM(EB9:EB51)</f>
        <v/>
      </c>
      <c r="EC52" s="96">
        <f>SUM(EC9:EC51)</f>
        <v/>
      </c>
      <c r="ED52" s="89">
        <f>SUM(ED9:ED51)</f>
        <v/>
      </c>
      <c r="EE52" s="96">
        <f>SUM(EE9:EE51)</f>
        <v/>
      </c>
      <c r="EF52" s="89">
        <f>SUM(EF9:EF51)</f>
        <v/>
      </c>
      <c r="EG52" s="96">
        <f>SUM(EG9:EG51)</f>
        <v/>
      </c>
      <c r="EH52" s="89">
        <f>SUM(EH9:EH51)</f>
        <v/>
      </c>
      <c r="EI52" s="96">
        <f>SUM(EI9:EI51)</f>
        <v/>
      </c>
      <c r="EJ52" s="89">
        <f>SUM(EJ9:EJ51)</f>
        <v/>
      </c>
      <c r="EK52" s="96">
        <f>SUM(EK9:EK51)</f>
        <v/>
      </c>
      <c r="EL52" s="89">
        <f>SUM(EL9:EL51)</f>
        <v/>
      </c>
      <c r="EM52" s="96">
        <f>SUM(EM9:EM51)</f>
        <v/>
      </c>
      <c r="EN52" s="89">
        <f>SUM(EN9:EN51)</f>
        <v/>
      </c>
      <c r="EO52" s="96">
        <f>SUM(EO9:EO51)</f>
        <v/>
      </c>
      <c r="EP52" s="89">
        <f>SUM(EP9:EP51)</f>
        <v/>
      </c>
      <c r="EQ52" s="96">
        <f>SUM(EQ9:EQ51)</f>
        <v/>
      </c>
      <c r="ER52" s="89">
        <f>SUM(ER9:ER51)</f>
        <v/>
      </c>
      <c r="ES52" s="96">
        <f>SUM(ES9:ES51)</f>
        <v/>
      </c>
      <c r="ET52" s="89">
        <f>SUM(ET9:ET51)</f>
        <v/>
      </c>
      <c r="EU52" s="96">
        <f>SUM(EU9:EU51)</f>
        <v/>
      </c>
      <c r="EV52" s="89">
        <f>SUM(EV9:EV51)</f>
        <v/>
      </c>
      <c r="EW52" s="96">
        <f>SUM(EW9:EW51)</f>
        <v/>
      </c>
      <c r="EX52" s="89">
        <f>SUM(EX9:EX51)</f>
        <v/>
      </c>
      <c r="EY52" s="96">
        <f>SUM(EY9:EY51)</f>
        <v/>
      </c>
      <c r="EZ52" s="89">
        <f>SUM(EZ9:EZ51)</f>
        <v/>
      </c>
      <c r="FA52" s="96">
        <f>SUM(FA9:FA51)</f>
        <v/>
      </c>
      <c r="FB52" s="89">
        <f>SUM(FB9:FB51)</f>
        <v/>
      </c>
      <c r="FC52" s="96">
        <f>SUM(FC9:FC51)</f>
        <v/>
      </c>
      <c r="FD52" s="89">
        <f>SUM(FD9:FD51)</f>
        <v/>
      </c>
      <c r="FE52" s="96">
        <f>SUM(FE9:FE51)</f>
        <v/>
      </c>
      <c r="FF52" s="89">
        <f>SUM(FF9:FF51)</f>
        <v/>
      </c>
      <c r="FG52" s="96">
        <f>SUM(FG9:FG51)</f>
        <v/>
      </c>
      <c r="FH52" s="89">
        <f>SUM(FH9:FH51)</f>
        <v/>
      </c>
      <c r="FI52" s="96">
        <f>SUM(FI9:FI51)</f>
        <v/>
      </c>
      <c r="FJ52" s="89">
        <f>SUM(FJ9:FJ51)</f>
        <v/>
      </c>
      <c r="FK52" s="96">
        <f>SUM(FK9:FK51)</f>
        <v/>
      </c>
      <c r="FL52" s="89">
        <f>SUM(FL9:FL51)</f>
        <v/>
      </c>
      <c r="FM52" s="96">
        <f>SUM(FM9:FM51)</f>
        <v/>
      </c>
      <c r="FN52" s="89">
        <f>SUM(FN9:FN51)</f>
        <v/>
      </c>
      <c r="FO52" s="96">
        <f>SUM(FO9:FO51)</f>
        <v/>
      </c>
      <c r="FP52" s="89">
        <f>SUM(FP9:FP51)</f>
        <v/>
      </c>
      <c r="FQ52" s="96">
        <f>SUM(FQ9:FQ51)</f>
        <v/>
      </c>
      <c r="FR52" s="89">
        <f>SUM(FR9:FR51)</f>
        <v/>
      </c>
      <c r="FS52" s="96">
        <f>SUM(FS9:FS51)</f>
        <v/>
      </c>
      <c r="FT52" s="89">
        <f>SUM(FT9:FT51)</f>
        <v/>
      </c>
      <c r="FU52" s="96">
        <f>SUM(FU9:FU51)</f>
        <v/>
      </c>
      <c r="FV52" s="89">
        <f>SUM(FV9:FV51)</f>
        <v/>
      </c>
      <c r="FW52" s="96">
        <f>SUM(FW9:FW51)</f>
        <v/>
      </c>
      <c r="FX52" s="89">
        <f>SUM(FX9:FX51)</f>
        <v/>
      </c>
      <c r="FY52" s="96">
        <f>SUM(FY9:FY51)</f>
        <v/>
      </c>
      <c r="FZ52" s="89">
        <f>SUM(FZ9:FZ51)</f>
        <v/>
      </c>
      <c r="GA52" s="96">
        <f>SUM(GA9:GA51)</f>
        <v/>
      </c>
      <c r="GB52" s="89">
        <f>SUM(GB9:GB51)</f>
        <v/>
      </c>
      <c r="GC52" s="96">
        <f>SUM(GC9:GC51)</f>
        <v/>
      </c>
      <c r="GD52" s="89">
        <f>SUM(GD9:GD51)</f>
        <v/>
      </c>
      <c r="GE52" s="96">
        <f>SUM(GE9:GE51)</f>
        <v/>
      </c>
      <c r="GF52" s="89">
        <f>SUM(GF9:GF51)</f>
        <v/>
      </c>
      <c r="GG52" s="96">
        <f>SUM(GG9:GG51)</f>
        <v/>
      </c>
      <c r="GH52" s="89">
        <f>SUM(GH9:GH51)</f>
        <v/>
      </c>
      <c r="GI52" s="96">
        <f>SUM(GI9:GI51)</f>
        <v/>
      </c>
      <c r="GJ52" s="89">
        <f>SUM(GJ9:GJ51)</f>
        <v/>
      </c>
      <c r="GK52" s="96">
        <f>SUM(GK9:GK51)</f>
        <v/>
      </c>
      <c r="GL52" s="89">
        <f>SUM(GL9:GL51)</f>
        <v/>
      </c>
      <c r="GM52" s="96">
        <f>SUM(GM9:GM51)</f>
        <v/>
      </c>
      <c r="GN52" s="89">
        <f>SUM(GN9:GN51)</f>
        <v/>
      </c>
      <c r="GO52" s="96">
        <f>SUM(GO9:GO51)</f>
        <v/>
      </c>
      <c r="GP52" s="89">
        <f>SUM(GP9:GP51)</f>
        <v/>
      </c>
      <c r="GQ52" s="96">
        <f>SUM(GQ9:GQ51)</f>
        <v/>
      </c>
      <c r="GR52" s="89">
        <f>SUM(GR9:GR51)</f>
        <v/>
      </c>
      <c r="GS52" s="96">
        <f>SUM(GS9:GS51)</f>
        <v/>
      </c>
      <c r="GT52" s="89">
        <f>SUM(GT9:GT51)</f>
        <v/>
      </c>
      <c r="GU52" s="96">
        <f>SUM(GU9:GU51)</f>
        <v/>
      </c>
      <c r="GV52" s="89">
        <f>SUM(GV9:GV51)</f>
        <v/>
      </c>
      <c r="GW52" s="96">
        <f>SUM(GW9:GW51)</f>
        <v/>
      </c>
      <c r="GX52" s="89">
        <f>SUM(GX9:GX51)</f>
        <v/>
      </c>
      <c r="GY52" s="96">
        <f>SUM(GY9:GY51)</f>
        <v/>
      </c>
      <c r="GZ52" s="89">
        <f>SUM(GZ9:GZ51)</f>
        <v/>
      </c>
      <c r="HA52" s="96">
        <f>SUM(HA9:HA51)</f>
        <v/>
      </c>
      <c r="HB52" s="89">
        <f>SUM(HB9:HB51)</f>
        <v/>
      </c>
      <c r="HC52" s="96">
        <f>SUM(HC9:HC51)</f>
        <v/>
      </c>
      <c r="HD52" s="89">
        <f>SUM(HD9:HD51)</f>
        <v/>
      </c>
      <c r="HE52" s="96">
        <f>SUM(HE9:HE51)</f>
        <v/>
      </c>
      <c r="HF52" s="89">
        <f>SUM(HF9:HF51)</f>
        <v/>
      </c>
      <c r="HG52" s="96">
        <f>SUM(HG9:HG51)</f>
        <v/>
      </c>
      <c r="HH52" s="89">
        <f>SUM(HH9:HH51)</f>
        <v/>
      </c>
      <c r="HI52" s="96">
        <f>SUM(HI9:HI51)</f>
        <v/>
      </c>
      <c r="HJ52" s="89">
        <f>SUM(HJ9:HJ51)</f>
        <v/>
      </c>
      <c r="HK52" s="96">
        <f>SUM(HK9:HK51)</f>
        <v/>
      </c>
      <c r="HL52" s="89">
        <f>SUM(HL9:HL51)</f>
        <v/>
      </c>
      <c r="HM52" s="96">
        <f>SUM(HM9:HM51)</f>
        <v/>
      </c>
      <c r="HN52" s="89">
        <f>SUM(HN9:HN51)</f>
        <v/>
      </c>
      <c r="HO52" s="96">
        <f>SUM(HO9:HO51)</f>
        <v/>
      </c>
      <c r="HP52" s="89">
        <f>SUM(HP9:HP51)</f>
        <v/>
      </c>
      <c r="HQ52" s="96">
        <f>SUM(HQ9:HQ51)</f>
        <v/>
      </c>
      <c r="HR52" s="89">
        <f>SUM(HR9:HR51)</f>
        <v/>
      </c>
      <c r="HS52" s="96">
        <f>SUM(HS9:HS51)</f>
        <v/>
      </c>
      <c r="HT52" s="89">
        <f>SUM(HT9:HT51)</f>
        <v/>
      </c>
      <c r="HU52" s="96">
        <f>SUM(HU9:HU51)</f>
        <v/>
      </c>
      <c r="HV52" s="89">
        <f>SUM(HV9:HV51)</f>
        <v/>
      </c>
      <c r="HW52" s="96">
        <f>SUM(HW9:HW51)</f>
        <v/>
      </c>
      <c r="HX52" s="89">
        <f>SUM(HX9:HX51)</f>
        <v/>
      </c>
      <c r="HY52" s="96">
        <f>SUM(HY9:HY51)</f>
        <v/>
      </c>
      <c r="HZ52" s="89">
        <f>SUM(HZ9:HZ51)</f>
        <v/>
      </c>
      <c r="IA52" s="96">
        <f>SUM(IA9:IA51)</f>
        <v/>
      </c>
      <c r="IB52" s="89">
        <f>SUM(IB9:IB51)</f>
        <v/>
      </c>
      <c r="IC52" s="96">
        <f>SUM(IC9:IC51)</f>
        <v/>
      </c>
      <c r="ID52" s="89">
        <f>SUM(ID9:ID51)</f>
        <v/>
      </c>
      <c r="IE52" s="96">
        <f>SUM(IE9:IE51)</f>
        <v/>
      </c>
      <c r="IF52" s="89">
        <f>SUM(IF9:IF51)</f>
        <v/>
      </c>
      <c r="IG52" s="96">
        <f>SUM(IG9:IG51)</f>
        <v/>
      </c>
      <c r="IH52" s="89">
        <f>SUM(IH9:IH51)</f>
        <v/>
      </c>
      <c r="II52" s="96">
        <f>SUM(II9:II51)</f>
        <v/>
      </c>
      <c r="IJ52" s="89">
        <f>SUM(IJ9:IJ51)</f>
        <v/>
      </c>
      <c r="IK52" s="96">
        <f>SUM(IK9:IK51)</f>
        <v/>
      </c>
      <c r="IL52" s="89">
        <f>SUM(IL9:IL51)</f>
        <v/>
      </c>
      <c r="IM52" s="96">
        <f>SUM(IM9:IM51)</f>
        <v/>
      </c>
      <c r="IN52" s="89">
        <f>SUM(IN9:IN51)</f>
        <v/>
      </c>
      <c r="IO52" s="96">
        <f>SUM(IO9:IO51)</f>
        <v/>
      </c>
      <c r="IP52" s="89">
        <f>SUM(IP9:IP51)</f>
        <v/>
      </c>
      <c r="IQ52" s="96">
        <f>SUM(IQ9:IQ51)</f>
        <v/>
      </c>
      <c r="IR52" s="89">
        <f>SUM(IR9:IR51)</f>
        <v/>
      </c>
      <c r="IS52" s="96">
        <f>SUM(IS9:IS51)</f>
        <v/>
      </c>
      <c r="IT52" s="89">
        <f>SUM(IT9:IT51)</f>
        <v/>
      </c>
      <c r="IU52" s="96">
        <f>SUM(IU9:IU51)</f>
        <v/>
      </c>
      <c r="IV52" s="89">
        <f>SUM(IV9:IV51)</f>
        <v/>
      </c>
      <c r="IW52" s="96">
        <f>SUM(IW9:IW51)</f>
        <v/>
      </c>
      <c r="IX52" s="89">
        <f>SUM(IX9:IX51)</f>
        <v/>
      </c>
      <c r="IY52" s="96">
        <f>SUM(IY9:IY51)</f>
        <v/>
      </c>
      <c r="IZ52" s="89">
        <f>SUM(IZ9:IZ51)</f>
        <v/>
      </c>
      <c r="JA52" s="96">
        <f>SUM(JA9:JA51)</f>
        <v/>
      </c>
      <c r="JB52" s="89">
        <f>SUM(JB9:JB51)</f>
        <v/>
      </c>
      <c r="JC52" s="96">
        <f>SUM(JC9:JC51)</f>
        <v/>
      </c>
      <c r="JD52" s="89">
        <f>SUM(JD9:JD51)</f>
        <v/>
      </c>
      <c r="JE52" s="96">
        <f>SUM(JE9:JE51)</f>
        <v/>
      </c>
      <c r="JF52" s="89">
        <f>SUM(JF9:JF51)</f>
        <v/>
      </c>
      <c r="JG52" s="96">
        <f>SUM(JG9:JG51)</f>
        <v/>
      </c>
      <c r="JH52" s="89">
        <f>SUM(JH9:JH51)</f>
        <v/>
      </c>
      <c r="JI52" s="96">
        <f>SUM(JI9:JI51)</f>
        <v/>
      </c>
      <c r="JJ52" s="89">
        <f>SUM(JJ9:JJ51)</f>
        <v/>
      </c>
      <c r="JK52" s="96">
        <f>SUM(JK9:JK51)</f>
        <v/>
      </c>
      <c r="JL52" s="89">
        <f>SUM(JL9:JL51)</f>
        <v/>
      </c>
      <c r="JM52" s="96">
        <f>SUM(JM9:JM51)</f>
        <v/>
      </c>
      <c r="JN52" s="93">
        <f>SUM(JN9:JN51)</f>
        <v/>
      </c>
      <c r="JO52" s="102">
        <f>JN52*100/$E$25</f>
        <v/>
      </c>
      <c r="JP52" s="94">
        <f>SUM(JP9:JP51)</f>
        <v/>
      </c>
      <c r="JQ52" s="103">
        <f>JP52*100/$E$15</f>
        <v/>
      </c>
      <c r="JR52" s="94">
        <f>SUM(JR9:JR51)</f>
        <v/>
      </c>
      <c r="JS52" s="102">
        <f>JR52*100/$E$25</f>
        <v/>
      </c>
      <c r="JT52" s="94">
        <f>SUM(JT9:JT51)</f>
        <v/>
      </c>
      <c r="JU52" s="102">
        <f>JT52*100/$E$25</f>
        <v/>
      </c>
      <c r="JV52" s="94">
        <f>SUM(JV9:JV51)</f>
        <v/>
      </c>
      <c r="JW52" s="102">
        <f>JV52*100/$E$25</f>
        <v/>
      </c>
      <c r="JX52" s="94">
        <f>SUM(JX9:JX51)</f>
        <v/>
      </c>
      <c r="JY52" s="102">
        <f>JX52*100/$E$25</f>
        <v/>
      </c>
      <c r="JZ52" s="102">
        <f>JN52+JP52+JR52+JT52+JV52+JX52</f>
        <v/>
      </c>
      <c r="KA52" s="106">
        <f>SUM(KA9:KA51)</f>
        <v/>
      </c>
      <c r="KB52" s="104">
        <f>H52+J52+L52+N52+P52+R52+T52+V52+X52+Z52+AB52+AD52+AF52+AH52+AJ52+AL52+AN52+AP52+AR52+AT52+AV52+AX52+AZ52+BB52+BD52+BF52+BH52+BJ52+BL52+BN52+BP52+BR52+BT52+BV52+BX52+BZ52+CB52+CD52+CF52+CH52+CZ52+DB52+DD52+DF52+DH52+DJ52+DL52+DN52+DP52+DR52+DT52+DV52+DX52+DZ52+EB52+ED52+EF52+EH52+EJ52+EL52+EN52+EP52+ER52+ET52+EV52+FN52+FP52+FR52+FT52+FV52+FX52+FZ52+GB52+GD52+GF52+GH52+GJ52+GL52+GN52+GP52+GR52+GT52+GV52+GX52+GZ52+HB52+HD52+HF52+HH52+HJ52+HL52+HN52+HP52+HR52+HT52+HV52+HX52+HZ52+IB52+ID52+IF52+IH52+IJ52+IL52+IN52+IP52+IR52+IT52+IV52+IX52+IZ52+JB52+JD52+JF52+JH52+JJ52+JL52+JZ52+CJ52+CL52+CN52+CP52+CR52+CT52+CV52+CX52+EX52+EZ52+FB52+FD52+FF52+FH52+FJ52+FL52</f>
        <v/>
      </c>
      <c r="KC52" s="116">
        <f>I52+K52+M52+O52+Q52+S52+U52+W52+Y52+AA52+AC52+AE52+AG52+AI52+AK52+AM52+AO52+AQ52+AS52+AU52+AW52+AY52+BA52+BC52+BE52+BG52+BI52+BK52+BM52+BO52+BQ52+BS52+BU52+BW52+BY52+CA52+CC52+CE52+CG52+CI52+DA52+DC52+DE52+DG52+DI52+DK52+DM52+DO52+DQ52+DS52+DU52+DW52+DY52+EA52+EC52+EE52+EG52+EI52+EK52+EM52+EO52+EQ52+ES52+EU52+EW52+FO52+FS52+FU52+FW52+FQ52+FY52+GA52+GC52+GE52+GG52+GI52+GK52+GM52+GO52+GQ52+GS52+GU52+GW52+GY52+HA52+HC52+HE52+HG52+HI52+HK52+HM52+HO52+HQ52+HS52+HU52+HW52+HY52+IA52+IC52+IE52+IG52+II52+IK52+IM52+IO52+IQ52+IS52+IU52+IW52+IY52+JA52+JC52+JE52+JG52+JI52+JK52+JM52+KA52+CK52+CM52+CO52+CQ52+CS52+CU52+CW52+CY52+EY52+FA52+FC52+FE52+FG52+FI52+FK52+FM52</f>
        <v/>
      </c>
      <c r="KD52" s="97" t="n"/>
      <c r="KE52" s="98" t="n"/>
      <c r="KF52" s="97" t="n"/>
      <c r="KG52" s="97" t="n"/>
      <c r="KH52" s="98" t="n"/>
      <c r="KI52" s="98" t="n"/>
      <c r="KJ52" s="98" t="n"/>
      <c r="KK52" s="98" t="n"/>
      <c r="KL52" s="98" t="n"/>
      <c r="KM52" s="98" t="n"/>
      <c r="KN52" s="99" t="n"/>
    </row>
    <row r="53" ht="29.25" customFormat="1" customHeight="1" s="292" thickBot="1">
      <c r="A53" s="111" t="n"/>
      <c r="B53" s="148" t="inlineStr">
        <is>
          <t>Плановая ЗП</t>
        </is>
      </c>
      <c r="C53" s="78" t="n"/>
      <c r="D53" s="112" t="n"/>
      <c r="E53" s="113" t="n"/>
      <c r="F53" s="250">
        <f>F52/D52</f>
        <v/>
      </c>
      <c r="G53" s="118" t="n"/>
      <c r="H53" s="276">
        <f>$F$53*H52</f>
        <v/>
      </c>
      <c r="I53" s="277" t="n"/>
      <c r="J53" s="245">
        <f>$F$53*J52</f>
        <v/>
      </c>
      <c r="K53" s="246" t="n"/>
      <c r="L53" s="245">
        <f>$F$53*L52</f>
        <v/>
      </c>
      <c r="M53" s="246" t="n"/>
      <c r="N53" s="254">
        <f>$F$53*N52</f>
        <v/>
      </c>
      <c r="O53" s="255" t="n"/>
      <c r="P53" s="245">
        <f>$F$53*P52</f>
        <v/>
      </c>
      <c r="Q53" s="246" t="n"/>
      <c r="R53" s="269">
        <f>$F$53*R52</f>
        <v/>
      </c>
      <c r="S53" s="246" t="n"/>
      <c r="T53" s="311">
        <f>$F$53*T52</f>
        <v/>
      </c>
      <c r="V53" s="291">
        <f>$F$53*V52</f>
        <v/>
      </c>
      <c r="X53" s="291">
        <f>$F$53*X52</f>
        <v/>
      </c>
      <c r="Z53" s="313">
        <f>$F$53*Z52</f>
        <v/>
      </c>
      <c r="AA53" s="306" t="n"/>
      <c r="AB53" s="245">
        <f>$F$53*AB52</f>
        <v/>
      </c>
      <c r="AC53" s="246" t="n"/>
      <c r="AD53" s="250">
        <f>$F$53*AD52</f>
        <v/>
      </c>
      <c r="AE53" s="251" t="n"/>
      <c r="AF53" s="245">
        <f>$F$53*AF52</f>
        <v/>
      </c>
      <c r="AG53" s="246" t="n"/>
      <c r="AH53" s="245">
        <f>$F$53*AH52</f>
        <v/>
      </c>
      <c r="AI53" s="246" t="n"/>
      <c r="AJ53" s="245">
        <f>$F$53*AJ52</f>
        <v/>
      </c>
      <c r="AK53" s="246" t="n"/>
      <c r="AL53" s="245">
        <f>$F$53*AL52</f>
        <v/>
      </c>
      <c r="AM53" s="246" t="n"/>
      <c r="AN53" s="250">
        <f>$F$53*AN52</f>
        <v/>
      </c>
      <c r="AO53" s="251" t="n"/>
      <c r="AP53" s="250">
        <f>$F$53*AP52</f>
        <v/>
      </c>
      <c r="AQ53" s="251" t="n"/>
      <c r="AR53" s="245">
        <f>$F$53*AR52</f>
        <v/>
      </c>
      <c r="AS53" s="246" t="n"/>
      <c r="AT53" s="250">
        <f>$F$53*AT52</f>
        <v/>
      </c>
      <c r="AU53" s="251" t="n"/>
      <c r="AV53" s="245">
        <f>$F$53*AV52</f>
        <v/>
      </c>
      <c r="AW53" s="246" t="n"/>
      <c r="AX53" s="250">
        <f>$F$53*AX52</f>
        <v/>
      </c>
      <c r="AY53" s="251" t="n"/>
      <c r="AZ53" s="245">
        <f>$F$53*AZ52</f>
        <v/>
      </c>
      <c r="BA53" s="246" t="n"/>
      <c r="BB53" s="250">
        <f>$F$53*BB52</f>
        <v/>
      </c>
      <c r="BC53" s="251" t="n"/>
      <c r="BD53" s="245">
        <f>$F$53*BD52</f>
        <v/>
      </c>
      <c r="BE53" s="246" t="n"/>
      <c r="BF53" s="250">
        <f>$F$53*BF52</f>
        <v/>
      </c>
      <c r="BG53" s="251" t="n"/>
      <c r="BH53" s="250">
        <f>$F$53*BH52</f>
        <v/>
      </c>
      <c r="BI53" s="251" t="n"/>
      <c r="BJ53" s="250">
        <f>$F$53*BJ52</f>
        <v/>
      </c>
      <c r="BK53" s="251" t="n"/>
      <c r="BL53" s="245">
        <f>$F$53*BL52</f>
        <v/>
      </c>
      <c r="BM53" s="246" t="n"/>
      <c r="BN53" s="245">
        <f>$F$53*BN52</f>
        <v/>
      </c>
      <c r="BO53" s="246" t="n"/>
      <c r="BP53" s="245">
        <f>$F$53*BP52</f>
        <v/>
      </c>
      <c r="BQ53" s="246" t="n"/>
      <c r="BR53" s="245">
        <f>$F$53*BR52</f>
        <v/>
      </c>
      <c r="BS53" s="246" t="n"/>
      <c r="BT53" s="245">
        <f>$F$53*BT52</f>
        <v/>
      </c>
      <c r="BU53" s="246" t="n"/>
      <c r="BV53" s="245">
        <f>$F$53*BV52</f>
        <v/>
      </c>
      <c r="BW53" s="246" t="n"/>
      <c r="BX53" s="245">
        <f>$F$53*BX52</f>
        <v/>
      </c>
      <c r="BY53" s="246" t="n"/>
      <c r="BZ53" s="245">
        <f>$F$53*BZ52</f>
        <v/>
      </c>
      <c r="CA53" s="246" t="n"/>
      <c r="CB53" s="250">
        <f>$F$53*CB52</f>
        <v/>
      </c>
      <c r="CC53" s="251" t="n"/>
      <c r="CD53" s="250">
        <f>$F$53*CD52</f>
        <v/>
      </c>
      <c r="CE53" s="251" t="n"/>
      <c r="CF53" s="250">
        <f>$F$53*CF52</f>
        <v/>
      </c>
      <c r="CG53" s="251" t="n"/>
      <c r="CH53" s="245">
        <f>$F$53*CH52</f>
        <v/>
      </c>
      <c r="CI53" s="246" t="n"/>
      <c r="CJ53" s="245">
        <f>$F$53*CJ52</f>
        <v/>
      </c>
      <c r="CK53" s="246" t="n"/>
      <c r="CL53" s="245">
        <f>$F$53*CL52</f>
        <v/>
      </c>
      <c r="CM53" s="246" t="n"/>
      <c r="CN53" s="245">
        <f>$F$53*CN52</f>
        <v/>
      </c>
      <c r="CO53" s="246" t="n"/>
      <c r="CP53" s="290">
        <f>$F$53*CP52</f>
        <v/>
      </c>
      <c r="CQ53" s="255" t="n"/>
      <c r="CR53" s="245">
        <f>$F$53*CR52</f>
        <v/>
      </c>
      <c r="CS53" s="246" t="n"/>
      <c r="CT53" s="245">
        <f>$F$53*CT52</f>
        <v/>
      </c>
      <c r="CU53" s="246" t="n"/>
      <c r="CV53" s="273">
        <f>$F$53*CV52</f>
        <v/>
      </c>
      <c r="CW53" s="251" t="n"/>
      <c r="CX53" s="245">
        <f>$F$53*CX52</f>
        <v/>
      </c>
      <c r="CY53" s="246" t="n"/>
      <c r="CZ53" s="245">
        <f>$F$53*CZ52</f>
        <v/>
      </c>
      <c r="DA53" s="246" t="n"/>
      <c r="DB53" s="273">
        <f>$F$53*DB52</f>
        <v/>
      </c>
      <c r="DC53" s="251" t="n"/>
      <c r="DD53" s="245">
        <f>$F$53*DD52</f>
        <v/>
      </c>
      <c r="DE53" s="246" t="n"/>
      <c r="DF53" s="250">
        <f>$F$53*DF52</f>
        <v/>
      </c>
      <c r="DG53" s="251" t="n"/>
      <c r="DH53" s="245">
        <f>$F$53*DH52</f>
        <v/>
      </c>
      <c r="DI53" s="246" t="n"/>
      <c r="DJ53" s="245">
        <f>$F$53*DJ52</f>
        <v/>
      </c>
      <c r="DK53" s="246" t="n"/>
      <c r="DL53" s="250">
        <f>$F$53*DL52</f>
        <v/>
      </c>
      <c r="DM53" s="251" t="n"/>
      <c r="DN53" s="254">
        <f>$F$53*DN52</f>
        <v/>
      </c>
      <c r="DO53" s="255" t="n"/>
      <c r="DP53" s="250">
        <f>$F$53*DP52</f>
        <v/>
      </c>
      <c r="DQ53" s="251" t="n"/>
      <c r="DR53" s="245">
        <f>$F$53*DR52</f>
        <v/>
      </c>
      <c r="DS53" s="246" t="n"/>
      <c r="DT53" s="250">
        <f>$F$53*DT52</f>
        <v/>
      </c>
      <c r="DU53" s="251" t="n"/>
      <c r="DV53" s="245">
        <f>$F$53*DV52</f>
        <v/>
      </c>
      <c r="DW53" s="246" t="n"/>
      <c r="DX53" s="254">
        <f>$F$53*DX52</f>
        <v/>
      </c>
      <c r="DY53" s="255" t="n"/>
      <c r="DZ53" s="245">
        <f>$F$53*DZ52</f>
        <v/>
      </c>
      <c r="EA53" s="246" t="n"/>
      <c r="EB53" s="245">
        <f>$F$53*EB52</f>
        <v/>
      </c>
      <c r="EC53" s="246" t="n"/>
      <c r="ED53" s="245">
        <f>$F$53*ED52</f>
        <v/>
      </c>
      <c r="EE53" s="246" t="n"/>
      <c r="EF53" s="290">
        <f>$F$53*EF52</f>
        <v/>
      </c>
      <c r="EG53" s="255" t="n"/>
      <c r="EH53" s="245">
        <f>$F$53*EH52</f>
        <v/>
      </c>
      <c r="EI53" s="246" t="n"/>
      <c r="EJ53" s="245">
        <f>$F$53*EJ52</f>
        <v/>
      </c>
      <c r="EK53" s="246" t="n"/>
      <c r="EL53" s="245">
        <f>$F$53*EL52</f>
        <v/>
      </c>
      <c r="EM53" s="246" t="n"/>
      <c r="EN53" s="245">
        <f>$F$53*EN52</f>
        <v/>
      </c>
      <c r="EO53" s="246" t="n"/>
      <c r="EP53" s="245">
        <f>$F$53*EP52</f>
        <v/>
      </c>
      <c r="EQ53" s="246" t="n"/>
      <c r="ER53" s="245">
        <f>$F$53*ER52</f>
        <v/>
      </c>
      <c r="ES53" s="246" t="n"/>
      <c r="ET53" s="245">
        <f>$F$53*ET52</f>
        <v/>
      </c>
      <c r="EU53" s="246" t="n"/>
      <c r="EV53" s="245">
        <f>$F$53*EV52</f>
        <v/>
      </c>
      <c r="EW53" s="246" t="n"/>
      <c r="EX53" s="275">
        <f>$F$53*EX52</f>
        <v/>
      </c>
      <c r="EY53" s="266" t="n"/>
      <c r="EZ53" s="245">
        <f>$F$53*EZ52</f>
        <v/>
      </c>
      <c r="FA53" s="246" t="n"/>
      <c r="FB53" s="245">
        <f>$F$53*FB52</f>
        <v/>
      </c>
      <c r="FC53" s="246" t="n"/>
      <c r="FD53" s="245">
        <f>$F$53*FD52</f>
        <v/>
      </c>
      <c r="FE53" s="246" t="n"/>
      <c r="FF53" s="245">
        <f>$F$53*FF52</f>
        <v/>
      </c>
      <c r="FG53" s="246" t="n"/>
      <c r="FH53" s="245">
        <f>$F$53*FH52</f>
        <v/>
      </c>
      <c r="FI53" s="246" t="n"/>
      <c r="FJ53" s="273">
        <f>$F$53*FJ52</f>
        <v/>
      </c>
      <c r="FK53" s="251" t="n"/>
      <c r="FL53" s="250">
        <f>$F$53*FL52</f>
        <v/>
      </c>
      <c r="FM53" s="251" t="n"/>
      <c r="FN53" s="245">
        <f>$F$53*FN52</f>
        <v/>
      </c>
      <c r="FO53" s="246" t="n"/>
      <c r="FP53" s="245">
        <f>$F$53*FP52</f>
        <v/>
      </c>
      <c r="FQ53" s="246" t="n"/>
      <c r="FR53" s="245">
        <f>$F$53*FR52</f>
        <v/>
      </c>
      <c r="FS53" s="246" t="n"/>
      <c r="FT53" s="245">
        <f>$F$53*FT52</f>
        <v/>
      </c>
      <c r="FU53" s="246" t="n"/>
      <c r="FV53" s="245">
        <f>$F$53*FV52</f>
        <v/>
      </c>
      <c r="FW53" s="246" t="n"/>
      <c r="FX53" s="254">
        <f>$F$53*FX52</f>
        <v/>
      </c>
      <c r="FY53" s="255" t="n"/>
      <c r="FZ53" s="254">
        <f>$F$53*FZ52</f>
        <v/>
      </c>
      <c r="GA53" s="255" t="n"/>
      <c r="GB53" s="254">
        <f>$F$53*GB52</f>
        <v/>
      </c>
      <c r="GC53" s="255" t="n"/>
      <c r="GD53" s="254">
        <f>$F$53*GD52</f>
        <v/>
      </c>
      <c r="GE53" s="255" t="n"/>
      <c r="GF53" s="245">
        <f>$F$53*GF52</f>
        <v/>
      </c>
      <c r="GG53" s="246" t="n"/>
      <c r="GH53" s="245">
        <f>$F$53*GH52</f>
        <v/>
      </c>
      <c r="GI53" s="246" t="n"/>
      <c r="GJ53" s="245">
        <f>$F$53*GJ52</f>
        <v/>
      </c>
      <c r="GK53" s="246" t="n"/>
      <c r="GL53" s="245">
        <f>$F$53*GL52</f>
        <v/>
      </c>
      <c r="GM53" s="246" t="n"/>
      <c r="GN53" s="262">
        <f>$F$53*GN52</f>
        <v/>
      </c>
      <c r="GO53" s="263" t="n"/>
      <c r="GP53" s="262">
        <f>$F$53*GP52</f>
        <v/>
      </c>
      <c r="GQ53" s="263" t="n"/>
      <c r="GR53" s="262">
        <f>$F$53*GR52</f>
        <v/>
      </c>
      <c r="GS53" s="263" t="n"/>
      <c r="GT53" s="262">
        <f>$F$53*GT52</f>
        <v/>
      </c>
      <c r="GU53" s="263" t="n"/>
      <c r="GV53" s="262">
        <f>$F$53*GV52</f>
        <v/>
      </c>
      <c r="GW53" s="263" t="n"/>
      <c r="GX53" s="262">
        <f>$F$53*GX52</f>
        <v/>
      </c>
      <c r="GY53" s="263" t="n"/>
      <c r="GZ53" s="262">
        <f>$F$53*GZ52</f>
        <v/>
      </c>
      <c r="HA53" s="263" t="n"/>
      <c r="HB53" s="262">
        <f>$F$53*HB52</f>
        <v/>
      </c>
      <c r="HC53" s="263" t="n"/>
      <c r="HD53" s="262">
        <f>$F$53*HD52</f>
        <v/>
      </c>
      <c r="HE53" s="263" t="n"/>
      <c r="HF53" s="262">
        <f>$F$53*HF52</f>
        <v/>
      </c>
      <c r="HG53" s="263" t="n"/>
      <c r="HH53" s="262">
        <f>$F$53*HH52</f>
        <v/>
      </c>
      <c r="HI53" s="263" t="n"/>
      <c r="HJ53" s="262">
        <f>$F$53*HJ52</f>
        <v/>
      </c>
      <c r="HK53" s="263" t="n"/>
      <c r="HL53" s="262">
        <f>$F$53*HL52</f>
        <v/>
      </c>
      <c r="HM53" s="263" t="n"/>
      <c r="HN53" s="262">
        <f>$F$53*HN52</f>
        <v/>
      </c>
      <c r="HO53" s="263" t="n"/>
      <c r="HP53" s="262">
        <f>$F$53*HP52</f>
        <v/>
      </c>
      <c r="HQ53" s="263" t="n"/>
      <c r="HR53" s="262">
        <f>$F$53*HR52</f>
        <v/>
      </c>
      <c r="HS53" s="263" t="n"/>
      <c r="HT53" s="262">
        <f>$F$53*HT52</f>
        <v/>
      </c>
      <c r="HU53" s="263" t="n"/>
      <c r="HV53" s="276">
        <f>$F$53*HV52</f>
        <v/>
      </c>
      <c r="HW53" s="277" t="n"/>
      <c r="HX53" s="314">
        <f>$F$53*HX52</f>
        <v/>
      </c>
      <c r="HY53" s="266" t="n"/>
      <c r="HZ53" s="314">
        <f>$F$53*HZ52</f>
        <v/>
      </c>
      <c r="IA53" s="266" t="n"/>
      <c r="IB53" s="262">
        <f>$F$53*IB52</f>
        <v/>
      </c>
      <c r="IC53" s="263" t="n"/>
      <c r="ID53" s="276">
        <f>$F$53*ID52</f>
        <v/>
      </c>
      <c r="IE53" s="277" t="n"/>
      <c r="IF53" s="245">
        <f>$F$53*IF52</f>
        <v/>
      </c>
      <c r="IG53" s="246" t="n"/>
      <c r="IH53" s="245">
        <f>$F$53*IH52</f>
        <v/>
      </c>
      <c r="II53" s="246" t="n"/>
      <c r="IJ53" s="245">
        <f>$F$53*IJ52</f>
        <v/>
      </c>
      <c r="IK53" s="246" t="n"/>
      <c r="IL53" s="245">
        <f>$F$53*IL52</f>
        <v/>
      </c>
      <c r="IM53" s="246" t="n"/>
      <c r="IN53" s="245">
        <f>$F$53*IN52</f>
        <v/>
      </c>
      <c r="IO53" s="246" t="n"/>
      <c r="IP53" s="245">
        <f>$F$53*IP52</f>
        <v/>
      </c>
      <c r="IQ53" s="246" t="n"/>
      <c r="IR53" s="245">
        <f>$F$53*IR52</f>
        <v/>
      </c>
      <c r="IS53" s="246" t="n"/>
      <c r="IT53" s="245">
        <f>$F$53*IT52</f>
        <v/>
      </c>
      <c r="IU53" s="246" t="n"/>
      <c r="IV53" s="245">
        <f>$F$53*IV52</f>
        <v/>
      </c>
      <c r="IW53" s="246" t="n"/>
      <c r="IX53" s="245">
        <f>$F$53*IX52</f>
        <v/>
      </c>
      <c r="IY53" s="246" t="n"/>
      <c r="IZ53" s="245">
        <f>$F$53*IZ52</f>
        <v/>
      </c>
      <c r="JA53" s="246" t="n"/>
      <c r="JB53" s="245">
        <f>$F$53*JB52</f>
        <v/>
      </c>
      <c r="JC53" s="246" t="n"/>
      <c r="JD53" s="245">
        <f>$F$53*JD52</f>
        <v/>
      </c>
      <c r="JE53" s="246" t="n"/>
      <c r="JF53" s="245">
        <f>$F$53*JF52</f>
        <v/>
      </c>
      <c r="JG53" s="246" t="n"/>
      <c r="JH53" s="245">
        <f>$F$53*JH52</f>
        <v/>
      </c>
      <c r="JI53" s="246" t="n"/>
      <c r="JJ53" s="262">
        <f>$F$53*JJ52</f>
        <v/>
      </c>
      <c r="JK53" s="263" t="n"/>
      <c r="JL53" s="245">
        <f>$F$53*JL52</f>
        <v/>
      </c>
      <c r="JM53" s="246" t="n"/>
      <c r="JN53" s="276">
        <f>$F$53*JN52</f>
        <v/>
      </c>
      <c r="JO53" s="277" t="n"/>
      <c r="JP53" s="282">
        <f>$F$53*JP52</f>
        <v/>
      </c>
      <c r="JQ53" s="277" t="n"/>
      <c r="JR53" s="282">
        <f>$F$53*JR52</f>
        <v/>
      </c>
      <c r="JS53" s="277" t="n"/>
      <c r="JT53" s="282">
        <f>$F$53*JT52</f>
        <v/>
      </c>
      <c r="JU53" s="277" t="n"/>
      <c r="JV53" s="282">
        <f>$F$53*JV52</f>
        <v/>
      </c>
      <c r="JW53" s="277" t="n"/>
      <c r="JX53" s="282">
        <f>$F$53*JX52</f>
        <v/>
      </c>
      <c r="JY53" s="277" t="n"/>
      <c r="JZ53" s="297">
        <f>JN53+JP53+JR53+JT53+JX53</f>
        <v/>
      </c>
      <c r="KA53" s="263" t="n"/>
      <c r="KB53" s="298">
        <f>SUM(H53:JY53)</f>
        <v/>
      </c>
      <c r="KC53" s="246" t="n"/>
      <c r="KD53" s="2" t="n"/>
      <c r="KE53" s="279" t="n"/>
      <c r="KF53" s="97">
        <f>J53+L53+N53+P53+R53+AB53+AD53+AF53+AH53+AJ53+AL53+AN53+AP53+AR53+AT53+AV53+AX53+AZ53+BB53+BD53+BF53+BH53+BJ53+BL53+BN53+BP53+BR53+BT53+BV53+BX53+BZ53+CB53+CD53+CF53+CH53+CJ53+CL53+CN53+CP53+CR53+CT53+CV53+CX53+CZ53+DB53+DD53+DF53+DH53+DJ53+DL53+DN53+DP53+DR53+DT53+DV53+DX53+DZ53+EB53+ED53+EF53+EH53+EJ53+EL53+EN53+EP53+ER53+ET53+EV53+EZ53+FB53+FD53+FF53+FH53+FJ53+FL53+FN53+FP53+FR53+FT53+FV53+FX53+FZ53+GB53+GD53+GF53+GH53+GJ53+GL53+IF53+IJ53+IL53+IN53+IP53+IR53+IT53+JB53+JD53+JL53</f>
        <v/>
      </c>
      <c r="KG53" s="279" t="n"/>
      <c r="KH53" s="279" t="n"/>
      <c r="KI53" s="279" t="n"/>
      <c r="KJ53" s="279" t="n"/>
      <c r="KK53" s="279" t="n"/>
      <c r="KL53" s="279" t="n"/>
      <c r="KM53" s="279" t="n"/>
      <c r="KN53" s="279" t="n"/>
    </row>
    <row r="54" ht="29.25" customHeight="1" thickBot="1">
      <c r="A54" s="111" t="n"/>
      <c r="B54" s="77" t="inlineStr">
        <is>
          <t>Фактическая ЗП</t>
        </is>
      </c>
      <c r="C54" s="78" t="n"/>
      <c r="D54" s="112" t="n"/>
      <c r="E54" s="113" t="n"/>
      <c r="F54" s="250">
        <f>KB54/E52</f>
        <v/>
      </c>
      <c r="G54" s="118" t="n"/>
      <c r="H54" s="332" t="n"/>
      <c r="I54" s="251" t="n"/>
      <c r="J54" s="293" t="n"/>
      <c r="K54" s="246" t="n"/>
      <c r="L54" s="293" t="n"/>
      <c r="M54" s="246" t="n"/>
      <c r="N54" s="294" t="n"/>
      <c r="O54" s="255" t="n"/>
      <c r="P54" s="293" t="n"/>
      <c r="Q54" s="246" t="n"/>
      <c r="R54" s="315" t="n"/>
      <c r="S54" s="246" t="n"/>
      <c r="T54" s="315" t="n"/>
      <c r="U54" s="246" t="n"/>
      <c r="V54" s="253" t="n"/>
      <c r="W54" s="246" t="n"/>
      <c r="X54" s="300" t="n"/>
      <c r="Y54" s="255" t="n"/>
      <c r="Z54" s="253" t="n"/>
      <c r="AA54" s="246" t="n"/>
      <c r="AB54" s="253" t="n"/>
      <c r="AC54" s="246" t="n"/>
      <c r="AD54" s="261" t="n"/>
      <c r="AE54" s="251" t="n"/>
      <c r="AF54" s="253" t="n"/>
      <c r="AG54" s="246" t="n"/>
      <c r="AH54" s="253" t="n"/>
      <c r="AI54" s="246" t="n"/>
      <c r="AJ54" s="253" t="n"/>
      <c r="AK54" s="246" t="n"/>
      <c r="AL54" s="253" t="n"/>
      <c r="AM54" s="246" t="n"/>
      <c r="AN54" s="261" t="n"/>
      <c r="AO54" s="251" t="n"/>
      <c r="AP54" s="261" t="n"/>
      <c r="AQ54" s="251" t="n"/>
      <c r="AR54" s="253" t="n"/>
      <c r="AS54" s="246" t="n"/>
      <c r="AT54" s="261" t="n"/>
      <c r="AU54" s="251" t="n"/>
      <c r="AV54" s="253" t="n"/>
      <c r="AW54" s="246" t="n"/>
      <c r="AX54" s="261" t="n"/>
      <c r="AY54" s="251" t="n"/>
      <c r="AZ54" s="253" t="n"/>
      <c r="BA54" s="246" t="n"/>
      <c r="BB54" s="261" t="n"/>
      <c r="BC54" s="251" t="n"/>
      <c r="BD54" s="253" t="n"/>
      <c r="BE54" s="246" t="n"/>
      <c r="BF54" s="261" t="n"/>
      <c r="BG54" s="251" t="n"/>
      <c r="BH54" s="261" t="n"/>
      <c r="BI54" s="251" t="n"/>
      <c r="BJ54" s="261" t="n"/>
      <c r="BK54" s="251" t="n"/>
      <c r="BL54" s="253" t="n"/>
      <c r="BM54" s="246" t="n"/>
      <c r="BN54" s="253" t="n"/>
      <c r="BO54" s="246" t="n"/>
      <c r="BP54" s="253" t="n"/>
      <c r="BQ54" s="246" t="n"/>
      <c r="BR54" s="253" t="n"/>
      <c r="BS54" s="246" t="n"/>
      <c r="BT54" s="253" t="n"/>
      <c r="BU54" s="246" t="n"/>
      <c r="BV54" s="253" t="n"/>
      <c r="BW54" s="246" t="n"/>
      <c r="BX54" s="253" t="n"/>
      <c r="BY54" s="246" t="n"/>
      <c r="BZ54" s="253" t="n"/>
      <c r="CA54" s="246" t="n"/>
      <c r="CB54" s="261" t="n"/>
      <c r="CC54" s="251" t="n"/>
      <c r="CD54" s="261" t="n"/>
      <c r="CE54" s="251" t="n"/>
      <c r="CF54" s="261" t="n"/>
      <c r="CG54" s="251" t="n"/>
      <c r="CH54" s="253" t="n"/>
      <c r="CI54" s="246" t="n"/>
      <c r="CJ54" s="253" t="n"/>
      <c r="CK54" s="246" t="n"/>
      <c r="CL54" s="253" t="n"/>
      <c r="CM54" s="246" t="n"/>
      <c r="CN54" s="253" t="n"/>
      <c r="CO54" s="246" t="n"/>
      <c r="CP54" s="300" t="n"/>
      <c r="CQ54" s="255" t="n"/>
      <c r="CR54" s="253" t="n"/>
      <c r="CS54" s="246" t="n"/>
      <c r="CT54" s="253" t="n"/>
      <c r="CU54" s="246" t="n"/>
      <c r="CV54" s="300" t="n"/>
      <c r="CW54" s="255" t="n"/>
      <c r="CX54" s="253" t="n"/>
      <c r="CY54" s="246" t="n"/>
      <c r="CZ54" s="261" t="n"/>
      <c r="DA54" s="251" t="n"/>
      <c r="DB54" s="261" t="n"/>
      <c r="DC54" s="251" t="n"/>
      <c r="DD54" s="253" t="n"/>
      <c r="DE54" s="246" t="n"/>
      <c r="DF54" s="261" t="n"/>
      <c r="DG54" s="251" t="n"/>
      <c r="DH54" s="253" t="n"/>
      <c r="DI54" s="246" t="n"/>
      <c r="DJ54" s="253" t="n"/>
      <c r="DK54" s="246" t="n"/>
      <c r="DL54" s="261" t="n"/>
      <c r="DM54" s="251" t="n"/>
      <c r="DN54" s="274" t="n"/>
      <c r="DO54" s="255" t="n"/>
      <c r="DP54" s="261" t="n"/>
      <c r="DQ54" s="251" t="n"/>
      <c r="DR54" s="253" t="n"/>
      <c r="DS54" s="246" t="n"/>
      <c r="DT54" s="261" t="n"/>
      <c r="DU54" s="251" t="n"/>
      <c r="DV54" s="253" t="n"/>
      <c r="DW54" s="246" t="n"/>
      <c r="DX54" s="274" t="n"/>
      <c r="DY54" s="255" t="n"/>
      <c r="DZ54" s="253" t="n"/>
      <c r="EA54" s="246" t="n"/>
      <c r="EB54" s="253" t="n"/>
      <c r="EC54" s="246" t="n"/>
      <c r="ED54" s="253" t="n"/>
      <c r="EE54" s="246" t="n"/>
      <c r="EF54" s="315" t="n"/>
      <c r="EG54" s="246" t="n"/>
      <c r="EH54" s="253" t="n"/>
      <c r="EI54" s="246" t="n"/>
      <c r="EJ54" s="253" t="n"/>
      <c r="EK54" s="246" t="n"/>
      <c r="EL54" s="253" t="n"/>
      <c r="EM54" s="246" t="n"/>
      <c r="EN54" s="253" t="n"/>
      <c r="EO54" s="246" t="n"/>
      <c r="EP54" s="253" t="n"/>
      <c r="EQ54" s="246" t="n"/>
      <c r="ER54" s="253" t="n"/>
      <c r="ES54" s="246" t="n"/>
      <c r="ET54" s="253" t="n"/>
      <c r="EU54" s="246" t="n"/>
      <c r="EV54" s="253" t="n"/>
      <c r="EW54" s="246" t="n"/>
      <c r="EX54" s="300" t="n"/>
      <c r="EY54" s="255" t="n"/>
      <c r="EZ54" s="253" t="n"/>
      <c r="FA54" s="246" t="n"/>
      <c r="FB54" s="253" t="n"/>
      <c r="FC54" s="246" t="n"/>
      <c r="FD54" s="253" t="n"/>
      <c r="FE54" s="246" t="n"/>
      <c r="FF54" s="253" t="n"/>
      <c r="FG54" s="246" t="n"/>
      <c r="FH54" s="253" t="n"/>
      <c r="FI54" s="246" t="n"/>
      <c r="FJ54" s="289" t="n"/>
      <c r="FK54" s="251" t="n"/>
      <c r="FL54" s="320" t="n"/>
      <c r="FM54" s="263" t="n"/>
      <c r="FN54" s="296" t="n"/>
      <c r="FO54" s="263" t="n"/>
      <c r="FP54" s="253" t="n"/>
      <c r="FQ54" s="246" t="n"/>
      <c r="FR54" s="253" t="n"/>
      <c r="FS54" s="246" t="n"/>
      <c r="FT54" s="253" t="n"/>
      <c r="FU54" s="246" t="n"/>
      <c r="FV54" s="253" t="n"/>
      <c r="FW54" s="246" t="n"/>
      <c r="FX54" s="274" t="n"/>
      <c r="FY54" s="255" t="n"/>
      <c r="FZ54" s="274" t="n"/>
      <c r="GA54" s="255" t="n"/>
      <c r="GB54" s="274" t="n"/>
      <c r="GC54" s="255" t="n"/>
      <c r="GD54" s="274" t="n"/>
      <c r="GE54" s="255" t="n"/>
      <c r="GF54" s="253" t="n"/>
      <c r="GG54" s="246" t="n"/>
      <c r="GH54" s="253" t="n"/>
      <c r="GI54" s="246" t="n"/>
      <c r="GJ54" s="253" t="n"/>
      <c r="GK54" s="246" t="n"/>
      <c r="GL54" s="253" t="n"/>
      <c r="GM54" s="246" t="n"/>
      <c r="GN54" s="253" t="n"/>
      <c r="GO54" s="246" t="n"/>
      <c r="GP54" s="253" t="n"/>
      <c r="GQ54" s="246" t="n"/>
      <c r="GR54" s="253" t="n"/>
      <c r="GS54" s="246" t="n"/>
      <c r="GT54" s="253" t="n"/>
      <c r="GU54" s="246" t="n"/>
      <c r="GV54" s="253" t="n"/>
      <c r="GW54" s="246" t="n"/>
      <c r="GX54" s="253" t="n"/>
      <c r="GY54" s="246" t="n"/>
      <c r="GZ54" s="253" t="n"/>
      <c r="HA54" s="246" t="n"/>
      <c r="HB54" s="253" t="n"/>
      <c r="HC54" s="246" t="n"/>
      <c r="HD54" s="253" t="n"/>
      <c r="HE54" s="246" t="n"/>
      <c r="HF54" s="253" t="n"/>
      <c r="HG54" s="246" t="n"/>
      <c r="HH54" s="253" t="n"/>
      <c r="HI54" s="246" t="n"/>
      <c r="HJ54" s="253" t="n"/>
      <c r="HK54" s="246" t="n"/>
      <c r="HL54" s="253" t="n"/>
      <c r="HM54" s="246" t="n"/>
      <c r="HN54" s="253" t="n"/>
      <c r="HO54" s="246" t="n"/>
      <c r="HP54" s="253" t="n"/>
      <c r="HQ54" s="246" t="n"/>
      <c r="HR54" s="253" t="n"/>
      <c r="HS54" s="246" t="n"/>
      <c r="HT54" s="253" t="n"/>
      <c r="HU54" s="246" t="n"/>
      <c r="HV54" s="289" t="n"/>
      <c r="HW54" s="251" t="n"/>
      <c r="HX54" s="274" t="n"/>
      <c r="HY54" s="255" t="n"/>
      <c r="HZ54" s="253" t="n"/>
      <c r="IA54" s="246" t="n"/>
      <c r="IB54" s="253" t="n"/>
      <c r="IC54" s="246" t="n"/>
      <c r="ID54" s="289" t="n"/>
      <c r="IE54" s="251" t="n"/>
      <c r="IF54" s="253" t="n"/>
      <c r="IG54" s="246" t="n"/>
      <c r="IH54" s="253" t="n"/>
      <c r="II54" s="246" t="n"/>
      <c r="IJ54" s="253" t="n"/>
      <c r="IK54" s="246" t="n"/>
      <c r="IL54" s="253" t="n"/>
      <c r="IM54" s="246" t="n"/>
      <c r="IN54" s="253" t="n"/>
      <c r="IO54" s="246" t="n"/>
      <c r="IP54" s="253" t="n"/>
      <c r="IQ54" s="246" t="n"/>
      <c r="IR54" s="253" t="n"/>
      <c r="IS54" s="246" t="n"/>
      <c r="IT54" s="253" t="n"/>
      <c r="IU54" s="246" t="n"/>
      <c r="IV54" s="253" t="n"/>
      <c r="IW54" s="246" t="n"/>
      <c r="IX54" s="253" t="n"/>
      <c r="IY54" s="246" t="n"/>
      <c r="IZ54" s="253" t="n"/>
      <c r="JA54" s="246" t="n"/>
      <c r="JB54" s="253" t="n"/>
      <c r="JC54" s="246" t="n"/>
      <c r="JD54" s="253" t="n"/>
      <c r="JE54" s="246" t="n"/>
      <c r="JF54" s="253" t="n"/>
      <c r="JG54" s="246" t="n"/>
      <c r="JH54" s="253" t="n"/>
      <c r="JI54" s="246" t="n"/>
      <c r="JJ54" s="253" t="n"/>
      <c r="JK54" s="246" t="n"/>
      <c r="JL54" s="253" t="n"/>
      <c r="JM54" s="246" t="n"/>
      <c r="JN54" s="289" t="n"/>
      <c r="JO54" s="251" t="n"/>
      <c r="JP54" s="264" t="n"/>
      <c r="JQ54" s="251" t="n"/>
      <c r="JR54" s="264" t="n"/>
      <c r="JS54" s="251" t="n"/>
      <c r="JT54" s="264" t="n"/>
      <c r="JU54" s="251" t="n"/>
      <c r="JV54" s="264" t="n"/>
      <c r="JW54" s="251" t="n"/>
      <c r="JX54" s="264" t="n"/>
      <c r="JY54" s="251" t="n"/>
      <c r="JZ54" s="302">
        <f>JN54+JP54+JR54+JT54+JV54+JX54</f>
        <v/>
      </c>
      <c r="KA54" s="246" t="n"/>
      <c r="KB54" s="303">
        <f>SUM(H54:JY54)</f>
        <v/>
      </c>
      <c r="KC54" s="246" t="n"/>
      <c r="KD54" s="2">
        <f>KB53-KB55</f>
        <v/>
      </c>
      <c r="KF54" s="97" t="n"/>
    </row>
    <row r="55" ht="29.25" customHeight="1" thickBot="1">
      <c r="A55" s="115" t="n"/>
      <c r="B55" s="76" t="inlineStr">
        <is>
          <t xml:space="preserve">Отклонение (+/-) к плану </t>
        </is>
      </c>
      <c r="C55" s="78" t="n"/>
      <c r="D55" s="112" t="n"/>
      <c r="E55" s="113" t="n"/>
      <c r="F55" s="250" t="n"/>
      <c r="G55" s="118" t="n"/>
      <c r="H55" s="273">
        <f>H53-H54</f>
        <v/>
      </c>
      <c r="I55" s="251" t="n"/>
      <c r="J55" s="245">
        <f>J53-J54</f>
        <v/>
      </c>
      <c r="K55" s="246" t="n"/>
      <c r="L55" s="245">
        <f>L53-L54</f>
        <v/>
      </c>
      <c r="M55" s="246" t="n"/>
      <c r="N55" s="254">
        <f>N53-N54</f>
        <v/>
      </c>
      <c r="O55" s="255" t="n"/>
      <c r="P55" s="245">
        <f>P53-P54</f>
        <v/>
      </c>
      <c r="Q55" s="246" t="n"/>
      <c r="R55" s="295">
        <f>R53-R54</f>
        <v/>
      </c>
      <c r="S55" s="263" t="n"/>
      <c r="T55" s="275">
        <f>T53-T54</f>
        <v/>
      </c>
      <c r="U55" s="266" t="n"/>
      <c r="V55" s="314">
        <f>V53-V54</f>
        <v/>
      </c>
      <c r="W55" s="266" t="n"/>
      <c r="X55" s="314">
        <f>X53-X54</f>
        <v/>
      </c>
      <c r="Y55" s="266" t="n"/>
      <c r="Z55" s="262">
        <f>Z53-Z54</f>
        <v/>
      </c>
      <c r="AA55" s="263" t="n"/>
      <c r="AB55" s="262">
        <f>AB53-AB54</f>
        <v/>
      </c>
      <c r="AC55" s="263" t="n"/>
      <c r="AD55" s="330">
        <f>AD53-AD54</f>
        <v/>
      </c>
      <c r="AE55" s="277" t="n"/>
      <c r="AF55" s="262">
        <f>AF53-AF54</f>
        <v/>
      </c>
      <c r="AG55" s="263" t="n"/>
      <c r="AH55" s="262">
        <f>AH53-AH54</f>
        <v/>
      </c>
      <c r="AI55" s="263" t="n"/>
      <c r="AJ55" s="262">
        <f>AJ53-AJ54</f>
        <v/>
      </c>
      <c r="AK55" s="263" t="n"/>
      <c r="AL55" s="245">
        <f>AL53-AL54</f>
        <v/>
      </c>
      <c r="AM55" s="246" t="n"/>
      <c r="AN55" s="250">
        <f>AN53-AN54</f>
        <v/>
      </c>
      <c r="AO55" s="251" t="n"/>
      <c r="AP55" s="250">
        <f>AP53-AP54</f>
        <v/>
      </c>
      <c r="AQ55" s="251" t="n"/>
      <c r="AR55" s="245">
        <f>AR53-AR54</f>
        <v/>
      </c>
      <c r="AS55" s="246" t="n"/>
      <c r="AT55" s="250">
        <f>AT53-AT54</f>
        <v/>
      </c>
      <c r="AU55" s="251" t="n"/>
      <c r="AV55" s="245">
        <f>AV53-AV54</f>
        <v/>
      </c>
      <c r="AW55" s="246" t="n"/>
      <c r="AX55" s="250">
        <f>AX53-AX54</f>
        <v/>
      </c>
      <c r="AY55" s="251" t="n"/>
      <c r="AZ55" s="245">
        <f>AZ53-AZ54</f>
        <v/>
      </c>
      <c r="BA55" s="246" t="n"/>
      <c r="BB55" s="250">
        <f>BB53-BB54</f>
        <v/>
      </c>
      <c r="BC55" s="251" t="n"/>
      <c r="BD55" s="245">
        <f>BD53-BD54</f>
        <v/>
      </c>
      <c r="BE55" s="246" t="n"/>
      <c r="BF55" s="250">
        <f>BF53-BF54</f>
        <v/>
      </c>
      <c r="BG55" s="251" t="n"/>
      <c r="BH55" s="250">
        <f>BH53-BH54</f>
        <v/>
      </c>
      <c r="BI55" s="251" t="n"/>
      <c r="BJ55" s="250">
        <f>BJ53-BJ54</f>
        <v/>
      </c>
      <c r="BK55" s="251" t="n"/>
      <c r="BL55" s="245">
        <f>BL53-BL54</f>
        <v/>
      </c>
      <c r="BM55" s="246" t="n"/>
      <c r="BN55" s="245">
        <f>BN53-BN54</f>
        <v/>
      </c>
      <c r="BO55" s="246" t="n"/>
      <c r="BP55" s="245">
        <f>BP53-BP54</f>
        <v/>
      </c>
      <c r="BQ55" s="246" t="n"/>
      <c r="BR55" s="245">
        <f>BR53-BR54</f>
        <v/>
      </c>
      <c r="BS55" s="246" t="n"/>
      <c r="BT55" s="245">
        <f>BT53-BT54</f>
        <v/>
      </c>
      <c r="BU55" s="246" t="n"/>
      <c r="BV55" s="245">
        <f>BV53-BV54</f>
        <v/>
      </c>
      <c r="BW55" s="246" t="n"/>
      <c r="BX55" s="245">
        <f>BX53-BX54</f>
        <v/>
      </c>
      <c r="BY55" s="246" t="n"/>
      <c r="BZ55" s="245">
        <f>BZ53-BZ54</f>
        <v/>
      </c>
      <c r="CA55" s="246" t="n"/>
      <c r="CB55" s="250">
        <f>CB53-CB54</f>
        <v/>
      </c>
      <c r="CC55" s="251" t="n"/>
      <c r="CD55" s="250">
        <f>CD53-CD54</f>
        <v/>
      </c>
      <c r="CE55" s="251" t="n"/>
      <c r="CF55" s="250">
        <f>CF53-CF54</f>
        <v/>
      </c>
      <c r="CG55" s="251" t="n"/>
      <c r="CH55" s="245">
        <f>CH53-CH54</f>
        <v/>
      </c>
      <c r="CI55" s="246" t="n"/>
      <c r="CJ55" s="245">
        <f>CJ53-CJ54</f>
        <v/>
      </c>
      <c r="CK55" s="246" t="n"/>
      <c r="CL55" s="245">
        <f>CL53-CL54</f>
        <v/>
      </c>
      <c r="CM55" s="246" t="n"/>
      <c r="CN55" s="245">
        <f>CN53-CN54</f>
        <v/>
      </c>
      <c r="CO55" s="246" t="n"/>
      <c r="CP55" s="290">
        <f>CP53-CP54</f>
        <v/>
      </c>
      <c r="CQ55" s="255" t="n"/>
      <c r="CR55" s="245">
        <f>CR53-CR54</f>
        <v/>
      </c>
      <c r="CS55" s="246" t="n"/>
      <c r="CT55" s="245">
        <f>CT53-CT54</f>
        <v/>
      </c>
      <c r="CU55" s="246" t="n"/>
      <c r="CV55" s="276">
        <f>CV53-CV54</f>
        <v/>
      </c>
      <c r="CW55" s="277" t="n"/>
      <c r="CX55" s="245">
        <f>CX53-CX54</f>
        <v/>
      </c>
      <c r="CY55" s="246" t="n"/>
      <c r="CZ55" s="250">
        <f>CZ53-CZ54</f>
        <v/>
      </c>
      <c r="DA55" s="251" t="n"/>
      <c r="DB55" s="250">
        <f>DB53-DB54</f>
        <v/>
      </c>
      <c r="DC55" s="251" t="n"/>
      <c r="DD55" s="245">
        <f>DD53-DD54</f>
        <v/>
      </c>
      <c r="DE55" s="246" t="n"/>
      <c r="DF55" s="250">
        <f>DF53-DF54</f>
        <v/>
      </c>
      <c r="DG55" s="251" t="n"/>
      <c r="DH55" s="245">
        <f>DH53-DH54</f>
        <v/>
      </c>
      <c r="DI55" s="246" t="n"/>
      <c r="DJ55" s="245">
        <f>DJ53-DJ54</f>
        <v/>
      </c>
      <c r="DK55" s="246" t="n"/>
      <c r="DL55" s="250">
        <f>DL53-DL54</f>
        <v/>
      </c>
      <c r="DM55" s="251" t="n"/>
      <c r="DN55" s="254">
        <f>DN53-DN54</f>
        <v/>
      </c>
      <c r="DO55" s="255" t="n"/>
      <c r="DP55" s="245">
        <f>DP53-DP54</f>
        <v/>
      </c>
      <c r="DQ55" s="246" t="n"/>
      <c r="DR55" s="245">
        <f>DR53-DR54</f>
        <v/>
      </c>
      <c r="DS55" s="246" t="n"/>
      <c r="DT55" s="250">
        <f>DT53-DT54</f>
        <v/>
      </c>
      <c r="DU55" s="251" t="n"/>
      <c r="DV55" s="245">
        <f>DV53-DV54</f>
        <v/>
      </c>
      <c r="DW55" s="246" t="n"/>
      <c r="DX55" s="254">
        <f>DX53-DX54</f>
        <v/>
      </c>
      <c r="DY55" s="255" t="n"/>
      <c r="DZ55" s="245">
        <f>DZ53-DZ54</f>
        <v/>
      </c>
      <c r="EA55" s="246" t="n"/>
      <c r="EB55" s="245">
        <f>EB53-EB54</f>
        <v/>
      </c>
      <c r="EC55" s="246" t="n"/>
      <c r="ED55" s="245">
        <f>ED53-ED54</f>
        <v/>
      </c>
      <c r="EE55" s="246" t="n"/>
      <c r="EF55" s="290">
        <f>EF53-EF54</f>
        <v/>
      </c>
      <c r="EG55" s="255" t="n"/>
      <c r="EH55" s="245">
        <f>EH53-EH54</f>
        <v/>
      </c>
      <c r="EI55" s="246" t="n"/>
      <c r="EJ55" s="245">
        <f>EJ53-EJ54</f>
        <v/>
      </c>
      <c r="EK55" s="246" t="n"/>
      <c r="EL55" s="245">
        <f>EL53-EL54</f>
        <v/>
      </c>
      <c r="EM55" s="246" t="n"/>
      <c r="EN55" s="245">
        <f>EN53-EN54</f>
        <v/>
      </c>
      <c r="EO55" s="246" t="n"/>
      <c r="EP55" s="245">
        <f>EP53-EP54</f>
        <v/>
      </c>
      <c r="EQ55" s="246" t="n"/>
      <c r="ER55" s="245">
        <f>ER53-ER54</f>
        <v/>
      </c>
      <c r="ES55" s="246" t="n"/>
      <c r="ET55" s="245">
        <f>ET53-ET54</f>
        <v/>
      </c>
      <c r="EU55" s="246" t="n"/>
      <c r="EV55" s="245">
        <f>EV53-EV54</f>
        <v/>
      </c>
      <c r="EW55" s="246" t="n"/>
      <c r="EX55" s="290">
        <f>EX53-EX54</f>
        <v/>
      </c>
      <c r="EY55" s="255" t="n"/>
      <c r="EZ55" s="245">
        <f>EZ53-EZ54</f>
        <v/>
      </c>
      <c r="FA55" s="246" t="n"/>
      <c r="FB55" s="245">
        <f>FB53-FB54</f>
        <v/>
      </c>
      <c r="FC55" s="246" t="n"/>
      <c r="FD55" s="245">
        <f>FD53-FD54</f>
        <v/>
      </c>
      <c r="FE55" s="246" t="n"/>
      <c r="FF55" s="245">
        <f>FF53-FF54</f>
        <v/>
      </c>
      <c r="FG55" s="246" t="n"/>
      <c r="FH55" s="245">
        <f>FH53-FH54</f>
        <v/>
      </c>
      <c r="FI55" s="246" t="n"/>
      <c r="FJ55" s="269">
        <f>FJ53-FJ54</f>
        <v/>
      </c>
      <c r="FK55" s="246" t="n"/>
      <c r="FL55" s="245">
        <f>FL53-FL54</f>
        <v/>
      </c>
      <c r="FM55" s="246" t="n"/>
      <c r="FN55" s="245">
        <f>FN53-FN54</f>
        <v/>
      </c>
      <c r="FO55" s="246" t="n"/>
      <c r="FP55" s="245">
        <f>FP53-FP54</f>
        <v/>
      </c>
      <c r="FQ55" s="246" t="n"/>
      <c r="FR55" s="245">
        <f>FR53-FR54</f>
        <v/>
      </c>
      <c r="FS55" s="246" t="n"/>
      <c r="FT55" s="245">
        <f>FT53-FT54</f>
        <v/>
      </c>
      <c r="FU55" s="246" t="n"/>
      <c r="FV55" s="245">
        <f>FV53-FV54</f>
        <v/>
      </c>
      <c r="FW55" s="246" t="n"/>
      <c r="FX55" s="254">
        <f>FX53-FX54</f>
        <v/>
      </c>
      <c r="FY55" s="255" t="n"/>
      <c r="FZ55" s="254">
        <f>FZ53-FZ54</f>
        <v/>
      </c>
      <c r="GA55" s="255" t="n"/>
      <c r="GB55" s="254">
        <f>GB53-GB54</f>
        <v/>
      </c>
      <c r="GC55" s="255" t="n"/>
      <c r="GD55" s="254">
        <f>GD53-GD54</f>
        <v/>
      </c>
      <c r="GE55" s="255" t="n"/>
      <c r="GF55" s="245">
        <f>GF53-GF54</f>
        <v/>
      </c>
      <c r="GG55" s="246" t="n"/>
      <c r="GH55" s="245">
        <f>GH53-GH54</f>
        <v/>
      </c>
      <c r="GI55" s="246" t="n"/>
      <c r="GJ55" s="245">
        <f>GJ53-GJ54</f>
        <v/>
      </c>
      <c r="GK55" s="246" t="n"/>
      <c r="GL55" s="245">
        <f>GL53-GL54</f>
        <v/>
      </c>
      <c r="GM55" s="246" t="n"/>
      <c r="GN55" s="245">
        <f>GN53-GN54</f>
        <v/>
      </c>
      <c r="GO55" s="246" t="n"/>
      <c r="GP55" s="245">
        <f>GP53-GP54</f>
        <v/>
      </c>
      <c r="GQ55" s="246" t="n"/>
      <c r="GR55" s="245">
        <f>GR53-GR54</f>
        <v/>
      </c>
      <c r="GS55" s="246" t="n"/>
      <c r="GT55" s="245">
        <f>GT53-GT54</f>
        <v/>
      </c>
      <c r="GU55" s="246" t="n"/>
      <c r="GV55" s="245">
        <f>GV53-GV54</f>
        <v/>
      </c>
      <c r="GW55" s="246" t="n"/>
      <c r="GX55" s="245">
        <f>GX53-GX54</f>
        <v/>
      </c>
      <c r="GY55" s="246" t="n"/>
      <c r="GZ55" s="245">
        <f>GZ53-GZ54</f>
        <v/>
      </c>
      <c r="HA55" s="246" t="n"/>
      <c r="HB55" s="245">
        <f>HB53-HB54</f>
        <v/>
      </c>
      <c r="HC55" s="246" t="n"/>
      <c r="HD55" s="245">
        <f>HD53-HD54</f>
        <v/>
      </c>
      <c r="HE55" s="246" t="n"/>
      <c r="HF55" s="245">
        <f>HF53-HF54</f>
        <v/>
      </c>
      <c r="HG55" s="246" t="n"/>
      <c r="HH55" s="245">
        <f>HH53-HH54</f>
        <v/>
      </c>
      <c r="HI55" s="246" t="n"/>
      <c r="HJ55" s="245">
        <f>HJ53-HJ54</f>
        <v/>
      </c>
      <c r="HK55" s="246" t="n"/>
      <c r="HL55" s="245">
        <f>HL53-HL54</f>
        <v/>
      </c>
      <c r="HM55" s="246" t="n"/>
      <c r="HN55" s="245">
        <f>HN53-HN54</f>
        <v/>
      </c>
      <c r="HO55" s="246" t="n"/>
      <c r="HP55" s="245">
        <f>HP53-HP54</f>
        <v/>
      </c>
      <c r="HQ55" s="246" t="n"/>
      <c r="HR55" s="245">
        <f>HR53-HR54</f>
        <v/>
      </c>
      <c r="HS55" s="246" t="n"/>
      <c r="HT55" s="245">
        <f>HT53-HT54</f>
        <v/>
      </c>
      <c r="HU55" s="246" t="n"/>
      <c r="HV55" s="273">
        <f>HV53-HV54</f>
        <v/>
      </c>
      <c r="HW55" s="251" t="n"/>
      <c r="HX55" s="254">
        <f>HX53-HX54</f>
        <v/>
      </c>
      <c r="HY55" s="255" t="n"/>
      <c r="HZ55" s="254">
        <f>HZ53-HZ54</f>
        <v/>
      </c>
      <c r="IA55" s="255" t="n"/>
      <c r="IB55" s="245">
        <f>IB53-IB54</f>
        <v/>
      </c>
      <c r="IC55" s="246" t="n"/>
      <c r="ID55" s="273">
        <f>ID53-ID54</f>
        <v/>
      </c>
      <c r="IE55" s="251" t="n"/>
      <c r="IF55" s="245">
        <f>IF53-IF54</f>
        <v/>
      </c>
      <c r="IG55" s="246" t="n"/>
      <c r="IH55" s="245">
        <f>IH53-IH54</f>
        <v/>
      </c>
      <c r="II55" s="246" t="n"/>
      <c r="IJ55" s="245">
        <f>IJ53-IJ54</f>
        <v/>
      </c>
      <c r="IK55" s="246" t="n"/>
      <c r="IL55" s="245">
        <f>IL53-IL54</f>
        <v/>
      </c>
      <c r="IM55" s="246" t="n"/>
      <c r="IN55" s="245">
        <f>IN53-IN54</f>
        <v/>
      </c>
      <c r="IO55" s="246" t="n"/>
      <c r="IP55" s="245">
        <f>IP53-IP54</f>
        <v/>
      </c>
      <c r="IQ55" s="246" t="n"/>
      <c r="IR55" s="245">
        <f>IR53-IR54</f>
        <v/>
      </c>
      <c r="IS55" s="246" t="n"/>
      <c r="IT55" s="245">
        <f>IT53-IT54</f>
        <v/>
      </c>
      <c r="IU55" s="246" t="n"/>
      <c r="IV55" s="245">
        <f>IV53-IV54</f>
        <v/>
      </c>
      <c r="IW55" s="246" t="n"/>
      <c r="IX55" s="245">
        <f>IX53-IX54</f>
        <v/>
      </c>
      <c r="IY55" s="246" t="n"/>
      <c r="IZ55" s="245">
        <f>IZ53-IZ54</f>
        <v/>
      </c>
      <c r="JA55" s="246" t="n"/>
      <c r="JB55" s="245">
        <f>JB53-JB54</f>
        <v/>
      </c>
      <c r="JC55" s="246" t="n"/>
      <c r="JD55" s="245">
        <f>JD53-JD54</f>
        <v/>
      </c>
      <c r="JE55" s="246" t="n"/>
      <c r="JF55" s="245">
        <f>JF53-JF54</f>
        <v/>
      </c>
      <c r="JG55" s="246" t="n"/>
      <c r="JH55" s="245">
        <f>JH53-JH54</f>
        <v/>
      </c>
      <c r="JI55" s="246" t="n"/>
      <c r="JJ55" s="245">
        <f>JJ53-JJ54</f>
        <v/>
      </c>
      <c r="JK55" s="246" t="n"/>
      <c r="JL55" s="245">
        <f>JL53-JL54</f>
        <v/>
      </c>
      <c r="JM55" s="246" t="n"/>
      <c r="JN55" s="273">
        <f>JN53-JN54</f>
        <v/>
      </c>
      <c r="JO55" s="251" t="n"/>
      <c r="JP55" s="250">
        <f>JP53-JP54</f>
        <v/>
      </c>
      <c r="JQ55" s="251" t="n"/>
      <c r="JR55" s="245">
        <f>JR53-JR54</f>
        <v/>
      </c>
      <c r="JS55" s="246" t="n"/>
      <c r="JT55" s="245">
        <f>JT53-JT54</f>
        <v/>
      </c>
      <c r="JU55" s="246" t="n"/>
      <c r="JV55" s="245">
        <f>JV53-JV54</f>
        <v/>
      </c>
      <c r="JW55" s="246" t="n"/>
      <c r="JX55" s="250">
        <f>JX53-JX54</f>
        <v/>
      </c>
      <c r="JY55" s="251" t="n"/>
      <c r="JZ55" s="245">
        <f>JZ53-JZ54</f>
        <v/>
      </c>
      <c r="KA55" s="246" t="n"/>
      <c r="KB55" s="298">
        <f>SUM(H55:JY55)</f>
        <v/>
      </c>
      <c r="KC55" s="246" t="n"/>
      <c r="KD55" s="2" t="n"/>
      <c r="KF55" s="97" t="n"/>
    </row>
    <row r="56" ht="11.25" customHeight="1">
      <c r="B56" s="32" t="n"/>
      <c r="D56" s="279" t="inlineStr">
        <is>
          <t>частично актован</t>
        </is>
      </c>
      <c r="M56" s="279" t="n"/>
      <c r="CT56" s="279" t="n"/>
      <c r="CU56" s="279" t="n"/>
      <c r="KB56" s="307" t="n"/>
      <c r="KC56" s="308" t="n"/>
    </row>
    <row r="57" ht="11.25" customHeight="1">
      <c r="B57" s="33" t="n"/>
      <c r="D57" s="279" t="inlineStr">
        <is>
          <t>НЗП</t>
        </is>
      </c>
      <c r="M57" s="279" t="n"/>
      <c r="CT57" s="279" t="n"/>
      <c r="CU57" s="279" t="n"/>
    </row>
    <row r="58" ht="11.25" customHeight="1">
      <c r="B58" s="34" t="n"/>
      <c r="D58" s="279" t="inlineStr">
        <is>
          <t>актовка</t>
        </is>
      </c>
      <c r="M58" s="279" t="n"/>
      <c r="CT58" s="279" t="n"/>
      <c r="CU58" s="279" t="n"/>
    </row>
    <row r="59" ht="11.25" customHeight="1">
      <c r="B59" s="35" t="n"/>
      <c r="D59" s="279" t="inlineStr">
        <is>
          <t>для заполнения данными бухгалтерии</t>
        </is>
      </c>
      <c r="M59" s="279" t="n"/>
      <c r="CT59" s="279" t="n"/>
      <c r="CU59" s="279" t="n"/>
    </row>
    <row r="60" ht="29.25" customHeight="1">
      <c r="CT60" s="279" t="n"/>
      <c r="CU60" s="279" t="n"/>
    </row>
    <row r="61" ht="14.25" customHeight="1">
      <c r="CT61" s="279" t="n"/>
      <c r="CU61" s="279" t="n"/>
    </row>
    <row r="62" ht="13.2" customHeight="1">
      <c r="BF62" s="88" t="n"/>
      <c r="CD62" s="88" t="n"/>
      <c r="CR62" s="88" t="n"/>
      <c r="CT62" s="88" t="n"/>
      <c r="CU62" s="279" t="n"/>
      <c r="DL62" s="88" t="n"/>
      <c r="DX62" s="88" t="n"/>
      <c r="EJ62" s="88" t="n"/>
      <c r="EP62" s="88" t="n"/>
      <c r="EX62" s="88" t="n"/>
      <c r="GX62" s="88" t="n"/>
      <c r="GZ62" s="88" t="n"/>
      <c r="HB62" s="88" t="n"/>
      <c r="HD62" s="88" t="n"/>
      <c r="HF62" s="88" t="n"/>
      <c r="HH62" s="88" t="n"/>
      <c r="HJ62" s="88" t="n"/>
      <c r="HL62" s="88" t="n"/>
      <c r="KF62" s="88" t="n"/>
    </row>
    <row r="63" ht="13.2" customHeight="1">
      <c r="CT63" s="279" t="n"/>
      <c r="CU63" s="279" t="n"/>
    </row>
    <row r="64" ht="13.2" customHeight="1">
      <c r="CT64" s="279" t="n"/>
      <c r="CU64" s="279" t="n"/>
    </row>
    <row r="65" ht="13.2" customHeight="1">
      <c r="CT65" s="279" t="n"/>
      <c r="CU65" s="279" t="n"/>
    </row>
    <row r="66" ht="13.2" customHeight="1">
      <c r="CT66" s="279" t="n"/>
      <c r="CU66" s="279" t="n"/>
    </row>
    <row r="67" ht="13.2" customHeight="1">
      <c r="CT67" s="279" t="n"/>
      <c r="CU67" s="279" t="n"/>
    </row>
    <row r="68" ht="13.2" customHeight="1">
      <c r="CT68" s="279" t="n"/>
      <c r="CU68" s="279" t="n"/>
    </row>
    <row r="69" ht="13.2" customHeight="1">
      <c r="CT69" s="279" t="n"/>
      <c r="CU69" s="279" t="n"/>
    </row>
    <row r="70" ht="13.2" customHeight="1">
      <c r="CT70" s="279" t="n"/>
      <c r="CU70" s="279" t="n"/>
      <c r="JE70" s="301" t="n"/>
    </row>
    <row r="71" ht="13.2" customHeight="1">
      <c r="CT71" s="279" t="n"/>
      <c r="CU71" s="279" t="n"/>
      <c r="JE71" s="278" t="n"/>
    </row>
    <row r="72" ht="13.2" customHeight="1">
      <c r="CT72" s="279" t="n"/>
      <c r="CU72" s="279" t="n"/>
    </row>
    <row r="73" ht="13.2" customHeight="1">
      <c r="CT73" s="279" t="n"/>
      <c r="CU73" s="279" t="n"/>
    </row>
    <row r="74" ht="13.2" customHeight="1">
      <c r="CT74" s="279" t="n"/>
      <c r="CU74" s="279" t="n"/>
    </row>
    <row r="75" ht="13.2" customHeight="1">
      <c r="CT75" s="279" t="n"/>
      <c r="CU75" s="279" t="n"/>
    </row>
    <row r="76" ht="13.2" customHeight="1">
      <c r="CT76" s="279" t="n"/>
      <c r="CU76" s="279" t="n"/>
    </row>
    <row r="77" ht="13.2" customHeight="1">
      <c r="CT77" s="279" t="n"/>
      <c r="CU77" s="279" t="n"/>
    </row>
    <row r="78" ht="13.2" customHeight="1">
      <c r="CT78" s="279" t="n"/>
      <c r="CU78" s="279" t="n"/>
    </row>
    <row r="79" ht="13.2" customHeight="1">
      <c r="CT79" s="279" t="n"/>
      <c r="CU79" s="279" t="n"/>
    </row>
    <row r="80" ht="13.2" customHeight="1">
      <c r="CT80" s="279" t="n"/>
      <c r="CU80" s="279" t="n"/>
    </row>
    <row r="81" ht="13.2" customHeight="1">
      <c r="CT81" s="279" t="n"/>
      <c r="CU81" s="279" t="n"/>
    </row>
    <row r="82" ht="13.2" customHeight="1">
      <c r="CT82" s="279" t="n"/>
      <c r="CU82" s="279" t="n"/>
    </row>
    <row r="83" ht="13.2" customHeight="1">
      <c r="CT83" s="279" t="n"/>
      <c r="CU83" s="279" t="n"/>
    </row>
    <row r="84" ht="13.2" customHeight="1">
      <c r="CT84" s="279" t="n"/>
      <c r="CU84" s="279" t="n"/>
    </row>
    <row r="85" ht="13.2" customHeight="1">
      <c r="CT85" s="279" t="n"/>
      <c r="CU85" s="279" t="n"/>
    </row>
    <row r="86" ht="13.2" customHeight="1">
      <c r="CT86" s="279" t="n"/>
      <c r="CU86" s="279" t="n"/>
    </row>
    <row r="87" ht="13.2" customHeight="1">
      <c r="CT87" s="279" t="n"/>
      <c r="CU87" s="279" t="n"/>
    </row>
    <row r="88" ht="13.2" customHeight="1">
      <c r="CT88" s="279" t="n"/>
      <c r="CU88" s="279" t="n"/>
    </row>
    <row r="89" ht="13.2" customHeight="1">
      <c r="CT89" s="279" t="n"/>
      <c r="CU89" s="279" t="n"/>
    </row>
    <row r="90" ht="13.2" customHeight="1">
      <c r="CT90" s="279" t="n"/>
      <c r="CU90" s="279" t="n"/>
    </row>
    <row r="91" ht="13.2" customHeight="1">
      <c r="CT91" s="279" t="n"/>
      <c r="CU91" s="279" t="n"/>
    </row>
    <row r="92" ht="13.2" customHeight="1">
      <c r="CT92" s="279" t="n"/>
      <c r="CU92" s="279" t="n"/>
    </row>
    <row r="93" ht="13.2" customHeight="1">
      <c r="CT93" s="279" t="n"/>
      <c r="CU93" s="279" t="n"/>
    </row>
    <row r="94" ht="13.2" customHeight="1">
      <c r="CT94" s="279" t="n"/>
      <c r="CU94" s="279" t="n"/>
    </row>
    <row r="95" ht="13.2" customHeight="1">
      <c r="CT95" s="279" t="n"/>
      <c r="CU95" s="279" t="n"/>
    </row>
    <row r="96" ht="13.2" customHeight="1">
      <c r="CT96" s="279" t="n"/>
      <c r="CU96" s="279" t="n"/>
    </row>
    <row r="97" ht="13.2" customHeight="1">
      <c r="CT97" s="279" t="n"/>
      <c r="CU97" s="279" t="n"/>
    </row>
    <row r="98" ht="13.2" customHeight="1">
      <c r="CT98" s="279" t="n"/>
      <c r="CU98" s="279" t="n"/>
    </row>
    <row r="99" ht="13.2" customHeight="1">
      <c r="CT99" s="279" t="n"/>
      <c r="CU99" s="279" t="n"/>
    </row>
    <row r="100" ht="13.2" customHeight="1">
      <c r="CT100" s="279" t="n"/>
      <c r="CU100" s="279" t="n"/>
    </row>
    <row r="101" ht="13.2" customHeight="1">
      <c r="CT101" s="279" t="n"/>
      <c r="CU101" s="279" t="n"/>
    </row>
    <row r="102" ht="13.2" customHeight="1">
      <c r="CT102" s="279" t="n"/>
      <c r="CU102" s="279" t="n"/>
    </row>
    <row r="103" ht="13.2" customHeight="1">
      <c r="CT103" s="279" t="n"/>
      <c r="CU103" s="279" t="n"/>
    </row>
    <row r="104" ht="13.2" customHeight="1">
      <c r="CT104" s="279" t="n"/>
      <c r="CU104" s="279" t="n"/>
    </row>
    <row r="105" ht="13.2" customHeight="1">
      <c r="CT105" s="279" t="n"/>
      <c r="CU105" s="279" t="n"/>
    </row>
    <row r="106" ht="13.2" customHeight="1">
      <c r="CT106" s="279" t="n"/>
      <c r="CU106" s="279" t="n"/>
    </row>
    <row r="107" ht="13.2" customHeight="1">
      <c r="CT107" s="279" t="n"/>
      <c r="CU107" s="279" t="n"/>
    </row>
    <row r="108" ht="13.2" customHeight="1">
      <c r="CT108" s="279" t="n"/>
      <c r="CU108" s="279" t="n"/>
    </row>
    <row r="109" ht="13.2" customHeight="1">
      <c r="CT109" s="279" t="n"/>
      <c r="CU109" s="279" t="n"/>
    </row>
    <row r="110" ht="13.2" customHeight="1">
      <c r="CT110" s="279" t="n"/>
      <c r="CU110" s="279" t="n"/>
    </row>
    <row r="111" ht="13.2" customHeight="1">
      <c r="CT111" s="279" t="n"/>
      <c r="CU111" s="279" t="n"/>
    </row>
    <row r="112" ht="13.2" customHeight="1">
      <c r="CT112" s="279" t="n"/>
      <c r="CU112" s="279" t="n"/>
    </row>
    <row r="113" ht="13.2" customHeight="1">
      <c r="CT113" s="279" t="n"/>
      <c r="CU113" s="279" t="n"/>
    </row>
    <row r="114" ht="13.2" customHeight="1">
      <c r="CT114" s="279" t="n"/>
      <c r="CU114" s="279" t="n"/>
    </row>
    <row r="115" ht="13.2" customHeight="1">
      <c r="CT115" s="279" t="n"/>
      <c r="CU115" s="279" t="n"/>
    </row>
    <row r="116" ht="13.2" customHeight="1">
      <c r="CT116" s="279" t="n"/>
      <c r="CU116" s="279" t="n"/>
    </row>
    <row r="117" ht="13.2" customHeight="1">
      <c r="CT117" s="279" t="n"/>
      <c r="CU117" s="279" t="n"/>
    </row>
    <row r="118" ht="13.2" customHeight="1">
      <c r="CT118" s="279" t="n"/>
      <c r="CU118" s="279" t="n"/>
    </row>
    <row r="119" ht="13.2" customHeight="1">
      <c r="CT119" s="279" t="n"/>
      <c r="CU119" s="279" t="n"/>
    </row>
    <row r="120" ht="13.2" customHeight="1">
      <c r="CT120" s="279" t="n"/>
      <c r="CU120" s="279" t="n"/>
    </row>
    <row r="121" ht="13.2" customHeight="1">
      <c r="CT121" s="279" t="n"/>
      <c r="CU121" s="279" t="n"/>
    </row>
    <row r="122" ht="13.2" customHeight="1">
      <c r="CT122" s="279" t="n"/>
      <c r="CU122" s="279" t="n"/>
    </row>
    <row r="123" ht="13.2" customHeight="1">
      <c r="CT123" s="279" t="n"/>
      <c r="CU123" s="279" t="n"/>
    </row>
    <row r="124" ht="13.2" customHeight="1">
      <c r="CT124" s="279" t="n"/>
      <c r="CU124" s="279" t="n"/>
    </row>
    <row r="125" ht="13.2" customHeight="1">
      <c r="CT125" s="279" t="n"/>
      <c r="CU125" s="279" t="n"/>
    </row>
    <row r="126" ht="13.2" customHeight="1">
      <c r="CT126" s="279" t="n"/>
      <c r="CU126" s="279" t="n"/>
    </row>
    <row r="127" ht="13.2" customHeight="1">
      <c r="CT127" s="279" t="n"/>
      <c r="CU127" s="279" t="n"/>
    </row>
    <row r="128" ht="13.2" customHeight="1">
      <c r="CT128" s="279" t="n"/>
      <c r="CU128" s="279" t="n"/>
    </row>
    <row r="129" ht="13.2" customHeight="1">
      <c r="CT129" s="279" t="n"/>
      <c r="CU129" s="279" t="n"/>
    </row>
    <row r="130" ht="13.2" customHeight="1">
      <c r="CT130" s="279" t="n"/>
      <c r="CU130" s="279" t="n"/>
    </row>
    <row r="131" ht="13.2" customHeight="1">
      <c r="CT131" s="279" t="n"/>
      <c r="CU131" s="279" t="n"/>
    </row>
    <row r="132" ht="13.2" customHeight="1">
      <c r="CT132" s="279" t="n"/>
      <c r="CU132" s="279" t="n"/>
    </row>
    <row r="133" ht="13.2" customHeight="1">
      <c r="CT133" s="279" t="n"/>
      <c r="CU133" s="279" t="n"/>
    </row>
    <row r="134" ht="13.2" customHeight="1">
      <c r="CT134" s="279" t="n"/>
      <c r="CU134" s="279" t="n"/>
    </row>
    <row r="135" ht="13.2" customHeight="1">
      <c r="CT135" s="279" t="n"/>
      <c r="CU135" s="279" t="n"/>
    </row>
    <row r="136" ht="13.2" customHeight="1">
      <c r="CT136" s="279" t="n"/>
      <c r="CU136" s="279" t="n"/>
    </row>
    <row r="137" ht="13.2" customHeight="1">
      <c r="CT137" s="279" t="n"/>
      <c r="CU137" s="279" t="n"/>
    </row>
    <row r="138" ht="13.2" customHeight="1">
      <c r="CT138" s="279" t="n"/>
      <c r="CU138" s="279" t="n"/>
    </row>
    <row r="139" ht="13.2" customHeight="1">
      <c r="CT139" s="279" t="n"/>
      <c r="CU139" s="279" t="n"/>
    </row>
    <row r="140" ht="13.2" customHeight="1">
      <c r="CT140" s="279" t="n"/>
      <c r="CU140" s="279" t="n"/>
    </row>
    <row r="141" ht="13.2" customHeight="1">
      <c r="CT141" s="279" t="n"/>
      <c r="CU141" s="279" t="n"/>
    </row>
    <row r="142" ht="13.2" customHeight="1">
      <c r="CT142" s="279" t="n"/>
      <c r="CU142" s="279" t="n"/>
    </row>
    <row r="143" ht="13.2" customHeight="1">
      <c r="CT143" s="279" t="n"/>
      <c r="CU143" s="279" t="n"/>
    </row>
    <row r="144" ht="13.2" customHeight="1">
      <c r="CT144" s="279" t="n"/>
      <c r="CU144" s="279" t="n"/>
    </row>
    <row r="145" ht="13.2" customHeight="1">
      <c r="CT145" s="279" t="n"/>
      <c r="CU145" s="279" t="n"/>
    </row>
    <row r="146" ht="13.2" customHeight="1">
      <c r="CT146" s="279" t="n"/>
      <c r="CU146" s="279" t="n"/>
    </row>
    <row r="147" ht="13.2" customHeight="1">
      <c r="CT147" s="279" t="n"/>
      <c r="CU147" s="279" t="n"/>
    </row>
    <row r="148" ht="13.2" customHeight="1">
      <c r="CT148" s="279" t="n"/>
      <c r="CU148" s="279" t="n"/>
    </row>
    <row r="149" ht="13.2" customHeight="1">
      <c r="CT149" s="279" t="n"/>
      <c r="CU149" s="279" t="n"/>
    </row>
    <row r="150" ht="13.2" customHeight="1">
      <c r="CT150" s="279" t="n"/>
      <c r="CU150" s="279" t="n"/>
    </row>
    <row r="151" ht="13.2" customHeight="1">
      <c r="CT151" s="279" t="n"/>
      <c r="CU151" s="279" t="n"/>
    </row>
    <row r="152" ht="13.2" customHeight="1">
      <c r="CT152" s="279" t="n"/>
      <c r="CU152" s="279" t="n"/>
    </row>
    <row r="153" ht="13.2" customHeight="1">
      <c r="CT153" s="279" t="n"/>
      <c r="CU153" s="279" t="n"/>
    </row>
    <row r="154" ht="13.2" customHeight="1">
      <c r="CT154" s="279" t="n"/>
      <c r="CU154" s="279" t="n"/>
    </row>
    <row r="155" ht="13.2" customHeight="1">
      <c r="CT155" s="279" t="n"/>
      <c r="CU155" s="279" t="n"/>
    </row>
    <row r="156" ht="13.2" customHeight="1">
      <c r="CT156" s="279" t="n"/>
      <c r="CU156" s="279" t="n"/>
    </row>
    <row r="157" ht="13.2" customHeight="1">
      <c r="CT157" s="279" t="n"/>
      <c r="CU157" s="279" t="n"/>
    </row>
    <row r="158" ht="13.2" customHeight="1">
      <c r="CT158" s="279" t="n"/>
      <c r="CU158" s="279" t="n"/>
    </row>
    <row r="159" ht="13.2" customHeight="1">
      <c r="CT159" s="279" t="n"/>
      <c r="CU159" s="279" t="n"/>
    </row>
    <row r="160" ht="13.2" customHeight="1">
      <c r="CT160" s="279" t="n"/>
      <c r="CU160" s="279" t="n"/>
    </row>
    <row r="161" ht="13.2" customHeight="1">
      <c r="CT161" s="279" t="n"/>
      <c r="CU161" s="279" t="n"/>
    </row>
    <row r="162" ht="13.2" customHeight="1">
      <c r="CT162" s="279" t="n"/>
      <c r="CU162" s="279" t="n"/>
    </row>
    <row r="163" ht="13.2" customHeight="1">
      <c r="CT163" s="279" t="n"/>
      <c r="CU163" s="279" t="n"/>
    </row>
    <row r="164" ht="13.2" customHeight="1">
      <c r="CT164" s="279" t="n"/>
      <c r="CU164" s="279" t="n"/>
    </row>
    <row r="165" ht="13.2" customHeight="1">
      <c r="CT165" s="279" t="n"/>
      <c r="CU165" s="279" t="n"/>
    </row>
    <row r="166" ht="13.2" customHeight="1">
      <c r="CT166" s="279" t="n"/>
      <c r="CU166" s="279" t="n"/>
    </row>
    <row r="167" ht="13.2" customHeight="1">
      <c r="CT167" s="279" t="n"/>
      <c r="CU167" s="279" t="n"/>
    </row>
    <row r="168" ht="13.2" customHeight="1">
      <c r="CT168" s="279" t="n"/>
      <c r="CU168" s="279" t="n"/>
    </row>
    <row r="169" ht="13.2" customHeight="1">
      <c r="CT169" s="279" t="n"/>
      <c r="CU169" s="279" t="n"/>
    </row>
    <row r="170" ht="13.2" customHeight="1">
      <c r="CT170" s="279" t="n"/>
      <c r="CU170" s="279" t="n"/>
    </row>
    <row r="171" ht="13.2" customHeight="1">
      <c r="CT171" s="279" t="n"/>
      <c r="CU171" s="279" t="n"/>
    </row>
    <row r="172" ht="13.2" customHeight="1">
      <c r="CT172" s="279" t="n"/>
      <c r="CU172" s="279" t="n"/>
    </row>
    <row r="173" ht="13.2" customHeight="1">
      <c r="CT173" s="279" t="n"/>
      <c r="CU173" s="279" t="n"/>
    </row>
    <row r="174" ht="13.2" customHeight="1">
      <c r="CT174" s="279" t="n"/>
      <c r="CU174" s="279" t="n"/>
    </row>
    <row r="175" ht="13.2" customHeight="1">
      <c r="CT175" s="279" t="n"/>
      <c r="CU175" s="279" t="n"/>
    </row>
    <row r="176" ht="13.2" customHeight="1">
      <c r="CT176" s="279" t="n"/>
      <c r="CU176" s="279" t="n"/>
    </row>
    <row r="177" ht="13.2" customHeight="1">
      <c r="CT177" s="279" t="n"/>
      <c r="CU177" s="279" t="n"/>
    </row>
    <row r="178" ht="13.2" customHeight="1">
      <c r="CT178" s="279" t="n"/>
      <c r="CU178" s="279" t="n"/>
    </row>
    <row r="179" ht="13.2" customHeight="1">
      <c r="CT179" s="279" t="n"/>
      <c r="CU179" s="279" t="n"/>
    </row>
    <row r="180" ht="13.2" customHeight="1">
      <c r="CT180" s="279" t="n"/>
      <c r="CU180" s="279" t="n"/>
    </row>
    <row r="181" ht="13.2" customHeight="1">
      <c r="CT181" s="279" t="n"/>
      <c r="CU181" s="279" t="n"/>
    </row>
    <row r="182" ht="13.2" customHeight="1">
      <c r="CT182" s="279" t="n"/>
      <c r="CU182" s="279" t="n"/>
    </row>
    <row r="183" ht="13.2" customHeight="1">
      <c r="CT183" s="279" t="n"/>
      <c r="CU183" s="279" t="n"/>
    </row>
    <row r="184" ht="13.2" customHeight="1">
      <c r="CT184" s="279" t="n"/>
      <c r="CU184" s="279" t="n"/>
    </row>
    <row r="185" ht="13.2" customHeight="1">
      <c r="CT185" s="279" t="n"/>
      <c r="CU185" s="279" t="n"/>
    </row>
    <row r="186" ht="13.2" customHeight="1">
      <c r="CT186" s="279" t="n"/>
      <c r="CU186" s="279" t="n"/>
    </row>
    <row r="187" ht="13.2" customHeight="1">
      <c r="CT187" s="279" t="n"/>
      <c r="CU187" s="279" t="n"/>
    </row>
    <row r="188" ht="13.2" customHeight="1">
      <c r="CT188" s="279" t="n"/>
      <c r="CU188" s="279" t="n"/>
    </row>
    <row r="189" ht="13.2" customHeight="1">
      <c r="CT189" s="279" t="n"/>
      <c r="CU189" s="279" t="n"/>
    </row>
    <row r="190" ht="13.2" customHeight="1">
      <c r="CT190" s="279" t="n"/>
      <c r="CU190" s="279" t="n"/>
    </row>
    <row r="191" ht="13.2" customHeight="1">
      <c r="CT191" s="279" t="n"/>
      <c r="CU191" s="279" t="n"/>
    </row>
    <row r="192" ht="13.2" customHeight="1">
      <c r="CT192" s="279" t="n"/>
      <c r="CU192" s="279" t="n"/>
    </row>
    <row r="193" ht="13.2" customHeight="1">
      <c r="CT193" s="279" t="n"/>
      <c r="CU193" s="279" t="n"/>
    </row>
    <row r="194" ht="13.2" customHeight="1">
      <c r="CT194" s="279" t="n"/>
      <c r="CU194" s="279" t="n"/>
    </row>
    <row r="195" ht="13.2" customHeight="1">
      <c r="CT195" s="279" t="n"/>
      <c r="CU195" s="279" t="n"/>
    </row>
    <row r="196" ht="13.2" customHeight="1">
      <c r="CT196" s="279" t="n"/>
      <c r="CU196" s="279" t="n"/>
    </row>
    <row r="197" ht="13.2" customHeight="1">
      <c r="CT197" s="279" t="n"/>
      <c r="CU197" s="279" t="n"/>
    </row>
    <row r="198" ht="13.2" customHeight="1">
      <c r="CT198" s="279" t="n"/>
      <c r="CU198" s="279" t="n"/>
    </row>
    <row r="199" ht="13.2" customHeight="1">
      <c r="CT199" s="279" t="n"/>
      <c r="CU199" s="279" t="n"/>
    </row>
    <row r="200" ht="13.2" customHeight="1">
      <c r="CT200" s="279" t="n"/>
      <c r="CU200" s="279" t="n"/>
    </row>
    <row r="201" ht="13.2" customHeight="1">
      <c r="CT201" s="279" t="n"/>
      <c r="CU201" s="279" t="n"/>
    </row>
    <row r="202" ht="13.2" customHeight="1">
      <c r="CT202" s="279" t="n"/>
      <c r="CU202" s="279" t="n"/>
    </row>
    <row r="203" ht="13.2" customHeight="1">
      <c r="CT203" s="279" t="n"/>
      <c r="CU203" s="279" t="n"/>
    </row>
    <row r="204" ht="13.2" customHeight="1">
      <c r="CT204" s="279" t="n"/>
      <c r="CU204" s="279" t="n"/>
    </row>
    <row r="205" ht="13.2" customHeight="1">
      <c r="CT205" s="279" t="n"/>
      <c r="CU205" s="279" t="n"/>
    </row>
    <row r="206" ht="13.2" customHeight="1">
      <c r="CT206" s="279" t="n"/>
      <c r="CU206" s="279" t="n"/>
    </row>
    <row r="207" ht="13.2" customHeight="1">
      <c r="CT207" s="279" t="n"/>
      <c r="CU207" s="279" t="n"/>
    </row>
    <row r="208" ht="13.2" customHeight="1">
      <c r="CT208" s="279" t="n"/>
      <c r="CU208" s="279" t="n"/>
    </row>
    <row r="209" ht="13.2" customHeight="1">
      <c r="CT209" s="279" t="n"/>
      <c r="CU209" s="279" t="n"/>
    </row>
    <row r="210" ht="13.2" customHeight="1">
      <c r="CT210" s="279" t="n"/>
      <c r="CU210" s="279" t="n"/>
    </row>
    <row r="211" ht="13.2" customHeight="1">
      <c r="CT211" s="279" t="n"/>
      <c r="CU211" s="279" t="n"/>
    </row>
    <row r="212" ht="13.2" customHeight="1">
      <c r="CT212" s="279" t="n"/>
      <c r="CU212" s="279" t="n"/>
    </row>
    <row r="213" ht="13.2" customHeight="1">
      <c r="CT213" s="279" t="n"/>
      <c r="CU213" s="279" t="n"/>
    </row>
    <row r="214" ht="13.2" customHeight="1">
      <c r="CT214" s="279" t="n"/>
      <c r="CU214" s="279" t="n"/>
    </row>
    <row r="215" ht="13.2" customHeight="1">
      <c r="CT215" s="279" t="n"/>
      <c r="CU215" s="279" t="n"/>
    </row>
    <row r="216" ht="13.2" customHeight="1">
      <c r="CT216" s="279" t="n"/>
      <c r="CU216" s="279" t="n"/>
    </row>
    <row r="217" ht="13.2" customHeight="1">
      <c r="CT217" s="279" t="n"/>
      <c r="CU217" s="279" t="n"/>
    </row>
    <row r="218" ht="13.2" customHeight="1">
      <c r="CT218" s="279" t="n"/>
      <c r="CU218" s="279" t="n"/>
    </row>
    <row r="219" ht="13.2" customHeight="1">
      <c r="CT219" s="279" t="n"/>
      <c r="CU219" s="279" t="n"/>
    </row>
    <row r="220" ht="13.2" customHeight="1">
      <c r="CT220" s="279" t="n"/>
      <c r="CU220" s="279" t="n"/>
    </row>
    <row r="221" ht="13.2" customHeight="1">
      <c r="CT221" s="279" t="n"/>
      <c r="CU221" s="279" t="n"/>
    </row>
    <row r="222" ht="13.2" customHeight="1">
      <c r="CT222" s="279" t="n"/>
      <c r="CU222" s="279" t="n"/>
    </row>
    <row r="223" ht="13.2" customHeight="1">
      <c r="CT223" s="279" t="n"/>
      <c r="CU223" s="279" t="n"/>
    </row>
    <row r="224" ht="13.2" customHeight="1">
      <c r="CT224" s="279" t="n"/>
      <c r="CU224" s="279" t="n"/>
    </row>
    <row r="225" ht="13.2" customHeight="1">
      <c r="CT225" s="279" t="n"/>
      <c r="CU225" s="279" t="n"/>
    </row>
    <row r="226" ht="13.2" customHeight="1">
      <c r="CT226" s="279" t="n"/>
      <c r="CU226" s="279" t="n"/>
    </row>
    <row r="227" ht="13.2" customHeight="1">
      <c r="CT227" s="279" t="n"/>
      <c r="CU227" s="279" t="n"/>
    </row>
    <row r="228" ht="13.2" customHeight="1">
      <c r="CT228" s="279" t="n"/>
      <c r="CU228" s="279" t="n"/>
    </row>
    <row r="229" ht="13.2" customHeight="1">
      <c r="CT229" s="279" t="n"/>
      <c r="CU229" s="279" t="n"/>
    </row>
    <row r="230" ht="13.2" customHeight="1">
      <c r="CT230" s="279" t="n"/>
      <c r="CU230" s="279" t="n"/>
    </row>
    <row r="231" ht="13.2" customHeight="1">
      <c r="CT231" s="279" t="n"/>
      <c r="CU231" s="279" t="n"/>
    </row>
    <row r="232" ht="13.2" customHeight="1">
      <c r="CT232" s="279" t="n"/>
      <c r="CU232" s="279" t="n"/>
    </row>
    <row r="233" ht="13.2" customHeight="1">
      <c r="CT233" s="279" t="n"/>
      <c r="CU233" s="279" t="n"/>
    </row>
    <row r="234" ht="13.2" customHeight="1">
      <c r="CT234" s="279" t="n"/>
      <c r="CU234" s="279" t="n"/>
    </row>
    <row r="235" ht="13.2" customHeight="1">
      <c r="CT235" s="279" t="n"/>
      <c r="CU235" s="279" t="n"/>
    </row>
    <row r="236" ht="13.2" customHeight="1">
      <c r="CT236" s="279" t="n"/>
      <c r="CU236" s="279" t="n"/>
    </row>
    <row r="237" ht="13.2" customHeight="1">
      <c r="CT237" s="279" t="n"/>
      <c r="CU237" s="279" t="n"/>
    </row>
    <row r="238" ht="13.2" customHeight="1">
      <c r="CT238" s="279" t="n"/>
      <c r="CU238" s="279" t="n"/>
    </row>
    <row r="239" ht="13.2" customHeight="1">
      <c r="CT239" s="279" t="n"/>
      <c r="CU239" s="279" t="n"/>
    </row>
    <row r="240" ht="13.2" customHeight="1">
      <c r="CT240" s="279" t="n"/>
      <c r="CU240" s="279" t="n"/>
    </row>
    <row r="241" ht="13.2" customHeight="1">
      <c r="CT241" s="279" t="n"/>
      <c r="CU241" s="279" t="n"/>
    </row>
    <row r="242" ht="13.2" customHeight="1">
      <c r="CT242" s="279" t="n"/>
      <c r="CU242" s="279" t="n"/>
    </row>
    <row r="243" ht="13.2" customHeight="1">
      <c r="CT243" s="279" t="n"/>
      <c r="CU243" s="279" t="n"/>
    </row>
    <row r="244" ht="13.2" customHeight="1">
      <c r="CT244" s="279" t="n"/>
      <c r="CU244" s="279" t="n"/>
    </row>
    <row r="245" ht="13.2" customHeight="1">
      <c r="CT245" s="279" t="n"/>
      <c r="CU245" s="279" t="n"/>
    </row>
    <row r="246" ht="13.2" customHeight="1">
      <c r="CT246" s="279" t="n"/>
      <c r="CU246" s="279" t="n"/>
    </row>
    <row r="247" ht="13.2" customHeight="1">
      <c r="CT247" s="279" t="n"/>
      <c r="CU247" s="279" t="n"/>
    </row>
    <row r="248" ht="13.2" customHeight="1">
      <c r="CT248" s="279" t="n"/>
      <c r="CU248" s="279" t="n"/>
    </row>
    <row r="249" ht="13.2" customHeight="1">
      <c r="CT249" s="279" t="n"/>
      <c r="CU249" s="279" t="n"/>
    </row>
    <row r="250" ht="13.2" customHeight="1">
      <c r="CT250" s="279" t="n"/>
      <c r="CU250" s="279" t="n"/>
    </row>
    <row r="251" ht="13.2" customHeight="1">
      <c r="CT251" s="279" t="n"/>
      <c r="CU251" s="279" t="n"/>
    </row>
    <row r="252" ht="13.2" customHeight="1">
      <c r="CT252" s="279" t="n"/>
      <c r="CU252" s="279" t="n"/>
    </row>
    <row r="253" ht="13.2" customHeight="1">
      <c r="CT253" s="279" t="n"/>
      <c r="CU253" s="279" t="n"/>
    </row>
    <row r="254" ht="13.2" customHeight="1">
      <c r="CT254" s="279" t="n"/>
      <c r="CU254" s="279" t="n"/>
    </row>
    <row r="255" ht="13.2" customHeight="1">
      <c r="CT255" s="279" t="n"/>
      <c r="CU255" s="279" t="n"/>
    </row>
    <row r="256" ht="13.2" customHeight="1">
      <c r="CT256" s="279" t="n"/>
      <c r="CU256" s="279" t="n"/>
    </row>
    <row r="257" ht="13.2" customHeight="1">
      <c r="CT257" s="279" t="n"/>
      <c r="CU257" s="279" t="n"/>
    </row>
    <row r="258" ht="13.2" customHeight="1">
      <c r="CT258" s="279" t="n"/>
      <c r="CU258" s="279" t="n"/>
    </row>
    <row r="259" ht="13.2" customHeight="1">
      <c r="CT259" s="279" t="n"/>
      <c r="CU259" s="279" t="n"/>
    </row>
    <row r="260" ht="13.2" customHeight="1">
      <c r="CT260" s="279" t="n"/>
      <c r="CU260" s="279" t="n"/>
    </row>
    <row r="261" ht="13.2" customHeight="1">
      <c r="CT261" s="279" t="n"/>
      <c r="CU261" s="279" t="n"/>
    </row>
    <row r="262" ht="13.2" customHeight="1">
      <c r="CT262" s="279" t="n"/>
      <c r="CU262" s="279" t="n"/>
    </row>
    <row r="263" ht="13.2" customHeight="1">
      <c r="CT263" s="279" t="n"/>
      <c r="CU263" s="279" t="n"/>
    </row>
    <row r="264" ht="13.2" customHeight="1">
      <c r="CT264" s="279" t="n"/>
      <c r="CU264" s="279" t="n"/>
    </row>
    <row r="265" ht="13.2" customHeight="1">
      <c r="CT265" s="279" t="n"/>
      <c r="CU265" s="279" t="n"/>
    </row>
    <row r="266" ht="13.2" customHeight="1">
      <c r="CT266" s="279" t="n"/>
      <c r="CU266" s="279" t="n"/>
    </row>
    <row r="267" ht="13.2" customHeight="1">
      <c r="CT267" s="279" t="n"/>
      <c r="CU267" s="279" t="n"/>
    </row>
    <row r="268" ht="13.2" customHeight="1">
      <c r="CT268" s="279" t="n"/>
      <c r="CU268" s="279" t="n"/>
    </row>
    <row r="269" ht="13.2" customHeight="1">
      <c r="CT269" s="279" t="n"/>
      <c r="CU269" s="279" t="n"/>
    </row>
    <row r="270" ht="13.2" customHeight="1">
      <c r="CT270" s="279" t="n"/>
      <c r="CU270" s="279" t="n"/>
    </row>
    <row r="271" ht="13.2" customHeight="1">
      <c r="CT271" s="279" t="n"/>
      <c r="CU271" s="279" t="n"/>
    </row>
    <row r="272" ht="13.2" customHeight="1">
      <c r="CT272" s="279" t="n"/>
      <c r="CU272" s="279" t="n"/>
    </row>
    <row r="273" ht="13.2" customHeight="1">
      <c r="CT273" s="279" t="n"/>
      <c r="CU273" s="279" t="n"/>
    </row>
    <row r="274" ht="13.2" customHeight="1">
      <c r="CT274" s="279" t="n"/>
      <c r="CU274" s="279" t="n"/>
    </row>
    <row r="275" ht="13.2" customHeight="1">
      <c r="CT275" s="279" t="n"/>
      <c r="CU275" s="279" t="n"/>
    </row>
    <row r="276" ht="13.2" customHeight="1">
      <c r="CT276" s="279" t="n"/>
      <c r="CU276" s="279" t="n"/>
    </row>
    <row r="277" ht="13.2" customHeight="1">
      <c r="CT277" s="279" t="n"/>
      <c r="CU277" s="279" t="n"/>
    </row>
    <row r="278" ht="13.2" customHeight="1">
      <c r="CT278" s="279" t="n"/>
      <c r="CU278" s="279" t="n"/>
    </row>
    <row r="279" ht="13.2" customHeight="1">
      <c r="CT279" s="279" t="n"/>
      <c r="CU279" s="279" t="n"/>
    </row>
    <row r="280" ht="13.2" customHeight="1">
      <c r="CT280" s="279" t="n"/>
      <c r="CU280" s="279" t="n"/>
    </row>
    <row r="281" ht="13.2" customHeight="1">
      <c r="CT281" s="279" t="n"/>
      <c r="CU281" s="279" t="n"/>
    </row>
    <row r="282" ht="13.2" customHeight="1">
      <c r="CT282" s="279" t="n"/>
      <c r="CU282" s="279" t="n"/>
    </row>
    <row r="283" ht="13.2" customHeight="1">
      <c r="CT283" s="279" t="n"/>
      <c r="CU283" s="279" t="n"/>
    </row>
    <row r="284" ht="13.2" customHeight="1">
      <c r="CT284" s="279" t="n"/>
      <c r="CU284" s="279" t="n"/>
    </row>
    <row r="285" ht="13.2" customHeight="1">
      <c r="CT285" s="279" t="n"/>
      <c r="CU285" s="279" t="n"/>
    </row>
    <row r="286" ht="13.2" customHeight="1">
      <c r="CT286" s="279" t="n"/>
      <c r="CU286" s="279" t="n"/>
    </row>
    <row r="287" ht="13.2" customHeight="1">
      <c r="CT287" s="279" t="n"/>
      <c r="CU287" s="279" t="n"/>
    </row>
    <row r="288" ht="13.2" customHeight="1">
      <c r="CT288" s="279" t="n"/>
      <c r="CU288" s="279" t="n"/>
    </row>
    <row r="289" ht="13.2" customHeight="1">
      <c r="CT289" s="279" t="n"/>
      <c r="CU289" s="279" t="n"/>
    </row>
    <row r="290" ht="13.2" customHeight="1">
      <c r="CT290" s="279" t="n"/>
      <c r="CU290" s="279" t="n"/>
    </row>
    <row r="291" ht="13.2" customHeight="1">
      <c r="CT291" s="279" t="n"/>
      <c r="CU291" s="279" t="n"/>
    </row>
    <row r="292" ht="13.2" customHeight="1">
      <c r="CT292" s="279" t="n"/>
      <c r="CU292" s="279" t="n"/>
    </row>
    <row r="293" ht="13.2" customHeight="1">
      <c r="CT293" s="279" t="n"/>
      <c r="CU293" s="279" t="n"/>
    </row>
    <row r="294" ht="13.2" customHeight="1">
      <c r="CT294" s="279" t="n"/>
      <c r="CU294" s="279" t="n"/>
    </row>
    <row r="295" ht="13.2" customHeight="1">
      <c r="CT295" s="279" t="n"/>
      <c r="CU295" s="279" t="n"/>
    </row>
    <row r="296" ht="13.2" customHeight="1">
      <c r="CT296" s="279" t="n"/>
      <c r="CU296" s="279" t="n"/>
    </row>
    <row r="297" ht="13.2" customHeight="1">
      <c r="CT297" s="279" t="n"/>
      <c r="CU297" s="279" t="n"/>
    </row>
    <row r="298" ht="13.2" customHeight="1">
      <c r="CT298" s="279" t="n"/>
      <c r="CU298" s="279" t="n"/>
    </row>
    <row r="299" ht="13.2" customHeight="1">
      <c r="CT299" s="279" t="n"/>
      <c r="CU299" s="279" t="n"/>
    </row>
    <row r="300" ht="13.2" customHeight="1">
      <c r="CT300" s="279" t="n"/>
      <c r="CU300" s="279" t="n"/>
    </row>
    <row r="301" ht="13.2" customHeight="1">
      <c r="CT301" s="279" t="n"/>
      <c r="CU301" s="279" t="n"/>
    </row>
    <row r="302" ht="13.2" customHeight="1">
      <c r="CT302" s="279" t="n"/>
      <c r="CU302" s="279" t="n"/>
    </row>
    <row r="303" ht="13.2" customHeight="1">
      <c r="CT303" s="279" t="n"/>
      <c r="CU303" s="279" t="n"/>
    </row>
    <row r="304" ht="13.2" customHeight="1">
      <c r="CT304" s="279" t="n"/>
      <c r="CU304" s="279" t="n"/>
    </row>
    <row r="305" ht="13.2" customHeight="1">
      <c r="CT305" s="279" t="n"/>
      <c r="CU305" s="279" t="n"/>
    </row>
    <row r="306" ht="13.2" customHeight="1">
      <c r="CT306" s="279" t="n"/>
      <c r="CU306" s="279" t="n"/>
    </row>
    <row r="307" ht="13.2" customHeight="1">
      <c r="CT307" s="279" t="n"/>
      <c r="CU307" s="279" t="n"/>
    </row>
    <row r="308" ht="13.2" customHeight="1">
      <c r="CT308" s="279" t="n"/>
      <c r="CU308" s="279" t="n"/>
    </row>
    <row r="309" ht="13.2" customHeight="1">
      <c r="CT309" s="279" t="n"/>
      <c r="CU309" s="279" t="n"/>
    </row>
    <row r="310" ht="13.2" customHeight="1">
      <c r="CT310" s="279" t="n"/>
      <c r="CU310" s="279" t="n"/>
    </row>
    <row r="311" ht="13.2" customHeight="1">
      <c r="CT311" s="279" t="n"/>
      <c r="CU311" s="279" t="n"/>
    </row>
    <row r="312" ht="13.2" customHeight="1">
      <c r="CT312" s="279" t="n"/>
      <c r="CU312" s="279" t="n"/>
    </row>
    <row r="313" ht="13.2" customHeight="1">
      <c r="CT313" s="279" t="n"/>
      <c r="CU313" s="279" t="n"/>
    </row>
    <row r="314" ht="13.2" customHeight="1">
      <c r="CT314" s="279" t="n"/>
      <c r="CU314" s="279" t="n"/>
    </row>
    <row r="315" ht="13.2" customHeight="1">
      <c r="CT315" s="279" t="n"/>
      <c r="CU315" s="279" t="n"/>
    </row>
    <row r="316" ht="13.2" customHeight="1">
      <c r="CT316" s="279" t="n"/>
      <c r="CU316" s="279" t="n"/>
    </row>
    <row r="317" ht="13.2" customHeight="1">
      <c r="CT317" s="279" t="n"/>
      <c r="CU317" s="279" t="n"/>
    </row>
    <row r="318" ht="13.2" customHeight="1">
      <c r="CT318" s="279" t="n"/>
      <c r="CU318" s="279" t="n"/>
    </row>
    <row r="319" ht="13.2" customHeight="1">
      <c r="CT319" s="279" t="n"/>
      <c r="CU319" s="279" t="n"/>
    </row>
    <row r="320" ht="13.2" customHeight="1">
      <c r="CT320" s="279" t="n"/>
      <c r="CU320" s="279" t="n"/>
    </row>
    <row r="321" ht="13.2" customHeight="1">
      <c r="CT321" s="279" t="n"/>
      <c r="CU321" s="279" t="n"/>
    </row>
    <row r="322" ht="13.2" customHeight="1">
      <c r="CT322" s="279" t="n"/>
      <c r="CU322" s="279" t="n"/>
    </row>
    <row r="323" ht="13.2" customHeight="1">
      <c r="CT323" s="279" t="n"/>
      <c r="CU323" s="279" t="n"/>
    </row>
    <row r="324" ht="13.2" customHeight="1">
      <c r="CT324" s="279" t="n"/>
      <c r="CU324" s="279" t="n"/>
    </row>
    <row r="325" ht="13.2" customHeight="1">
      <c r="CT325" s="279" t="n"/>
      <c r="CU325" s="279" t="n"/>
    </row>
    <row r="326" ht="13.2" customHeight="1">
      <c r="CT326" s="279" t="n"/>
      <c r="CU326" s="279" t="n"/>
    </row>
    <row r="327" ht="13.2" customHeight="1">
      <c r="CT327" s="279" t="n"/>
      <c r="CU327" s="279" t="n"/>
    </row>
    <row r="328" ht="13.2" customHeight="1">
      <c r="CT328" s="279" t="n"/>
      <c r="CU328" s="279" t="n"/>
    </row>
    <row r="329" ht="13.2" customHeight="1">
      <c r="CT329" s="279" t="n"/>
      <c r="CU329" s="279" t="n"/>
    </row>
    <row r="330" ht="13.2" customHeight="1">
      <c r="CT330" s="279" t="n"/>
      <c r="CU330" s="279" t="n"/>
    </row>
    <row r="331" ht="13.2" customHeight="1">
      <c r="CT331" s="279" t="n"/>
      <c r="CU331" s="279" t="n"/>
    </row>
    <row r="332" ht="13.2" customHeight="1">
      <c r="CT332" s="279" t="n"/>
      <c r="CU332" s="279" t="n"/>
    </row>
    <row r="333" ht="13.2" customHeight="1">
      <c r="CT333" s="279" t="n"/>
      <c r="CU333" s="279" t="n"/>
    </row>
    <row r="334" ht="13.2" customHeight="1">
      <c r="CT334" s="279" t="n"/>
      <c r="CU334" s="279" t="n"/>
    </row>
    <row r="335" ht="13.2" customHeight="1">
      <c r="CT335" s="279" t="n"/>
      <c r="CU335" s="279" t="n"/>
    </row>
    <row r="336" ht="13.2" customHeight="1">
      <c r="CT336" s="279" t="n"/>
      <c r="CU336" s="279" t="n"/>
    </row>
    <row r="337" ht="13.2" customHeight="1">
      <c r="CT337" s="279" t="n"/>
      <c r="CU337" s="279" t="n"/>
    </row>
    <row r="338" ht="13.2" customHeight="1">
      <c r="CT338" s="279" t="n"/>
      <c r="CU338" s="279" t="n"/>
    </row>
    <row r="339" ht="13.2" customHeight="1">
      <c r="CT339" s="279" t="n"/>
      <c r="CU339" s="279" t="n"/>
    </row>
    <row r="340" ht="13.2" customHeight="1">
      <c r="CT340" s="279" t="n"/>
      <c r="CU340" s="279" t="n"/>
    </row>
    <row r="341" ht="13.2" customHeight="1">
      <c r="CT341" s="279" t="n"/>
      <c r="CU341" s="279" t="n"/>
    </row>
    <row r="342" ht="13.2" customHeight="1">
      <c r="CT342" s="279" t="n"/>
      <c r="CU342" s="279" t="n"/>
    </row>
    <row r="343" ht="13.2" customHeight="1">
      <c r="CT343" s="279" t="n"/>
      <c r="CU343" s="279" t="n"/>
    </row>
    <row r="344" ht="13.2" customHeight="1">
      <c r="CT344" s="279" t="n"/>
      <c r="CU344" s="279" t="n"/>
    </row>
    <row r="345" ht="13.2" customHeight="1">
      <c r="CT345" s="279" t="n"/>
      <c r="CU345" s="279" t="n"/>
    </row>
    <row r="346" ht="13.2" customHeight="1">
      <c r="CT346" s="279" t="n"/>
      <c r="CU346" s="279" t="n"/>
    </row>
    <row r="347" ht="13.2" customHeight="1">
      <c r="CT347" s="279" t="n"/>
      <c r="CU347" s="279" t="n"/>
    </row>
    <row r="348" ht="13.2" customHeight="1">
      <c r="CT348" s="279" t="n"/>
      <c r="CU348" s="279" t="n"/>
    </row>
    <row r="349" ht="13.2" customHeight="1">
      <c r="CT349" s="279" t="n"/>
      <c r="CU349" s="279" t="n"/>
    </row>
    <row r="350" ht="13.2" customHeight="1">
      <c r="CT350" s="279" t="n"/>
      <c r="CU350" s="279" t="n"/>
    </row>
    <row r="351" ht="13.2" customHeight="1">
      <c r="CT351" s="279" t="n"/>
      <c r="CU351" s="279" t="n"/>
    </row>
    <row r="352" ht="13.2" customHeight="1">
      <c r="CT352" s="279" t="n"/>
      <c r="CU352" s="279" t="n"/>
    </row>
    <row r="353" ht="13.2" customHeight="1">
      <c r="CT353" s="279" t="n"/>
      <c r="CU353" s="279" t="n"/>
    </row>
    <row r="354" ht="13.2" customHeight="1">
      <c r="CT354" s="279" t="n"/>
      <c r="CU354" s="279" t="n"/>
    </row>
    <row r="355" ht="13.2" customHeight="1">
      <c r="CT355" s="279" t="n"/>
      <c r="CU355" s="279" t="n"/>
    </row>
    <row r="356" ht="13.2" customHeight="1">
      <c r="CT356" s="279" t="n"/>
      <c r="CU356" s="279" t="n"/>
    </row>
    <row r="357" ht="13.2" customHeight="1">
      <c r="CT357" s="279" t="n"/>
      <c r="CU357" s="279" t="n"/>
    </row>
    <row r="358" ht="13.2" customHeight="1">
      <c r="CT358" s="279" t="n"/>
      <c r="CU358" s="279" t="n"/>
    </row>
    <row r="359" ht="13.2" customHeight="1">
      <c r="CT359" s="279" t="n"/>
      <c r="CU359" s="279" t="n"/>
    </row>
    <row r="360" ht="13.2" customHeight="1">
      <c r="CT360" s="279" t="n"/>
      <c r="CU360" s="279" t="n"/>
    </row>
    <row r="361" ht="13.2" customHeight="1">
      <c r="CT361" s="279" t="n"/>
      <c r="CU361" s="279" t="n"/>
    </row>
    <row r="362" ht="13.2" customHeight="1">
      <c r="CT362" s="279" t="n"/>
      <c r="CU362" s="279" t="n"/>
    </row>
    <row r="363" ht="13.2" customHeight="1">
      <c r="CT363" s="279" t="n"/>
      <c r="CU363" s="279" t="n"/>
    </row>
    <row r="364" ht="13.2" customHeight="1">
      <c r="CT364" s="279" t="n"/>
      <c r="CU364" s="279" t="n"/>
    </row>
    <row r="365" ht="13.2" customHeight="1">
      <c r="CT365" s="279" t="n"/>
      <c r="CU365" s="279" t="n"/>
    </row>
    <row r="366" ht="13.2" customHeight="1">
      <c r="CT366" s="279" t="n"/>
      <c r="CU366" s="279" t="n"/>
    </row>
    <row r="367" ht="13.2" customHeight="1">
      <c r="CT367" s="279" t="n"/>
      <c r="CU367" s="279" t="n"/>
    </row>
    <row r="368" ht="13.2" customHeight="1">
      <c r="CT368" s="279" t="n"/>
      <c r="CU368" s="279" t="n"/>
    </row>
    <row r="369" ht="13.2" customHeight="1">
      <c r="CT369" s="279" t="n"/>
      <c r="CU369" s="279" t="n"/>
    </row>
    <row r="370" ht="13.2" customHeight="1">
      <c r="CT370" s="279" t="n"/>
      <c r="CU370" s="279" t="n"/>
    </row>
    <row r="371" ht="13.2" customHeight="1">
      <c r="CT371" s="279" t="n"/>
      <c r="CU371" s="279" t="n"/>
    </row>
    <row r="372" ht="13.2" customHeight="1">
      <c r="CT372" s="279" t="n"/>
      <c r="CU372" s="279" t="n"/>
    </row>
    <row r="373" ht="13.2" customHeight="1">
      <c r="CT373" s="279" t="n"/>
      <c r="CU373" s="279" t="n"/>
    </row>
    <row r="374" ht="13.2" customHeight="1">
      <c r="CT374" s="279" t="n"/>
      <c r="CU374" s="279" t="n"/>
    </row>
    <row r="375" ht="13.2" customHeight="1">
      <c r="CT375" s="279" t="n"/>
      <c r="CU375" s="279" t="n"/>
    </row>
    <row r="376" ht="13.2" customHeight="1">
      <c r="CT376" s="279" t="n"/>
      <c r="CU376" s="279" t="n"/>
    </row>
    <row r="377" ht="13.2" customHeight="1">
      <c r="CT377" s="279" t="n"/>
      <c r="CU377" s="279" t="n"/>
    </row>
    <row r="378" ht="13.2" customHeight="1">
      <c r="CT378" s="279" t="n"/>
      <c r="CU378" s="279" t="n"/>
    </row>
    <row r="379" ht="13.2" customHeight="1">
      <c r="CT379" s="279" t="n"/>
      <c r="CU379" s="279" t="n"/>
    </row>
    <row r="380" ht="13.2" customHeight="1">
      <c r="CT380" s="279" t="n"/>
      <c r="CU380" s="279" t="n"/>
    </row>
    <row r="381" ht="13.2" customHeight="1">
      <c r="CT381" s="279" t="n"/>
      <c r="CU381" s="279" t="n"/>
    </row>
    <row r="382" ht="13.2" customHeight="1">
      <c r="CT382" s="279" t="n"/>
      <c r="CU382" s="279" t="n"/>
    </row>
    <row r="383" ht="13.2" customHeight="1">
      <c r="CT383" s="279" t="n"/>
      <c r="CU383" s="279" t="n"/>
    </row>
    <row r="384" ht="13.2" customHeight="1">
      <c r="CT384" s="279" t="n"/>
      <c r="CU384" s="279" t="n"/>
    </row>
    <row r="385" ht="13.2" customHeight="1">
      <c r="CT385" s="279" t="n"/>
      <c r="CU385" s="279" t="n"/>
    </row>
    <row r="386" ht="13.2" customHeight="1">
      <c r="CT386" s="279" t="n"/>
      <c r="CU386" s="279" t="n"/>
    </row>
    <row r="387" ht="13.2" customHeight="1">
      <c r="CT387" s="279" t="n"/>
      <c r="CU387" s="279" t="n"/>
    </row>
    <row r="388" ht="13.2" customHeight="1">
      <c r="CT388" s="279" t="n"/>
      <c r="CU388" s="279" t="n"/>
    </row>
    <row r="389" ht="13.2" customHeight="1">
      <c r="CT389" s="279" t="n"/>
      <c r="CU389" s="279" t="n"/>
    </row>
    <row r="390" ht="13.2" customHeight="1">
      <c r="CT390" s="279" t="n"/>
      <c r="CU390" s="279" t="n"/>
    </row>
    <row r="391" ht="13.2" customHeight="1">
      <c r="CT391" s="279" t="n"/>
      <c r="CU391" s="279" t="n"/>
    </row>
    <row r="392" ht="13.2" customHeight="1">
      <c r="CT392" s="279" t="n"/>
      <c r="CU392" s="279" t="n"/>
    </row>
    <row r="393" ht="13.2" customHeight="1">
      <c r="CT393" s="279" t="n"/>
      <c r="CU393" s="279" t="n"/>
    </row>
    <row r="394" ht="13.2" customHeight="1">
      <c r="CT394" s="279" t="n"/>
      <c r="CU394" s="279" t="n"/>
    </row>
    <row r="395" ht="13.2" customHeight="1">
      <c r="CT395" s="279" t="n"/>
      <c r="CU395" s="279" t="n"/>
    </row>
    <row r="396" ht="13.2" customHeight="1">
      <c r="CT396" s="279" t="n"/>
      <c r="CU396" s="279" t="n"/>
    </row>
    <row r="397" ht="13.2" customHeight="1">
      <c r="CT397" s="279" t="n"/>
      <c r="CU397" s="279" t="n"/>
    </row>
    <row r="398" ht="13.2" customHeight="1">
      <c r="CT398" s="279" t="n"/>
      <c r="CU398" s="279" t="n"/>
    </row>
    <row r="399" ht="13.2" customHeight="1">
      <c r="CT399" s="279" t="n"/>
      <c r="CU399" s="279" t="n"/>
    </row>
    <row r="400" ht="13.2" customHeight="1">
      <c r="CT400" s="279" t="n"/>
      <c r="CU400" s="279" t="n"/>
    </row>
    <row r="401" ht="13.2" customHeight="1">
      <c r="CT401" s="279" t="n"/>
      <c r="CU401" s="279" t="n"/>
    </row>
    <row r="402" ht="13.2" customHeight="1">
      <c r="CT402" s="279" t="n"/>
      <c r="CU402" s="279" t="n"/>
    </row>
    <row r="403" ht="13.2" customHeight="1">
      <c r="CT403" s="279" t="n"/>
      <c r="CU403" s="279" t="n"/>
    </row>
    <row r="404" ht="13.2" customHeight="1">
      <c r="CT404" s="279" t="n"/>
      <c r="CU404" s="279" t="n"/>
    </row>
    <row r="405" ht="13.2" customHeight="1">
      <c r="CT405" s="279" t="n"/>
      <c r="CU405" s="279" t="n"/>
    </row>
    <row r="406" ht="13.2" customHeight="1">
      <c r="CT406" s="279" t="n"/>
      <c r="CU406" s="279" t="n"/>
    </row>
    <row r="407" ht="13.2" customHeight="1">
      <c r="CT407" s="279" t="n"/>
      <c r="CU407" s="279" t="n"/>
    </row>
    <row r="408" ht="13.2" customHeight="1">
      <c r="CT408" s="279" t="n"/>
      <c r="CU408" s="279" t="n"/>
    </row>
    <row r="409" ht="13.2" customHeight="1">
      <c r="CT409" s="279" t="n"/>
      <c r="CU409" s="279" t="n"/>
    </row>
    <row r="410" ht="13.2" customHeight="1">
      <c r="CT410" s="279" t="n"/>
      <c r="CU410" s="279" t="n"/>
    </row>
    <row r="411" ht="13.2" customHeight="1">
      <c r="CT411" s="279" t="n"/>
      <c r="CU411" s="279" t="n"/>
    </row>
    <row r="412" ht="13.2" customHeight="1">
      <c r="CT412" s="279" t="n"/>
      <c r="CU412" s="279" t="n"/>
    </row>
    <row r="413" ht="13.2" customHeight="1">
      <c r="CT413" s="279" t="n"/>
      <c r="CU413" s="279" t="n"/>
    </row>
    <row r="414" ht="13.2" customHeight="1">
      <c r="CT414" s="279" t="n"/>
      <c r="CU414" s="279" t="n"/>
    </row>
    <row r="415" ht="13.2" customHeight="1">
      <c r="CT415" s="279" t="n"/>
      <c r="CU415" s="279" t="n"/>
    </row>
    <row r="416" ht="13.2" customHeight="1">
      <c r="CT416" s="279" t="n"/>
      <c r="CU416" s="279" t="n"/>
    </row>
    <row r="417" ht="13.2" customHeight="1">
      <c r="CT417" s="279" t="n"/>
      <c r="CU417" s="279" t="n"/>
    </row>
    <row r="418" ht="13.2" customHeight="1">
      <c r="CT418" s="279" t="n"/>
      <c r="CU418" s="279" t="n"/>
    </row>
    <row r="419" ht="13.2" customHeight="1">
      <c r="CT419" s="279" t="n"/>
      <c r="CU419" s="279" t="n"/>
    </row>
    <row r="420" ht="13.2" customHeight="1">
      <c r="CT420" s="279" t="n"/>
      <c r="CU420" s="279" t="n"/>
    </row>
    <row r="421" ht="13.2" customHeight="1">
      <c r="CT421" s="279" t="n"/>
      <c r="CU421" s="279" t="n"/>
    </row>
    <row r="422" ht="13.2" customHeight="1">
      <c r="CT422" s="279" t="n"/>
      <c r="CU422" s="279" t="n"/>
    </row>
    <row r="423" ht="13.2" customHeight="1">
      <c r="CT423" s="279" t="n"/>
      <c r="CU423" s="279" t="n"/>
    </row>
    <row r="424" ht="13.2" customHeight="1">
      <c r="CT424" s="279" t="n"/>
      <c r="CU424" s="279" t="n"/>
    </row>
    <row r="425" ht="13.2" customHeight="1">
      <c r="CT425" s="279" t="n"/>
      <c r="CU425" s="279" t="n"/>
    </row>
    <row r="426" ht="13.2" customHeight="1">
      <c r="CT426" s="279" t="n"/>
      <c r="CU426" s="279" t="n"/>
    </row>
    <row r="427" ht="13.2" customHeight="1">
      <c r="CT427" s="279" t="n"/>
      <c r="CU427" s="279" t="n"/>
    </row>
    <row r="428" ht="13.2" customHeight="1">
      <c r="CT428" s="279" t="n"/>
      <c r="CU428" s="279" t="n"/>
    </row>
    <row r="429" ht="13.2" customHeight="1">
      <c r="CT429" s="279" t="n"/>
      <c r="CU429" s="279" t="n"/>
    </row>
    <row r="430" ht="13.2" customHeight="1">
      <c r="CT430" s="279" t="n"/>
      <c r="CU430" s="279" t="n"/>
    </row>
    <row r="431" ht="13.2" customHeight="1">
      <c r="CT431" s="279" t="n"/>
      <c r="CU431" s="279" t="n"/>
    </row>
    <row r="432" ht="13.2" customHeight="1">
      <c r="CT432" s="279" t="n"/>
      <c r="CU432" s="279" t="n"/>
    </row>
    <row r="433" ht="13.2" customHeight="1">
      <c r="CT433" s="279" t="n"/>
      <c r="CU433" s="279" t="n"/>
    </row>
    <row r="434" ht="13.2" customHeight="1">
      <c r="CT434" s="279" t="n"/>
      <c r="CU434" s="279" t="n"/>
    </row>
    <row r="435" ht="13.2" customHeight="1">
      <c r="CT435" s="279" t="n"/>
      <c r="CU435" s="279" t="n"/>
    </row>
    <row r="436" ht="13.2" customHeight="1">
      <c r="CT436" s="279" t="n"/>
      <c r="CU436" s="279" t="n"/>
    </row>
    <row r="437" ht="13.2" customHeight="1">
      <c r="CT437" s="279" t="n"/>
      <c r="CU437" s="279" t="n"/>
    </row>
    <row r="438" ht="13.2" customHeight="1">
      <c r="CT438" s="279" t="n"/>
      <c r="CU438" s="279" t="n"/>
    </row>
    <row r="439" ht="13.2" customHeight="1">
      <c r="CT439" s="279" t="n"/>
      <c r="CU439" s="279" t="n"/>
    </row>
    <row r="440" ht="13.2" customHeight="1">
      <c r="CT440" s="279" t="n"/>
      <c r="CU440" s="279" t="n"/>
    </row>
    <row r="441" ht="13.2" customHeight="1">
      <c r="CT441" s="279" t="n"/>
      <c r="CU441" s="279" t="n"/>
    </row>
    <row r="442" ht="13.2" customHeight="1">
      <c r="CT442" s="279" t="n"/>
      <c r="CU442" s="279" t="n"/>
    </row>
    <row r="443" ht="13.2" customHeight="1">
      <c r="CT443" s="279" t="n"/>
      <c r="CU443" s="279" t="n"/>
    </row>
    <row r="444" ht="13.2" customHeight="1">
      <c r="CT444" s="279" t="n"/>
      <c r="CU444" s="279" t="n"/>
    </row>
    <row r="445" ht="13.2" customHeight="1">
      <c r="CT445" s="279" t="n"/>
      <c r="CU445" s="279" t="n"/>
    </row>
    <row r="446" ht="13.2" customHeight="1">
      <c r="CT446" s="279" t="n"/>
      <c r="CU446" s="279" t="n"/>
    </row>
    <row r="447" ht="13.2" customHeight="1">
      <c r="CT447" s="279" t="n"/>
      <c r="CU447" s="279" t="n"/>
    </row>
    <row r="448" ht="13.2" customHeight="1">
      <c r="CT448" s="279" t="n"/>
      <c r="CU448" s="279" t="n"/>
    </row>
    <row r="449" ht="13.2" customHeight="1">
      <c r="CT449" s="279" t="n"/>
      <c r="CU449" s="279" t="n"/>
    </row>
    <row r="450" ht="13.2" customHeight="1">
      <c r="CT450" s="279" t="n"/>
      <c r="CU450" s="279" t="n"/>
    </row>
    <row r="451" ht="13.2" customHeight="1">
      <c r="CT451" s="279" t="n"/>
      <c r="CU451" s="279" t="n"/>
    </row>
    <row r="452" ht="13.2" customHeight="1">
      <c r="CT452" s="279" t="n"/>
      <c r="CU452" s="279" t="n"/>
    </row>
    <row r="453" ht="13.2" customHeight="1">
      <c r="CT453" s="279" t="n"/>
      <c r="CU453" s="279" t="n"/>
    </row>
    <row r="454" ht="13.2" customHeight="1">
      <c r="CT454" s="279" t="n"/>
      <c r="CU454" s="279" t="n"/>
    </row>
    <row r="455" ht="13.2" customHeight="1">
      <c r="CT455" s="279" t="n"/>
      <c r="CU455" s="279" t="n"/>
    </row>
    <row r="456" ht="13.2" customHeight="1">
      <c r="CT456" s="279" t="n"/>
      <c r="CU456" s="279" t="n"/>
    </row>
    <row r="457" ht="13.2" customHeight="1">
      <c r="CT457" s="279" t="n"/>
      <c r="CU457" s="279" t="n"/>
    </row>
    <row r="458" ht="13.2" customHeight="1">
      <c r="CT458" s="279" t="n"/>
      <c r="CU458" s="279" t="n"/>
    </row>
    <row r="459" ht="12.75" customHeight="1">
      <c r="CT459" s="279" t="n"/>
      <c r="CU459" s="279" t="n"/>
    </row>
    <row r="460" ht="12.75" customHeight="1">
      <c r="CT460" s="279" t="n"/>
      <c r="CU460" s="279" t="n"/>
    </row>
  </sheetData>
  <autoFilter ref="A8:KF59"/>
  <mergeCells count="725">
    <mergeCell ref="ER54:ES54"/>
    <mergeCell ref="FB54:FC54"/>
    <mergeCell ref="ET54:EU54"/>
    <mergeCell ref="JJ55:JK55"/>
    <mergeCell ref="JL55:JM55"/>
    <mergeCell ref="IX54:IY54"/>
    <mergeCell ref="JJ5:JK5"/>
    <mergeCell ref="IX4:IY4"/>
    <mergeCell ref="CP5:CQ5"/>
    <mergeCell ref="Z53:AA53"/>
    <mergeCell ref="CR5:CS5"/>
    <mergeCell ref="GD54:GE54"/>
    <mergeCell ref="AZ5:BA5"/>
    <mergeCell ref="GF54:GG54"/>
    <mergeCell ref="BB5:BC5"/>
    <mergeCell ref="AT5:AU5"/>
    <mergeCell ref="BD5:BE5"/>
    <mergeCell ref="BN53:BO53"/>
    <mergeCell ref="JR4:JS5"/>
    <mergeCell ref="JT4:JU5"/>
    <mergeCell ref="HR54:HS54"/>
    <mergeCell ref="J4:K4"/>
    <mergeCell ref="BT55:BU55"/>
    <mergeCell ref="L4:M4"/>
    <mergeCell ref="BL55:BM55"/>
    <mergeCell ref="EB5:EC5"/>
    <mergeCell ref="BN55:BO55"/>
    <mergeCell ref="ED5:EE5"/>
    <mergeCell ref="CX53:CY53"/>
    <mergeCell ref="CZ53:DA53"/>
    <mergeCell ref="BR4:BS4"/>
    <mergeCell ref="BT4:BU4"/>
    <mergeCell ref="JD54:JE54"/>
    <mergeCell ref="GJ5:GK5"/>
    <mergeCell ref="CX55:CY55"/>
    <mergeCell ref="CZ55:DA55"/>
    <mergeCell ref="EZ4:FA4"/>
    <mergeCell ref="CL54:CM54"/>
    <mergeCell ref="CN54:CO54"/>
    <mergeCell ref="HB55:HC55"/>
    <mergeCell ref="HD55:HE55"/>
    <mergeCell ref="EJ53:EK53"/>
    <mergeCell ref="EL53:EM53"/>
    <mergeCell ref="DD4:DE4"/>
    <mergeCell ref="IN53:IO53"/>
    <mergeCell ref="IP53:IQ53"/>
    <mergeCell ref="IF53:IG53"/>
    <mergeCell ref="IR53:IS53"/>
    <mergeCell ref="IH53:II53"/>
    <mergeCell ref="EJ55:EK55"/>
    <mergeCell ref="HJ4:HK4"/>
    <mergeCell ref="HB4:HC4"/>
    <mergeCell ref="DV54:DW54"/>
    <mergeCell ref="DX54:DY54"/>
    <mergeCell ref="IN55:IO55"/>
    <mergeCell ref="IP55:IQ55"/>
    <mergeCell ref="IH55:II55"/>
    <mergeCell ref="IB54:IC54"/>
    <mergeCell ref="JT53:JU53"/>
    <mergeCell ref="GR5:GS5"/>
    <mergeCell ref="A1:G1"/>
    <mergeCell ref="GD4:GE4"/>
    <mergeCell ref="FH54:FI54"/>
    <mergeCell ref="JL6:JM6"/>
    <mergeCell ref="JN3:KA3"/>
    <mergeCell ref="FJ54:FK54"/>
    <mergeCell ref="X5:Y5"/>
    <mergeCell ref="AR53:AS53"/>
    <mergeCell ref="Z5:AA5"/>
    <mergeCell ref="JT55:JU55"/>
    <mergeCell ref="JN54:JO54"/>
    <mergeCell ref="JF54:JG54"/>
    <mergeCell ref="BL53:BM53"/>
    <mergeCell ref="JF4:JG4"/>
    <mergeCell ref="JH4:JI4"/>
    <mergeCell ref="AR55:AS55"/>
    <mergeCell ref="HP4:HQ4"/>
    <mergeCell ref="HD5:HE5"/>
    <mergeCell ref="BJ5:BK5"/>
    <mergeCell ref="CD53:CE53"/>
    <mergeCell ref="BL5:BM5"/>
    <mergeCell ref="IV55:IW55"/>
    <mergeCell ref="AV4:AW4"/>
    <mergeCell ref="AX4:AY4"/>
    <mergeCell ref="FN5:FO5"/>
    <mergeCell ref="FP5:FQ5"/>
    <mergeCell ref="FF5:FG5"/>
    <mergeCell ref="FH5:FI5"/>
    <mergeCell ref="GB53:GC53"/>
    <mergeCell ref="CD55:CE55"/>
    <mergeCell ref="CF55:CG55"/>
    <mergeCell ref="BP54:BQ54"/>
    <mergeCell ref="BR54:BS54"/>
    <mergeCell ref="DX4:DY4"/>
    <mergeCell ref="FZ55:GA55"/>
    <mergeCell ref="IP5:IQ5"/>
    <mergeCell ref="GB55:GC55"/>
    <mergeCell ref="DP53:DQ53"/>
    <mergeCell ref="DR53:DS53"/>
    <mergeCell ref="CH4:CI4"/>
    <mergeCell ref="DH53:DI53"/>
    <mergeCell ref="DJ53:DK53"/>
    <mergeCell ref="CJ4:CK4"/>
    <mergeCell ref="T54:U54"/>
    <mergeCell ref="EL55:EM55"/>
    <mergeCell ref="HL53:HM53"/>
    <mergeCell ref="GT5:GU5"/>
    <mergeCell ref="HN53:HO53"/>
    <mergeCell ref="DN55:DO55"/>
    <mergeCell ref="DP55:DQ55"/>
    <mergeCell ref="GF4:GG4"/>
    <mergeCell ref="DB54:DC54"/>
    <mergeCell ref="CT54:CU54"/>
    <mergeCell ref="DD54:DE54"/>
    <mergeCell ref="CV54:CW54"/>
    <mergeCell ref="AT53:AU53"/>
    <mergeCell ref="HL55:HM55"/>
    <mergeCell ref="HN55:HO55"/>
    <mergeCell ref="GX54:GY54"/>
    <mergeCell ref="GZ54:HA54"/>
    <mergeCell ref="HL5:HM5"/>
    <mergeCell ref="BF54:BG54"/>
    <mergeCell ref="GX4:GY4"/>
    <mergeCell ref="AT55:AU55"/>
    <mergeCell ref="IX53:IY53"/>
    <mergeCell ref="IZ53:JA53"/>
    <mergeCell ref="HR4:HS4"/>
    <mergeCell ref="JE70:JH70"/>
    <mergeCell ref="CF53:CG53"/>
    <mergeCell ref="D5:E5"/>
    <mergeCell ref="IX55:IY55"/>
    <mergeCell ref="IJ54:IK54"/>
    <mergeCell ref="IL54:IM54"/>
    <mergeCell ref="IJ4:IK4"/>
    <mergeCell ref="CZ5:DA5"/>
    <mergeCell ref="DB5:DC5"/>
    <mergeCell ref="V55:W55"/>
    <mergeCell ref="JE71:JH71"/>
    <mergeCell ref="AZ53:BA53"/>
    <mergeCell ref="AH5:AI5"/>
    <mergeCell ref="BB53:BC53"/>
    <mergeCell ref="R4:S4"/>
    <mergeCell ref="AB4:AC4"/>
    <mergeCell ref="T4:U4"/>
    <mergeCell ref="JX54:JY54"/>
    <mergeCell ref="V4:W4"/>
    <mergeCell ref="EJ5:EK5"/>
    <mergeCell ref="EL5:EM5"/>
    <mergeCell ref="FF53:FG53"/>
    <mergeCell ref="BH55:BI55"/>
    <mergeCell ref="AZ55:BA55"/>
    <mergeCell ref="DZ4:EA4"/>
    <mergeCell ref="BB55:BC55"/>
    <mergeCell ref="DB4:DC4"/>
    <mergeCell ref="AN54:AO54"/>
    <mergeCell ref="FD55:FE55"/>
    <mergeCell ref="J55:K55"/>
    <mergeCell ref="FF55:FG55"/>
    <mergeCell ref="L55:M55"/>
    <mergeCell ref="CL53:CM53"/>
    <mergeCell ref="CN53:CO53"/>
    <mergeCell ref="BD4:BE4"/>
    <mergeCell ref="BF4:BG4"/>
    <mergeCell ref="FV5:FW5"/>
    <mergeCell ref="GP53:GQ53"/>
    <mergeCell ref="FX5:FY5"/>
    <mergeCell ref="GR53:GS53"/>
    <mergeCell ref="A2:A7"/>
    <mergeCell ref="C2:C7"/>
    <mergeCell ref="FJ4:FK4"/>
    <mergeCell ref="FL4:FM4"/>
    <mergeCell ref="BP1:BQ1"/>
    <mergeCell ref="BX54:BY54"/>
    <mergeCell ref="BZ54:CA54"/>
    <mergeCell ref="ET53:EU53"/>
    <mergeCell ref="GP55:GQ55"/>
    <mergeCell ref="GR55:GS55"/>
    <mergeCell ref="IL4:IM4"/>
    <mergeCell ref="IB53:IC53"/>
    <mergeCell ref="ID53:IE53"/>
    <mergeCell ref="HT53:HU53"/>
    <mergeCell ref="EF54:EG54"/>
    <mergeCell ref="HV53:HW53"/>
    <mergeCell ref="GV4:GW4"/>
    <mergeCell ref="EH54:EI54"/>
    <mergeCell ref="IX5:IY5"/>
    <mergeCell ref="IB55:IC55"/>
    <mergeCell ref="HN54:HO54"/>
    <mergeCell ref="HF54:HG54"/>
    <mergeCell ref="HP54:HQ54"/>
    <mergeCell ref="HH54:HI54"/>
    <mergeCell ref="CD5:CE5"/>
    <mergeCell ref="L53:M53"/>
    <mergeCell ref="CF5:CG5"/>
    <mergeCell ref="N53:O53"/>
    <mergeCell ref="FR54:FS54"/>
    <mergeCell ref="JP54:JQ54"/>
    <mergeCell ref="L5:M5"/>
    <mergeCell ref="N5:O5"/>
    <mergeCell ref="DP5:DQ5"/>
    <mergeCell ref="DR5:DS5"/>
    <mergeCell ref="AF55:AG55"/>
    <mergeCell ref="R54:S54"/>
    <mergeCell ref="HN5:HO5"/>
    <mergeCell ref="BT5:BU5"/>
    <mergeCell ref="IR54:IS54"/>
    <mergeCell ref="BR53:BS53"/>
    <mergeCell ref="AJ4:AK4"/>
    <mergeCell ref="AL4:AM4"/>
    <mergeCell ref="CL55:CM55"/>
    <mergeCell ref="FB5:FC5"/>
    <mergeCell ref="CN55:CO55"/>
    <mergeCell ref="ET5:EU5"/>
    <mergeCell ref="FD5:FE5"/>
    <mergeCell ref="FN53:FO53"/>
    <mergeCell ref="EV5:EW5"/>
    <mergeCell ref="FP53:FQ53"/>
    <mergeCell ref="EN4:EO4"/>
    <mergeCell ref="EF4:EG4"/>
    <mergeCell ref="EH4:EI4"/>
    <mergeCell ref="BD54:BE54"/>
    <mergeCell ref="JR53:JS53"/>
    <mergeCell ref="IZ5:JA5"/>
    <mergeCell ref="DZ53:EA53"/>
    <mergeCell ref="FL55:FM55"/>
    <mergeCell ref="FN55:FO55"/>
    <mergeCell ref="FP55:FQ55"/>
    <mergeCell ref="EZ54:FA54"/>
    <mergeCell ref="H54:I54"/>
    <mergeCell ref="JR55:JS55"/>
    <mergeCell ref="DX55:DY55"/>
    <mergeCell ref="DZ55:EA55"/>
    <mergeCell ref="DJ54:DK54"/>
    <mergeCell ref="GZ53:HA53"/>
    <mergeCell ref="DL54:DM54"/>
    <mergeCell ref="FR4:FS4"/>
    <mergeCell ref="FT4:FU4"/>
    <mergeCell ref="HV55:HW55"/>
    <mergeCell ref="IB5:IC5"/>
    <mergeCell ref="AF53:AG53"/>
    <mergeCell ref="HT5:HU5"/>
    <mergeCell ref="AH53:AI53"/>
    <mergeCell ref="HV5:HW5"/>
    <mergeCell ref="GL54:GM54"/>
    <mergeCell ref="B2:B7"/>
    <mergeCell ref="HH4:HI4"/>
    <mergeCell ref="GN54:GO54"/>
    <mergeCell ref="JF53:JG53"/>
    <mergeCell ref="JH53:JI53"/>
    <mergeCell ref="AH55:AI55"/>
    <mergeCell ref="JH55:JI55"/>
    <mergeCell ref="IT54:IU54"/>
    <mergeCell ref="JF5:JG5"/>
    <mergeCell ref="JH5:JI5"/>
    <mergeCell ref="IR4:IS4"/>
    <mergeCell ref="IT4:IU4"/>
    <mergeCell ref="CL5:CM5"/>
    <mergeCell ref="CN5:CO5"/>
    <mergeCell ref="V53:W53"/>
    <mergeCell ref="JZ55:KA55"/>
    <mergeCell ref="BZ4:CA4"/>
    <mergeCell ref="CB4:CC4"/>
    <mergeCell ref="JL54:JM54"/>
    <mergeCell ref="BJ53:BK53"/>
    <mergeCell ref="DF55:DG55"/>
    <mergeCell ref="DH55:DI55"/>
    <mergeCell ref="AD4:AE4"/>
    <mergeCell ref="N4:O4"/>
    <mergeCell ref="P4:Q4"/>
    <mergeCell ref="BP55:BQ55"/>
    <mergeCell ref="BR55:BS55"/>
    <mergeCell ref="DX5:DY5"/>
    <mergeCell ref="ER53:ES53"/>
    <mergeCell ref="BJ55:BK55"/>
    <mergeCell ref="DZ5:EA5"/>
    <mergeCell ref="DL4:DM4"/>
    <mergeCell ref="DN4:DO4"/>
    <mergeCell ref="Z54:AA54"/>
    <mergeCell ref="ID5:IE5"/>
    <mergeCell ref="AB54:AC54"/>
    <mergeCell ref="CV53:CW53"/>
    <mergeCell ref="ER55:ES55"/>
    <mergeCell ref="ET55:EU55"/>
    <mergeCell ref="BP4:BQ4"/>
    <mergeCell ref="GF5:GG5"/>
    <mergeCell ref="HB53:HC53"/>
    <mergeCell ref="CV55:CW55"/>
    <mergeCell ref="GD53:GE53"/>
    <mergeCell ref="CF54:CG54"/>
    <mergeCell ref="EV4:EW4"/>
    <mergeCell ref="CH54:CI54"/>
    <mergeCell ref="CJ54:CK54"/>
    <mergeCell ref="GX55:GY55"/>
    <mergeCell ref="EX4:EY4"/>
    <mergeCell ref="GZ55:HA55"/>
    <mergeCell ref="JZ53:KA53"/>
    <mergeCell ref="KB53:KC53"/>
    <mergeCell ref="JL3:JM4"/>
    <mergeCell ref="EH53:EI53"/>
    <mergeCell ref="IV4:IW4"/>
    <mergeCell ref="FP54:FQ54"/>
    <mergeCell ref="IL53:IM53"/>
    <mergeCell ref="AF5:AG5"/>
    <mergeCell ref="KB55:KC55"/>
    <mergeCell ref="HF4:HG4"/>
    <mergeCell ref="DR54:DS54"/>
    <mergeCell ref="DT54:DU54"/>
    <mergeCell ref="BT53:BU53"/>
    <mergeCell ref="IJ55:IK55"/>
    <mergeCell ref="IL55:IM55"/>
    <mergeCell ref="HX54:HY54"/>
    <mergeCell ref="IJ5:IK5"/>
    <mergeCell ref="HZ54:IA54"/>
    <mergeCell ref="IL5:IM5"/>
    <mergeCell ref="HX4:HY4"/>
    <mergeCell ref="BR5:BS5"/>
    <mergeCell ref="JH6:JI6"/>
    <mergeCell ref="FF54:FG54"/>
    <mergeCell ref="T5:U5"/>
    <mergeCell ref="AN53:AO53"/>
    <mergeCell ref="V5:W5"/>
    <mergeCell ref="H4:I4"/>
    <mergeCell ref="JJ4:JK4"/>
    <mergeCell ref="JB4:JC4"/>
    <mergeCell ref="AN55:AO55"/>
    <mergeCell ref="CT5:CU5"/>
    <mergeCell ref="DD5:DE5"/>
    <mergeCell ref="AP55:AQ55"/>
    <mergeCell ref="GZ5:HA5"/>
    <mergeCell ref="JV54:JW54"/>
    <mergeCell ref="HB5:HC5"/>
    <mergeCell ref="BZ53:CA53"/>
    <mergeCell ref="GL4:GM4"/>
    <mergeCell ref="BH5:BI5"/>
    <mergeCell ref="AR4:AS4"/>
    <mergeCell ref="GN4:GO4"/>
    <mergeCell ref="CB53:CC53"/>
    <mergeCell ref="AT4:AU4"/>
    <mergeCell ref="KB56:KC56"/>
    <mergeCell ref="GF53:GG53"/>
    <mergeCell ref="FV53:FW53"/>
    <mergeCell ref="FX53:FY53"/>
    <mergeCell ref="HT55:HU55"/>
    <mergeCell ref="BZ55:CA55"/>
    <mergeCell ref="EP4:EQ4"/>
    <mergeCell ref="CB55:CC55"/>
    <mergeCell ref="BL54:BM54"/>
    <mergeCell ref="BN54:BO54"/>
    <mergeCell ref="DT4:DU4"/>
    <mergeCell ref="GD55:GE55"/>
    <mergeCell ref="FV55:FW55"/>
    <mergeCell ref="GF55:GG55"/>
    <mergeCell ref="FX55:FY55"/>
    <mergeCell ref="HZ4:IA4"/>
    <mergeCell ref="DM1:DP1"/>
    <mergeCell ref="EN54:EO54"/>
    <mergeCell ref="EP54:EQ54"/>
    <mergeCell ref="HH53:HI53"/>
    <mergeCell ref="HJ53:HK53"/>
    <mergeCell ref="JF55:JG55"/>
    <mergeCell ref="GB4:GC4"/>
    <mergeCell ref="JJ6:JK6"/>
    <mergeCell ref="CX54:CY54"/>
    <mergeCell ref="CZ54:DA54"/>
    <mergeCell ref="CR54:CS54"/>
    <mergeCell ref="AP53:AQ53"/>
    <mergeCell ref="HH55:HI55"/>
    <mergeCell ref="HJ55:HK55"/>
    <mergeCell ref="GT54:GU54"/>
    <mergeCell ref="GV54:GW54"/>
    <mergeCell ref="GT4:GU4"/>
    <mergeCell ref="IT53:IU53"/>
    <mergeCell ref="AN5:AO5"/>
    <mergeCell ref="IV53:IW53"/>
    <mergeCell ref="AP5:AQ5"/>
    <mergeCell ref="ER5:ES5"/>
    <mergeCell ref="J53:K53"/>
    <mergeCell ref="IF54:IG54"/>
    <mergeCell ref="JD4:JE4"/>
    <mergeCell ref="IH54:II54"/>
    <mergeCell ref="IF4:IG4"/>
    <mergeCell ref="CV5:CW5"/>
    <mergeCell ref="R55:S55"/>
    <mergeCell ref="CT53:CU53"/>
    <mergeCell ref="BL4:BM4"/>
    <mergeCell ref="BN4:BO4"/>
    <mergeCell ref="GD5:GE5"/>
    <mergeCell ref="DR55:DS55"/>
    <mergeCell ref="AV53:AW53"/>
    <mergeCell ref="CT55:CU55"/>
    <mergeCell ref="AX53:AY53"/>
    <mergeCell ref="EF5:EG5"/>
    <mergeCell ref="EH5:EI5"/>
    <mergeCell ref="FB53:FC53"/>
    <mergeCell ref="FD53:FE53"/>
    <mergeCell ref="BF55:BG55"/>
    <mergeCell ref="DV4:DW4"/>
    <mergeCell ref="AX55:AY55"/>
    <mergeCell ref="AR54:AS54"/>
    <mergeCell ref="AH54:AI54"/>
    <mergeCell ref="CX4:CY4"/>
    <mergeCell ref="IN5:IO5"/>
    <mergeCell ref="AJ54:AK54"/>
    <mergeCell ref="AL54:AM54"/>
    <mergeCell ref="EZ55:FA55"/>
    <mergeCell ref="HP5:HQ5"/>
    <mergeCell ref="FB55:FC55"/>
    <mergeCell ref="CH53:CI53"/>
    <mergeCell ref="GL53:GM53"/>
    <mergeCell ref="FT5:FU5"/>
    <mergeCell ref="GN53:GO53"/>
    <mergeCell ref="FD4:FE4"/>
    <mergeCell ref="FF4:FG4"/>
    <mergeCell ref="BJ1:BK1"/>
    <mergeCell ref="FH4:FI4"/>
    <mergeCell ref="BT54:BU54"/>
    <mergeCell ref="BV54:BW54"/>
    <mergeCell ref="T53:U53"/>
    <mergeCell ref="HH5:HI5"/>
    <mergeCell ref="GL55:GM55"/>
    <mergeCell ref="GN55:GO55"/>
    <mergeCell ref="KB3:KC6"/>
    <mergeCell ref="FZ54:GA54"/>
    <mergeCell ref="GB54:GC54"/>
    <mergeCell ref="T55:U55"/>
    <mergeCell ref="IZ54:JA54"/>
    <mergeCell ref="JB54:JC54"/>
    <mergeCell ref="BF53:BG53"/>
    <mergeCell ref="IT5:IU5"/>
    <mergeCell ref="IV5:IW5"/>
    <mergeCell ref="HJ54:HK54"/>
    <mergeCell ref="IH4:II4"/>
    <mergeCell ref="HL54:HM54"/>
    <mergeCell ref="HD54:HE54"/>
    <mergeCell ref="BZ5:CA5"/>
    <mergeCell ref="CB5:CC5"/>
    <mergeCell ref="H5:I5"/>
    <mergeCell ref="JZ4:KA6"/>
    <mergeCell ref="DL5:DM5"/>
    <mergeCell ref="EF53:EG53"/>
    <mergeCell ref="DN5:DO5"/>
    <mergeCell ref="DX53:DY53"/>
    <mergeCell ref="DF5:DG5"/>
    <mergeCell ref="Z55:AA55"/>
    <mergeCell ref="CP4:CQ4"/>
    <mergeCell ref="CZ4:DA4"/>
    <mergeCell ref="AB55:AC55"/>
    <mergeCell ref="CR4:CS4"/>
    <mergeCell ref="N54:O54"/>
    <mergeCell ref="HJ5:HK5"/>
    <mergeCell ref="CJ53:CK53"/>
    <mergeCell ref="EF55:EG55"/>
    <mergeCell ref="EH55:EI55"/>
    <mergeCell ref="FZ4:GA4"/>
    <mergeCell ref="AF4:AG4"/>
    <mergeCell ref="AH4:AI4"/>
    <mergeCell ref="ID55:IE55"/>
    <mergeCell ref="CJ55:CK55"/>
    <mergeCell ref="FJ53:FK53"/>
    <mergeCell ref="HF55:HG55"/>
    <mergeCell ref="FL53:FM53"/>
    <mergeCell ref="EB4:EC4"/>
    <mergeCell ref="G6:G7"/>
    <mergeCell ref="ED4:EE4"/>
    <mergeCell ref="AZ54:BA54"/>
    <mergeCell ref="JN53:JO53"/>
    <mergeCell ref="BB54:BC54"/>
    <mergeCell ref="JP53:JQ53"/>
    <mergeCell ref="FR55:FS55"/>
    <mergeCell ref="FH55:FI55"/>
    <mergeCell ref="FJ55:FK55"/>
    <mergeCell ref="FT55:FU55"/>
    <mergeCell ref="FD54:FE54"/>
    <mergeCell ref="EV54:EW54"/>
    <mergeCell ref="EX54:EY54"/>
    <mergeCell ref="JN55:JO55"/>
    <mergeCell ref="JP55:JQ55"/>
    <mergeCell ref="GT53:GU53"/>
    <mergeCell ref="GV53:GW53"/>
    <mergeCell ref="DH54:DI54"/>
    <mergeCell ref="FP4:FQ4"/>
    <mergeCell ref="AB53:AC53"/>
    <mergeCell ref="AD53:AE53"/>
    <mergeCell ref="HR5:HS5"/>
    <mergeCell ref="HD4:HE4"/>
    <mergeCell ref="GH54:GI54"/>
    <mergeCell ref="GJ54:GK54"/>
    <mergeCell ref="AV5:AW5"/>
    <mergeCell ref="BF5:BG5"/>
    <mergeCell ref="AX5:AY5"/>
    <mergeCell ref="D6:D7"/>
    <mergeCell ref="AD55:AE55"/>
    <mergeCell ref="JV4:JW5"/>
    <mergeCell ref="F6:F7"/>
    <mergeCell ref="JX4:JY5"/>
    <mergeCell ref="JN4:JO5"/>
    <mergeCell ref="P54:Q54"/>
    <mergeCell ref="JP4:JQ5"/>
    <mergeCell ref="F2:G5"/>
    <mergeCell ref="J5:K5"/>
    <mergeCell ref="IN4:IO4"/>
    <mergeCell ref="IP4:IQ4"/>
    <mergeCell ref="CH5:CI5"/>
    <mergeCell ref="DB53:DC53"/>
    <mergeCell ref="CJ5:CK5"/>
    <mergeCell ref="DD53:DE53"/>
    <mergeCell ref="DF53:DG53"/>
    <mergeCell ref="BV4:BW4"/>
    <mergeCell ref="JV55:JW55"/>
    <mergeCell ref="BX4:BY4"/>
    <mergeCell ref="GL5:GM5"/>
    <mergeCell ref="JH54:JI54"/>
    <mergeCell ref="GN5:GO5"/>
    <mergeCell ref="GP5:GQ5"/>
    <mergeCell ref="H6:AA6"/>
    <mergeCell ref="DB55:DC55"/>
    <mergeCell ref="BH53:BI53"/>
    <mergeCell ref="DD55:DE55"/>
    <mergeCell ref="CP54:CQ54"/>
    <mergeCell ref="DT5:DU5"/>
    <mergeCell ref="EN53:EO53"/>
    <mergeCell ref="EP53:EQ53"/>
    <mergeCell ref="DF4:DG4"/>
    <mergeCell ref="DH4:DI4"/>
    <mergeCell ref="AT54:AU54"/>
    <mergeCell ref="DJ4:DK4"/>
    <mergeCell ref="AD54:AE54"/>
    <mergeCell ref="V54:W54"/>
    <mergeCell ref="HZ5:IA5"/>
    <mergeCell ref="IJ53:IK53"/>
    <mergeCell ref="HL4:HM4"/>
    <mergeCell ref="EN55:EO55"/>
    <mergeCell ref="EP55:EQ55"/>
    <mergeCell ref="DZ54:EA54"/>
    <mergeCell ref="EB54:EC54"/>
    <mergeCell ref="ED54:EE54"/>
    <mergeCell ref="IR55:IS55"/>
    <mergeCell ref="AC6:AD6"/>
    <mergeCell ref="GX53:GY53"/>
    <mergeCell ref="FZ53:GA53"/>
    <mergeCell ref="ER4:ES4"/>
    <mergeCell ref="ET4:EU4"/>
    <mergeCell ref="GV55:GW55"/>
    <mergeCell ref="JV53:JW53"/>
    <mergeCell ref="H53:I53"/>
    <mergeCell ref="JX53:JY53"/>
    <mergeCell ref="IZ4:JA4"/>
    <mergeCell ref="FL54:FM54"/>
    <mergeCell ref="FN54:FO54"/>
    <mergeCell ref="AB5:AC5"/>
    <mergeCell ref="JN6:JY6"/>
    <mergeCell ref="AD5:AE5"/>
    <mergeCell ref="H55:I55"/>
    <mergeCell ref="JX55:JY55"/>
    <mergeCell ref="JJ54:JK54"/>
    <mergeCell ref="BP53:BQ53"/>
    <mergeCell ref="AV55:AW55"/>
    <mergeCell ref="HT54:HU54"/>
    <mergeCell ref="IF5:IG5"/>
    <mergeCell ref="HV54:HW54"/>
    <mergeCell ref="IH5:II5"/>
    <mergeCell ref="HT4:HU4"/>
    <mergeCell ref="HN4:HO4"/>
    <mergeCell ref="BN5:BO5"/>
    <mergeCell ref="BP5:BQ5"/>
    <mergeCell ref="IZ55:JA55"/>
    <mergeCell ref="AZ4:BA4"/>
    <mergeCell ref="BB4:BC4"/>
    <mergeCell ref="FR5:FS5"/>
    <mergeCell ref="FJ5:FK5"/>
    <mergeCell ref="FL5:FM5"/>
    <mergeCell ref="AJ53:AK53"/>
    <mergeCell ref="CH55:CI55"/>
    <mergeCell ref="DV5:DW5"/>
    <mergeCell ref="CX5:CY5"/>
    <mergeCell ref="AJ55:AK55"/>
    <mergeCell ref="AL55:AM55"/>
    <mergeCell ref="DT53:DU53"/>
    <mergeCell ref="DL53:DM53"/>
    <mergeCell ref="CL4:CM4"/>
    <mergeCell ref="X54:Y54"/>
    <mergeCell ref="DN53:DO53"/>
    <mergeCell ref="CN4:CO4"/>
    <mergeCell ref="CD4:CE4"/>
    <mergeCell ref="CF4:CG4"/>
    <mergeCell ref="JR54:JS54"/>
    <mergeCell ref="HP53:HQ53"/>
    <mergeCell ref="GV5:GW5"/>
    <mergeCell ref="GX5:GY5"/>
    <mergeCell ref="BV53:BW53"/>
    <mergeCell ref="GH4:GI4"/>
    <mergeCell ref="BX53:BY53"/>
    <mergeCell ref="HR53:HS53"/>
    <mergeCell ref="GJ4:GK4"/>
    <mergeCell ref="DT55:DU55"/>
    <mergeCell ref="DJ55:DK55"/>
    <mergeCell ref="AP4:AQ4"/>
    <mergeCell ref="FT53:FU53"/>
    <mergeCell ref="HP55:HQ55"/>
    <mergeCell ref="BV55:BW55"/>
    <mergeCell ref="HR55:HS55"/>
    <mergeCell ref="HB54:HC54"/>
    <mergeCell ref="BX55:BY55"/>
    <mergeCell ref="BH54:BI54"/>
    <mergeCell ref="BJ54:BK54"/>
    <mergeCell ref="JB53:JC53"/>
    <mergeCell ref="JD53:JE53"/>
    <mergeCell ref="HV4:HW4"/>
    <mergeCell ref="EJ54:EK54"/>
    <mergeCell ref="JB55:JC55"/>
    <mergeCell ref="JD55:JE55"/>
    <mergeCell ref="IN54:IO54"/>
    <mergeCell ref="H2:BC2"/>
    <mergeCell ref="JF6:JG6"/>
    <mergeCell ref="IP54:IQ54"/>
    <mergeCell ref="AL53:AM53"/>
    <mergeCell ref="AL3:AM3"/>
    <mergeCell ref="GR54:GS54"/>
    <mergeCell ref="GP4:GQ4"/>
    <mergeCell ref="AR5:AS5"/>
    <mergeCell ref="AJ5:AK5"/>
    <mergeCell ref="BD53:BE53"/>
    <mergeCell ref="AL5:AM5"/>
    <mergeCell ref="JZ54:KA54"/>
    <mergeCell ref="X4:Y4"/>
    <mergeCell ref="KB54:KC54"/>
    <mergeCell ref="Z4:AA4"/>
    <mergeCell ref="EN5:EO5"/>
    <mergeCell ref="EP5:EQ5"/>
    <mergeCell ref="BD55:BE55"/>
    <mergeCell ref="ID54:IE54"/>
    <mergeCell ref="N55:O55"/>
    <mergeCell ref="P55:Q55"/>
    <mergeCell ref="CP53:CQ53"/>
    <mergeCell ref="CR53:CS53"/>
    <mergeCell ref="BH4:BI4"/>
    <mergeCell ref="BJ4:BK4"/>
    <mergeCell ref="FZ5:GA5"/>
    <mergeCell ref="IV54:IW54"/>
    <mergeCell ref="DL55:DM55"/>
    <mergeCell ref="GB5:GC5"/>
    <mergeCell ref="FN4:FO4"/>
    <mergeCell ref="CB54:CC54"/>
    <mergeCell ref="CD54:CE54"/>
    <mergeCell ref="EV53:EW53"/>
    <mergeCell ref="EX53:EY53"/>
    <mergeCell ref="GT55:GU55"/>
    <mergeCell ref="EZ53:FA53"/>
    <mergeCell ref="DP4:DQ4"/>
    <mergeCell ref="DR4:DS4"/>
    <mergeCell ref="D2:E4"/>
    <mergeCell ref="AF54:AG54"/>
    <mergeCell ref="EV55:EW55"/>
    <mergeCell ref="EX55:EY55"/>
    <mergeCell ref="HX53:HY53"/>
    <mergeCell ref="HZ53:IA53"/>
    <mergeCell ref="GZ4:HA4"/>
    <mergeCell ref="EL54:EM54"/>
    <mergeCell ref="GR4:GS4"/>
    <mergeCell ref="DN54:DO54"/>
    <mergeCell ref="IT55:IU55"/>
    <mergeCell ref="GH53:GI53"/>
    <mergeCell ref="IF55:IG55"/>
    <mergeCell ref="GJ53:GK53"/>
    <mergeCell ref="JB5:JC5"/>
    <mergeCell ref="FB4:FC4"/>
    <mergeCell ref="P53:Q53"/>
    <mergeCell ref="R53:S53"/>
    <mergeCell ref="GH55:GI55"/>
    <mergeCell ref="GJ55:GK55"/>
    <mergeCell ref="FT54:FU54"/>
    <mergeCell ref="FV54:FW54"/>
    <mergeCell ref="FX54:FY54"/>
    <mergeCell ref="H3:AA3"/>
    <mergeCell ref="P5:Q5"/>
    <mergeCell ref="JT54:JU54"/>
    <mergeCell ref="R5:S5"/>
    <mergeCell ref="IR5:IS5"/>
    <mergeCell ref="IB4:IC4"/>
    <mergeCell ref="ID4:IE4"/>
    <mergeCell ref="BV5:BW5"/>
    <mergeCell ref="BX5:BY5"/>
    <mergeCell ref="AP54:AQ54"/>
    <mergeCell ref="AN4:AO4"/>
    <mergeCell ref="CP55:CQ55"/>
    <mergeCell ref="CR55:CS55"/>
    <mergeCell ref="EX5:EY5"/>
    <mergeCell ref="FR53:FS53"/>
    <mergeCell ref="X53:Y53"/>
    <mergeCell ref="EZ5:FA5"/>
    <mergeCell ref="EJ4:EK4"/>
    <mergeCell ref="E6:E7"/>
    <mergeCell ref="EL4:EM4"/>
    <mergeCell ref="DH5:DI5"/>
    <mergeCell ref="JD5:JE5"/>
    <mergeCell ref="EB53:EC53"/>
    <mergeCell ref="DJ5:DK5"/>
    <mergeCell ref="ED53:EE53"/>
    <mergeCell ref="CT4:CU4"/>
    <mergeCell ref="DV53:DW53"/>
    <mergeCell ref="CV4:CW4"/>
    <mergeCell ref="X55:Y55"/>
    <mergeCell ref="J54:K54"/>
    <mergeCell ref="L54:M54"/>
    <mergeCell ref="HF5:HG5"/>
    <mergeCell ref="EB55:EC55"/>
    <mergeCell ref="ED55:EE55"/>
    <mergeCell ref="DV55:DW55"/>
    <mergeCell ref="HD53:HE53"/>
    <mergeCell ref="DP54:DQ54"/>
    <mergeCell ref="DF54:DG54"/>
    <mergeCell ref="HF53:HG53"/>
    <mergeCell ref="FV4:FW4"/>
    <mergeCell ref="FX4:FY4"/>
    <mergeCell ref="HX55:HY55"/>
    <mergeCell ref="HZ55:IA55"/>
    <mergeCell ref="HX5:HY5"/>
    <mergeCell ref="FH53:FI53"/>
    <mergeCell ref="GP54:GQ54"/>
    <mergeCell ref="AV54:AW54"/>
    <mergeCell ref="JJ53:JK53"/>
    <mergeCell ref="AX54:AY54"/>
    <mergeCell ref="GH5:GI5"/>
    <mergeCell ref="JL53:JM53"/>
    <mergeCell ref="JJ3:JK3"/>
  </mergeCells>
  <pageMargins left="0.3937007874015748" right="0.1181102362204725" top="0.7874015748031497" bottom="0.1968503937007874" header="0.3149606299212598" footer="0.3149606299212598"/>
  <pageSetup orientation="landscape" paperSize="9" scale="66"/>
  <rowBreaks count="1" manualBreakCount="1">
    <brk id="34" min="0" max="288" man="1"/>
  </rowBreaks>
  <colBreaks count="7" manualBreakCount="7">
    <brk id="27" min="0" max="56" man="1"/>
    <brk id="35" min="0" max="59" man="1"/>
    <brk id="67" min="0" max="59" man="1"/>
    <brk id="95" min="0" max="59" man="1"/>
    <brk id="151" min="0" max="1048575" man="1"/>
    <brk id="179" min="0" max="59" man="1"/>
    <brk id="251" min="0" max="59" man="1"/>
  </col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O460"/>
  <sheetViews>
    <sheetView showGridLines="0" view="pageBreakPreview" zoomScale="80" zoomScaleNormal="80" zoomScaleSheetLayoutView="80" workbookViewId="0">
      <pane xSplit="7" ySplit="8" topLeftCell="H9" activePane="bottomRight" state="frozen"/>
      <selection pane="topRight" activeCell="H1" sqref="H1"/>
      <selection pane="bottomLeft" activeCell="A9" sqref="A9"/>
      <selection pane="bottomRight" activeCell="J20" sqref="J20"/>
    </sheetView>
  </sheetViews>
  <sheetFormatPr baseColWidth="8" defaultColWidth="9.109375" defaultRowHeight="12.75" customHeight="1"/>
  <cols>
    <col width="4.33203125" customWidth="1" style="279" min="1" max="1"/>
    <col width="21.88671875" customWidth="1" style="279" min="2" max="2"/>
    <col width="12.44140625" customWidth="1" style="279" min="3" max="3"/>
    <col width="7.109375" customWidth="1" style="279" min="4" max="4"/>
    <col width="6.88671875" customWidth="1" style="279" min="5" max="5"/>
    <col width="9.5546875" customWidth="1" style="279" min="6" max="6"/>
    <col width="9" customWidth="1" style="279" min="7" max="7"/>
    <col width="6.5546875" customWidth="1" style="279" min="8" max="9"/>
    <col width="6" customWidth="1" style="279" min="10" max="12"/>
    <col width="6" customWidth="1" style="2" min="13" max="13"/>
    <col width="6" customWidth="1" style="279" min="14" max="17"/>
    <col collapsed="1" width="6.33203125" customWidth="1" style="279" min="18" max="18"/>
    <col width="6.33203125" customWidth="1" style="279" min="19" max="19"/>
    <col width="7.33203125" customWidth="1" style="279" min="20" max="27"/>
    <col width="6.6640625" customWidth="1" style="279" min="28" max="29"/>
    <col width="6.88671875" customWidth="1" style="279" min="30" max="31"/>
    <col collapsed="1" width="6.44140625" customWidth="1" style="279" min="32" max="32"/>
    <col width="6.44140625" customWidth="1" style="279" min="33" max="33"/>
    <col width="6.88671875" customWidth="1" style="279" min="34" max="35"/>
    <col width="7" customWidth="1" style="279" min="36" max="36"/>
    <col width="6.33203125" customWidth="1" style="279" min="37" max="37"/>
    <col width="6.44140625" customWidth="1" style="279" min="38" max="40"/>
    <col width="7.33203125" customWidth="1" style="279" min="41" max="41"/>
    <col collapsed="1" width="7.33203125" customWidth="1" style="279" min="42" max="42"/>
    <col width="7.33203125" customWidth="1" style="279" min="43" max="45"/>
    <col width="6.88671875" customWidth="1" style="279" min="46" max="49"/>
    <col width="6.44140625" customWidth="1" style="279" min="50" max="51"/>
    <col width="6" customWidth="1" style="279" min="52" max="53"/>
    <col collapsed="1" width="6" customWidth="1" style="279" min="54" max="54"/>
    <col width="6" customWidth="1" style="279" min="55" max="55"/>
    <col width="6.88671875" customWidth="1" style="279" min="56" max="57"/>
    <col collapsed="1" width="6.88671875" customWidth="1" style="279" min="58" max="58"/>
    <col width="6.88671875" customWidth="1" style="279" min="59" max="61"/>
    <col width="6.44140625" customWidth="1" style="279" min="62" max="65"/>
    <col width="7.33203125" customWidth="1" style="279" min="66" max="69"/>
    <col width="6.6640625" customWidth="1" style="279" min="70" max="83"/>
    <col width="6.5546875" customWidth="1" style="279" min="84" max="93"/>
    <col width="7.33203125" customWidth="1" style="279" min="94" max="97"/>
    <col width="7.33203125" customWidth="1" style="3" min="98" max="99"/>
    <col width="7.33203125" customWidth="1" style="279" min="100" max="109"/>
    <col width="6.33203125" customWidth="1" style="279" min="110" max="110"/>
    <col width="6.88671875" customWidth="1" style="279" min="111" max="111"/>
    <col width="6.33203125" customWidth="1" style="279" min="112" max="117"/>
    <col collapsed="1" width="6.33203125" customWidth="1" style="279" min="118" max="118"/>
    <col width="6.33203125" customWidth="1" style="279" min="119" max="123"/>
    <col width="7.6640625" customWidth="1" style="279" min="124" max="125"/>
    <col width="6.33203125" customWidth="1" style="279" min="126" max="127"/>
    <col width="7.109375" customWidth="1" style="279" min="128" max="129"/>
    <col width="6.6640625" customWidth="1" style="279" min="130" max="133"/>
    <col collapsed="1" width="6.6640625" customWidth="1" style="279" min="134" max="134"/>
    <col width="6.6640625" customWidth="1" style="279" min="135" max="135"/>
    <col collapsed="1" width="7.33203125" customWidth="1" style="279" min="136" max="136"/>
    <col width="7.33203125" customWidth="1" style="279" min="137" max="139"/>
    <col width="6.6640625" customWidth="1" style="279" min="140" max="143"/>
    <col width="6.109375" customWidth="1" style="279" min="144" max="145"/>
    <col width="6.5546875" customWidth="1" style="279" min="146" max="147"/>
    <col collapsed="1" width="7.33203125" customWidth="1" style="279" min="148" max="148"/>
    <col width="6.33203125" customWidth="1" style="279" min="149" max="149"/>
    <col width="7.33203125" customWidth="1" style="279" min="150" max="165"/>
    <col collapsed="1" width="7.33203125" customWidth="1" style="279" min="166" max="166"/>
    <col width="7.33203125" customWidth="1" style="279" min="167" max="191"/>
    <col collapsed="1" width="7.33203125" customWidth="1" style="279" min="192" max="192"/>
    <col width="7.33203125" customWidth="1" style="279" min="193" max="195"/>
    <col collapsed="1" width="7.33203125" customWidth="1" style="279" min="196" max="196"/>
    <col width="7.33203125" customWidth="1" style="279" min="197" max="231"/>
    <col collapsed="1" width="7.33203125" customWidth="1" style="279" min="232" max="232"/>
    <col width="7.33203125" customWidth="1" style="279" min="233" max="241"/>
    <col collapsed="1" width="7.33203125" customWidth="1" style="279" min="242" max="242"/>
    <col width="7.33203125" customWidth="1" style="279" min="243" max="263"/>
    <col width="7" customWidth="1" style="279" min="264" max="264"/>
    <col width="7.33203125" customWidth="1" style="279" min="265" max="271"/>
    <col width="6.88671875" customWidth="1" style="279" min="272" max="272"/>
    <col width="6.44140625" customWidth="1" style="279" min="273" max="273"/>
    <col hidden="1" outlineLevel="1" width="6.44140625" customWidth="1" style="279" min="274" max="274"/>
    <col hidden="1" outlineLevel="1" width="6.88671875" customWidth="1" style="279" min="275" max="275"/>
    <col hidden="1" outlineLevel="1" width="7.109375" customWidth="1" style="279" min="276" max="276"/>
    <col hidden="1" outlineLevel="1" width="6.5546875" customWidth="1" style="279" min="277" max="277"/>
    <col hidden="1" outlineLevel="1" width="6.44140625" customWidth="1" style="279" min="278" max="279"/>
    <col hidden="1" outlineLevel="1" width="6" customWidth="1" style="279" min="280" max="280"/>
    <col hidden="1" outlineLevel="1" width="5.5546875" customWidth="1" style="279" min="281" max="281"/>
    <col hidden="1" outlineLevel="1" width="5.88671875" customWidth="1" style="279" min="282" max="282"/>
    <col hidden="1" outlineLevel="1" width="6.5546875" customWidth="1" style="279" min="283" max="283"/>
    <col hidden="1" outlineLevel="1" width="5.44140625" customWidth="1" style="279" min="284" max="284"/>
    <col hidden="1" outlineLevel="1" width="6" customWidth="1" style="279" min="285" max="285"/>
    <col hidden="1" outlineLevel="1" width="7.33203125" customWidth="1" style="279" min="286" max="286"/>
    <col hidden="1" outlineLevel="1" width="9.88671875" customWidth="1" style="279" min="287" max="287"/>
    <col collapsed="1" width="9.44140625" customWidth="1" style="279" min="288" max="288"/>
    <col width="9.44140625" customWidth="1" style="279" min="289" max="289"/>
    <col width="17.5546875" customWidth="1" style="279" min="290" max="290"/>
    <col width="11" customWidth="1" style="279" min="291" max="291"/>
    <col width="15.44140625" customWidth="1" style="279" min="292" max="292"/>
    <col width="9.109375" customWidth="1" style="279" min="293" max="293"/>
    <col width="9.109375" customWidth="1" style="279" min="294" max="16384"/>
  </cols>
  <sheetData>
    <row r="1" ht="17.25" customFormat="1" customHeight="1" s="288" thickBot="1">
      <c r="A1" s="265" t="inlineStr">
        <is>
          <t>Расшифровка зарплаты рабочих за Апрель 2024 г</t>
        </is>
      </c>
      <c r="B1" s="266" t="n"/>
      <c r="C1" s="266" t="n"/>
      <c r="D1" s="266" t="n"/>
      <c r="E1" s="266" t="n"/>
      <c r="F1" s="266" t="n"/>
      <c r="G1" s="266" t="n"/>
      <c r="M1" s="5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V1" s="39" t="n"/>
      <c r="AW1" s="39" t="n"/>
      <c r="BB1" s="37" t="n"/>
      <c r="BC1" s="37" t="n"/>
      <c r="BD1" s="37" t="n"/>
      <c r="BE1" s="37" t="n"/>
      <c r="BJ1" s="287" t="n"/>
      <c r="BP1" s="287" t="n"/>
      <c r="CD1" s="36" t="n"/>
      <c r="DM1" s="310" t="n"/>
      <c r="DQ1" s="41" t="n"/>
      <c r="DR1" s="37" t="n"/>
      <c r="DS1" s="37" t="n"/>
      <c r="DT1" s="37" t="n"/>
      <c r="DU1" s="37" t="n"/>
      <c r="DV1" s="37" t="n"/>
      <c r="DW1" s="37" t="n"/>
      <c r="DX1" s="37" t="n"/>
      <c r="DY1" s="37" t="n"/>
      <c r="ER1" s="36" t="n"/>
      <c r="ES1" s="36" t="n"/>
      <c r="GZ1" s="39" t="n"/>
      <c r="HA1" s="39" t="n"/>
      <c r="HD1" s="37" t="n"/>
      <c r="HE1" s="37" t="n"/>
      <c r="HK1" s="39" t="n"/>
      <c r="HL1" s="39" t="n"/>
      <c r="HM1" s="40" t="n"/>
      <c r="HN1" s="39" t="n"/>
      <c r="HO1" s="39" t="n"/>
      <c r="HP1" s="39" t="n"/>
      <c r="HQ1" s="40" t="n"/>
      <c r="IO1" s="37" t="n"/>
      <c r="IQ1" s="37" t="n"/>
    </row>
    <row r="2" ht="11.25" customHeight="1" thickBot="1">
      <c r="A2" s="283" t="inlineStr">
        <is>
          <t>№ П/П</t>
        </is>
      </c>
      <c r="B2" s="299" t="inlineStr">
        <is>
          <t>Работники</t>
        </is>
      </c>
      <c r="C2" s="285" t="n"/>
      <c r="D2" s="337" t="inlineStr">
        <is>
          <t>Отработано часов</t>
        </is>
      </c>
      <c r="E2" s="305" t="n"/>
      <c r="F2" s="285" t="inlineStr">
        <is>
          <t>Оклад с РК</t>
        </is>
      </c>
      <c r="G2" s="308" t="n"/>
      <c r="H2" s="335" t="inlineStr">
        <is>
          <t>Распределение по заказам</t>
        </is>
      </c>
      <c r="I2" s="255" t="n"/>
      <c r="J2" s="255" t="n"/>
      <c r="K2" s="255" t="n"/>
      <c r="L2" s="255" t="n"/>
      <c r="M2" s="255" t="n"/>
      <c r="N2" s="255" t="n"/>
      <c r="O2" s="255" t="n"/>
      <c r="P2" s="255" t="n"/>
      <c r="Q2" s="255" t="n"/>
      <c r="R2" s="255" t="n"/>
      <c r="S2" s="255" t="n"/>
      <c r="T2" s="255" t="n"/>
      <c r="U2" s="255" t="n"/>
      <c r="V2" s="255" t="n"/>
      <c r="W2" s="255" t="n"/>
      <c r="X2" s="255" t="n"/>
      <c r="Y2" s="255" t="n"/>
      <c r="Z2" s="255" t="n"/>
      <c r="AA2" s="255" t="n"/>
      <c r="AB2" s="255" t="n"/>
      <c r="AC2" s="255" t="n"/>
      <c r="AD2" s="255" t="n"/>
      <c r="AE2" s="255" t="n"/>
      <c r="AF2" s="255" t="n"/>
      <c r="AG2" s="255" t="n"/>
      <c r="AH2" s="255" t="n"/>
      <c r="AI2" s="255" t="n"/>
      <c r="AJ2" s="255" t="n"/>
      <c r="AK2" s="255" t="n"/>
      <c r="AL2" s="255" t="n"/>
      <c r="AM2" s="255" t="n"/>
      <c r="AN2" s="255" t="n"/>
      <c r="AO2" s="255" t="n"/>
      <c r="AP2" s="255" t="n"/>
      <c r="AQ2" s="255" t="n"/>
      <c r="AR2" s="255" t="n"/>
      <c r="AS2" s="255" t="n"/>
      <c r="AT2" s="255" t="n"/>
      <c r="AU2" s="255" t="n"/>
      <c r="AV2" s="255" t="n"/>
      <c r="AW2" s="255" t="n"/>
      <c r="AX2" s="255" t="n"/>
      <c r="AY2" s="255" t="n"/>
      <c r="AZ2" s="255" t="n"/>
      <c r="BA2" s="255" t="n"/>
      <c r="BB2" s="255" t="n"/>
      <c r="BC2" s="255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  <c r="BN2" s="47" t="n"/>
      <c r="BO2" s="47" t="n"/>
      <c r="BP2" s="47" t="n"/>
      <c r="BQ2" s="47" t="n"/>
      <c r="BR2" s="47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  <c r="CO2" s="47" t="n"/>
      <c r="CP2" s="47" t="n"/>
      <c r="CQ2" s="47" t="n"/>
      <c r="CR2" s="47" t="n"/>
      <c r="CS2" s="47" t="n"/>
      <c r="CT2" s="47" t="n"/>
      <c r="CU2" s="47" t="n"/>
      <c r="CV2" s="47" t="n"/>
      <c r="CW2" s="47" t="n"/>
      <c r="CX2" s="47" t="n"/>
      <c r="CY2" s="47" t="n"/>
      <c r="CZ2" s="47" t="n"/>
      <c r="DA2" s="47" t="n"/>
      <c r="DB2" s="47" t="n"/>
      <c r="DC2" s="47" t="n"/>
      <c r="DD2" s="47" t="n"/>
      <c r="DE2" s="47" t="n"/>
      <c r="DF2" s="47" t="n"/>
      <c r="DG2" s="47" t="n"/>
      <c r="DH2" s="47" t="n"/>
      <c r="DI2" s="47" t="n"/>
      <c r="DJ2" s="47" t="n"/>
      <c r="DK2" s="47" t="n"/>
      <c r="DL2" s="47" t="n"/>
      <c r="DM2" s="47" t="n"/>
      <c r="DN2" s="47" t="n"/>
      <c r="DO2" s="47" t="n"/>
      <c r="DP2" s="47" t="n"/>
      <c r="DQ2" s="47" t="n"/>
      <c r="DR2" s="47" t="n"/>
      <c r="DS2" s="47" t="n"/>
      <c r="DT2" s="47" t="n"/>
      <c r="DU2" s="47" t="n"/>
      <c r="DV2" s="47" t="n"/>
      <c r="DW2" s="47" t="n"/>
      <c r="DX2" s="47" t="n"/>
      <c r="DY2" s="47" t="n"/>
      <c r="DZ2" s="47" t="n"/>
      <c r="EA2" s="47" t="n"/>
      <c r="EB2" s="47" t="n"/>
      <c r="EC2" s="47" t="n"/>
      <c r="ED2" s="47" t="n"/>
      <c r="EE2" s="47" t="n"/>
      <c r="EF2" s="47" t="n"/>
      <c r="EG2" s="47" t="n"/>
      <c r="EH2" s="47" t="n"/>
      <c r="EI2" s="47" t="n"/>
      <c r="EJ2" s="47" t="n"/>
      <c r="EK2" s="47" t="n"/>
      <c r="EL2" s="47" t="n"/>
      <c r="EM2" s="47" t="n"/>
      <c r="EN2" s="47" t="n"/>
      <c r="EO2" s="47" t="n"/>
      <c r="EP2" s="47" t="n"/>
      <c r="EQ2" s="47" t="n"/>
      <c r="ER2" s="47" t="n"/>
      <c r="ES2" s="47" t="n"/>
      <c r="ET2" s="47" t="n"/>
      <c r="EU2" s="47" t="n"/>
      <c r="EV2" s="47" t="n"/>
      <c r="EW2" s="47" t="n"/>
      <c r="EX2" s="47" t="n"/>
      <c r="EY2" s="47" t="n"/>
      <c r="EZ2" s="47" t="n"/>
      <c r="FA2" s="47" t="n"/>
      <c r="FB2" s="47" t="n"/>
      <c r="FC2" s="47" t="n"/>
      <c r="FD2" s="47" t="n"/>
      <c r="FE2" s="47" t="n"/>
      <c r="FF2" s="47" t="n"/>
      <c r="FG2" s="47" t="n"/>
      <c r="FH2" s="47" t="n"/>
      <c r="FI2" s="47" t="n"/>
      <c r="FJ2" s="47" t="n"/>
      <c r="FK2" s="47" t="n"/>
      <c r="FL2" s="47" t="n"/>
      <c r="FM2" s="47" t="n"/>
      <c r="FN2" s="47" t="n"/>
      <c r="FO2" s="47" t="n"/>
      <c r="FP2" s="47" t="n"/>
      <c r="FQ2" s="47" t="n"/>
      <c r="FR2" s="47" t="n"/>
      <c r="FS2" s="47" t="n"/>
      <c r="FT2" s="47" t="n"/>
      <c r="FU2" s="47" t="n"/>
      <c r="FV2" s="47" t="n"/>
      <c r="FW2" s="47" t="n"/>
      <c r="FX2" s="47" t="n"/>
      <c r="FY2" s="47" t="n"/>
      <c r="FZ2" s="47" t="n"/>
      <c r="GA2" s="47" t="n"/>
      <c r="GB2" s="47" t="n"/>
      <c r="GC2" s="47" t="n"/>
      <c r="GD2" s="47" t="n"/>
      <c r="GE2" s="47" t="n"/>
      <c r="GF2" s="47" t="n"/>
      <c r="GG2" s="47" t="n"/>
      <c r="GH2" s="47" t="n"/>
      <c r="GI2" s="47" t="n"/>
      <c r="GJ2" s="47" t="n"/>
      <c r="GK2" s="47" t="n"/>
      <c r="GL2" s="47" t="n"/>
      <c r="GM2" s="47" t="n"/>
      <c r="GN2" s="47" t="n"/>
      <c r="GO2" s="47" t="n"/>
      <c r="GP2" s="47" t="n"/>
      <c r="GQ2" s="47" t="n"/>
      <c r="GR2" s="47" t="n"/>
      <c r="GS2" s="47" t="n"/>
      <c r="GT2" s="47" t="n"/>
      <c r="GU2" s="47" t="n"/>
      <c r="GV2" s="47" t="n"/>
      <c r="GW2" s="47" t="n"/>
      <c r="GX2" s="47" t="n"/>
      <c r="GY2" s="47" t="n"/>
      <c r="GZ2" s="47" t="n"/>
      <c r="HA2" s="47" t="n"/>
      <c r="HB2" s="47" t="n"/>
      <c r="HC2" s="47" t="n"/>
      <c r="HD2" s="47" t="n"/>
      <c r="HE2" s="47" t="n"/>
      <c r="HF2" s="47" t="n"/>
      <c r="HG2" s="47" t="n"/>
      <c r="HH2" s="47" t="n"/>
      <c r="HI2" s="47" t="n"/>
      <c r="HJ2" s="47" t="n"/>
      <c r="HK2" s="47" t="n"/>
      <c r="HL2" s="47" t="n"/>
      <c r="HM2" s="47" t="n"/>
      <c r="HN2" s="47" t="n"/>
      <c r="HO2" s="47" t="n"/>
      <c r="HP2" s="47" t="n"/>
      <c r="HQ2" s="47" t="n"/>
      <c r="HR2" s="47" t="n"/>
      <c r="HS2" s="47" t="n"/>
      <c r="HT2" s="47" t="n"/>
      <c r="HU2" s="47" t="n"/>
      <c r="HV2" s="47" t="n"/>
      <c r="HW2" s="47" t="n"/>
      <c r="HX2" s="47" t="n"/>
      <c r="HY2" s="47" t="n"/>
      <c r="HZ2" s="47" t="n"/>
      <c r="IA2" s="47" t="n"/>
      <c r="IB2" s="47" t="n"/>
      <c r="IC2" s="47" t="n"/>
      <c r="ID2" s="47" t="n"/>
      <c r="IE2" s="47" t="n"/>
      <c r="IF2" s="47" t="n"/>
      <c r="IG2" s="47" t="n"/>
      <c r="IH2" s="47" t="n"/>
      <c r="II2" s="47" t="n"/>
      <c r="IJ2" s="47" t="n"/>
      <c r="IK2" s="47" t="n"/>
      <c r="IL2" s="47" t="n"/>
      <c r="IM2" s="47" t="n"/>
      <c r="IN2" s="47" t="n"/>
      <c r="IO2" s="47" t="n"/>
      <c r="IP2" s="47" t="n"/>
      <c r="IQ2" s="47" t="n"/>
      <c r="IR2" s="47" t="n"/>
      <c r="IS2" s="47" t="n"/>
      <c r="IT2" s="47" t="n"/>
      <c r="IU2" s="47" t="n"/>
      <c r="IV2" s="47" t="n"/>
      <c r="IW2" s="47" t="n"/>
      <c r="IX2" s="47" t="n"/>
      <c r="IY2" s="47" t="n"/>
      <c r="IZ2" s="47" t="n"/>
      <c r="JA2" s="47" t="n"/>
      <c r="JB2" s="47" t="n"/>
      <c r="JC2" s="47" t="n"/>
      <c r="JD2" s="47" t="n"/>
      <c r="JE2" s="47" t="n"/>
      <c r="JF2" s="47" t="n"/>
      <c r="JG2" s="47" t="n"/>
      <c r="JH2" s="47" t="n"/>
      <c r="JI2" s="47" t="n"/>
      <c r="JJ2" s="47" t="n"/>
      <c r="JK2" s="47" t="n"/>
      <c r="JL2" s="47" t="n"/>
      <c r="JM2" s="47" t="n"/>
      <c r="JN2" s="47" t="n"/>
      <c r="JO2" s="47" t="n"/>
      <c r="JP2" s="47" t="n"/>
      <c r="JQ2" s="47" t="n"/>
      <c r="JR2" s="47" t="n"/>
      <c r="JS2" s="47" t="n"/>
      <c r="JT2" s="47" t="n"/>
      <c r="JU2" s="47" t="n"/>
      <c r="JV2" s="47" t="n"/>
      <c r="JW2" s="47" t="n"/>
      <c r="JX2" s="47" t="n"/>
      <c r="JY2" s="47" t="n"/>
      <c r="JZ2" s="47" t="n"/>
      <c r="KA2" s="47" t="n"/>
      <c r="KB2" s="47" t="n"/>
      <c r="KC2" s="48" t="n"/>
    </row>
    <row r="3" ht="14.25" customHeight="1">
      <c r="A3" s="284" t="n"/>
      <c r="B3" s="284" t="n"/>
      <c r="C3" s="286" t="n"/>
      <c r="D3" s="286" t="n"/>
      <c r="E3" s="306" t="n"/>
      <c r="F3" s="286" t="n"/>
      <c r="H3" s="339" t="inlineStr">
        <is>
          <t>ОСНАСТКА</t>
        </is>
      </c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0" t="n"/>
      <c r="S3" s="340" t="n"/>
      <c r="T3" s="340" t="n"/>
      <c r="U3" s="340" t="n"/>
      <c r="V3" s="340" t="n"/>
      <c r="W3" s="340" t="n"/>
      <c r="X3" s="340" t="n"/>
      <c r="Y3" s="340" t="n"/>
      <c r="Z3" s="340" t="n"/>
      <c r="AA3" s="248" t="n"/>
      <c r="AB3" s="68" t="n"/>
      <c r="AC3" s="68" t="n"/>
      <c r="AD3" s="68" t="n"/>
      <c r="AE3" s="68" t="n"/>
      <c r="AF3" s="68" t="n"/>
      <c r="AG3" s="68" t="n"/>
      <c r="AH3" s="68" t="n"/>
      <c r="AI3" s="144" t="n"/>
      <c r="AJ3" s="145" t="n"/>
      <c r="AK3" s="145" t="n"/>
      <c r="AL3" s="336" t="n"/>
      <c r="AM3" s="271" t="n"/>
      <c r="AN3" s="68" t="n"/>
      <c r="AO3" s="68" t="n"/>
      <c r="AP3" s="68" t="n"/>
      <c r="AQ3" s="68" t="n"/>
      <c r="AR3" s="68" t="n"/>
      <c r="AS3" s="68" t="n"/>
      <c r="AT3" s="68" t="n"/>
      <c r="AU3" s="68" t="n"/>
      <c r="AV3" s="68" t="n"/>
      <c r="AW3" s="68" t="n"/>
      <c r="AX3" s="69" t="n"/>
      <c r="AY3" s="68" t="n"/>
      <c r="AZ3" s="68" t="n"/>
      <c r="BA3" s="68" t="n"/>
      <c r="BB3" s="68" t="n"/>
      <c r="BC3" s="68" t="n"/>
      <c r="BD3" s="43" t="n"/>
      <c r="BE3" s="43" t="n"/>
      <c r="BF3" s="43" t="n"/>
      <c r="BG3" s="43" t="n"/>
      <c r="BH3" s="43" t="n"/>
      <c r="BI3" s="43" t="n"/>
      <c r="BJ3" s="43" t="n"/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  <c r="CO3" s="43" t="n"/>
      <c r="CP3" s="43" t="n"/>
      <c r="CQ3" s="43" t="n"/>
      <c r="CR3" s="43" t="n"/>
      <c r="CS3" s="43" t="n"/>
      <c r="CT3" s="43" t="n"/>
      <c r="CU3" s="43" t="n"/>
      <c r="CV3" s="43" t="n"/>
      <c r="CW3" s="43" t="n"/>
      <c r="CX3" s="43" t="n"/>
      <c r="CY3" s="43" t="n"/>
      <c r="CZ3" s="43" t="n"/>
      <c r="DA3" s="43" t="n"/>
      <c r="DB3" s="43" t="n"/>
      <c r="DC3" s="43" t="n"/>
      <c r="DD3" s="43" t="n"/>
      <c r="DE3" s="43" t="n"/>
      <c r="DF3" s="43" t="n"/>
      <c r="DG3" s="43" t="n"/>
      <c r="DH3" s="43" t="n"/>
      <c r="DI3" s="43" t="n"/>
      <c r="DJ3" s="43" t="n"/>
      <c r="DK3" s="43" t="n"/>
      <c r="DL3" s="43" t="n"/>
      <c r="DM3" s="43" t="n"/>
      <c r="DN3" s="43" t="n"/>
      <c r="DO3" s="43" t="n"/>
      <c r="DP3" s="43" t="n"/>
      <c r="DQ3" s="43" t="n"/>
      <c r="DR3" s="43" t="n"/>
      <c r="DS3" s="43" t="n"/>
      <c r="DT3" s="43" t="n"/>
      <c r="DU3" s="43" t="n"/>
      <c r="DV3" s="43" t="n"/>
      <c r="DW3" s="43" t="n"/>
      <c r="DX3" s="43" t="n"/>
      <c r="DY3" s="43" t="n"/>
      <c r="DZ3" s="43" t="n"/>
      <c r="EA3" s="43" t="n"/>
      <c r="EB3" s="43" t="n"/>
      <c r="EC3" s="43" t="n"/>
      <c r="ED3" s="43" t="n"/>
      <c r="EE3" s="43" t="n"/>
      <c r="EF3" s="43" t="n"/>
      <c r="EG3" s="43" t="n"/>
      <c r="EH3" s="43" t="n"/>
      <c r="EI3" s="43" t="n"/>
      <c r="EJ3" s="43" t="n"/>
      <c r="EK3" s="43" t="n"/>
      <c r="EL3" s="43" t="n"/>
      <c r="EM3" s="43" t="n"/>
      <c r="EN3" s="43" t="n"/>
      <c r="EO3" s="43" t="n"/>
      <c r="EP3" s="43" t="n"/>
      <c r="EQ3" s="43" t="n"/>
      <c r="ER3" s="43" t="n"/>
      <c r="ES3" s="43" t="n"/>
      <c r="ET3" s="43" t="n"/>
      <c r="EU3" s="43" t="n"/>
      <c r="EV3" s="43" t="n"/>
      <c r="EW3" s="43" t="n"/>
      <c r="EX3" s="43" t="n"/>
      <c r="EY3" s="43" t="n"/>
      <c r="EZ3" s="43" t="n"/>
      <c r="FA3" s="62" t="n"/>
      <c r="FB3" s="63" t="n"/>
      <c r="FC3" s="62" t="n"/>
      <c r="FD3" s="63" t="n"/>
      <c r="FE3" s="62" t="n"/>
      <c r="FF3" s="63" t="n"/>
      <c r="FG3" s="62" t="n"/>
      <c r="FH3" s="43" t="n"/>
      <c r="FI3" s="62" t="n"/>
      <c r="FJ3" s="43" t="n"/>
      <c r="FK3" s="43" t="n"/>
      <c r="FL3" s="43" t="n"/>
      <c r="FM3" s="43" t="n"/>
      <c r="FN3" s="43" t="n"/>
      <c r="FO3" s="43" t="n"/>
      <c r="FP3" s="43" t="n"/>
      <c r="FQ3" s="43" t="n"/>
      <c r="FR3" s="43" t="n"/>
      <c r="FS3" s="43" t="n"/>
      <c r="FT3" s="43" t="n"/>
      <c r="FU3" s="43" t="n"/>
      <c r="FV3" s="43" t="n"/>
      <c r="FW3" s="43" t="n"/>
      <c r="FX3" s="43" t="n"/>
      <c r="FY3" s="43" t="n"/>
      <c r="FZ3" s="43" t="n"/>
      <c r="GA3" s="43" t="n"/>
      <c r="GB3" s="43" t="n"/>
      <c r="GC3" s="43" t="n"/>
      <c r="GD3" s="43" t="n"/>
      <c r="GE3" s="43" t="n"/>
      <c r="GF3" s="43" t="n"/>
      <c r="GG3" s="43" t="n"/>
      <c r="GH3" s="43" t="n"/>
      <c r="GI3" s="54" t="n"/>
      <c r="GJ3" s="43" t="n"/>
      <c r="GK3" s="43" t="n"/>
      <c r="GL3" s="43" t="n"/>
      <c r="GM3" s="43" t="n"/>
      <c r="GN3" s="43" t="n"/>
      <c r="GO3" s="43" t="n"/>
      <c r="GP3" s="43" t="n"/>
      <c r="GQ3" s="43" t="n"/>
      <c r="GR3" s="43" t="n"/>
      <c r="GS3" s="43" t="n"/>
      <c r="GT3" s="43" t="n"/>
      <c r="GU3" s="43" t="n"/>
      <c r="GV3" s="50" t="n"/>
      <c r="GW3" s="50" t="n"/>
      <c r="GX3" s="50" t="n"/>
      <c r="GY3" s="50" t="n"/>
      <c r="GZ3" s="50" t="n"/>
      <c r="HA3" s="50" t="n"/>
      <c r="HB3" s="43" t="n"/>
      <c r="HC3" s="43" t="n"/>
      <c r="HD3" s="43" t="n"/>
      <c r="HE3" s="43" t="n"/>
      <c r="HF3" s="49" t="n"/>
      <c r="HG3" s="43" t="n"/>
      <c r="HH3" s="43" t="n"/>
      <c r="HI3" s="43" t="n"/>
      <c r="HJ3" s="43" t="n"/>
      <c r="HK3" s="43" t="n"/>
      <c r="HL3" s="43" t="n"/>
      <c r="HM3" s="43" t="n"/>
      <c r="HN3" s="43" t="n"/>
      <c r="HO3" s="43" t="n"/>
      <c r="HP3" s="43" t="n"/>
      <c r="HQ3" s="43" t="n"/>
      <c r="HR3" s="43" t="n"/>
      <c r="HS3" s="43" t="n"/>
      <c r="HT3" s="43" t="n"/>
      <c r="HU3" s="43" t="n"/>
      <c r="HV3" s="43" t="n"/>
      <c r="HW3" s="43" t="n"/>
      <c r="HX3" s="43" t="n"/>
      <c r="HY3" s="43" t="n"/>
      <c r="HZ3" s="43" t="n"/>
      <c r="IA3" s="43" t="n"/>
      <c r="IB3" s="43" t="n"/>
      <c r="IC3" s="43" t="n"/>
      <c r="ID3" s="43" t="n"/>
      <c r="IE3" s="43" t="n"/>
      <c r="IF3" s="43" t="n"/>
      <c r="IG3" s="43" t="n"/>
      <c r="IH3" s="43" t="n"/>
      <c r="II3" s="43" t="n"/>
      <c r="IJ3" s="43" t="n"/>
      <c r="IK3" s="43" t="n"/>
      <c r="IL3" s="43" t="n"/>
      <c r="IM3" s="43" t="n"/>
      <c r="IN3" s="43" t="n"/>
      <c r="IO3" s="43" t="n"/>
      <c r="IP3" s="43" t="n"/>
      <c r="IQ3" s="43" t="n"/>
      <c r="IR3" s="43" t="n"/>
      <c r="IS3" s="43" t="n"/>
      <c r="IT3" s="43" t="n"/>
      <c r="IU3" s="43" t="n"/>
      <c r="IV3" s="43" t="n"/>
      <c r="IW3" s="43" t="n"/>
      <c r="IX3" s="43" t="n"/>
      <c r="IY3" s="43" t="n"/>
      <c r="IZ3" s="50" t="n"/>
      <c r="JA3" s="50" t="n"/>
      <c r="JB3" s="50" t="n"/>
      <c r="JC3" s="50" t="n"/>
      <c r="JD3" s="50" t="n"/>
      <c r="JE3" s="50" t="n"/>
      <c r="JF3" s="42" t="n"/>
      <c r="JG3" s="42" t="n"/>
      <c r="JH3" s="42" t="n"/>
      <c r="JI3" s="42" t="n"/>
      <c r="JJ3" s="342" t="n"/>
      <c r="JK3" s="340" t="n"/>
      <c r="JL3" s="304" t="inlineStr">
        <is>
          <t>Работы с обслуживанием цеха и оборудования</t>
        </is>
      </c>
      <c r="JM3" s="305" t="n"/>
      <c r="JN3" s="270" t="inlineStr">
        <is>
          <t>Подготовительные работы по ОС</t>
        </is>
      </c>
      <c r="JO3" s="271" t="n"/>
      <c r="JP3" s="271" t="n"/>
      <c r="JQ3" s="271" t="n"/>
      <c r="JR3" s="271" t="n"/>
      <c r="JS3" s="271" t="n"/>
      <c r="JT3" s="271" t="n"/>
      <c r="JU3" s="271" t="n"/>
      <c r="JV3" s="271" t="n"/>
      <c r="JW3" s="271" t="n"/>
      <c r="JX3" s="271" t="n"/>
      <c r="JY3" s="271" t="n"/>
      <c r="JZ3" s="271" t="n"/>
      <c r="KA3" s="272" t="n"/>
      <c r="KB3" s="316" t="inlineStr">
        <is>
          <t>ВСЕГО</t>
        </is>
      </c>
      <c r="KC3" s="306" t="n"/>
    </row>
    <row r="4" ht="104.25" customHeight="1">
      <c r="A4" s="284" t="n"/>
      <c r="B4" s="284" t="n"/>
      <c r="C4" s="286" t="n"/>
      <c r="D4" s="338" t="n"/>
      <c r="E4" s="281" t="n"/>
      <c r="F4" s="286" t="n"/>
      <c r="H4" s="260" t="n"/>
      <c r="I4" s="248" t="n"/>
      <c r="J4" s="260" t="n"/>
      <c r="K4" s="248" t="n"/>
      <c r="L4" s="260" t="n"/>
      <c r="M4" s="248" t="n"/>
      <c r="N4" s="260" t="n"/>
      <c r="O4" s="248" t="n"/>
      <c r="P4" s="260" t="n"/>
      <c r="Q4" s="248" t="n"/>
      <c r="R4" s="260" t="n"/>
      <c r="S4" s="248" t="n"/>
      <c r="T4" s="260" t="n"/>
      <c r="U4" s="248" t="n"/>
      <c r="V4" s="260" t="n"/>
      <c r="W4" s="248" t="n"/>
      <c r="X4" s="260" t="n"/>
      <c r="Y4" s="248" t="n"/>
      <c r="Z4" s="260" t="n"/>
      <c r="AA4" s="248" t="n"/>
      <c r="AB4" s="260" t="n"/>
      <c r="AC4" s="248" t="n"/>
      <c r="AD4" s="260" t="n"/>
      <c r="AE4" s="248" t="n"/>
      <c r="AF4" s="260" t="n"/>
      <c r="AG4" s="248" t="n"/>
      <c r="AH4" s="260" t="n"/>
      <c r="AI4" s="248" t="n"/>
      <c r="AJ4" s="260" t="n"/>
      <c r="AK4" s="248" t="n"/>
      <c r="AL4" s="260" t="n"/>
      <c r="AM4" s="248" t="n"/>
      <c r="AN4" s="260" t="n"/>
      <c r="AO4" s="248" t="n"/>
      <c r="AP4" s="260" t="n"/>
      <c r="AQ4" s="248" t="n"/>
      <c r="AR4" s="260" t="n"/>
      <c r="AS4" s="248" t="n"/>
      <c r="AT4" s="260" t="n"/>
      <c r="AU4" s="248" t="n"/>
      <c r="AV4" s="260" t="n"/>
      <c r="AW4" s="248" t="n"/>
      <c r="AX4" s="260" t="n"/>
      <c r="AY4" s="248" t="n"/>
      <c r="AZ4" s="260" t="n"/>
      <c r="BA4" s="248" t="n"/>
      <c r="BB4" s="260" t="n"/>
      <c r="BC4" s="248" t="n"/>
      <c r="BD4" s="260" t="n"/>
      <c r="BE4" s="248" t="n"/>
      <c r="BF4" s="260" t="n"/>
      <c r="BG4" s="248" t="n"/>
      <c r="BH4" s="260" t="n"/>
      <c r="BI4" s="248" t="n"/>
      <c r="BJ4" s="260" t="n"/>
      <c r="BK4" s="248" t="n"/>
      <c r="BL4" s="260" t="n"/>
      <c r="BM4" s="248" t="n"/>
      <c r="BN4" s="260" t="n"/>
      <c r="BO4" s="248" t="n"/>
      <c r="BP4" s="260" t="n"/>
      <c r="BQ4" s="248" t="n"/>
      <c r="BR4" s="260" t="n"/>
      <c r="BS4" s="248" t="n"/>
      <c r="BT4" s="260" t="n"/>
      <c r="BU4" s="248" t="n"/>
      <c r="BV4" s="260" t="n"/>
      <c r="BW4" s="248" t="n"/>
      <c r="BX4" s="260" t="n"/>
      <c r="BY4" s="248" t="n"/>
      <c r="BZ4" s="260" t="n"/>
      <c r="CA4" s="248" t="n"/>
      <c r="CB4" s="260" t="n"/>
      <c r="CC4" s="248" t="n"/>
      <c r="CD4" s="260" t="n"/>
      <c r="CE4" s="248" t="n"/>
      <c r="CF4" s="260" t="n"/>
      <c r="CG4" s="248" t="n"/>
      <c r="CH4" s="260" t="n"/>
      <c r="CI4" s="248" t="n"/>
      <c r="CJ4" s="260" t="n"/>
      <c r="CK4" s="248" t="n"/>
      <c r="CL4" s="260" t="n"/>
      <c r="CM4" s="248" t="n"/>
      <c r="CN4" s="260" t="n"/>
      <c r="CO4" s="248" t="n"/>
      <c r="CP4" s="260" t="n"/>
      <c r="CQ4" s="248" t="n"/>
      <c r="CR4" s="260" t="n"/>
      <c r="CS4" s="248" t="n"/>
      <c r="CT4" s="260" t="n"/>
      <c r="CU4" s="248" t="n"/>
      <c r="CV4" s="260" t="n"/>
      <c r="CW4" s="248" t="n"/>
      <c r="CX4" s="260" t="n"/>
      <c r="CY4" s="248" t="n"/>
      <c r="CZ4" s="260" t="n"/>
      <c r="DA4" s="248" t="n"/>
      <c r="DB4" s="260" t="n"/>
      <c r="DC4" s="248" t="n"/>
      <c r="DD4" s="260" t="n"/>
      <c r="DE4" s="248" t="n"/>
      <c r="DF4" s="260" t="n"/>
      <c r="DG4" s="248" t="n"/>
      <c r="DH4" s="260" t="n"/>
      <c r="DI4" s="248" t="n"/>
      <c r="DJ4" s="260" t="n"/>
      <c r="DK4" s="248" t="n"/>
      <c r="DL4" s="260" t="n"/>
      <c r="DM4" s="248" t="n"/>
      <c r="DN4" s="260" t="n"/>
      <c r="DO4" s="248" t="n"/>
      <c r="DP4" s="260" t="n"/>
      <c r="DQ4" s="248" t="n"/>
      <c r="DR4" s="260" t="n"/>
      <c r="DS4" s="248" t="n"/>
      <c r="DT4" s="260" t="n"/>
      <c r="DU4" s="248" t="n"/>
      <c r="DV4" s="260" t="n"/>
      <c r="DW4" s="248" t="n"/>
      <c r="DX4" s="260" t="n"/>
      <c r="DY4" s="248" t="n"/>
      <c r="DZ4" s="260" t="n"/>
      <c r="EA4" s="248" t="n"/>
      <c r="EB4" s="260" t="n"/>
      <c r="EC4" s="248" t="n"/>
      <c r="ED4" s="260" t="n"/>
      <c r="EE4" s="248" t="n"/>
      <c r="EF4" s="260" t="n"/>
      <c r="EG4" s="248" t="n"/>
      <c r="EH4" s="260" t="n"/>
      <c r="EI4" s="248" t="n"/>
      <c r="EJ4" s="260" t="n"/>
      <c r="EK4" s="248" t="n"/>
      <c r="EL4" s="260" t="n"/>
      <c r="EM4" s="248" t="n"/>
      <c r="EN4" s="260" t="n"/>
      <c r="EO4" s="248" t="n"/>
      <c r="EP4" s="260" t="n"/>
      <c r="EQ4" s="248" t="n"/>
      <c r="ER4" s="260" t="n"/>
      <c r="ES4" s="248" t="n"/>
      <c r="ET4" s="260" t="n"/>
      <c r="EU4" s="248" t="n"/>
      <c r="EV4" s="260" t="n"/>
      <c r="EW4" s="248" t="n"/>
      <c r="EX4" s="260" t="n"/>
      <c r="EY4" s="248" t="n"/>
      <c r="EZ4" s="260" t="n"/>
      <c r="FA4" s="248" t="n"/>
      <c r="FB4" s="260" t="n"/>
      <c r="FC4" s="248" t="n"/>
      <c r="FD4" s="260" t="n"/>
      <c r="FE4" s="248" t="n"/>
      <c r="FF4" s="260" t="n"/>
      <c r="FG4" s="248" t="n"/>
      <c r="FH4" s="260" t="n"/>
      <c r="FI4" s="248" t="n"/>
      <c r="FJ4" s="260" t="n"/>
      <c r="FK4" s="248" t="n"/>
      <c r="FL4" s="260" t="n"/>
      <c r="FM4" s="248" t="n"/>
      <c r="FN4" s="260" t="n"/>
      <c r="FO4" s="248" t="n"/>
      <c r="FP4" s="260" t="n"/>
      <c r="FQ4" s="248" t="n"/>
      <c r="FR4" s="260" t="n"/>
      <c r="FS4" s="248" t="n"/>
      <c r="FT4" s="260" t="n"/>
      <c r="FU4" s="248" t="n"/>
      <c r="FV4" s="260" t="n"/>
      <c r="FW4" s="248" t="n"/>
      <c r="FX4" s="260" t="n"/>
      <c r="FY4" s="248" t="n"/>
      <c r="FZ4" s="260" t="n"/>
      <c r="GA4" s="248" t="n"/>
      <c r="GB4" s="260" t="n"/>
      <c r="GC4" s="248" t="n"/>
      <c r="GD4" s="260" t="n"/>
      <c r="GE4" s="248" t="n"/>
      <c r="GF4" s="260" t="n"/>
      <c r="GG4" s="248" t="n"/>
      <c r="GH4" s="260" t="n"/>
      <c r="GI4" s="248" t="n"/>
      <c r="GJ4" s="260" t="n"/>
      <c r="GK4" s="248" t="n"/>
      <c r="GL4" s="260" t="n"/>
      <c r="GM4" s="248" t="n"/>
      <c r="GN4" s="260" t="n"/>
      <c r="GO4" s="248" t="n"/>
      <c r="GP4" s="260" t="n"/>
      <c r="GQ4" s="248" t="n"/>
      <c r="GR4" s="260" t="n"/>
      <c r="GS4" s="248" t="n"/>
      <c r="GT4" s="260" t="n"/>
      <c r="GU4" s="248" t="n"/>
      <c r="GV4" s="260" t="n"/>
      <c r="GW4" s="248" t="n"/>
      <c r="GX4" s="260" t="n"/>
      <c r="GY4" s="248" t="n"/>
      <c r="GZ4" s="260" t="n"/>
      <c r="HA4" s="248" t="n"/>
      <c r="HB4" s="260" t="n"/>
      <c r="HC4" s="248" t="n"/>
      <c r="HD4" s="260" t="n"/>
      <c r="HE4" s="248" t="n"/>
      <c r="HF4" s="260" t="n"/>
      <c r="HG4" s="248" t="n"/>
      <c r="HH4" s="260" t="n"/>
      <c r="HI4" s="248" t="n"/>
      <c r="HJ4" s="260" t="n"/>
      <c r="HK4" s="248" t="n"/>
      <c r="HL4" s="260" t="n"/>
      <c r="HM4" s="248" t="n"/>
      <c r="HN4" s="260" t="n"/>
      <c r="HO4" s="248" t="n"/>
      <c r="HP4" s="260" t="n"/>
      <c r="HQ4" s="248" t="n"/>
      <c r="HR4" s="260" t="n"/>
      <c r="HS4" s="248" t="n"/>
      <c r="HT4" s="260" t="n"/>
      <c r="HU4" s="248" t="n"/>
      <c r="HV4" s="260" t="n"/>
      <c r="HW4" s="248" t="n"/>
      <c r="HX4" s="260" t="n"/>
      <c r="HY4" s="248" t="n"/>
      <c r="HZ4" s="260" t="n"/>
      <c r="IA4" s="248" t="n"/>
      <c r="IB4" s="260" t="n"/>
      <c r="IC4" s="248" t="n"/>
      <c r="ID4" s="260" t="n"/>
      <c r="IE4" s="248" t="n"/>
      <c r="IF4" s="260" t="n"/>
      <c r="IG4" s="248" t="n"/>
      <c r="IH4" s="260" t="n"/>
      <c r="II4" s="248" t="n"/>
      <c r="IJ4" s="260" t="n"/>
      <c r="IK4" s="248" t="n"/>
      <c r="IL4" s="260" t="n"/>
      <c r="IM4" s="248" t="n"/>
      <c r="IN4" s="260" t="n"/>
      <c r="IO4" s="248" t="n"/>
      <c r="IP4" s="260" t="n"/>
      <c r="IQ4" s="248" t="n"/>
      <c r="IR4" s="260" t="n"/>
      <c r="IS4" s="248" t="n"/>
      <c r="IT4" s="260" t="n"/>
      <c r="IU4" s="248" t="n"/>
      <c r="IV4" s="260" t="n"/>
      <c r="IW4" s="248" t="n"/>
      <c r="IX4" s="260" t="n"/>
      <c r="IY4" s="248" t="n"/>
      <c r="IZ4" s="260" t="n"/>
      <c r="JA4" s="248" t="n"/>
      <c r="JB4" s="260" t="n"/>
      <c r="JC4" s="248" t="n"/>
      <c r="JD4" s="260" t="n"/>
      <c r="JE4" s="248" t="n"/>
      <c r="JF4" s="260" t="n"/>
      <c r="JG4" s="248" t="n"/>
      <c r="JH4" s="260" t="n"/>
      <c r="JI4" s="248" t="n"/>
      <c r="JJ4" s="260" t="n"/>
      <c r="JK4" s="248" t="n"/>
      <c r="JL4" s="286" t="n"/>
      <c r="JM4" s="306" t="n"/>
      <c r="JN4" s="327" t="n"/>
      <c r="JO4" s="257" t="n"/>
      <c r="JP4" s="256" t="n"/>
      <c r="JQ4" s="257" t="n"/>
      <c r="JR4" s="256" t="n"/>
      <c r="JS4" s="257" t="n"/>
      <c r="JT4" s="256" t="n"/>
      <c r="JU4" s="257" t="n"/>
      <c r="JV4" s="256" t="n"/>
      <c r="JW4" s="257" t="n"/>
      <c r="JX4" s="256" t="n"/>
      <c r="JY4" s="257" t="n"/>
      <c r="JZ4" s="317" t="inlineStr">
        <is>
          <t>Итого сч. 08</t>
        </is>
      </c>
      <c r="KA4" s="268" t="n"/>
      <c r="KC4" s="306" t="n"/>
      <c r="KF4" s="6" t="n"/>
    </row>
    <row r="5" ht="30.75" customHeight="1">
      <c r="A5" s="284" t="n"/>
      <c r="B5" s="284" t="n"/>
      <c r="C5" s="286" t="n"/>
      <c r="D5" s="280" t="n">
        <v>168</v>
      </c>
      <c r="E5" s="281" t="n"/>
      <c r="F5" s="286" t="n"/>
      <c r="H5" s="247" t="n"/>
      <c r="I5" s="248" t="n"/>
      <c r="J5" s="247" t="n"/>
      <c r="K5" s="248" t="n"/>
      <c r="L5" s="247" t="n"/>
      <c r="M5" s="248" t="n"/>
      <c r="N5" s="247" t="n"/>
      <c r="O5" s="248" t="n"/>
      <c r="P5" s="247" t="n"/>
      <c r="Q5" s="248" t="n"/>
      <c r="R5" s="247" t="n"/>
      <c r="S5" s="248" t="n"/>
      <c r="T5" s="247" t="n"/>
      <c r="U5" s="248" t="n"/>
      <c r="V5" s="247" t="n"/>
      <c r="W5" s="248" t="n"/>
      <c r="X5" s="247" t="n"/>
      <c r="Y5" s="248" t="n"/>
      <c r="Z5" s="247" t="n"/>
      <c r="AA5" s="248" t="n"/>
      <c r="AB5" s="247" t="n"/>
      <c r="AC5" s="248" t="n"/>
      <c r="AD5" s="247" t="n"/>
      <c r="AE5" s="248" t="n"/>
      <c r="AF5" s="247" t="n"/>
      <c r="AG5" s="248" t="n"/>
      <c r="AH5" s="247" t="n"/>
      <c r="AI5" s="248" t="n"/>
      <c r="AJ5" s="247" t="n"/>
      <c r="AK5" s="248" t="n"/>
      <c r="AL5" s="247" t="n"/>
      <c r="AM5" s="248" t="n"/>
      <c r="AN5" s="247" t="n"/>
      <c r="AO5" s="248" t="n"/>
      <c r="AP5" s="247" t="n"/>
      <c r="AQ5" s="248" t="n"/>
      <c r="AR5" s="247" t="n"/>
      <c r="AS5" s="248" t="n"/>
      <c r="AT5" s="247" t="n"/>
      <c r="AU5" s="248" t="n"/>
      <c r="AV5" s="247" t="n"/>
      <c r="AW5" s="248" t="n"/>
      <c r="AX5" s="247" t="n"/>
      <c r="AY5" s="248" t="n"/>
      <c r="AZ5" s="247" t="n"/>
      <c r="BA5" s="248" t="n"/>
      <c r="BB5" s="247" t="n"/>
      <c r="BC5" s="248" t="n"/>
      <c r="BD5" s="247" t="n"/>
      <c r="BE5" s="248" t="n"/>
      <c r="BF5" s="247" t="n"/>
      <c r="BG5" s="248" t="n"/>
      <c r="BH5" s="247" t="n"/>
      <c r="BI5" s="248" t="n"/>
      <c r="BJ5" s="247" t="n"/>
      <c r="BK5" s="248" t="n"/>
      <c r="BL5" s="247" t="n"/>
      <c r="BM5" s="248" t="n"/>
      <c r="BN5" s="247" t="n"/>
      <c r="BO5" s="248" t="n"/>
      <c r="BP5" s="247" t="n"/>
      <c r="BQ5" s="248" t="n"/>
      <c r="BR5" s="247" t="n"/>
      <c r="BS5" s="248" t="n"/>
      <c r="BT5" s="247" t="n"/>
      <c r="BU5" s="248" t="n"/>
      <c r="BV5" s="247" t="n"/>
      <c r="BW5" s="248" t="n"/>
      <c r="BX5" s="247" t="n"/>
      <c r="BY5" s="248" t="n"/>
      <c r="BZ5" s="247" t="n"/>
      <c r="CA5" s="248" t="n"/>
      <c r="CB5" s="247" t="n"/>
      <c r="CC5" s="248" t="n"/>
      <c r="CD5" s="247" t="n"/>
      <c r="CE5" s="248" t="n"/>
      <c r="CF5" s="247" t="n"/>
      <c r="CG5" s="248" t="n"/>
      <c r="CH5" s="247" t="n"/>
      <c r="CI5" s="248" t="n"/>
      <c r="CJ5" s="247" t="n"/>
      <c r="CK5" s="248" t="n"/>
      <c r="CL5" s="247" t="n"/>
      <c r="CM5" s="248" t="n"/>
      <c r="CN5" s="247" t="n"/>
      <c r="CO5" s="248" t="n"/>
      <c r="CP5" s="247" t="n"/>
      <c r="CQ5" s="248" t="n"/>
      <c r="CR5" s="247" t="n"/>
      <c r="CS5" s="248" t="n"/>
      <c r="CT5" s="247" t="n"/>
      <c r="CU5" s="248" t="n"/>
      <c r="CV5" s="247" t="n"/>
      <c r="CW5" s="248" t="n"/>
      <c r="CX5" s="247" t="n"/>
      <c r="CY5" s="248" t="n"/>
      <c r="CZ5" s="247" t="n"/>
      <c r="DA5" s="248" t="n"/>
      <c r="DB5" s="247" t="n"/>
      <c r="DC5" s="248" t="n"/>
      <c r="DD5" s="247" t="n"/>
      <c r="DE5" s="248" t="n"/>
      <c r="DF5" s="247" t="n"/>
      <c r="DG5" s="248" t="n"/>
      <c r="DH5" s="247" t="n"/>
      <c r="DI5" s="248" t="n"/>
      <c r="DJ5" s="247" t="n"/>
      <c r="DK5" s="248" t="n"/>
      <c r="DL5" s="247" t="n"/>
      <c r="DM5" s="248" t="n"/>
      <c r="DN5" s="247" t="n"/>
      <c r="DO5" s="248" t="n"/>
      <c r="DP5" s="247" t="n"/>
      <c r="DQ5" s="248" t="n"/>
      <c r="DR5" s="247" t="n"/>
      <c r="DS5" s="248" t="n"/>
      <c r="DT5" s="247" t="n"/>
      <c r="DU5" s="248" t="n"/>
      <c r="DV5" s="247" t="n"/>
      <c r="DW5" s="248" t="n"/>
      <c r="DX5" s="247" t="n"/>
      <c r="DY5" s="248" t="n"/>
      <c r="DZ5" s="247" t="n"/>
      <c r="EA5" s="248" t="n"/>
      <c r="EB5" s="247" t="n"/>
      <c r="EC5" s="248" t="n"/>
      <c r="ED5" s="247" t="n"/>
      <c r="EE5" s="248" t="n"/>
      <c r="EF5" s="247" t="n"/>
      <c r="EG5" s="248" t="n"/>
      <c r="EH5" s="247" t="n"/>
      <c r="EI5" s="248" t="n"/>
      <c r="EJ5" s="247" t="n"/>
      <c r="EK5" s="248" t="n"/>
      <c r="EL5" s="247" t="n"/>
      <c r="EM5" s="248" t="n"/>
      <c r="EN5" s="247" t="n"/>
      <c r="EO5" s="248" t="n"/>
      <c r="EP5" s="247" t="n"/>
      <c r="EQ5" s="248" t="n"/>
      <c r="ER5" s="247" t="n"/>
      <c r="ES5" s="248" t="n"/>
      <c r="ET5" s="247" t="n"/>
      <c r="EU5" s="248" t="n"/>
      <c r="EV5" s="247" t="n"/>
      <c r="EW5" s="248" t="n"/>
      <c r="EX5" s="247" t="n"/>
      <c r="EY5" s="248" t="n"/>
      <c r="EZ5" s="247" t="n"/>
      <c r="FA5" s="248" t="n"/>
      <c r="FB5" s="247" t="n"/>
      <c r="FC5" s="248" t="n"/>
      <c r="FD5" s="247" t="n"/>
      <c r="FE5" s="248" t="n"/>
      <c r="FF5" s="247" t="n"/>
      <c r="FG5" s="248" t="n"/>
      <c r="FH5" s="247" t="n"/>
      <c r="FI5" s="248" t="n"/>
      <c r="FJ5" s="247" t="n"/>
      <c r="FK5" s="248" t="n"/>
      <c r="FL5" s="247" t="n"/>
      <c r="FM5" s="248" t="n"/>
      <c r="FN5" s="247" t="n"/>
      <c r="FO5" s="248" t="n"/>
      <c r="FP5" s="247" t="n"/>
      <c r="FQ5" s="248" t="n"/>
      <c r="FR5" s="247" t="n"/>
      <c r="FS5" s="248" t="n"/>
      <c r="FT5" s="247" t="n"/>
      <c r="FU5" s="248" t="n"/>
      <c r="FV5" s="247" t="n"/>
      <c r="FW5" s="248" t="n"/>
      <c r="FX5" s="247" t="n"/>
      <c r="FY5" s="248" t="n"/>
      <c r="FZ5" s="247" t="n"/>
      <c r="GA5" s="248" t="n"/>
      <c r="GB5" s="247" t="n"/>
      <c r="GC5" s="248" t="n"/>
      <c r="GD5" s="247" t="n"/>
      <c r="GE5" s="248" t="n"/>
      <c r="GF5" s="247" t="n"/>
      <c r="GG5" s="248" t="n"/>
      <c r="GH5" s="247" t="n"/>
      <c r="GI5" s="248" t="n"/>
      <c r="GJ5" s="247" t="n"/>
      <c r="GK5" s="248" t="n"/>
      <c r="GL5" s="247" t="n"/>
      <c r="GM5" s="248" t="n"/>
      <c r="GN5" s="247" t="n"/>
      <c r="GO5" s="248" t="n"/>
      <c r="GP5" s="247" t="n"/>
      <c r="GQ5" s="248" t="n"/>
      <c r="GR5" s="247" t="n"/>
      <c r="GS5" s="248" t="n"/>
      <c r="GT5" s="247" t="n"/>
      <c r="GU5" s="248" t="n"/>
      <c r="GV5" s="247" t="n"/>
      <c r="GW5" s="248" t="n"/>
      <c r="GX5" s="247" t="n"/>
      <c r="GY5" s="248" t="n"/>
      <c r="GZ5" s="247" t="n"/>
      <c r="HA5" s="248" t="n"/>
      <c r="HB5" s="247" t="n"/>
      <c r="HC5" s="248" t="n"/>
      <c r="HD5" s="247" t="n"/>
      <c r="HE5" s="248" t="n"/>
      <c r="HF5" s="247" t="n"/>
      <c r="HG5" s="248" t="n"/>
      <c r="HH5" s="247" t="n"/>
      <c r="HI5" s="248" t="n"/>
      <c r="HJ5" s="247" t="n"/>
      <c r="HK5" s="248" t="n"/>
      <c r="HL5" s="247" t="n"/>
      <c r="HM5" s="248" t="n"/>
      <c r="HN5" s="247" t="n"/>
      <c r="HO5" s="248" t="n"/>
      <c r="HP5" s="247" t="n"/>
      <c r="HQ5" s="248" t="n"/>
      <c r="HR5" s="247" t="n"/>
      <c r="HS5" s="248" t="n"/>
      <c r="HT5" s="247" t="n"/>
      <c r="HU5" s="248" t="n"/>
      <c r="HV5" s="247" t="n"/>
      <c r="HW5" s="248" t="n"/>
      <c r="HX5" s="247" t="n"/>
      <c r="HY5" s="248" t="n"/>
      <c r="HZ5" s="247" t="n"/>
      <c r="IA5" s="248" t="n"/>
      <c r="IB5" s="247" t="n"/>
      <c r="IC5" s="248" t="n"/>
      <c r="ID5" s="247" t="n"/>
      <c r="IE5" s="248" t="n"/>
      <c r="IF5" s="247" t="n"/>
      <c r="IG5" s="248" t="n"/>
      <c r="IH5" s="247" t="n"/>
      <c r="II5" s="248" t="n"/>
      <c r="IJ5" s="247" t="n"/>
      <c r="IK5" s="248" t="n"/>
      <c r="IL5" s="247" t="n"/>
      <c r="IM5" s="248" t="n"/>
      <c r="IN5" s="247" t="n"/>
      <c r="IO5" s="248" t="n"/>
      <c r="IP5" s="247" t="n"/>
      <c r="IQ5" s="248" t="n"/>
      <c r="IR5" s="247" t="n"/>
      <c r="IS5" s="248" t="n"/>
      <c r="IT5" s="247" t="n"/>
      <c r="IU5" s="248" t="n"/>
      <c r="IV5" s="247" t="n"/>
      <c r="IW5" s="248" t="n"/>
      <c r="IX5" s="247" t="n"/>
      <c r="IY5" s="248" t="n"/>
      <c r="IZ5" s="247" t="n"/>
      <c r="JA5" s="248" t="n"/>
      <c r="JB5" s="247" t="n"/>
      <c r="JC5" s="248" t="n"/>
      <c r="JD5" s="247" t="n"/>
      <c r="JE5" s="248" t="n"/>
      <c r="JF5" s="247" t="n"/>
      <c r="JG5" s="248" t="n"/>
      <c r="JH5" s="247" t="n"/>
      <c r="JI5" s="248" t="n"/>
      <c r="JJ5" s="247" t="n"/>
      <c r="JK5" s="248" t="n"/>
      <c r="JL5" s="173" t="n"/>
      <c r="JM5" s="109" t="n"/>
      <c r="JN5" s="328" t="n"/>
      <c r="JO5" s="259" t="n"/>
      <c r="JP5" s="258" t="n"/>
      <c r="JQ5" s="259" t="n"/>
      <c r="JR5" s="258" t="n"/>
      <c r="JS5" s="259" t="n"/>
      <c r="JT5" s="258" t="n"/>
      <c r="JU5" s="259" t="n"/>
      <c r="JV5" s="258" t="n"/>
      <c r="JW5" s="259" t="n"/>
      <c r="JX5" s="258" t="n"/>
      <c r="JY5" s="259" t="n"/>
      <c r="JZ5" s="318" t="n"/>
      <c r="KA5" s="306" t="n"/>
      <c r="KC5" s="306" t="n"/>
      <c r="KF5" s="7" t="n"/>
    </row>
    <row r="6" ht="17.25" customHeight="1" thickBot="1">
      <c r="A6" s="284" t="n"/>
      <c r="B6" s="284" t="n"/>
      <c r="C6" s="286" t="n"/>
      <c r="D6" s="324" t="inlineStr">
        <is>
          <t>План</t>
        </is>
      </c>
      <c r="E6" s="341" t="inlineStr">
        <is>
          <t>Факт</t>
        </is>
      </c>
      <c r="F6" s="326" t="inlineStr">
        <is>
          <t>Месяц</t>
        </is>
      </c>
      <c r="G6" s="321" t="inlineStr">
        <is>
          <t>Часовая ставка</t>
        </is>
      </c>
      <c r="H6" s="329" t="inlineStr">
        <is>
          <t>23 счет</t>
        </is>
      </c>
      <c r="I6" s="328" t="n"/>
      <c r="J6" s="328" t="n"/>
      <c r="K6" s="328" t="n"/>
      <c r="L6" s="328" t="n"/>
      <c r="M6" s="328" t="n"/>
      <c r="N6" s="328" t="n"/>
      <c r="O6" s="328" t="n"/>
      <c r="P6" s="328" t="n"/>
      <c r="Q6" s="328" t="n"/>
      <c r="R6" s="328" t="n"/>
      <c r="S6" s="328" t="n"/>
      <c r="T6" s="328" t="n"/>
      <c r="U6" s="328" t="n"/>
      <c r="V6" s="328" t="n"/>
      <c r="W6" s="328" t="n"/>
      <c r="X6" s="328" t="n"/>
      <c r="Y6" s="328" t="n"/>
      <c r="Z6" s="328" t="n"/>
      <c r="AA6" s="259" t="n"/>
      <c r="AB6" s="134" t="n"/>
      <c r="AC6" s="331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34" t="n"/>
      <c r="CC6" s="134" t="n"/>
      <c r="CD6" s="134" t="n"/>
      <c r="CE6" s="134" t="n"/>
      <c r="CF6" s="134" t="n"/>
      <c r="CG6" s="134" t="n"/>
      <c r="CH6" s="134" t="n"/>
      <c r="CI6" s="134" t="n"/>
      <c r="CJ6" s="134" t="n"/>
      <c r="CK6" s="134" t="n"/>
      <c r="CL6" s="134" t="n"/>
      <c r="CM6" s="134" t="n"/>
      <c r="CN6" s="134" t="n"/>
      <c r="CO6" s="134" t="n"/>
      <c r="CP6" s="134" t="n"/>
      <c r="CQ6" s="134" t="n"/>
      <c r="CR6" s="134" t="n"/>
      <c r="CS6" s="134" t="n"/>
      <c r="CT6" s="134" t="n"/>
      <c r="CU6" s="134" t="n"/>
      <c r="CV6" s="134" t="n"/>
      <c r="CW6" s="134" t="n"/>
      <c r="CX6" s="134" t="n"/>
      <c r="CY6" s="134" t="n"/>
      <c r="CZ6" s="134" t="n"/>
      <c r="DA6" s="134" t="n"/>
      <c r="DB6" s="134" t="n"/>
      <c r="DC6" s="134" t="n"/>
      <c r="DD6" s="134" t="n"/>
      <c r="DE6" s="134" t="n"/>
      <c r="DF6" s="134" t="n"/>
      <c r="DG6" s="134" t="n"/>
      <c r="DH6" s="134" t="n"/>
      <c r="DI6" s="134" t="n"/>
      <c r="DJ6" s="134" t="n"/>
      <c r="DK6" s="134" t="n"/>
      <c r="DL6" s="134" t="n"/>
      <c r="DM6" s="134" t="n"/>
      <c r="DN6" s="134" t="n"/>
      <c r="DO6" s="134" t="n"/>
      <c r="DP6" s="134" t="n"/>
      <c r="DQ6" s="134" t="n"/>
      <c r="DR6" s="134" t="n"/>
      <c r="DS6" s="134" t="n"/>
      <c r="DT6" s="134" t="n"/>
      <c r="DU6" s="134" t="n"/>
      <c r="DV6" s="134" t="n"/>
      <c r="DW6" s="134" t="n"/>
      <c r="DX6" s="134" t="n"/>
      <c r="DY6" s="134" t="n"/>
      <c r="DZ6" s="134" t="n"/>
      <c r="EA6" s="134" t="n"/>
      <c r="EB6" s="134" t="n"/>
      <c r="EC6" s="134" t="n"/>
      <c r="ED6" s="134" t="n"/>
      <c r="EE6" s="134" t="n"/>
      <c r="EF6" s="134" t="n"/>
      <c r="EG6" s="134" t="n"/>
      <c r="EH6" s="134" t="n"/>
      <c r="EI6" s="134" t="n"/>
      <c r="EJ6" s="134" t="n"/>
      <c r="EK6" s="134" t="n"/>
      <c r="EL6" s="134" t="n"/>
      <c r="EM6" s="134" t="n"/>
      <c r="EN6" s="134" t="n"/>
      <c r="EO6" s="134" t="n"/>
      <c r="EP6" s="134" t="n"/>
      <c r="EQ6" s="134" t="n"/>
      <c r="ER6" s="134" t="n"/>
      <c r="ES6" s="134" t="n"/>
      <c r="ET6" s="134" t="n"/>
      <c r="EU6" s="134" t="n"/>
      <c r="EV6" s="134" t="n"/>
      <c r="EW6" s="174" t="n"/>
      <c r="EX6" s="174" t="n"/>
      <c r="EY6" s="174" t="n"/>
      <c r="EZ6" s="174" t="n"/>
      <c r="FA6" s="174" t="n"/>
      <c r="FB6" s="174" t="n"/>
      <c r="FC6" s="174" t="n"/>
      <c r="FD6" s="134" t="n"/>
      <c r="FE6" s="134" t="n"/>
      <c r="FF6" s="134" t="n"/>
      <c r="FG6" s="134" t="n"/>
      <c r="FH6" s="134" t="n"/>
      <c r="FI6" s="134" t="n"/>
      <c r="FJ6" s="134" t="n"/>
      <c r="FK6" s="134" t="n"/>
      <c r="FL6" s="134" t="n"/>
      <c r="FM6" s="134" t="n"/>
      <c r="FN6" s="134" t="n"/>
      <c r="FO6" s="134" t="n"/>
      <c r="FP6" s="134" t="n"/>
      <c r="FQ6" s="134" t="n"/>
      <c r="FR6" s="134" t="n"/>
      <c r="FS6" s="134" t="n"/>
      <c r="FT6" s="134" t="n"/>
      <c r="FU6" s="134" t="n"/>
      <c r="FV6" s="134" t="n"/>
      <c r="FW6" s="134" t="n"/>
      <c r="FX6" s="134" t="n"/>
      <c r="FY6" s="134" t="n"/>
      <c r="FZ6" s="134" t="n"/>
      <c r="GA6" s="134" t="n"/>
      <c r="GB6" s="134" t="n"/>
      <c r="GC6" s="134" t="n"/>
      <c r="GD6" s="134" t="n"/>
      <c r="GE6" s="134" t="n"/>
      <c r="GF6" s="134" t="n"/>
      <c r="GG6" s="134" t="n"/>
      <c r="GH6" s="134" t="n"/>
      <c r="GI6" s="134" t="n"/>
      <c r="GJ6" s="134" t="n"/>
      <c r="GK6" s="134" t="n"/>
      <c r="GL6" s="134" t="n"/>
      <c r="GM6" s="134" t="n"/>
      <c r="GN6" s="134" t="n"/>
      <c r="GO6" s="134" t="n"/>
      <c r="GP6" s="134" t="n"/>
      <c r="GQ6" s="134" t="n"/>
      <c r="GR6" s="134" t="n"/>
      <c r="GS6" s="134" t="n"/>
      <c r="GT6" s="134" t="n"/>
      <c r="GU6" s="134" t="n"/>
      <c r="GV6" s="134" t="n"/>
      <c r="GW6" s="134" t="n"/>
      <c r="GX6" s="134" t="n"/>
      <c r="GY6" s="134" t="n"/>
      <c r="GZ6" s="134" t="n"/>
      <c r="HA6" s="134" t="n"/>
      <c r="HB6" s="134" t="n"/>
      <c r="HC6" s="134" t="n"/>
      <c r="HD6" s="134" t="n"/>
      <c r="HE6" s="134" t="n"/>
      <c r="HF6" s="134" t="n"/>
      <c r="HG6" s="134" t="n"/>
      <c r="HH6" s="134" t="n"/>
      <c r="HI6" s="134" t="n"/>
      <c r="HJ6" s="134" t="n"/>
      <c r="HK6" s="134" t="n"/>
      <c r="HL6" s="134" t="n"/>
      <c r="HM6" s="134" t="n"/>
      <c r="HN6" s="134" t="n"/>
      <c r="HO6" s="134" t="n"/>
      <c r="HP6" s="134" t="n"/>
      <c r="HQ6" s="134" t="n"/>
      <c r="HR6" s="134" t="n"/>
      <c r="HS6" s="134" t="n"/>
      <c r="HT6" s="134" t="n"/>
      <c r="HU6" s="134" t="n"/>
      <c r="HV6" s="134" t="n"/>
      <c r="HW6" s="134" t="n"/>
      <c r="HX6" s="134" t="n"/>
      <c r="HY6" s="134" t="n"/>
      <c r="HZ6" s="134" t="n"/>
      <c r="IA6" s="134" t="n"/>
      <c r="IB6" s="134" t="n"/>
      <c r="IC6" s="134" t="n"/>
      <c r="ID6" s="134" t="n"/>
      <c r="IE6" s="134" t="n"/>
      <c r="IF6" s="134" t="n"/>
      <c r="IG6" s="134" t="n"/>
      <c r="IH6" s="134" t="n"/>
      <c r="II6" s="134" t="n"/>
      <c r="IJ6" s="134" t="n"/>
      <c r="IK6" s="134" t="n"/>
      <c r="IL6" s="134" t="n"/>
      <c r="IM6" s="134" t="n"/>
      <c r="IN6" s="134" t="n"/>
      <c r="IO6" s="134" t="n"/>
      <c r="IP6" s="134" t="n"/>
      <c r="IQ6" s="134" t="n"/>
      <c r="IR6" s="134" t="n"/>
      <c r="IS6" s="134" t="n"/>
      <c r="IT6" s="134" t="n"/>
      <c r="IU6" s="134" t="n"/>
      <c r="IV6" s="134" t="n"/>
      <c r="IW6" s="134" t="n"/>
      <c r="IX6" s="134" t="n"/>
      <c r="IY6" s="134" t="n"/>
      <c r="IZ6" s="134" t="n"/>
      <c r="JA6" s="134" t="n"/>
      <c r="JB6" s="134" t="n"/>
      <c r="JC6" s="134" t="n"/>
      <c r="JD6" s="134" t="n"/>
      <c r="JE6" s="134" t="n"/>
      <c r="JF6" s="309" t="inlineStr">
        <is>
          <t>28 сч</t>
        </is>
      </c>
      <c r="JG6" s="263" t="n"/>
      <c r="JH6" s="309" t="inlineStr">
        <is>
          <t>28 сч</t>
        </is>
      </c>
      <c r="JI6" s="263" t="n"/>
      <c r="JJ6" s="312" t="n"/>
      <c r="JK6" s="306" t="n"/>
      <c r="JL6" s="267" t="inlineStr">
        <is>
          <t>25 счет</t>
        </is>
      </c>
      <c r="JM6" s="268" t="n"/>
      <c r="JN6" s="333" t="inlineStr">
        <is>
          <t>08 cч</t>
        </is>
      </c>
      <c r="JO6" s="334" t="n"/>
      <c r="JP6" s="334" t="n"/>
      <c r="JQ6" s="334" t="n"/>
      <c r="JR6" s="334" t="n"/>
      <c r="JS6" s="334" t="n"/>
      <c r="JT6" s="334" t="n"/>
      <c r="JU6" s="334" t="n"/>
      <c r="JV6" s="334" t="n"/>
      <c r="JW6" s="334" t="n"/>
      <c r="JX6" s="334" t="n"/>
      <c r="JY6" s="257" t="n"/>
      <c r="JZ6" s="319" t="n"/>
      <c r="KA6" s="263" t="n"/>
      <c r="KC6" s="306" t="n"/>
      <c r="KE6" s="2" t="n"/>
    </row>
    <row r="7" ht="18.75" customHeight="1" thickBot="1">
      <c r="A7" s="284" t="n"/>
      <c r="B7" s="284" t="n"/>
      <c r="C7" s="286" t="n"/>
      <c r="D7" s="325" t="n"/>
      <c r="E7" s="322" t="n"/>
      <c r="F7" s="325" t="n"/>
      <c r="G7" s="322" t="n"/>
      <c r="H7" s="149" t="inlineStr">
        <is>
          <t>часы</t>
        </is>
      </c>
      <c r="I7" s="150" t="inlineStr">
        <is>
          <t>доля</t>
        </is>
      </c>
      <c r="J7" s="149" t="inlineStr">
        <is>
          <t>часы</t>
        </is>
      </c>
      <c r="K7" s="150" t="inlineStr">
        <is>
          <t>доля</t>
        </is>
      </c>
      <c r="L7" s="149" t="inlineStr">
        <is>
          <t>часы</t>
        </is>
      </c>
      <c r="M7" s="151" t="inlineStr">
        <is>
          <t>доля</t>
        </is>
      </c>
      <c r="N7" s="152" t="inlineStr">
        <is>
          <t>часы</t>
        </is>
      </c>
      <c r="O7" s="151" t="inlineStr">
        <is>
          <t>доля</t>
        </is>
      </c>
      <c r="P7" s="153" t="inlineStr">
        <is>
          <t>часы</t>
        </is>
      </c>
      <c r="Q7" s="154" t="inlineStr">
        <is>
          <t>доля</t>
        </is>
      </c>
      <c r="R7" s="155" t="inlineStr">
        <is>
          <t>часы</t>
        </is>
      </c>
      <c r="S7" s="156" t="inlineStr">
        <is>
          <t>доля</t>
        </is>
      </c>
      <c r="T7" s="156" t="inlineStr">
        <is>
          <t>часы</t>
        </is>
      </c>
      <c r="U7" s="156" t="inlineStr">
        <is>
          <t>доля</t>
        </is>
      </c>
      <c r="V7" s="156" t="inlineStr">
        <is>
          <t>часы</t>
        </is>
      </c>
      <c r="W7" s="156" t="inlineStr">
        <is>
          <t>доля</t>
        </is>
      </c>
      <c r="X7" s="156" t="inlineStr">
        <is>
          <t>часы</t>
        </is>
      </c>
      <c r="Y7" s="156" t="inlineStr">
        <is>
          <t>доля</t>
        </is>
      </c>
      <c r="Z7" s="156" t="inlineStr">
        <is>
          <t>часы</t>
        </is>
      </c>
      <c r="AA7" s="157" t="inlineStr">
        <is>
          <t>доля</t>
        </is>
      </c>
      <c r="AB7" s="158" t="inlineStr">
        <is>
          <t>часы</t>
        </is>
      </c>
      <c r="AC7" s="154" t="inlineStr">
        <is>
          <t>доля</t>
        </is>
      </c>
      <c r="AD7" s="159" t="inlineStr">
        <is>
          <t>часы</t>
        </is>
      </c>
      <c r="AE7" s="160" t="inlineStr">
        <is>
          <t>доля</t>
        </is>
      </c>
      <c r="AF7" s="161" t="inlineStr">
        <is>
          <t>часы</t>
        </is>
      </c>
      <c r="AG7" s="162" t="inlineStr">
        <is>
          <t>доля</t>
        </is>
      </c>
      <c r="AH7" s="161" t="inlineStr">
        <is>
          <t>часы</t>
        </is>
      </c>
      <c r="AI7" s="162" t="inlineStr">
        <is>
          <t>доля</t>
        </is>
      </c>
      <c r="AJ7" s="161" t="inlineStr">
        <is>
          <t>часы</t>
        </is>
      </c>
      <c r="AK7" s="162" t="inlineStr">
        <is>
          <t>доля</t>
        </is>
      </c>
      <c r="AL7" s="161" t="inlineStr">
        <is>
          <t>часы</t>
        </is>
      </c>
      <c r="AM7" s="162" t="inlineStr">
        <is>
          <t>доля</t>
        </is>
      </c>
      <c r="AN7" s="161" t="inlineStr">
        <is>
          <t>часы</t>
        </is>
      </c>
      <c r="AO7" s="162" t="inlineStr">
        <is>
          <t>доля</t>
        </is>
      </c>
      <c r="AP7" s="161" t="inlineStr">
        <is>
          <t>часы</t>
        </is>
      </c>
      <c r="AQ7" s="162" t="inlineStr">
        <is>
          <t>доля</t>
        </is>
      </c>
      <c r="AR7" s="161" t="inlineStr">
        <is>
          <t>часы</t>
        </is>
      </c>
      <c r="AS7" s="162" t="inlineStr">
        <is>
          <t>доля</t>
        </is>
      </c>
      <c r="AT7" s="161" t="inlineStr">
        <is>
          <t>часы</t>
        </is>
      </c>
      <c r="AU7" s="162" t="inlineStr">
        <is>
          <t>доля</t>
        </is>
      </c>
      <c r="AV7" s="161" t="inlineStr">
        <is>
          <t>часы</t>
        </is>
      </c>
      <c r="AW7" s="162" t="inlineStr">
        <is>
          <t>доля</t>
        </is>
      </c>
      <c r="AX7" s="161" t="inlineStr">
        <is>
          <t>часы</t>
        </is>
      </c>
      <c r="AY7" s="162" t="inlineStr">
        <is>
          <t>доля</t>
        </is>
      </c>
      <c r="AZ7" s="161" t="inlineStr">
        <is>
          <t>часы</t>
        </is>
      </c>
      <c r="BA7" s="162" t="inlineStr">
        <is>
          <t>доля</t>
        </is>
      </c>
      <c r="BB7" s="161" t="inlineStr">
        <is>
          <t>часы</t>
        </is>
      </c>
      <c r="BC7" s="162" t="inlineStr">
        <is>
          <t>доля</t>
        </is>
      </c>
      <c r="BD7" s="161" t="inlineStr">
        <is>
          <t>часы</t>
        </is>
      </c>
      <c r="BE7" s="162" t="inlineStr">
        <is>
          <t>доля</t>
        </is>
      </c>
      <c r="BF7" s="161" t="inlineStr">
        <is>
          <t>часы</t>
        </is>
      </c>
      <c r="BG7" s="162" t="inlineStr">
        <is>
          <t>доля</t>
        </is>
      </c>
      <c r="BH7" s="161" t="inlineStr">
        <is>
          <t>часы</t>
        </is>
      </c>
      <c r="BI7" s="162" t="inlineStr">
        <is>
          <t>доля</t>
        </is>
      </c>
      <c r="BJ7" s="161" t="inlineStr">
        <is>
          <t>часы</t>
        </is>
      </c>
      <c r="BK7" s="162" t="inlineStr">
        <is>
          <t>доля</t>
        </is>
      </c>
      <c r="BL7" s="161" t="inlineStr">
        <is>
          <t>часы</t>
        </is>
      </c>
      <c r="BM7" s="163" t="inlineStr">
        <is>
          <t>доля</t>
        </is>
      </c>
      <c r="BN7" s="161" t="inlineStr">
        <is>
          <t>часы</t>
        </is>
      </c>
      <c r="BO7" s="163" t="inlineStr">
        <is>
          <t>доля</t>
        </is>
      </c>
      <c r="BP7" s="161" t="inlineStr">
        <is>
          <t>часы</t>
        </is>
      </c>
      <c r="BQ7" s="163" t="inlineStr">
        <is>
          <t>доля</t>
        </is>
      </c>
      <c r="BR7" s="161" t="inlineStr">
        <is>
          <t>часы</t>
        </is>
      </c>
      <c r="BS7" s="163" t="inlineStr">
        <is>
          <t>доля</t>
        </is>
      </c>
      <c r="BT7" s="161" t="inlineStr">
        <is>
          <t>часы</t>
        </is>
      </c>
      <c r="BU7" s="163" t="inlineStr">
        <is>
          <t>доля</t>
        </is>
      </c>
      <c r="BV7" s="161" t="inlineStr">
        <is>
          <t>часы</t>
        </is>
      </c>
      <c r="BW7" s="163" t="inlineStr">
        <is>
          <t>доля</t>
        </is>
      </c>
      <c r="BX7" s="161" t="inlineStr">
        <is>
          <t>часы</t>
        </is>
      </c>
      <c r="BY7" s="163" t="inlineStr">
        <is>
          <t>доля</t>
        </is>
      </c>
      <c r="BZ7" s="161" t="inlineStr">
        <is>
          <t>часы</t>
        </is>
      </c>
      <c r="CA7" s="163" t="inlineStr">
        <is>
          <t>доля</t>
        </is>
      </c>
      <c r="CB7" s="161" t="inlineStr">
        <is>
          <t>часы</t>
        </is>
      </c>
      <c r="CC7" s="162" t="inlineStr">
        <is>
          <t>доля</t>
        </is>
      </c>
      <c r="CD7" s="161" t="inlineStr">
        <is>
          <t>часы</t>
        </is>
      </c>
      <c r="CE7" s="162" t="inlineStr">
        <is>
          <t>доля</t>
        </is>
      </c>
      <c r="CF7" s="161" t="inlineStr">
        <is>
          <t>часы</t>
        </is>
      </c>
      <c r="CG7" s="163" t="inlineStr">
        <is>
          <t>доля</t>
        </is>
      </c>
      <c r="CH7" s="161" t="inlineStr">
        <is>
          <t>часы</t>
        </is>
      </c>
      <c r="CI7" s="163" t="inlineStr">
        <is>
          <t>доля</t>
        </is>
      </c>
      <c r="CJ7" s="161" t="inlineStr">
        <is>
          <t>часы</t>
        </is>
      </c>
      <c r="CK7" s="163" t="inlineStr">
        <is>
          <t>доля</t>
        </is>
      </c>
      <c r="CL7" s="161" t="inlineStr">
        <is>
          <t>часы</t>
        </is>
      </c>
      <c r="CM7" s="163" t="inlineStr">
        <is>
          <t>доля</t>
        </is>
      </c>
      <c r="CN7" s="153" t="inlineStr">
        <is>
          <t>часы</t>
        </is>
      </c>
      <c r="CO7" s="164" t="inlineStr">
        <is>
          <t>доля</t>
        </is>
      </c>
      <c r="CP7" s="165" t="inlineStr">
        <is>
          <t>часы</t>
        </is>
      </c>
      <c r="CQ7" s="166" t="inlineStr">
        <is>
          <t>доля</t>
        </is>
      </c>
      <c r="CR7" s="161" t="inlineStr">
        <is>
          <t>часы</t>
        </is>
      </c>
      <c r="CS7" s="163" t="inlineStr">
        <is>
          <t>доля</t>
        </is>
      </c>
      <c r="CT7" s="161" t="inlineStr">
        <is>
          <t>часы</t>
        </is>
      </c>
      <c r="CU7" s="163" t="inlineStr">
        <is>
          <t>доля</t>
        </is>
      </c>
      <c r="CV7" s="165" t="inlineStr">
        <is>
          <t>часы</t>
        </is>
      </c>
      <c r="CW7" s="166" t="inlineStr">
        <is>
          <t>доля</t>
        </is>
      </c>
      <c r="CX7" s="161" t="inlineStr">
        <is>
          <t>часы</t>
        </is>
      </c>
      <c r="CY7" s="163" t="inlineStr">
        <is>
          <t>доля</t>
        </is>
      </c>
      <c r="CZ7" s="161" t="inlineStr">
        <is>
          <t>часы</t>
        </is>
      </c>
      <c r="DA7" s="163" t="inlineStr">
        <is>
          <t>доля</t>
        </is>
      </c>
      <c r="DB7" s="165" t="inlineStr">
        <is>
          <t>часы</t>
        </is>
      </c>
      <c r="DC7" s="163" t="inlineStr">
        <is>
          <t>доля</t>
        </is>
      </c>
      <c r="DD7" s="161" t="inlineStr">
        <is>
          <t>часы</t>
        </is>
      </c>
      <c r="DE7" s="163" t="inlineStr">
        <is>
          <t>доля</t>
        </is>
      </c>
      <c r="DF7" s="161" t="inlineStr">
        <is>
          <t>часы</t>
        </is>
      </c>
      <c r="DG7" s="162" t="inlineStr">
        <is>
          <t>доля</t>
        </is>
      </c>
      <c r="DH7" s="161" t="inlineStr">
        <is>
          <t>часы</t>
        </is>
      </c>
      <c r="DI7" s="163" t="inlineStr">
        <is>
          <t>доля</t>
        </is>
      </c>
      <c r="DJ7" s="161" t="inlineStr">
        <is>
          <t>часы</t>
        </is>
      </c>
      <c r="DK7" s="163" t="inlineStr">
        <is>
          <t>доля</t>
        </is>
      </c>
      <c r="DL7" s="161" t="inlineStr">
        <is>
          <t>часы</t>
        </is>
      </c>
      <c r="DM7" s="162" t="inlineStr">
        <is>
          <t>доля</t>
        </is>
      </c>
      <c r="DN7" s="161" t="inlineStr">
        <is>
          <t>часы</t>
        </is>
      </c>
      <c r="DO7" s="166" t="inlineStr">
        <is>
          <t>доля</t>
        </is>
      </c>
      <c r="DP7" s="161" t="inlineStr">
        <is>
          <t>часы</t>
        </is>
      </c>
      <c r="DQ7" s="163" t="inlineStr">
        <is>
          <t>доля</t>
        </is>
      </c>
      <c r="DR7" s="161" t="inlineStr">
        <is>
          <t>доля</t>
        </is>
      </c>
      <c r="DS7" s="163" t="inlineStr">
        <is>
          <t>доля</t>
        </is>
      </c>
      <c r="DT7" s="161" t="inlineStr">
        <is>
          <t>часы</t>
        </is>
      </c>
      <c r="DU7" s="162" t="inlineStr">
        <is>
          <t>доля</t>
        </is>
      </c>
      <c r="DV7" s="161" t="inlineStr">
        <is>
          <t>часы</t>
        </is>
      </c>
      <c r="DW7" s="163" t="inlineStr">
        <is>
          <t>доля</t>
        </is>
      </c>
      <c r="DX7" s="153" t="inlineStr">
        <is>
          <t>часы</t>
        </is>
      </c>
      <c r="DY7" s="167" t="inlineStr">
        <is>
          <t>доля</t>
        </is>
      </c>
      <c r="DZ7" s="153" t="inlineStr">
        <is>
          <t>часы</t>
        </is>
      </c>
      <c r="EA7" s="167" t="inlineStr">
        <is>
          <t>доля</t>
        </is>
      </c>
      <c r="EB7" s="153" t="inlineStr">
        <is>
          <t>часы</t>
        </is>
      </c>
      <c r="EC7" s="167" t="inlineStr">
        <is>
          <t>доля</t>
        </is>
      </c>
      <c r="ED7" s="153" t="inlineStr">
        <is>
          <t>часы</t>
        </is>
      </c>
      <c r="EE7" s="167" t="inlineStr">
        <is>
          <t>доля</t>
        </is>
      </c>
      <c r="EF7" s="159" t="inlineStr">
        <is>
          <t>часы</t>
        </is>
      </c>
      <c r="EG7" s="168" t="inlineStr">
        <is>
          <t>доля</t>
        </is>
      </c>
      <c r="EH7" s="153" t="inlineStr">
        <is>
          <t>часы</t>
        </is>
      </c>
      <c r="EI7" s="167" t="inlineStr">
        <is>
          <t>доля</t>
        </is>
      </c>
      <c r="EJ7" s="153" t="inlineStr">
        <is>
          <t>часы</t>
        </is>
      </c>
      <c r="EK7" s="167" t="inlineStr">
        <is>
          <t>доля</t>
        </is>
      </c>
      <c r="EL7" s="153" t="inlineStr">
        <is>
          <t>часы</t>
        </is>
      </c>
      <c r="EM7" s="167" t="inlineStr">
        <is>
          <t>доля</t>
        </is>
      </c>
      <c r="EN7" s="153" t="inlineStr">
        <is>
          <t>часы</t>
        </is>
      </c>
      <c r="EO7" s="167" t="inlineStr">
        <is>
          <t>доля</t>
        </is>
      </c>
      <c r="EP7" s="153" t="inlineStr">
        <is>
          <t>часы</t>
        </is>
      </c>
      <c r="EQ7" s="167" t="inlineStr">
        <is>
          <t>доля</t>
        </is>
      </c>
      <c r="ER7" s="153" t="inlineStr">
        <is>
          <t>часы</t>
        </is>
      </c>
      <c r="ES7" s="167" t="inlineStr">
        <is>
          <t>доля</t>
        </is>
      </c>
      <c r="ET7" s="153" t="inlineStr">
        <is>
          <t>часы</t>
        </is>
      </c>
      <c r="EU7" s="167" t="inlineStr">
        <is>
          <t>доля</t>
        </is>
      </c>
      <c r="EV7" s="153" t="inlineStr">
        <is>
          <t>часы</t>
        </is>
      </c>
      <c r="EW7" s="167" t="inlineStr">
        <is>
          <t>доля</t>
        </is>
      </c>
      <c r="EX7" s="159" t="inlineStr">
        <is>
          <t>часы</t>
        </is>
      </c>
      <c r="EY7" s="169" t="inlineStr">
        <is>
          <t>доля</t>
        </is>
      </c>
      <c r="EZ7" s="153" t="inlineStr">
        <is>
          <t>часы</t>
        </is>
      </c>
      <c r="FA7" s="170" t="inlineStr">
        <is>
          <t>доля</t>
        </is>
      </c>
      <c r="FB7" s="153" t="inlineStr">
        <is>
          <t>часы</t>
        </is>
      </c>
      <c r="FC7" s="170" t="inlineStr">
        <is>
          <t>доля</t>
        </is>
      </c>
      <c r="FD7" s="153" t="inlineStr">
        <is>
          <t>часы</t>
        </is>
      </c>
      <c r="FE7" s="170" t="inlineStr">
        <is>
          <t>доля</t>
        </is>
      </c>
      <c r="FF7" s="153" t="inlineStr">
        <is>
          <t>часы</t>
        </is>
      </c>
      <c r="FG7" s="170" t="inlineStr">
        <is>
          <t>доля</t>
        </is>
      </c>
      <c r="FH7" s="153" t="inlineStr">
        <is>
          <t>часы</t>
        </is>
      </c>
      <c r="FI7" s="170" t="inlineStr">
        <is>
          <t>доля</t>
        </is>
      </c>
      <c r="FJ7" s="159" t="inlineStr">
        <is>
          <t>часы</t>
        </is>
      </c>
      <c r="FK7" s="171" t="inlineStr">
        <is>
          <t>доля</t>
        </is>
      </c>
      <c r="FL7" s="172" t="inlineStr">
        <is>
          <t>часы</t>
        </is>
      </c>
      <c r="FM7" s="170" t="inlineStr">
        <is>
          <t>доля</t>
        </is>
      </c>
      <c r="FN7" s="153" t="inlineStr">
        <is>
          <t>часы</t>
        </is>
      </c>
      <c r="FO7" s="167" t="inlineStr">
        <is>
          <t>доля</t>
        </is>
      </c>
      <c r="FP7" s="153" t="inlineStr">
        <is>
          <t>часы</t>
        </is>
      </c>
      <c r="FQ7" s="167" t="inlineStr">
        <is>
          <t>доля</t>
        </is>
      </c>
      <c r="FR7" s="153" t="inlineStr">
        <is>
          <t>часы</t>
        </is>
      </c>
      <c r="FS7" s="167" t="inlineStr">
        <is>
          <t>доля</t>
        </is>
      </c>
      <c r="FT7" s="153" t="inlineStr">
        <is>
          <t>часы</t>
        </is>
      </c>
      <c r="FU7" s="167" t="inlineStr">
        <is>
          <t>доля</t>
        </is>
      </c>
      <c r="FV7" s="153" t="inlineStr">
        <is>
          <t>часы</t>
        </is>
      </c>
      <c r="FW7" s="167" t="inlineStr">
        <is>
          <t>доля</t>
        </is>
      </c>
      <c r="FX7" s="153" t="inlineStr">
        <is>
          <t>часы</t>
        </is>
      </c>
      <c r="FY7" s="168" t="inlineStr">
        <is>
          <t>доля</t>
        </is>
      </c>
      <c r="FZ7" s="153" t="inlineStr">
        <is>
          <t>часы</t>
        </is>
      </c>
      <c r="GA7" s="168" t="inlineStr">
        <is>
          <t>доля</t>
        </is>
      </c>
      <c r="GB7" s="153" t="inlineStr">
        <is>
          <t>часы</t>
        </is>
      </c>
      <c r="GC7" s="168" t="inlineStr">
        <is>
          <t>доля</t>
        </is>
      </c>
      <c r="GD7" s="153" t="inlineStr">
        <is>
          <t>часы</t>
        </is>
      </c>
      <c r="GE7" s="168" t="inlineStr">
        <is>
          <t>доля</t>
        </is>
      </c>
      <c r="GF7" s="153" t="inlineStr">
        <is>
          <t>часы</t>
        </is>
      </c>
      <c r="GG7" s="167" t="inlineStr">
        <is>
          <t>доля</t>
        </is>
      </c>
      <c r="GH7" s="153" t="inlineStr">
        <is>
          <t>часы</t>
        </is>
      </c>
      <c r="GI7" s="170" t="inlineStr">
        <is>
          <t>доля</t>
        </is>
      </c>
      <c r="GJ7" s="153" t="inlineStr">
        <is>
          <t>часы</t>
        </is>
      </c>
      <c r="GK7" s="167" t="inlineStr">
        <is>
          <t>доля</t>
        </is>
      </c>
      <c r="GL7" s="153" t="inlineStr">
        <is>
          <t>часы</t>
        </is>
      </c>
      <c r="GM7" s="167" t="inlineStr">
        <is>
          <t>доля</t>
        </is>
      </c>
      <c r="GN7" s="153" t="inlineStr">
        <is>
          <t>часы</t>
        </is>
      </c>
      <c r="GO7" s="167" t="inlineStr">
        <is>
          <t>доля</t>
        </is>
      </c>
      <c r="GP7" s="153" t="inlineStr">
        <is>
          <t>часы</t>
        </is>
      </c>
      <c r="GQ7" s="167" t="inlineStr">
        <is>
          <t>доля</t>
        </is>
      </c>
      <c r="GR7" s="153" t="inlineStr">
        <is>
          <t>часы</t>
        </is>
      </c>
      <c r="GS7" s="167" t="inlineStr">
        <is>
          <t>доля</t>
        </is>
      </c>
      <c r="GT7" s="153" t="inlineStr">
        <is>
          <t>часы</t>
        </is>
      </c>
      <c r="GU7" s="167" t="inlineStr">
        <is>
          <t>доля</t>
        </is>
      </c>
      <c r="GV7" s="153" t="inlineStr">
        <is>
          <t>часы</t>
        </is>
      </c>
      <c r="GW7" s="167" t="inlineStr">
        <is>
          <t>доля</t>
        </is>
      </c>
      <c r="GX7" s="153" t="inlineStr">
        <is>
          <t>часы</t>
        </is>
      </c>
      <c r="GY7" s="167" t="inlineStr">
        <is>
          <t>доля</t>
        </is>
      </c>
      <c r="GZ7" s="153" t="inlineStr">
        <is>
          <t>часы</t>
        </is>
      </c>
      <c r="HA7" s="167" t="inlineStr">
        <is>
          <t>доля</t>
        </is>
      </c>
      <c r="HB7" s="153" t="inlineStr">
        <is>
          <t>часы</t>
        </is>
      </c>
      <c r="HC7" s="167" t="inlineStr">
        <is>
          <t>доля</t>
        </is>
      </c>
      <c r="HD7" s="153" t="inlineStr">
        <is>
          <t>часы</t>
        </is>
      </c>
      <c r="HE7" s="167" t="inlineStr">
        <is>
          <t>доля</t>
        </is>
      </c>
      <c r="HF7" s="153" t="inlineStr">
        <is>
          <t>часы</t>
        </is>
      </c>
      <c r="HG7" s="167" t="inlineStr">
        <is>
          <t>доля</t>
        </is>
      </c>
      <c r="HH7" s="153" t="inlineStr">
        <is>
          <t>часы</t>
        </is>
      </c>
      <c r="HI7" s="167" t="inlineStr">
        <is>
          <t>доля</t>
        </is>
      </c>
      <c r="HJ7" s="153" t="inlineStr">
        <is>
          <t>часы</t>
        </is>
      </c>
      <c r="HK7" s="167" t="inlineStr">
        <is>
          <t>доля</t>
        </is>
      </c>
      <c r="HL7" s="153" t="inlineStr">
        <is>
          <t>часы</t>
        </is>
      </c>
      <c r="HM7" s="167" t="inlineStr">
        <is>
          <t>доля</t>
        </is>
      </c>
      <c r="HN7" s="153" t="inlineStr">
        <is>
          <t>часы</t>
        </is>
      </c>
      <c r="HO7" s="167" t="inlineStr">
        <is>
          <t>доля</t>
        </is>
      </c>
      <c r="HP7" s="153" t="inlineStr">
        <is>
          <t>часы</t>
        </is>
      </c>
      <c r="HQ7" s="167" t="inlineStr">
        <is>
          <t>доля</t>
        </is>
      </c>
      <c r="HR7" s="153" t="inlineStr">
        <is>
          <t>часы</t>
        </is>
      </c>
      <c r="HS7" s="167" t="inlineStr">
        <is>
          <t>доля</t>
        </is>
      </c>
      <c r="HT7" s="153" t="inlineStr">
        <is>
          <t>часы</t>
        </is>
      </c>
      <c r="HU7" s="168" t="inlineStr">
        <is>
          <t>доля</t>
        </is>
      </c>
      <c r="HV7" s="153" t="inlineStr">
        <is>
          <t>часы</t>
        </is>
      </c>
      <c r="HW7" s="167" t="inlineStr">
        <is>
          <t>доля</t>
        </is>
      </c>
      <c r="HX7" s="153" t="inlineStr">
        <is>
          <t>часы</t>
        </is>
      </c>
      <c r="HY7" s="168" t="inlineStr">
        <is>
          <t>доля</t>
        </is>
      </c>
      <c r="HZ7" s="153" t="inlineStr">
        <is>
          <t>часы</t>
        </is>
      </c>
      <c r="IA7" s="168" t="inlineStr">
        <is>
          <t>доля</t>
        </is>
      </c>
      <c r="IB7" s="153" t="inlineStr">
        <is>
          <t>часы</t>
        </is>
      </c>
      <c r="IC7" s="167" t="inlineStr">
        <is>
          <t>доля</t>
        </is>
      </c>
      <c r="ID7" s="159" t="inlineStr">
        <is>
          <t>часы</t>
        </is>
      </c>
      <c r="IE7" s="167" t="inlineStr">
        <is>
          <t>доля</t>
        </is>
      </c>
      <c r="IF7" s="153" t="inlineStr">
        <is>
          <t>часы</t>
        </is>
      </c>
      <c r="IG7" s="167" t="inlineStr">
        <is>
          <t>доля</t>
        </is>
      </c>
      <c r="IH7" s="153" t="inlineStr">
        <is>
          <t>часы</t>
        </is>
      </c>
      <c r="II7" s="167" t="inlineStr">
        <is>
          <t>доля</t>
        </is>
      </c>
      <c r="IJ7" s="153" t="inlineStr">
        <is>
          <t>часы</t>
        </is>
      </c>
      <c r="IK7" s="167" t="inlineStr">
        <is>
          <t>доля</t>
        </is>
      </c>
      <c r="IL7" s="153" t="inlineStr">
        <is>
          <t>часы</t>
        </is>
      </c>
      <c r="IM7" s="167" t="inlineStr">
        <is>
          <t>доля</t>
        </is>
      </c>
      <c r="IN7" s="153" t="inlineStr">
        <is>
          <t>часы</t>
        </is>
      </c>
      <c r="IO7" s="167" t="inlineStr">
        <is>
          <t>доля</t>
        </is>
      </c>
      <c r="IP7" s="153" t="inlineStr">
        <is>
          <t>часы</t>
        </is>
      </c>
      <c r="IQ7" s="167" t="inlineStr">
        <is>
          <t>доля</t>
        </is>
      </c>
      <c r="IR7" s="153" t="inlineStr">
        <is>
          <t>часы</t>
        </is>
      </c>
      <c r="IS7" s="167" t="inlineStr">
        <is>
          <t>доля</t>
        </is>
      </c>
      <c r="IT7" s="153" t="inlineStr">
        <is>
          <t>часы</t>
        </is>
      </c>
      <c r="IU7" s="167" t="inlineStr">
        <is>
          <t>доля</t>
        </is>
      </c>
      <c r="IV7" s="153" t="inlineStr">
        <is>
          <t>часы</t>
        </is>
      </c>
      <c r="IW7" s="167" t="inlineStr">
        <is>
          <t>доля</t>
        </is>
      </c>
      <c r="IX7" s="153" t="inlineStr">
        <is>
          <t>часы</t>
        </is>
      </c>
      <c r="IY7" s="167" t="inlineStr">
        <is>
          <t>доля</t>
        </is>
      </c>
      <c r="IZ7" s="153" t="inlineStr">
        <is>
          <t>часы</t>
        </is>
      </c>
      <c r="JA7" s="167" t="inlineStr">
        <is>
          <t>доля</t>
        </is>
      </c>
      <c r="JB7" s="153" t="inlineStr">
        <is>
          <t>часы</t>
        </is>
      </c>
      <c r="JC7" s="167" t="inlineStr">
        <is>
          <t>доля</t>
        </is>
      </c>
      <c r="JD7" s="153" t="inlineStr">
        <is>
          <t>часы</t>
        </is>
      </c>
      <c r="JE7" s="167" t="inlineStr">
        <is>
          <t>доля</t>
        </is>
      </c>
      <c r="JF7" s="72" t="inlineStr">
        <is>
          <t>часы</t>
        </is>
      </c>
      <c r="JG7" s="146" t="inlineStr">
        <is>
          <t>доля</t>
        </is>
      </c>
      <c r="JH7" s="70" t="inlineStr">
        <is>
          <t>часы</t>
        </is>
      </c>
      <c r="JI7" s="147" t="inlineStr">
        <is>
          <t>доля</t>
        </is>
      </c>
      <c r="JJ7" s="72" t="inlineStr">
        <is>
          <t>часы</t>
        </is>
      </c>
      <c r="JK7" s="73" t="inlineStr">
        <is>
          <t>доля</t>
        </is>
      </c>
      <c r="JL7" s="72" t="inlineStr">
        <is>
          <t>часы</t>
        </is>
      </c>
      <c r="JM7" s="73" t="inlineStr">
        <is>
          <t>доля</t>
        </is>
      </c>
      <c r="JN7" s="72" t="inlineStr">
        <is>
          <t>часы</t>
        </is>
      </c>
      <c r="JO7" s="71" t="inlineStr">
        <is>
          <t>доля</t>
        </is>
      </c>
      <c r="JP7" s="71" t="inlineStr">
        <is>
          <t>часы</t>
        </is>
      </c>
      <c r="JQ7" s="71" t="inlineStr">
        <is>
          <t>доля</t>
        </is>
      </c>
      <c r="JR7" s="71" t="inlineStr">
        <is>
          <t>часы</t>
        </is>
      </c>
      <c r="JS7" s="71" t="inlineStr">
        <is>
          <t>доля</t>
        </is>
      </c>
      <c r="JT7" s="71" t="inlineStr">
        <is>
          <t>часы</t>
        </is>
      </c>
      <c r="JU7" s="71" t="inlineStr">
        <is>
          <t>доля</t>
        </is>
      </c>
      <c r="JV7" s="71" t="inlineStr">
        <is>
          <t>часы</t>
        </is>
      </c>
      <c r="JW7" s="71" t="inlineStr">
        <is>
          <t>доля</t>
        </is>
      </c>
      <c r="JX7" s="71" t="inlineStr">
        <is>
          <t>часы</t>
        </is>
      </c>
      <c r="JY7" s="73" t="inlineStr">
        <is>
          <t>доля</t>
        </is>
      </c>
      <c r="JZ7" s="72" t="inlineStr">
        <is>
          <t>часы</t>
        </is>
      </c>
      <c r="KA7" s="73" t="inlineStr">
        <is>
          <t>доля</t>
        </is>
      </c>
      <c r="KB7" s="74" t="inlineStr">
        <is>
          <t>часы</t>
        </is>
      </c>
      <c r="KC7" s="75" t="inlineStr">
        <is>
          <t>доля</t>
        </is>
      </c>
      <c r="KE7" s="279" t="inlineStr">
        <is>
          <t>проверка</t>
        </is>
      </c>
    </row>
    <row r="8" ht="16.5" customHeight="1" thickBot="1">
      <c r="A8" s="283" t="n"/>
      <c r="B8" s="299" t="n"/>
      <c r="C8" s="285" t="n"/>
      <c r="D8" s="127" t="n"/>
      <c r="E8" s="128" t="n"/>
      <c r="F8" s="80" t="n"/>
      <c r="G8" s="79" t="n"/>
      <c r="H8" s="56" t="n"/>
      <c r="I8" s="61" t="n"/>
      <c r="J8" s="56" t="n"/>
      <c r="K8" s="61" t="n"/>
      <c r="L8" s="56" t="n"/>
      <c r="M8" s="81" t="n"/>
      <c r="N8" s="8" t="n"/>
      <c r="O8" s="82" t="n"/>
      <c r="P8" s="8" t="n"/>
      <c r="Q8" s="85" t="n"/>
      <c r="R8" s="84" t="n"/>
      <c r="S8" s="83" t="n"/>
      <c r="T8" s="83" t="n"/>
      <c r="U8" s="83" t="n"/>
      <c r="V8" s="84" t="n"/>
      <c r="W8" s="83" t="n"/>
      <c r="X8" s="83" t="n"/>
      <c r="Y8" s="83" t="n"/>
      <c r="Z8" s="83" t="n"/>
      <c r="AA8" s="85" t="n"/>
      <c r="AB8" s="84" t="n"/>
      <c r="AC8" s="85" t="n"/>
      <c r="AD8" s="56" t="n"/>
      <c r="AE8" s="82" t="n"/>
      <c r="AF8" s="38" t="n"/>
      <c r="AG8" s="84" t="n"/>
      <c r="AH8" s="38" t="n"/>
      <c r="AI8" s="84" t="n"/>
      <c r="AJ8" s="38" t="n"/>
      <c r="AK8" s="84" t="n"/>
      <c r="AL8" s="38" t="n"/>
      <c r="AM8" s="84" t="n"/>
      <c r="AN8" s="38" t="n"/>
      <c r="AO8" s="84" t="n"/>
      <c r="AP8" s="38" t="n"/>
      <c r="AQ8" s="84" t="n"/>
      <c r="AR8" s="38" t="n"/>
      <c r="AS8" s="84" t="n"/>
      <c r="AT8" s="38" t="n"/>
      <c r="AU8" s="84" t="n"/>
      <c r="AV8" s="38" t="n"/>
      <c r="AW8" s="84" t="n"/>
      <c r="AX8" s="38" t="n"/>
      <c r="AY8" s="84" t="n"/>
      <c r="AZ8" s="38" t="n"/>
      <c r="BA8" s="84" t="n"/>
      <c r="BB8" s="38" t="n"/>
      <c r="BC8" s="84" t="n"/>
      <c r="BD8" s="38" t="n"/>
      <c r="BE8" s="84" t="n"/>
      <c r="BF8" s="38" t="n"/>
      <c r="BG8" s="84" t="n"/>
      <c r="BH8" s="38" t="n"/>
      <c r="BI8" s="84" t="n"/>
      <c r="BJ8" s="38" t="n"/>
      <c r="BK8" s="84" t="n"/>
      <c r="BL8" s="38" t="n"/>
      <c r="BM8" s="86" t="n"/>
      <c r="BN8" s="38" t="n"/>
      <c r="BO8" s="86" t="n"/>
      <c r="BP8" s="38" t="n"/>
      <c r="BQ8" s="86" t="n"/>
      <c r="BR8" s="38" t="n"/>
      <c r="BS8" s="86" t="n"/>
      <c r="BT8" s="38" t="n"/>
      <c r="BU8" s="58" t="n"/>
      <c r="BV8" s="38" t="n"/>
      <c r="BW8" s="86" t="n"/>
      <c r="BX8" s="38" t="n"/>
      <c r="BY8" s="86" t="n"/>
      <c r="BZ8" s="38" t="n"/>
      <c r="CA8" s="86" t="n"/>
      <c r="CB8" s="38" t="n"/>
      <c r="CC8" s="84" t="n"/>
      <c r="CD8" s="38" t="n"/>
      <c r="CE8" s="84" t="n"/>
      <c r="CF8" s="38" t="n"/>
      <c r="CG8" s="86" t="n"/>
      <c r="CH8" s="38" t="n"/>
      <c r="CI8" s="86" t="n"/>
      <c r="CJ8" s="136" t="n"/>
      <c r="CK8" s="86" t="n"/>
      <c r="CL8" s="136" t="n"/>
      <c r="CM8" s="86" t="n"/>
      <c r="CN8" s="8" t="n"/>
      <c r="CO8" s="86" t="n"/>
      <c r="CP8" s="60" t="n"/>
      <c r="CQ8" s="81" t="n"/>
      <c r="CR8" s="136" t="n"/>
      <c r="CS8" s="86" t="n"/>
      <c r="CT8" s="136" t="n"/>
      <c r="CU8" s="86" t="n"/>
      <c r="CV8" s="60" t="n"/>
      <c r="CW8" s="81" t="n"/>
      <c r="CX8" s="136" t="n"/>
      <c r="CY8" s="86" t="n"/>
      <c r="CZ8" s="38" t="n"/>
      <c r="DA8" s="86" t="n"/>
      <c r="DB8" s="59" t="n"/>
      <c r="DC8" s="81" t="n"/>
      <c r="DD8" s="38" t="n"/>
      <c r="DE8" s="86" t="n"/>
      <c r="DF8" s="38" t="n"/>
      <c r="DG8" s="84" t="n"/>
      <c r="DH8" s="38" t="n"/>
      <c r="DI8" s="86" t="n"/>
      <c r="DJ8" s="38" t="n"/>
      <c r="DK8" s="86" t="n"/>
      <c r="DL8" s="38" t="n"/>
      <c r="DM8" s="84" t="n"/>
      <c r="DN8" s="38" t="n"/>
      <c r="DO8" s="81" t="n"/>
      <c r="DP8" s="38" t="n"/>
      <c r="DQ8" s="58" t="n"/>
      <c r="DR8" s="136" t="n"/>
      <c r="DS8" s="86" t="n"/>
      <c r="DT8" s="38" t="n"/>
      <c r="DU8" s="57" t="n"/>
      <c r="DV8" s="38" t="n"/>
      <c r="DW8" s="58" t="n"/>
      <c r="DX8" s="136" t="n"/>
      <c r="DY8" s="60" t="n"/>
      <c r="DZ8" s="136" t="n"/>
      <c r="EA8" s="137" t="n"/>
      <c r="EB8" s="136" t="n"/>
      <c r="EC8" s="137" t="n"/>
      <c r="ED8" s="8" t="n"/>
      <c r="EE8" s="10" t="n"/>
      <c r="EF8" s="56" t="n"/>
      <c r="EG8" s="9" t="n"/>
      <c r="EH8" s="8" t="n"/>
      <c r="EI8" s="10" t="n"/>
      <c r="EJ8" s="8" t="n"/>
      <c r="EK8" s="10" t="n"/>
      <c r="EL8" s="8" t="n"/>
      <c r="EM8" s="10" t="n"/>
      <c r="EN8" s="136" t="n"/>
      <c r="EO8" s="137" t="n"/>
      <c r="EP8" s="136" t="n"/>
      <c r="EQ8" s="137" t="n"/>
      <c r="ER8" s="136" t="n"/>
      <c r="ES8" s="137" t="n"/>
      <c r="ET8" s="136" t="n"/>
      <c r="EU8" s="137" t="n"/>
      <c r="EV8" s="136" t="n"/>
      <c r="EW8" s="137" t="n"/>
      <c r="EX8" s="56" t="n"/>
      <c r="EY8" s="60" t="n"/>
      <c r="EZ8" s="8" t="n"/>
      <c r="FA8" s="137" t="n"/>
      <c r="FB8" s="8" t="n"/>
      <c r="FC8" s="137" t="n"/>
      <c r="FD8" s="8" t="n"/>
      <c r="FE8" s="137" t="n"/>
      <c r="FF8" s="8" t="n"/>
      <c r="FG8" s="137" t="n"/>
      <c r="FH8" s="8" t="n"/>
      <c r="FI8" s="137" t="n"/>
      <c r="FJ8" s="56" t="n"/>
      <c r="FK8" s="56" t="n"/>
      <c r="FL8" s="61" t="n"/>
      <c r="FM8" s="60" t="n"/>
      <c r="FN8" s="136" t="n"/>
      <c r="FO8" s="137" t="n"/>
      <c r="FP8" s="136" t="n"/>
      <c r="FQ8" s="137" t="n"/>
      <c r="FR8" s="136" t="n"/>
      <c r="FS8" s="137" t="n"/>
      <c r="FT8" s="136" t="n"/>
      <c r="FU8" s="137" t="n"/>
      <c r="FV8" s="136" t="n"/>
      <c r="FW8" s="137" t="n"/>
      <c r="FX8" s="136" t="n"/>
      <c r="FY8" s="60" t="n"/>
      <c r="FZ8" s="136" t="n"/>
      <c r="GA8" s="60" t="n"/>
      <c r="GB8" s="136" t="n"/>
      <c r="GC8" s="60" t="n"/>
      <c r="GD8" s="136" t="n"/>
      <c r="GE8" s="60" t="n"/>
      <c r="GF8" s="136" t="n"/>
      <c r="GG8" s="60" t="n"/>
      <c r="GH8" s="8" t="n"/>
      <c r="GI8" s="60" t="n"/>
      <c r="GJ8" s="8" t="n"/>
      <c r="GK8" s="60" t="n"/>
      <c r="GL8" s="136" t="n"/>
      <c r="GM8" s="60" t="n"/>
      <c r="GN8" s="136" t="n"/>
      <c r="GO8" s="137" t="n"/>
      <c r="GP8" s="136" t="n"/>
      <c r="GQ8" s="60" t="n"/>
      <c r="GR8" s="136" t="n"/>
      <c r="GS8" s="60" t="n"/>
      <c r="GT8" s="136" t="n"/>
      <c r="GU8" s="60" t="n"/>
      <c r="GV8" s="136" t="n"/>
      <c r="GW8" s="137" t="n"/>
      <c r="GX8" s="136" t="n"/>
      <c r="GY8" s="60" t="n"/>
      <c r="GZ8" s="136" t="n"/>
      <c r="HA8" s="60" t="n"/>
      <c r="HB8" s="136" t="n"/>
      <c r="HC8" s="60" t="n"/>
      <c r="HD8" s="136" t="n"/>
      <c r="HE8" s="60" t="n"/>
      <c r="HF8" s="136" t="n"/>
      <c r="HG8" s="60" t="n"/>
      <c r="HH8" s="136" t="n"/>
      <c r="HI8" s="60" t="n"/>
      <c r="HJ8" s="136" t="n"/>
      <c r="HK8" s="60" t="n"/>
      <c r="HL8" s="136" t="n"/>
      <c r="HM8" s="60" t="n"/>
      <c r="HN8" s="136" t="n"/>
      <c r="HO8" s="60" t="n"/>
      <c r="HP8" s="136" t="n"/>
      <c r="HQ8" s="60" t="n"/>
      <c r="HR8" s="136" t="n"/>
      <c r="HS8" s="60" t="n"/>
      <c r="HT8" s="136" t="n"/>
      <c r="HU8" s="60" t="n"/>
      <c r="HV8" s="8" t="n"/>
      <c r="HW8" s="137" t="n"/>
      <c r="HX8" s="136" t="n"/>
      <c r="HY8" s="60" t="n"/>
      <c r="HZ8" s="8" t="n"/>
      <c r="IA8" s="60" t="n"/>
      <c r="IB8" s="8" t="n"/>
      <c r="IC8" s="137" t="n"/>
      <c r="ID8" s="56" t="n"/>
      <c r="IE8" s="60" t="n"/>
      <c r="IF8" s="136" t="n"/>
      <c r="IG8" s="60" t="n"/>
      <c r="IH8" s="136" t="n"/>
      <c r="II8" s="60" t="n"/>
      <c r="IJ8" s="136" t="n"/>
      <c r="IK8" s="60" t="n"/>
      <c r="IL8" s="136" t="n"/>
      <c r="IM8" s="60" t="n"/>
      <c r="IN8" s="136" t="n"/>
      <c r="IO8" s="60" t="n"/>
      <c r="IP8" s="8" t="n"/>
      <c r="IQ8" s="137" t="n"/>
      <c r="IR8" s="8" t="n"/>
      <c r="IS8" s="60" t="n"/>
      <c r="IT8" s="136" t="n"/>
      <c r="IU8" s="137" t="n"/>
      <c r="IV8" s="136" t="n"/>
      <c r="IW8" s="137" t="n"/>
      <c r="IX8" s="8" t="n"/>
      <c r="IY8" s="137" t="n"/>
      <c r="IZ8" s="136" t="n"/>
      <c r="JA8" s="137" t="n"/>
      <c r="JB8" s="136" t="n"/>
      <c r="JC8" s="137" t="n"/>
      <c r="JD8" s="8" t="n"/>
      <c r="JE8" s="60" t="n"/>
      <c r="JF8" s="136" t="n"/>
      <c r="JG8" s="137" t="n"/>
      <c r="JH8" s="110" t="n"/>
      <c r="JI8" s="137" t="n"/>
      <c r="JJ8" s="8" t="n"/>
      <c r="JK8" s="10" t="n"/>
      <c r="JL8" s="136" t="n"/>
      <c r="JM8" s="137" t="n"/>
      <c r="JN8" s="136" t="n"/>
      <c r="JO8" s="61" t="n"/>
      <c r="JP8" s="61" t="n"/>
      <c r="JQ8" s="61" t="n"/>
      <c r="JR8" s="61" t="n"/>
      <c r="JS8" s="61" t="n"/>
      <c r="JT8" s="61" t="n"/>
      <c r="JU8" s="61" t="n"/>
      <c r="JV8" s="61" t="n"/>
      <c r="JW8" s="61" t="n"/>
      <c r="JX8" s="61" t="n"/>
      <c r="JY8" s="10" t="n"/>
      <c r="JZ8" s="8" t="n"/>
      <c r="KA8" s="10" t="n"/>
      <c r="KB8" s="65" t="n"/>
      <c r="KC8" s="87" t="n"/>
    </row>
    <row r="9" ht="21.75" customFormat="1" customHeight="1" s="11">
      <c r="A9" s="126" t="n">
        <v>1</v>
      </c>
      <c r="B9" s="175" t="inlineStr">
        <is>
          <t>Батурин А.Ю.</t>
        </is>
      </c>
      <c r="C9" s="176" t="inlineStr">
        <is>
          <t>термист</t>
        </is>
      </c>
      <c r="D9" s="177">
        <f>$D$5</f>
        <v/>
      </c>
      <c r="E9" s="202" t="n"/>
      <c r="F9" s="197" t="n">
        <v>68902.87</v>
      </c>
      <c r="G9" s="51">
        <f>F9/D9</f>
        <v/>
      </c>
      <c r="H9" s="124" t="n"/>
      <c r="I9" s="90">
        <f>H9*100/$E$9</f>
        <v/>
      </c>
      <c r="J9" s="117" t="n"/>
      <c r="K9" s="90">
        <f>J9*100/$E$9</f>
        <v/>
      </c>
      <c r="L9" s="117" t="n"/>
      <c r="M9" s="90">
        <f>L9*100/$E$9</f>
        <v/>
      </c>
      <c r="N9" s="117" t="n"/>
      <c r="O9" s="90">
        <f>N9*100/$E$9</f>
        <v/>
      </c>
      <c r="P9" s="117" t="n"/>
      <c r="Q9" s="121">
        <f>P9*100/$E$9</f>
        <v/>
      </c>
      <c r="R9" s="117" t="n"/>
      <c r="S9" s="120">
        <f>R9*100/$E$9</f>
        <v/>
      </c>
      <c r="T9" s="117" t="n"/>
      <c r="U9" s="90">
        <f>T9*100/$E$9</f>
        <v/>
      </c>
      <c r="V9" s="117" t="n"/>
      <c r="W9" s="90">
        <f>V9*100/$E$9</f>
        <v/>
      </c>
      <c r="X9" s="117" t="n"/>
      <c r="Y9" s="90">
        <f>X9*100/$E$9</f>
        <v/>
      </c>
      <c r="Z9" s="117" t="n"/>
      <c r="AA9" s="90">
        <f>Z9*100/$E$9</f>
        <v/>
      </c>
      <c r="AB9" s="117" t="n"/>
      <c r="AC9" s="90">
        <f>AB9*100/$E$9</f>
        <v/>
      </c>
      <c r="AD9" s="117" t="n"/>
      <c r="AE9" s="120">
        <f>AD9*100/$E$9</f>
        <v/>
      </c>
      <c r="AF9" s="117" t="n"/>
      <c r="AG9" s="120">
        <f>AF9*100/$E$9</f>
        <v/>
      </c>
      <c r="AH9" s="117" t="n"/>
      <c r="AI9" s="90">
        <f>AH9*100/$E$9</f>
        <v/>
      </c>
      <c r="AJ9" s="117" t="n"/>
      <c r="AK9" s="90">
        <f>AJ9*100/$E$9</f>
        <v/>
      </c>
      <c r="AL9" s="117" t="n"/>
      <c r="AM9" s="90">
        <f>AL9*100/$E$9</f>
        <v/>
      </c>
      <c r="AN9" s="117" t="n"/>
      <c r="AO9" s="90">
        <f>AN9*100/$E$9</f>
        <v/>
      </c>
      <c r="AP9" s="117" t="n"/>
      <c r="AQ9" s="90">
        <f>AP9*100/$E$9</f>
        <v/>
      </c>
      <c r="AR9" s="117" t="n"/>
      <c r="AS9" s="90">
        <f>AR9*100/$E$9</f>
        <v/>
      </c>
      <c r="AT9" s="117" t="n"/>
      <c r="AU9" s="90">
        <f>AT9*100/$E$9</f>
        <v/>
      </c>
      <c r="AV9" s="117" t="n"/>
      <c r="AW9" s="90">
        <f>AV9*100/$E$9</f>
        <v/>
      </c>
      <c r="AX9" s="117" t="n"/>
      <c r="AY9" s="90">
        <f>AX9*100/$E$9</f>
        <v/>
      </c>
      <c r="AZ9" s="117" t="n"/>
      <c r="BA9" s="90">
        <f>AZ9*100/$E$9</f>
        <v/>
      </c>
      <c r="BB9" s="117" t="n"/>
      <c r="BC9" s="90">
        <f>BB9*100/$E$9</f>
        <v/>
      </c>
      <c r="BD9" s="117" t="n"/>
      <c r="BE9" s="90">
        <f>BD9*100/$E$9</f>
        <v/>
      </c>
      <c r="BF9" s="117" t="n"/>
      <c r="BG9" s="90">
        <f>BF9*100/$E$9</f>
        <v/>
      </c>
      <c r="BH9" s="117" t="n"/>
      <c r="BI9" s="90">
        <f>BH9*100/$E$9</f>
        <v/>
      </c>
      <c r="BJ9" s="117" t="n"/>
      <c r="BK9" s="90">
        <f>BJ9*100/$E$9</f>
        <v/>
      </c>
      <c r="BL9" s="117" t="n"/>
      <c r="BM9" s="90">
        <f>BL9*100/$E$9</f>
        <v/>
      </c>
      <c r="BN9" s="117" t="n"/>
      <c r="BO9" s="90">
        <f>BN9*100/$E$9</f>
        <v/>
      </c>
      <c r="BP9" s="117" t="n"/>
      <c r="BQ9" s="90">
        <f>BP9*100/$E$9</f>
        <v/>
      </c>
      <c r="BR9" s="117" t="n"/>
      <c r="BS9" s="90">
        <f>BR9*100/$E$9</f>
        <v/>
      </c>
      <c r="BT9" s="117" t="n"/>
      <c r="BU9" s="90">
        <f>BT9*100/$E$9</f>
        <v/>
      </c>
      <c r="BV9" s="117" t="n"/>
      <c r="BW9" s="90">
        <f>BV9*100/$E$9</f>
        <v/>
      </c>
      <c r="BX9" s="117" t="n"/>
      <c r="BY9" s="90">
        <f>BX9*100/$E$9</f>
        <v/>
      </c>
      <c r="BZ9" s="117" t="n"/>
      <c r="CA9" s="90">
        <f>BZ9*100/$E$9</f>
        <v/>
      </c>
      <c r="CB9" s="117" t="n"/>
      <c r="CC9" s="90">
        <f>CB9*100/$E$9</f>
        <v/>
      </c>
      <c r="CD9" s="117" t="n"/>
      <c r="CE9" s="123">
        <f>CD9*100/$E$9</f>
        <v/>
      </c>
      <c r="CF9" s="117" t="n"/>
      <c r="CG9" s="90">
        <f>CF9*100/$E$9</f>
        <v/>
      </c>
      <c r="CH9" s="117" t="n"/>
      <c r="CI9" s="90">
        <f>CH9*100/$E$9</f>
        <v/>
      </c>
      <c r="CJ9" s="117" t="n"/>
      <c r="CK9" s="90">
        <f>CJ9*100/$E$9</f>
        <v/>
      </c>
      <c r="CL9" s="117" t="n"/>
      <c r="CM9" s="90">
        <f>CL9*100/$E$9</f>
        <v/>
      </c>
      <c r="CN9" s="117" t="n"/>
      <c r="CO9" s="122">
        <f>CN9*100/$E$9</f>
        <v/>
      </c>
      <c r="CP9" s="117" t="n"/>
      <c r="CQ9" s="90">
        <f>CP9*100/$E$9</f>
        <v/>
      </c>
      <c r="CR9" s="117" t="n"/>
      <c r="CS9" s="121">
        <f>CR9*100/$E$9</f>
        <v/>
      </c>
      <c r="CT9" s="117" t="n"/>
      <c r="CU9" s="121">
        <f>CT9*100/$E$9</f>
        <v/>
      </c>
      <c r="CV9" s="117" t="n"/>
      <c r="CW9" s="121">
        <f>CV9*100/$E$9</f>
        <v/>
      </c>
      <c r="CX9" s="117" t="n"/>
      <c r="CY9" s="121">
        <f>CX9*100/$E$9</f>
        <v/>
      </c>
      <c r="CZ9" s="117" t="n"/>
      <c r="DA9" s="121">
        <f>CZ9*100/$E$9</f>
        <v/>
      </c>
      <c r="DB9" s="117" t="n"/>
      <c r="DC9" s="121">
        <f>DB9*100/$E$9</f>
        <v/>
      </c>
      <c r="DD9" s="117" t="n"/>
      <c r="DE9" s="121">
        <f>DD9*100/$E$9</f>
        <v/>
      </c>
      <c r="DF9" s="117" t="n"/>
      <c r="DG9" s="121">
        <f>DF9*100/$E$9</f>
        <v/>
      </c>
      <c r="DH9" s="117" t="n"/>
      <c r="DI9" s="121">
        <f>DH9*100/$E$9</f>
        <v/>
      </c>
      <c r="DJ9" s="117" t="n"/>
      <c r="DK9" s="121">
        <f>DJ9*100/$E$9</f>
        <v/>
      </c>
      <c r="DL9" s="117" t="n"/>
      <c r="DM9" s="121">
        <f>DL9*100/$E$9</f>
        <v/>
      </c>
      <c r="DN9" s="117" t="n"/>
      <c r="DO9" s="121">
        <f>DN9*100/$E$9</f>
        <v/>
      </c>
      <c r="DP9" s="117" t="n"/>
      <c r="DQ9" s="121">
        <f>DP9*100/$E$9</f>
        <v/>
      </c>
      <c r="DR9" s="117" t="n"/>
      <c r="DS9" s="121">
        <f>DR9*100/$E$9</f>
        <v/>
      </c>
      <c r="DT9" s="117" t="n"/>
      <c r="DU9" s="121">
        <f>DT9*100/$E$9</f>
        <v/>
      </c>
      <c r="DV9" s="117" t="n"/>
      <c r="DW9" s="121">
        <f>DV9*100/$E$9</f>
        <v/>
      </c>
      <c r="DX9" s="117" t="n"/>
      <c r="DY9" s="121">
        <f>DX9*100/$E$9</f>
        <v/>
      </c>
      <c r="DZ9" s="117" t="n"/>
      <c r="EA9" s="121">
        <f>DZ9*100/$E$9</f>
        <v/>
      </c>
      <c r="EB9" s="117" t="n"/>
      <c r="EC9" s="121">
        <f>EB9*100/$E$9</f>
        <v/>
      </c>
      <c r="ED9" s="117" t="n"/>
      <c r="EE9" s="121">
        <f>ED9*100/$E$9</f>
        <v/>
      </c>
      <c r="EF9" s="117" t="n"/>
      <c r="EG9" s="121">
        <f>EF9*100/$E$9</f>
        <v/>
      </c>
      <c r="EH9" s="117" t="n"/>
      <c r="EI9" s="121">
        <f>EH9*100/$E$9</f>
        <v/>
      </c>
      <c r="EJ9" s="117" t="n"/>
      <c r="EK9" s="121">
        <f>EJ9*100/$E$9</f>
        <v/>
      </c>
      <c r="EL9" s="117" t="n"/>
      <c r="EM9" s="121">
        <f>EL9*100/$E$9</f>
        <v/>
      </c>
      <c r="EN9" s="117" t="n"/>
      <c r="EO9" s="121">
        <f>EN9*100/$E$9</f>
        <v/>
      </c>
      <c r="EP9" s="117" t="n"/>
      <c r="EQ9" s="121">
        <f>EP9*100/$E$9</f>
        <v/>
      </c>
      <c r="ER9" s="117" t="n"/>
      <c r="ES9" s="121">
        <f>ER9*100/$E$9</f>
        <v/>
      </c>
      <c r="ET9" s="117" t="n"/>
      <c r="EU9" s="121">
        <f>ET9*100/$E$9</f>
        <v/>
      </c>
      <c r="EV9" s="117" t="n"/>
      <c r="EW9" s="121">
        <f>EV9*100/$E$9</f>
        <v/>
      </c>
      <c r="EX9" s="117" t="n"/>
      <c r="EY9" s="121">
        <f>EX9*100/$E$9</f>
        <v/>
      </c>
      <c r="EZ9" s="117" t="n"/>
      <c r="FA9" s="121">
        <f>EZ9*100/$E$9</f>
        <v/>
      </c>
      <c r="FB9" s="117" t="n"/>
      <c r="FC9" s="121">
        <f>FB9*100/$E$9</f>
        <v/>
      </c>
      <c r="FD9" s="117" t="n"/>
      <c r="FE9" s="121">
        <f>FD9*100/$E$9</f>
        <v/>
      </c>
      <c r="FF9" s="117" t="n"/>
      <c r="FG9" s="121">
        <f>FF9*100/$E$9</f>
        <v/>
      </c>
      <c r="FH9" s="117" t="n"/>
      <c r="FI9" s="121">
        <f>FH9*100/$E$9</f>
        <v/>
      </c>
      <c r="FJ9" s="117" t="n"/>
      <c r="FK9" s="121">
        <f>FJ9*100/$E$9</f>
        <v/>
      </c>
      <c r="FL9" s="117" t="n"/>
      <c r="FM9" s="121">
        <f>FL9*100/$E$9</f>
        <v/>
      </c>
      <c r="FN9" s="117" t="n"/>
      <c r="FO9" s="121">
        <f>FN9*100/$E$9</f>
        <v/>
      </c>
      <c r="FP9" s="117" t="n"/>
      <c r="FQ9" s="121">
        <f>FP9*100/$E$9</f>
        <v/>
      </c>
      <c r="FR9" s="117" t="n"/>
      <c r="FS9" s="121">
        <f>FR9*100/$E$9</f>
        <v/>
      </c>
      <c r="FT9" s="117" t="n"/>
      <c r="FU9" s="121">
        <f>FT9*100/$E$9</f>
        <v/>
      </c>
      <c r="FV9" s="117" t="n"/>
      <c r="FW9" s="121">
        <f>FV9*100/$E$9</f>
        <v/>
      </c>
      <c r="FX9" s="117" t="n"/>
      <c r="FY9" s="90">
        <f>FX9*100/$E$9</f>
        <v/>
      </c>
      <c r="FZ9" s="117" t="n"/>
      <c r="GA9" s="90">
        <f>FZ9*100/$E$9</f>
        <v/>
      </c>
      <c r="GB9" s="117" t="n"/>
      <c r="GC9" s="90">
        <f>GB9*100/$E$9</f>
        <v/>
      </c>
      <c r="GD9" s="117" t="n"/>
      <c r="GE9" s="90">
        <f>GD9*100/$E$9</f>
        <v/>
      </c>
      <c r="GF9" s="117" t="n"/>
      <c r="GG9" s="90">
        <f>GF9*100/$E$9</f>
        <v/>
      </c>
      <c r="GH9" s="117" t="n"/>
      <c r="GI9" s="90">
        <f>GH9*100/$E$9</f>
        <v/>
      </c>
      <c r="GJ9" s="117" t="n"/>
      <c r="GK9" s="121">
        <f>GJ9*100/$E$9</f>
        <v/>
      </c>
      <c r="GL9" s="117" t="n"/>
      <c r="GM9" s="90">
        <f>GL9*100/$E$9</f>
        <v/>
      </c>
      <c r="GN9" s="117" t="n"/>
      <c r="GO9" s="121">
        <f>GN9*100/$E$9</f>
        <v/>
      </c>
      <c r="GP9" s="117" t="n"/>
      <c r="GQ9" s="90">
        <f>GP9*100/$E$9</f>
        <v/>
      </c>
      <c r="GR9" s="117" t="n"/>
      <c r="GS9" s="121">
        <f>GR9*100/$E$9</f>
        <v/>
      </c>
      <c r="GT9" s="117" t="n"/>
      <c r="GU9" s="121">
        <f>GT9*100/$E$9</f>
        <v/>
      </c>
      <c r="GV9" s="117" t="n"/>
      <c r="GW9" s="121">
        <f>GV9*100/$E$9</f>
        <v/>
      </c>
      <c r="GX9" s="117" t="n"/>
      <c r="GY9" s="90">
        <f>GX9*100/$E$9</f>
        <v/>
      </c>
      <c r="GZ9" s="117" t="n"/>
      <c r="HA9" s="90">
        <f>GZ9*100/$E$9</f>
        <v/>
      </c>
      <c r="HB9" s="117" t="n"/>
      <c r="HC9" s="90">
        <f>HB9*100/$E$9</f>
        <v/>
      </c>
      <c r="HD9" s="117" t="n"/>
      <c r="HE9" s="90">
        <f>HD9*100/$E$9</f>
        <v/>
      </c>
      <c r="HF9" s="117" t="n"/>
      <c r="HG9" s="90">
        <f>HF9*100/$E$9</f>
        <v/>
      </c>
      <c r="HH9" s="117" t="n"/>
      <c r="HI9" s="90">
        <f>HH9*100/$E$9</f>
        <v/>
      </c>
      <c r="HJ9" s="117" t="n"/>
      <c r="HK9" s="90">
        <f>HJ9*100/$E$9</f>
        <v/>
      </c>
      <c r="HL9" s="117" t="n"/>
      <c r="HM9" s="90">
        <f>HL9*100/$E$9</f>
        <v/>
      </c>
      <c r="HN9" s="117" t="n"/>
      <c r="HO9" s="90">
        <f>HN9*100/$E$9</f>
        <v/>
      </c>
      <c r="HP9" s="117" t="n"/>
      <c r="HQ9" s="90">
        <f>HP9*100/$E$9</f>
        <v/>
      </c>
      <c r="HR9" s="117" t="n"/>
      <c r="HS9" s="90">
        <f>HR9*100/$E$9</f>
        <v/>
      </c>
      <c r="HT9" s="117" t="n"/>
      <c r="HU9" s="90">
        <f>HT9*100/$E$9</f>
        <v/>
      </c>
      <c r="HV9" s="117" t="n"/>
      <c r="HW9" s="90">
        <f>HV9*100/$E$9</f>
        <v/>
      </c>
      <c r="HX9" s="117" t="n"/>
      <c r="HY9" s="90">
        <f>HX9*100/$E$9</f>
        <v/>
      </c>
      <c r="HZ9" s="117" t="n"/>
      <c r="IA9" s="121">
        <f>HZ9*100/$E$9</f>
        <v/>
      </c>
      <c r="IB9" s="117" t="n"/>
      <c r="IC9" s="121">
        <f>IB9*100/$E$9</f>
        <v/>
      </c>
      <c r="ID9" s="117" t="n"/>
      <c r="IE9" s="121">
        <f>ID9*100/$E$9</f>
        <v/>
      </c>
      <c r="IF9" s="117" t="n"/>
      <c r="IG9" s="121">
        <f>IF9*100/$E$9</f>
        <v/>
      </c>
      <c r="IH9" s="117" t="n"/>
      <c r="II9" s="121">
        <f>IH9*100/$E$9</f>
        <v/>
      </c>
      <c r="IJ9" s="117" t="n"/>
      <c r="IK9" s="121">
        <f>IJ9*100/$E$9</f>
        <v/>
      </c>
      <c r="IL9" s="117" t="n"/>
      <c r="IM9" s="90">
        <f>IL9*100/$E$9</f>
        <v/>
      </c>
      <c r="IN9" s="117" t="n"/>
      <c r="IO9" s="90">
        <f>IN9*100/$E$9</f>
        <v/>
      </c>
      <c r="IP9" s="117" t="n"/>
      <c r="IQ9" s="121">
        <f>IP9*100/$E$9</f>
        <v/>
      </c>
      <c r="IR9" s="117" t="n"/>
      <c r="IS9" s="121">
        <f>IR9*100/$E$9</f>
        <v/>
      </c>
      <c r="IT9" s="117" t="n"/>
      <c r="IU9" s="121">
        <f>IT9*100/$E$9</f>
        <v/>
      </c>
      <c r="IV9" s="117" t="n"/>
      <c r="IW9" s="121">
        <f>IV9*100/$E$9</f>
        <v/>
      </c>
      <c r="IX9" s="117" t="n"/>
      <c r="IY9" s="121">
        <f>IX9*100/$E$9</f>
        <v/>
      </c>
      <c r="IZ9" s="117" t="n"/>
      <c r="JA9" s="121">
        <f>IZ9*100/$E$9</f>
        <v/>
      </c>
      <c r="JB9" s="117" t="n"/>
      <c r="JC9" s="121">
        <f>JB9*100/$E$9</f>
        <v/>
      </c>
      <c r="JD9" s="117" t="n"/>
      <c r="JE9" s="121">
        <f>JD9*100/$E$9</f>
        <v/>
      </c>
      <c r="JF9" s="119" t="n"/>
      <c r="JG9" s="121">
        <f>JF9*100/$E$9</f>
        <v/>
      </c>
      <c r="JH9" s="117" t="n"/>
      <c r="JI9" s="121">
        <f>JH9*100/$E$9</f>
        <v/>
      </c>
      <c r="JJ9" s="117" t="n"/>
      <c r="JK9" s="121">
        <f>JJ9*100/$E$9</f>
        <v/>
      </c>
      <c r="JL9" s="117" t="n"/>
      <c r="JM9" s="121">
        <f>JL9*100/$E$9</f>
        <v/>
      </c>
      <c r="JN9" s="117" t="n"/>
      <c r="JO9" s="122">
        <f>JN9*100/$E$9</f>
        <v/>
      </c>
      <c r="JP9" s="117" t="n"/>
      <c r="JQ9" s="122">
        <f>JP9*100/$E$9</f>
        <v/>
      </c>
      <c r="JR9" s="117" t="n"/>
      <c r="JS9" s="122">
        <f>JR9*100/$E$9</f>
        <v/>
      </c>
      <c r="JT9" s="117" t="n"/>
      <c r="JU9" s="122">
        <f>JT9*100/$E$9</f>
        <v/>
      </c>
      <c r="JV9" s="108" t="n"/>
      <c r="JW9" s="122">
        <f>JV9*100/$E$9</f>
        <v/>
      </c>
      <c r="JX9" s="108" t="n"/>
      <c r="JY9" s="122">
        <f>JX9*100/$E$9</f>
        <v/>
      </c>
      <c r="JZ9" s="55">
        <f>JN9+JP9+JR9+JT9+JV9+JX9</f>
        <v/>
      </c>
      <c r="KA9" s="53">
        <f>JO9+JQ9+JS9+JU9+JW9+JY9</f>
        <v/>
      </c>
      <c r="KB9" s="64">
        <f>H9+J9+L9+N9+P9+R9+T9+V9+X9+Z9+AB9+AD9+AF9+AH9+AJ9+AL9+AN9+AP9+AR9+AT9+AV9+AX9+AZ9+BB9+BD9+BF9+BH9+BJ9+BL9+BN9+BP9+BR9+BT9+BV9+BX9+BZ9+CB9+CD9+CF9+CH9+CZ9+DB9+DD9+DF9+DH9+DJ9+DL9+DN9+DP9+DR9+DT9+DV9+DX9+DZ9+EB9+ED9+EF9+EH9+EJ9+EL9+EN9+EP9+ER9+ET9+EV9+FN9+FP9+FR9+FT9+FV9+FX9+FZ9+GB9+GD9+GF9+GH9+GJ9+GL9+GN9+GP9+GR9+GT9+GV9+GX9+GZ9+HB9+HD9+HF9+HH9+HJ9+HL9+HN9+HP9+HR9+HT9+HV9+HX9+HZ9+IB9+ID9+IF9+IH9+IJ9+IL9+IN9+IP9+IR9+IT9+IV9+IX9+IZ9+JB9+JD9+JF9+JH9+JJ9+JL9+JZ9+CJ9+CL9+CN9+CP9+CR9+CT9+CV9+CX9+EX9+EZ9+FB9+FD9+FF9+FH9+FJ9+FL9</f>
        <v/>
      </c>
      <c r="KC9" s="66">
        <f>I9+K9+M9+O9+Q9+S9+U9+W9+Y9+AA9+AC9+AE9+AG9+AI9+AK9+AM9+AO9+AQ9+AS9+AU9+AW9+AY9+BA9+BC9+BE9+BG9+BI9+BK9+BM9+BO9+BQ9+BS9+BU9+BW9+BY9+CA9+CC9+CE9+CG9+CI9+DA9+DC9+DE9+DG9+DI9+DK9+DM9+DO9+DQ9+DS9+DU9+DW9+DY9+EA9+EC9+EE9+EG9+EI9+EK9+EM9+EO9+EQ9+ES9+EU9+EW9+FO9+FS9+FU9+FW9+FQ9+FY9+GA9+GC9+GE9+GG9+GI9+GK9+GM9+GO9+GQ9+GS9+GU9+GW9+GY9+HA9+HC9+HE9+HG9+HI9+HK9+HM9+HO9+HQ9+HS9+HU9+HW9+HY9+IA9+IC9+IE9+IG9+II9+IK9+IM9+IO9+IQ9+IS9+IU9+IW9+IY9+JA9+JC9+JE9+JG9+JI9+JK9+JM9+KA9+CK9+CM9+CO9+CQ9+CS9+CU9+CW9+CY9+EY9+FA9+FC9+FE9+FG9+FI9+FK9+FM9</f>
        <v/>
      </c>
      <c r="KD9" s="44">
        <f>JO9+JQ9+JS9+JU9+JW9+JY9</f>
        <v/>
      </c>
      <c r="KE9" s="45">
        <f>KB9=E9</f>
        <v/>
      </c>
      <c r="KF9" s="101">
        <f>E9-KB9</f>
        <v/>
      </c>
    </row>
    <row r="10" ht="21.75" customFormat="1" customHeight="1" s="12">
      <c r="A10" s="126">
        <f>A9+1</f>
        <v/>
      </c>
      <c r="B10" s="175" t="inlineStr">
        <is>
          <t>Бецких А. В.</t>
        </is>
      </c>
      <c r="C10" s="176" t="inlineStr">
        <is>
          <t>слесарь МСР</t>
        </is>
      </c>
      <c r="D10" s="177">
        <f>$D$5</f>
        <v/>
      </c>
      <c r="E10" s="202" t="n"/>
      <c r="F10" s="178" t="n">
        <v>49335</v>
      </c>
      <c r="G10" s="52">
        <f>F10/D10</f>
        <v/>
      </c>
      <c r="H10" s="125" t="n"/>
      <c r="I10" s="90">
        <f>H10*100/$E$10</f>
        <v/>
      </c>
      <c r="J10" s="108" t="n"/>
      <c r="K10" s="90">
        <f>J10*100/$E$10</f>
        <v/>
      </c>
      <c r="L10" s="108" t="n"/>
      <c r="M10" s="90">
        <f>L10*100/$E$10</f>
        <v/>
      </c>
      <c r="N10" s="108" t="n"/>
      <c r="O10" s="90">
        <f>N10*100/$E$10</f>
        <v/>
      </c>
      <c r="P10" s="108" t="n"/>
      <c r="Q10" s="121">
        <f>P10*100/$E$10</f>
        <v/>
      </c>
      <c r="R10" s="108" t="n"/>
      <c r="S10" s="121">
        <f>R10*100/$E$10</f>
        <v/>
      </c>
      <c r="T10" s="108" t="n"/>
      <c r="U10" s="90">
        <f>T10*100/$E$10</f>
        <v/>
      </c>
      <c r="V10" s="108" t="n"/>
      <c r="W10" s="90">
        <f>V10*100/$E$10</f>
        <v/>
      </c>
      <c r="X10" s="108" t="n"/>
      <c r="Y10" s="90">
        <f>X10*100/$E$10</f>
        <v/>
      </c>
      <c r="Z10" s="108" t="n"/>
      <c r="AA10" s="90">
        <f>Z10*100/$E$10</f>
        <v/>
      </c>
      <c r="AB10" s="108" t="n"/>
      <c r="AC10" s="90">
        <f>AB10*100/$E$10</f>
        <v/>
      </c>
      <c r="AD10" s="108" t="n"/>
      <c r="AE10" s="121">
        <f>AD10*100/$E$10</f>
        <v/>
      </c>
      <c r="AF10" s="108" t="n"/>
      <c r="AG10" s="121">
        <f>AF10*100/$E$10</f>
        <v/>
      </c>
      <c r="AH10" s="108" t="n"/>
      <c r="AI10" s="90">
        <f>AH10*100/$E$10</f>
        <v/>
      </c>
      <c r="AJ10" s="108" t="n"/>
      <c r="AK10" s="90">
        <f>AJ10*100/$E$10</f>
        <v/>
      </c>
      <c r="AL10" s="108" t="n"/>
      <c r="AM10" s="90">
        <f>AL10*100/$E$10</f>
        <v/>
      </c>
      <c r="AN10" s="108" t="n"/>
      <c r="AO10" s="90">
        <f>AN10*100/$E$10</f>
        <v/>
      </c>
      <c r="AP10" s="108" t="n"/>
      <c r="AQ10" s="90">
        <f>AP10*100/$E$10</f>
        <v/>
      </c>
      <c r="AR10" s="108" t="n"/>
      <c r="AS10" s="90">
        <f>AR10*100/$E$10</f>
        <v/>
      </c>
      <c r="AT10" s="108" t="n"/>
      <c r="AU10" s="90">
        <f>AT10*100/$E$10</f>
        <v/>
      </c>
      <c r="AV10" s="108" t="n"/>
      <c r="AW10" s="90">
        <f>AV10*100/$E$10</f>
        <v/>
      </c>
      <c r="AX10" s="108" t="n"/>
      <c r="AY10" s="90">
        <f>AX10*100/$E$10</f>
        <v/>
      </c>
      <c r="AZ10" s="108" t="n"/>
      <c r="BA10" s="90">
        <f>AZ10*100/$E$10</f>
        <v/>
      </c>
      <c r="BB10" s="108" t="n"/>
      <c r="BC10" s="90">
        <f>BB10*100/$E$10</f>
        <v/>
      </c>
      <c r="BD10" s="108" t="n"/>
      <c r="BE10" s="90">
        <f>BD10*100/$E$10</f>
        <v/>
      </c>
      <c r="BF10" s="108" t="n"/>
      <c r="BG10" s="90">
        <f>BF10*100/$E$10</f>
        <v/>
      </c>
      <c r="BH10" s="108" t="n"/>
      <c r="BI10" s="90">
        <f>BH10*100/$E$10</f>
        <v/>
      </c>
      <c r="BJ10" s="108" t="n"/>
      <c r="BK10" s="90">
        <f>BJ10*100/$E$10</f>
        <v/>
      </c>
      <c r="BL10" s="108" t="n"/>
      <c r="BM10" s="90">
        <f>BL10*100/$E$10</f>
        <v/>
      </c>
      <c r="BN10" s="108" t="n"/>
      <c r="BO10" s="90">
        <f>BN10*100/$E$10</f>
        <v/>
      </c>
      <c r="BP10" s="108" t="n"/>
      <c r="BQ10" s="90">
        <f>BP10*100/$E$10</f>
        <v/>
      </c>
      <c r="BR10" s="108" t="n"/>
      <c r="BS10" s="90">
        <f>BR10*100/$E$10</f>
        <v/>
      </c>
      <c r="BT10" s="108" t="n"/>
      <c r="BU10" s="90">
        <f>BT10*100/$E$10</f>
        <v/>
      </c>
      <c r="BV10" s="108" t="n"/>
      <c r="BW10" s="90">
        <f>BV10*100/$E$10</f>
        <v/>
      </c>
      <c r="BX10" s="108" t="n"/>
      <c r="BY10" s="90">
        <f>BX10*100/$E$10</f>
        <v/>
      </c>
      <c r="BZ10" s="108" t="n"/>
      <c r="CA10" s="90">
        <f>BZ10*100/$E$10</f>
        <v/>
      </c>
      <c r="CB10" s="108" t="n"/>
      <c r="CC10" s="90">
        <f>CB10*100/$E$10</f>
        <v/>
      </c>
      <c r="CD10" s="108" t="n"/>
      <c r="CE10" s="90">
        <f>CD10*100/$E$10</f>
        <v/>
      </c>
      <c r="CF10" s="108" t="n"/>
      <c r="CG10" s="90">
        <f>CF10*100/$E$10</f>
        <v/>
      </c>
      <c r="CH10" s="108" t="n"/>
      <c r="CI10" s="90">
        <f>CH10*100/$E$10</f>
        <v/>
      </c>
      <c r="CJ10" s="108" t="n"/>
      <c r="CK10" s="90">
        <f>CJ10*100/$E$10</f>
        <v/>
      </c>
      <c r="CL10" s="108" t="n"/>
      <c r="CM10" s="90">
        <f>CL10*100/$E$10</f>
        <v/>
      </c>
      <c r="CN10" s="108" t="n"/>
      <c r="CO10" s="122">
        <f>CN10*100/$E$10</f>
        <v/>
      </c>
      <c r="CP10" s="108" t="n"/>
      <c r="CQ10" s="90">
        <f>CP10*100/$E$10</f>
        <v/>
      </c>
      <c r="CR10" s="108" t="n"/>
      <c r="CS10" s="121">
        <f>CR10*100/$E$10</f>
        <v/>
      </c>
      <c r="CT10" s="108" t="n"/>
      <c r="CU10" s="121">
        <f>CT10*100/$E$10</f>
        <v/>
      </c>
      <c r="CV10" s="108" t="n"/>
      <c r="CW10" s="121">
        <f>CV10*100/$E$10</f>
        <v/>
      </c>
      <c r="CX10" s="108" t="n"/>
      <c r="CY10" s="121">
        <f>CX10*100/$E$10</f>
        <v/>
      </c>
      <c r="CZ10" s="108" t="n"/>
      <c r="DA10" s="121">
        <f>CZ10*100/$E$10</f>
        <v/>
      </c>
      <c r="DB10" s="108" t="n"/>
      <c r="DC10" s="121">
        <f>DB10*100/$E$10</f>
        <v/>
      </c>
      <c r="DD10" s="108" t="n"/>
      <c r="DE10" s="121">
        <f>DD10*100/$E$10</f>
        <v/>
      </c>
      <c r="DF10" s="108" t="n"/>
      <c r="DG10" s="121">
        <f>DF10*100/$E$10</f>
        <v/>
      </c>
      <c r="DH10" s="108" t="n"/>
      <c r="DI10" s="121">
        <f>DH10*100/$E$10</f>
        <v/>
      </c>
      <c r="DJ10" s="108" t="n"/>
      <c r="DK10" s="121">
        <f>DJ10*100/$E$10</f>
        <v/>
      </c>
      <c r="DL10" s="108" t="n"/>
      <c r="DM10" s="121">
        <f>DL10*100/$E$10</f>
        <v/>
      </c>
      <c r="DN10" s="108" t="n"/>
      <c r="DO10" s="121">
        <f>DN10*100/$E$10</f>
        <v/>
      </c>
      <c r="DP10" s="108" t="n"/>
      <c r="DQ10" s="121">
        <f>DP10*100/$E$10</f>
        <v/>
      </c>
      <c r="DR10" s="108" t="n"/>
      <c r="DS10" s="121">
        <f>DR10*100/$E$10</f>
        <v/>
      </c>
      <c r="DT10" s="108" t="n"/>
      <c r="DU10" s="121">
        <f>DT10*100/$E$10</f>
        <v/>
      </c>
      <c r="DV10" s="108" t="n"/>
      <c r="DW10" s="121">
        <f>DV10*100/$E$10</f>
        <v/>
      </c>
      <c r="DX10" s="108" t="n"/>
      <c r="DY10" s="121">
        <f>DX10*100/$E$10</f>
        <v/>
      </c>
      <c r="DZ10" s="108" t="n"/>
      <c r="EA10" s="121">
        <f>DZ10*100/$E$10</f>
        <v/>
      </c>
      <c r="EB10" s="108" t="n"/>
      <c r="EC10" s="121">
        <f>EB10*100/$E$10</f>
        <v/>
      </c>
      <c r="ED10" s="108" t="n"/>
      <c r="EE10" s="121">
        <f>ED10*100/$E$10</f>
        <v/>
      </c>
      <c r="EF10" s="108" t="n"/>
      <c r="EG10" s="121">
        <f>EF10*100/$E$10</f>
        <v/>
      </c>
      <c r="EH10" s="108" t="n"/>
      <c r="EI10" s="121">
        <f>EH10*100/$E$10</f>
        <v/>
      </c>
      <c r="EJ10" s="108" t="n"/>
      <c r="EK10" s="121">
        <f>EJ10*100/$E$10</f>
        <v/>
      </c>
      <c r="EL10" s="108" t="n"/>
      <c r="EM10" s="121">
        <f>EL10*100/$E$10</f>
        <v/>
      </c>
      <c r="EN10" s="108" t="n"/>
      <c r="EO10" s="121">
        <f>EN10*100/$E$10</f>
        <v/>
      </c>
      <c r="EP10" s="108" t="n"/>
      <c r="EQ10" s="121">
        <f>EP10*100/$E$10</f>
        <v/>
      </c>
      <c r="ER10" s="108" t="n"/>
      <c r="ES10" s="121">
        <f>ER10*100/$E$10</f>
        <v/>
      </c>
      <c r="ET10" s="108" t="n"/>
      <c r="EU10" s="121">
        <f>ET10*100/$E$10</f>
        <v/>
      </c>
      <c r="EV10" s="108" t="n"/>
      <c r="EW10" s="121">
        <f>EV10*100/$E$10</f>
        <v/>
      </c>
      <c r="EX10" s="108" t="n"/>
      <c r="EY10" s="121">
        <f>EX10*100/$E$10</f>
        <v/>
      </c>
      <c r="EZ10" s="108" t="n"/>
      <c r="FA10" s="121">
        <f>EZ10*100/$E$10</f>
        <v/>
      </c>
      <c r="FB10" s="108" t="n"/>
      <c r="FC10" s="121">
        <f>FB10*100/$E$10</f>
        <v/>
      </c>
      <c r="FD10" s="108" t="n"/>
      <c r="FE10" s="121">
        <f>FD10*100/$E$10</f>
        <v/>
      </c>
      <c r="FF10" s="108" t="n"/>
      <c r="FG10" s="121">
        <f>FF10*100/$E$10</f>
        <v/>
      </c>
      <c r="FH10" s="108" t="n"/>
      <c r="FI10" s="121">
        <f>FH10*100/$E$10</f>
        <v/>
      </c>
      <c r="FJ10" s="108" t="n"/>
      <c r="FK10" s="121">
        <f>FJ10*100/$E$10</f>
        <v/>
      </c>
      <c r="FL10" s="108" t="n"/>
      <c r="FM10" s="121">
        <f>FL10*100/$E$10</f>
        <v/>
      </c>
      <c r="FN10" s="108" t="n"/>
      <c r="FO10" s="121">
        <f>FN10*100/$E$10</f>
        <v/>
      </c>
      <c r="FP10" s="108" t="n"/>
      <c r="FQ10" s="121">
        <f>FP10*100/$E$10</f>
        <v/>
      </c>
      <c r="FR10" s="108" t="n"/>
      <c r="FS10" s="121">
        <f>FR10*100/$E$10</f>
        <v/>
      </c>
      <c r="FT10" s="108" t="n"/>
      <c r="FU10" s="121">
        <f>FT10*100/$E$10</f>
        <v/>
      </c>
      <c r="FV10" s="108" t="n"/>
      <c r="FW10" s="121">
        <f>FV10*100/$E$10</f>
        <v/>
      </c>
      <c r="FX10" s="108" t="n"/>
      <c r="FY10" s="90">
        <f>FX10*100/$E$10</f>
        <v/>
      </c>
      <c r="FZ10" s="108" t="n"/>
      <c r="GA10" s="90">
        <f>FZ10*100/$E$10</f>
        <v/>
      </c>
      <c r="GB10" s="108" t="n"/>
      <c r="GC10" s="90">
        <f>GB10*100/$E$10</f>
        <v/>
      </c>
      <c r="GD10" s="108" t="n"/>
      <c r="GE10" s="90">
        <f>GD10*100/$E$10</f>
        <v/>
      </c>
      <c r="GF10" s="108" t="n"/>
      <c r="GG10" s="90">
        <f>GF10*100/$E$10</f>
        <v/>
      </c>
      <c r="GH10" s="108" t="n"/>
      <c r="GI10" s="90">
        <f>GH10*100/$E$10</f>
        <v/>
      </c>
      <c r="GJ10" s="108" t="n"/>
      <c r="GK10" s="121">
        <f>GJ10*100/$E$10</f>
        <v/>
      </c>
      <c r="GL10" s="108" t="n"/>
      <c r="GM10" s="90">
        <f>GL10*100/$E$10</f>
        <v/>
      </c>
      <c r="GN10" s="108" t="n"/>
      <c r="GO10" s="121">
        <f>GN10*100/$E$10</f>
        <v/>
      </c>
      <c r="GP10" s="108" t="n"/>
      <c r="GQ10" s="90">
        <f>GP10*100/$E$10</f>
        <v/>
      </c>
      <c r="GR10" s="108" t="n"/>
      <c r="GS10" s="121">
        <f>GR10*100/$E$10</f>
        <v/>
      </c>
      <c r="GT10" s="108" t="n"/>
      <c r="GU10" s="121">
        <f>GT10*100/$E$10</f>
        <v/>
      </c>
      <c r="GV10" s="108" t="n"/>
      <c r="GW10" s="121">
        <f>GV10*100/$E$10</f>
        <v/>
      </c>
      <c r="GX10" s="108" t="n"/>
      <c r="GY10" s="90">
        <f>GX10*100/$E$10</f>
        <v/>
      </c>
      <c r="GZ10" s="108" t="n"/>
      <c r="HA10" s="90">
        <f>GZ10*100/$E$10</f>
        <v/>
      </c>
      <c r="HB10" s="108" t="n"/>
      <c r="HC10" s="90">
        <f>HB10*100/$E$10</f>
        <v/>
      </c>
      <c r="HD10" s="108" t="n"/>
      <c r="HE10" s="90">
        <f>HD10*100/$E$10</f>
        <v/>
      </c>
      <c r="HF10" s="108" t="n"/>
      <c r="HG10" s="90">
        <f>HF10*100/$E$10</f>
        <v/>
      </c>
      <c r="HH10" s="108" t="n"/>
      <c r="HI10" s="90">
        <f>HH10*100/$E$10</f>
        <v/>
      </c>
      <c r="HJ10" s="108" t="n"/>
      <c r="HK10" s="90">
        <f>HJ10*100/$E$10</f>
        <v/>
      </c>
      <c r="HL10" s="108" t="n"/>
      <c r="HM10" s="90">
        <f>HL10*100/$E$10</f>
        <v/>
      </c>
      <c r="HN10" s="108" t="n"/>
      <c r="HO10" s="90">
        <f>HN10*100/$E$10</f>
        <v/>
      </c>
      <c r="HP10" s="108" t="n"/>
      <c r="HQ10" s="90">
        <f>HP10*100/$E$10</f>
        <v/>
      </c>
      <c r="HR10" s="108" t="n"/>
      <c r="HS10" s="90">
        <f>HR10*100/$E$10</f>
        <v/>
      </c>
      <c r="HT10" s="108" t="n"/>
      <c r="HU10" s="90">
        <f>HT10*100/$E$10</f>
        <v/>
      </c>
      <c r="HV10" s="108" t="n"/>
      <c r="HW10" s="90">
        <f>HV10*100/$E$10</f>
        <v/>
      </c>
      <c r="HX10" s="108" t="n"/>
      <c r="HY10" s="90">
        <f>HX10*100/$E$10</f>
        <v/>
      </c>
      <c r="HZ10" s="108" t="n"/>
      <c r="IA10" s="121">
        <f>HZ10*100/$E$10</f>
        <v/>
      </c>
      <c r="IB10" s="108" t="n"/>
      <c r="IC10" s="121">
        <f>IB10*100/$E$10</f>
        <v/>
      </c>
      <c r="ID10" s="108" t="n"/>
      <c r="IE10" s="121">
        <f>ID10*100/$E$10</f>
        <v/>
      </c>
      <c r="IF10" s="108" t="n"/>
      <c r="IG10" s="121">
        <f>IF10*100/$E$10</f>
        <v/>
      </c>
      <c r="IH10" s="108" t="n"/>
      <c r="II10" s="121">
        <f>IH10*100/$E$10</f>
        <v/>
      </c>
      <c r="IJ10" s="108" t="n"/>
      <c r="IK10" s="121">
        <f>IJ10*100/$E$10</f>
        <v/>
      </c>
      <c r="IL10" s="108" t="n"/>
      <c r="IM10" s="90">
        <f>IL10*100/$E$10</f>
        <v/>
      </c>
      <c r="IN10" s="108" t="n"/>
      <c r="IO10" s="90">
        <f>IN10*100/$E$10</f>
        <v/>
      </c>
      <c r="IP10" s="108" t="n"/>
      <c r="IQ10" s="121">
        <f>IP10*100/$E$10</f>
        <v/>
      </c>
      <c r="IR10" s="108" t="n"/>
      <c r="IS10" s="121">
        <f>IR10*100/$E$10</f>
        <v/>
      </c>
      <c r="IT10" s="108" t="n"/>
      <c r="IU10" s="121">
        <f>IT10*100/$E$10</f>
        <v/>
      </c>
      <c r="IV10" s="108" t="n"/>
      <c r="IW10" s="121">
        <f>IV10*100/$E$10</f>
        <v/>
      </c>
      <c r="IX10" s="108" t="n"/>
      <c r="IY10" s="121">
        <f>IX10*100/$E$10</f>
        <v/>
      </c>
      <c r="IZ10" s="108" t="n"/>
      <c r="JA10" s="121">
        <f>IZ10*100/$E$10</f>
        <v/>
      </c>
      <c r="JB10" s="108" t="n"/>
      <c r="JC10" s="121">
        <f>JB10*100/$E$10</f>
        <v/>
      </c>
      <c r="JD10" s="108" t="n"/>
      <c r="JE10" s="121">
        <f>JD10*100/$E$10</f>
        <v/>
      </c>
      <c r="JF10" s="108" t="n"/>
      <c r="JG10" s="121">
        <f>JF10*100/$E$10</f>
        <v/>
      </c>
      <c r="JH10" s="108" t="n"/>
      <c r="JI10" s="121">
        <f>JH10*100/$E$10</f>
        <v/>
      </c>
      <c r="JJ10" s="108" t="n"/>
      <c r="JK10" s="121">
        <f>JJ10*100/$E$10</f>
        <v/>
      </c>
      <c r="JL10" s="108" t="n"/>
      <c r="JM10" s="121">
        <f>JL10*100/$E$10</f>
        <v/>
      </c>
      <c r="JN10" s="108" t="n"/>
      <c r="JO10" s="122">
        <f>JN10*100/$E$10</f>
        <v/>
      </c>
      <c r="JP10" s="108" t="n"/>
      <c r="JQ10" s="122">
        <f>JP10*100/$E$10</f>
        <v/>
      </c>
      <c r="JR10" s="108" t="n"/>
      <c r="JS10" s="122">
        <f>JR10*100/$E$10</f>
        <v/>
      </c>
      <c r="JT10" s="108" t="n"/>
      <c r="JU10" s="122">
        <f>JT10*100/$E$10</f>
        <v/>
      </c>
      <c r="JV10" s="108" t="n"/>
      <c r="JW10" s="122">
        <f>JV10*100/$E$10</f>
        <v/>
      </c>
      <c r="JX10" s="108" t="n"/>
      <c r="JY10" s="122">
        <f>JX10*100/$E$10</f>
        <v/>
      </c>
      <c r="JZ10" s="55">
        <f>JN10+JP10+JR10+JT10+JV10+JX10</f>
        <v/>
      </c>
      <c r="KA10" s="53">
        <f>JO10+JQ10+JS10+JU10+JW10+JY10</f>
        <v/>
      </c>
      <c r="KB10" s="64">
        <f>H10+J10+L10+N10+P10+R10+T10+V10+X10+Z10+AB10+AD10+AF10+AH10+AJ10+AL10+AN10+AP10+AR10+AT10+AV10+AX10+AZ10+BB10+BD10+BF10+BH10+BJ10+BL10+BN10+BP10+BR10+BT10+BV10+BX10+BZ10+CB10+CD10+CF10+CH10+CZ10+DB10+DD10+DF10+DH10+DJ10+DL10+DN10+DP10+DR10+DT10+DV10+DX10+DZ10+EB10+ED10+EF10+EH10+EJ10+EL10+EN10+EP10+ER10+ET10+EV10+FN10+FP10+FR10+FT10+FV10+FX10+FZ10+GB10+GD10+GF10+GH10+GJ10+GL10+GN10+GP10+GR10+GT10+GV10+GX10+GZ10+HB10+HD10+HF10+HH10+HJ10+HL10+HN10+HP10+HR10+HT10+HV10+HX10+HZ10+IB10+ID10+IF10+IH10+IJ10+IL10+IN10+IP10+IR10+IT10+IV10+IX10+IZ10+JB10+JD10+JF10+JH10+JJ10+JL10+JZ10+CJ10+CL10+CN10+CP10+CR10+CT10+CV10+CX10+EX10+EZ10+FB10+FD10+FF10+FH10+FJ10+FL10</f>
        <v/>
      </c>
      <c r="KC10" s="66">
        <f>I10+K10+M10+O10+Q10+S10+U10+W10+Y10+AA10+AC10+AE10+AG10+AI10+AK10+AM10+AO10+AQ10+AS10+AU10+AW10+AY10+BA10+BC10+BE10+BG10+BI10+BK10+BM10+BO10+BQ10+BS10+BU10+BW10+BY10+CA10+CC10+CE10+CG10+CI10+DA10+DC10+DE10+DG10+DI10+DK10+DM10+DO10+DQ10+DS10+DU10+DW10+DY10+EA10+EC10+EE10+EG10+EI10+EK10+EM10+EO10+EQ10+ES10+EU10+EW10+FO10+FS10+FU10+FW10+FQ10+FY10+GA10+GC10+GE10+GG10+GI10+GK10+GM10+GO10+GQ10+GS10+GU10+GW10+GY10+HA10+HC10+HE10+HG10+HI10+HK10+HM10+HO10+HQ10+HS10+HU10+HW10+HY10+IA10+IC10+IE10+IG10+II10+IK10+IM10+IO10+IQ10+IS10+IU10+IW10+IY10+JA10+JC10+JE10+JG10+JI10+JK10+JM10+KA10+CK10+CM10+CO10+CQ10+CS10+CU10+CW10+CY10+EY10+FA10+FC10+FE10+FG10+FI10+FK10+FM10</f>
        <v/>
      </c>
      <c r="KD10" s="44">
        <f>JO10+JQ10+JS10+JU10+JW10+JY10</f>
        <v/>
      </c>
      <c r="KE10" s="45">
        <f>KB10=E10</f>
        <v/>
      </c>
      <c r="KF10" s="101">
        <f>E10-KB10</f>
        <v/>
      </c>
    </row>
    <row r="11" ht="21.75" customFormat="1" customHeight="1" s="17">
      <c r="A11" s="126">
        <f>A10+1</f>
        <v/>
      </c>
      <c r="B11" s="175" t="inlineStr">
        <is>
          <t>Блощинский С.В.</t>
        </is>
      </c>
      <c r="C11" s="176" t="inlineStr">
        <is>
          <t>слесарь</t>
        </is>
      </c>
      <c r="D11" s="177">
        <f>$D$5</f>
        <v/>
      </c>
      <c r="E11" s="202" t="n"/>
      <c r="F11" s="178" t="n">
        <v>68902.87</v>
      </c>
      <c r="G11" s="52">
        <f>F11/D11</f>
        <v/>
      </c>
      <c r="H11" s="125" t="n"/>
      <c r="I11" s="90">
        <f>H11*100/$E$11</f>
        <v/>
      </c>
      <c r="J11" s="108" t="n"/>
      <c r="K11" s="90">
        <f>J11*100/$E$10</f>
        <v/>
      </c>
      <c r="L11" s="108" t="n"/>
      <c r="M11" s="90">
        <f>L11*100/$E$10</f>
        <v/>
      </c>
      <c r="N11" s="108" t="n"/>
      <c r="O11" s="90">
        <f>N11*100/$E$10</f>
        <v/>
      </c>
      <c r="P11" s="108" t="n"/>
      <c r="Q11" s="121">
        <f>P11*100/$E$10</f>
        <v/>
      </c>
      <c r="R11" s="108" t="n"/>
      <c r="S11" s="121">
        <f>R11*100/$E$10</f>
        <v/>
      </c>
      <c r="T11" s="108" t="n"/>
      <c r="U11" s="90">
        <f>T11*100/$E$11</f>
        <v/>
      </c>
      <c r="V11" s="108" t="n"/>
      <c r="W11" s="90">
        <f>V11*100/$E$10</f>
        <v/>
      </c>
      <c r="X11" s="108" t="n"/>
      <c r="Y11" s="90">
        <f>X11*100/$E$11</f>
        <v/>
      </c>
      <c r="Z11" s="108" t="n"/>
      <c r="AA11" s="90">
        <f>Z11*100/$E$11</f>
        <v/>
      </c>
      <c r="AB11" s="108" t="n"/>
      <c r="AC11" s="90">
        <f>AB11*100/$E$11</f>
        <v/>
      </c>
      <c r="AD11" s="108" t="n"/>
      <c r="AE11" s="121">
        <f>AD11*100/$E$11</f>
        <v/>
      </c>
      <c r="AF11" s="108" t="n"/>
      <c r="AG11" s="121">
        <f>AF11*100/$E$11</f>
        <v/>
      </c>
      <c r="AH11" s="108" t="n"/>
      <c r="AI11" s="90">
        <f>AH11*100/$E$11</f>
        <v/>
      </c>
      <c r="AJ11" s="108" t="n"/>
      <c r="AK11" s="90">
        <f>AJ11*100/$E$11</f>
        <v/>
      </c>
      <c r="AL11" s="108" t="n"/>
      <c r="AM11" s="90">
        <f>AL11*100/$E$11</f>
        <v/>
      </c>
      <c r="AN11" s="108" t="n"/>
      <c r="AO11" s="90">
        <f>AN11*100/$E$11</f>
        <v/>
      </c>
      <c r="AP11" s="108" t="n"/>
      <c r="AQ11" s="90">
        <f>AP11*100/$E$11</f>
        <v/>
      </c>
      <c r="AR11" s="108" t="n"/>
      <c r="AS11" s="90">
        <f>AR11*100/$E$11</f>
        <v/>
      </c>
      <c r="AT11" s="108" t="n"/>
      <c r="AU11" s="90">
        <f>AT11*100/$E$11</f>
        <v/>
      </c>
      <c r="AV11" s="108" t="n"/>
      <c r="AW11" s="90">
        <f>AV11*100/$E$11</f>
        <v/>
      </c>
      <c r="AX11" s="108" t="n"/>
      <c r="AY11" s="90">
        <f>AX11*100/$E$11</f>
        <v/>
      </c>
      <c r="AZ11" s="108" t="n"/>
      <c r="BA11" s="90">
        <f>AZ11*100/$E$11</f>
        <v/>
      </c>
      <c r="BB11" s="108" t="n"/>
      <c r="BC11" s="90">
        <f>BB11*100/$E$11</f>
        <v/>
      </c>
      <c r="BD11" s="108" t="n"/>
      <c r="BE11" s="90">
        <f>BD11*100/$E$11</f>
        <v/>
      </c>
      <c r="BF11" s="108" t="n"/>
      <c r="BG11" s="90">
        <f>BF11*100/$E$11</f>
        <v/>
      </c>
      <c r="BH11" s="108" t="n"/>
      <c r="BI11" s="90">
        <f>BH11*100/$E$11</f>
        <v/>
      </c>
      <c r="BJ11" s="108" t="n"/>
      <c r="BK11" s="90">
        <f>BJ11*100/$E$11</f>
        <v/>
      </c>
      <c r="BL11" s="108" t="n"/>
      <c r="BM11" s="90">
        <f>BL11*100/$E$11</f>
        <v/>
      </c>
      <c r="BN11" s="108" t="n"/>
      <c r="BO11" s="90">
        <f>BN11*100/$E$11</f>
        <v/>
      </c>
      <c r="BP11" s="108" t="n"/>
      <c r="BQ11" s="90">
        <f>BP11*100/$E$11</f>
        <v/>
      </c>
      <c r="BR11" s="108" t="n"/>
      <c r="BS11" s="90">
        <f>BR11*100/$E$11</f>
        <v/>
      </c>
      <c r="BT11" s="108" t="n"/>
      <c r="BU11" s="90">
        <f>BT11*100/$E$11</f>
        <v/>
      </c>
      <c r="BV11" s="108" t="n"/>
      <c r="BW11" s="90">
        <f>BV11*100/$E$11</f>
        <v/>
      </c>
      <c r="BX11" s="108" t="n"/>
      <c r="BY11" s="90">
        <f>BX11*100/$E$11</f>
        <v/>
      </c>
      <c r="BZ11" s="108" t="n"/>
      <c r="CA11" s="90">
        <f>BZ11*100/$E$11</f>
        <v/>
      </c>
      <c r="CB11" s="108" t="n"/>
      <c r="CC11" s="90">
        <f>CB11*100/$E$11</f>
        <v/>
      </c>
      <c r="CD11" s="108" t="n"/>
      <c r="CE11" s="90">
        <f>CD11*100/$E$10</f>
        <v/>
      </c>
      <c r="CF11" s="108" t="n"/>
      <c r="CG11" s="90">
        <f>CF11*100/$E$11</f>
        <v/>
      </c>
      <c r="CH11" s="108" t="n"/>
      <c r="CI11" s="90">
        <f>CH11*100/$E$11</f>
        <v/>
      </c>
      <c r="CJ11" s="108" t="n"/>
      <c r="CK11" s="90">
        <f>CJ11*100/$E$11</f>
        <v/>
      </c>
      <c r="CL11" s="108" t="n"/>
      <c r="CM11" s="90">
        <f>CL11*100/$E$11</f>
        <v/>
      </c>
      <c r="CN11" s="108" t="n"/>
      <c r="CO11" s="122">
        <f>CN11*100/$E$11</f>
        <v/>
      </c>
      <c r="CP11" s="108" t="n"/>
      <c r="CQ11" s="90">
        <f>CP11*100/$E$11</f>
        <v/>
      </c>
      <c r="CR11" s="108" t="n"/>
      <c r="CS11" s="121">
        <f>CR11*100/$E$11</f>
        <v/>
      </c>
      <c r="CT11" s="108" t="n"/>
      <c r="CU11" s="121">
        <f>CT11*100/$E$11</f>
        <v/>
      </c>
      <c r="CV11" s="108" t="n"/>
      <c r="CW11" s="121">
        <f>CV11*100/$E$11</f>
        <v/>
      </c>
      <c r="CX11" s="108" t="n"/>
      <c r="CY11" s="121">
        <f>CX11*100/$E$11</f>
        <v/>
      </c>
      <c r="CZ11" s="108" t="n"/>
      <c r="DA11" s="121">
        <f>CZ11*100/$E$11</f>
        <v/>
      </c>
      <c r="DB11" s="108" t="n"/>
      <c r="DC11" s="121">
        <f>DB11*100/$E$11</f>
        <v/>
      </c>
      <c r="DD11" s="108" t="n"/>
      <c r="DE11" s="121">
        <f>DD11*100/$E$11</f>
        <v/>
      </c>
      <c r="DF11" s="108" t="n"/>
      <c r="DG11" s="121">
        <f>DF11*100/$E$11</f>
        <v/>
      </c>
      <c r="DH11" s="108" t="n"/>
      <c r="DI11" s="121">
        <f>DH11*100/$E$11</f>
        <v/>
      </c>
      <c r="DJ11" s="108" t="n"/>
      <c r="DK11" s="121">
        <f>DJ11*100/$E$11</f>
        <v/>
      </c>
      <c r="DL11" s="108" t="n"/>
      <c r="DM11" s="121">
        <f>DL11*100/$E$11</f>
        <v/>
      </c>
      <c r="DN11" s="108" t="n"/>
      <c r="DO11" s="121">
        <f>DN11*100/$E$11</f>
        <v/>
      </c>
      <c r="DP11" s="108" t="n"/>
      <c r="DQ11" s="121">
        <f>DP11*100/$E$11</f>
        <v/>
      </c>
      <c r="DR11" s="108" t="n"/>
      <c r="DS11" s="121">
        <f>DR11*100/$E$11</f>
        <v/>
      </c>
      <c r="DT11" s="108" t="n"/>
      <c r="DU11" s="121">
        <f>DT11*100/$E$11</f>
        <v/>
      </c>
      <c r="DV11" s="108" t="n"/>
      <c r="DW11" s="121">
        <f>DV11*100/$E$11</f>
        <v/>
      </c>
      <c r="DX11" s="108" t="n"/>
      <c r="DY11" s="121">
        <f>DX11*100/$E$11</f>
        <v/>
      </c>
      <c r="DZ11" s="108" t="n"/>
      <c r="EA11" s="121">
        <f>DZ11*100/$E$11</f>
        <v/>
      </c>
      <c r="EB11" s="108" t="n"/>
      <c r="EC11" s="121">
        <f>EB11*100/$E$11</f>
        <v/>
      </c>
      <c r="ED11" s="108" t="n"/>
      <c r="EE11" s="121">
        <f>ED11*100/$E$11</f>
        <v/>
      </c>
      <c r="EF11" s="108" t="n"/>
      <c r="EG11" s="121">
        <f>EF11*100/$E$11</f>
        <v/>
      </c>
      <c r="EH11" s="108" t="n"/>
      <c r="EI11" s="121">
        <f>EH11*100/$E$11</f>
        <v/>
      </c>
      <c r="EJ11" s="108" t="n"/>
      <c r="EK11" s="121">
        <f>EJ11*100/$E$10</f>
        <v/>
      </c>
      <c r="EL11" s="108" t="n"/>
      <c r="EM11" s="121">
        <f>EL11*100/$E$11</f>
        <v/>
      </c>
      <c r="EN11" s="108" t="n"/>
      <c r="EO11" s="121">
        <f>EN11*100/$E$11</f>
        <v/>
      </c>
      <c r="EP11" s="108" t="n"/>
      <c r="EQ11" s="121">
        <f>EP11*100/$E$11</f>
        <v/>
      </c>
      <c r="ER11" s="108" t="n"/>
      <c r="ES11" s="121">
        <f>ER11*100/$E$11</f>
        <v/>
      </c>
      <c r="ET11" s="108" t="n"/>
      <c r="EU11" s="121">
        <f>ET11*100/$E$11</f>
        <v/>
      </c>
      <c r="EV11" s="108" t="n"/>
      <c r="EW11" s="121">
        <f>EV11*100/$E$11</f>
        <v/>
      </c>
      <c r="EX11" s="108" t="n"/>
      <c r="EY11" s="121">
        <f>EX11*100/$E$11</f>
        <v/>
      </c>
      <c r="EZ11" s="108" t="n"/>
      <c r="FA11" s="121">
        <f>EZ11*100/$E$11</f>
        <v/>
      </c>
      <c r="FB11" s="108" t="n"/>
      <c r="FC11" s="121">
        <f>FB11*100/$E$11</f>
        <v/>
      </c>
      <c r="FD11" s="108" t="n"/>
      <c r="FE11" s="121">
        <f>FD11*100/$E$11</f>
        <v/>
      </c>
      <c r="FF11" s="108" t="n"/>
      <c r="FG11" s="121">
        <f>FF11*100/$E$11</f>
        <v/>
      </c>
      <c r="FH11" s="108" t="n"/>
      <c r="FI11" s="121">
        <f>FH11*100/$E$11</f>
        <v/>
      </c>
      <c r="FJ11" s="108" t="n"/>
      <c r="FK11" s="121">
        <f>FJ11*100/$E$11</f>
        <v/>
      </c>
      <c r="FL11" s="108" t="n"/>
      <c r="FM11" s="121">
        <f>FL11*100/$E$11</f>
        <v/>
      </c>
      <c r="FN11" s="108" t="n"/>
      <c r="FO11" s="121">
        <f>FN11*100/$E$11</f>
        <v/>
      </c>
      <c r="FP11" s="108" t="n"/>
      <c r="FQ11" s="121">
        <f>FP11*100/$E$11</f>
        <v/>
      </c>
      <c r="FR11" s="108" t="n"/>
      <c r="FS11" s="121">
        <f>FR11*100/$E$11</f>
        <v/>
      </c>
      <c r="FT11" s="108" t="n"/>
      <c r="FU11" s="121">
        <f>FT11*100/$E$11</f>
        <v/>
      </c>
      <c r="FV11" s="108" t="n"/>
      <c r="FW11" s="121">
        <f>FV11*100/$E$11</f>
        <v/>
      </c>
      <c r="FX11" s="108" t="n"/>
      <c r="FY11" s="121">
        <f>FX11*100/$E$11</f>
        <v/>
      </c>
      <c r="FZ11" s="108" t="n"/>
      <c r="GA11" s="121">
        <f>FZ11*100/$E$11</f>
        <v/>
      </c>
      <c r="GB11" s="108" t="n"/>
      <c r="GC11" s="121">
        <f>GB11*100/$E$11</f>
        <v/>
      </c>
      <c r="GD11" s="108" t="n"/>
      <c r="GE11" s="121">
        <f>GD11*100/$E$11</f>
        <v/>
      </c>
      <c r="GF11" s="108" t="n"/>
      <c r="GG11" s="121">
        <f>GF11*100/$E$11</f>
        <v/>
      </c>
      <c r="GH11" s="108" t="n"/>
      <c r="GI11" s="121">
        <f>GH11*100/$E$11</f>
        <v/>
      </c>
      <c r="GJ11" s="108" t="n"/>
      <c r="GK11" s="121">
        <f>GJ11*100/$E$11</f>
        <v/>
      </c>
      <c r="GL11" s="108" t="n"/>
      <c r="GM11" s="121">
        <f>GL11*100/$E$11</f>
        <v/>
      </c>
      <c r="GN11" s="108" t="n"/>
      <c r="GO11" s="121">
        <f>GN11*100/$E$11</f>
        <v/>
      </c>
      <c r="GP11" s="108" t="n"/>
      <c r="GQ11" s="121">
        <f>GP11*100/$E$11</f>
        <v/>
      </c>
      <c r="GR11" s="108" t="n"/>
      <c r="GS11" s="121">
        <f>GR11*100/$E$11</f>
        <v/>
      </c>
      <c r="GT11" s="108" t="n"/>
      <c r="GU11" s="121">
        <f>GT11*100/$E$11</f>
        <v/>
      </c>
      <c r="GV11" s="108" t="n"/>
      <c r="GW11" s="121">
        <f>GV11*100/$E$11</f>
        <v/>
      </c>
      <c r="GX11" s="108" t="n"/>
      <c r="GY11" s="121">
        <f>GX11*100/$E$11</f>
        <v/>
      </c>
      <c r="GZ11" s="108" t="n"/>
      <c r="HA11" s="121">
        <f>GZ11*100/$E$11</f>
        <v/>
      </c>
      <c r="HB11" s="108" t="n"/>
      <c r="HC11" s="121">
        <f>HB11*100/$E$11</f>
        <v/>
      </c>
      <c r="HD11" s="108" t="n"/>
      <c r="HE11" s="121">
        <f>HD11*100/$E$11</f>
        <v/>
      </c>
      <c r="HF11" s="108" t="n"/>
      <c r="HG11" s="121">
        <f>HF11*100/$E$11</f>
        <v/>
      </c>
      <c r="HH11" s="108" t="n"/>
      <c r="HI11" s="121">
        <f>HH11*100/$E$11</f>
        <v/>
      </c>
      <c r="HJ11" s="108" t="n"/>
      <c r="HK11" s="121">
        <f>HJ11*100/$E$11</f>
        <v/>
      </c>
      <c r="HL11" s="108" t="n"/>
      <c r="HM11" s="121">
        <f>HL11*100/$E$11</f>
        <v/>
      </c>
      <c r="HN11" s="108" t="n"/>
      <c r="HO11" s="121">
        <f>HN11*100/$E$11</f>
        <v/>
      </c>
      <c r="HP11" s="108" t="n"/>
      <c r="HQ11" s="121">
        <f>HP11*100/$E$11</f>
        <v/>
      </c>
      <c r="HR11" s="108" t="n"/>
      <c r="HS11" s="121">
        <f>HR11*100/$E$11</f>
        <v/>
      </c>
      <c r="HT11" s="108" t="n"/>
      <c r="HU11" s="121">
        <f>HT11*100/$E$11</f>
        <v/>
      </c>
      <c r="HV11" s="108" t="n"/>
      <c r="HW11" s="121">
        <f>HV11*100/$E$11</f>
        <v/>
      </c>
      <c r="HX11" s="108" t="n"/>
      <c r="HY11" s="121">
        <f>HX11*100/$E$11</f>
        <v/>
      </c>
      <c r="HZ11" s="108" t="n"/>
      <c r="IA11" s="121">
        <f>HZ11*100/$E$11</f>
        <v/>
      </c>
      <c r="IB11" s="108" t="n"/>
      <c r="IC11" s="121">
        <f>IB11*100/$E$11</f>
        <v/>
      </c>
      <c r="ID11" s="108" t="n"/>
      <c r="IE11" s="121">
        <f>ID11*100/$E$11</f>
        <v/>
      </c>
      <c r="IF11" s="108" t="n"/>
      <c r="IG11" s="121">
        <f>IF11*100/$E$11</f>
        <v/>
      </c>
      <c r="IH11" s="108" t="n"/>
      <c r="II11" s="121">
        <f>IH11*100/$E$11</f>
        <v/>
      </c>
      <c r="IJ11" s="108" t="n"/>
      <c r="IK11" s="121">
        <f>IJ11*100/$E$11</f>
        <v/>
      </c>
      <c r="IL11" s="108" t="n"/>
      <c r="IM11" s="121">
        <f>IL11*100/$E$11</f>
        <v/>
      </c>
      <c r="IN11" s="108" t="n"/>
      <c r="IO11" s="121">
        <f>IN11*100/$E$11</f>
        <v/>
      </c>
      <c r="IP11" s="108" t="n"/>
      <c r="IQ11" s="121">
        <f>IP11*100/$E$11</f>
        <v/>
      </c>
      <c r="IR11" s="108" t="n"/>
      <c r="IS11" s="121">
        <f>IR11*100/$E$11</f>
        <v/>
      </c>
      <c r="IT11" s="108" t="n"/>
      <c r="IU11" s="121">
        <f>IT11*100/$E$11</f>
        <v/>
      </c>
      <c r="IV11" s="108" t="n"/>
      <c r="IW11" s="121">
        <f>IV11*100/$E$11</f>
        <v/>
      </c>
      <c r="IX11" s="108" t="n"/>
      <c r="IY11" s="121">
        <f>IX11*100/$E$11</f>
        <v/>
      </c>
      <c r="IZ11" s="108" t="n"/>
      <c r="JA11" s="121">
        <f>IZ11*100/$E$11</f>
        <v/>
      </c>
      <c r="JB11" s="108" t="n"/>
      <c r="JC11" s="121">
        <f>JB11*100/$E$11</f>
        <v/>
      </c>
      <c r="JD11" s="108" t="n"/>
      <c r="JE11" s="121">
        <f>JD11*100/$E$11</f>
        <v/>
      </c>
      <c r="JF11" s="108" t="n"/>
      <c r="JG11" s="121">
        <f>JF11*100/$E$11</f>
        <v/>
      </c>
      <c r="JH11" s="108" t="n"/>
      <c r="JI11" s="121">
        <f>JH11*100/$E$11</f>
        <v/>
      </c>
      <c r="JJ11" s="108" t="n"/>
      <c r="JK11" s="121">
        <f>JJ11*100/$E$11</f>
        <v/>
      </c>
      <c r="JL11" s="108" t="n"/>
      <c r="JM11" s="121">
        <f>JL11*100/$E$11</f>
        <v/>
      </c>
      <c r="JN11" s="108" t="n"/>
      <c r="JO11" s="122">
        <f>JN11*100/$E$11</f>
        <v/>
      </c>
      <c r="JP11" s="108" t="n"/>
      <c r="JQ11" s="122">
        <f>JP11*100/$E$11</f>
        <v/>
      </c>
      <c r="JR11" s="108" t="n"/>
      <c r="JS11" s="122">
        <f>JR11*100/$E$11</f>
        <v/>
      </c>
      <c r="JT11" s="108" t="n"/>
      <c r="JU11" s="122">
        <f>JT11*100/$E$11</f>
        <v/>
      </c>
      <c r="JV11" s="108" t="n"/>
      <c r="JW11" s="122">
        <f>JV11*100/$E$11</f>
        <v/>
      </c>
      <c r="JX11" s="108" t="n"/>
      <c r="JY11" s="122">
        <f>JX11*100/$E$11</f>
        <v/>
      </c>
      <c r="JZ11" s="55">
        <f>JN11+JP11+JR11+JT11+JV11+JX11</f>
        <v/>
      </c>
      <c r="KA11" s="53">
        <f>JO11+JQ11+JS11+JU11+JW11+JY11</f>
        <v/>
      </c>
      <c r="KB11" s="64">
        <f>H11+J11+L11+N11+P11+R11+T11+V11+X11+Z11+AB11+AD11+AF11+AH11+AJ11+AL11+AN11+AP11+AR11+AT11+AV11+AX11+AZ11+BB11+BD11+BF11+BH11+BJ11+BL11+BN11+BP11+BR11+BT11+BV11+BX11+BZ11+CB11+CD11+CF11+CH11+CZ11+DB11+DD11+DF11+DH11+DJ11+DL11+DN11+DP11+DR11+DT11+DV11+DX11+DZ11+EB11+ED11+EF11+EH11+EJ11+EL11+EN11+EP11+ER11+ET11+EV11+FN11+FP11+FR11+FT11+FV11+FX11+FZ11+GB11+GD11+GF11+GH11+GJ11+GL11+GN11+GP11+GR11+GT11+GV11+GX11+GZ11+HB11+HD11+HF11+HH11+HJ11+HL11+HN11+HP11+HR11+HT11+HV11+HX11+HZ11+IB11+ID11+IF11+IH11+IJ11+IL11+IN11+IP11+IR11+IT11+IV11+IX11+IZ11+JB11+JD11+JF11+JH11+JJ11+JL11+JZ11+CJ11+CL11+CN11+CP11+CR11+CT11+CV11+CX11+EX11+EZ11+FB11+FD11+FF11+FH11+FJ11+FL11</f>
        <v/>
      </c>
      <c r="KC11" s="66">
        <f>I11+K11+M11+O11+Q11+S11+U11+W11+Y11+AA11+AC11+AE11+AG11+AI11+AK11+AM11+AO11+AQ11+AS11+AU11+AW11+AY11+BA11+BC11+BE11+BG11+BI11+BK11+BM11+BO11+BQ11+BS11+BU11+BW11+BY11+CA11+CC11+CE11+CG11+CI11+DA11+DC11+DE11+DG11+DI11+DK11+DM11+DO11+DQ11+DS11+DU11+DW11+DY11+EA11+EC11+EE11+EG11+EI11+EK11+EM11+EO11+EQ11+ES11+EU11+EW11+FO11+FS11+FU11+FW11+FQ11+FY11+GA11+GC11+GE11+GG11+GI11+GK11+GM11+GO11+GQ11+GS11+GU11+GW11+GY11+HA11+HC11+HE11+HG11+HI11+HK11+HM11+HO11+HQ11+HS11+HU11+HW11+HY11+IA11+IC11+IE11+IG11+II11+IK11+IM11+IO11+IQ11+IS11+IU11+IW11+IY11+JA11+JC11+JE11+JG11+JI11+JK11+JM11+KA11+CK11+CM11+CO11+CQ11+CS11+CU11+CW11+CY11+EY11+FA11+FC11+FE11+FG11+FI11+FK11+FM11</f>
        <v/>
      </c>
      <c r="KD11" s="44">
        <f>JO11+JQ11+JS11+JU11+JW11+JY11</f>
        <v/>
      </c>
      <c r="KE11" s="45">
        <f>KB11=E11</f>
        <v/>
      </c>
      <c r="KF11" s="101">
        <f>E11-KB11</f>
        <v/>
      </c>
    </row>
    <row r="12" ht="21.75" customFormat="1" customHeight="1" s="11">
      <c r="A12" s="126">
        <f>A11+1</f>
        <v/>
      </c>
      <c r="B12" s="175" t="inlineStr">
        <is>
          <t>Бреев И.И.</t>
        </is>
      </c>
      <c r="C12" s="194" t="inlineStr">
        <is>
          <t>токарь</t>
        </is>
      </c>
      <c r="D12" s="177">
        <f>$D$5</f>
        <v/>
      </c>
      <c r="E12" s="202" t="n"/>
      <c r="F12" s="191" t="n">
        <v>101150.45</v>
      </c>
      <c r="G12" s="52">
        <f>F12/D12</f>
        <v/>
      </c>
      <c r="H12" s="125" t="n"/>
      <c r="I12" s="90">
        <f>H12*100/$E$12</f>
        <v/>
      </c>
      <c r="J12" s="108" t="n"/>
      <c r="K12" s="90">
        <f>J12*100/$E$12</f>
        <v/>
      </c>
      <c r="L12" s="108" t="n"/>
      <c r="M12" s="90">
        <f>L12*100/$E$12</f>
        <v/>
      </c>
      <c r="N12" s="108" t="n"/>
      <c r="O12" s="90">
        <f>N12*100/$E$12</f>
        <v/>
      </c>
      <c r="P12" s="108" t="n"/>
      <c r="Q12" s="121">
        <f>P12*100/$E$12</f>
        <v/>
      </c>
      <c r="R12" s="108" t="n"/>
      <c r="S12" s="121">
        <f>R12*100/$E$12</f>
        <v/>
      </c>
      <c r="T12" s="108" t="n"/>
      <c r="U12" s="90">
        <f>T12*100/$E$12</f>
        <v/>
      </c>
      <c r="V12" s="108" t="n"/>
      <c r="W12" s="90">
        <f>V12*100/$E$12</f>
        <v/>
      </c>
      <c r="X12" s="108" t="n"/>
      <c r="Y12" s="90">
        <f>X12*100/$E$12</f>
        <v/>
      </c>
      <c r="Z12" s="108" t="n"/>
      <c r="AA12" s="90">
        <f>Z12*100/$E$12</f>
        <v/>
      </c>
      <c r="AB12" s="108" t="n"/>
      <c r="AC12" s="90">
        <f>AB12*100/$E$12</f>
        <v/>
      </c>
      <c r="AD12" s="108" t="n"/>
      <c r="AE12" s="121">
        <f>AD12*100/$E$12</f>
        <v/>
      </c>
      <c r="AF12" s="108" t="n"/>
      <c r="AG12" s="121">
        <f>AF12*100/$E$12</f>
        <v/>
      </c>
      <c r="AH12" s="108" t="n"/>
      <c r="AI12" s="90">
        <f>AH12*100/$E$12</f>
        <v/>
      </c>
      <c r="AJ12" s="108" t="n"/>
      <c r="AK12" s="90">
        <f>AJ12*100/$E$12</f>
        <v/>
      </c>
      <c r="AL12" s="108" t="n"/>
      <c r="AM12" s="90">
        <f>AL12*100/$E$12</f>
        <v/>
      </c>
      <c r="AN12" s="108" t="n"/>
      <c r="AO12" s="90">
        <f>AN12*100/$E$12</f>
        <v/>
      </c>
      <c r="AP12" s="108" t="n"/>
      <c r="AQ12" s="90">
        <f>AP12*100/$E$12</f>
        <v/>
      </c>
      <c r="AR12" s="108" t="n"/>
      <c r="AS12" s="90">
        <f>AR12*100/$E$12</f>
        <v/>
      </c>
      <c r="AT12" s="108" t="n"/>
      <c r="AU12" s="90">
        <f>AT12*100/$E$12</f>
        <v/>
      </c>
      <c r="AV12" s="108" t="n"/>
      <c r="AW12" s="90">
        <f>AV12*100/$E$12</f>
        <v/>
      </c>
      <c r="AX12" s="108" t="n"/>
      <c r="AY12" s="90">
        <f>AX12*100/$E$12</f>
        <v/>
      </c>
      <c r="AZ12" s="108" t="n"/>
      <c r="BA12" s="90">
        <f>AZ12*100/$E$12</f>
        <v/>
      </c>
      <c r="BB12" s="108" t="n"/>
      <c r="BC12" s="90">
        <f>BB12*100/$E$12</f>
        <v/>
      </c>
      <c r="BD12" s="108" t="n"/>
      <c r="BE12" s="90">
        <f>BD12*100/$E$12</f>
        <v/>
      </c>
      <c r="BF12" s="108" t="n"/>
      <c r="BG12" s="90">
        <f>BF12*100/$E$12</f>
        <v/>
      </c>
      <c r="BH12" s="108" t="n"/>
      <c r="BI12" s="90">
        <f>BH12*100/$E$12</f>
        <v/>
      </c>
      <c r="BJ12" s="108" t="n"/>
      <c r="BK12" s="90">
        <f>BJ12*100/$E$12</f>
        <v/>
      </c>
      <c r="BL12" s="108" t="n"/>
      <c r="BM12" s="90">
        <f>BL12*100/$E$12</f>
        <v/>
      </c>
      <c r="BN12" s="108" t="n"/>
      <c r="BO12" s="90">
        <f>BN12*100/$E$12</f>
        <v/>
      </c>
      <c r="BP12" s="108" t="n"/>
      <c r="BQ12" s="90">
        <f>BP12*100/$E$12</f>
        <v/>
      </c>
      <c r="BR12" s="108" t="n"/>
      <c r="BS12" s="90">
        <f>BR12*100/$E$12</f>
        <v/>
      </c>
      <c r="BT12" s="108" t="n"/>
      <c r="BU12" s="90">
        <f>BT12*100/$E$12</f>
        <v/>
      </c>
      <c r="BV12" s="108" t="n"/>
      <c r="BW12" s="90">
        <f>BV12*100/$E$12</f>
        <v/>
      </c>
      <c r="BX12" s="108" t="n"/>
      <c r="BY12" s="90">
        <f>BX12*100/$E$12</f>
        <v/>
      </c>
      <c r="BZ12" s="108" t="n"/>
      <c r="CA12" s="90">
        <f>BZ12*100/$E$12</f>
        <v/>
      </c>
      <c r="CB12" s="108" t="n"/>
      <c r="CC12" s="90">
        <f>CB12*100/$E$12</f>
        <v/>
      </c>
      <c r="CD12" s="108" t="n"/>
      <c r="CE12" s="90">
        <f>CD12*100/$E$12</f>
        <v/>
      </c>
      <c r="CF12" s="108" t="n"/>
      <c r="CG12" s="90">
        <f>CF12*100/$E$12</f>
        <v/>
      </c>
      <c r="CH12" s="108" t="n"/>
      <c r="CI12" s="90">
        <f>CH12*100/$E$12</f>
        <v/>
      </c>
      <c r="CJ12" s="108" t="n"/>
      <c r="CK12" s="90">
        <f>CJ12*100/$E$12</f>
        <v/>
      </c>
      <c r="CL12" s="108" t="n"/>
      <c r="CM12" s="90">
        <f>CL12*100/$E$12</f>
        <v/>
      </c>
      <c r="CN12" s="108" t="n"/>
      <c r="CO12" s="122">
        <f>CN12*100/$E$12</f>
        <v/>
      </c>
      <c r="CP12" s="108" t="n"/>
      <c r="CQ12" s="90">
        <f>CP12*100/$E$12</f>
        <v/>
      </c>
      <c r="CR12" s="108" t="n"/>
      <c r="CS12" s="121">
        <f>CR12*100/$E$12</f>
        <v/>
      </c>
      <c r="CT12" s="108" t="n"/>
      <c r="CU12" s="121">
        <f>CT12*100/$E$12</f>
        <v/>
      </c>
      <c r="CV12" s="108" t="n"/>
      <c r="CW12" s="121">
        <f>CV12*100/$E$12</f>
        <v/>
      </c>
      <c r="CX12" s="108" t="n"/>
      <c r="CY12" s="121">
        <f>CX12*100/$E$12</f>
        <v/>
      </c>
      <c r="CZ12" s="108" t="n"/>
      <c r="DA12" s="121">
        <f>CZ12*100/$E$12</f>
        <v/>
      </c>
      <c r="DB12" s="108" t="n"/>
      <c r="DC12" s="121">
        <f>DB12*100/$E$12</f>
        <v/>
      </c>
      <c r="DD12" s="108" t="n"/>
      <c r="DE12" s="121">
        <f>DD12*100/$E$12</f>
        <v/>
      </c>
      <c r="DF12" s="108" t="n"/>
      <c r="DG12" s="121">
        <f>DF12*100/$E$12</f>
        <v/>
      </c>
      <c r="DH12" s="108" t="n"/>
      <c r="DI12" s="121">
        <f>DH12*100/$E$12</f>
        <v/>
      </c>
      <c r="DJ12" s="108" t="n"/>
      <c r="DK12" s="121">
        <f>DJ12*100/$E$12</f>
        <v/>
      </c>
      <c r="DL12" s="108" t="n"/>
      <c r="DM12" s="121">
        <f>DL12*100/$E$12</f>
        <v/>
      </c>
      <c r="DN12" s="108" t="n"/>
      <c r="DO12" s="121">
        <f>DN12*100/$E$12</f>
        <v/>
      </c>
      <c r="DP12" s="108" t="n"/>
      <c r="DQ12" s="121">
        <f>DP12*100/$E$12</f>
        <v/>
      </c>
      <c r="DR12" s="108" t="n"/>
      <c r="DS12" s="121">
        <f>DR12*100/$E$12</f>
        <v/>
      </c>
      <c r="DT12" s="108" t="n"/>
      <c r="DU12" s="121">
        <f>DT12*100/$E$12</f>
        <v/>
      </c>
      <c r="DV12" s="108" t="n"/>
      <c r="DW12" s="121">
        <f>DV12*100/$E$12</f>
        <v/>
      </c>
      <c r="DX12" s="108" t="n"/>
      <c r="DY12" s="121">
        <f>DX12*100/$E$12</f>
        <v/>
      </c>
      <c r="DZ12" s="108" t="n"/>
      <c r="EA12" s="121">
        <f>DZ12*100/$E$12</f>
        <v/>
      </c>
      <c r="EB12" s="108" t="n"/>
      <c r="EC12" s="121">
        <f>EB12*100/$E$12</f>
        <v/>
      </c>
      <c r="ED12" s="108" t="n"/>
      <c r="EE12" s="121">
        <f>ED12*100/$E$12</f>
        <v/>
      </c>
      <c r="EF12" s="108" t="n"/>
      <c r="EG12" s="121">
        <f>EF12*100/$E$12</f>
        <v/>
      </c>
      <c r="EH12" s="108" t="n"/>
      <c r="EI12" s="121">
        <f>EH12*100/$E$12</f>
        <v/>
      </c>
      <c r="EJ12" s="108" t="n"/>
      <c r="EK12" s="121">
        <f>EJ12*100/$E$12</f>
        <v/>
      </c>
      <c r="EL12" s="108" t="n"/>
      <c r="EM12" s="121">
        <f>EL12*100/$E$12</f>
        <v/>
      </c>
      <c r="EN12" s="108" t="n"/>
      <c r="EO12" s="121">
        <f>EN12*100/$E$12</f>
        <v/>
      </c>
      <c r="EP12" s="108" t="n"/>
      <c r="EQ12" s="121">
        <f>EP12*100/$E$12</f>
        <v/>
      </c>
      <c r="ER12" s="108" t="n"/>
      <c r="ES12" s="121">
        <f>ER12*100/$E$12</f>
        <v/>
      </c>
      <c r="ET12" s="108" t="n"/>
      <c r="EU12" s="121">
        <f>ET12*100/$E$12</f>
        <v/>
      </c>
      <c r="EV12" s="108" t="n"/>
      <c r="EW12" s="121">
        <f>EV12*100/$E$12</f>
        <v/>
      </c>
      <c r="EX12" s="108" t="n"/>
      <c r="EY12" s="121">
        <f>EX12*100/$E$12</f>
        <v/>
      </c>
      <c r="EZ12" s="108" t="n"/>
      <c r="FA12" s="121">
        <f>EZ12*100/$E$12</f>
        <v/>
      </c>
      <c r="FB12" s="108" t="n"/>
      <c r="FC12" s="121">
        <f>FB12*100/$E$12</f>
        <v/>
      </c>
      <c r="FD12" s="108" t="n"/>
      <c r="FE12" s="121">
        <f>FD12*100/$E$12</f>
        <v/>
      </c>
      <c r="FF12" s="108" t="n"/>
      <c r="FG12" s="121">
        <f>FF12*100/$E$12</f>
        <v/>
      </c>
      <c r="FH12" s="108" t="n"/>
      <c r="FI12" s="121">
        <f>FH12*100/$E$12</f>
        <v/>
      </c>
      <c r="FJ12" s="108" t="n"/>
      <c r="FK12" s="121">
        <f>FJ12*100/$E$12</f>
        <v/>
      </c>
      <c r="FL12" s="108" t="n"/>
      <c r="FM12" s="121">
        <f>FL12*100/$E$12</f>
        <v/>
      </c>
      <c r="FN12" s="108" t="n"/>
      <c r="FO12" s="121">
        <f>FN12*100/$E$12</f>
        <v/>
      </c>
      <c r="FP12" s="108" t="n"/>
      <c r="FQ12" s="121">
        <f>FP12*100/$E$12</f>
        <v/>
      </c>
      <c r="FR12" s="108" t="n"/>
      <c r="FS12" s="121">
        <f>FR12*100/$E$12</f>
        <v/>
      </c>
      <c r="FT12" s="108" t="n"/>
      <c r="FU12" s="121">
        <f>FT12*100/$E$12</f>
        <v/>
      </c>
      <c r="FV12" s="108" t="n"/>
      <c r="FW12" s="121">
        <f>FV12*100/$E$12</f>
        <v/>
      </c>
      <c r="FX12" s="108" t="n"/>
      <c r="FY12" s="90">
        <f>FX12*100/$E$12</f>
        <v/>
      </c>
      <c r="FZ12" s="108" t="n"/>
      <c r="GA12" s="90">
        <f>FZ12*100/$E$12</f>
        <v/>
      </c>
      <c r="GB12" s="108" t="n"/>
      <c r="GC12" s="90">
        <f>GB12*100/$E$12</f>
        <v/>
      </c>
      <c r="GD12" s="108" t="n"/>
      <c r="GE12" s="90">
        <f>GD12*100/$E$12</f>
        <v/>
      </c>
      <c r="GF12" s="108" t="n"/>
      <c r="GG12" s="90">
        <f>GF12*100/$E$12</f>
        <v/>
      </c>
      <c r="GH12" s="108" t="n"/>
      <c r="GI12" s="90">
        <f>GH12*100/$E$12</f>
        <v/>
      </c>
      <c r="GJ12" s="108" t="n"/>
      <c r="GK12" s="121">
        <f>GJ12*100/$E$12</f>
        <v/>
      </c>
      <c r="GL12" s="108" t="n"/>
      <c r="GM12" s="90">
        <f>GL12*100/$E$12</f>
        <v/>
      </c>
      <c r="GN12" s="108" t="n"/>
      <c r="GO12" s="121">
        <f>GN12*100/$E$12</f>
        <v/>
      </c>
      <c r="GP12" s="108" t="n"/>
      <c r="GQ12" s="90">
        <f>GP12*100/$E$12</f>
        <v/>
      </c>
      <c r="GR12" s="108" t="n"/>
      <c r="GS12" s="121">
        <f>GR12*100/$E$12</f>
        <v/>
      </c>
      <c r="GT12" s="108" t="n"/>
      <c r="GU12" s="121">
        <f>GT12*100/$E$12</f>
        <v/>
      </c>
      <c r="GV12" s="108" t="n"/>
      <c r="GW12" s="121">
        <f>GV12*100/$E$12</f>
        <v/>
      </c>
      <c r="GX12" s="108" t="n"/>
      <c r="GY12" s="90">
        <f>GX12*100/$E$12</f>
        <v/>
      </c>
      <c r="GZ12" s="108" t="n"/>
      <c r="HA12" s="90">
        <f>GZ12*100/$E$12</f>
        <v/>
      </c>
      <c r="HB12" s="108" t="n"/>
      <c r="HC12" s="90">
        <f>HB12*100/$E$12</f>
        <v/>
      </c>
      <c r="HD12" s="108" t="n"/>
      <c r="HE12" s="90">
        <f>HD12*100/$E$12</f>
        <v/>
      </c>
      <c r="HF12" s="108" t="n"/>
      <c r="HG12" s="90">
        <f>HF12*100/$E$12</f>
        <v/>
      </c>
      <c r="HH12" s="108" t="n"/>
      <c r="HI12" s="90">
        <f>HH12*100/$E$12</f>
        <v/>
      </c>
      <c r="HJ12" s="108" t="n"/>
      <c r="HK12" s="90">
        <f>HJ12*100/$E$12</f>
        <v/>
      </c>
      <c r="HL12" s="108" t="n"/>
      <c r="HM12" s="90">
        <f>HL12*100/$E$12</f>
        <v/>
      </c>
      <c r="HN12" s="108" t="n"/>
      <c r="HO12" s="90">
        <f>HN12*100/$E$12</f>
        <v/>
      </c>
      <c r="HP12" s="108" t="n"/>
      <c r="HQ12" s="90">
        <f>HP12*100/$E$12</f>
        <v/>
      </c>
      <c r="HR12" s="108" t="n"/>
      <c r="HS12" s="90">
        <f>HR12*100/$E$12</f>
        <v/>
      </c>
      <c r="HT12" s="108" t="n"/>
      <c r="HU12" s="90">
        <f>HT12*100/$E$12</f>
        <v/>
      </c>
      <c r="HV12" s="108" t="n"/>
      <c r="HW12" s="90">
        <f>HV12*100/$E$12</f>
        <v/>
      </c>
      <c r="HX12" s="108" t="n"/>
      <c r="HY12" s="90">
        <f>HX12*100/$E$12</f>
        <v/>
      </c>
      <c r="HZ12" s="108" t="n"/>
      <c r="IA12" s="121">
        <f>HZ12*100/$E$12</f>
        <v/>
      </c>
      <c r="IB12" s="108" t="n"/>
      <c r="IC12" s="121">
        <f>IB12*100/$E$12</f>
        <v/>
      </c>
      <c r="ID12" s="108" t="n"/>
      <c r="IE12" s="121">
        <f>ID12*100/$E$12</f>
        <v/>
      </c>
      <c r="IF12" s="108" t="n"/>
      <c r="IG12" s="121">
        <f>IF12*100/$E$12</f>
        <v/>
      </c>
      <c r="IH12" s="108" t="n"/>
      <c r="II12" s="121">
        <f>IH12*100/$E$12</f>
        <v/>
      </c>
      <c r="IJ12" s="108" t="n"/>
      <c r="IK12" s="121">
        <f>IJ12*100/$E$12</f>
        <v/>
      </c>
      <c r="IL12" s="108" t="n"/>
      <c r="IM12" s="90">
        <f>IL12*100/$E$12</f>
        <v/>
      </c>
      <c r="IN12" s="108" t="n"/>
      <c r="IO12" s="90">
        <f>IN12*100/$E$12</f>
        <v/>
      </c>
      <c r="IP12" s="108" t="n"/>
      <c r="IQ12" s="121">
        <f>IP12*100/$E$12</f>
        <v/>
      </c>
      <c r="IR12" s="108" t="n"/>
      <c r="IS12" s="121">
        <f>IR12*100/$E$12</f>
        <v/>
      </c>
      <c r="IT12" s="108" t="n"/>
      <c r="IU12" s="121">
        <f>IT12*100/$E$12</f>
        <v/>
      </c>
      <c r="IV12" s="108" t="n"/>
      <c r="IW12" s="121">
        <f>IV12*100/$E$12</f>
        <v/>
      </c>
      <c r="IX12" s="108" t="n"/>
      <c r="IY12" s="121">
        <f>IX12*100/$E$12</f>
        <v/>
      </c>
      <c r="IZ12" s="108" t="n"/>
      <c r="JA12" s="121">
        <f>IZ12*100/$E$12</f>
        <v/>
      </c>
      <c r="JB12" s="108" t="n"/>
      <c r="JC12" s="121">
        <f>JB12*100/$E$12</f>
        <v/>
      </c>
      <c r="JD12" s="108" t="n"/>
      <c r="JE12" s="121">
        <f>JD12*100/$E$12</f>
        <v/>
      </c>
      <c r="JF12" s="108" t="n"/>
      <c r="JG12" s="121">
        <f>JF12*100/$E$12</f>
        <v/>
      </c>
      <c r="JH12" s="108" t="n"/>
      <c r="JI12" s="121">
        <f>JH12*100/$E$12</f>
        <v/>
      </c>
      <c r="JJ12" s="108" t="n"/>
      <c r="JK12" s="121">
        <f>JJ12*100/$E$12</f>
        <v/>
      </c>
      <c r="JL12" s="108" t="n"/>
      <c r="JM12" s="121">
        <f>JL12*100/$E$12</f>
        <v/>
      </c>
      <c r="JN12" s="108" t="n"/>
      <c r="JO12" s="122">
        <f>JN12*100/$E$12</f>
        <v/>
      </c>
      <c r="JP12" s="108" t="n"/>
      <c r="JQ12" s="122">
        <f>JP12*100/$E$12</f>
        <v/>
      </c>
      <c r="JR12" s="108" t="n"/>
      <c r="JS12" s="122">
        <f>JR12*100/$E$12</f>
        <v/>
      </c>
      <c r="JT12" s="108" t="n"/>
      <c r="JU12" s="122">
        <f>JT12*100/$E$12</f>
        <v/>
      </c>
      <c r="JV12" s="108" t="n"/>
      <c r="JW12" s="122">
        <f>JV12*100/$E$12</f>
        <v/>
      </c>
      <c r="JX12" s="108" t="n"/>
      <c r="JY12" s="122">
        <f>JX12*100/$E$12</f>
        <v/>
      </c>
      <c r="JZ12" s="55">
        <f>JN12+JP12+JR12+JT12+JV12+JX12</f>
        <v/>
      </c>
      <c r="KA12" s="53">
        <f>JO12+JQ12+JS12+JU12+JW12+JY12</f>
        <v/>
      </c>
      <c r="KB12" s="64">
        <f>H12+J12+L12+N12+P12+R12+T12+V12+X12+Z12+AB12+AD12+AF12+AH12+AJ12+AL12+AN12+AP12+AR12+AT12+AV12+AX12+AZ12+BB12+BD12+BF12+BH12+BJ12+BL12+BN12+BP12+BR12+BT12+BV12+BX12+BZ12+CB12+CD12+CF12+CH12+CZ12+DB12+DD12+DF12+DH12+DJ12+DL12+DN12+DP12+DR12+DT12+DV12+DX12+DZ12+EB12+ED12+EF12+EH12+EJ12+EL12+EN12+EP12+ER12+ET12+EV12+FN12+FP12+FR12+FT12+FV12+FX12+FZ12+GB12+GD12+GF12+GH12+GJ12+GL12+GN12+GP12+GR12+GT12+GV12+GX12+GZ12+HB12+HD12+HF12+HH12+HJ12+HL12+HN12+HP12+HR12+HT12+HV12+HX12+HZ12+IB12+ID12+IF12+IH12+IJ12+IL12+IN12+IP12+IR12+IT12+IV12+IX12+IZ12+JB12+JD12+JF12+JH12+JJ12+JL12+JZ12+CJ12+CL12+CN12+CP12+CR12+CT12+CV12+CX12+EX12+EZ12+FB12+FD12+FF12+FH12+FJ12+FL12</f>
        <v/>
      </c>
      <c r="KC12" s="66">
        <f>I12+K12+M12+O12+Q12+S12+U12+W12+Y12+AA12+AC12+AE12+AG12+AI12+AK12+AM12+AO12+AQ12+AS12+AU12+AW12+AY12+BA12+BC12+BE12+BG12+BI12+BK12+BM12+BO12+BQ12+BS12+BU12+BW12+BY12+CA12+CC12+CE12+CG12+CI12+DA12+DC12+DE12+DG12+DI12+DK12+DM12+DO12+DQ12+DS12+DU12+DW12+DY12+EA12+EC12+EE12+EG12+EI12+EK12+EM12+EO12+EQ12+ES12+EU12+EW12+FO12+FS12+FU12+FW12+FQ12+FY12+GA12+GC12+GE12+GG12+GI12+GK12+GM12+GO12+GQ12+GS12+GU12+GW12+GY12+HA12+HC12+HE12+HG12+HI12+HK12+HM12+HO12+HQ12+HS12+HU12+HW12+HY12+IA12+IC12+IE12+IG12+II12+IK12+IM12+IO12+IQ12+IS12+IU12+IW12+IY12+JA12+JC12+JE12+JG12+JI12+JK12+JM12+KA12+CK12+CM12+CO12+CQ12+CS12+CU12+CW12+CY12+EY12+FA12+FC12+FE12+FG12+FI12+FK12+FM12</f>
        <v/>
      </c>
      <c r="KD12" s="44">
        <f>JO12+JQ12+JS12+JU12+JW12+JY12</f>
        <v/>
      </c>
      <c r="KE12" s="45">
        <f>KB12=E12</f>
        <v/>
      </c>
      <c r="KF12" s="101">
        <f>E12-KB12</f>
        <v/>
      </c>
    </row>
    <row r="13" ht="21.75" customFormat="1" customHeight="1" s="13">
      <c r="A13" s="126">
        <f>A12+1</f>
        <v/>
      </c>
      <c r="B13" s="175" t="inlineStr">
        <is>
          <t>Будников К.С.</t>
        </is>
      </c>
      <c r="C13" s="194" t="inlineStr">
        <is>
          <t>токарь</t>
        </is>
      </c>
      <c r="D13" s="177">
        <f>$D$5</f>
        <v/>
      </c>
      <c r="E13" s="202" t="n"/>
      <c r="F13" s="178" t="n">
        <v>101150.45</v>
      </c>
      <c r="G13" s="52">
        <f>F13/D13</f>
        <v/>
      </c>
      <c r="H13" s="125" t="n"/>
      <c r="I13" s="107">
        <f>H13*100/$E$13</f>
        <v/>
      </c>
      <c r="J13" s="108" t="n"/>
      <c r="K13" s="107">
        <f>J13*100/$E$13</f>
        <v/>
      </c>
      <c r="L13" s="108" t="n"/>
      <c r="M13" s="107">
        <f>L13*100/$E$13</f>
        <v/>
      </c>
      <c r="N13" s="108" t="n"/>
      <c r="O13" s="107">
        <f>N13*100/$E$13</f>
        <v/>
      </c>
      <c r="P13" s="108" t="n"/>
      <c r="Q13" s="122">
        <f>P13*100/$E$13</f>
        <v/>
      </c>
      <c r="R13" s="108" t="n"/>
      <c r="S13" s="122">
        <f>R13*100/$E$13</f>
        <v/>
      </c>
      <c r="T13" s="108" t="n"/>
      <c r="U13" s="107">
        <f>T13*100/$E$13</f>
        <v/>
      </c>
      <c r="V13" s="108" t="n"/>
      <c r="W13" s="107">
        <f>V13*100/$E$13</f>
        <v/>
      </c>
      <c r="X13" s="108" t="n"/>
      <c r="Y13" s="107">
        <f>X13*100/$E$13</f>
        <v/>
      </c>
      <c r="Z13" s="108" t="n"/>
      <c r="AA13" s="107">
        <f>Z13*100/$E$13</f>
        <v/>
      </c>
      <c r="AB13" s="108" t="n"/>
      <c r="AC13" s="107">
        <f>AB13*100/$E$13</f>
        <v/>
      </c>
      <c r="AD13" s="108" t="n"/>
      <c r="AE13" s="122">
        <f>AD13*100/$E$13</f>
        <v/>
      </c>
      <c r="AF13" s="108" t="n"/>
      <c r="AG13" s="122">
        <f>AF13*100/$E$13</f>
        <v/>
      </c>
      <c r="AH13" s="108" t="n"/>
      <c r="AI13" s="107">
        <f>AH13*100/$E$13</f>
        <v/>
      </c>
      <c r="AJ13" s="108" t="n"/>
      <c r="AK13" s="107">
        <f>AJ13*100/$E$13</f>
        <v/>
      </c>
      <c r="AL13" s="108" t="n"/>
      <c r="AM13" s="107">
        <f>AL13*100/$E$13</f>
        <v/>
      </c>
      <c r="AN13" s="108" t="n"/>
      <c r="AO13" s="107">
        <f>AN13*100/$E$13</f>
        <v/>
      </c>
      <c r="AP13" s="108" t="n"/>
      <c r="AQ13" s="107">
        <f>AP13*100/$E$13</f>
        <v/>
      </c>
      <c r="AR13" s="108" t="n"/>
      <c r="AS13" s="107">
        <f>AR13*100/$E$13</f>
        <v/>
      </c>
      <c r="AT13" s="108" t="n"/>
      <c r="AU13" s="90">
        <f>AT13*100/$E$13</f>
        <v/>
      </c>
      <c r="AV13" s="108" t="n"/>
      <c r="AW13" s="107">
        <f>AV13*100/$E$13</f>
        <v/>
      </c>
      <c r="AX13" s="108" t="n"/>
      <c r="AY13" s="107">
        <f>AX13*100/$E$13</f>
        <v/>
      </c>
      <c r="AZ13" s="108" t="n"/>
      <c r="BA13" s="107">
        <f>AZ13*100/$E$13</f>
        <v/>
      </c>
      <c r="BB13" s="108" t="n"/>
      <c r="BC13" s="107">
        <f>BB13*100/$E$13</f>
        <v/>
      </c>
      <c r="BD13" s="108" t="n"/>
      <c r="BE13" s="107">
        <f>BD13*100/$E$13</f>
        <v/>
      </c>
      <c r="BF13" s="108" t="n"/>
      <c r="BG13" s="107">
        <f>BF13*100/$E$13</f>
        <v/>
      </c>
      <c r="BH13" s="108" t="n"/>
      <c r="BI13" s="107">
        <f>BH13*100/$E$13</f>
        <v/>
      </c>
      <c r="BJ13" s="108" t="n"/>
      <c r="BK13" s="107">
        <f>BJ13*100/$E$13</f>
        <v/>
      </c>
      <c r="BL13" s="108" t="n"/>
      <c r="BM13" s="107">
        <f>BL13*100/$E$13</f>
        <v/>
      </c>
      <c r="BN13" s="108" t="n"/>
      <c r="BO13" s="107">
        <f>BN13*100/$E$13</f>
        <v/>
      </c>
      <c r="BP13" s="108" t="n"/>
      <c r="BQ13" s="107">
        <f>BP13*100/$E$13</f>
        <v/>
      </c>
      <c r="BR13" s="108" t="n"/>
      <c r="BS13" s="107">
        <f>BR13*100/$E$13</f>
        <v/>
      </c>
      <c r="BT13" s="108" t="n"/>
      <c r="BU13" s="107">
        <f>BT13*100/$E$13</f>
        <v/>
      </c>
      <c r="BV13" s="108" t="n"/>
      <c r="BW13" s="107">
        <f>BV13*100/$E$13</f>
        <v/>
      </c>
      <c r="BX13" s="108" t="n"/>
      <c r="BY13" s="107">
        <f>BX13*100/$E$13</f>
        <v/>
      </c>
      <c r="BZ13" s="108" t="n"/>
      <c r="CA13" s="107">
        <f>BZ13*100/$E$13</f>
        <v/>
      </c>
      <c r="CB13" s="108" t="n"/>
      <c r="CC13" s="107">
        <f>CB13*100/$E$13</f>
        <v/>
      </c>
      <c r="CD13" s="108" t="n"/>
      <c r="CE13" s="107">
        <f>CD13*100/$E$13</f>
        <v/>
      </c>
      <c r="CF13" s="108" t="n"/>
      <c r="CG13" s="107">
        <f>CF13*100/$E$13</f>
        <v/>
      </c>
      <c r="CH13" s="108" t="n"/>
      <c r="CI13" s="107">
        <f>CH13*100/$E$13</f>
        <v/>
      </c>
      <c r="CJ13" s="108" t="n"/>
      <c r="CK13" s="107">
        <f>CJ13*100/$E$13</f>
        <v/>
      </c>
      <c r="CL13" s="108" t="n"/>
      <c r="CM13" s="107">
        <f>CL13*100/$E$13</f>
        <v/>
      </c>
      <c r="CN13" s="108" t="n"/>
      <c r="CO13" s="122">
        <f>CN13*100/$E$13</f>
        <v/>
      </c>
      <c r="CP13" s="108" t="n"/>
      <c r="CQ13" s="107">
        <f>CP13*100/$E$13</f>
        <v/>
      </c>
      <c r="CR13" s="108" t="n"/>
      <c r="CS13" s="122">
        <f>CR13*100/$E$13</f>
        <v/>
      </c>
      <c r="CT13" s="108" t="n"/>
      <c r="CU13" s="122">
        <f>CT13*100/$E$13</f>
        <v/>
      </c>
      <c r="CV13" s="108" t="n"/>
      <c r="CW13" s="122">
        <f>CV13*100/$E$13</f>
        <v/>
      </c>
      <c r="CX13" s="108" t="n"/>
      <c r="CY13" s="122">
        <f>CX13*100/$E$13</f>
        <v/>
      </c>
      <c r="CZ13" s="108" t="n"/>
      <c r="DA13" s="122">
        <f>CZ13*100/$E$13</f>
        <v/>
      </c>
      <c r="DB13" s="108" t="n"/>
      <c r="DC13" s="122">
        <f>DB13*100/$E$13</f>
        <v/>
      </c>
      <c r="DD13" s="108" t="n"/>
      <c r="DE13" s="122">
        <f>DD13*100/$E$13</f>
        <v/>
      </c>
      <c r="DF13" s="108" t="n"/>
      <c r="DG13" s="122">
        <f>DF13*100/$E$13</f>
        <v/>
      </c>
      <c r="DH13" s="108" t="n"/>
      <c r="DI13" s="122">
        <f>DH13*100/$E$13</f>
        <v/>
      </c>
      <c r="DJ13" s="108" t="n"/>
      <c r="DK13" s="122">
        <f>DJ13*100/$E$13</f>
        <v/>
      </c>
      <c r="DL13" s="108" t="n"/>
      <c r="DM13" s="122">
        <f>DL13*100/$E$13</f>
        <v/>
      </c>
      <c r="DN13" s="108" t="n"/>
      <c r="DO13" s="122">
        <f>DN13*100/$E$13</f>
        <v/>
      </c>
      <c r="DP13" s="108" t="n"/>
      <c r="DQ13" s="122">
        <f>DP13*100/$E$13</f>
        <v/>
      </c>
      <c r="DR13" s="108" t="n"/>
      <c r="DS13" s="122">
        <f>DR13*100/$E$13</f>
        <v/>
      </c>
      <c r="DT13" s="108" t="n"/>
      <c r="DU13" s="122">
        <f>DT13*100/$E$13</f>
        <v/>
      </c>
      <c r="DV13" s="108" t="n"/>
      <c r="DW13" s="122">
        <f>DV13*100/$E$13</f>
        <v/>
      </c>
      <c r="DX13" s="108" t="n"/>
      <c r="DY13" s="122">
        <f>DX13*100/$E$13</f>
        <v/>
      </c>
      <c r="DZ13" s="108" t="n"/>
      <c r="EA13" s="122">
        <f>DZ13*100/$E$13</f>
        <v/>
      </c>
      <c r="EB13" s="108" t="n"/>
      <c r="EC13" s="122">
        <f>EB13*100/$E$13</f>
        <v/>
      </c>
      <c r="ED13" s="108" t="n"/>
      <c r="EE13" s="122">
        <f>ED13*100/$E$13</f>
        <v/>
      </c>
      <c r="EF13" s="108" t="n"/>
      <c r="EG13" s="122">
        <f>EF13*100/$E$13</f>
        <v/>
      </c>
      <c r="EH13" s="108" t="n"/>
      <c r="EI13" s="122">
        <f>EH13*100/$E$13</f>
        <v/>
      </c>
      <c r="EJ13" s="108" t="n"/>
      <c r="EK13" s="122">
        <f>EJ13*100/$E$13</f>
        <v/>
      </c>
      <c r="EL13" s="108" t="n"/>
      <c r="EM13" s="122">
        <f>EL13*100/$E$13</f>
        <v/>
      </c>
      <c r="EN13" s="108" t="n"/>
      <c r="EO13" s="122">
        <f>EN13*100/$E$13</f>
        <v/>
      </c>
      <c r="EP13" s="108" t="n"/>
      <c r="EQ13" s="122">
        <f>EP13*100/$E$13</f>
        <v/>
      </c>
      <c r="ER13" s="108" t="n"/>
      <c r="ES13" s="122">
        <f>ER13*100/$E$13</f>
        <v/>
      </c>
      <c r="ET13" s="108" t="n"/>
      <c r="EU13" s="122">
        <f>ET13*100/$E$13</f>
        <v/>
      </c>
      <c r="EV13" s="108" t="n"/>
      <c r="EW13" s="122">
        <f>EV13*100/$E$13</f>
        <v/>
      </c>
      <c r="EX13" s="108" t="n"/>
      <c r="EY13" s="122">
        <f>EX13*100/$E$13</f>
        <v/>
      </c>
      <c r="EZ13" s="108" t="n"/>
      <c r="FA13" s="122">
        <f>EZ13*100/$E$13</f>
        <v/>
      </c>
      <c r="FB13" s="108" t="n"/>
      <c r="FC13" s="122">
        <f>FB13*100/$E$13</f>
        <v/>
      </c>
      <c r="FD13" s="108" t="n"/>
      <c r="FE13" s="122">
        <f>FD13*100/$E$13</f>
        <v/>
      </c>
      <c r="FF13" s="108" t="n"/>
      <c r="FG13" s="122">
        <f>FF13*100/$E$13</f>
        <v/>
      </c>
      <c r="FH13" s="108" t="n"/>
      <c r="FI13" s="122">
        <f>FH13*100/$E$13</f>
        <v/>
      </c>
      <c r="FJ13" s="108" t="n"/>
      <c r="FK13" s="122">
        <f>FJ13*100/$E$13</f>
        <v/>
      </c>
      <c r="FL13" s="108" t="n"/>
      <c r="FM13" s="122">
        <f>FL13*100/$E$13</f>
        <v/>
      </c>
      <c r="FN13" s="108" t="n"/>
      <c r="FO13" s="122">
        <f>FN13*100/$E$13</f>
        <v/>
      </c>
      <c r="FP13" s="108" t="n"/>
      <c r="FQ13" s="122">
        <f>FP13*100/$E$13</f>
        <v/>
      </c>
      <c r="FR13" s="108" t="n"/>
      <c r="FS13" s="122">
        <f>FR13*100/$E$13</f>
        <v/>
      </c>
      <c r="FT13" s="108" t="n"/>
      <c r="FU13" s="122">
        <f>FT13*100/$E$13</f>
        <v/>
      </c>
      <c r="FV13" s="108" t="n"/>
      <c r="FW13" s="122">
        <f>FV13*100/$E$13</f>
        <v/>
      </c>
      <c r="FX13" s="108" t="n"/>
      <c r="FY13" s="107">
        <f>FX13*100/$E$13</f>
        <v/>
      </c>
      <c r="FZ13" s="108" t="n"/>
      <c r="GA13" s="107">
        <f>FZ13*100/$E$13</f>
        <v/>
      </c>
      <c r="GB13" s="108" t="n"/>
      <c r="GC13" s="107">
        <f>GB13*100/$E$13</f>
        <v/>
      </c>
      <c r="GD13" s="108" t="n"/>
      <c r="GE13" s="107">
        <f>GD13*100/$E$13</f>
        <v/>
      </c>
      <c r="GF13" s="108" t="n"/>
      <c r="GG13" s="107">
        <f>GF13*100/$E$13</f>
        <v/>
      </c>
      <c r="GH13" s="108" t="n"/>
      <c r="GI13" s="107">
        <f>GH13*100/$E$13</f>
        <v/>
      </c>
      <c r="GJ13" s="108" t="n"/>
      <c r="GK13" s="122">
        <f>GJ13*100/$E$13</f>
        <v/>
      </c>
      <c r="GL13" s="108" t="n"/>
      <c r="GM13" s="107">
        <f>GL13*100/$E$13</f>
        <v/>
      </c>
      <c r="GN13" s="108" t="n"/>
      <c r="GO13" s="122">
        <f>GN13*100/$E$13</f>
        <v/>
      </c>
      <c r="GP13" s="108" t="n"/>
      <c r="GQ13" s="107">
        <f>GP13*100/$E$13</f>
        <v/>
      </c>
      <c r="GR13" s="108" t="n"/>
      <c r="GS13" s="122">
        <f>GR13*100/$E$13</f>
        <v/>
      </c>
      <c r="GT13" s="108" t="n"/>
      <c r="GU13" s="122">
        <f>GT13*100/$E$13</f>
        <v/>
      </c>
      <c r="GV13" s="108" t="n"/>
      <c r="GW13" s="122">
        <f>GV13*100/$E$13</f>
        <v/>
      </c>
      <c r="GX13" s="108" t="n"/>
      <c r="GY13" s="107">
        <f>GX13*100/$E$13</f>
        <v/>
      </c>
      <c r="GZ13" s="108" t="n"/>
      <c r="HA13" s="107">
        <f>GZ13*100/$E$13</f>
        <v/>
      </c>
      <c r="HB13" s="108" t="n"/>
      <c r="HC13" s="107">
        <f>HB13*100/$E$13</f>
        <v/>
      </c>
      <c r="HD13" s="108" t="n"/>
      <c r="HE13" s="107">
        <f>HD13*100/$E$13</f>
        <v/>
      </c>
      <c r="HF13" s="108" t="n"/>
      <c r="HG13" s="107">
        <f>HF13*100/$E$13</f>
        <v/>
      </c>
      <c r="HH13" s="108" t="n"/>
      <c r="HI13" s="107">
        <f>HH13*100/$E$13</f>
        <v/>
      </c>
      <c r="HJ13" s="108" t="n"/>
      <c r="HK13" s="107">
        <f>HJ13*100/$E$13</f>
        <v/>
      </c>
      <c r="HL13" s="108" t="n"/>
      <c r="HM13" s="107">
        <f>HL13*100/$E$13</f>
        <v/>
      </c>
      <c r="HN13" s="108" t="n"/>
      <c r="HO13" s="107">
        <f>HN13*100/$E$13</f>
        <v/>
      </c>
      <c r="HP13" s="108" t="n"/>
      <c r="HQ13" s="107">
        <f>HP13*100/$E$13</f>
        <v/>
      </c>
      <c r="HR13" s="108" t="n"/>
      <c r="HS13" s="107">
        <f>HR13*100/$E$13</f>
        <v/>
      </c>
      <c r="HT13" s="108" t="n"/>
      <c r="HU13" s="107">
        <f>HT13*100/$E$13</f>
        <v/>
      </c>
      <c r="HV13" s="108" t="n"/>
      <c r="HW13" s="107">
        <f>HV13*100/$E$13</f>
        <v/>
      </c>
      <c r="HX13" s="108" t="n"/>
      <c r="HY13" s="107">
        <f>HX13*100/$E$13</f>
        <v/>
      </c>
      <c r="HZ13" s="108" t="n"/>
      <c r="IA13" s="122">
        <f>HZ13*100/$E$13</f>
        <v/>
      </c>
      <c r="IB13" s="108" t="n"/>
      <c r="IC13" s="122">
        <f>IB13*100/$E$13</f>
        <v/>
      </c>
      <c r="ID13" s="108" t="n"/>
      <c r="IE13" s="122">
        <f>ID13*100/$E$13</f>
        <v/>
      </c>
      <c r="IF13" s="108" t="n"/>
      <c r="IG13" s="122">
        <f>IF13*100/$E$13</f>
        <v/>
      </c>
      <c r="IH13" s="108" t="n"/>
      <c r="II13" s="122">
        <f>IH13*100/$E$13</f>
        <v/>
      </c>
      <c r="IJ13" s="108" t="n"/>
      <c r="IK13" s="122">
        <f>IJ13*100/$E$13</f>
        <v/>
      </c>
      <c r="IL13" s="108" t="n"/>
      <c r="IM13" s="107">
        <f>IL13*100/$E$13</f>
        <v/>
      </c>
      <c r="IN13" s="108" t="n"/>
      <c r="IO13" s="107">
        <f>IN13*100/$E$13</f>
        <v/>
      </c>
      <c r="IP13" s="108" t="n"/>
      <c r="IQ13" s="122">
        <f>IP13*100/$E$13</f>
        <v/>
      </c>
      <c r="IR13" s="108" t="n"/>
      <c r="IS13" s="122">
        <f>IR13*100/$E$13</f>
        <v/>
      </c>
      <c r="IT13" s="108" t="n"/>
      <c r="IU13" s="122">
        <f>IT13*100/$E$13</f>
        <v/>
      </c>
      <c r="IV13" s="108" t="n"/>
      <c r="IW13" s="122">
        <f>IV13*100/$E$13</f>
        <v/>
      </c>
      <c r="IX13" s="108" t="n"/>
      <c r="IY13" s="122">
        <f>IX13*100/$E$13</f>
        <v/>
      </c>
      <c r="IZ13" s="108" t="n"/>
      <c r="JA13" s="122">
        <f>IZ13*100/$E$13</f>
        <v/>
      </c>
      <c r="JB13" s="108" t="n"/>
      <c r="JC13" s="122">
        <f>JB13*100/$E$13</f>
        <v/>
      </c>
      <c r="JD13" s="108" t="n"/>
      <c r="JE13" s="122">
        <f>JD13*100/$E$13</f>
        <v/>
      </c>
      <c r="JF13" s="108" t="n"/>
      <c r="JG13" s="122">
        <f>JF13*100/$E$13</f>
        <v/>
      </c>
      <c r="JH13" s="108" t="n"/>
      <c r="JI13" s="122">
        <f>JH13*100/$E$13</f>
        <v/>
      </c>
      <c r="JJ13" s="108" t="n"/>
      <c r="JK13" s="122">
        <f>JJ13*100/$E$13</f>
        <v/>
      </c>
      <c r="JL13" s="108" t="n"/>
      <c r="JM13" s="122">
        <f>JL13*100/$E$13</f>
        <v/>
      </c>
      <c r="JN13" s="108" t="n"/>
      <c r="JO13" s="122">
        <f>JN13*100/$E$13</f>
        <v/>
      </c>
      <c r="JP13" s="108" t="n"/>
      <c r="JQ13" s="122">
        <f>JP13*100/$E$13</f>
        <v/>
      </c>
      <c r="JR13" s="108" t="n"/>
      <c r="JS13" s="122">
        <f>JR13*100/$E$13</f>
        <v/>
      </c>
      <c r="JT13" s="108" t="n"/>
      <c r="JU13" s="122">
        <f>JT13*100/$E$13</f>
        <v/>
      </c>
      <c r="JV13" s="108" t="n"/>
      <c r="JW13" s="122">
        <f>JV13*100/$E$13</f>
        <v/>
      </c>
      <c r="JX13" s="108" t="n"/>
      <c r="JY13" s="122">
        <f>JX13*100/$E$13</f>
        <v/>
      </c>
      <c r="JZ13" s="55">
        <f>JN13+JP13+JR13+JT13+JV13+JX13</f>
        <v/>
      </c>
      <c r="KA13" s="53">
        <f>JO13+JQ13+JS13+JU13+JW13+JY13</f>
        <v/>
      </c>
      <c r="KB13" s="64">
        <f>H13+J13+L13+N13+P13+R13+T13+V13+X13+Z13+AB13+AD13+AF13+AH13+AJ13+AL13+AN13+AP13+AR13+AT13+AV13+AX13+AZ13+BB13+BD13+BF13+BH13+BJ13+BL13+BN13+BP13+BR13+BT13+BV13+BX13+BZ13+CB13+CD13+CF13+CH13+CZ13+DB13+DD13+DF13+DH13+DJ13+DL13+DN13+DP13+DR13+DT13+DV13+DX13+DZ13+EB13+ED13+EF13+EH13+EJ13+EL13+EN13+EP13+ER13+ET13+EV13+FN13+FP13+FR13+FT13+FV13+FX13+FZ13+GB13+GD13+GF13+GH13+GJ13+GL13+GN13+GP13+GR13+GT13+GV13+GX13+GZ13+HB13+HD13+HF13+HH13+HJ13+HL13+HN13+HP13+HR13+HT13+HV13+HX13+HZ13+IB13+ID13+IF13+IH13+IJ13+IL13+IN13+IP13+IR13+IT13+IV13+IX13+IZ13+JB13+JD13+JF13+JH13+JJ13+JL13+JZ13+CJ13+CL13+CN13+CP13+CR13+CT13+CV13+CX13+EX13+EZ13+FB13+FD13+FF13+FH13+FJ13+FL13</f>
        <v/>
      </c>
      <c r="KC13" s="66">
        <f>I13+K13+M13+O13+Q13+S13+U13+W13+Y13+AA13+AC13+AE13+AG13+AI13+AK13+AM13+AO13+AQ13+AS13+AU13+AW13+AY13+BA13+BC13+BE13+BG13+BI13+BK13+BM13+BO13+BQ13+BS13+BU13+BW13+BY13+CA13+CC13+CE13+CG13+CI13+DA13+DC13+DE13+DG13+DI13+DK13+DM13+DO13+DQ13+DS13+DU13+DW13+DY13+EA13+EC13+EE13+EG13+EI13+EK13+EM13+EO13+EQ13+ES13+EU13+EW13+FO13+FS13+FU13+FW13+FQ13+FY13+GA13+GC13+GE13+GG13+GI13+GK13+GM13+GO13+GQ13+GS13+GU13+GW13+GY13+HA13+HC13+HE13+HG13+HI13+HK13+HM13+HO13+HQ13+HS13+HU13+HW13+HY13+IA13+IC13+IE13+IG13+II13+IK13+IM13+IO13+IQ13+IS13+IU13+IW13+IY13+JA13+JC13+JE13+JG13+JI13+JK13+JM13+KA13+CK13+CM13+CO13+CQ13+CS13+CU13+CW13+CY13+EY13+FA13+FC13+FE13+FG13+FI13+FK13+FM13</f>
        <v/>
      </c>
      <c r="KD13" s="44">
        <f>JO13+JQ13+JS13+JU13+JW13+JY13</f>
        <v/>
      </c>
      <c r="KE13" s="45">
        <f>KB13=E13</f>
        <v/>
      </c>
      <c r="KF13" s="101">
        <f>E13-KB13</f>
        <v/>
      </c>
      <c r="KG13" s="12" t="n"/>
      <c r="KH13" s="23" t="n"/>
      <c r="KI13" s="23" t="n"/>
      <c r="KJ13" s="23" t="n"/>
      <c r="KK13" s="23" t="n"/>
      <c r="KL13" s="23" t="n"/>
      <c r="KM13" s="23" t="n"/>
      <c r="KN13" s="23" t="n"/>
      <c r="KO13" s="23" t="n"/>
    </row>
    <row r="14" ht="21.75" customFormat="1" customHeight="1" s="23">
      <c r="A14" s="126">
        <f>A13+1</f>
        <v/>
      </c>
      <c r="B14" s="175" t="inlineStr">
        <is>
          <t>Войко А.Л.</t>
        </is>
      </c>
      <c r="C14" s="194" t="inlineStr">
        <is>
          <t>Фрезеровщик</t>
        </is>
      </c>
      <c r="D14" s="177">
        <f>$D$5</f>
        <v/>
      </c>
      <c r="E14" s="202" t="n"/>
      <c r="F14" s="191" t="n">
        <v>101150.05</v>
      </c>
      <c r="G14" s="52">
        <f>F14/D14</f>
        <v/>
      </c>
      <c r="H14" s="125" t="n"/>
      <c r="I14" s="107">
        <f>H14*100/$E$14</f>
        <v/>
      </c>
      <c r="J14" s="108" t="n"/>
      <c r="K14" s="107">
        <f>J14*100/$E$14</f>
        <v/>
      </c>
      <c r="L14" s="108" t="n"/>
      <c r="M14" s="107">
        <f>L14*100/$E$14</f>
        <v/>
      </c>
      <c r="N14" s="108" t="n"/>
      <c r="O14" s="107">
        <f>N14*100/$E$14</f>
        <v/>
      </c>
      <c r="P14" s="108" t="n"/>
      <c r="Q14" s="122">
        <f>P14*100/$E$14</f>
        <v/>
      </c>
      <c r="R14" s="108" t="n"/>
      <c r="S14" s="107">
        <f>R14*100/$E$14</f>
        <v/>
      </c>
      <c r="T14" s="108" t="n"/>
      <c r="U14" s="107">
        <f>T14*100/$E$14</f>
        <v/>
      </c>
      <c r="V14" s="108" t="n"/>
      <c r="W14" s="107">
        <f>V14*100/$E$14</f>
        <v/>
      </c>
      <c r="X14" s="108" t="n"/>
      <c r="Y14" s="107">
        <f>X14*100/$E$14</f>
        <v/>
      </c>
      <c r="Z14" s="108" t="n"/>
      <c r="AA14" s="107">
        <f>Z14*100/$E$14</f>
        <v/>
      </c>
      <c r="AB14" s="108" t="n"/>
      <c r="AC14" s="107">
        <f>AB14*100/$E$14</f>
        <v/>
      </c>
      <c r="AD14" s="108" t="n"/>
      <c r="AE14" s="107">
        <f>AD14*100/$E$14</f>
        <v/>
      </c>
      <c r="AF14" s="108" t="n"/>
      <c r="AG14" s="107">
        <f>AF14*100/$E$14</f>
        <v/>
      </c>
      <c r="AH14" s="108" t="n"/>
      <c r="AI14" s="107">
        <f>AH14*100/$E$14</f>
        <v/>
      </c>
      <c r="AJ14" s="108" t="n"/>
      <c r="AK14" s="107">
        <f>AJ14*100/$E$14</f>
        <v/>
      </c>
      <c r="AL14" s="108" t="n"/>
      <c r="AM14" s="107">
        <f>AL14*100/$E$14</f>
        <v/>
      </c>
      <c r="AN14" s="108" t="n"/>
      <c r="AO14" s="107">
        <f>AN14*100/$E$14</f>
        <v/>
      </c>
      <c r="AP14" s="108" t="n"/>
      <c r="AQ14" s="107">
        <f>AP14*100/$E$14</f>
        <v/>
      </c>
      <c r="AR14" s="108" t="n"/>
      <c r="AS14" s="107">
        <f>AR14*100/$E$14</f>
        <v/>
      </c>
      <c r="AT14" s="108" t="n"/>
      <c r="AU14" s="90">
        <f>AT14*100/$E$14</f>
        <v/>
      </c>
      <c r="AV14" s="108" t="n"/>
      <c r="AW14" s="107">
        <f>AV14*100/$E$14</f>
        <v/>
      </c>
      <c r="AX14" s="108" t="n"/>
      <c r="AY14" s="107">
        <f>AX14*100/$E$14</f>
        <v/>
      </c>
      <c r="AZ14" s="108" t="n"/>
      <c r="BA14" s="107">
        <f>AZ14*100/$E$14</f>
        <v/>
      </c>
      <c r="BB14" s="108" t="n"/>
      <c r="BC14" s="107">
        <f>BB14*100/$E$14</f>
        <v/>
      </c>
      <c r="BD14" s="108" t="n"/>
      <c r="BE14" s="107">
        <f>BD14*100/$E$14</f>
        <v/>
      </c>
      <c r="BF14" s="108" t="n"/>
      <c r="BG14" s="107">
        <f>BF14*100/$E$14</f>
        <v/>
      </c>
      <c r="BH14" s="108" t="n"/>
      <c r="BI14" s="107">
        <f>BH14*100/$E$14</f>
        <v/>
      </c>
      <c r="BJ14" s="108" t="n"/>
      <c r="BK14" s="107">
        <f>BJ14*100/$E$14</f>
        <v/>
      </c>
      <c r="BL14" s="108" t="n"/>
      <c r="BM14" s="107">
        <f>BL14*100/$E$14</f>
        <v/>
      </c>
      <c r="BN14" s="108" t="n"/>
      <c r="BO14" s="107">
        <f>BN14*100/$E$14</f>
        <v/>
      </c>
      <c r="BP14" s="108" t="n"/>
      <c r="BQ14" s="107">
        <f>BP14*100/$E$14</f>
        <v/>
      </c>
      <c r="BR14" s="108" t="n"/>
      <c r="BS14" s="107">
        <f>BR14*100/$E$14</f>
        <v/>
      </c>
      <c r="BT14" s="108" t="n"/>
      <c r="BU14" s="107">
        <f>BT14*100/$E$14</f>
        <v/>
      </c>
      <c r="BV14" s="108" t="n"/>
      <c r="BW14" s="107">
        <f>BV14*100/$E$14</f>
        <v/>
      </c>
      <c r="BX14" s="108" t="n"/>
      <c r="BY14" s="107">
        <f>BX14*100/$E$14</f>
        <v/>
      </c>
      <c r="BZ14" s="108" t="n"/>
      <c r="CA14" s="107">
        <f>BZ14*100/$E$14</f>
        <v/>
      </c>
      <c r="CB14" s="108" t="n"/>
      <c r="CC14" s="107">
        <f>CB14*100/$E$14</f>
        <v/>
      </c>
      <c r="CD14" s="108" t="n"/>
      <c r="CE14" s="107">
        <f>CD14*100/$E$14</f>
        <v/>
      </c>
      <c r="CF14" s="108" t="n"/>
      <c r="CG14" s="107">
        <f>CF14*100/$E$14</f>
        <v/>
      </c>
      <c r="CH14" s="108" t="n"/>
      <c r="CI14" s="107">
        <f>CH14*100/$E$14</f>
        <v/>
      </c>
      <c r="CJ14" s="108" t="n"/>
      <c r="CK14" s="107">
        <f>CJ14*100/$E$14</f>
        <v/>
      </c>
      <c r="CL14" s="108" t="n"/>
      <c r="CM14" s="107">
        <f>CL14*100/$E$14</f>
        <v/>
      </c>
      <c r="CN14" s="108" t="n"/>
      <c r="CO14" s="122">
        <f>CN14*100/$E$14</f>
        <v/>
      </c>
      <c r="CP14" s="108" t="n"/>
      <c r="CQ14" s="107">
        <f>CP14*100/$E$14</f>
        <v/>
      </c>
      <c r="CR14" s="108" t="n"/>
      <c r="CS14" s="122">
        <f>CR14*100/$E$14</f>
        <v/>
      </c>
      <c r="CT14" s="108" t="n"/>
      <c r="CU14" s="122">
        <f>CT14*100/$E$14</f>
        <v/>
      </c>
      <c r="CV14" s="108" t="n"/>
      <c r="CW14" s="122">
        <f>CV14*100/$E$14</f>
        <v/>
      </c>
      <c r="CX14" s="108" t="n"/>
      <c r="CY14" s="122">
        <f>CX14*100/$E$14</f>
        <v/>
      </c>
      <c r="CZ14" s="108" t="n"/>
      <c r="DA14" s="122">
        <f>CZ14*100/$E$14</f>
        <v/>
      </c>
      <c r="DB14" s="108" t="n"/>
      <c r="DC14" s="122">
        <f>DB14*100/$E$14</f>
        <v/>
      </c>
      <c r="DD14" s="108" t="n"/>
      <c r="DE14" s="122">
        <f>DD14*100/$E$14</f>
        <v/>
      </c>
      <c r="DF14" s="108" t="n"/>
      <c r="DG14" s="122">
        <f>DF14*100/$E$14</f>
        <v/>
      </c>
      <c r="DH14" s="108" t="n"/>
      <c r="DI14" s="122">
        <f>DH14*100/$E$14</f>
        <v/>
      </c>
      <c r="DJ14" s="108" t="n"/>
      <c r="DK14" s="122">
        <f>DJ14*100/$E$14</f>
        <v/>
      </c>
      <c r="DL14" s="108" t="n"/>
      <c r="DM14" s="122">
        <f>DL14*100/$E$14</f>
        <v/>
      </c>
      <c r="DN14" s="108" t="n"/>
      <c r="DO14" s="122">
        <f>DN14*100/$E$14</f>
        <v/>
      </c>
      <c r="DP14" s="108" t="n"/>
      <c r="DQ14" s="122">
        <f>DP14*100/$E$14</f>
        <v/>
      </c>
      <c r="DR14" s="108" t="n"/>
      <c r="DS14" s="107">
        <f>DR14*100/$E$14</f>
        <v/>
      </c>
      <c r="DT14" s="108" t="n"/>
      <c r="DU14" s="122">
        <f>DT14*100/$E$14</f>
        <v/>
      </c>
      <c r="DV14" s="108" t="n"/>
      <c r="DW14" s="122">
        <f>DV14*100/$E$14</f>
        <v/>
      </c>
      <c r="DX14" s="108" t="n"/>
      <c r="DY14" s="122">
        <f>DX14*100/$E$14</f>
        <v/>
      </c>
      <c r="DZ14" s="108" t="n"/>
      <c r="EA14" s="122">
        <f>DZ14*100/$E$14</f>
        <v/>
      </c>
      <c r="EB14" s="108" t="n"/>
      <c r="EC14" s="122">
        <f>EB14*100/$E$14</f>
        <v/>
      </c>
      <c r="ED14" s="108" t="n"/>
      <c r="EE14" s="122">
        <f>ED14*100/$E$14</f>
        <v/>
      </c>
      <c r="EF14" s="108" t="n"/>
      <c r="EG14" s="122">
        <f>EF14*100/$E$14</f>
        <v/>
      </c>
      <c r="EH14" s="108" t="n"/>
      <c r="EI14" s="107">
        <f>EH14*100/$E$14</f>
        <v/>
      </c>
      <c r="EJ14" s="108" t="n"/>
      <c r="EK14" s="107">
        <f>EJ14*100/$E$14</f>
        <v/>
      </c>
      <c r="EL14" s="108" t="n"/>
      <c r="EM14" s="107">
        <f>EL14*100/$E$14</f>
        <v/>
      </c>
      <c r="EN14" s="108" t="n"/>
      <c r="EO14" s="107">
        <f>EN14*100/$E$14</f>
        <v/>
      </c>
      <c r="EP14" s="108" t="n"/>
      <c r="EQ14" s="107">
        <f>EP14*100/$E$14</f>
        <v/>
      </c>
      <c r="ER14" s="108" t="n"/>
      <c r="ES14" s="107">
        <f>ER14*100/$E$14</f>
        <v/>
      </c>
      <c r="ET14" s="108" t="n"/>
      <c r="EU14" s="107">
        <f>ET14*100/$E$14</f>
        <v/>
      </c>
      <c r="EV14" s="108" t="n"/>
      <c r="EW14" s="122">
        <f>EV14*100/$E$14</f>
        <v/>
      </c>
      <c r="EX14" s="108" t="n"/>
      <c r="EY14" s="122">
        <f>EX14*100/$E$14</f>
        <v/>
      </c>
      <c r="EZ14" s="108" t="n"/>
      <c r="FA14" s="122">
        <f>EZ14*100/$E$14</f>
        <v/>
      </c>
      <c r="FB14" s="108" t="n"/>
      <c r="FC14" s="122">
        <f>FB14*100/$E$14</f>
        <v/>
      </c>
      <c r="FD14" s="108" t="n"/>
      <c r="FE14" s="122">
        <f>FD14*100/$E$14</f>
        <v/>
      </c>
      <c r="FF14" s="108" t="n"/>
      <c r="FG14" s="122">
        <f>FF14*100/$E$14</f>
        <v/>
      </c>
      <c r="FH14" s="108" t="n"/>
      <c r="FI14" s="122">
        <f>FH14*100/$E$14</f>
        <v/>
      </c>
      <c r="FJ14" s="108" t="n"/>
      <c r="FK14" s="122">
        <f>FJ14*100/$E$14</f>
        <v/>
      </c>
      <c r="FL14" s="108" t="n"/>
      <c r="FM14" s="122">
        <f>FL14*100/$E$14</f>
        <v/>
      </c>
      <c r="FN14" s="108" t="n"/>
      <c r="FO14" s="122">
        <f>FN14*100/$E$14</f>
        <v/>
      </c>
      <c r="FP14" s="108" t="n"/>
      <c r="FQ14" s="107">
        <f>FP14*100/$E$14</f>
        <v/>
      </c>
      <c r="FR14" s="108" t="n"/>
      <c r="FS14" s="107">
        <f>FR14*100/$E$14</f>
        <v/>
      </c>
      <c r="FT14" s="108" t="n"/>
      <c r="FU14" s="107">
        <f>FT14*100/$E$14</f>
        <v/>
      </c>
      <c r="FV14" s="108" t="n"/>
      <c r="FW14" s="107">
        <f>FV14*100/$E$14</f>
        <v/>
      </c>
      <c r="FX14" s="108" t="n"/>
      <c r="FY14" s="107">
        <f>FX14*100/$E$14</f>
        <v/>
      </c>
      <c r="FZ14" s="108" t="n"/>
      <c r="GA14" s="107">
        <f>FZ14*100/$E$14</f>
        <v/>
      </c>
      <c r="GB14" s="108" t="n"/>
      <c r="GC14" s="107">
        <f>GB14*100/$E$14</f>
        <v/>
      </c>
      <c r="GD14" s="108" t="n"/>
      <c r="GE14" s="107">
        <f>GD14*100/$E$14</f>
        <v/>
      </c>
      <c r="GF14" s="108" t="n"/>
      <c r="GG14" s="107">
        <f>GF14*100/$E$14</f>
        <v/>
      </c>
      <c r="GH14" s="108" t="n"/>
      <c r="GI14" s="107">
        <f>GH14*100/$E$14</f>
        <v/>
      </c>
      <c r="GJ14" s="108" t="n"/>
      <c r="GK14" s="122">
        <f>GJ14*100/$E$14</f>
        <v/>
      </c>
      <c r="GL14" s="108" t="n"/>
      <c r="GM14" s="107">
        <f>GL14*100/$E$14</f>
        <v/>
      </c>
      <c r="GN14" s="108" t="n"/>
      <c r="GO14" s="122">
        <f>GN14*100/$E$14</f>
        <v/>
      </c>
      <c r="GP14" s="108" t="n"/>
      <c r="GQ14" s="107">
        <f>GP14*100/$E$14</f>
        <v/>
      </c>
      <c r="GR14" s="108" t="n"/>
      <c r="GS14" s="122">
        <f>GR14*100/$E$14</f>
        <v/>
      </c>
      <c r="GT14" s="108" t="n"/>
      <c r="GU14" s="122">
        <f>GT14*100/$E$14</f>
        <v/>
      </c>
      <c r="GV14" s="108" t="n"/>
      <c r="GW14" s="107">
        <f>GV14*100/$E$14</f>
        <v/>
      </c>
      <c r="GX14" s="108" t="n"/>
      <c r="GY14" s="107">
        <f>GX14*100/$E$14</f>
        <v/>
      </c>
      <c r="GZ14" s="108" t="n"/>
      <c r="HA14" s="107">
        <f>GZ14*100/$E$14</f>
        <v/>
      </c>
      <c r="HB14" s="108" t="n"/>
      <c r="HC14" s="107">
        <f>HB14*100/$E$14</f>
        <v/>
      </c>
      <c r="HD14" s="108" t="n"/>
      <c r="HE14" s="107">
        <f>HD14*100/$E$14</f>
        <v/>
      </c>
      <c r="HF14" s="108" t="n"/>
      <c r="HG14" s="107">
        <f>HF14*100/$E$14</f>
        <v/>
      </c>
      <c r="HH14" s="108" t="n"/>
      <c r="HI14" s="107">
        <f>HH14*100/$E$14</f>
        <v/>
      </c>
      <c r="HJ14" s="108" t="n"/>
      <c r="HK14" s="107">
        <f>HJ14*100/$E$14</f>
        <v/>
      </c>
      <c r="HL14" s="108" t="n"/>
      <c r="HM14" s="107">
        <f>HL14*100/$E$14</f>
        <v/>
      </c>
      <c r="HN14" s="108" t="n"/>
      <c r="HO14" s="107">
        <f>HN14*100/$E$14</f>
        <v/>
      </c>
      <c r="HP14" s="108" t="n"/>
      <c r="HQ14" s="107">
        <f>HP14*100/$E$14</f>
        <v/>
      </c>
      <c r="HR14" s="108" t="n"/>
      <c r="HS14" s="107">
        <f>HR14*100/$E$14</f>
        <v/>
      </c>
      <c r="HT14" s="108" t="n"/>
      <c r="HU14" s="107">
        <f>HT14*100/$E$14</f>
        <v/>
      </c>
      <c r="HV14" s="108" t="n"/>
      <c r="HW14" s="107">
        <f>HV14*100/$E$14</f>
        <v/>
      </c>
      <c r="HX14" s="108" t="n"/>
      <c r="HY14" s="107">
        <f>HX14*100/$E$14</f>
        <v/>
      </c>
      <c r="HZ14" s="108" t="n"/>
      <c r="IA14" s="122">
        <f>HZ14*100/$E$14</f>
        <v/>
      </c>
      <c r="IB14" s="108" t="n"/>
      <c r="IC14" s="122">
        <f>IB14*100/$E$14</f>
        <v/>
      </c>
      <c r="ID14" s="108" t="n"/>
      <c r="IE14" s="122">
        <f>ID14*100/$E$14</f>
        <v/>
      </c>
      <c r="IF14" s="108" t="n"/>
      <c r="IG14" s="122">
        <f>IF14*100/$E$14</f>
        <v/>
      </c>
      <c r="IH14" s="108" t="n"/>
      <c r="II14" s="122">
        <f>IH14*100/$E$14</f>
        <v/>
      </c>
      <c r="IJ14" s="108" t="n"/>
      <c r="IK14" s="122">
        <f>IJ14*100/$E$14</f>
        <v/>
      </c>
      <c r="IL14" s="108" t="n"/>
      <c r="IM14" s="107">
        <f>IL14*100/$E$14</f>
        <v/>
      </c>
      <c r="IN14" s="108" t="n"/>
      <c r="IO14" s="107">
        <f>IN14*100/$E$14</f>
        <v/>
      </c>
      <c r="IP14" s="108" t="n"/>
      <c r="IQ14" s="122">
        <f>IP14*100/$E$14</f>
        <v/>
      </c>
      <c r="IR14" s="108" t="n"/>
      <c r="IS14" s="122">
        <f>IR14*100/$E$14</f>
        <v/>
      </c>
      <c r="IT14" s="108" t="n"/>
      <c r="IU14" s="122">
        <f>IT14*100/$E$14</f>
        <v/>
      </c>
      <c r="IV14" s="108" t="n"/>
      <c r="IW14" s="122">
        <f>IV14*100/$E$14</f>
        <v/>
      </c>
      <c r="IX14" s="108" t="n"/>
      <c r="IY14" s="122">
        <f>IX14*100/$E$14</f>
        <v/>
      </c>
      <c r="IZ14" s="108" t="n"/>
      <c r="JA14" s="122">
        <f>IZ14*100/$E$14</f>
        <v/>
      </c>
      <c r="JB14" s="108" t="n"/>
      <c r="JC14" s="122">
        <f>JB14*100/$E$14</f>
        <v/>
      </c>
      <c r="JD14" s="108" t="n"/>
      <c r="JE14" s="122">
        <f>JD14*100/$E$14</f>
        <v/>
      </c>
      <c r="JF14" s="108" t="n"/>
      <c r="JG14" s="107">
        <f>JF14*100/$E$14</f>
        <v/>
      </c>
      <c r="JH14" s="108" t="n"/>
      <c r="JI14" s="122">
        <f>JH14*100/$E$14</f>
        <v/>
      </c>
      <c r="JJ14" s="108" t="n"/>
      <c r="JK14" s="107">
        <f>JJ14*100/$E$14</f>
        <v/>
      </c>
      <c r="JL14" s="108" t="n"/>
      <c r="JM14" s="122">
        <f>JL14*100/$E$14</f>
        <v/>
      </c>
      <c r="JN14" s="108" t="n"/>
      <c r="JO14" s="122">
        <f>JN14*100/$E$14</f>
        <v/>
      </c>
      <c r="JP14" s="108" t="n"/>
      <c r="JQ14" s="122">
        <f>JP14*100/$E$14</f>
        <v/>
      </c>
      <c r="JR14" s="108" t="n"/>
      <c r="JS14" s="122">
        <f>JR14*100/$E$14</f>
        <v/>
      </c>
      <c r="JT14" s="108" t="n"/>
      <c r="JU14" s="122">
        <f>JT14*100/$E$14</f>
        <v/>
      </c>
      <c r="JV14" s="108" t="n"/>
      <c r="JW14" s="122">
        <f>JV14*100/$E$14</f>
        <v/>
      </c>
      <c r="JX14" s="108" t="n"/>
      <c r="JY14" s="122">
        <f>JX14*100/$E$14</f>
        <v/>
      </c>
      <c r="JZ14" s="55">
        <f>JN14+JP14+JR14+JT14+JV14+JX14</f>
        <v/>
      </c>
      <c r="KA14" s="53">
        <f>JO14+JQ14+JS14+JU14+JW14+JY14</f>
        <v/>
      </c>
      <c r="KB14" s="64">
        <f>H14+J14+L14+N14+P14+R14+T14+V14+X14+Z14+AB14+AD14+AF14+AH14+AJ14+AL14+AN14+AP14+AR14+AT14+AV14+AX14+AZ14+BB14+BD14+BF14+BH14+BJ14+BL14+BN14+BP14+BR14+BT14+BV14+BX14+BZ14+CB14+CD14+CF14+CH14+CZ14+DB14+DD14+DF14+DH14+DJ14+DL14+DN14+DP14+DR14+DT14+DV14+DX14+DZ14+EB14+ED14+EF14+EH14+EJ14+EL14+EN14+EP14+ER14+ET14+EV14+FN14+FP14+FR14+FT14+FV14+FX14+FZ14+GB14+GD14+GF14+GH14+GJ14+GL14+GN14+GP14+GR14+GT14+GV14+GX14+GZ14+HB14+HD14+HF14+HH14+HJ14+HL14+HN14+HP14+HR14+HT14+HV14+HX14+HZ14+IB14+ID14+IF14+IH14+IJ14+IL14+IN14+IP14+IR14+IT14+IV14+IX14+IZ14+JB14+JD14+JF14+JH14+JJ14+JL14+JZ14+CJ14+CL14+CN14+CP14+CR14+CT14+CV14+CX14+EX14+EZ14+FB14+FD14+FF14+FH14+FJ14+FL14</f>
        <v/>
      </c>
      <c r="KC14" s="66">
        <f>I14+K14+M14+O14+Q14+S14+U14+W14+Y14+AA14+AC14+AE14+AG14+AI14+AK14+AM14+AO14+AQ14+AS14+AU14+AW14+AY14+BA14+BC14+BE14+BG14+BI14+BK14+BM14+BO14+BQ14+BS14+BU14+BW14+BY14+CA14+CC14+CE14+CG14+CI14+DA14+DC14+DE14+DG14+DI14+DK14+DM14+DO14+DQ14+DS14+DU14+DW14+DY14+EA14+EC14+EE14+EG14+EI14+EK14+EM14+EO14+EQ14+ES14+EU14+EW14+FO14+FS14+FU14+FW14+FQ14+FY14+GA14+GC14+GE14+GG14+GI14+GK14+GM14+GO14+GQ14+GS14+GU14+GW14+GY14+HA14+HC14+HE14+HG14+HI14+HK14+HM14+HO14+HQ14+HS14+HU14+HW14+HY14+IA14+IC14+IE14+IG14+II14+IK14+IM14+IO14+IQ14+IS14+IU14+IW14+IY14+JA14+JC14+JE14+JG14+JI14+JK14+JM14+KA14+CK14+CM14+CO14+CQ14+CS14+CU14+CW14+CY14+EY14+FA14+FC14+FE14+FG14+FI14+FK14+FM14</f>
        <v/>
      </c>
      <c r="KD14" s="44">
        <f>JO14+JQ14+JS14+JU14+JW14+JY14</f>
        <v/>
      </c>
      <c r="KE14" s="45">
        <f>KB14=E14</f>
        <v/>
      </c>
      <c r="KF14" s="101">
        <f>E14-KB14</f>
        <v/>
      </c>
      <c r="KG14" s="12" t="n"/>
    </row>
    <row r="15" ht="21.75" customFormat="1" customHeight="1" s="12">
      <c r="A15" s="126">
        <f>A14+1</f>
        <v/>
      </c>
      <c r="B15" s="175" t="inlineStr">
        <is>
          <t>Войтехо М. Н.</t>
        </is>
      </c>
      <c r="C15" s="194" t="inlineStr">
        <is>
          <t>Слесарь МСР</t>
        </is>
      </c>
      <c r="D15" s="177">
        <f>$D$5</f>
        <v/>
      </c>
      <c r="E15" s="202" t="n"/>
      <c r="F15" s="190" t="n">
        <v>68902.87</v>
      </c>
      <c r="G15" s="52">
        <f>F15/D15</f>
        <v/>
      </c>
      <c r="H15" s="125" t="n"/>
      <c r="I15" s="107">
        <f>H15*100/$E$15</f>
        <v/>
      </c>
      <c r="J15" s="108" t="n"/>
      <c r="K15" s="107">
        <f>J15*100/$E$15</f>
        <v/>
      </c>
      <c r="L15" s="108" t="n"/>
      <c r="M15" s="107">
        <f>L15*100/$E$15</f>
        <v/>
      </c>
      <c r="N15" s="108" t="n"/>
      <c r="O15" s="107">
        <f>N15*100/$E$15</f>
        <v/>
      </c>
      <c r="P15" s="108" t="n"/>
      <c r="Q15" s="122">
        <f>P15*100/$E$15</f>
        <v/>
      </c>
      <c r="R15" s="108" t="n"/>
      <c r="S15" s="122">
        <f>R15*100/$E$15</f>
        <v/>
      </c>
      <c r="T15" s="108" t="n"/>
      <c r="U15" s="107">
        <f>T15*100/$E$15</f>
        <v/>
      </c>
      <c r="V15" s="108" t="n"/>
      <c r="W15" s="107">
        <f>V15*100/$E$15</f>
        <v/>
      </c>
      <c r="X15" s="108" t="n"/>
      <c r="Y15" s="107">
        <f>X15*100/$E$15</f>
        <v/>
      </c>
      <c r="Z15" s="108" t="n"/>
      <c r="AA15" s="107">
        <f>Z15*100/$E$15</f>
        <v/>
      </c>
      <c r="AB15" s="108" t="n"/>
      <c r="AC15" s="107">
        <f>AB15*100/$E$15</f>
        <v/>
      </c>
      <c r="AD15" s="108" t="n"/>
      <c r="AE15" s="122">
        <f>AD15*100/$E$15</f>
        <v/>
      </c>
      <c r="AF15" s="108" t="n"/>
      <c r="AG15" s="122">
        <f>AF15*100/$E$15</f>
        <v/>
      </c>
      <c r="AH15" s="108" t="n"/>
      <c r="AI15" s="107">
        <f>AH15*100/$E$15</f>
        <v/>
      </c>
      <c r="AJ15" s="108" t="n"/>
      <c r="AK15" s="107">
        <f>AJ15*100/$E$15</f>
        <v/>
      </c>
      <c r="AL15" s="108" t="n"/>
      <c r="AM15" s="107">
        <f>AL15*100/$E$15</f>
        <v/>
      </c>
      <c r="AN15" s="108" t="n"/>
      <c r="AO15" s="107">
        <f>AN15*100/$E$15</f>
        <v/>
      </c>
      <c r="AP15" s="108" t="n"/>
      <c r="AQ15" s="107">
        <f>AP15*100/$E$15</f>
        <v/>
      </c>
      <c r="AR15" s="108" t="n"/>
      <c r="AS15" s="107">
        <f>AR15*100/$E$15</f>
        <v/>
      </c>
      <c r="AT15" s="108" t="n"/>
      <c r="AU15" s="90">
        <f>AT15*100/$E$15</f>
        <v/>
      </c>
      <c r="AV15" s="108" t="n"/>
      <c r="AW15" s="107">
        <f>AV15*100/$E$15</f>
        <v/>
      </c>
      <c r="AX15" s="108" t="n"/>
      <c r="AY15" s="107">
        <f>AX15*100/$E$15</f>
        <v/>
      </c>
      <c r="AZ15" s="108" t="n"/>
      <c r="BA15" s="107">
        <f>AZ15*100/$E$15</f>
        <v/>
      </c>
      <c r="BB15" s="108" t="n"/>
      <c r="BC15" s="107">
        <f>BB15*100/$E$15</f>
        <v/>
      </c>
      <c r="BD15" s="108" t="n"/>
      <c r="BE15" s="107">
        <f>BD15*100/$E$15</f>
        <v/>
      </c>
      <c r="BF15" s="108" t="n"/>
      <c r="BG15" s="107">
        <f>BF15*100/$E$15</f>
        <v/>
      </c>
      <c r="BH15" s="108" t="n"/>
      <c r="BI15" s="107">
        <f>BH15*100/$E$15</f>
        <v/>
      </c>
      <c r="BJ15" s="108" t="n"/>
      <c r="BK15" s="107">
        <f>BJ15*100/$E$15</f>
        <v/>
      </c>
      <c r="BL15" s="108" t="n"/>
      <c r="BM15" s="107">
        <f>BL15*100/$E$15</f>
        <v/>
      </c>
      <c r="BN15" s="108" t="n"/>
      <c r="BO15" s="107">
        <f>BN15*100/$E$15</f>
        <v/>
      </c>
      <c r="BP15" s="108" t="n"/>
      <c r="BQ15" s="107">
        <f>BP15*100/$E$15</f>
        <v/>
      </c>
      <c r="BR15" s="108" t="n"/>
      <c r="BS15" s="107">
        <f>BR15*100/$E$15</f>
        <v/>
      </c>
      <c r="BT15" s="108" t="n"/>
      <c r="BU15" s="107">
        <f>BT15*100/$E$15</f>
        <v/>
      </c>
      <c r="BV15" s="108" t="n"/>
      <c r="BW15" s="107">
        <f>BV15*100/$E$15</f>
        <v/>
      </c>
      <c r="BX15" s="108" t="n"/>
      <c r="BY15" s="107">
        <f>BX15*100/$E$15</f>
        <v/>
      </c>
      <c r="BZ15" s="108" t="n"/>
      <c r="CA15" s="107">
        <f>BZ15*100/$E$15</f>
        <v/>
      </c>
      <c r="CB15" s="108" t="n"/>
      <c r="CC15" s="107">
        <f>CB15*100/$E$15</f>
        <v/>
      </c>
      <c r="CD15" s="108" t="n"/>
      <c r="CE15" s="107">
        <f>CD15*100/$E$15</f>
        <v/>
      </c>
      <c r="CF15" s="108" t="n"/>
      <c r="CG15" s="107">
        <f>CF15*100/$E$15</f>
        <v/>
      </c>
      <c r="CH15" s="108" t="n"/>
      <c r="CI15" s="107">
        <f>CH15*100/$E$15</f>
        <v/>
      </c>
      <c r="CJ15" s="108" t="n"/>
      <c r="CK15" s="107">
        <f>CJ15*100/$E$15</f>
        <v/>
      </c>
      <c r="CL15" s="108" t="n"/>
      <c r="CM15" s="107">
        <f>CL15*100/$E$15</f>
        <v/>
      </c>
      <c r="CN15" s="108" t="n"/>
      <c r="CO15" s="122">
        <f>CN15*100/$E$15</f>
        <v/>
      </c>
      <c r="CP15" s="108" t="n"/>
      <c r="CQ15" s="107">
        <f>CP15*100/$E$15</f>
        <v/>
      </c>
      <c r="CR15" s="108" t="n"/>
      <c r="CS15" s="122">
        <f>CR15*100/$E$15</f>
        <v/>
      </c>
      <c r="CT15" s="108" t="n"/>
      <c r="CU15" s="122">
        <f>CT15*100/$E$15</f>
        <v/>
      </c>
      <c r="CV15" s="108" t="n"/>
      <c r="CW15" s="122">
        <f>CV15*100/$E$15</f>
        <v/>
      </c>
      <c r="CX15" s="108" t="n"/>
      <c r="CY15" s="122">
        <f>CX15*100/$E$15</f>
        <v/>
      </c>
      <c r="CZ15" s="108" t="n"/>
      <c r="DA15" s="122">
        <f>CZ15*100/$E$15</f>
        <v/>
      </c>
      <c r="DB15" s="108" t="n"/>
      <c r="DC15" s="122">
        <f>DB15*100/$E$15</f>
        <v/>
      </c>
      <c r="DD15" s="108" t="n"/>
      <c r="DE15" s="122">
        <f>DD15*100/$E$15</f>
        <v/>
      </c>
      <c r="DF15" s="108" t="n"/>
      <c r="DG15" s="122">
        <f>DF15*100/$E$15</f>
        <v/>
      </c>
      <c r="DH15" s="108" t="n"/>
      <c r="DI15" s="122">
        <f>DH15*100/$E$15</f>
        <v/>
      </c>
      <c r="DJ15" s="108" t="n"/>
      <c r="DK15" s="122">
        <f>DJ15*100/$E$15</f>
        <v/>
      </c>
      <c r="DL15" s="108" t="n"/>
      <c r="DM15" s="122">
        <f>DL15*100/$E$15</f>
        <v/>
      </c>
      <c r="DN15" s="108" t="n"/>
      <c r="DO15" s="122">
        <f>DN15*100/$E$15</f>
        <v/>
      </c>
      <c r="DP15" s="108" t="n"/>
      <c r="DQ15" s="122">
        <f>DP15*100/$E$15</f>
        <v/>
      </c>
      <c r="DR15" s="108" t="n"/>
      <c r="DS15" s="122">
        <f>DR15*100/$E$15</f>
        <v/>
      </c>
      <c r="DT15" s="108" t="n"/>
      <c r="DU15" s="122">
        <f>DT15*100/$E$15</f>
        <v/>
      </c>
      <c r="DV15" s="108" t="n"/>
      <c r="DW15" s="122">
        <f>DV15*100/$E$15</f>
        <v/>
      </c>
      <c r="DX15" s="108" t="n"/>
      <c r="DY15" s="122">
        <f>DX15*100/$E$15</f>
        <v/>
      </c>
      <c r="DZ15" s="108" t="n"/>
      <c r="EA15" s="122">
        <f>DZ15*100/$E$15</f>
        <v/>
      </c>
      <c r="EB15" s="108" t="n"/>
      <c r="EC15" s="122">
        <f>EB15*100/$E$15</f>
        <v/>
      </c>
      <c r="ED15" s="108" t="n"/>
      <c r="EE15" s="122">
        <f>ED15*100/$E$15</f>
        <v/>
      </c>
      <c r="EF15" s="108" t="n"/>
      <c r="EG15" s="122">
        <f>EF15*100/$E$15</f>
        <v/>
      </c>
      <c r="EH15" s="108" t="n"/>
      <c r="EI15" s="122">
        <f>EH15*100/$E$15</f>
        <v/>
      </c>
      <c r="EJ15" s="108" t="n"/>
      <c r="EK15" s="122">
        <f>EJ15*100/$E$15</f>
        <v/>
      </c>
      <c r="EL15" s="108" t="n"/>
      <c r="EM15" s="122">
        <f>EL15*100/$E$15</f>
        <v/>
      </c>
      <c r="EN15" s="108" t="n"/>
      <c r="EO15" s="122">
        <f>EN15*100/$E$15</f>
        <v/>
      </c>
      <c r="EP15" s="108" t="n"/>
      <c r="EQ15" s="122">
        <f>EP15*100/$E$15</f>
        <v/>
      </c>
      <c r="ER15" s="108" t="n"/>
      <c r="ES15" s="122">
        <f>ER15*100/$E$15</f>
        <v/>
      </c>
      <c r="ET15" s="108" t="n"/>
      <c r="EU15" s="122">
        <f>ET15*100/$E$15</f>
        <v/>
      </c>
      <c r="EV15" s="108" t="n"/>
      <c r="EW15" s="122">
        <f>EV15*100/$E$15</f>
        <v/>
      </c>
      <c r="EX15" s="108" t="n"/>
      <c r="EY15" s="122">
        <f>EX15*100/$E$15</f>
        <v/>
      </c>
      <c r="EZ15" s="108" t="n"/>
      <c r="FA15" s="122">
        <f>EZ15*100/$E$15</f>
        <v/>
      </c>
      <c r="FB15" s="108" t="n"/>
      <c r="FC15" s="122">
        <f>FB15*100/$E$15</f>
        <v/>
      </c>
      <c r="FD15" s="108" t="n"/>
      <c r="FE15" s="122">
        <f>FD15*100/$E$15</f>
        <v/>
      </c>
      <c r="FF15" s="108" t="n"/>
      <c r="FG15" s="122">
        <f>FF15*100/$E$15</f>
        <v/>
      </c>
      <c r="FH15" s="108" t="n"/>
      <c r="FI15" s="122">
        <f>FH15*100/$E$15</f>
        <v/>
      </c>
      <c r="FJ15" s="108" t="n"/>
      <c r="FK15" s="122">
        <f>FJ15*100/$E$15</f>
        <v/>
      </c>
      <c r="FL15" s="108" t="n"/>
      <c r="FM15" s="122">
        <f>FL15*100/$E$15</f>
        <v/>
      </c>
      <c r="FN15" s="108" t="n"/>
      <c r="FO15" s="122">
        <f>FN15*100/$E$15</f>
        <v/>
      </c>
      <c r="FP15" s="108" t="n"/>
      <c r="FQ15" s="122">
        <f>FP15*100/$E$15</f>
        <v/>
      </c>
      <c r="FR15" s="108" t="n"/>
      <c r="FS15" s="122">
        <f>FR15*100/$E$15</f>
        <v/>
      </c>
      <c r="FT15" s="108" t="n"/>
      <c r="FU15" s="122">
        <f>FT15*100/$E$15</f>
        <v/>
      </c>
      <c r="FV15" s="108" t="n"/>
      <c r="FW15" s="122">
        <f>FV15*100/$E$15</f>
        <v/>
      </c>
      <c r="FX15" s="108" t="n"/>
      <c r="FY15" s="107">
        <f>FX15*100/$E$15</f>
        <v/>
      </c>
      <c r="FZ15" s="108" t="n"/>
      <c r="GA15" s="107">
        <f>FZ15*100/$E$15</f>
        <v/>
      </c>
      <c r="GB15" s="108" t="n"/>
      <c r="GC15" s="107">
        <f>GB15*100/$E$15</f>
        <v/>
      </c>
      <c r="GD15" s="108" t="n"/>
      <c r="GE15" s="107">
        <f>GD15*100/$E$15</f>
        <v/>
      </c>
      <c r="GF15" s="108" t="n"/>
      <c r="GG15" s="107">
        <f>GF15*100/$E$15</f>
        <v/>
      </c>
      <c r="GH15" s="108" t="n"/>
      <c r="GI15" s="107">
        <f>GH15*100/$E$15</f>
        <v/>
      </c>
      <c r="GJ15" s="108" t="n"/>
      <c r="GK15" s="122">
        <f>GJ15*100/$E$15</f>
        <v/>
      </c>
      <c r="GL15" s="108" t="n"/>
      <c r="GM15" s="107">
        <f>GL15*100/$E$15</f>
        <v/>
      </c>
      <c r="GN15" s="108" t="n"/>
      <c r="GO15" s="122">
        <f>GN15*100/$E$15</f>
        <v/>
      </c>
      <c r="GP15" s="108" t="n"/>
      <c r="GQ15" s="107">
        <f>GP15*100/$E$15</f>
        <v/>
      </c>
      <c r="GR15" s="108" t="n"/>
      <c r="GS15" s="122">
        <f>GR15*100/$E$15</f>
        <v/>
      </c>
      <c r="GT15" s="108" t="n"/>
      <c r="GU15" s="122">
        <f>GT15*100/$E$15</f>
        <v/>
      </c>
      <c r="GV15" s="108" t="n"/>
      <c r="GW15" s="122">
        <f>GV15*100/$E$15</f>
        <v/>
      </c>
      <c r="GX15" s="108" t="n"/>
      <c r="GY15" s="107">
        <f>GX15*100/$E$15</f>
        <v/>
      </c>
      <c r="GZ15" s="108" t="n"/>
      <c r="HA15" s="107">
        <f>GZ15*100/$E$15</f>
        <v/>
      </c>
      <c r="HB15" s="108" t="n"/>
      <c r="HC15" s="107">
        <f>HB15*100/$E$15</f>
        <v/>
      </c>
      <c r="HD15" s="108" t="n"/>
      <c r="HE15" s="107">
        <f>HD15*100/$E$15</f>
        <v/>
      </c>
      <c r="HF15" s="108" t="n"/>
      <c r="HG15" s="107">
        <f>HF15*100/$E$15</f>
        <v/>
      </c>
      <c r="HH15" s="108" t="n"/>
      <c r="HI15" s="107">
        <f>HH15*100/$E$15</f>
        <v/>
      </c>
      <c r="HJ15" s="108" t="n"/>
      <c r="HK15" s="107">
        <f>HJ15*100/$E$15</f>
        <v/>
      </c>
      <c r="HL15" s="108" t="n"/>
      <c r="HM15" s="107">
        <f>HL15*100/$E$15</f>
        <v/>
      </c>
      <c r="HN15" s="108" t="n"/>
      <c r="HO15" s="107">
        <f>HN15*100/$E$15</f>
        <v/>
      </c>
      <c r="HP15" s="108" t="n"/>
      <c r="HQ15" s="107">
        <f>HP15*100/$E$15</f>
        <v/>
      </c>
      <c r="HR15" s="108" t="n"/>
      <c r="HS15" s="107">
        <f>HR15*100/$E$15</f>
        <v/>
      </c>
      <c r="HT15" s="108" t="n"/>
      <c r="HU15" s="107">
        <f>HT15*100/$E$15</f>
        <v/>
      </c>
      <c r="HV15" s="108" t="n"/>
      <c r="HW15" s="107">
        <f>HV15*100/$E$15</f>
        <v/>
      </c>
      <c r="HX15" s="108" t="n"/>
      <c r="HY15" s="107">
        <f>HX15*100/$E$15</f>
        <v/>
      </c>
      <c r="HZ15" s="108" t="n"/>
      <c r="IA15" s="122">
        <f>HZ15*100/$E$15</f>
        <v/>
      </c>
      <c r="IB15" s="108" t="n"/>
      <c r="IC15" s="122">
        <f>IB15*100/$E$15</f>
        <v/>
      </c>
      <c r="ID15" s="108" t="n"/>
      <c r="IE15" s="122">
        <f>ID15*100/$E$15</f>
        <v/>
      </c>
      <c r="IF15" s="108" t="n"/>
      <c r="IG15" s="122">
        <f>IF15*100/$E$15</f>
        <v/>
      </c>
      <c r="IH15" s="108" t="n"/>
      <c r="II15" s="122">
        <f>IH15*100/$E$15</f>
        <v/>
      </c>
      <c r="IJ15" s="108" t="n"/>
      <c r="IK15" s="122">
        <f>IJ15*100/$E$15</f>
        <v/>
      </c>
      <c r="IL15" s="108" t="n"/>
      <c r="IM15" s="107">
        <f>IL15*100/$E$15</f>
        <v/>
      </c>
      <c r="IN15" s="108" t="n"/>
      <c r="IO15" s="107">
        <f>IN15*100/$E$15</f>
        <v/>
      </c>
      <c r="IP15" s="108" t="n"/>
      <c r="IQ15" s="122">
        <f>IP15*100/$E$15</f>
        <v/>
      </c>
      <c r="IR15" s="108" t="n"/>
      <c r="IS15" s="122">
        <f>IR15*100/$E$15</f>
        <v/>
      </c>
      <c r="IT15" s="108" t="n"/>
      <c r="IU15" s="122">
        <f>IT15*100/$E$15</f>
        <v/>
      </c>
      <c r="IV15" s="108" t="n"/>
      <c r="IW15" s="122">
        <f>IV15*100/$E$15</f>
        <v/>
      </c>
      <c r="IX15" s="108" t="n"/>
      <c r="IY15" s="122">
        <f>IX15*100/$E$15</f>
        <v/>
      </c>
      <c r="IZ15" s="108" t="n"/>
      <c r="JA15" s="122">
        <f>IZ15*100/$E$15</f>
        <v/>
      </c>
      <c r="JB15" s="108" t="n"/>
      <c r="JC15" s="122">
        <f>JB15*100/$E$15</f>
        <v/>
      </c>
      <c r="JD15" s="108" t="n"/>
      <c r="JE15" s="122">
        <f>JD15*100/$E$15</f>
        <v/>
      </c>
      <c r="JF15" s="108" t="n"/>
      <c r="JG15" s="122">
        <f>JF15*100/$E$15</f>
        <v/>
      </c>
      <c r="JH15" s="108" t="n"/>
      <c r="JI15" s="122">
        <f>JH15*100/$E$15</f>
        <v/>
      </c>
      <c r="JJ15" s="108" t="n"/>
      <c r="JK15" s="122">
        <f>JJ15*100/$E$15</f>
        <v/>
      </c>
      <c r="JL15" s="108" t="n"/>
      <c r="JM15" s="122">
        <f>JL15*100/$E$15</f>
        <v/>
      </c>
      <c r="JN15" s="108" t="n"/>
      <c r="JO15" s="122">
        <f>JN15*100/$E$15</f>
        <v/>
      </c>
      <c r="JP15" s="108" t="n"/>
      <c r="JQ15" s="122">
        <f>JP15*100/$E$15</f>
        <v/>
      </c>
      <c r="JR15" s="108" t="n"/>
      <c r="JS15" s="122">
        <f>JR15*100/$E$15</f>
        <v/>
      </c>
      <c r="JT15" s="108" t="n"/>
      <c r="JU15" s="122">
        <f>JT15*100/$E$15</f>
        <v/>
      </c>
      <c r="JV15" s="132" t="n"/>
      <c r="JW15" s="122">
        <f>JV15*100/$E$15</f>
        <v/>
      </c>
      <c r="JX15" s="132" t="n"/>
      <c r="JY15" s="122">
        <f>JX15*100/$E$15</f>
        <v/>
      </c>
      <c r="JZ15" s="55">
        <f>JN15+JP15+JR15+JT15+JV15+JX15</f>
        <v/>
      </c>
      <c r="KA15" s="53">
        <f>JO15+JQ15+JS15+JU15+JW15+JY15</f>
        <v/>
      </c>
      <c r="KB15" s="64">
        <f>H15+J15+L15+N15+P15+R15+T15+V15+X15+Z15+AB15+AD15+AF15+AH15+AJ15+AL15+AN15+AP15+AR15+AT15+AV15+AX15+AZ15+BB15+BD15+BF15+BH15+BJ15+BL15+BN15+BP15+BR15+BT15+BV15+BX15+BZ15+CB15+CD15+CF15+CH15+CZ15+DB15+DD15+DF15+DH15+DJ15+DL15+DN15+DP15+DR15+DT15+DV15+DX15+DZ15+EB15+ED15+EF15+EH15+EJ15+EL15+EN15+EP15+ER15+ET15+EV15+FN15+FP15+FR15+FT15+FV15+FX15+FZ15+GB15+GD15+GF15+GH15+GJ15+GL15+GN15+GP15+GR15+GT15+GV15+GX15+GZ15+HB15+HD15+HF15+HH15+HJ15+HL15+HN15+HP15+HR15+HT15+HV15+HX15+HZ15+IB15+ID15+IF15+IH15+IJ15+IL15+IN15+IP15+IR15+IT15+IV15+IX15+IZ15+JB15+JD15+JF15+JH15+JJ15+JL15+JZ15+CJ15+CL15+CN15+CP15+CR15+CT15+CV15+CX15+EX15+EZ15+FB15+FD15+FF15+FH15+FJ15+FL15</f>
        <v/>
      </c>
      <c r="KC15" s="66">
        <f>I15+K15+M15+O15+Q15+S15+U15+W15+Y15+AA15+AC15+AE15+AG15+AI15+AK15+AM15+AO15+AQ15+AS15+AU15+AW15+AY15+BA15+BC15+BE15+BG15+BI15+BK15+BM15+BO15+BQ15+BS15+BU15+BW15+BY15+CA15+CC15+CE15+CG15+CI15+DA15+DC15+DE15+DG15+DI15+DK15+DM15+DO15+DQ15+DS15+DU15+DW15+DY15+EA15+EC15+EE15+EG15+EI15+EK15+EM15+EO15+EQ15+ES15+EU15+EW15+FO15+FS15+FU15+FW15+FQ15+FY15+GA15+GC15+GE15+GG15+GI15+GK15+GM15+GO15+GQ15+GS15+GU15+GW15+GY15+HA15+HC15+HE15+HG15+HI15+HK15+HM15+HO15+HQ15+HS15+HU15+HW15+HY15+IA15+IC15+IE15+IG15+II15+IK15+IM15+IO15+IQ15+IS15+IU15+IW15+IY15+JA15+JC15+JE15+JG15+JI15+JK15+JM15+KA15+CK15+CM15+CO15+CQ15+CS15+CU15+CW15+CY15+EY15+FA15+FC15+FE15+FG15+FI15+FK15+FM15</f>
        <v/>
      </c>
      <c r="KD15" s="44">
        <f>JO15+JQ15+JS15+JU15+JW15+JY15</f>
        <v/>
      </c>
      <c r="KE15" s="45">
        <f>KB15=E15</f>
        <v/>
      </c>
      <c r="KF15" s="101">
        <f>E15-KB15</f>
        <v/>
      </c>
      <c r="KG15" s="14" t="n"/>
    </row>
    <row r="16" ht="21.75" customFormat="1" customHeight="1" s="12">
      <c r="A16" s="126">
        <f>A15+1</f>
        <v/>
      </c>
      <c r="B16" s="175" t="inlineStr">
        <is>
          <t>Волков М. А.</t>
        </is>
      </c>
      <c r="C16" s="176" t="inlineStr">
        <is>
          <t>Эл.сварщик</t>
        </is>
      </c>
      <c r="D16" s="177">
        <f>$D$5</f>
        <v/>
      </c>
      <c r="E16" s="202" t="n"/>
      <c r="F16" s="190" t="n">
        <v>55770</v>
      </c>
      <c r="G16" s="52">
        <f>F16/D16</f>
        <v/>
      </c>
      <c r="H16" s="125" t="n"/>
      <c r="I16" s="107">
        <f>H16*100/$E$16</f>
        <v/>
      </c>
      <c r="J16" s="108" t="n"/>
      <c r="K16" s="107">
        <f>J16*100/$E$16</f>
        <v/>
      </c>
      <c r="L16" s="108" t="n"/>
      <c r="M16" s="107">
        <f>L16*100/$E$16</f>
        <v/>
      </c>
      <c r="N16" s="108" t="n"/>
      <c r="O16" s="107">
        <f>N16*100/$E$16</f>
        <v/>
      </c>
      <c r="P16" s="108" t="n"/>
      <c r="Q16" s="122">
        <f>P16*100/$E$16</f>
        <v/>
      </c>
      <c r="R16" s="108" t="n"/>
      <c r="S16" s="107">
        <f>R16*100/$E$16</f>
        <v/>
      </c>
      <c r="T16" s="108" t="n"/>
      <c r="U16" s="107">
        <f>T16*100/$E$16</f>
        <v/>
      </c>
      <c r="V16" s="108" t="n"/>
      <c r="W16" s="107">
        <f>V16*100/$E$16</f>
        <v/>
      </c>
      <c r="X16" s="108" t="n"/>
      <c r="Y16" s="107">
        <f>X16*100/$E$16</f>
        <v/>
      </c>
      <c r="Z16" s="108" t="n"/>
      <c r="AA16" s="107">
        <f>Z16*100/$E$16</f>
        <v/>
      </c>
      <c r="AB16" s="108" t="n"/>
      <c r="AC16" s="107">
        <f>AB16*100/$E$16</f>
        <v/>
      </c>
      <c r="AD16" s="108" t="n"/>
      <c r="AE16" s="107">
        <f>AD16*100/$E$16</f>
        <v/>
      </c>
      <c r="AF16" s="108" t="n"/>
      <c r="AG16" s="107">
        <f>AF16*100/$E$16</f>
        <v/>
      </c>
      <c r="AH16" s="108" t="n"/>
      <c r="AI16" s="107">
        <f>AH16*100/$E$16</f>
        <v/>
      </c>
      <c r="AJ16" s="108" t="n"/>
      <c r="AK16" s="107">
        <f>AJ16*100/$E$16</f>
        <v/>
      </c>
      <c r="AL16" s="108" t="n"/>
      <c r="AM16" s="107">
        <f>AL16*100/$E$16</f>
        <v/>
      </c>
      <c r="AN16" s="108" t="n"/>
      <c r="AO16" s="107">
        <f>AN16*100/$E$16</f>
        <v/>
      </c>
      <c r="AP16" s="108" t="n"/>
      <c r="AQ16" s="107">
        <f>AP16*100/$E$16</f>
        <v/>
      </c>
      <c r="AR16" s="108" t="n"/>
      <c r="AS16" s="107">
        <f>AR16*100/$E$16</f>
        <v/>
      </c>
      <c r="AT16" s="108" t="n"/>
      <c r="AU16" s="90">
        <f>AT16*100/$E$16</f>
        <v/>
      </c>
      <c r="AV16" s="108" t="n"/>
      <c r="AW16" s="107">
        <f>AV16*100/$E$16</f>
        <v/>
      </c>
      <c r="AX16" s="108" t="n"/>
      <c r="AY16" s="107">
        <f>AX16*100/$E$16</f>
        <v/>
      </c>
      <c r="AZ16" s="108" t="n"/>
      <c r="BA16" s="107">
        <f>AZ16*100/$E$16</f>
        <v/>
      </c>
      <c r="BB16" s="108" t="n"/>
      <c r="BC16" s="107">
        <f>BB16*100/$E$16</f>
        <v/>
      </c>
      <c r="BD16" s="108" t="n"/>
      <c r="BE16" s="107">
        <f>BD16*100/$E$16</f>
        <v/>
      </c>
      <c r="BF16" s="108" t="n"/>
      <c r="BG16" s="107">
        <f>BF16*100/$E$16</f>
        <v/>
      </c>
      <c r="BH16" s="108" t="n"/>
      <c r="BI16" s="107">
        <f>BH16*100/$E$16</f>
        <v/>
      </c>
      <c r="BJ16" s="108" t="n"/>
      <c r="BK16" s="107">
        <f>BJ16*100/$E$16</f>
        <v/>
      </c>
      <c r="BL16" s="108" t="n"/>
      <c r="BM16" s="107">
        <f>BL16*100/$E$16</f>
        <v/>
      </c>
      <c r="BN16" s="108" t="n"/>
      <c r="BO16" s="107">
        <f>BN16*100/$E$16</f>
        <v/>
      </c>
      <c r="BP16" s="108" t="n"/>
      <c r="BQ16" s="107">
        <f>BP16*100/$E$16</f>
        <v/>
      </c>
      <c r="BR16" s="108" t="n"/>
      <c r="BS16" s="107">
        <f>BR16*100/$E$16</f>
        <v/>
      </c>
      <c r="BT16" s="108" t="n"/>
      <c r="BU16" s="107">
        <f>BT16*100/$E$16</f>
        <v/>
      </c>
      <c r="BV16" s="108" t="n"/>
      <c r="BW16" s="107">
        <f>BV16*100/$E$16</f>
        <v/>
      </c>
      <c r="BX16" s="108" t="n"/>
      <c r="BY16" s="107">
        <f>BX16*100/$E$16</f>
        <v/>
      </c>
      <c r="BZ16" s="108" t="n"/>
      <c r="CA16" s="107">
        <f>BZ16*100/$E$16</f>
        <v/>
      </c>
      <c r="CB16" s="108" t="n"/>
      <c r="CC16" s="107">
        <f>CB16*100/$E$16</f>
        <v/>
      </c>
      <c r="CD16" s="108" t="n"/>
      <c r="CE16" s="107">
        <f>CD16*100/$E$16</f>
        <v/>
      </c>
      <c r="CF16" s="108" t="n"/>
      <c r="CG16" s="107">
        <f>CF16*100/$E$16</f>
        <v/>
      </c>
      <c r="CH16" s="108" t="n"/>
      <c r="CI16" s="107">
        <f>CH16*100/$E$16</f>
        <v/>
      </c>
      <c r="CJ16" s="108" t="n"/>
      <c r="CK16" s="107">
        <f>CJ16*100/$E$16</f>
        <v/>
      </c>
      <c r="CL16" s="108" t="n"/>
      <c r="CM16" s="107">
        <f>CL16*100/$E$16</f>
        <v/>
      </c>
      <c r="CN16" s="108" t="n"/>
      <c r="CO16" s="122">
        <f>CN16*100/$E$16</f>
        <v/>
      </c>
      <c r="CP16" s="108" t="n"/>
      <c r="CQ16" s="107">
        <f>CP16*100/$E$16</f>
        <v/>
      </c>
      <c r="CR16" s="108" t="n"/>
      <c r="CS16" s="122">
        <f>CR16*100/$E$16</f>
        <v/>
      </c>
      <c r="CT16" s="108" t="n"/>
      <c r="CU16" s="122">
        <f>CT16*100/$E$16</f>
        <v/>
      </c>
      <c r="CV16" s="108" t="n"/>
      <c r="CW16" s="122">
        <f>CV16*100/$E$16</f>
        <v/>
      </c>
      <c r="CX16" s="108" t="n"/>
      <c r="CY16" s="122">
        <f>CX16*100/$E$16</f>
        <v/>
      </c>
      <c r="CZ16" s="108" t="n"/>
      <c r="DA16" s="122">
        <f>CZ16*100/$E$16</f>
        <v/>
      </c>
      <c r="DB16" s="108" t="n"/>
      <c r="DC16" s="122">
        <f>DB16*100/$E$16</f>
        <v/>
      </c>
      <c r="DD16" s="108" t="n"/>
      <c r="DE16" s="122">
        <f>DD16*100/$E$16</f>
        <v/>
      </c>
      <c r="DF16" s="108" t="n"/>
      <c r="DG16" s="122">
        <f>DF16*100/$E$16</f>
        <v/>
      </c>
      <c r="DH16" s="108" t="n"/>
      <c r="DI16" s="122">
        <f>DH16*100/$E$16</f>
        <v/>
      </c>
      <c r="DJ16" s="108" t="n"/>
      <c r="DK16" s="122">
        <f>DJ16*100/$E$16</f>
        <v/>
      </c>
      <c r="DL16" s="108" t="n"/>
      <c r="DM16" s="122">
        <f>DL16*100/$E$16</f>
        <v/>
      </c>
      <c r="DN16" s="108" t="n"/>
      <c r="DO16" s="122">
        <f>DN16*100/$E$16</f>
        <v/>
      </c>
      <c r="DP16" s="108" t="n"/>
      <c r="DQ16" s="122">
        <f>DP16*100/$E$16</f>
        <v/>
      </c>
      <c r="DR16" s="108" t="n"/>
      <c r="DS16" s="107">
        <f>DR16*100/$E$16</f>
        <v/>
      </c>
      <c r="DT16" s="108" t="n"/>
      <c r="DU16" s="122">
        <f>DT16*100/$E$16</f>
        <v/>
      </c>
      <c r="DV16" s="108" t="n"/>
      <c r="DW16" s="122">
        <f>DV16*100/$E$16</f>
        <v/>
      </c>
      <c r="DX16" s="108" t="n"/>
      <c r="DY16" s="122">
        <f>DX16*100/$E$16</f>
        <v/>
      </c>
      <c r="DZ16" s="108" t="n"/>
      <c r="EA16" s="122">
        <f>DZ16*100/$E$16</f>
        <v/>
      </c>
      <c r="EB16" s="108" t="n"/>
      <c r="EC16" s="122">
        <f>EB16*100/$E$16</f>
        <v/>
      </c>
      <c r="ED16" s="108" t="n"/>
      <c r="EE16" s="122">
        <f>ED16*100/$E$16</f>
        <v/>
      </c>
      <c r="EF16" s="108" t="n"/>
      <c r="EG16" s="122">
        <f>EF16*100/$E$16</f>
        <v/>
      </c>
      <c r="EH16" s="108" t="n"/>
      <c r="EI16" s="107">
        <f>EH16*100/$E$16</f>
        <v/>
      </c>
      <c r="EJ16" s="108" t="n"/>
      <c r="EK16" s="107">
        <f>EJ16*100/$E$16</f>
        <v/>
      </c>
      <c r="EL16" s="108" t="n"/>
      <c r="EM16" s="107">
        <f>EL16*100/$E$16</f>
        <v/>
      </c>
      <c r="EN16" s="108" t="n"/>
      <c r="EO16" s="107">
        <f>EN16*100/$E$16</f>
        <v/>
      </c>
      <c r="EP16" s="108" t="n"/>
      <c r="EQ16" s="107">
        <f>EP16*100/$E$16</f>
        <v/>
      </c>
      <c r="ER16" s="108" t="n"/>
      <c r="ES16" s="107">
        <f>ER16*100/$E$16</f>
        <v/>
      </c>
      <c r="ET16" s="108" t="n"/>
      <c r="EU16" s="107">
        <f>ET16*100/$E$16</f>
        <v/>
      </c>
      <c r="EV16" s="108" t="n"/>
      <c r="EW16" s="122">
        <f>EV16*100/$E$16</f>
        <v/>
      </c>
      <c r="EX16" s="108" t="n"/>
      <c r="EY16" s="122">
        <f>EX16*100/$E$16</f>
        <v/>
      </c>
      <c r="EZ16" s="108" t="n"/>
      <c r="FA16" s="122">
        <f>EZ16*100/$E$16</f>
        <v/>
      </c>
      <c r="FB16" s="108" t="n"/>
      <c r="FC16" s="122">
        <f>FB16*100/$E$16</f>
        <v/>
      </c>
      <c r="FD16" s="108" t="n"/>
      <c r="FE16" s="122">
        <f>FD16*100/$E$16</f>
        <v/>
      </c>
      <c r="FF16" s="108" t="n"/>
      <c r="FG16" s="122">
        <f>FF16*100/$E$16</f>
        <v/>
      </c>
      <c r="FH16" s="108" t="n"/>
      <c r="FI16" s="122">
        <f>FH16*100/$E$16</f>
        <v/>
      </c>
      <c r="FJ16" s="108" t="n"/>
      <c r="FK16" s="122">
        <f>FJ16*100/$E$16</f>
        <v/>
      </c>
      <c r="FL16" s="108" t="n"/>
      <c r="FM16" s="122">
        <f>FL16*100/$E$16</f>
        <v/>
      </c>
      <c r="FN16" s="108" t="n"/>
      <c r="FO16" s="122">
        <f>FN16*100/$E$16</f>
        <v/>
      </c>
      <c r="FP16" s="108" t="n"/>
      <c r="FQ16" s="107">
        <f>FP16*100/$E$16</f>
        <v/>
      </c>
      <c r="FR16" s="108" t="n"/>
      <c r="FS16" s="107">
        <f>FR16*100/$E$16</f>
        <v/>
      </c>
      <c r="FT16" s="108" t="n"/>
      <c r="FU16" s="107">
        <f>FT16*100/$E$16</f>
        <v/>
      </c>
      <c r="FV16" s="108" t="n"/>
      <c r="FW16" s="107">
        <f>FV16*100/$E$16</f>
        <v/>
      </c>
      <c r="FX16" s="108" t="n"/>
      <c r="FY16" s="107">
        <f>FX16*100/$E$16</f>
        <v/>
      </c>
      <c r="FZ16" s="108" t="n"/>
      <c r="GA16" s="107">
        <f>FZ16*100/$E$16</f>
        <v/>
      </c>
      <c r="GB16" s="108" t="n"/>
      <c r="GC16" s="107">
        <f>GB16*100/$E$16</f>
        <v/>
      </c>
      <c r="GD16" s="108" t="n"/>
      <c r="GE16" s="107">
        <f>GD16*100/$E$16</f>
        <v/>
      </c>
      <c r="GF16" s="108" t="n"/>
      <c r="GG16" s="107">
        <f>GF16*100/$E$16</f>
        <v/>
      </c>
      <c r="GH16" s="108" t="n"/>
      <c r="GI16" s="107">
        <f>GH16*100/$E$16</f>
        <v/>
      </c>
      <c r="GJ16" s="108" t="n"/>
      <c r="GK16" s="122">
        <f>GJ16*100/$E$16</f>
        <v/>
      </c>
      <c r="GL16" s="108" t="n"/>
      <c r="GM16" s="107">
        <f>GL16*100/$E$16</f>
        <v/>
      </c>
      <c r="GN16" s="108" t="n"/>
      <c r="GO16" s="122">
        <f>GN16*100/$E$16</f>
        <v/>
      </c>
      <c r="GP16" s="108" t="n"/>
      <c r="GQ16" s="107">
        <f>GP16*100/$E$16</f>
        <v/>
      </c>
      <c r="GR16" s="108" t="n"/>
      <c r="GS16" s="122">
        <f>GR16*100/$E$16</f>
        <v/>
      </c>
      <c r="GT16" s="108" t="n"/>
      <c r="GU16" s="122">
        <f>GT16*100/$E$16</f>
        <v/>
      </c>
      <c r="GV16" s="108" t="n"/>
      <c r="GW16" s="122">
        <f>GV16*100/$E$16</f>
        <v/>
      </c>
      <c r="GX16" s="108" t="n"/>
      <c r="GY16" s="107">
        <f>GX16*100/$E$16</f>
        <v/>
      </c>
      <c r="GZ16" s="108" t="n"/>
      <c r="HA16" s="107">
        <f>GZ16*100/$E$16</f>
        <v/>
      </c>
      <c r="HB16" s="108" t="n"/>
      <c r="HC16" s="107">
        <f>HB16*100/$E$16</f>
        <v/>
      </c>
      <c r="HD16" s="108" t="n"/>
      <c r="HE16" s="107">
        <f>HD16*100/$E$16</f>
        <v/>
      </c>
      <c r="HF16" s="108" t="n"/>
      <c r="HG16" s="107">
        <f>HF16*100/$E$16</f>
        <v/>
      </c>
      <c r="HH16" s="108" t="n"/>
      <c r="HI16" s="107">
        <f>HH16*100/$E$16</f>
        <v/>
      </c>
      <c r="HJ16" s="108" t="n"/>
      <c r="HK16" s="107">
        <f>HJ16*100/$E$16</f>
        <v/>
      </c>
      <c r="HL16" s="108" t="n"/>
      <c r="HM16" s="107">
        <f>HL16*100/$E$16</f>
        <v/>
      </c>
      <c r="HN16" s="108" t="n"/>
      <c r="HO16" s="107">
        <f>HN16*100/$E$16</f>
        <v/>
      </c>
      <c r="HP16" s="108" t="n"/>
      <c r="HQ16" s="107">
        <f>HP16*100/$E$16</f>
        <v/>
      </c>
      <c r="HR16" s="108" t="n"/>
      <c r="HS16" s="107">
        <f>HR16*100/$E$16</f>
        <v/>
      </c>
      <c r="HT16" s="108" t="n"/>
      <c r="HU16" s="107">
        <f>HT16*100/$E$16</f>
        <v/>
      </c>
      <c r="HV16" s="108" t="n"/>
      <c r="HW16" s="107">
        <f>HV16*100/$E$16</f>
        <v/>
      </c>
      <c r="HX16" s="108" t="n"/>
      <c r="HY16" s="107">
        <f>HX16*100/$E$16</f>
        <v/>
      </c>
      <c r="HZ16" s="108" t="n"/>
      <c r="IA16" s="122">
        <f>HZ16*100/$E$16</f>
        <v/>
      </c>
      <c r="IB16" s="108" t="n"/>
      <c r="IC16" s="122">
        <f>IB16*100/$E$16</f>
        <v/>
      </c>
      <c r="ID16" s="108" t="n"/>
      <c r="IE16" s="122">
        <f>ID16*100/$E$16</f>
        <v/>
      </c>
      <c r="IF16" s="108" t="n"/>
      <c r="IG16" s="122">
        <f>IF16*100/$E$16</f>
        <v/>
      </c>
      <c r="IH16" s="108" t="n"/>
      <c r="II16" s="122">
        <f>IH16*100/$E$16</f>
        <v/>
      </c>
      <c r="IJ16" s="108" t="n"/>
      <c r="IK16" s="122">
        <f>IJ16*100/$E$16</f>
        <v/>
      </c>
      <c r="IL16" s="108" t="n"/>
      <c r="IM16" s="107">
        <f>IL16*100/$E$16</f>
        <v/>
      </c>
      <c r="IN16" s="108" t="n"/>
      <c r="IO16" s="107">
        <f>IN16*100/$E$16</f>
        <v/>
      </c>
      <c r="IP16" s="108" t="n"/>
      <c r="IQ16" s="122">
        <f>IP16*100/$E$16</f>
        <v/>
      </c>
      <c r="IR16" s="108" t="n"/>
      <c r="IS16" s="122">
        <f>IR16*100/$E$16</f>
        <v/>
      </c>
      <c r="IT16" s="108" t="n"/>
      <c r="IU16" s="122">
        <f>IT16*100/$E$16</f>
        <v/>
      </c>
      <c r="IV16" s="108" t="n"/>
      <c r="IW16" s="122">
        <f>IV16*100/$E$16</f>
        <v/>
      </c>
      <c r="IX16" s="108" t="n"/>
      <c r="IY16" s="122">
        <f>IX16*100/$E$16</f>
        <v/>
      </c>
      <c r="IZ16" s="108" t="n"/>
      <c r="JA16" s="122">
        <f>IZ16*100/$E$16</f>
        <v/>
      </c>
      <c r="JB16" s="108" t="n"/>
      <c r="JC16" s="122">
        <f>JB16*100/$E$16</f>
        <v/>
      </c>
      <c r="JD16" s="108" t="n"/>
      <c r="JE16" s="122">
        <f>JD16*100/$E$16</f>
        <v/>
      </c>
      <c r="JF16" s="108" t="n"/>
      <c r="JG16" s="122">
        <f>JF16*100/$E$16</f>
        <v/>
      </c>
      <c r="JH16" s="108" t="n"/>
      <c r="JI16" s="122">
        <f>JH16*100/$E$16</f>
        <v/>
      </c>
      <c r="JJ16" s="108" t="n"/>
      <c r="JK16" s="122">
        <f>JJ16*100/$E$16</f>
        <v/>
      </c>
      <c r="JL16" s="108" t="n"/>
      <c r="JM16" s="122">
        <f>JL16*100/$E$16</f>
        <v/>
      </c>
      <c r="JN16" s="108" t="n"/>
      <c r="JO16" s="121">
        <f>JN16*100/$E$16</f>
        <v/>
      </c>
      <c r="JP16" s="108" t="n"/>
      <c r="JQ16" s="121">
        <f>JP16*100/$E$16</f>
        <v/>
      </c>
      <c r="JR16" s="108" t="n"/>
      <c r="JS16" s="121">
        <f>JR16*100/$E$16</f>
        <v/>
      </c>
      <c r="JT16" s="108" t="n"/>
      <c r="JU16" s="121">
        <f>JT16*100/$E$16</f>
        <v/>
      </c>
      <c r="JV16" s="108" t="n"/>
      <c r="JW16" s="121">
        <f>JV16*100/$E$16</f>
        <v/>
      </c>
      <c r="JX16" s="108" t="n"/>
      <c r="JY16" s="121">
        <f>JX16*100/$E$16</f>
        <v/>
      </c>
      <c r="JZ16" s="55">
        <f>JN16+JP16+JR16+JT16+JV16+JX16</f>
        <v/>
      </c>
      <c r="KA16" s="53">
        <f>JO16+JQ16+JS16+JU16+JW16+JY16</f>
        <v/>
      </c>
      <c r="KB16" s="64">
        <f>H16+J16+L16+N16+P16+R16+T16+V16+X16+Z16+AB16+AD16+AF16+AH16+AJ16+AL16+AN16+AP16+AR16+AT16+AV16+AX16+AZ16+BB16+BD16+BF16+BH16+BJ16+BL16+BN16+BP16+BR16+BT16+BV16+BX16+BZ16+CB16+CD16+CF16+CH16+CZ16+DB16+DD16+DF16+DH16+DJ16+DL16+DN16+DP16+DR16+DT16+DV16+DX16+DZ16+EB16+ED16+EF16+EH16+EJ16+EL16+EN16+EP16+ER16+ET16+EV16+FN16+FP16+FR16+FT16+FV16+FX16+FZ16+GB16+GD16+GF16+GH16+GJ16+GL16+GN16+GP16+GR16+GT16+GV16+GX16+GZ16+HB16+HD16+HF16+HH16+HJ16+HL16+HN16+HP16+HR16+HT16+HV16+HX16+HZ16+IB16+ID16+IF16+IH16+IJ16+IL16+IN16+IP16+IR16+IT16+IV16+IX16+IZ16+JB16+JD16+JF16+JH16+JJ16+JL16+JZ16+CJ16+CL16+CN16+CP16+CR16+CT16+CV16+CX16+EX16+EZ16+FB16+FD16+FF16+FH16+FJ16+FL16</f>
        <v/>
      </c>
      <c r="KC16" s="66">
        <f>I16+K16+M16+O16+Q16+S16+U16+W16+Y16+AA16+AC16+AE16+AG16+AI16+AK16+AM16+AO16+AQ16+AS16+AU16+AW16+AY16+BA16+BC16+BE16+BG16+BI16+BK16+BM16+BO16+BQ16+BS16+BU16+BW16+BY16+CA16+CC16+CE16+CG16+CI16+DA16+DC16+DE16+DG16+DI16+DK16+DM16+DO16+DQ16+DS16+DU16+DW16+DY16+EA16+EC16+EE16+EG16+EI16+EK16+EM16+EO16+EQ16+ES16+EU16+EW16+FO16+FS16+FU16+FW16+FQ16+FY16+GA16+GC16+GE16+GG16+GI16+GK16+GM16+GO16+GQ16+GS16+GU16+GW16+GY16+HA16+HC16+HE16+HG16+HI16+HK16+HM16+HO16+HQ16+HS16+HU16+HW16+HY16+IA16+IC16+IE16+IG16+II16+IK16+IM16+IO16+IQ16+IS16+IU16+IW16+IY16+JA16+JC16+JE16+JG16+JI16+JK16+JM16+KA16+CK16+CM16+CO16+CQ16+CS16+CU16+CW16+CY16+EY16+FA16+FC16+FE16+FG16+FI16+FK16+FM16</f>
        <v/>
      </c>
      <c r="KD16" s="44">
        <f>JO16+JQ16+JS16+JU16+JW16+JY16</f>
        <v/>
      </c>
      <c r="KE16" s="45">
        <f>KB16=E16</f>
        <v/>
      </c>
      <c r="KF16" s="101">
        <f>E16-KB16</f>
        <v/>
      </c>
      <c r="KG16" s="67" t="n"/>
    </row>
    <row r="17" ht="21.75" customFormat="1" customHeight="1" s="14">
      <c r="A17" s="126">
        <f>A16+1</f>
        <v/>
      </c>
      <c r="B17" s="175" t="inlineStr">
        <is>
          <t>Гринев В.Н.</t>
        </is>
      </c>
      <c r="C17" s="176" t="inlineStr">
        <is>
          <t>сварщик</t>
        </is>
      </c>
      <c r="D17" s="177">
        <f>$D$5</f>
        <v/>
      </c>
      <c r="E17" s="202" t="n"/>
      <c r="F17" s="190" t="n">
        <v>61252.7</v>
      </c>
      <c r="G17" s="52">
        <f>F17/D17</f>
        <v/>
      </c>
      <c r="H17" s="125" t="n"/>
      <c r="I17" s="107">
        <f>H17*100/$E$17</f>
        <v/>
      </c>
      <c r="J17" s="108" t="n"/>
      <c r="K17" s="107">
        <f>J17*100/$E$17</f>
        <v/>
      </c>
      <c r="L17" s="108" t="n"/>
      <c r="M17" s="107">
        <f>L17*100/$E$17</f>
        <v/>
      </c>
      <c r="N17" s="108" t="n"/>
      <c r="O17" s="107">
        <f>N17*100/$E$17</f>
        <v/>
      </c>
      <c r="P17" s="108" t="n"/>
      <c r="Q17" s="122">
        <f>P17*100/$E$17</f>
        <v/>
      </c>
      <c r="R17" s="108" t="n"/>
      <c r="S17" s="122">
        <f>R17*100/$E$17</f>
        <v/>
      </c>
      <c r="T17" s="108" t="n"/>
      <c r="U17" s="107">
        <f>T17*100/$E$17</f>
        <v/>
      </c>
      <c r="V17" s="108" t="n"/>
      <c r="W17" s="107">
        <f>V17*100/$E$17</f>
        <v/>
      </c>
      <c r="X17" s="108" t="n"/>
      <c r="Y17" s="107">
        <f>X17*100/$E$17</f>
        <v/>
      </c>
      <c r="Z17" s="108" t="n"/>
      <c r="AA17" s="107">
        <f>Z17*100/$E$17</f>
        <v/>
      </c>
      <c r="AB17" s="108" t="n"/>
      <c r="AC17" s="107">
        <f>AB17*100/$E$17</f>
        <v/>
      </c>
      <c r="AD17" s="108" t="n"/>
      <c r="AE17" s="122">
        <f>AD17*100/$E$17</f>
        <v/>
      </c>
      <c r="AF17" s="108" t="n"/>
      <c r="AG17" s="122">
        <f>AF17*100/$E$17</f>
        <v/>
      </c>
      <c r="AH17" s="108" t="n"/>
      <c r="AI17" s="107">
        <f>AH17*100/$E$17</f>
        <v/>
      </c>
      <c r="AJ17" s="108" t="n"/>
      <c r="AK17" s="107">
        <f>AJ17*100/$E$17</f>
        <v/>
      </c>
      <c r="AL17" s="108" t="n"/>
      <c r="AM17" s="107">
        <f>AL17*100/$E$17</f>
        <v/>
      </c>
      <c r="AN17" s="108" t="n"/>
      <c r="AO17" s="107">
        <f>AN17*100/$E$17</f>
        <v/>
      </c>
      <c r="AP17" s="108" t="n"/>
      <c r="AQ17" s="107">
        <f>AP17*100/$E$17</f>
        <v/>
      </c>
      <c r="AR17" s="108" t="n"/>
      <c r="AS17" s="107">
        <f>AR17*100/$E$17</f>
        <v/>
      </c>
      <c r="AT17" s="108" t="n"/>
      <c r="AU17" s="90">
        <f>AT17*100/$E$17</f>
        <v/>
      </c>
      <c r="AV17" s="108" t="n"/>
      <c r="AW17" s="107">
        <f>AV17*100/$E$17</f>
        <v/>
      </c>
      <c r="AX17" s="108" t="n"/>
      <c r="AY17" s="107">
        <f>AX17*100/$E$17</f>
        <v/>
      </c>
      <c r="AZ17" s="108" t="n"/>
      <c r="BA17" s="107">
        <f>AZ17*100/$E$17</f>
        <v/>
      </c>
      <c r="BB17" s="108" t="n"/>
      <c r="BC17" s="107">
        <f>BB17*100/$E$17</f>
        <v/>
      </c>
      <c r="BD17" s="108" t="n"/>
      <c r="BE17" s="107">
        <f>BD17*100/$E$17</f>
        <v/>
      </c>
      <c r="BF17" s="108" t="n"/>
      <c r="BG17" s="107">
        <f>BF17*100/$E$17</f>
        <v/>
      </c>
      <c r="BH17" s="108" t="n"/>
      <c r="BI17" s="107">
        <f>BH17*100/$E$17</f>
        <v/>
      </c>
      <c r="BJ17" s="108" t="n"/>
      <c r="BK17" s="107">
        <f>BJ17*100/$E$17</f>
        <v/>
      </c>
      <c r="BL17" s="108" t="n"/>
      <c r="BM17" s="107">
        <f>BL17*100/$E$17</f>
        <v/>
      </c>
      <c r="BN17" s="108" t="n"/>
      <c r="BO17" s="107">
        <f>BN17*100/$E$17</f>
        <v/>
      </c>
      <c r="BP17" s="108" t="n"/>
      <c r="BQ17" s="107">
        <f>BP17*100/$E$17</f>
        <v/>
      </c>
      <c r="BR17" s="108" t="n"/>
      <c r="BS17" s="107">
        <f>BR17*100/$E$17</f>
        <v/>
      </c>
      <c r="BT17" s="108" t="n"/>
      <c r="BU17" s="107">
        <f>BT17*100/$E$17</f>
        <v/>
      </c>
      <c r="BV17" s="108" t="n"/>
      <c r="BW17" s="107">
        <f>BV17*100/$E$17</f>
        <v/>
      </c>
      <c r="BX17" s="108" t="n"/>
      <c r="BY17" s="107">
        <f>BX17*100/$E$17</f>
        <v/>
      </c>
      <c r="BZ17" s="108" t="n"/>
      <c r="CA17" s="107">
        <f>BZ17*100/$E$17</f>
        <v/>
      </c>
      <c r="CB17" s="108" t="n"/>
      <c r="CC17" s="107">
        <f>CB17*100/$E$17</f>
        <v/>
      </c>
      <c r="CD17" s="108" t="n"/>
      <c r="CE17" s="107">
        <f>CD17*100/$E$17</f>
        <v/>
      </c>
      <c r="CF17" s="108" t="n"/>
      <c r="CG17" s="107">
        <f>CF17*100/$E$17</f>
        <v/>
      </c>
      <c r="CH17" s="108" t="n"/>
      <c r="CI17" s="107">
        <f>CH17*100/$E$17</f>
        <v/>
      </c>
      <c r="CJ17" s="108" t="n"/>
      <c r="CK17" s="107">
        <f>CJ17*100/$E$17</f>
        <v/>
      </c>
      <c r="CL17" s="108" t="n"/>
      <c r="CM17" s="107">
        <f>CL17*100/$E$17</f>
        <v/>
      </c>
      <c r="CN17" s="108" t="n"/>
      <c r="CO17" s="122">
        <f>CN17*100/$E$17</f>
        <v/>
      </c>
      <c r="CP17" s="108" t="n"/>
      <c r="CQ17" s="107">
        <f>CP17*100/$E$17</f>
        <v/>
      </c>
      <c r="CR17" s="108" t="n"/>
      <c r="CS17" s="122">
        <f>CR17*100/$E$17</f>
        <v/>
      </c>
      <c r="CT17" s="108" t="n"/>
      <c r="CU17" s="122">
        <f>CT17*100/$E$17</f>
        <v/>
      </c>
      <c r="CV17" s="108" t="n"/>
      <c r="CW17" s="122">
        <f>CV17*100/$E$17</f>
        <v/>
      </c>
      <c r="CX17" s="108" t="n"/>
      <c r="CY17" s="122">
        <f>CX17*100/$E$17</f>
        <v/>
      </c>
      <c r="CZ17" s="108" t="n"/>
      <c r="DA17" s="122">
        <f>CZ17*100/$E$17</f>
        <v/>
      </c>
      <c r="DB17" s="108" t="n"/>
      <c r="DC17" s="122">
        <f>DB17*100/$E$17</f>
        <v/>
      </c>
      <c r="DD17" s="108" t="n"/>
      <c r="DE17" s="122">
        <f>DD17*100/$E$17</f>
        <v/>
      </c>
      <c r="DF17" s="108" t="n"/>
      <c r="DG17" s="122">
        <f>DF17*100/$E$17</f>
        <v/>
      </c>
      <c r="DH17" s="108" t="n"/>
      <c r="DI17" s="122">
        <f>DH17*100/$E$17</f>
        <v/>
      </c>
      <c r="DJ17" s="108" t="n"/>
      <c r="DK17" s="122">
        <f>DJ17*100/$E$17</f>
        <v/>
      </c>
      <c r="DL17" s="108" t="n"/>
      <c r="DM17" s="122">
        <f>DL17*100/$E$17</f>
        <v/>
      </c>
      <c r="DN17" s="108" t="n"/>
      <c r="DO17" s="122">
        <f>DN17*100/$E$17</f>
        <v/>
      </c>
      <c r="DP17" s="108" t="n"/>
      <c r="DQ17" s="122">
        <f>DP17*100/$E$17</f>
        <v/>
      </c>
      <c r="DR17" s="108" t="n"/>
      <c r="DS17" s="122">
        <f>DR17*100/$E$17</f>
        <v/>
      </c>
      <c r="DT17" s="108" t="n"/>
      <c r="DU17" s="122">
        <f>DT17*100/$E$17</f>
        <v/>
      </c>
      <c r="DV17" s="108" t="n"/>
      <c r="DW17" s="122">
        <f>DV17*100/$E$17</f>
        <v/>
      </c>
      <c r="DX17" s="108" t="n"/>
      <c r="DY17" s="122">
        <f>DX17*100/$E$17</f>
        <v/>
      </c>
      <c r="DZ17" s="108" t="n"/>
      <c r="EA17" s="122">
        <f>DZ17*100/$E$17</f>
        <v/>
      </c>
      <c r="EB17" s="108" t="n"/>
      <c r="EC17" s="122">
        <f>EB17*100/$E$17</f>
        <v/>
      </c>
      <c r="ED17" s="108" t="n"/>
      <c r="EE17" s="122">
        <f>ED17*100/$E$17</f>
        <v/>
      </c>
      <c r="EF17" s="108" t="n"/>
      <c r="EG17" s="122">
        <f>EF17*100/$E$17</f>
        <v/>
      </c>
      <c r="EH17" s="108" t="n"/>
      <c r="EI17" s="122">
        <f>EH17*100/$E$17</f>
        <v/>
      </c>
      <c r="EJ17" s="108" t="n"/>
      <c r="EK17" s="122">
        <f>EJ17*100/$E$17</f>
        <v/>
      </c>
      <c r="EL17" s="108" t="n"/>
      <c r="EM17" s="122">
        <f>EL17*100/$E$17</f>
        <v/>
      </c>
      <c r="EN17" s="108" t="n"/>
      <c r="EO17" s="122">
        <f>EN17*100/$E$17</f>
        <v/>
      </c>
      <c r="EP17" s="108" t="n"/>
      <c r="EQ17" s="122">
        <f>EP17*100/$E$17</f>
        <v/>
      </c>
      <c r="ER17" s="108" t="n"/>
      <c r="ES17" s="122">
        <f>ER17*100/$E$17</f>
        <v/>
      </c>
      <c r="ET17" s="108" t="n"/>
      <c r="EU17" s="122">
        <f>ET17*100/$E$17</f>
        <v/>
      </c>
      <c r="EV17" s="108" t="n"/>
      <c r="EW17" s="122">
        <f>EV17*100/$E$17</f>
        <v/>
      </c>
      <c r="EX17" s="108" t="n"/>
      <c r="EY17" s="122">
        <f>EX17*100/$E$17</f>
        <v/>
      </c>
      <c r="EZ17" s="108" t="n"/>
      <c r="FA17" s="122">
        <f>EZ17*100/$E$17</f>
        <v/>
      </c>
      <c r="FB17" s="108" t="n"/>
      <c r="FC17" s="122">
        <f>FB17*100/$E$17</f>
        <v/>
      </c>
      <c r="FD17" s="108" t="n"/>
      <c r="FE17" s="122">
        <f>FD17*100/$E$17</f>
        <v/>
      </c>
      <c r="FF17" s="108" t="n"/>
      <c r="FG17" s="122">
        <f>FF17*100/$E$17</f>
        <v/>
      </c>
      <c r="FH17" s="108" t="n"/>
      <c r="FI17" s="122">
        <f>FH17*100/$E$17</f>
        <v/>
      </c>
      <c r="FJ17" s="108" t="n"/>
      <c r="FK17" s="122">
        <f>FJ17*100/$E$17</f>
        <v/>
      </c>
      <c r="FL17" s="108" t="n"/>
      <c r="FM17" s="122">
        <f>FL17*100/$E$17</f>
        <v/>
      </c>
      <c r="FN17" s="108" t="n"/>
      <c r="FO17" s="122">
        <f>FN17*100/$E$17</f>
        <v/>
      </c>
      <c r="FP17" s="108" t="n"/>
      <c r="FQ17" s="122">
        <f>FP17*100/$E$17</f>
        <v/>
      </c>
      <c r="FR17" s="108" t="n"/>
      <c r="FS17" s="122">
        <f>FR17*100/$E$17</f>
        <v/>
      </c>
      <c r="FT17" s="108" t="n"/>
      <c r="FU17" s="122">
        <f>FT17*100/$E$17</f>
        <v/>
      </c>
      <c r="FV17" s="108" t="n"/>
      <c r="FW17" s="122">
        <f>FV17*100/$E$17</f>
        <v/>
      </c>
      <c r="FX17" s="108" t="n"/>
      <c r="FY17" s="107">
        <f>FX17*100/$E$17</f>
        <v/>
      </c>
      <c r="FZ17" s="108" t="n"/>
      <c r="GA17" s="107">
        <f>FZ17*100/$E$17</f>
        <v/>
      </c>
      <c r="GB17" s="108" t="n"/>
      <c r="GC17" s="107">
        <f>GB17*100/$E$17</f>
        <v/>
      </c>
      <c r="GD17" s="108" t="n"/>
      <c r="GE17" s="107">
        <f>GD17*100/$E$17</f>
        <v/>
      </c>
      <c r="GF17" s="108" t="n"/>
      <c r="GG17" s="107">
        <f>GF17*100/$E$17</f>
        <v/>
      </c>
      <c r="GH17" s="108" t="n"/>
      <c r="GI17" s="107">
        <f>GH17*100/$E$17</f>
        <v/>
      </c>
      <c r="GJ17" s="108" t="n"/>
      <c r="GK17" s="122">
        <f>GJ17*100/$E$17</f>
        <v/>
      </c>
      <c r="GL17" s="108" t="n"/>
      <c r="GM17" s="107">
        <f>GL17*100/$E$17</f>
        <v/>
      </c>
      <c r="GN17" s="108" t="n"/>
      <c r="GO17" s="122">
        <f>GN17*100/$E$17</f>
        <v/>
      </c>
      <c r="GP17" s="108" t="n"/>
      <c r="GQ17" s="107">
        <f>GP17*100/$E$17</f>
        <v/>
      </c>
      <c r="GR17" s="108" t="n"/>
      <c r="GS17" s="122">
        <f>GR17*100/$E$17</f>
        <v/>
      </c>
      <c r="GT17" s="108" t="n"/>
      <c r="GU17" s="122">
        <f>GT17*100/$E$17</f>
        <v/>
      </c>
      <c r="GV17" s="108" t="n"/>
      <c r="GW17" s="122">
        <f>GV17*100/$E$17</f>
        <v/>
      </c>
      <c r="GX17" s="108" t="n"/>
      <c r="GY17" s="107">
        <f>GX17*100/$E$17</f>
        <v/>
      </c>
      <c r="GZ17" s="108" t="n"/>
      <c r="HA17" s="107">
        <f>GZ17*100/$E$17</f>
        <v/>
      </c>
      <c r="HB17" s="108" t="n"/>
      <c r="HC17" s="107">
        <f>HB17*100/$E$17</f>
        <v/>
      </c>
      <c r="HD17" s="108" t="n"/>
      <c r="HE17" s="107">
        <f>HD17*100/$E$17</f>
        <v/>
      </c>
      <c r="HF17" s="108" t="n"/>
      <c r="HG17" s="107">
        <f>HF17*100/$E$17</f>
        <v/>
      </c>
      <c r="HH17" s="108" t="n"/>
      <c r="HI17" s="107">
        <f>HH17*100/$E$17</f>
        <v/>
      </c>
      <c r="HJ17" s="108" t="n"/>
      <c r="HK17" s="107">
        <f>HJ17*100/$E$17</f>
        <v/>
      </c>
      <c r="HL17" s="108" t="n"/>
      <c r="HM17" s="107">
        <f>HL17*100/$E$17</f>
        <v/>
      </c>
      <c r="HN17" s="108" t="n"/>
      <c r="HO17" s="107">
        <f>HN17*100/$E$17</f>
        <v/>
      </c>
      <c r="HP17" s="108" t="n"/>
      <c r="HQ17" s="107">
        <f>HP17*100/$E$17</f>
        <v/>
      </c>
      <c r="HR17" s="108" t="n"/>
      <c r="HS17" s="107">
        <f>HR17*100/$E$17</f>
        <v/>
      </c>
      <c r="HT17" s="108" t="n"/>
      <c r="HU17" s="107">
        <f>HT17*100/$E$17</f>
        <v/>
      </c>
      <c r="HV17" s="108" t="n"/>
      <c r="HW17" s="107">
        <f>HV17*100/$E$17</f>
        <v/>
      </c>
      <c r="HX17" s="108" t="n"/>
      <c r="HY17" s="107">
        <f>HX17*100/$E$17</f>
        <v/>
      </c>
      <c r="HZ17" s="108" t="n"/>
      <c r="IA17" s="122">
        <f>HZ17*100/$E$17</f>
        <v/>
      </c>
      <c r="IB17" s="108" t="n"/>
      <c r="IC17" s="122">
        <f>IB17*100/$E$17</f>
        <v/>
      </c>
      <c r="ID17" s="108" t="n"/>
      <c r="IE17" s="122">
        <f>ID17*100/$E$17</f>
        <v/>
      </c>
      <c r="IF17" s="108" t="n"/>
      <c r="IG17" s="122">
        <f>IF17*100/$E$17</f>
        <v/>
      </c>
      <c r="IH17" s="108" t="n"/>
      <c r="II17" s="122">
        <f>IH17*100/$E$17</f>
        <v/>
      </c>
      <c r="IJ17" s="108" t="n"/>
      <c r="IK17" s="122">
        <f>IJ17*100/$E$17</f>
        <v/>
      </c>
      <c r="IL17" s="108" t="n"/>
      <c r="IM17" s="107">
        <f>IL17*100/E17</f>
        <v/>
      </c>
      <c r="IN17" s="108" t="n"/>
      <c r="IO17" s="107">
        <f>IN17*100/$E$17</f>
        <v/>
      </c>
      <c r="IP17" s="108" t="n"/>
      <c r="IQ17" s="122">
        <f>IP17*100/$E$17</f>
        <v/>
      </c>
      <c r="IR17" s="108" t="n"/>
      <c r="IS17" s="122">
        <f>IR17*100/$E$17</f>
        <v/>
      </c>
      <c r="IT17" s="108" t="n"/>
      <c r="IU17" s="122">
        <f>IT17*100/$E$17</f>
        <v/>
      </c>
      <c r="IV17" s="108" t="n"/>
      <c r="IW17" s="122">
        <f>IV17*100/$E$17</f>
        <v/>
      </c>
      <c r="IX17" s="108" t="n"/>
      <c r="IY17" s="122">
        <f>IX17*100/$E$17</f>
        <v/>
      </c>
      <c r="IZ17" s="108" t="n"/>
      <c r="JA17" s="122">
        <f>IZ17*100/$E$17</f>
        <v/>
      </c>
      <c r="JB17" s="108" t="n"/>
      <c r="JC17" s="122">
        <f>JB17*100/$E$17</f>
        <v/>
      </c>
      <c r="JD17" s="108" t="n"/>
      <c r="JE17" s="122">
        <f>JD17*100/$E$17</f>
        <v/>
      </c>
      <c r="JF17" s="108" t="n"/>
      <c r="JG17" s="122">
        <f>JF17*100/$E$17</f>
        <v/>
      </c>
      <c r="JH17" s="108" t="n"/>
      <c r="JI17" s="122">
        <f>JH17*100/$E$17</f>
        <v/>
      </c>
      <c r="JJ17" s="108" t="n"/>
      <c r="JK17" s="122">
        <f>JJ17*100/$E$17</f>
        <v/>
      </c>
      <c r="JL17" s="108" t="n"/>
      <c r="JM17" s="122">
        <f>JL17*100/$E$17</f>
        <v/>
      </c>
      <c r="JN17" s="108" t="n"/>
      <c r="JO17" s="121">
        <f>JN17*100/$E$17</f>
        <v/>
      </c>
      <c r="JP17" s="108" t="n"/>
      <c r="JQ17" s="121">
        <f>JP17*100/$E$17</f>
        <v/>
      </c>
      <c r="JR17" s="108" t="n"/>
      <c r="JS17" s="121">
        <f>JR17*100/$E$17</f>
        <v/>
      </c>
      <c r="JT17" s="108" t="n"/>
      <c r="JU17" s="121">
        <f>JT17*100/$E$17</f>
        <v/>
      </c>
      <c r="JV17" s="108" t="n"/>
      <c r="JW17" s="121">
        <f>JV17*100/$E$17</f>
        <v/>
      </c>
      <c r="JX17" s="108" t="n"/>
      <c r="JY17" s="121">
        <f>JX17*100/$E$17</f>
        <v/>
      </c>
      <c r="JZ17" s="55">
        <f>JN17+JP17+JR17+JT17+JV17+JX17</f>
        <v/>
      </c>
      <c r="KA17" s="53">
        <f>JO17+JQ17+JS17+JU17+JW17+JY17</f>
        <v/>
      </c>
      <c r="KB17" s="64">
        <f>H17+J17+L17+N17+P17+R17+T17+V17+X17+Z17+AB17+AD17+AF17+AH17+AJ17+AL17+AN17+AP17+AR17+AT17+AV17+AX17+AZ17+BB17+BD17+BF17+BH17+BJ17+BL17+BN17+BP17+BR17+BT17+BV17+BX17+BZ17+CB17+CD17+CF17+CH17+CZ17+DB17+DD17+DF17+DH17+DJ17+DL17+DN17+DP17+DR17+DT17+DV17+DX17+DZ17+EB17+ED17+EF17+EH17+EJ17+EL17+EN17+EP17+ER17+ET17+EV17+FN17+FP17+FR17+FT17+FV17+FX17+FZ17+GB17+GD17+GF17+GH17+GJ17+GL17+GN17+GP17+GR17+GT17+GV17+GX17+GZ17+HB17+HD17+HF17+HH17+HJ17+HL17+HN17+HP17+HR17+HT17+HV17+HX17+HZ17+IB17+ID17+IF17+IH17+IJ17+IL17+IN17+IP17+IR17+IT17+IV17+IX17+IZ17+JB17+JD17+JF17+JH17+JJ17+JL17+JZ17+CJ17+CL17+CN17+CP17+CR17+CT17+CV17+CX17+EX17+EZ17+FB17+FD17+FF17+FH17+FJ17+FL17</f>
        <v/>
      </c>
      <c r="KC17" s="66">
        <f>I17+K17+M17+O17+Q17+S17+U17+W17+Y17+AA17+AC17+AE17+AG17+AI17+AK17+AM17+AO17+AQ17+AS17+AU17+AW17+AY17+BA17+BC17+BE17+BG17+BI17+BK17+BM17+BO17+BQ17+BS17+BU17+BW17+BY17+CA17+CC17+CE17+CG17+CI17+DA17+DC17+DE17+DG17+DI17+DK17+DM17+DO17+DQ17+DS17+DU17+DW17+DY17+EA17+EC17+EE17+EG17+EI17+EK17+EM17+EO17+EQ17+ES17+EU17+EW17+FO17+FS17+FU17+FW17+FQ17+FY17+GA17+GC17+GE17+GG17+GI17+GK17+GM17+GO17+GQ17+GS17+GU17+GW17+GY17+HA17+HC17+HE17+HG17+HI17+HK17+HM17+HO17+HQ17+HS17+HU17+HW17+HY17+IA17+IC17+IE17+IG17+II17+IK17+IM17+IO17+IQ17+IS17+IU17+IW17+IY17+JA17+JC17+JE17+JG17+JI17+JK17+JM17+KA17+CK17+CM17+CO17+CQ17+CS17+CU17+CW17+CY17+EY17+FA17+FC17+FE17+FG17+FI17+FK17+FM17</f>
        <v/>
      </c>
      <c r="KD17" s="44">
        <f>JO17+JQ17+JS17+JU17+JW17+JY17</f>
        <v/>
      </c>
      <c r="KE17" s="45">
        <f>KB17=E17</f>
        <v/>
      </c>
      <c r="KF17" s="101">
        <f>E17-KB17</f>
        <v/>
      </c>
      <c r="KG17" s="15" t="n"/>
    </row>
    <row r="18" ht="21.75" customFormat="1" customHeight="1" s="15">
      <c r="A18" s="126">
        <f>A17+1</f>
        <v/>
      </c>
      <c r="B18" s="175" t="inlineStr">
        <is>
          <t>Гулиев Б.Н</t>
        </is>
      </c>
      <c r="C18" s="176" t="inlineStr">
        <is>
          <t>сварщик</t>
        </is>
      </c>
      <c r="D18" s="177">
        <f>$D$5</f>
        <v/>
      </c>
      <c r="E18" s="202" t="n"/>
      <c r="F18" s="190" t="n">
        <v>61252.7</v>
      </c>
      <c r="G18" s="52">
        <f>F18/D18</f>
        <v/>
      </c>
      <c r="H18" s="125" t="n"/>
      <c r="I18" s="107">
        <f>H18*100/$E$18</f>
        <v/>
      </c>
      <c r="J18" s="108" t="n"/>
      <c r="K18" s="107">
        <f>J18*100/$E$18</f>
        <v/>
      </c>
      <c r="L18" s="108" t="n"/>
      <c r="M18" s="107">
        <f>L18*100/$E$18</f>
        <v/>
      </c>
      <c r="N18" s="108" t="n"/>
      <c r="O18" s="107">
        <f>N18*100/$E$18</f>
        <v/>
      </c>
      <c r="P18" s="108" t="n"/>
      <c r="Q18" s="122">
        <f>P18*100/$E$18</f>
        <v/>
      </c>
      <c r="R18" s="108" t="n"/>
      <c r="S18" s="122">
        <f>R18*100/$E$18</f>
        <v/>
      </c>
      <c r="T18" s="108" t="n"/>
      <c r="U18" s="107">
        <f>T18*100/$E$18</f>
        <v/>
      </c>
      <c r="V18" s="108" t="n"/>
      <c r="W18" s="107">
        <f>V18*100/$E$18</f>
        <v/>
      </c>
      <c r="X18" s="108" t="n"/>
      <c r="Y18" s="107">
        <f>X18*100/$E$18</f>
        <v/>
      </c>
      <c r="Z18" s="108" t="n"/>
      <c r="AA18" s="107">
        <f>Z18*100/$E$18</f>
        <v/>
      </c>
      <c r="AB18" s="108" t="n"/>
      <c r="AC18" s="107">
        <f>AB18*100/$E$18</f>
        <v/>
      </c>
      <c r="AD18" s="108" t="n"/>
      <c r="AE18" s="122">
        <f>AD18*100/$E$18</f>
        <v/>
      </c>
      <c r="AF18" s="108" t="n"/>
      <c r="AG18" s="122">
        <f>AF18*100/$E$18</f>
        <v/>
      </c>
      <c r="AH18" s="108" t="n"/>
      <c r="AI18" s="107">
        <f>AH18*100/$E$18</f>
        <v/>
      </c>
      <c r="AJ18" s="108" t="n"/>
      <c r="AK18" s="107">
        <f>AJ18*100/$E$18</f>
        <v/>
      </c>
      <c r="AL18" s="108" t="n"/>
      <c r="AM18" s="107">
        <f>AL18*100/$E$18</f>
        <v/>
      </c>
      <c r="AN18" s="108" t="n"/>
      <c r="AO18" s="107">
        <f>AN18*100/$E$18</f>
        <v/>
      </c>
      <c r="AP18" s="108" t="n"/>
      <c r="AQ18" s="107">
        <f>AP18*100/$E$18</f>
        <v/>
      </c>
      <c r="AR18" s="108" t="n"/>
      <c r="AS18" s="107">
        <f>AR18*100/$E$18</f>
        <v/>
      </c>
      <c r="AT18" s="108" t="n"/>
      <c r="AU18" s="90">
        <f>AT18*100/$E$18</f>
        <v/>
      </c>
      <c r="AV18" s="108" t="n"/>
      <c r="AW18" s="107">
        <f>AV18*100/$E$18</f>
        <v/>
      </c>
      <c r="AX18" s="108" t="n"/>
      <c r="AY18" s="107">
        <f>AX18*100/$E$18</f>
        <v/>
      </c>
      <c r="AZ18" s="108" t="n"/>
      <c r="BA18" s="107">
        <f>AZ18*100/$E$18</f>
        <v/>
      </c>
      <c r="BB18" s="108" t="n"/>
      <c r="BC18" s="107">
        <f>BB18*100/$E$18</f>
        <v/>
      </c>
      <c r="BD18" s="108" t="n"/>
      <c r="BE18" s="107">
        <f>BD18*100/$E$18</f>
        <v/>
      </c>
      <c r="BF18" s="108" t="n"/>
      <c r="BG18" s="107">
        <f>BF18*100/$E$18</f>
        <v/>
      </c>
      <c r="BH18" s="108" t="n"/>
      <c r="BI18" s="107">
        <f>BH18*100/$E$18</f>
        <v/>
      </c>
      <c r="BJ18" s="108" t="n"/>
      <c r="BK18" s="107">
        <f>BJ18*100/$E$18</f>
        <v/>
      </c>
      <c r="BL18" s="108" t="n"/>
      <c r="BM18" s="107">
        <f>BL18*100/$E$18</f>
        <v/>
      </c>
      <c r="BN18" s="108" t="n"/>
      <c r="BO18" s="107">
        <f>BN18*100/$E$18</f>
        <v/>
      </c>
      <c r="BP18" s="108" t="n"/>
      <c r="BQ18" s="107">
        <f>BP18*100/$E$18</f>
        <v/>
      </c>
      <c r="BR18" s="108" t="n"/>
      <c r="BS18" s="107">
        <f>BR18*100/$E$18</f>
        <v/>
      </c>
      <c r="BT18" s="108" t="n"/>
      <c r="BU18" s="107">
        <f>BT18*100/$E$18</f>
        <v/>
      </c>
      <c r="BV18" s="108" t="n"/>
      <c r="BW18" s="107">
        <f>BV18*100/$E$18</f>
        <v/>
      </c>
      <c r="BX18" s="108" t="n"/>
      <c r="BY18" s="107">
        <f>BX18*100/$E$18</f>
        <v/>
      </c>
      <c r="BZ18" s="108" t="n"/>
      <c r="CA18" s="107">
        <f>BZ18*100/$E$18</f>
        <v/>
      </c>
      <c r="CB18" s="108" t="n"/>
      <c r="CC18" s="107">
        <f>CB18*100/$E$18</f>
        <v/>
      </c>
      <c r="CD18" s="108" t="n"/>
      <c r="CE18" s="107">
        <f>CD18*100/$E$18</f>
        <v/>
      </c>
      <c r="CF18" s="108" t="n"/>
      <c r="CG18" s="107">
        <f>CF18*100/$E$18</f>
        <v/>
      </c>
      <c r="CH18" s="108" t="n"/>
      <c r="CI18" s="107">
        <f>CH18*100/$E$18</f>
        <v/>
      </c>
      <c r="CJ18" s="108" t="n"/>
      <c r="CK18" s="107">
        <f>CJ18*100/$E$18</f>
        <v/>
      </c>
      <c r="CL18" s="108" t="n"/>
      <c r="CM18" s="107">
        <f>CL18*100/$E$18</f>
        <v/>
      </c>
      <c r="CN18" s="108" t="n"/>
      <c r="CO18" s="122">
        <f>CN18*100/$E$18</f>
        <v/>
      </c>
      <c r="CP18" s="108" t="n"/>
      <c r="CQ18" s="107">
        <f>CP18*100/$E$18</f>
        <v/>
      </c>
      <c r="CR18" s="108" t="n"/>
      <c r="CS18" s="122">
        <f>CR18*100/$E$18</f>
        <v/>
      </c>
      <c r="CT18" s="108" t="n"/>
      <c r="CU18" s="122">
        <f>CT18*100/$E$18</f>
        <v/>
      </c>
      <c r="CV18" s="108" t="n"/>
      <c r="CW18" s="122">
        <f>CV18*100/$E$18</f>
        <v/>
      </c>
      <c r="CX18" s="108" t="n"/>
      <c r="CY18" s="122">
        <f>CX18*100/$E$18</f>
        <v/>
      </c>
      <c r="CZ18" s="108" t="n"/>
      <c r="DA18" s="122">
        <f>CZ18*100/$E$18</f>
        <v/>
      </c>
      <c r="DB18" s="108" t="n"/>
      <c r="DC18" s="122">
        <f>DB18*100/$E$18</f>
        <v/>
      </c>
      <c r="DD18" s="108" t="n"/>
      <c r="DE18" s="122">
        <f>DD18*100/$E$18</f>
        <v/>
      </c>
      <c r="DF18" s="108" t="n"/>
      <c r="DG18" s="122">
        <f>DF18*100/$E$18</f>
        <v/>
      </c>
      <c r="DH18" s="108" t="n"/>
      <c r="DI18" s="122">
        <f>DH18*100/$E$18</f>
        <v/>
      </c>
      <c r="DJ18" s="108" t="n"/>
      <c r="DK18" s="122">
        <f>DJ18*100/$E$18</f>
        <v/>
      </c>
      <c r="DL18" s="108" t="n"/>
      <c r="DM18" s="122">
        <f>DL18*100/$E$18</f>
        <v/>
      </c>
      <c r="DN18" s="108" t="n"/>
      <c r="DO18" s="122">
        <f>DN18*100/$E$18</f>
        <v/>
      </c>
      <c r="DP18" s="108" t="n"/>
      <c r="DQ18" s="122">
        <f>DP18*100/$E$18</f>
        <v/>
      </c>
      <c r="DR18" s="108" t="n"/>
      <c r="DS18" s="122">
        <f>DR18*100/$E$18</f>
        <v/>
      </c>
      <c r="DT18" s="108" t="n"/>
      <c r="DU18" s="122">
        <f>DT18*100/$E$18</f>
        <v/>
      </c>
      <c r="DV18" s="108" t="n"/>
      <c r="DW18" s="122">
        <f>DV18*100/$E$18</f>
        <v/>
      </c>
      <c r="DX18" s="108" t="n"/>
      <c r="DY18" s="122">
        <f>DX18*100/$E$18</f>
        <v/>
      </c>
      <c r="DZ18" s="108" t="n"/>
      <c r="EA18" s="122">
        <f>DZ18*100/$E$18</f>
        <v/>
      </c>
      <c r="EB18" s="108" t="n"/>
      <c r="EC18" s="122">
        <f>EB18*100/$E$18</f>
        <v/>
      </c>
      <c r="ED18" s="108" t="n"/>
      <c r="EE18" s="122">
        <f>ED18*100/$E$18</f>
        <v/>
      </c>
      <c r="EF18" s="108" t="n"/>
      <c r="EG18" s="122">
        <f>EF18*100/$E$18</f>
        <v/>
      </c>
      <c r="EH18" s="108" t="n"/>
      <c r="EI18" s="122">
        <f>EH18*100/$E$18</f>
        <v/>
      </c>
      <c r="EJ18" s="108" t="n"/>
      <c r="EK18" s="122">
        <f>EJ18*100/$E$18</f>
        <v/>
      </c>
      <c r="EL18" s="108" t="n"/>
      <c r="EM18" s="122">
        <f>EL18*100/$E$18</f>
        <v/>
      </c>
      <c r="EN18" s="108" t="n"/>
      <c r="EO18" s="122">
        <f>EN18*100/$E$18</f>
        <v/>
      </c>
      <c r="EP18" s="108" t="n"/>
      <c r="EQ18" s="122">
        <f>EP18*100/$E$18</f>
        <v/>
      </c>
      <c r="ER18" s="108" t="n"/>
      <c r="ES18" s="122">
        <f>ER18*100/$E$18</f>
        <v/>
      </c>
      <c r="ET18" s="108" t="n"/>
      <c r="EU18" s="122">
        <f>ET18*100/$E$18</f>
        <v/>
      </c>
      <c r="EV18" s="108" t="n"/>
      <c r="EW18" s="122">
        <f>EV18*100/$E$18</f>
        <v/>
      </c>
      <c r="EX18" s="108" t="n"/>
      <c r="EY18" s="122">
        <f>EX18*100/$E$18</f>
        <v/>
      </c>
      <c r="EZ18" s="108" t="n"/>
      <c r="FA18" s="122">
        <f>EZ18*100/$E$18</f>
        <v/>
      </c>
      <c r="FB18" s="108" t="n"/>
      <c r="FC18" s="122">
        <f>FB18*100/$E$18</f>
        <v/>
      </c>
      <c r="FD18" s="108" t="n"/>
      <c r="FE18" s="122">
        <f>FD18*100/$E$18</f>
        <v/>
      </c>
      <c r="FF18" s="108" t="n"/>
      <c r="FG18" s="122">
        <f>FF18*100/$E$18</f>
        <v/>
      </c>
      <c r="FH18" s="108" t="n"/>
      <c r="FI18" s="122">
        <f>FH18*100/$E$18</f>
        <v/>
      </c>
      <c r="FJ18" s="108" t="n"/>
      <c r="FK18" s="122">
        <f>FJ18*100/$E$18</f>
        <v/>
      </c>
      <c r="FL18" s="108" t="n"/>
      <c r="FM18" s="122">
        <f>FL18*100/$E$18</f>
        <v/>
      </c>
      <c r="FN18" s="108" t="n"/>
      <c r="FO18" s="122">
        <f>FN18*100/$E$18</f>
        <v/>
      </c>
      <c r="FP18" s="108" t="n"/>
      <c r="FQ18" s="122">
        <f>FP18*100/$E$18</f>
        <v/>
      </c>
      <c r="FR18" s="108" t="n"/>
      <c r="FS18" s="122">
        <f>FR18*100/$E$18</f>
        <v/>
      </c>
      <c r="FT18" s="108" t="n"/>
      <c r="FU18" s="122">
        <f>FT18*100/$E$18</f>
        <v/>
      </c>
      <c r="FV18" s="108" t="n"/>
      <c r="FW18" s="122">
        <f>FV18*100/$E$18</f>
        <v/>
      </c>
      <c r="FX18" s="108" t="n"/>
      <c r="FY18" s="107">
        <f>FX18*100/$E$18</f>
        <v/>
      </c>
      <c r="FZ18" s="108" t="n"/>
      <c r="GA18" s="107">
        <f>FZ18*100/$E$18</f>
        <v/>
      </c>
      <c r="GB18" s="108" t="n"/>
      <c r="GC18" s="107">
        <f>GB18*100/$E$18</f>
        <v/>
      </c>
      <c r="GD18" s="108" t="n"/>
      <c r="GE18" s="107">
        <f>GD18*100/$E$18</f>
        <v/>
      </c>
      <c r="GF18" s="108" t="n"/>
      <c r="GG18" s="107">
        <f>GF18*100/$E$18</f>
        <v/>
      </c>
      <c r="GH18" s="108" t="n"/>
      <c r="GI18" s="107">
        <f>GH18*100/$E$18</f>
        <v/>
      </c>
      <c r="GJ18" s="108" t="n"/>
      <c r="GK18" s="122">
        <f>GJ18*100/$E$18</f>
        <v/>
      </c>
      <c r="GL18" s="108" t="n"/>
      <c r="GM18" s="107">
        <f>GL18*100/$E$18</f>
        <v/>
      </c>
      <c r="GN18" s="108" t="n"/>
      <c r="GO18" s="122">
        <f>GN18*100/$E$18</f>
        <v/>
      </c>
      <c r="GP18" s="108" t="n"/>
      <c r="GQ18" s="107">
        <f>GP18*100/$E$18</f>
        <v/>
      </c>
      <c r="GR18" s="108" t="n"/>
      <c r="GS18" s="122">
        <f>GR18*100/$E$18</f>
        <v/>
      </c>
      <c r="GT18" s="108" t="n"/>
      <c r="GU18" s="122">
        <f>GT18*100/$E$18</f>
        <v/>
      </c>
      <c r="GV18" s="108" t="n"/>
      <c r="GW18" s="122">
        <f>GV18*100/$E$18</f>
        <v/>
      </c>
      <c r="GX18" s="108" t="n"/>
      <c r="GY18" s="107">
        <f>GX18*100/$E$18</f>
        <v/>
      </c>
      <c r="GZ18" s="108" t="n"/>
      <c r="HA18" s="107">
        <f>GZ18*100/$E$18</f>
        <v/>
      </c>
      <c r="HB18" s="108" t="n"/>
      <c r="HC18" s="107">
        <f>HB18*100/$E$18</f>
        <v/>
      </c>
      <c r="HD18" s="108" t="n"/>
      <c r="HE18" s="107">
        <f>HD18*100/$E$18</f>
        <v/>
      </c>
      <c r="HF18" s="108" t="n"/>
      <c r="HG18" s="107">
        <f>HF18*100/$E$18</f>
        <v/>
      </c>
      <c r="HH18" s="108" t="n"/>
      <c r="HI18" s="107">
        <f>HH18*100/$E$18</f>
        <v/>
      </c>
      <c r="HJ18" s="108" t="n"/>
      <c r="HK18" s="107">
        <f>HJ18*100/$E$18</f>
        <v/>
      </c>
      <c r="HL18" s="108" t="n"/>
      <c r="HM18" s="107">
        <f>HL18*100/$E$18</f>
        <v/>
      </c>
      <c r="HN18" s="108" t="n"/>
      <c r="HO18" s="107">
        <f>HN18*100/$E$18</f>
        <v/>
      </c>
      <c r="HP18" s="108" t="n"/>
      <c r="HQ18" s="107">
        <f>HP18*100/$E$18</f>
        <v/>
      </c>
      <c r="HR18" s="108" t="n"/>
      <c r="HS18" s="107">
        <f>HR18*100/$E$18</f>
        <v/>
      </c>
      <c r="HT18" s="108" t="n"/>
      <c r="HU18" s="107">
        <f>HT18*100/$E$18</f>
        <v/>
      </c>
      <c r="HV18" s="108" t="n"/>
      <c r="HW18" s="107">
        <f>HV18*100/$E$18</f>
        <v/>
      </c>
      <c r="HX18" s="108" t="n"/>
      <c r="HY18" s="107">
        <f>HX18*100/$E$18</f>
        <v/>
      </c>
      <c r="HZ18" s="108" t="n"/>
      <c r="IA18" s="122">
        <f>HZ18*100/$E$18</f>
        <v/>
      </c>
      <c r="IB18" s="108" t="n"/>
      <c r="IC18" s="122">
        <f>IB18*100/$E$18</f>
        <v/>
      </c>
      <c r="ID18" s="108" t="n"/>
      <c r="IE18" s="122">
        <f>ID18*100/$E$18</f>
        <v/>
      </c>
      <c r="IF18" s="108" t="n"/>
      <c r="IG18" s="122">
        <f>IF18*100/$E$18</f>
        <v/>
      </c>
      <c r="IH18" s="108" t="n"/>
      <c r="II18" s="122">
        <f>IH18*100/$E$18</f>
        <v/>
      </c>
      <c r="IJ18" s="108" t="n"/>
      <c r="IK18" s="122">
        <f>IJ18*100/$E$18</f>
        <v/>
      </c>
      <c r="IL18" s="108" t="n"/>
      <c r="IM18" s="107">
        <f>IL18*100/E18</f>
        <v/>
      </c>
      <c r="IN18" s="108" t="n"/>
      <c r="IO18" s="107">
        <f>IN18*100/$E$18</f>
        <v/>
      </c>
      <c r="IP18" s="108" t="n"/>
      <c r="IQ18" s="122">
        <f>IP18*100/$E$18</f>
        <v/>
      </c>
      <c r="IR18" s="108" t="n"/>
      <c r="IS18" s="122">
        <f>IR18*100/$E$18</f>
        <v/>
      </c>
      <c r="IT18" s="108" t="n"/>
      <c r="IU18" s="122">
        <f>IT18*100/$E$18</f>
        <v/>
      </c>
      <c r="IV18" s="108" t="n"/>
      <c r="IW18" s="122">
        <f>IV18*100/$E$18</f>
        <v/>
      </c>
      <c r="IX18" s="108" t="n"/>
      <c r="IY18" s="122">
        <f>IX18*100/$E$18</f>
        <v/>
      </c>
      <c r="IZ18" s="108" t="n"/>
      <c r="JA18" s="122">
        <f>IZ18*100/$E$18</f>
        <v/>
      </c>
      <c r="JB18" s="108" t="n"/>
      <c r="JC18" s="122">
        <f>JB18*100/$E$18</f>
        <v/>
      </c>
      <c r="JD18" s="108" t="n"/>
      <c r="JE18" s="122">
        <f>JD18*100/$E$18</f>
        <v/>
      </c>
      <c r="JF18" s="108" t="n"/>
      <c r="JG18" s="122">
        <f>JF18*100/$E$18</f>
        <v/>
      </c>
      <c r="JH18" s="108" t="n"/>
      <c r="JI18" s="122">
        <f>JH18*100/$E$18</f>
        <v/>
      </c>
      <c r="JJ18" s="108" t="n"/>
      <c r="JK18" s="122">
        <f>JJ18*100/$E$18</f>
        <v/>
      </c>
      <c r="JL18" s="108" t="n"/>
      <c r="JM18" s="122">
        <f>JL18*100/$E$18</f>
        <v/>
      </c>
      <c r="JN18" s="108" t="n"/>
      <c r="JO18" s="122">
        <f>JN18*100/$E$18</f>
        <v/>
      </c>
      <c r="JP18" s="108" t="n"/>
      <c r="JQ18" s="122">
        <f>JP18*100/$E$18</f>
        <v/>
      </c>
      <c r="JR18" s="108" t="n"/>
      <c r="JS18" s="122">
        <f>JR18*100/$E$18</f>
        <v/>
      </c>
      <c r="JT18" s="108" t="n"/>
      <c r="JU18" s="122">
        <f>JT18*100/$E$18</f>
        <v/>
      </c>
      <c r="JV18" s="108" t="n"/>
      <c r="JW18" s="122">
        <f>JV18*100/$E$18</f>
        <v/>
      </c>
      <c r="JX18" s="108" t="n"/>
      <c r="JY18" s="122">
        <f>JX18*100/$E$18</f>
        <v/>
      </c>
      <c r="JZ18" s="55">
        <f>JN18+JP18+JR18+JT18+JV18+JX18</f>
        <v/>
      </c>
      <c r="KA18" s="53">
        <f>JO18+JQ18+JS18+JU18+JW18+JY18</f>
        <v/>
      </c>
      <c r="KB18" s="64">
        <f>H18+J18+L18+N18+P18+R18+T18+V18+X18+Z18+AB18+AD18+AF18+AH18+AJ18+AL18+AN18+AP18+AR18+AT18+AV18+AX18+AZ18+BB18+BD18+BF18+BH18+BJ18+BL18+BN18+BP18+BR18+BT18+BV18+BX18+BZ18+CB18+CD18+CF18+CH18+CZ18+DB18+DD18+DF18+DH18+DJ18+DL18+DN18+DP18+DR18+DT18+DV18+DX18+DZ18+EB18+ED18+EF18+EH18+EJ18+EL18+EN18+EP18+ER18+ET18+EV18+FN18+FP18+FR18+FT18+FV18+FX18+FZ18+GB18+GD18+GF18+GH18+GJ18+GL18+GN18+GP18+GR18+GT18+GV18+GX18+GZ18+HB18+HD18+HF18+HH18+HJ18+HL18+HN18+HP18+HR18+HT18+HV18+HX18+HZ18+IB18+ID18+IF18+IH18+IJ18+IL18+IN18+IP18+IR18+IT18+IV18+IX18+IZ18+JB18+JD18+JF18+JH18+JJ18+JL18+JZ18+CJ18+CL18+CN18+CP18+CR18+CT18+CV18+CX18+EX18+EZ18+FB18+FD18+FF18+FH18+FJ18+FL18</f>
        <v/>
      </c>
      <c r="KC18" s="66">
        <f>I18+K18+M18+O18+Q18+S18+U18+W18+Y18+AA18+AC18+AE18+AG18+AI18+AK18+AM18+AO18+AQ18+AS18+AU18+AW18+AY18+BA18+BC18+BE18+BG18+BI18+BK18+BM18+BO18+BQ18+BS18+BU18+BW18+BY18+CA18+CC18+CE18+CG18+CI18+DA18+DC18+DE18+DG18+DI18+DK18+DM18+DO18+DQ18+DS18+DU18+DW18+DY18+EA18+EC18+EE18+EG18+EI18+EK18+EM18+EO18+EQ18+ES18+EU18+EW18+FO18+FS18+FU18+FW18+FQ18+FY18+GA18+GC18+GE18+GG18+GI18+GK18+GM18+GO18+GQ18+GS18+GU18+GW18+GY18+HA18+HC18+HE18+HG18+HI18+HK18+HM18+HO18+HQ18+HS18+HU18+HW18+HY18+IA18+IC18+IE18+IG18+II18+IK18+IM18+IO18+IQ18+IS18+IU18+IW18+IY18+JA18+JC18+JE18+JG18+JI18+JK18+JM18+KA18+CK18+CM18+CO18+CQ18+CS18+CU18+CW18+CY18+EY18+FA18+FC18+FE18+FG18+FI18+FK18+FM18</f>
        <v/>
      </c>
      <c r="KD18" s="44">
        <f>JO18+JQ18+JS18+JU18+JW18+JY18</f>
        <v/>
      </c>
      <c r="KE18" s="45">
        <f>KB18=E18</f>
        <v/>
      </c>
      <c r="KF18" s="101">
        <f>E18-KB18</f>
        <v/>
      </c>
      <c r="KG18" s="14" t="n"/>
    </row>
    <row r="19" ht="21.75" customFormat="1" customHeight="1" s="16">
      <c r="A19" s="126">
        <f>A18+1</f>
        <v/>
      </c>
      <c r="B19" s="175" t="inlineStr">
        <is>
          <t>Демин С.С.</t>
        </is>
      </c>
      <c r="C19" s="176" t="inlineStr">
        <is>
          <t>слесарь МСР</t>
        </is>
      </c>
      <c r="D19" s="177">
        <f>$D$5</f>
        <v/>
      </c>
      <c r="E19" s="202" t="n"/>
      <c r="F19" s="190" t="n">
        <v>61252.7</v>
      </c>
      <c r="G19" s="52">
        <f>F19/D19</f>
        <v/>
      </c>
      <c r="H19" s="125" t="n"/>
      <c r="I19" s="107">
        <f>H19*100/$E$19</f>
        <v/>
      </c>
      <c r="J19" s="108" t="n"/>
      <c r="K19" s="107">
        <f>J19*100/$E$19</f>
        <v/>
      </c>
      <c r="L19" s="108" t="n"/>
      <c r="M19" s="107">
        <f>L19*100/$E$19</f>
        <v/>
      </c>
      <c r="N19" s="108" t="n"/>
      <c r="O19" s="107">
        <f>N19*100/$E$19</f>
        <v/>
      </c>
      <c r="P19" s="108" t="n"/>
      <c r="Q19" s="122">
        <f>P19*100/$E$19</f>
        <v/>
      </c>
      <c r="R19" s="108" t="n"/>
      <c r="S19" s="122">
        <f>R19*100/$E$19</f>
        <v/>
      </c>
      <c r="T19" s="108" t="n"/>
      <c r="U19" s="107">
        <f>T19*100/$E$19</f>
        <v/>
      </c>
      <c r="V19" s="108" t="n"/>
      <c r="W19" s="107">
        <f>V19*100/$E$19</f>
        <v/>
      </c>
      <c r="X19" s="108" t="n"/>
      <c r="Y19" s="107">
        <f>X19*100/$E$19</f>
        <v/>
      </c>
      <c r="Z19" s="108" t="n"/>
      <c r="AA19" s="107">
        <f>Z19*100/$E$19</f>
        <v/>
      </c>
      <c r="AB19" s="108" t="n"/>
      <c r="AC19" s="107">
        <f>AB19*100/$E$19</f>
        <v/>
      </c>
      <c r="AD19" s="108" t="n"/>
      <c r="AE19" s="122">
        <f>AD19*100/$E$19</f>
        <v/>
      </c>
      <c r="AF19" s="108" t="n"/>
      <c r="AG19" s="122">
        <f>AF19*100/$E$19</f>
        <v/>
      </c>
      <c r="AH19" s="108" t="n"/>
      <c r="AI19" s="107">
        <f>AH19*100/$E$19</f>
        <v/>
      </c>
      <c r="AJ19" s="108" t="n"/>
      <c r="AK19" s="107">
        <f>AJ19*100/$E$19</f>
        <v/>
      </c>
      <c r="AL19" s="108" t="n"/>
      <c r="AM19" s="122">
        <f>AL19*100/$E$19</f>
        <v/>
      </c>
      <c r="AN19" s="108" t="n"/>
      <c r="AO19" s="107">
        <f>AN19*100/$E$19</f>
        <v/>
      </c>
      <c r="AP19" s="108" t="n"/>
      <c r="AQ19" s="107">
        <f>AP19*100/$E$19</f>
        <v/>
      </c>
      <c r="AR19" s="108" t="n"/>
      <c r="AS19" s="107">
        <f>AR19*100/$E$19</f>
        <v/>
      </c>
      <c r="AT19" s="108" t="n"/>
      <c r="AU19" s="90">
        <f>AT19*100/$E$19</f>
        <v/>
      </c>
      <c r="AV19" s="108" t="n"/>
      <c r="AW19" s="107">
        <f>AV19*100/$E$19</f>
        <v/>
      </c>
      <c r="AX19" s="108" t="n"/>
      <c r="AY19" s="107">
        <f>AX19*100/$E$19</f>
        <v/>
      </c>
      <c r="AZ19" s="108" t="n"/>
      <c r="BA19" s="107">
        <f>AZ19*100/$E$19</f>
        <v/>
      </c>
      <c r="BB19" s="108" t="n"/>
      <c r="BC19" s="107">
        <f>BB19*100/$E$19</f>
        <v/>
      </c>
      <c r="BD19" s="108" t="n"/>
      <c r="BE19" s="107">
        <f>BD19*100/$E$19</f>
        <v/>
      </c>
      <c r="BF19" s="108" t="n"/>
      <c r="BG19" s="107">
        <f>BF19*100/$E$19</f>
        <v/>
      </c>
      <c r="BH19" s="108" t="n"/>
      <c r="BI19" s="107">
        <f>BH19*100/$E$19</f>
        <v/>
      </c>
      <c r="BJ19" s="108" t="n"/>
      <c r="BK19" s="107">
        <f>BJ19*100/$E$19</f>
        <v/>
      </c>
      <c r="BL19" s="108" t="n"/>
      <c r="BM19" s="107">
        <f>BL19*100/$E$19</f>
        <v/>
      </c>
      <c r="BN19" s="108" t="n"/>
      <c r="BO19" s="107">
        <f>BN19*100/$E$19</f>
        <v/>
      </c>
      <c r="BP19" s="108" t="n"/>
      <c r="BQ19" s="107">
        <f>BP19*100/$E$19</f>
        <v/>
      </c>
      <c r="BR19" s="108" t="n"/>
      <c r="BS19" s="107">
        <f>BR19*100/$E$19</f>
        <v/>
      </c>
      <c r="BT19" s="108" t="n"/>
      <c r="BU19" s="107">
        <f>BT19*100/$E$19</f>
        <v/>
      </c>
      <c r="BV19" s="108" t="n"/>
      <c r="BW19" s="107">
        <f>BV19*100/$E$19</f>
        <v/>
      </c>
      <c r="BX19" s="108" t="n"/>
      <c r="BY19" s="107">
        <f>BX19*100/$E$19</f>
        <v/>
      </c>
      <c r="BZ19" s="108" t="n"/>
      <c r="CA19" s="107">
        <f>BZ19*100/$E$19</f>
        <v/>
      </c>
      <c r="CB19" s="108" t="n"/>
      <c r="CC19" s="107">
        <f>CB19*100/$E$19</f>
        <v/>
      </c>
      <c r="CD19" s="108" t="n"/>
      <c r="CE19" s="107">
        <f>CD19*100/$E$19</f>
        <v/>
      </c>
      <c r="CF19" s="108" t="n"/>
      <c r="CG19" s="107">
        <f>CF19*100/$E$19</f>
        <v/>
      </c>
      <c r="CH19" s="108" t="n"/>
      <c r="CI19" s="107">
        <f>CH19*100/$E$19</f>
        <v/>
      </c>
      <c r="CJ19" s="108" t="n"/>
      <c r="CK19" s="107">
        <f>CJ19*100/$E$19</f>
        <v/>
      </c>
      <c r="CL19" s="108" t="n"/>
      <c r="CM19" s="107">
        <f>CL19*100/$E$19</f>
        <v/>
      </c>
      <c r="CN19" s="108" t="n"/>
      <c r="CO19" s="122">
        <f>CN19*100/$E$19</f>
        <v/>
      </c>
      <c r="CP19" s="108" t="n"/>
      <c r="CQ19" s="107">
        <f>CP19*100/$E$19</f>
        <v/>
      </c>
      <c r="CR19" s="108" t="n"/>
      <c r="CS19" s="122">
        <f>CR19*100/$E$19</f>
        <v/>
      </c>
      <c r="CT19" s="108" t="n"/>
      <c r="CU19" s="122">
        <f>CT19*100/$E$19</f>
        <v/>
      </c>
      <c r="CV19" s="108" t="n"/>
      <c r="CW19" s="122">
        <f>CV19*100/$E$19</f>
        <v/>
      </c>
      <c r="CX19" s="108" t="n"/>
      <c r="CY19" s="122">
        <f>CX19*100/$E$19</f>
        <v/>
      </c>
      <c r="CZ19" s="108" t="n"/>
      <c r="DA19" s="122">
        <f>CZ19*100/$E$19</f>
        <v/>
      </c>
      <c r="DB19" s="108" t="n"/>
      <c r="DC19" s="122">
        <f>DB19*100/$E$19</f>
        <v/>
      </c>
      <c r="DD19" s="108" t="n"/>
      <c r="DE19" s="122">
        <f>DD19*100/$E$19</f>
        <v/>
      </c>
      <c r="DF19" s="108" t="n"/>
      <c r="DG19" s="122">
        <f>DF19*100/$E$19</f>
        <v/>
      </c>
      <c r="DH19" s="108" t="n"/>
      <c r="DI19" s="122">
        <f>DH19*100/$E$19</f>
        <v/>
      </c>
      <c r="DJ19" s="108" t="n"/>
      <c r="DK19" s="122">
        <f>DJ19*100/$E$19</f>
        <v/>
      </c>
      <c r="DL19" s="108" t="n"/>
      <c r="DM19" s="122">
        <f>DL19*100/$E$19</f>
        <v/>
      </c>
      <c r="DN19" s="108" t="n"/>
      <c r="DO19" s="122">
        <f>DN19*100/$E$19</f>
        <v/>
      </c>
      <c r="DP19" s="108" t="n"/>
      <c r="DQ19" s="122">
        <f>DP19*100/$E$19</f>
        <v/>
      </c>
      <c r="DR19" s="108" t="n"/>
      <c r="DS19" s="122">
        <f>DR19*100/$E$19</f>
        <v/>
      </c>
      <c r="DT19" s="108" t="n"/>
      <c r="DU19" s="122">
        <f>DT19*100/$E$19</f>
        <v/>
      </c>
      <c r="DV19" s="108" t="n"/>
      <c r="DW19" s="122">
        <f>DV19*100/$E$19</f>
        <v/>
      </c>
      <c r="DX19" s="108" t="n"/>
      <c r="DY19" s="122">
        <f>DX19*100/$E$19</f>
        <v/>
      </c>
      <c r="DZ19" s="108" t="n"/>
      <c r="EA19" s="122">
        <f>DZ19*100/$E$19</f>
        <v/>
      </c>
      <c r="EB19" s="108" t="n"/>
      <c r="EC19" s="122">
        <f>EB19*100/$E$19</f>
        <v/>
      </c>
      <c r="ED19" s="108" t="n"/>
      <c r="EE19" s="122">
        <f>ED19*100/$E$19</f>
        <v/>
      </c>
      <c r="EF19" s="108" t="n"/>
      <c r="EG19" s="122">
        <f>EF19*100/$E$19</f>
        <v/>
      </c>
      <c r="EH19" s="108" t="n"/>
      <c r="EI19" s="122">
        <f>EH19*100/$E$19</f>
        <v/>
      </c>
      <c r="EJ19" s="108" t="n"/>
      <c r="EK19" s="122">
        <f>EJ19*100/$E$19</f>
        <v/>
      </c>
      <c r="EL19" s="108" t="n"/>
      <c r="EM19" s="122">
        <f>EL19*100/$E$19</f>
        <v/>
      </c>
      <c r="EN19" s="108" t="n"/>
      <c r="EO19" s="122">
        <f>EN19*100/$E$19</f>
        <v/>
      </c>
      <c r="EP19" s="108" t="n"/>
      <c r="EQ19" s="122">
        <f>EP19*100/$E$19</f>
        <v/>
      </c>
      <c r="ER19" s="108" t="n"/>
      <c r="ES19" s="122">
        <f>ER19*100/$E$19</f>
        <v/>
      </c>
      <c r="ET19" s="108" t="n"/>
      <c r="EU19" s="122">
        <f>ET19*100/$E$19</f>
        <v/>
      </c>
      <c r="EV19" s="108" t="n"/>
      <c r="EW19" s="122">
        <f>EV19*100/$E$19</f>
        <v/>
      </c>
      <c r="EX19" s="108" t="n"/>
      <c r="EY19" s="122">
        <f>EX19*100/$E$19</f>
        <v/>
      </c>
      <c r="EZ19" s="108" t="n"/>
      <c r="FA19" s="122">
        <f>EZ19*100/$E$19</f>
        <v/>
      </c>
      <c r="FB19" s="108" t="n"/>
      <c r="FC19" s="122">
        <f>FB19*100/$E$19</f>
        <v/>
      </c>
      <c r="FD19" s="108" t="n"/>
      <c r="FE19" s="122">
        <f>FD19*100/$E$19</f>
        <v/>
      </c>
      <c r="FF19" s="108" t="n"/>
      <c r="FG19" s="122">
        <f>FF19*100/$E$19</f>
        <v/>
      </c>
      <c r="FH19" s="108" t="n"/>
      <c r="FI19" s="122">
        <f>FH19*100/$E$19</f>
        <v/>
      </c>
      <c r="FJ19" s="108" t="n"/>
      <c r="FK19" s="122">
        <f>FJ19*100/$E$19</f>
        <v/>
      </c>
      <c r="FL19" s="108" t="n"/>
      <c r="FM19" s="122">
        <f>FL19*100/$E$19</f>
        <v/>
      </c>
      <c r="FN19" s="108" t="n"/>
      <c r="FO19" s="122">
        <f>FN19*100/$E$19</f>
        <v/>
      </c>
      <c r="FP19" s="108" t="n"/>
      <c r="FQ19" s="122">
        <f>FP19*100/$E$19</f>
        <v/>
      </c>
      <c r="FR19" s="108" t="n"/>
      <c r="FS19" s="122">
        <f>FR19*100/$E$19</f>
        <v/>
      </c>
      <c r="FT19" s="108" t="n"/>
      <c r="FU19" s="122">
        <f>FT19*100/$E$19</f>
        <v/>
      </c>
      <c r="FV19" s="108" t="n"/>
      <c r="FW19" s="122">
        <f>FV19*100/$E$19</f>
        <v/>
      </c>
      <c r="FX19" s="108" t="n"/>
      <c r="FY19" s="107">
        <f>FX19*100/$E$19</f>
        <v/>
      </c>
      <c r="FZ19" s="108" t="n"/>
      <c r="GA19" s="107">
        <f>FZ19*100/$E$19</f>
        <v/>
      </c>
      <c r="GB19" s="108" t="n"/>
      <c r="GC19" s="107">
        <f>GB19*100/$E$19</f>
        <v/>
      </c>
      <c r="GD19" s="108" t="n"/>
      <c r="GE19" s="107">
        <f>GD19*100/$E$19</f>
        <v/>
      </c>
      <c r="GF19" s="108" t="n"/>
      <c r="GG19" s="107">
        <f>GF19*100/$E$19</f>
        <v/>
      </c>
      <c r="GH19" s="108" t="n"/>
      <c r="GI19" s="107">
        <f>GH19*100/$E$19</f>
        <v/>
      </c>
      <c r="GJ19" s="108" t="n"/>
      <c r="GK19" s="122">
        <f>GJ19*100/$E$19</f>
        <v/>
      </c>
      <c r="GL19" s="108" t="n"/>
      <c r="GM19" s="107">
        <f>GL19*100/$E$19</f>
        <v/>
      </c>
      <c r="GN19" s="108" t="n"/>
      <c r="GO19" s="122">
        <f>GN19*100/$E$19</f>
        <v/>
      </c>
      <c r="GP19" s="108" t="n"/>
      <c r="GQ19" s="107">
        <f>GP19*100/$E$19</f>
        <v/>
      </c>
      <c r="GR19" s="108" t="n"/>
      <c r="GS19" s="122">
        <f>GR19*100/$E$19</f>
        <v/>
      </c>
      <c r="GT19" s="108" t="n"/>
      <c r="GU19" s="122">
        <f>GT19*100/$E$19</f>
        <v/>
      </c>
      <c r="GV19" s="108" t="n"/>
      <c r="GW19" s="122">
        <f>GV19*100/$E$19</f>
        <v/>
      </c>
      <c r="GX19" s="108" t="n"/>
      <c r="GY19" s="107">
        <f>GX19*100/$E$19</f>
        <v/>
      </c>
      <c r="GZ19" s="108" t="n"/>
      <c r="HA19" s="107">
        <f>GZ19*100/$E$19</f>
        <v/>
      </c>
      <c r="HB19" s="108" t="n"/>
      <c r="HC19" s="107">
        <f>HB19*100/$E$19</f>
        <v/>
      </c>
      <c r="HD19" s="108" t="n"/>
      <c r="HE19" s="107">
        <f>HD19*100/$E$19</f>
        <v/>
      </c>
      <c r="HF19" s="108" t="n"/>
      <c r="HG19" s="107">
        <f>HF19*100/$E$19</f>
        <v/>
      </c>
      <c r="HH19" s="108" t="n"/>
      <c r="HI19" s="107">
        <f>HH19*100/$E$19</f>
        <v/>
      </c>
      <c r="HJ19" s="108" t="n"/>
      <c r="HK19" s="107">
        <f>HJ19*100/$E$19</f>
        <v/>
      </c>
      <c r="HL19" s="108" t="n"/>
      <c r="HM19" s="107">
        <f>HL19*100/$E$19</f>
        <v/>
      </c>
      <c r="HN19" s="108" t="n"/>
      <c r="HO19" s="107">
        <f>HN19*100/$E$19</f>
        <v/>
      </c>
      <c r="HP19" s="108" t="n"/>
      <c r="HQ19" s="107">
        <f>HP19*100/$E$19</f>
        <v/>
      </c>
      <c r="HR19" s="108" t="n"/>
      <c r="HS19" s="107">
        <f>HR19*100/$E$19</f>
        <v/>
      </c>
      <c r="HT19" s="108" t="n"/>
      <c r="HU19" s="107">
        <f>HT19*100/$E$19</f>
        <v/>
      </c>
      <c r="HV19" s="108" t="n"/>
      <c r="HW19" s="107">
        <f>HV19*100/$E$19</f>
        <v/>
      </c>
      <c r="HX19" s="108" t="n"/>
      <c r="HY19" s="107">
        <f>HX19*100/$E$19</f>
        <v/>
      </c>
      <c r="HZ19" s="108" t="n"/>
      <c r="IA19" s="122">
        <f>HZ19*100/$E$19</f>
        <v/>
      </c>
      <c r="IB19" s="108" t="n"/>
      <c r="IC19" s="122">
        <f>IB19*100/$E$19</f>
        <v/>
      </c>
      <c r="ID19" s="108" t="n"/>
      <c r="IE19" s="122">
        <f>ID19*100/$E$19</f>
        <v/>
      </c>
      <c r="IF19" s="108" t="n"/>
      <c r="IG19" s="122">
        <f>IF19*100/$E$19</f>
        <v/>
      </c>
      <c r="IH19" s="108" t="n"/>
      <c r="II19" s="122">
        <f>IH19*100/$E$19</f>
        <v/>
      </c>
      <c r="IJ19" s="108" t="n"/>
      <c r="IK19" s="122">
        <f>IJ19*100/$E$19</f>
        <v/>
      </c>
      <c r="IL19" s="108" t="n"/>
      <c r="IM19" s="107">
        <f>IL19*100/$E$19</f>
        <v/>
      </c>
      <c r="IN19" s="108" t="n"/>
      <c r="IO19" s="107">
        <f>IN19*100/$E$19</f>
        <v/>
      </c>
      <c r="IP19" s="108" t="n"/>
      <c r="IQ19" s="122">
        <f>IP19*100/$E$19</f>
        <v/>
      </c>
      <c r="IR19" s="108" t="n"/>
      <c r="IS19" s="122">
        <f>IR19*100/$E$19</f>
        <v/>
      </c>
      <c r="IT19" s="108" t="n"/>
      <c r="IU19" s="122">
        <f>IT19*100/$E$19</f>
        <v/>
      </c>
      <c r="IV19" s="108" t="n"/>
      <c r="IW19" s="122">
        <f>IV19*100/$E$19</f>
        <v/>
      </c>
      <c r="IX19" s="108" t="n"/>
      <c r="IY19" s="122">
        <f>IX19*100/$E$19</f>
        <v/>
      </c>
      <c r="IZ19" s="108" t="n"/>
      <c r="JA19" s="122">
        <f>IZ19*100/$E$19</f>
        <v/>
      </c>
      <c r="JB19" s="108" t="n"/>
      <c r="JC19" s="122">
        <f>JB19*100/$E$19</f>
        <v/>
      </c>
      <c r="JD19" s="108" t="n"/>
      <c r="JE19" s="122">
        <f>JD19*100/$E$19</f>
        <v/>
      </c>
      <c r="JF19" s="108" t="n"/>
      <c r="JG19" s="122">
        <f>JF19*100/$E$19</f>
        <v/>
      </c>
      <c r="JH19" s="108" t="n"/>
      <c r="JI19" s="122">
        <f>JH19*100/$E$19</f>
        <v/>
      </c>
      <c r="JJ19" s="108" t="n"/>
      <c r="JK19" s="122">
        <f>JJ19*100/$E$19</f>
        <v/>
      </c>
      <c r="JL19" s="108" t="n"/>
      <c r="JM19" s="122">
        <f>JL19*100/$E$19</f>
        <v/>
      </c>
      <c r="JN19" s="108" t="n"/>
      <c r="JO19" s="122">
        <f>JN19*100/$E$19</f>
        <v/>
      </c>
      <c r="JP19" s="108" t="n"/>
      <c r="JQ19" s="122">
        <f>JP19*100/$E$19</f>
        <v/>
      </c>
      <c r="JR19" s="108" t="n"/>
      <c r="JS19" s="122">
        <f>JR19*100/$E$19</f>
        <v/>
      </c>
      <c r="JT19" s="108" t="n"/>
      <c r="JU19" s="122">
        <f>JT19*100/$E$19</f>
        <v/>
      </c>
      <c r="JV19" s="108" t="n"/>
      <c r="JW19" s="122">
        <f>JV19*100/$E$19</f>
        <v/>
      </c>
      <c r="JX19" s="108" t="n"/>
      <c r="JY19" s="122">
        <f>JX19*100/$E$19</f>
        <v/>
      </c>
      <c r="JZ19" s="55">
        <f>JN19+JP19+JR19+JT19+JV19+JX19</f>
        <v/>
      </c>
      <c r="KA19" s="53">
        <f>JO19+JQ19+JS19+JU19+JW19+JY19</f>
        <v/>
      </c>
      <c r="KB19" s="64">
        <f>H19+J19+L19+N19+P19+R19+T19+V19+X19+Z19+AB19+AD19+AF19+AH19+AJ19+AL19+AN19+AP19+AR19+AT19+AV19+AX19+AZ19+BB19+BD19+BF19+BH19+BJ19+BL19+BN19+BP19+BR19+BT19+BV19+BX19+BZ19+CB19+CD19+CF19+CH19+CZ19+DB19+DD19+DF19+DH19+DJ19+DL19+DN19+DP19+DR19+DT19+DV19+DX19+DZ19+EB19+ED19+EF19+EH19+EJ19+EL19+EN19+EP19+ER19+ET19+EV19+FN19+FP19+FR19+FT19+FV19+FX19+FZ19+GB19+GD19+GF19+GH19+GJ19+GL19+GN19+GP19+GR19+GT19+GV19+GX19+GZ19+HB19+HD19+HF19+HH19+HJ19+HL19+HN19+HP19+HR19+HT19+HV19+HX19+HZ19+IB19+ID19+IF19+IH19+IJ19+IL19+IN19+IP19+IR19+IT19+IV19+IX19+IZ19+JB19+JD19+JF19+JH19+JJ19+JL19+JZ19+CJ19+CL19+CN19+CP19+CR19+CT19+CV19+CX19+EX19+EZ19+FB19+FD19+FF19+FH19+FJ19+FL19</f>
        <v/>
      </c>
      <c r="KC19" s="66">
        <f>I19+K19+M19+O19+Q19+S19+U19+W19+Y19+AA19+AC19+AE19+AG19+AI19+AK19+AM19+AO19+AQ19+AS19+AU19+AW19+AY19+BA19+BC19+BE19+BG19+BI19+BK19+BM19+BO19+BQ19+BS19+BU19+BW19+BY19+CA19+CC19+CE19+CG19+CI19+DA19+DC19+DE19+DG19+DI19+DK19+DM19+DO19+DQ19+DS19+DU19+DW19+DY19+EA19+EC19+EE19+EG19+EI19+EK19+EM19+EO19+EQ19+ES19+EU19+EW19+FO19+FS19+FU19+FW19+FQ19+FY19+GA19+GC19+GE19+GG19+GI19+GK19+GM19+GO19+GQ19+GS19+GU19+GW19+GY19+HA19+HC19+HE19+HG19+HI19+HK19+HM19+HO19+HQ19+HS19+HU19+HW19+HY19+IA19+IC19+IE19+IG19+II19+IK19+IM19+IO19+IQ19+IS19+IU19+IW19+IY19+JA19+JC19+JE19+JG19+JI19+JK19+JM19+KA19+CK19+CM19+CO19+CQ19+CS19+CU19+CW19+CY19+EY19+FA19+FC19+FE19+FG19+FI19+FK19+FM19</f>
        <v/>
      </c>
      <c r="KD19" s="44">
        <f>JO19+JQ19+JS19+JU19+JW19+JY19</f>
        <v/>
      </c>
      <c r="KE19" s="45">
        <f>KB19=E19</f>
        <v/>
      </c>
      <c r="KF19" s="101">
        <f>E19-KB19</f>
        <v/>
      </c>
      <c r="KG19" s="14" t="n"/>
    </row>
    <row r="20" ht="21.75" customFormat="1" customHeight="1" s="14">
      <c r="A20" s="126">
        <f>A19+1</f>
        <v/>
      </c>
      <c r="B20" s="175" t="inlineStr">
        <is>
          <t>Евстратов Е.В.</t>
        </is>
      </c>
      <c r="C20" s="176" t="inlineStr">
        <is>
          <t>слесарь</t>
        </is>
      </c>
      <c r="D20" s="177">
        <f>$D$5</f>
        <v/>
      </c>
      <c r="E20" s="202" t="n"/>
      <c r="F20" s="190" t="n">
        <v>68902.87</v>
      </c>
      <c r="G20" s="52">
        <f>F20/D20</f>
        <v/>
      </c>
      <c r="H20" s="125" t="n"/>
      <c r="I20" s="107">
        <f>H20*100/$E$20</f>
        <v/>
      </c>
      <c r="J20" s="108" t="n"/>
      <c r="K20" s="107">
        <f>J20*100/$E$20</f>
        <v/>
      </c>
      <c r="L20" s="108" t="n"/>
      <c r="M20" s="107">
        <f>L20*100/$E$20</f>
        <v/>
      </c>
      <c r="N20" s="108" t="n"/>
      <c r="O20" s="107">
        <f>N20*100/$E$20</f>
        <v/>
      </c>
      <c r="P20" s="108" t="n"/>
      <c r="Q20" s="122">
        <f>P20*100/$E$20</f>
        <v/>
      </c>
      <c r="R20" s="108" t="n"/>
      <c r="S20" s="122">
        <f>R20*100/$E$20</f>
        <v/>
      </c>
      <c r="T20" s="108" t="n"/>
      <c r="U20" s="107">
        <f>T20*100/$E$20</f>
        <v/>
      </c>
      <c r="V20" s="108" t="n"/>
      <c r="W20" s="107">
        <f>V20*100/$E$20</f>
        <v/>
      </c>
      <c r="X20" s="108" t="n"/>
      <c r="Y20" s="107">
        <f>X20*100/$E$20</f>
        <v/>
      </c>
      <c r="Z20" s="108" t="n"/>
      <c r="AA20" s="107">
        <f>Z20*100/$E$20</f>
        <v/>
      </c>
      <c r="AB20" s="108" t="n"/>
      <c r="AC20" s="107">
        <f>AB20*100/$E$20</f>
        <v/>
      </c>
      <c r="AD20" s="108" t="n"/>
      <c r="AE20" s="122">
        <f>AD20*100/$E$20</f>
        <v/>
      </c>
      <c r="AF20" s="108" t="n"/>
      <c r="AG20" s="122">
        <f>AF20*100/$E$20</f>
        <v/>
      </c>
      <c r="AH20" s="108" t="n"/>
      <c r="AI20" s="107">
        <f>AH20*100/$E$20</f>
        <v/>
      </c>
      <c r="AJ20" s="108" t="n"/>
      <c r="AK20" s="107">
        <f>AJ20*100/$E$20</f>
        <v/>
      </c>
      <c r="AL20" s="108" t="n"/>
      <c r="AM20" s="107">
        <f>AL20*100/$E$20</f>
        <v/>
      </c>
      <c r="AN20" s="108" t="n"/>
      <c r="AO20" s="107">
        <f>AN20*100/$E$20</f>
        <v/>
      </c>
      <c r="AP20" s="108" t="n"/>
      <c r="AQ20" s="107">
        <f>AP20*100/$E$20</f>
        <v/>
      </c>
      <c r="AR20" s="108" t="n"/>
      <c r="AS20" s="107">
        <f>AR20*100/$E$20</f>
        <v/>
      </c>
      <c r="AT20" s="108" t="n"/>
      <c r="AU20" s="90">
        <f>AT20*100/$E$20</f>
        <v/>
      </c>
      <c r="AV20" s="108" t="n"/>
      <c r="AW20" s="107">
        <f>AV20*100/$E$20</f>
        <v/>
      </c>
      <c r="AX20" s="108" t="n"/>
      <c r="AY20" s="107">
        <f>AX20*100/$E$20</f>
        <v/>
      </c>
      <c r="AZ20" s="108" t="n"/>
      <c r="BA20" s="107">
        <f>AZ20*100/$E$20</f>
        <v/>
      </c>
      <c r="BB20" s="108" t="n"/>
      <c r="BC20" s="107">
        <f>BB20*100/$E$20</f>
        <v/>
      </c>
      <c r="BD20" s="108" t="n"/>
      <c r="BE20" s="107">
        <f>BD20*100/$E$20</f>
        <v/>
      </c>
      <c r="BF20" s="108" t="n"/>
      <c r="BG20" s="107">
        <f>BF20*100/$E$20</f>
        <v/>
      </c>
      <c r="BH20" s="108" t="n"/>
      <c r="BI20" s="107">
        <f>BH20*100/$E$20</f>
        <v/>
      </c>
      <c r="BJ20" s="108" t="n"/>
      <c r="BK20" s="107">
        <f>BJ20*100/$E$20</f>
        <v/>
      </c>
      <c r="BL20" s="108" t="n"/>
      <c r="BM20" s="107">
        <f>BL20*100/$E$20</f>
        <v/>
      </c>
      <c r="BN20" s="108" t="n"/>
      <c r="BO20" s="107">
        <f>BN20*100/$E$20</f>
        <v/>
      </c>
      <c r="BP20" s="108" t="n"/>
      <c r="BQ20" s="107">
        <f>BP20*100/$E$20</f>
        <v/>
      </c>
      <c r="BR20" s="108" t="n"/>
      <c r="BS20" s="107">
        <f>BR20*100/$E$20</f>
        <v/>
      </c>
      <c r="BT20" s="108" t="n"/>
      <c r="BU20" s="107">
        <f>BT20*100/$E$20</f>
        <v/>
      </c>
      <c r="BV20" s="108" t="n"/>
      <c r="BW20" s="107">
        <f>BV20*100/$E$20</f>
        <v/>
      </c>
      <c r="BX20" s="108" t="n"/>
      <c r="BY20" s="107">
        <f>BX20*100/$E$20</f>
        <v/>
      </c>
      <c r="BZ20" s="108" t="n"/>
      <c r="CA20" s="107">
        <f>BZ20*100/$E$20</f>
        <v/>
      </c>
      <c r="CB20" s="108" t="n"/>
      <c r="CC20" s="107">
        <f>CB20*100/$E$20</f>
        <v/>
      </c>
      <c r="CD20" s="108" t="n"/>
      <c r="CE20" s="107">
        <f>CD20*100/$E$20</f>
        <v/>
      </c>
      <c r="CF20" s="108" t="n"/>
      <c r="CG20" s="107">
        <f>CF20*100/$E$20</f>
        <v/>
      </c>
      <c r="CH20" s="108" t="n"/>
      <c r="CI20" s="107">
        <f>CH20*100/$E$20</f>
        <v/>
      </c>
      <c r="CJ20" s="108" t="n"/>
      <c r="CK20" s="107">
        <f>CJ20*100/$E$20</f>
        <v/>
      </c>
      <c r="CL20" s="108" t="n"/>
      <c r="CM20" s="107">
        <f>CL20*100/$E$20</f>
        <v/>
      </c>
      <c r="CN20" s="108" t="n"/>
      <c r="CO20" s="122">
        <f>CN20*100/$E$20</f>
        <v/>
      </c>
      <c r="CP20" s="108" t="n"/>
      <c r="CQ20" s="107">
        <f>CP20*100/$E$20</f>
        <v/>
      </c>
      <c r="CR20" s="108" t="n"/>
      <c r="CS20" s="122">
        <f>CR20*100/$E$20</f>
        <v/>
      </c>
      <c r="CT20" s="108" t="n"/>
      <c r="CU20" s="122">
        <f>CT20*100/$E$20</f>
        <v/>
      </c>
      <c r="CV20" s="108" t="n"/>
      <c r="CW20" s="122">
        <f>CV20*100/$E$20</f>
        <v/>
      </c>
      <c r="CX20" s="108" t="n"/>
      <c r="CY20" s="122">
        <f>CX20*100/$E$20</f>
        <v/>
      </c>
      <c r="CZ20" s="108" t="n"/>
      <c r="DA20" s="122">
        <f>CZ20*100/$E$20</f>
        <v/>
      </c>
      <c r="DB20" s="108" t="n"/>
      <c r="DC20" s="122">
        <f>DB20*100/$E$20</f>
        <v/>
      </c>
      <c r="DD20" s="108" t="n"/>
      <c r="DE20" s="122">
        <f>DD20*100/$E$20</f>
        <v/>
      </c>
      <c r="DF20" s="108" t="n"/>
      <c r="DG20" s="122">
        <f>DF20*100/$E$20</f>
        <v/>
      </c>
      <c r="DH20" s="108" t="n"/>
      <c r="DI20" s="122">
        <f>DH20*100/$E$20</f>
        <v/>
      </c>
      <c r="DJ20" s="108" t="n"/>
      <c r="DK20" s="122">
        <f>DJ20*100/$E$20</f>
        <v/>
      </c>
      <c r="DL20" s="108" t="n"/>
      <c r="DM20" s="122">
        <f>DL20*100/$E$20</f>
        <v/>
      </c>
      <c r="DN20" s="108" t="n"/>
      <c r="DO20" s="122">
        <f>DN20*100/$E$20</f>
        <v/>
      </c>
      <c r="DP20" s="108" t="n"/>
      <c r="DQ20" s="122">
        <f>DP20*100/$E$20</f>
        <v/>
      </c>
      <c r="DR20" s="108" t="n"/>
      <c r="DS20" s="122">
        <f>DR20*100/$E$20</f>
        <v/>
      </c>
      <c r="DT20" s="108" t="n"/>
      <c r="DU20" s="122">
        <f>DT20*100/$E$20</f>
        <v/>
      </c>
      <c r="DV20" s="108" t="n"/>
      <c r="DW20" s="122">
        <f>DV20*100/$E$20</f>
        <v/>
      </c>
      <c r="DX20" s="108" t="n"/>
      <c r="DY20" s="122">
        <f>DX20*100/$E$20</f>
        <v/>
      </c>
      <c r="DZ20" s="108" t="n"/>
      <c r="EA20" s="122">
        <f>DZ20*100/$E$20</f>
        <v/>
      </c>
      <c r="EB20" s="108" t="n"/>
      <c r="EC20" s="122">
        <f>EB20*100/$E$20</f>
        <v/>
      </c>
      <c r="ED20" s="108" t="n"/>
      <c r="EE20" s="122">
        <f>ED20*100/$E$20</f>
        <v/>
      </c>
      <c r="EF20" s="108" t="n"/>
      <c r="EG20" s="122">
        <f>EF20*100/$E$20</f>
        <v/>
      </c>
      <c r="EH20" s="108" t="n"/>
      <c r="EI20" s="122">
        <f>EH20*100/$E$20</f>
        <v/>
      </c>
      <c r="EJ20" s="108" t="n"/>
      <c r="EK20" s="122">
        <f>EJ20*100/$E$20</f>
        <v/>
      </c>
      <c r="EL20" s="108" t="n"/>
      <c r="EM20" s="122">
        <f>EL20*100/$E$20</f>
        <v/>
      </c>
      <c r="EN20" s="108" t="n"/>
      <c r="EO20" s="122">
        <f>EN20*100/$E$20</f>
        <v/>
      </c>
      <c r="EP20" s="108" t="n"/>
      <c r="EQ20" s="122">
        <f>EP20*100/$E$20</f>
        <v/>
      </c>
      <c r="ER20" s="108" t="n"/>
      <c r="ES20" s="122">
        <f>ER20*100/$E$20</f>
        <v/>
      </c>
      <c r="ET20" s="108" t="n"/>
      <c r="EU20" s="122">
        <f>ET20*100/$E$20</f>
        <v/>
      </c>
      <c r="EV20" s="108" t="n"/>
      <c r="EW20" s="122">
        <f>EV20*100/$E$20</f>
        <v/>
      </c>
      <c r="EX20" s="108" t="n"/>
      <c r="EY20" s="122">
        <f>EX20*100/$E$20</f>
        <v/>
      </c>
      <c r="EZ20" s="108" t="n"/>
      <c r="FA20" s="122">
        <f>EZ20*100/$E$20</f>
        <v/>
      </c>
      <c r="FB20" s="108" t="n"/>
      <c r="FC20" s="122">
        <f>FB20*100/$E$20</f>
        <v/>
      </c>
      <c r="FD20" s="108" t="n"/>
      <c r="FE20" s="122">
        <f>FD20*100/$E$20</f>
        <v/>
      </c>
      <c r="FF20" s="108" t="n"/>
      <c r="FG20" s="122">
        <f>FF20*100/$E$20</f>
        <v/>
      </c>
      <c r="FH20" s="108" t="n"/>
      <c r="FI20" s="122">
        <f>FH20*100/$E$20</f>
        <v/>
      </c>
      <c r="FJ20" s="108" t="n"/>
      <c r="FK20" s="122">
        <f>FJ20*100/$E$20</f>
        <v/>
      </c>
      <c r="FL20" s="108" t="n"/>
      <c r="FM20" s="122">
        <f>FL20*100/$E$20</f>
        <v/>
      </c>
      <c r="FN20" s="108" t="n"/>
      <c r="FO20" s="122">
        <f>FN20*100/$E$20</f>
        <v/>
      </c>
      <c r="FP20" s="108" t="n"/>
      <c r="FQ20" s="122">
        <f>FP20*100/$E$20</f>
        <v/>
      </c>
      <c r="FR20" s="108" t="n"/>
      <c r="FS20" s="122">
        <f>FR20*100/$E$20</f>
        <v/>
      </c>
      <c r="FT20" s="108" t="n"/>
      <c r="FU20" s="122">
        <f>FT20*100/$E$20</f>
        <v/>
      </c>
      <c r="FV20" s="108" t="n"/>
      <c r="FW20" s="122">
        <f>FV20*100/$E$20</f>
        <v/>
      </c>
      <c r="FX20" s="108" t="n"/>
      <c r="FY20" s="107">
        <f>FX20*100/$E$20</f>
        <v/>
      </c>
      <c r="FZ20" s="108" t="n"/>
      <c r="GA20" s="107">
        <f>FZ20*100/$E$20</f>
        <v/>
      </c>
      <c r="GB20" s="108" t="n"/>
      <c r="GC20" s="107">
        <f>GB20*100/$E$20</f>
        <v/>
      </c>
      <c r="GD20" s="108" t="n"/>
      <c r="GE20" s="107">
        <f>GD20*100/$E$20</f>
        <v/>
      </c>
      <c r="GF20" s="108" t="n"/>
      <c r="GG20" s="107">
        <f>GF20*100/$E$20</f>
        <v/>
      </c>
      <c r="GH20" s="108" t="n"/>
      <c r="GI20" s="107">
        <f>GH20*100/$E$20</f>
        <v/>
      </c>
      <c r="GJ20" s="108" t="n"/>
      <c r="GK20" s="122">
        <f>GJ20*100/$E$20</f>
        <v/>
      </c>
      <c r="GL20" s="108" t="n"/>
      <c r="GM20" s="107">
        <f>GL20*100/$E$20</f>
        <v/>
      </c>
      <c r="GN20" s="108" t="n"/>
      <c r="GO20" s="122">
        <f>GN20*100/$E$20</f>
        <v/>
      </c>
      <c r="GP20" s="108" t="n"/>
      <c r="GQ20" s="107">
        <f>GP20*100/$E$20</f>
        <v/>
      </c>
      <c r="GR20" s="108" t="n"/>
      <c r="GS20" s="122">
        <f>GR20*100/$E$20</f>
        <v/>
      </c>
      <c r="GT20" s="108" t="n"/>
      <c r="GU20" s="122">
        <f>GT20*100/$E$20</f>
        <v/>
      </c>
      <c r="GV20" s="108" t="n"/>
      <c r="GW20" s="122">
        <f>GV20*100/$E$20</f>
        <v/>
      </c>
      <c r="GX20" s="108" t="n"/>
      <c r="GY20" s="107">
        <f>GX20*100/$E$20</f>
        <v/>
      </c>
      <c r="GZ20" s="108" t="n"/>
      <c r="HA20" s="107">
        <f>GZ20*100/$E$20</f>
        <v/>
      </c>
      <c r="HB20" s="108" t="n"/>
      <c r="HC20" s="107">
        <f>HB20*100/$E$20</f>
        <v/>
      </c>
      <c r="HD20" s="108" t="n"/>
      <c r="HE20" s="107">
        <f>HD20*100/$E$20</f>
        <v/>
      </c>
      <c r="HF20" s="108" t="n"/>
      <c r="HG20" s="107">
        <f>HF20*100/$E$20</f>
        <v/>
      </c>
      <c r="HH20" s="108" t="n"/>
      <c r="HI20" s="107">
        <f>HH20*100/$E$20</f>
        <v/>
      </c>
      <c r="HJ20" s="108" t="n"/>
      <c r="HK20" s="107">
        <f>HJ20*100/$E$20</f>
        <v/>
      </c>
      <c r="HL20" s="108" t="n"/>
      <c r="HM20" s="107">
        <f>HL20*100/$E$20</f>
        <v/>
      </c>
      <c r="HN20" s="108" t="n"/>
      <c r="HO20" s="107">
        <f>HN20*100/$E$20</f>
        <v/>
      </c>
      <c r="HP20" s="108" t="n"/>
      <c r="HQ20" s="107">
        <f>HP20*100/$E$20</f>
        <v/>
      </c>
      <c r="HR20" s="108" t="n"/>
      <c r="HS20" s="107">
        <f>HR20*100/$E$20</f>
        <v/>
      </c>
      <c r="HT20" s="108" t="n"/>
      <c r="HU20" s="107">
        <f>HT20*100/$E$20</f>
        <v/>
      </c>
      <c r="HV20" s="108" t="n"/>
      <c r="HW20" s="107">
        <f>HV20*100/$E$20</f>
        <v/>
      </c>
      <c r="HX20" s="108" t="n"/>
      <c r="HY20" s="107">
        <f>HX20*100/$E$20</f>
        <v/>
      </c>
      <c r="HZ20" s="108" t="n"/>
      <c r="IA20" s="122">
        <f>HZ20*100/$E$20</f>
        <v/>
      </c>
      <c r="IB20" s="108" t="n"/>
      <c r="IC20" s="122">
        <f>IB20*100/$E$20</f>
        <v/>
      </c>
      <c r="ID20" s="108" t="n"/>
      <c r="IE20" s="122">
        <f>ID20*100/$E$20</f>
        <v/>
      </c>
      <c r="IF20" s="108" t="n"/>
      <c r="IG20" s="122">
        <f>IF20*100/$E$20</f>
        <v/>
      </c>
      <c r="IH20" s="108" t="n"/>
      <c r="II20" s="122">
        <f>IH20*100/$E$20</f>
        <v/>
      </c>
      <c r="IJ20" s="108" t="n"/>
      <c r="IK20" s="122">
        <f>IJ20*100/$E$20</f>
        <v/>
      </c>
      <c r="IL20" s="108" t="n"/>
      <c r="IM20" s="107">
        <f>IL20*100/$E$20</f>
        <v/>
      </c>
      <c r="IN20" s="108" t="n"/>
      <c r="IO20" s="107">
        <f>IN20*100/$E$20</f>
        <v/>
      </c>
      <c r="IP20" s="108" t="n"/>
      <c r="IQ20" s="122">
        <f>IP20*100/$E$20</f>
        <v/>
      </c>
      <c r="IR20" s="108" t="n"/>
      <c r="IS20" s="122">
        <f>IR20*100/$E$20</f>
        <v/>
      </c>
      <c r="IT20" s="108" t="n"/>
      <c r="IU20" s="122">
        <f>IT20*100/$E$20</f>
        <v/>
      </c>
      <c r="IV20" s="108" t="n"/>
      <c r="IW20" s="122">
        <f>IV20*100/$E$20</f>
        <v/>
      </c>
      <c r="IX20" s="108" t="n"/>
      <c r="IY20" s="122">
        <f>IX20*100/$E$20</f>
        <v/>
      </c>
      <c r="IZ20" s="108" t="n"/>
      <c r="JA20" s="122">
        <f>IZ20*100/$E$20</f>
        <v/>
      </c>
      <c r="JB20" s="108" t="n"/>
      <c r="JC20" s="122">
        <f>JB20*100/$E$20</f>
        <v/>
      </c>
      <c r="JD20" s="108" t="n"/>
      <c r="JE20" s="122">
        <f>JD20*100/$E$20</f>
        <v/>
      </c>
      <c r="JF20" s="108" t="n"/>
      <c r="JG20" s="122">
        <f>JF20*100/$E$20</f>
        <v/>
      </c>
      <c r="JH20" s="108" t="n"/>
      <c r="JI20" s="122">
        <f>JH20*100/$E$20</f>
        <v/>
      </c>
      <c r="JJ20" s="108" t="n"/>
      <c r="JK20" s="122">
        <f>JJ20*100/$E$20</f>
        <v/>
      </c>
      <c r="JL20" s="108" t="n"/>
      <c r="JM20" s="122">
        <f>JL20*100/$E$20</f>
        <v/>
      </c>
      <c r="JN20" s="108" t="n"/>
      <c r="JO20" s="122">
        <f>JN20*100/$E$20</f>
        <v/>
      </c>
      <c r="JP20" s="108" t="n"/>
      <c r="JQ20" s="122">
        <f>JP20*100/$E$20</f>
        <v/>
      </c>
      <c r="JR20" s="108" t="n"/>
      <c r="JS20" s="122">
        <f>JR20*100/$E$20</f>
        <v/>
      </c>
      <c r="JT20" s="108" t="n"/>
      <c r="JU20" s="122">
        <f>JT20*100/$E$20</f>
        <v/>
      </c>
      <c r="JV20" s="108" t="n"/>
      <c r="JW20" s="122">
        <f>JV20*100/$E$20</f>
        <v/>
      </c>
      <c r="JX20" s="108" t="n"/>
      <c r="JY20" s="122">
        <f>JX20*100/$E$20</f>
        <v/>
      </c>
      <c r="JZ20" s="55">
        <f>JN20+JP20+JR20+JT20+JV20+JX20</f>
        <v/>
      </c>
      <c r="KA20" s="53">
        <f>JO20+JQ20+JS20+JU20+JW20+JY20</f>
        <v/>
      </c>
      <c r="KB20" s="64">
        <f>H20+J20+L20+N20+P20+R20+T20+V20+X20+Z20+AB20+AD20+AF20+AH20+AJ20+AL20+AN20+AP20+AR20+AT20+AV20+AX20+AZ20+BB20+BD20+BF20+BH20+BJ20+BL20+BN20+BP20+BR20+BT20+BV20+BX20+BZ20+CB20+CD20+CF20+CH20+CZ20+DB20+DD20+DF20+DH20+DJ20+DL20+DN20+DP20+DR20+DT20+DV20+DX20+DZ20+EB20+ED20+EF20+EH20+EJ20+EL20+EN20+EP20+ER20+ET20+EV20+FN20+FP20+FR20+FT20+FV20+FX20+FZ20+GB20+GD20+GF20+GH20+GJ20+GL20+GN20+GP20+GR20+GT20+GV20+GX20+GZ20+HB20+HD20+HF20+HH20+HJ20+HL20+HN20+HP20+HR20+HT20+HV20+HX20+HZ20+IB20+ID20+IF20+IH20+IJ20+IL20+IN20+IP20+IR20+IT20+IV20+IX20+IZ20+JB20+JD20+JF20+JH20+JJ20+JL20+JZ20+CJ20+CL20+CN20+CP20+CR20+CT20+CV20+CX20+EX20+EZ20+FB20+FD20+FF20+FH20+FJ20+FL20</f>
        <v/>
      </c>
      <c r="KC20" s="66">
        <f>I20+K20+M20+O20+Q20+S20+U20+W20+Y20+AA20+AC20+AE20+AG20+AI20+AK20+AM20+AO20+AQ20+AS20+AU20+AW20+AY20+BA20+BC20+BE20+BG20+BI20+BK20+BM20+BO20+BQ20+BS20+BU20+BW20+BY20+CA20+CC20+CE20+CG20+CI20+DA20+DC20+DE20+DG20+DI20+DK20+DM20+DO20+DQ20+DS20+DU20+DW20+DY20+EA20+EC20+EE20+EG20+EI20+EK20+EM20+EO20+EQ20+ES20+EU20+EW20+FO20+FS20+FU20+FW20+FQ20+FY20+GA20+GC20+GE20+GG20+GI20+GK20+GM20+GO20+GQ20+GS20+GU20+GW20+GY20+HA20+HC20+HE20+HG20+HI20+HK20+HM20+HO20+HQ20+HS20+HU20+HW20+HY20+IA20+IC20+IE20+IG20+II20+IK20+IM20+IO20+IQ20+IS20+IU20+IW20+IY20+JA20+JC20+JE20+JG20+JI20+JK20+JM20+KA20+CK20+CM20+CO20+CQ20+CS20+CU20+CW20+CY20+EY20+FA20+FC20+FE20+FG20+FI20+FK20+FM20</f>
        <v/>
      </c>
      <c r="KD20" s="44">
        <f>JO20+JQ20+JS20+JU20+JW20+JY20</f>
        <v/>
      </c>
      <c r="KE20" s="45">
        <f>KB20=E20</f>
        <v/>
      </c>
      <c r="KF20" s="101">
        <f>E20-KB20</f>
        <v/>
      </c>
      <c r="KG20" s="17" t="n"/>
    </row>
    <row r="21" ht="21.75" customFormat="1" customHeight="1" s="67">
      <c r="A21" s="130">
        <f>A20+1</f>
        <v/>
      </c>
      <c r="B21" s="175" t="inlineStr">
        <is>
          <t>Еналов А.Д.</t>
        </is>
      </c>
      <c r="C21" s="176" t="inlineStr">
        <is>
          <t>слесарь</t>
        </is>
      </c>
      <c r="D21" s="177">
        <f>$D$5</f>
        <v/>
      </c>
      <c r="E21" s="202" t="n"/>
      <c r="F21" s="191" t="n">
        <v>68902.87</v>
      </c>
      <c r="G21" s="52">
        <f>F21/D21</f>
        <v/>
      </c>
      <c r="H21" s="125" t="n"/>
      <c r="I21" s="107">
        <f>H21*100/$E$21</f>
        <v/>
      </c>
      <c r="J21" s="108" t="n"/>
      <c r="K21" s="107">
        <f>J21*100/$E$21</f>
        <v/>
      </c>
      <c r="L21" s="108" t="n"/>
      <c r="M21" s="107">
        <f>L21*100/$E$21</f>
        <v/>
      </c>
      <c r="N21" s="108" t="n"/>
      <c r="O21" s="107">
        <f>N21*100/$E$21</f>
        <v/>
      </c>
      <c r="P21" s="108" t="n"/>
      <c r="Q21" s="122">
        <f>P21*100/$E$21</f>
        <v/>
      </c>
      <c r="R21" s="108" t="n"/>
      <c r="S21" s="122">
        <f>R21*100/$E$21</f>
        <v/>
      </c>
      <c r="T21" s="108" t="n"/>
      <c r="U21" s="122">
        <f>T21*100/$E$21</f>
        <v/>
      </c>
      <c r="V21" s="108" t="n"/>
      <c r="W21" s="122">
        <f>V21*100/$E$21</f>
        <v/>
      </c>
      <c r="X21" s="108" t="n"/>
      <c r="Y21" s="122">
        <f>X21*100/$E$21</f>
        <v/>
      </c>
      <c r="Z21" s="108" t="n"/>
      <c r="AA21" s="122">
        <f>Z21*100/$E$21</f>
        <v/>
      </c>
      <c r="AB21" s="108" t="n"/>
      <c r="AC21" s="122">
        <f>AB21*100/$E$21</f>
        <v/>
      </c>
      <c r="AD21" s="108" t="n"/>
      <c r="AE21" s="122">
        <f>AD21*100/$E$21</f>
        <v/>
      </c>
      <c r="AF21" s="108" t="n"/>
      <c r="AG21" s="122">
        <f>AF21*100/$E$21</f>
        <v/>
      </c>
      <c r="AH21" s="108" t="n"/>
      <c r="AI21" s="122">
        <f>AH21*100/$E$21</f>
        <v/>
      </c>
      <c r="AJ21" s="108" t="n"/>
      <c r="AK21" s="122">
        <f>AJ21*100/$E$21</f>
        <v/>
      </c>
      <c r="AL21" s="108" t="n"/>
      <c r="AM21" s="122">
        <f>AL21*100/$E$21</f>
        <v/>
      </c>
      <c r="AN21" s="108" t="n"/>
      <c r="AO21" s="122">
        <f>AN21*100/$E$21</f>
        <v/>
      </c>
      <c r="AP21" s="108" t="n"/>
      <c r="AQ21" s="122">
        <f>AP21*100/$E$21</f>
        <v/>
      </c>
      <c r="AR21" s="108" t="n"/>
      <c r="AS21" s="122">
        <f>AR21*100/$E$21</f>
        <v/>
      </c>
      <c r="AT21" s="108" t="n"/>
      <c r="AU21" s="90">
        <f>AT21*100/$E$21</f>
        <v/>
      </c>
      <c r="AV21" s="108" t="n"/>
      <c r="AW21" s="122">
        <f>AV21*100/$E$21</f>
        <v/>
      </c>
      <c r="AX21" s="108" t="n"/>
      <c r="AY21" s="122">
        <f>AX21*100/$E$21</f>
        <v/>
      </c>
      <c r="AZ21" s="108" t="n"/>
      <c r="BA21" s="122">
        <f>AZ21*100/$E$21</f>
        <v/>
      </c>
      <c r="BB21" s="108" t="n"/>
      <c r="BC21" s="122">
        <f>BB21*100/$E$21</f>
        <v/>
      </c>
      <c r="BD21" s="108" t="n"/>
      <c r="BE21" s="122">
        <f>BD21*100/$E$21</f>
        <v/>
      </c>
      <c r="BF21" s="108" t="n"/>
      <c r="BG21" s="122">
        <f>BF21*100/$E$21</f>
        <v/>
      </c>
      <c r="BH21" s="108" t="n"/>
      <c r="BI21" s="122">
        <f>BH21*100/$E$21</f>
        <v/>
      </c>
      <c r="BJ21" s="108" t="n"/>
      <c r="BK21" s="122">
        <f>BJ21*100/$E$21</f>
        <v/>
      </c>
      <c r="BL21" s="108" t="n"/>
      <c r="BM21" s="122">
        <f>BL21*100/$E$21</f>
        <v/>
      </c>
      <c r="BN21" s="108" t="n"/>
      <c r="BO21" s="122">
        <f>BN21*100/$E$21</f>
        <v/>
      </c>
      <c r="BP21" s="108" t="n"/>
      <c r="BQ21" s="122">
        <f>BP21*100/$E$21</f>
        <v/>
      </c>
      <c r="BR21" s="108" t="n"/>
      <c r="BS21" s="122">
        <f>BR21*100/$E$21</f>
        <v/>
      </c>
      <c r="BT21" s="108" t="n"/>
      <c r="BU21" s="122">
        <f>BT21*100/$E$21</f>
        <v/>
      </c>
      <c r="BV21" s="108" t="n"/>
      <c r="BW21" s="122">
        <f>BV21*100/$E$21</f>
        <v/>
      </c>
      <c r="BX21" s="108" t="n"/>
      <c r="BY21" s="122">
        <f>BX21*100/$E$21</f>
        <v/>
      </c>
      <c r="BZ21" s="108" t="n"/>
      <c r="CA21" s="122">
        <f>BZ21*100/$E$21</f>
        <v/>
      </c>
      <c r="CB21" s="108" t="n"/>
      <c r="CC21" s="122">
        <f>CB21*100/$E$21</f>
        <v/>
      </c>
      <c r="CD21" s="108" t="n"/>
      <c r="CE21" s="122">
        <f>CD21*100/$E$21</f>
        <v/>
      </c>
      <c r="CF21" s="108" t="n"/>
      <c r="CG21" s="122">
        <f>CF21*100/$E$21</f>
        <v/>
      </c>
      <c r="CH21" s="108" t="n"/>
      <c r="CI21" s="122">
        <f>CH21*100/$E$21</f>
        <v/>
      </c>
      <c r="CJ21" s="108" t="n"/>
      <c r="CK21" s="122">
        <f>CJ21*100/$E$21</f>
        <v/>
      </c>
      <c r="CL21" s="108" t="n"/>
      <c r="CM21" s="122">
        <f>CL21*100/$E$21</f>
        <v/>
      </c>
      <c r="CN21" s="108" t="n"/>
      <c r="CO21" s="122">
        <f>CN21*100/$E$21</f>
        <v/>
      </c>
      <c r="CP21" s="108" t="n"/>
      <c r="CQ21" s="122">
        <f>CP21*100/$E$21</f>
        <v/>
      </c>
      <c r="CR21" s="108" t="n"/>
      <c r="CS21" s="122">
        <f>CR21*100/$E$21</f>
        <v/>
      </c>
      <c r="CT21" s="108" t="n"/>
      <c r="CU21" s="122">
        <f>CT21*100/$E$21</f>
        <v/>
      </c>
      <c r="CV21" s="108" t="n"/>
      <c r="CW21" s="122">
        <f>CV21*100/$E$21</f>
        <v/>
      </c>
      <c r="CX21" s="108" t="n"/>
      <c r="CY21" s="122">
        <f>CX21*100/$E$21</f>
        <v/>
      </c>
      <c r="CZ21" s="108" t="n"/>
      <c r="DA21" s="122">
        <f>CZ21*100/$E$21</f>
        <v/>
      </c>
      <c r="DB21" s="108" t="n"/>
      <c r="DC21" s="122">
        <f>DB21*100/$E$21</f>
        <v/>
      </c>
      <c r="DD21" s="108" t="n"/>
      <c r="DE21" s="122">
        <f>DD21*100/$E$21</f>
        <v/>
      </c>
      <c r="DF21" s="108" t="n"/>
      <c r="DG21" s="122">
        <f>DF21*100/$E$21</f>
        <v/>
      </c>
      <c r="DH21" s="108" t="n"/>
      <c r="DI21" s="122">
        <f>DH21*100/$E$21</f>
        <v/>
      </c>
      <c r="DJ21" s="108" t="n"/>
      <c r="DK21" s="122">
        <f>DJ21*100/$E$21</f>
        <v/>
      </c>
      <c r="DL21" s="108" t="n"/>
      <c r="DM21" s="122">
        <f>DL21*100/$E$21</f>
        <v/>
      </c>
      <c r="DN21" s="108" t="n"/>
      <c r="DO21" s="122">
        <f>DN21*100/$E$21</f>
        <v/>
      </c>
      <c r="DP21" s="108" t="n"/>
      <c r="DQ21" s="122">
        <f>DP21*100/$E$21</f>
        <v/>
      </c>
      <c r="DR21" s="108" t="n"/>
      <c r="DS21" s="122">
        <f>DR21*100/$E$21</f>
        <v/>
      </c>
      <c r="DT21" s="108" t="n"/>
      <c r="DU21" s="122">
        <f>DT21*100/$E$21</f>
        <v/>
      </c>
      <c r="DV21" s="108" t="n"/>
      <c r="DW21" s="122">
        <f>DV21*100/$E$21</f>
        <v/>
      </c>
      <c r="DX21" s="108" t="n"/>
      <c r="DY21" s="122">
        <f>DX21*100/$E$21</f>
        <v/>
      </c>
      <c r="DZ21" s="108" t="n"/>
      <c r="EA21" s="122">
        <f>DZ21*100/$E$21</f>
        <v/>
      </c>
      <c r="EB21" s="108" t="n"/>
      <c r="EC21" s="122">
        <f>EB21*100/$E$21</f>
        <v/>
      </c>
      <c r="ED21" s="108" t="n"/>
      <c r="EE21" s="122">
        <f>ED21*100/$E$21</f>
        <v/>
      </c>
      <c r="EF21" s="108" t="n"/>
      <c r="EG21" s="122">
        <f>EF21*100/$E$21</f>
        <v/>
      </c>
      <c r="EH21" s="108" t="n"/>
      <c r="EI21" s="122">
        <f>EH21*100/$E$21</f>
        <v/>
      </c>
      <c r="EJ21" s="108" t="n"/>
      <c r="EK21" s="122">
        <f>EJ21*100/$E$21</f>
        <v/>
      </c>
      <c r="EL21" s="108" t="n"/>
      <c r="EM21" s="122">
        <f>EL21*100/$E$21</f>
        <v/>
      </c>
      <c r="EN21" s="108" t="n"/>
      <c r="EO21" s="122">
        <f>EN21*100/$E$21</f>
        <v/>
      </c>
      <c r="EP21" s="108" t="n"/>
      <c r="EQ21" s="122">
        <f>EP21*100/$E$21</f>
        <v/>
      </c>
      <c r="ER21" s="108" t="n"/>
      <c r="ES21" s="122">
        <f>ER21*100/$E$21</f>
        <v/>
      </c>
      <c r="ET21" s="108" t="n"/>
      <c r="EU21" s="122">
        <f>ET21*100/$E$21</f>
        <v/>
      </c>
      <c r="EV21" s="108" t="n"/>
      <c r="EW21" s="122">
        <f>EV21*100/$E$21</f>
        <v/>
      </c>
      <c r="EX21" s="108" t="n"/>
      <c r="EY21" s="122">
        <f>EX21*100/$E$21</f>
        <v/>
      </c>
      <c r="EZ21" s="108" t="n"/>
      <c r="FA21" s="122">
        <f>EZ21*100/$E$21</f>
        <v/>
      </c>
      <c r="FB21" s="108" t="n"/>
      <c r="FC21" s="122">
        <f>FB21*100/$E$21</f>
        <v/>
      </c>
      <c r="FD21" s="108" t="n"/>
      <c r="FE21" s="122">
        <f>FD21*100/$E$21</f>
        <v/>
      </c>
      <c r="FF21" s="108" t="n"/>
      <c r="FG21" s="122">
        <f>FF21*100/$E$21</f>
        <v/>
      </c>
      <c r="FH21" s="108" t="n"/>
      <c r="FI21" s="122">
        <f>FH21*100/$E$21</f>
        <v/>
      </c>
      <c r="FJ21" s="108" t="n"/>
      <c r="FK21" s="122">
        <f>FJ21*100/$E$21</f>
        <v/>
      </c>
      <c r="FL21" s="108" t="n"/>
      <c r="FM21" s="122">
        <f>FL21*100/$E$21</f>
        <v/>
      </c>
      <c r="FN21" s="108" t="n"/>
      <c r="FO21" s="122">
        <f>FN21*100/$E$21</f>
        <v/>
      </c>
      <c r="FP21" s="108" t="n"/>
      <c r="FQ21" s="122">
        <f>FP21*100/$E$21</f>
        <v/>
      </c>
      <c r="FR21" s="108" t="n"/>
      <c r="FS21" s="122">
        <f>FR21*100/$E$21</f>
        <v/>
      </c>
      <c r="FT21" s="108" t="n"/>
      <c r="FU21" s="122">
        <f>FT21*100/$E$21</f>
        <v/>
      </c>
      <c r="FV21" s="108" t="n"/>
      <c r="FW21" s="122">
        <f>FV21*100/$E$21</f>
        <v/>
      </c>
      <c r="FX21" s="108" t="n"/>
      <c r="FY21" s="122">
        <f>FX21*100/$E$21</f>
        <v/>
      </c>
      <c r="FZ21" s="108" t="n"/>
      <c r="GA21" s="122">
        <f>FZ21*100/$E$21</f>
        <v/>
      </c>
      <c r="GB21" s="108" t="n"/>
      <c r="GC21" s="122">
        <f>GB21*100/$E$21</f>
        <v/>
      </c>
      <c r="GD21" s="108" t="n"/>
      <c r="GE21" s="122">
        <f>GD21*100/$E$21</f>
        <v/>
      </c>
      <c r="GF21" s="108" t="n"/>
      <c r="GG21" s="122">
        <f>GF21*100/$E$21</f>
        <v/>
      </c>
      <c r="GH21" s="108" t="n"/>
      <c r="GI21" s="122">
        <f>GH21*100/$E$21</f>
        <v/>
      </c>
      <c r="GJ21" s="108" t="n"/>
      <c r="GK21" s="122">
        <f>GJ21*100/$E$21</f>
        <v/>
      </c>
      <c r="GL21" s="108" t="n"/>
      <c r="GM21" s="122">
        <f>GL21*100/$E$21</f>
        <v/>
      </c>
      <c r="GN21" s="108" t="n"/>
      <c r="GO21" s="122">
        <f>GN21*100/$E$21</f>
        <v/>
      </c>
      <c r="GP21" s="108" t="n"/>
      <c r="GQ21" s="122">
        <f>GP21*100/$E$21</f>
        <v/>
      </c>
      <c r="GR21" s="108" t="n"/>
      <c r="GS21" s="122">
        <f>GR21*100/$E$21</f>
        <v/>
      </c>
      <c r="GT21" s="108" t="n"/>
      <c r="GU21" s="122">
        <f>GT21*100/$E$21</f>
        <v/>
      </c>
      <c r="GV21" s="108" t="n"/>
      <c r="GW21" s="122">
        <f>GV21*100/$E$21</f>
        <v/>
      </c>
      <c r="GX21" s="108" t="n"/>
      <c r="GY21" s="122">
        <f>GX21*100/$E$21</f>
        <v/>
      </c>
      <c r="GZ21" s="108" t="n"/>
      <c r="HA21" s="122">
        <f>GZ21*100/$E$21</f>
        <v/>
      </c>
      <c r="HB21" s="108" t="n"/>
      <c r="HC21" s="122">
        <f>HB21*100/$E$21</f>
        <v/>
      </c>
      <c r="HD21" s="108" t="n"/>
      <c r="HE21" s="122">
        <f>HD21*100/$E$21</f>
        <v/>
      </c>
      <c r="HF21" s="108" t="n"/>
      <c r="HG21" s="122">
        <f>HF21*100/$E$21</f>
        <v/>
      </c>
      <c r="HH21" s="108" t="n"/>
      <c r="HI21" s="122">
        <f>HH21*100/$E$21</f>
        <v/>
      </c>
      <c r="HJ21" s="108" t="n"/>
      <c r="HK21" s="122">
        <f>HJ21*100/$E$21</f>
        <v/>
      </c>
      <c r="HL21" s="108" t="n"/>
      <c r="HM21" s="122">
        <f>HL21*100/$E$21</f>
        <v/>
      </c>
      <c r="HN21" s="108" t="n"/>
      <c r="HO21" s="122">
        <f>HN21*100/$E$21</f>
        <v/>
      </c>
      <c r="HP21" s="108" t="n"/>
      <c r="HQ21" s="122">
        <f>HP21*100/$E$21</f>
        <v/>
      </c>
      <c r="HR21" s="108" t="n"/>
      <c r="HS21" s="122">
        <f>HR21*100/$E$21</f>
        <v/>
      </c>
      <c r="HT21" s="108" t="n"/>
      <c r="HU21" s="122">
        <f>HT21*100/$E$21</f>
        <v/>
      </c>
      <c r="HV21" s="108" t="n"/>
      <c r="HW21" s="122">
        <f>HV21*100/$E$21</f>
        <v/>
      </c>
      <c r="HX21" s="108" t="n"/>
      <c r="HY21" s="122">
        <f>HX21*100/$E$21</f>
        <v/>
      </c>
      <c r="HZ21" s="108" t="n"/>
      <c r="IA21" s="122">
        <f>HZ21*100/$E$21</f>
        <v/>
      </c>
      <c r="IB21" s="108" t="n"/>
      <c r="IC21" s="122">
        <f>IB21*100/$E$21</f>
        <v/>
      </c>
      <c r="ID21" s="108" t="n"/>
      <c r="IE21" s="122">
        <f>ID21*100/$E$21</f>
        <v/>
      </c>
      <c r="IF21" s="108" t="n"/>
      <c r="IG21" s="122">
        <f>IF21*100/$E$21</f>
        <v/>
      </c>
      <c r="IH21" s="108" t="n"/>
      <c r="II21" s="122">
        <f>IH21*100/$E$21</f>
        <v/>
      </c>
      <c r="IJ21" s="108" t="n"/>
      <c r="IK21" s="122">
        <f>IJ21*100/$E$21</f>
        <v/>
      </c>
      <c r="IL21" s="108" t="n"/>
      <c r="IM21" s="122">
        <f>IL21*100/$E$21</f>
        <v/>
      </c>
      <c r="IN21" s="108" t="n"/>
      <c r="IO21" s="122">
        <f>IN21*100/$E$21</f>
        <v/>
      </c>
      <c r="IP21" s="108" t="n"/>
      <c r="IQ21" s="122">
        <f>IP21*100/$E$21</f>
        <v/>
      </c>
      <c r="IR21" s="108" t="n"/>
      <c r="IS21" s="122">
        <f>IR21*100/$E$21</f>
        <v/>
      </c>
      <c r="IT21" s="108" t="n"/>
      <c r="IU21" s="122">
        <f>IT21*100/$E$21</f>
        <v/>
      </c>
      <c r="IV21" s="108" t="n"/>
      <c r="IW21" s="122">
        <f>IV21*100/$E$21</f>
        <v/>
      </c>
      <c r="IX21" s="108" t="n"/>
      <c r="IY21" s="122">
        <f>IX21*100/$E$21</f>
        <v/>
      </c>
      <c r="IZ21" s="108" t="n"/>
      <c r="JA21" s="122">
        <f>IZ21*100/$E$21</f>
        <v/>
      </c>
      <c r="JB21" s="108" t="n"/>
      <c r="JC21" s="122">
        <f>JB21*100/$E$21</f>
        <v/>
      </c>
      <c r="JD21" s="108" t="n"/>
      <c r="JE21" s="122">
        <f>JD21*100/$E$21</f>
        <v/>
      </c>
      <c r="JF21" s="108" t="n"/>
      <c r="JG21" s="122">
        <f>JF21*100/$E$21</f>
        <v/>
      </c>
      <c r="JH21" s="108" t="n"/>
      <c r="JI21" s="122">
        <f>JH21*100/$E$21</f>
        <v/>
      </c>
      <c r="JJ21" s="108" t="n"/>
      <c r="JK21" s="122">
        <f>JJ21*100/$E$21</f>
        <v/>
      </c>
      <c r="JL21" s="108" t="n"/>
      <c r="JM21" s="122">
        <f>JL21*100/$E$21</f>
        <v/>
      </c>
      <c r="JN21" s="108" t="n"/>
      <c r="JO21" s="122">
        <f>JN21*100/$E$21</f>
        <v/>
      </c>
      <c r="JP21" s="108" t="n"/>
      <c r="JQ21" s="122">
        <f>JP21*100/$E$21</f>
        <v/>
      </c>
      <c r="JR21" s="108" t="n"/>
      <c r="JS21" s="122">
        <f>JR21*100/$E$21</f>
        <v/>
      </c>
      <c r="JT21" s="108" t="n"/>
      <c r="JU21" s="122">
        <f>JT21*100/$E$21</f>
        <v/>
      </c>
      <c r="JV21" s="108" t="n"/>
      <c r="JW21" s="122">
        <f>JV21*100/$E$21</f>
        <v/>
      </c>
      <c r="JX21" s="108" t="n"/>
      <c r="JY21" s="122">
        <f>JX21*100/$E$21</f>
        <v/>
      </c>
      <c r="JZ21" s="55">
        <f>JN21+JP21+JR21+JT21+JV21+JX21</f>
        <v/>
      </c>
      <c r="KA21" s="53">
        <f>JO21+JQ21+JS21+JU21+JW21+JY21</f>
        <v/>
      </c>
      <c r="KB21" s="64">
        <f>H21+J21+L21+N21+P21+R21+T21+V21+X21+Z21+AB21+AD21+AF21+AH21+AJ21+AL21+AN21+AP21+AR21+AT21+AV21+AX21+AZ21+BB21+BD21+BF21+BH21+BJ21+BL21+BN21+BP21+BR21+BT21+BV21+BX21+BZ21+CB21+CD21+CF21+CH21+CZ21+DB21+DD21+DF21+DH21+DJ21+DL21+DN21+DP21+DR21+DT21+DV21+DX21+DZ21+EB21+ED21+EF21+EH21+EJ21+EL21+EN21+EP21+ER21+ET21+EV21+FN21+FP21+FR21+FT21+FV21+FX21+FZ21+GB21+GD21+GF21+GH21+GJ21+GL21+GN21+GP21+GR21+GT21+GV21+GX21+GZ21+HB21+HD21+HF21+HH21+HJ21+HL21+HN21+HP21+HR21+HT21+HV21+HX21+HZ21+IB21+ID21+IF21+IH21+IJ21+IL21+IN21+IP21+IR21+IT21+IV21+IX21+IZ21+JB21+JD21+JF21+JH21+JJ21+JL21+JZ21+CJ21+CL21+CN21+CP21+CR21+CT21+CV21+CX21+EX21+EZ21+FB21+FD21+FF21+FH21+FJ21+FL21</f>
        <v/>
      </c>
      <c r="KC21" s="66">
        <f>I21+K21+M21+O21+Q21+S21+U21+W21+Y21+AA21+AC21+AE21+AG21+AI21+AK21+AM21+AO21+AQ21+AS21+AU21+AW21+AY21+BA21+BC21+BE21+BG21+BI21+BK21+BM21+BO21+BQ21+BS21+BU21+BW21+BY21+CA21+CC21+CE21+CG21+CI21+DA21+DC21+DE21+DG21+DI21+DK21+DM21+DO21+DQ21+DS21+DU21+DW21+DY21+EA21+EC21+EE21+EG21+EI21+EK21+EM21+EO21+EQ21+ES21+EU21+EW21+FO21+FS21+FU21+FW21+FQ21+FY21+GA21+GC21+GE21+GG21+GI21+GK21+GM21+GO21+GQ21+GS21+GU21+GW21+GY21+HA21+HC21+HE21+HG21+HI21+HK21+HM21+HO21+HQ21+HS21+HU21+HW21+HY21+IA21+IC21+IE21+IG21+II21+IK21+IM21+IO21+IQ21+IS21+IU21+IW21+IY21+JA21+JC21+JE21+JG21+JI21+JK21+JM21+KA21+CK21+CM21+CO21+CQ21+CS21+CU21+CW21+CY21+EY21+FA21+FC21+FE21+FG21+FI21+FK21+FM21</f>
        <v/>
      </c>
      <c r="KD21" s="44">
        <f>JO21+JQ21+JS21+JU21+JW21+JY21</f>
        <v/>
      </c>
      <c r="KE21" s="45">
        <f>KB21=E21</f>
        <v/>
      </c>
      <c r="KF21" s="101">
        <f>E21-KB21</f>
        <v/>
      </c>
      <c r="KG21" s="17" t="n"/>
    </row>
    <row r="22" ht="21.75" customFormat="1" customHeight="1" s="67">
      <c r="A22" s="130">
        <f>A21+1</f>
        <v/>
      </c>
      <c r="B22" s="175" t="inlineStr">
        <is>
          <t>Еналов Д.А.</t>
        </is>
      </c>
      <c r="C22" s="176" t="inlineStr">
        <is>
          <t>слесарь</t>
        </is>
      </c>
      <c r="D22" s="177">
        <f>$D$5</f>
        <v/>
      </c>
      <c r="E22" s="202" t="n"/>
      <c r="F22" s="191" t="n">
        <v>97702.28</v>
      </c>
      <c r="G22" s="52">
        <f>F22/D22</f>
        <v/>
      </c>
      <c r="H22" s="125" t="n"/>
      <c r="I22" s="107">
        <f>H22*100/$E$22</f>
        <v/>
      </c>
      <c r="J22" s="108" t="n"/>
      <c r="K22" s="107">
        <f>J22*100/$E$22</f>
        <v/>
      </c>
      <c r="L22" s="108" t="n"/>
      <c r="M22" s="107">
        <f>L22*100/$E$22</f>
        <v/>
      </c>
      <c r="N22" s="108" t="n"/>
      <c r="O22" s="107">
        <f>N22*100/$E$22</f>
        <v/>
      </c>
      <c r="P22" s="108" t="n"/>
      <c r="Q22" s="122">
        <f>P22*100/$E$22</f>
        <v/>
      </c>
      <c r="R22" s="108" t="n"/>
      <c r="S22" s="107">
        <f>R22*100/$E$22</f>
        <v/>
      </c>
      <c r="T22" s="108" t="n"/>
      <c r="U22" s="107">
        <f>T22*100/$E$22</f>
        <v/>
      </c>
      <c r="V22" s="108" t="n"/>
      <c r="W22" s="107">
        <f>V22*100/$E$22</f>
        <v/>
      </c>
      <c r="X22" s="108" t="n"/>
      <c r="Y22" s="107">
        <f>X22*100/$E$22</f>
        <v/>
      </c>
      <c r="Z22" s="108" t="n"/>
      <c r="AA22" s="107">
        <f>Z22*100/$E$22</f>
        <v/>
      </c>
      <c r="AB22" s="108" t="n"/>
      <c r="AC22" s="107">
        <f>AB22*100/$E$22</f>
        <v/>
      </c>
      <c r="AD22" s="108" t="n"/>
      <c r="AE22" s="107">
        <f>AD22*100/$E$22</f>
        <v/>
      </c>
      <c r="AF22" s="108" t="n"/>
      <c r="AG22" s="107">
        <f>AF22*100/$E$22</f>
        <v/>
      </c>
      <c r="AH22" s="108" t="n"/>
      <c r="AI22" s="107">
        <f>AH22*100/$E$22</f>
        <v/>
      </c>
      <c r="AJ22" s="108" t="n"/>
      <c r="AK22" s="107">
        <f>AJ22*100/$E$22</f>
        <v/>
      </c>
      <c r="AL22" s="108" t="n"/>
      <c r="AM22" s="107">
        <f>AL22*100/$E$22</f>
        <v/>
      </c>
      <c r="AN22" s="108" t="n"/>
      <c r="AO22" s="107">
        <f>AN22*100/$E$22</f>
        <v/>
      </c>
      <c r="AP22" s="108" t="n"/>
      <c r="AQ22" s="107">
        <f>AP22*100/$E$22</f>
        <v/>
      </c>
      <c r="AR22" s="108" t="n"/>
      <c r="AS22" s="107">
        <f>AR22*100/$E$22</f>
        <v/>
      </c>
      <c r="AT22" s="108" t="n"/>
      <c r="AU22" s="90">
        <f>AT22*100/$E$22</f>
        <v/>
      </c>
      <c r="AV22" s="108" t="n"/>
      <c r="AW22" s="107">
        <f>AV22*100/$E$22</f>
        <v/>
      </c>
      <c r="AX22" s="108" t="n"/>
      <c r="AY22" s="107">
        <f>AX22*100/$E$22</f>
        <v/>
      </c>
      <c r="AZ22" s="108" t="n"/>
      <c r="BA22" s="107">
        <f>AZ22*100/$E$22</f>
        <v/>
      </c>
      <c r="BB22" s="108" t="n"/>
      <c r="BC22" s="107">
        <f>BB22*100/$E$22</f>
        <v/>
      </c>
      <c r="BD22" s="108" t="n"/>
      <c r="BE22" s="107">
        <f>BD22*100/$E$22</f>
        <v/>
      </c>
      <c r="BF22" s="108" t="n"/>
      <c r="BG22" s="107">
        <f>BF22*100/$E$22</f>
        <v/>
      </c>
      <c r="BH22" s="108" t="n"/>
      <c r="BI22" s="107">
        <f>BH22*100/$E$22</f>
        <v/>
      </c>
      <c r="BJ22" s="108" t="n"/>
      <c r="BK22" s="107">
        <f>BJ22*100/$E$22</f>
        <v/>
      </c>
      <c r="BL22" s="108" t="n"/>
      <c r="BM22" s="107">
        <f>BL22*100/$E$22</f>
        <v/>
      </c>
      <c r="BN22" s="108" t="n"/>
      <c r="BO22" s="107">
        <f>BN22*100/$E$22</f>
        <v/>
      </c>
      <c r="BP22" s="108" t="n"/>
      <c r="BQ22" s="107">
        <f>BP22*100/$E$22</f>
        <v/>
      </c>
      <c r="BR22" s="108" t="n"/>
      <c r="BS22" s="107">
        <f>BR22*100/$E$22</f>
        <v/>
      </c>
      <c r="BT22" s="108" t="n"/>
      <c r="BU22" s="107">
        <f>BT22*100/$E$22</f>
        <v/>
      </c>
      <c r="BV22" s="108" t="n"/>
      <c r="BW22" s="107">
        <f>BV22*100/$E$22</f>
        <v/>
      </c>
      <c r="BX22" s="108" t="n"/>
      <c r="BY22" s="107">
        <f>BX22*100/$E$22</f>
        <v/>
      </c>
      <c r="BZ22" s="108" t="n"/>
      <c r="CA22" s="107">
        <f>BZ22*100/$E$22</f>
        <v/>
      </c>
      <c r="CB22" s="108" t="n"/>
      <c r="CC22" s="107">
        <f>CB22*100/$E$22</f>
        <v/>
      </c>
      <c r="CD22" s="108" t="n"/>
      <c r="CE22" s="107">
        <f>CD22*100/$E$22</f>
        <v/>
      </c>
      <c r="CF22" s="108" t="n"/>
      <c r="CG22" s="107">
        <f>CF22*100/$E$22</f>
        <v/>
      </c>
      <c r="CH22" s="108" t="n"/>
      <c r="CI22" s="107">
        <f>CH22*100/$E$22</f>
        <v/>
      </c>
      <c r="CJ22" s="108" t="n"/>
      <c r="CK22" s="107">
        <f>CJ22*100/$E$22</f>
        <v/>
      </c>
      <c r="CL22" s="108" t="n"/>
      <c r="CM22" s="107">
        <f>CL22*100/$E$22</f>
        <v/>
      </c>
      <c r="CN22" s="108" t="n"/>
      <c r="CO22" s="122">
        <f>CN22*100/$E$22</f>
        <v/>
      </c>
      <c r="CP22" s="108" t="n"/>
      <c r="CQ22" s="107">
        <f>CP22*100/$E$22</f>
        <v/>
      </c>
      <c r="CR22" s="108" t="n"/>
      <c r="CS22" s="122">
        <f>CR22*100/$E$22</f>
        <v/>
      </c>
      <c r="CT22" s="108" t="n"/>
      <c r="CU22" s="122">
        <f>CT22*100/$E$22</f>
        <v/>
      </c>
      <c r="CV22" s="108" t="n"/>
      <c r="CW22" s="122">
        <f>CV22*100/$E$22</f>
        <v/>
      </c>
      <c r="CX22" s="108" t="n"/>
      <c r="CY22" s="122">
        <f>CX22*100/$E$22</f>
        <v/>
      </c>
      <c r="CZ22" s="108" t="n"/>
      <c r="DA22" s="122">
        <f>CZ22*100/$E$22</f>
        <v/>
      </c>
      <c r="DB22" s="108" t="n"/>
      <c r="DC22" s="122">
        <f>DB22*100/$E$22</f>
        <v/>
      </c>
      <c r="DD22" s="108" t="n"/>
      <c r="DE22" s="122">
        <f>DD22*100/$E$22</f>
        <v/>
      </c>
      <c r="DF22" s="108" t="n"/>
      <c r="DG22" s="122">
        <f>DF22*100/$E$22</f>
        <v/>
      </c>
      <c r="DH22" s="108" t="n"/>
      <c r="DI22" s="122">
        <f>DH22*100/$E$22</f>
        <v/>
      </c>
      <c r="DJ22" s="108" t="n"/>
      <c r="DK22" s="122">
        <f>DJ22*100/$E$22</f>
        <v/>
      </c>
      <c r="DL22" s="108" t="n"/>
      <c r="DM22" s="122">
        <f>DL22*100/$E$22</f>
        <v/>
      </c>
      <c r="DN22" s="108" t="n"/>
      <c r="DO22" s="122">
        <f>DN22*100/$E$22</f>
        <v/>
      </c>
      <c r="DP22" s="108" t="n"/>
      <c r="DQ22" s="122">
        <f>DP22*100/$E$22</f>
        <v/>
      </c>
      <c r="DR22" s="108" t="n"/>
      <c r="DS22" s="107">
        <f>DR22*100/$E$22</f>
        <v/>
      </c>
      <c r="DT22" s="108" t="n"/>
      <c r="DU22" s="122">
        <f>DT22*100/$E$22</f>
        <v/>
      </c>
      <c r="DV22" s="108" t="n"/>
      <c r="DW22" s="122">
        <f>DV22*100/$E$22</f>
        <v/>
      </c>
      <c r="DX22" s="108" t="n"/>
      <c r="DY22" s="122">
        <f>DX22*100/$E$22</f>
        <v/>
      </c>
      <c r="DZ22" s="108" t="n"/>
      <c r="EA22" s="122">
        <f>DZ22*100/$E$22</f>
        <v/>
      </c>
      <c r="EB22" s="108" t="n"/>
      <c r="EC22" s="122">
        <f>EB22*100/$E$22</f>
        <v/>
      </c>
      <c r="ED22" s="108" t="n"/>
      <c r="EE22" s="122">
        <f>ED22*100/$E$22</f>
        <v/>
      </c>
      <c r="EF22" s="108" t="n"/>
      <c r="EG22" s="122">
        <f>EF22*100/$E$22</f>
        <v/>
      </c>
      <c r="EH22" s="108" t="n"/>
      <c r="EI22" s="107">
        <f>EH22*100/$E$22</f>
        <v/>
      </c>
      <c r="EJ22" s="108" t="n"/>
      <c r="EK22" s="107">
        <f>EJ22*100/$E$22</f>
        <v/>
      </c>
      <c r="EL22" s="108" t="n"/>
      <c r="EM22" s="107">
        <f>EL22*100/$E$22</f>
        <v/>
      </c>
      <c r="EN22" s="108" t="n"/>
      <c r="EO22" s="107">
        <f>EN22*100/$E$22</f>
        <v/>
      </c>
      <c r="EP22" s="108" t="n"/>
      <c r="EQ22" s="107">
        <f>EP22*100/$E$22</f>
        <v/>
      </c>
      <c r="ER22" s="108" t="n"/>
      <c r="ES22" s="107">
        <f>ER22*100/$E$22</f>
        <v/>
      </c>
      <c r="ET22" s="108" t="n"/>
      <c r="EU22" s="107">
        <f>ET22*100/$E$22</f>
        <v/>
      </c>
      <c r="EV22" s="108" t="n"/>
      <c r="EW22" s="122">
        <f>EV22*100/$E$22</f>
        <v/>
      </c>
      <c r="EX22" s="108" t="n"/>
      <c r="EY22" s="122">
        <f>EX22*100/$E$22</f>
        <v/>
      </c>
      <c r="EZ22" s="108" t="n"/>
      <c r="FA22" s="122">
        <f>EZ22*100/$E$22</f>
        <v/>
      </c>
      <c r="FB22" s="108" t="n"/>
      <c r="FC22" s="122">
        <f>FB22*100/$E$22</f>
        <v/>
      </c>
      <c r="FD22" s="108" t="n"/>
      <c r="FE22" s="122">
        <f>FD22*100/$E$22</f>
        <v/>
      </c>
      <c r="FF22" s="108" t="n"/>
      <c r="FG22" s="122">
        <f>FF22*100/$E$22</f>
        <v/>
      </c>
      <c r="FH22" s="108" t="n"/>
      <c r="FI22" s="122">
        <f>FH22*100/$E$22</f>
        <v/>
      </c>
      <c r="FJ22" s="108" t="n"/>
      <c r="FK22" s="122">
        <f>FJ22*100/$E$22</f>
        <v/>
      </c>
      <c r="FL22" s="108" t="n"/>
      <c r="FM22" s="122">
        <f>FL22*100/$E$22</f>
        <v/>
      </c>
      <c r="FN22" s="108" t="n"/>
      <c r="FO22" s="122">
        <f>FN22*100/$E$22</f>
        <v/>
      </c>
      <c r="FP22" s="108" t="n"/>
      <c r="FQ22" s="107">
        <f>FP22*100/$E$22</f>
        <v/>
      </c>
      <c r="FR22" s="108" t="n"/>
      <c r="FS22" s="107">
        <f>FR22*100/$E$22</f>
        <v/>
      </c>
      <c r="FT22" s="108" t="n"/>
      <c r="FU22" s="107">
        <f>FT22*100/$E$22</f>
        <v/>
      </c>
      <c r="FV22" s="108" t="n"/>
      <c r="FW22" s="107">
        <f>FV22*100/$E$22</f>
        <v/>
      </c>
      <c r="FX22" s="108" t="n"/>
      <c r="FY22" s="107">
        <f>FX22*100/$E$22</f>
        <v/>
      </c>
      <c r="FZ22" s="108" t="n"/>
      <c r="GA22" s="107">
        <f>FZ22*100/$E$22</f>
        <v/>
      </c>
      <c r="GB22" s="108" t="n"/>
      <c r="GC22" s="107">
        <f>GB22*100/$E$22</f>
        <v/>
      </c>
      <c r="GD22" s="108" t="n"/>
      <c r="GE22" s="107">
        <f>GD22*100/$E$22</f>
        <v/>
      </c>
      <c r="GF22" s="108" t="n"/>
      <c r="GG22" s="107">
        <f>GF22*100/$E$22</f>
        <v/>
      </c>
      <c r="GH22" s="108" t="n"/>
      <c r="GI22" s="107">
        <f>GH22*100/$E$22</f>
        <v/>
      </c>
      <c r="GJ22" s="108" t="n"/>
      <c r="GK22" s="122">
        <f>GJ22*100/$E$22</f>
        <v/>
      </c>
      <c r="GL22" s="108" t="n"/>
      <c r="GM22" s="107">
        <f>GL22*100/$E$22</f>
        <v/>
      </c>
      <c r="GN22" s="108" t="n"/>
      <c r="GO22" s="122">
        <f>GN22*100/$E$22</f>
        <v/>
      </c>
      <c r="GP22" s="108" t="n"/>
      <c r="GQ22" s="107">
        <f>GP22*100/$E$22</f>
        <v/>
      </c>
      <c r="GR22" s="108" t="n"/>
      <c r="GS22" s="122">
        <f>GR22*100/$E$22</f>
        <v/>
      </c>
      <c r="GT22" s="108" t="n"/>
      <c r="GU22" s="122">
        <f>GT22*100/$E$22</f>
        <v/>
      </c>
      <c r="GV22" s="108" t="n"/>
      <c r="GW22" s="107">
        <f>GV22*100/$E$22</f>
        <v/>
      </c>
      <c r="GX22" s="108" t="n"/>
      <c r="GY22" s="107">
        <f>GX22*100/$E$22</f>
        <v/>
      </c>
      <c r="GZ22" s="108" t="n"/>
      <c r="HA22" s="107">
        <f>GZ22*100/$E$22</f>
        <v/>
      </c>
      <c r="HB22" s="108" t="n"/>
      <c r="HC22" s="107">
        <f>HB22*100/$E$22</f>
        <v/>
      </c>
      <c r="HD22" s="108" t="n"/>
      <c r="HE22" s="107">
        <f>HD22*100/$E$22</f>
        <v/>
      </c>
      <c r="HF22" s="108" t="n"/>
      <c r="HG22" s="107">
        <f>HF22*100/$E$22</f>
        <v/>
      </c>
      <c r="HH22" s="108" t="n"/>
      <c r="HI22" s="107">
        <f>HH22*100/$E$22</f>
        <v/>
      </c>
      <c r="HJ22" s="108" t="n"/>
      <c r="HK22" s="107">
        <f>HJ22*100/$E$22</f>
        <v/>
      </c>
      <c r="HL22" s="108" t="n"/>
      <c r="HM22" s="107">
        <f>HL22*100/$E$22</f>
        <v/>
      </c>
      <c r="HN22" s="108" t="n"/>
      <c r="HO22" s="107">
        <f>HN22*100/$E$22</f>
        <v/>
      </c>
      <c r="HP22" s="108" t="n"/>
      <c r="HQ22" s="107">
        <f>HP22*100/$E$22</f>
        <v/>
      </c>
      <c r="HR22" s="108" t="n"/>
      <c r="HS22" s="107">
        <f>HR22*100/$E$22</f>
        <v/>
      </c>
      <c r="HT22" s="108" t="n"/>
      <c r="HU22" s="107">
        <f>HT22*100/$E$22</f>
        <v/>
      </c>
      <c r="HV22" s="108" t="n"/>
      <c r="HW22" s="107">
        <f>HV22*100/$E$22</f>
        <v/>
      </c>
      <c r="HX22" s="108" t="n"/>
      <c r="HY22" s="107">
        <f>HX22*100/$E$22</f>
        <v/>
      </c>
      <c r="HZ22" s="108" t="n"/>
      <c r="IA22" s="122">
        <f>HZ22*100/$E$22</f>
        <v/>
      </c>
      <c r="IB22" s="108" t="n"/>
      <c r="IC22" s="122">
        <f>IB22*100/$E$22</f>
        <v/>
      </c>
      <c r="ID22" s="108" t="n"/>
      <c r="IE22" s="122">
        <f>ID22*100/$E$22</f>
        <v/>
      </c>
      <c r="IF22" s="108" t="n"/>
      <c r="IG22" s="122">
        <f>IF22*100/$E$22</f>
        <v/>
      </c>
      <c r="IH22" s="108" t="n"/>
      <c r="II22" s="122">
        <f>IH22*100/$E$22</f>
        <v/>
      </c>
      <c r="IJ22" s="108" t="n"/>
      <c r="IK22" s="122">
        <f>IJ22*100/$E$22</f>
        <v/>
      </c>
      <c r="IL22" s="108" t="n"/>
      <c r="IM22" s="107">
        <f>IL22*100/$E$22</f>
        <v/>
      </c>
      <c r="IN22" s="108" t="n"/>
      <c r="IO22" s="107">
        <f>IN22*100/$E$22</f>
        <v/>
      </c>
      <c r="IP22" s="108" t="n"/>
      <c r="IQ22" s="122">
        <f>IP22*100/$E$22</f>
        <v/>
      </c>
      <c r="IR22" s="108" t="n"/>
      <c r="IS22" s="122">
        <f>IR22*100/$E$22</f>
        <v/>
      </c>
      <c r="IT22" s="108" t="n"/>
      <c r="IU22" s="122">
        <f>IT22*100/$E$22</f>
        <v/>
      </c>
      <c r="IV22" s="108" t="n"/>
      <c r="IW22" s="122">
        <f>IV22*100/$E$22</f>
        <v/>
      </c>
      <c r="IX22" s="108" t="n"/>
      <c r="IY22" s="122">
        <f>IX22*100/$E$22</f>
        <v/>
      </c>
      <c r="IZ22" s="108" t="n"/>
      <c r="JA22" s="122">
        <f>IZ22*100/$E$22</f>
        <v/>
      </c>
      <c r="JB22" s="108" t="n"/>
      <c r="JC22" s="122">
        <f>JB22*100/$E$22</f>
        <v/>
      </c>
      <c r="JD22" s="108" t="n"/>
      <c r="JE22" s="122">
        <f>JD22*100/$E$22</f>
        <v/>
      </c>
      <c r="JF22" s="108" t="n"/>
      <c r="JG22" s="107">
        <f>JF22*100/$E$22</f>
        <v/>
      </c>
      <c r="JH22" s="108" t="n"/>
      <c r="JI22" s="122">
        <f>JH22*100/$E$22</f>
        <v/>
      </c>
      <c r="JJ22" s="108" t="n"/>
      <c r="JK22" s="107">
        <f>JJ22*100/$E$22</f>
        <v/>
      </c>
      <c r="JL22" s="108" t="n"/>
      <c r="JM22" s="122">
        <f>JL22*100/$E$22</f>
        <v/>
      </c>
      <c r="JN22" s="108" t="n"/>
      <c r="JO22" s="107">
        <f>JN22*100/$E$22</f>
        <v/>
      </c>
      <c r="JP22" s="108" t="n"/>
      <c r="JQ22" s="107">
        <f>JP22*100/$E$22</f>
        <v/>
      </c>
      <c r="JR22" s="108" t="n"/>
      <c r="JS22" s="107">
        <f>JR22*100/$E$22</f>
        <v/>
      </c>
      <c r="JT22" s="108" t="n"/>
      <c r="JU22" s="107">
        <f>JT22*100/$E$22</f>
        <v/>
      </c>
      <c r="JV22" s="108" t="n"/>
      <c r="JW22" s="107">
        <f>JV22*100/$E$22</f>
        <v/>
      </c>
      <c r="JX22" s="108" t="n"/>
      <c r="JY22" s="107">
        <f>JX22*100/$E$22</f>
        <v/>
      </c>
      <c r="JZ22" s="55">
        <f>JN22+JP22+JR22+JT22+JV22+JX22</f>
        <v/>
      </c>
      <c r="KA22" s="53">
        <f>JO22+JQ22+JS22+JU22+JW22+JY22</f>
        <v/>
      </c>
      <c r="KB22" s="64">
        <f>H22+J22+L22+N22+P22+R22+T22+V22+X22+Z22+AB22+AD22+AF22+AH22+AJ22+AL22+AN22+AP22+AR22+AT22+AV22+AX22+AZ22+BB22+BD22+BF22+BH22+BJ22+BL22+BN22+BP22+BR22+BT22+BV22+BX22+BZ22+CB22+CD22+CF22+CH22+CZ22+DB22+DD22+DF22+DH22+DJ22+DL22+DN22+DP22+DR22+DT22+DV22+DX22+DZ22+EB22+ED22+EF22+EH22+EJ22+EL22+EN22+EP22+ER22+ET22+EV22+FN22+FP22+FR22+FT22+FV22+FX22+FZ22+GB22+GD22+GF22+GH22+GJ22+GL22+GN22+GP22+GR22+GT22+GV22+GX22+GZ22+HB22+HD22+HF22+HH22+HJ22+HL22+HN22+HP22+HR22+HT22+HV22+HX22+HZ22+IB22+ID22+IF22+IH22+IJ22+IL22+IN22+IP22+IR22+IT22+IV22+IX22+IZ22+JB22+JD22+JF22+JH22+JJ22+JL22+JZ22+CJ22+CL22+CN22+CP22+CR22+CT22+CV22+CX22+EX22+EZ22+FB22+FD22+FF22+FH22+FJ22+FL22</f>
        <v/>
      </c>
      <c r="KC22" s="66">
        <f>I22+K22+M22+O22+Q22+S22+U22+W22+Y22+AA22+AC22+AE22+AG22+AI22+AK22+AM22+AO22+AQ22+AS22+AU22+AW22+AY22+BA22+BC22+BE22+BG22+BI22+BK22+BM22+BO22+BQ22+BS22+BU22+BW22+BY22+CA22+CC22+CE22+CG22+CI22+DA22+DC22+DE22+DG22+DI22+DK22+DM22+DO22+DQ22+DS22+DU22+DW22+DY22+EA22+EC22+EE22+EG22+EI22+EK22+EM22+EO22+EQ22+ES22+EU22+EW22+FO22+FS22+FU22+FW22+FQ22+FY22+GA22+GC22+GE22+GG22+GI22+GK22+GM22+GO22+GQ22+GS22+GU22+GW22+GY22+HA22+HC22+HE22+HG22+HI22+HK22+HM22+HO22+HQ22+HS22+HU22+HW22+HY22+IA22+IC22+IE22+IG22+II22+IK22+IM22+IO22+IQ22+IS22+IU22+IW22+IY22+JA22+JC22+JE22+JG22+JI22+JK22+JM22+KA22+CK22+CM22+CO22+CQ22+CS22+CU22+CW22+CY22+EY22+FA22+FC22+FE22+FG22+FI22+FK22+FM22</f>
        <v/>
      </c>
      <c r="KD22" s="44">
        <f>JO22+JQ22+JS22+JU22+JW22+JY22</f>
        <v/>
      </c>
      <c r="KE22" s="45">
        <f>KB22=E22</f>
        <v/>
      </c>
      <c r="KF22" s="101">
        <f>E22-KB22</f>
        <v/>
      </c>
      <c r="KG22" s="17" t="n"/>
    </row>
    <row r="23" ht="21.75" customFormat="1" customHeight="1" s="17">
      <c r="A23" s="130">
        <f>A22+1</f>
        <v/>
      </c>
      <c r="B23" s="199" t="inlineStr">
        <is>
          <t>Енин К.С.</t>
        </is>
      </c>
      <c r="C23" s="200" t="inlineStr">
        <is>
          <t>токарь</t>
        </is>
      </c>
      <c r="D23" s="177">
        <f>$D$5</f>
        <v/>
      </c>
      <c r="E23" s="203" t="n"/>
      <c r="F23" s="178" t="n">
        <v>101150.45</v>
      </c>
      <c r="G23" s="52">
        <f>F23/D23</f>
        <v/>
      </c>
      <c r="H23" s="125" t="n"/>
      <c r="I23" s="107">
        <f>H23*100/$E$23</f>
        <v/>
      </c>
      <c r="J23" s="108" t="n"/>
      <c r="K23" s="107">
        <f>J23*100/$E$23</f>
        <v/>
      </c>
      <c r="L23" s="108" t="n"/>
      <c r="M23" s="107">
        <f>L23*100/$E$23</f>
        <v/>
      </c>
      <c r="N23" s="108" t="n"/>
      <c r="O23" s="107">
        <f>N23*100/$E$23</f>
        <v/>
      </c>
      <c r="P23" s="108" t="n"/>
      <c r="Q23" s="122">
        <f>P23*100/$E$23</f>
        <v/>
      </c>
      <c r="R23" s="108" t="n"/>
      <c r="S23" s="122">
        <f>R23*100/$E$23</f>
        <v/>
      </c>
      <c r="T23" s="108" t="n"/>
      <c r="U23" s="107">
        <f>T23*100/$E$23</f>
        <v/>
      </c>
      <c r="V23" s="108" t="n"/>
      <c r="W23" s="107">
        <f>V23*100/$E$23</f>
        <v/>
      </c>
      <c r="X23" s="108" t="n"/>
      <c r="Y23" s="107">
        <f>X23*100/$E$23</f>
        <v/>
      </c>
      <c r="Z23" s="108" t="n"/>
      <c r="AA23" s="107">
        <f>Z23*100/$E$23</f>
        <v/>
      </c>
      <c r="AB23" s="108" t="n"/>
      <c r="AC23" s="107">
        <f>AB23*100/$E$23</f>
        <v/>
      </c>
      <c r="AD23" s="108" t="n"/>
      <c r="AE23" s="122">
        <f>AD23*100/$E$23</f>
        <v/>
      </c>
      <c r="AF23" s="108" t="n"/>
      <c r="AG23" s="122">
        <f>AF23*100/$E$23</f>
        <v/>
      </c>
      <c r="AH23" s="108" t="n"/>
      <c r="AI23" s="107">
        <f>AH23*100/$E$23</f>
        <v/>
      </c>
      <c r="AJ23" s="108" t="n"/>
      <c r="AK23" s="107">
        <f>AJ23*100/$E$23</f>
        <v/>
      </c>
      <c r="AL23" s="108" t="n"/>
      <c r="AM23" s="107">
        <f>AL23*100/$E$23</f>
        <v/>
      </c>
      <c r="AN23" s="108" t="n"/>
      <c r="AO23" s="107">
        <f>AN23*100/$E$23</f>
        <v/>
      </c>
      <c r="AP23" s="108" t="n"/>
      <c r="AQ23" s="107">
        <f>AP23*100/$E$23</f>
        <v/>
      </c>
      <c r="AR23" s="108" t="n"/>
      <c r="AS23" s="107">
        <f>AR23*100/$E$23</f>
        <v/>
      </c>
      <c r="AT23" s="108" t="n"/>
      <c r="AU23" s="90">
        <f>AT23*100/$E$23</f>
        <v/>
      </c>
      <c r="AV23" s="108" t="n"/>
      <c r="AW23" s="107">
        <f>AV23*100/$E$23</f>
        <v/>
      </c>
      <c r="AX23" s="108" t="n"/>
      <c r="AY23" s="107">
        <f>AX23*100/$E$23</f>
        <v/>
      </c>
      <c r="AZ23" s="108" t="n"/>
      <c r="BA23" s="107">
        <f>AZ23*100/$E$23</f>
        <v/>
      </c>
      <c r="BB23" s="108" t="n"/>
      <c r="BC23" s="107">
        <f>BB23*100/$E$23</f>
        <v/>
      </c>
      <c r="BD23" s="108" t="n"/>
      <c r="BE23" s="107">
        <f>BD23*100/$E$23</f>
        <v/>
      </c>
      <c r="BF23" s="108" t="n"/>
      <c r="BG23" s="107">
        <f>BF23*100/$E$23</f>
        <v/>
      </c>
      <c r="BH23" s="108" t="n"/>
      <c r="BI23" s="107">
        <f>BH23*100/$E$23</f>
        <v/>
      </c>
      <c r="BJ23" s="108" t="n"/>
      <c r="BK23" s="107">
        <f>BJ23*100/$E$23</f>
        <v/>
      </c>
      <c r="BL23" s="108" t="n"/>
      <c r="BM23" s="107">
        <f>BL23*100/$E$23</f>
        <v/>
      </c>
      <c r="BN23" s="108" t="n"/>
      <c r="BO23" s="107">
        <f>BN23*100/$E$23</f>
        <v/>
      </c>
      <c r="BP23" s="108" t="n"/>
      <c r="BQ23" s="107">
        <f>BP23*100/$E$23</f>
        <v/>
      </c>
      <c r="BR23" s="108" t="n"/>
      <c r="BS23" s="107">
        <f>BR23*100/$E$23</f>
        <v/>
      </c>
      <c r="BT23" s="108" t="n"/>
      <c r="BU23" s="107">
        <f>BT23*100/$E$23</f>
        <v/>
      </c>
      <c r="BV23" s="108" t="n"/>
      <c r="BW23" s="107">
        <f>BV23*100/$E$23</f>
        <v/>
      </c>
      <c r="BX23" s="108" t="n"/>
      <c r="BY23" s="107">
        <f>BX23*100/$E$23</f>
        <v/>
      </c>
      <c r="BZ23" s="108" t="n"/>
      <c r="CA23" s="107">
        <f>BZ23*100/$E$23</f>
        <v/>
      </c>
      <c r="CB23" s="108" t="n"/>
      <c r="CC23" s="107">
        <f>CB23*100/$E$23</f>
        <v/>
      </c>
      <c r="CD23" s="108" t="n"/>
      <c r="CE23" s="107">
        <f>CD23*100/$E$23</f>
        <v/>
      </c>
      <c r="CF23" s="108" t="n"/>
      <c r="CG23" s="107">
        <f>CF23*100/$E$23</f>
        <v/>
      </c>
      <c r="CH23" s="108" t="n"/>
      <c r="CI23" s="107">
        <f>CH23*100/$E$23</f>
        <v/>
      </c>
      <c r="CJ23" s="108" t="n"/>
      <c r="CK23" s="107">
        <f>CJ23*100/$E$23</f>
        <v/>
      </c>
      <c r="CL23" s="108" t="n"/>
      <c r="CM23" s="107">
        <f>CL23*100/$E$23</f>
        <v/>
      </c>
      <c r="CN23" s="108" t="n"/>
      <c r="CO23" s="122">
        <f>CN23*100/$E$23</f>
        <v/>
      </c>
      <c r="CP23" s="108" t="n"/>
      <c r="CQ23" s="107">
        <f>CP23*100/$E$23</f>
        <v/>
      </c>
      <c r="CR23" s="108" t="n"/>
      <c r="CS23" s="122">
        <f>CR23*100/$E$23</f>
        <v/>
      </c>
      <c r="CT23" s="108" t="n"/>
      <c r="CU23" s="122">
        <f>CT23*100/$E$23</f>
        <v/>
      </c>
      <c r="CV23" s="108" t="n"/>
      <c r="CW23" s="122">
        <f>CV23*100/$E$23</f>
        <v/>
      </c>
      <c r="CX23" s="108" t="n"/>
      <c r="CY23" s="122">
        <f>CX23*100/$E$23</f>
        <v/>
      </c>
      <c r="CZ23" s="108" t="n"/>
      <c r="DA23" s="122">
        <f>CZ23*100/$E$23</f>
        <v/>
      </c>
      <c r="DB23" s="108" t="n"/>
      <c r="DC23" s="122">
        <f>DB23*100/$E$23</f>
        <v/>
      </c>
      <c r="DD23" s="108" t="n"/>
      <c r="DE23" s="122">
        <f>DD23*100/$E$23</f>
        <v/>
      </c>
      <c r="DF23" s="108" t="n"/>
      <c r="DG23" s="122">
        <f>DF23*100/$E$23</f>
        <v/>
      </c>
      <c r="DH23" s="108" t="n"/>
      <c r="DI23" s="122">
        <f>DH23*100/$E$23</f>
        <v/>
      </c>
      <c r="DJ23" s="108" t="n"/>
      <c r="DK23" s="122">
        <f>DJ23*100/$E$23</f>
        <v/>
      </c>
      <c r="DL23" s="108" t="n"/>
      <c r="DM23" s="122">
        <f>DL23*100/$E$23</f>
        <v/>
      </c>
      <c r="DN23" s="108" t="n"/>
      <c r="DO23" s="122">
        <f>DN23*100/$E$23</f>
        <v/>
      </c>
      <c r="DP23" s="108" t="n"/>
      <c r="DQ23" s="122">
        <f>DP23*100/$E$23</f>
        <v/>
      </c>
      <c r="DR23" s="108" t="n"/>
      <c r="DS23" s="122">
        <f>DR23*100/$E$23</f>
        <v/>
      </c>
      <c r="DT23" s="108" t="n"/>
      <c r="DU23" s="122">
        <f>DT23*100/$E$23</f>
        <v/>
      </c>
      <c r="DV23" s="108" t="n"/>
      <c r="DW23" s="122">
        <f>DV23*100/$E$23</f>
        <v/>
      </c>
      <c r="DX23" s="108" t="n"/>
      <c r="DY23" s="122">
        <f>DX23*100/$E$23</f>
        <v/>
      </c>
      <c r="DZ23" s="108" t="n"/>
      <c r="EA23" s="122">
        <f>DZ23*100/$E$23</f>
        <v/>
      </c>
      <c r="EB23" s="108" t="n"/>
      <c r="EC23" s="122">
        <f>EB23*100/$E$23</f>
        <v/>
      </c>
      <c r="ED23" s="108" t="n"/>
      <c r="EE23" s="122">
        <f>ED23*100/$E$23</f>
        <v/>
      </c>
      <c r="EF23" s="108" t="n"/>
      <c r="EG23" s="122">
        <f>EF23*100/$E$23</f>
        <v/>
      </c>
      <c r="EH23" s="108" t="n"/>
      <c r="EI23" s="122">
        <f>EH23*100/$E$23</f>
        <v/>
      </c>
      <c r="EJ23" s="108" t="n"/>
      <c r="EK23" s="122">
        <f>EJ23*100/$E$23</f>
        <v/>
      </c>
      <c r="EL23" s="108" t="n"/>
      <c r="EM23" s="122">
        <f>EL23*100/$E$23</f>
        <v/>
      </c>
      <c r="EN23" s="108" t="n"/>
      <c r="EO23" s="122">
        <f>EN23*100/$E$23</f>
        <v/>
      </c>
      <c r="EP23" s="108" t="n"/>
      <c r="EQ23" s="122">
        <f>EP23*100/$E$23</f>
        <v/>
      </c>
      <c r="ER23" s="108" t="n"/>
      <c r="ES23" s="122">
        <f>ER23*100/$E$23</f>
        <v/>
      </c>
      <c r="ET23" s="108" t="n"/>
      <c r="EU23" s="122">
        <f>ET23*100/$E$23</f>
        <v/>
      </c>
      <c r="EV23" s="108" t="n"/>
      <c r="EW23" s="122">
        <f>EV23*100/$E$23</f>
        <v/>
      </c>
      <c r="EX23" s="108" t="n"/>
      <c r="EY23" s="122">
        <f>EX23*100/$E$23</f>
        <v/>
      </c>
      <c r="EZ23" s="108" t="n"/>
      <c r="FA23" s="122">
        <f>EZ23*100/$E$23</f>
        <v/>
      </c>
      <c r="FB23" s="108" t="n"/>
      <c r="FC23" s="122">
        <f>FB23*100/$E$23</f>
        <v/>
      </c>
      <c r="FD23" s="108" t="n"/>
      <c r="FE23" s="122">
        <f>FD23*100/$E$23</f>
        <v/>
      </c>
      <c r="FF23" s="108" t="n"/>
      <c r="FG23" s="122">
        <f>FF23*100/$E$23</f>
        <v/>
      </c>
      <c r="FH23" s="108" t="n"/>
      <c r="FI23" s="122">
        <f>FH23*100/$E$23</f>
        <v/>
      </c>
      <c r="FJ23" s="108" t="n"/>
      <c r="FK23" s="122">
        <f>FJ23*100/$E$23</f>
        <v/>
      </c>
      <c r="FL23" s="108" t="n"/>
      <c r="FM23" s="122">
        <f>FL23*100/$E$23</f>
        <v/>
      </c>
      <c r="FN23" s="108" t="n"/>
      <c r="FO23" s="122">
        <f>FN23*100/$E$23</f>
        <v/>
      </c>
      <c r="FP23" s="108" t="n"/>
      <c r="FQ23" s="122">
        <f>FP23*100/$E$23</f>
        <v/>
      </c>
      <c r="FR23" s="108" t="n"/>
      <c r="FS23" s="122">
        <f>FR23*100/$E$23</f>
        <v/>
      </c>
      <c r="FT23" s="108" t="n"/>
      <c r="FU23" s="122">
        <f>FT23*100/$E$23</f>
        <v/>
      </c>
      <c r="FV23" s="108" t="n"/>
      <c r="FW23" s="122">
        <f>FV23*100/$E$23</f>
        <v/>
      </c>
      <c r="FX23" s="108" t="n"/>
      <c r="FY23" s="107">
        <f>FX23*100/$E$23</f>
        <v/>
      </c>
      <c r="FZ23" s="108" t="n"/>
      <c r="GA23" s="107">
        <f>FZ23*100/$E$23</f>
        <v/>
      </c>
      <c r="GB23" s="108" t="n"/>
      <c r="GC23" s="107">
        <f>GB23*100/$E$23</f>
        <v/>
      </c>
      <c r="GD23" s="108" t="n"/>
      <c r="GE23" s="107">
        <f>GD23*100/$E$23</f>
        <v/>
      </c>
      <c r="GF23" s="108" t="n"/>
      <c r="GG23" s="107">
        <f>GF23*100/$E$23</f>
        <v/>
      </c>
      <c r="GH23" s="108" t="n"/>
      <c r="GI23" s="107">
        <f>GH23*100/$E$23</f>
        <v/>
      </c>
      <c r="GJ23" s="108" t="n"/>
      <c r="GK23" s="122">
        <f>GJ23*100/$E$23</f>
        <v/>
      </c>
      <c r="GL23" s="108" t="n"/>
      <c r="GM23" s="107">
        <f>GL23*100/$E$23</f>
        <v/>
      </c>
      <c r="GN23" s="108" t="n"/>
      <c r="GO23" s="122">
        <f>GN23*100/$E$23</f>
        <v/>
      </c>
      <c r="GP23" s="108" t="n"/>
      <c r="GQ23" s="107">
        <f>GP23*100/$E$23</f>
        <v/>
      </c>
      <c r="GR23" s="108" t="n"/>
      <c r="GS23" s="122">
        <f>GR23*100/$E$23</f>
        <v/>
      </c>
      <c r="GT23" s="108" t="n"/>
      <c r="GU23" s="122">
        <f>GT23*100/$E$23</f>
        <v/>
      </c>
      <c r="GV23" s="108" t="n"/>
      <c r="GW23" s="122">
        <f>GV23*100/$E$23</f>
        <v/>
      </c>
      <c r="GX23" s="108" t="n"/>
      <c r="GY23" s="107">
        <f>GX23*100/$E$23</f>
        <v/>
      </c>
      <c r="GZ23" s="108" t="n"/>
      <c r="HA23" s="107">
        <f>GZ23*100/$E$23</f>
        <v/>
      </c>
      <c r="HB23" s="108" t="n"/>
      <c r="HC23" s="107">
        <f>HB23*100/$E$23</f>
        <v/>
      </c>
      <c r="HD23" s="108" t="n"/>
      <c r="HE23" s="107">
        <f>HD23*100/$E$23</f>
        <v/>
      </c>
      <c r="HF23" s="108" t="n"/>
      <c r="HG23" s="107">
        <f>HF23*100/$E$23</f>
        <v/>
      </c>
      <c r="HH23" s="108" t="n"/>
      <c r="HI23" s="107">
        <f>HH23*100/$E$23</f>
        <v/>
      </c>
      <c r="HJ23" s="108" t="n"/>
      <c r="HK23" s="107">
        <f>HJ23*100/$E$23</f>
        <v/>
      </c>
      <c r="HL23" s="108" t="n"/>
      <c r="HM23" s="107">
        <f>HL23*100/$E$23</f>
        <v/>
      </c>
      <c r="HN23" s="108" t="n"/>
      <c r="HO23" s="107">
        <f>HN23*100/$E$23</f>
        <v/>
      </c>
      <c r="HP23" s="108" t="n"/>
      <c r="HQ23" s="107">
        <f>HP23*100/$E$23</f>
        <v/>
      </c>
      <c r="HR23" s="108" t="n"/>
      <c r="HS23" s="107">
        <f>HR23*100/$E$23</f>
        <v/>
      </c>
      <c r="HT23" s="108" t="n"/>
      <c r="HU23" s="107">
        <f>HT23*100/$E$23</f>
        <v/>
      </c>
      <c r="HV23" s="108" t="n"/>
      <c r="HW23" s="107">
        <f>HV23*100/$E$23</f>
        <v/>
      </c>
      <c r="HX23" s="108" t="n"/>
      <c r="HY23" s="107">
        <f>HX23*100/$E$23</f>
        <v/>
      </c>
      <c r="HZ23" s="108" t="n"/>
      <c r="IA23" s="122">
        <f>HZ23*100/$E$23</f>
        <v/>
      </c>
      <c r="IB23" s="108" t="n"/>
      <c r="IC23" s="122">
        <f>IB23*100/$E$23</f>
        <v/>
      </c>
      <c r="ID23" s="108" t="n"/>
      <c r="IE23" s="122">
        <f>ID23*100/$E$23</f>
        <v/>
      </c>
      <c r="IF23" s="108" t="n"/>
      <c r="IG23" s="122">
        <f>IF23*100/$E$23</f>
        <v/>
      </c>
      <c r="IH23" s="108" t="n"/>
      <c r="II23" s="122">
        <f>IH23*100/$E$23</f>
        <v/>
      </c>
      <c r="IJ23" s="108" t="n"/>
      <c r="IK23" s="122">
        <f>IJ23*100/$E$23</f>
        <v/>
      </c>
      <c r="IL23" s="108" t="n"/>
      <c r="IM23" s="107">
        <f>IL23*100/$E$23</f>
        <v/>
      </c>
      <c r="IN23" s="108" t="n"/>
      <c r="IO23" s="107">
        <f>IN23*100/$E$23</f>
        <v/>
      </c>
      <c r="IP23" s="108" t="n"/>
      <c r="IQ23" s="122">
        <f>IP23*100/$E$23</f>
        <v/>
      </c>
      <c r="IR23" s="108" t="n"/>
      <c r="IS23" s="122">
        <f>IR23*100/$E$23</f>
        <v/>
      </c>
      <c r="IT23" s="108" t="n"/>
      <c r="IU23" s="122">
        <f>IT23*100/$E$23</f>
        <v/>
      </c>
      <c r="IV23" s="108" t="n"/>
      <c r="IW23" s="122">
        <f>IV23*100/$E$23</f>
        <v/>
      </c>
      <c r="IX23" s="108" t="n"/>
      <c r="IY23" s="122">
        <f>IX23*100/$E$23</f>
        <v/>
      </c>
      <c r="IZ23" s="108" t="n"/>
      <c r="JA23" s="122">
        <f>IZ23*100/$E$23</f>
        <v/>
      </c>
      <c r="JB23" s="108" t="n"/>
      <c r="JC23" s="122">
        <f>JB23*100/$E$23</f>
        <v/>
      </c>
      <c r="JD23" s="108" t="n"/>
      <c r="JE23" s="122">
        <f>JD23*100/$E$23</f>
        <v/>
      </c>
      <c r="JF23" s="108" t="n"/>
      <c r="JG23" s="122">
        <f>JF23*100/$E$23</f>
        <v/>
      </c>
      <c r="JH23" s="108" t="n"/>
      <c r="JI23" s="122">
        <f>JH23*100/$E$23</f>
        <v/>
      </c>
      <c r="JJ23" s="108" t="n"/>
      <c r="JK23" s="122">
        <f>JJ23*100/$E$23</f>
        <v/>
      </c>
      <c r="JL23" s="108" t="n"/>
      <c r="JM23" s="122">
        <f>JL23*100/$E$23</f>
        <v/>
      </c>
      <c r="JN23" s="108" t="n"/>
      <c r="JO23" s="122">
        <f>JN23*100/$E$23</f>
        <v/>
      </c>
      <c r="JP23" s="108" t="n"/>
      <c r="JQ23" s="122">
        <f>JP23*100/$E$23</f>
        <v/>
      </c>
      <c r="JR23" s="108" t="n"/>
      <c r="JS23" s="122">
        <f>JR23*100/$E$23</f>
        <v/>
      </c>
      <c r="JT23" s="108" t="n"/>
      <c r="JU23" s="122">
        <f>JT23*100/$E$23</f>
        <v/>
      </c>
      <c r="JV23" s="108" t="n"/>
      <c r="JW23" s="122">
        <f>JV23*100/$E$23</f>
        <v/>
      </c>
      <c r="JX23" s="108" t="n"/>
      <c r="JY23" s="122">
        <f>JX23*100/$E$23</f>
        <v/>
      </c>
      <c r="JZ23" s="55">
        <f>JN23+JP23+JR23+JT23+JV23+JX23</f>
        <v/>
      </c>
      <c r="KA23" s="53">
        <f>JO23+JQ23+JS23+JU23+JW23+JY23</f>
        <v/>
      </c>
      <c r="KB23" s="64">
        <f>H23+J23+L23+N23+P23+R23+T23+V23+X23+Z23+AB23+AD23+AF23+AH23+AJ23+AL23+AN23+AP23+AR23+AT23+AV23+AX23+AZ23+BB23+BD23+BF23+BH23+BJ23+BL23+BN23+BP23+BR23+BT23+BV23+BX23+BZ23+CB23+CD23+CF23+CH23+CZ23+DB23+DD23+DF23+DH23+DJ23+DL23+DN23+DP23+DR23+DT23+DV23+DX23+DZ23+EB23+ED23+EF23+EH23+EJ23+EL23+EN23+EP23+ER23+ET23+EV23+FN23+FP23+FR23+FT23+FV23+FX23+FZ23+GB23+GD23+GF23+GH23+GJ23+GL23+GN23+GP23+GR23+GT23+GV23+GX23+GZ23+HB23+HD23+HF23+HH23+HJ23+HL23+HN23+HP23+HR23+HT23+HV23+HX23+HZ23+IB23+ID23+IF23+IH23+IJ23+IL23+IN23+IP23+IR23+IT23+IV23+IX23+IZ23+JB23+JD23+JF23+JH23+JJ23+JL23+JZ23+CJ23+CL23+CN23+CP23+CR23+CT23+CV23+CX23+EX23+EZ23+FB23+FD23+FF23+FH23+FJ23+FL23</f>
        <v/>
      </c>
      <c r="KC23" s="66">
        <f>I23+K23+M23+O23+Q23+S23+U23+W23+Y23+AA23+AC23+AE23+AG23+AI23+AK23+AM23+AO23+AQ23+AS23+AU23+AW23+AY23+BA23+BC23+BE23+BG23+BI23+BK23+BM23+BO23+BQ23+BS23+BU23+BW23+BY23+CA23+CC23+CE23+CG23+CI23+DA23+DC23+DE23+DG23+DI23+DK23+DM23+DO23+DQ23+DS23+DU23+DW23+DY23+EA23+EC23+EE23+EG23+EI23+EK23+EM23+EO23+EQ23+ES23+EU23+EW23+FO23+FS23+FU23+FW23+FQ23+FY23+GA23+GC23+GE23+GG23+GI23+GK23+GM23+GO23+GQ23+GS23+GU23+GW23+GY23+HA23+HC23+HE23+HG23+HI23+HK23+HM23+HO23+HQ23+HS23+HU23+HW23+HY23+IA23+IC23+IE23+IG23+II23+IK23+IM23+IO23+IQ23+IS23+IU23+IW23+IY23+JA23+JC23+JE23+JG23+JI23+JK23+JM23+KA23+CK23+CM23+CO23+CQ23+CS23+CU23+CW23+CY23+EY23+FA23+FC23+FE23+FG23+FI23+FK23+FM23</f>
        <v/>
      </c>
      <c r="KD23" s="44">
        <f>JO23+JQ23+JS23+JU23+JW23+JY23</f>
        <v/>
      </c>
      <c r="KE23" s="45">
        <f>KB23=E23</f>
        <v/>
      </c>
      <c r="KF23" s="101">
        <f>E23-KB23</f>
        <v/>
      </c>
      <c r="KG23" s="14" t="n"/>
    </row>
    <row r="24" ht="21.75" customFormat="1" customHeight="1" s="17">
      <c r="A24" s="130">
        <f>A23+1</f>
        <v/>
      </c>
      <c r="B24" s="199" t="inlineStr">
        <is>
          <t>Иванов А.И.</t>
        </is>
      </c>
      <c r="C24" s="200" t="inlineStr">
        <is>
          <t>токарь</t>
        </is>
      </c>
      <c r="D24" s="177">
        <f>$D$5</f>
        <v/>
      </c>
      <c r="E24" s="203" t="n"/>
      <c r="F24" s="178" t="n">
        <v>101150.45</v>
      </c>
      <c r="G24" s="52">
        <f>F24/D24</f>
        <v/>
      </c>
      <c r="H24" s="125" t="n"/>
      <c r="I24" s="122">
        <f>H24*100/$E$24</f>
        <v/>
      </c>
      <c r="J24" s="108" t="n"/>
      <c r="K24" s="122">
        <f>J24*100/$E$24</f>
        <v/>
      </c>
      <c r="L24" s="108" t="n"/>
      <c r="M24" s="122">
        <f>L24*100/$E$24</f>
        <v/>
      </c>
      <c r="N24" s="108" t="n"/>
      <c r="O24" s="122">
        <f>N24*100/$E$24</f>
        <v/>
      </c>
      <c r="P24" s="108" t="n"/>
      <c r="Q24" s="122">
        <f>P24*100/$E$24</f>
        <v/>
      </c>
      <c r="R24" s="108" t="n"/>
      <c r="S24" s="122">
        <f>R24*100/$E$24</f>
        <v/>
      </c>
      <c r="T24" s="108" t="n"/>
      <c r="U24" s="122">
        <f>T24*100/$E$24</f>
        <v/>
      </c>
      <c r="V24" s="108" t="n"/>
      <c r="W24" s="122">
        <f>V24*100/$E$24</f>
        <v/>
      </c>
      <c r="X24" s="108" t="n"/>
      <c r="Y24" s="122">
        <f>X24*100/$E$24</f>
        <v/>
      </c>
      <c r="Z24" s="108" t="n"/>
      <c r="AA24" s="122">
        <f>Z24*100/$E$24</f>
        <v/>
      </c>
      <c r="AB24" s="108" t="n"/>
      <c r="AC24" s="122">
        <f>AB24*100/$E$24</f>
        <v/>
      </c>
      <c r="AD24" s="108" t="n"/>
      <c r="AE24" s="122">
        <f>AD24*100/$E$24</f>
        <v/>
      </c>
      <c r="AF24" s="108" t="n"/>
      <c r="AG24" s="122">
        <f>AF24*100/$E$24</f>
        <v/>
      </c>
      <c r="AH24" s="108" t="n"/>
      <c r="AI24" s="122">
        <f>AH24*100/$E$24</f>
        <v/>
      </c>
      <c r="AJ24" s="108" t="n"/>
      <c r="AK24" s="122">
        <f>AJ24*100/$E$24</f>
        <v/>
      </c>
      <c r="AL24" s="108" t="n"/>
      <c r="AM24" s="122">
        <f>AL24*100/$E$24</f>
        <v/>
      </c>
      <c r="AN24" s="108" t="n"/>
      <c r="AO24" s="122">
        <f>AN24*100/$E$24</f>
        <v/>
      </c>
      <c r="AP24" s="108" t="n"/>
      <c r="AQ24" s="122">
        <f>AP24*100/$E$24</f>
        <v/>
      </c>
      <c r="AR24" s="108" t="n"/>
      <c r="AS24" s="122">
        <f>AR24*100/$E$24</f>
        <v/>
      </c>
      <c r="AT24" s="108" t="n"/>
      <c r="AU24" s="90">
        <f>AT24*100/$E$24</f>
        <v/>
      </c>
      <c r="AV24" s="108" t="n"/>
      <c r="AW24" s="122">
        <f>AV24*100/$E$24</f>
        <v/>
      </c>
      <c r="AX24" s="108" t="n"/>
      <c r="AY24" s="122">
        <f>AX24*100/$E$24</f>
        <v/>
      </c>
      <c r="AZ24" s="108" t="n"/>
      <c r="BA24" s="122">
        <f>AZ24*100/$E$24</f>
        <v/>
      </c>
      <c r="BB24" s="108" t="n"/>
      <c r="BC24" s="122">
        <f>BB24*100/$E$24</f>
        <v/>
      </c>
      <c r="BD24" s="108" t="n"/>
      <c r="BE24" s="122">
        <f>BD24*100/$E$24</f>
        <v/>
      </c>
      <c r="BF24" s="108" t="n"/>
      <c r="BG24" s="122">
        <f>BF24*100/$E$24</f>
        <v/>
      </c>
      <c r="BH24" s="108" t="n"/>
      <c r="BI24" s="122">
        <f>BH24*100/$E$24</f>
        <v/>
      </c>
      <c r="BJ24" s="108" t="n"/>
      <c r="BK24" s="122">
        <f>BJ24*100/$E$24</f>
        <v/>
      </c>
      <c r="BL24" s="108" t="n"/>
      <c r="BM24" s="122">
        <f>BL24*100/$E$24</f>
        <v/>
      </c>
      <c r="BN24" s="108" t="n"/>
      <c r="BO24" s="122">
        <f>BN24*100/$E$24</f>
        <v/>
      </c>
      <c r="BP24" s="108" t="n"/>
      <c r="BQ24" s="122">
        <f>BP24*100/$E$24</f>
        <v/>
      </c>
      <c r="BR24" s="108" t="n"/>
      <c r="BS24" s="122">
        <f>BR24*100/$E$24</f>
        <v/>
      </c>
      <c r="BT24" s="108" t="n"/>
      <c r="BU24" s="122">
        <f>BT24*100/$E$24</f>
        <v/>
      </c>
      <c r="BV24" s="108" t="n"/>
      <c r="BW24" s="122">
        <f>BV24*100/$E$24</f>
        <v/>
      </c>
      <c r="BX24" s="108" t="n"/>
      <c r="BY24" s="122">
        <f>BX24*100/$E$24</f>
        <v/>
      </c>
      <c r="BZ24" s="108" t="n"/>
      <c r="CA24" s="122">
        <f>BZ24*100/$E$24</f>
        <v/>
      </c>
      <c r="CB24" s="108" t="n"/>
      <c r="CC24" s="122">
        <f>CB24*100/$E$24</f>
        <v/>
      </c>
      <c r="CD24" s="108" t="n"/>
      <c r="CE24" s="122">
        <f>CD24*100/$E$24</f>
        <v/>
      </c>
      <c r="CF24" s="108" t="n"/>
      <c r="CG24" s="122">
        <f>CF24*100/$E$24</f>
        <v/>
      </c>
      <c r="CH24" s="108" t="n"/>
      <c r="CI24" s="122">
        <f>CH24*100/$E$24</f>
        <v/>
      </c>
      <c r="CJ24" s="108" t="n"/>
      <c r="CK24" s="122">
        <f>CJ24*100/$E$24</f>
        <v/>
      </c>
      <c r="CL24" s="108" t="n"/>
      <c r="CM24" s="122">
        <f>CL24*100/$E$24</f>
        <v/>
      </c>
      <c r="CN24" s="108" t="n"/>
      <c r="CO24" s="122">
        <f>CN24*100/$E$24</f>
        <v/>
      </c>
      <c r="CP24" s="108" t="n"/>
      <c r="CQ24" s="122">
        <f>CP24*100/$E$24</f>
        <v/>
      </c>
      <c r="CR24" s="108" t="n"/>
      <c r="CS24" s="122">
        <f>CR24*100/$E$24</f>
        <v/>
      </c>
      <c r="CT24" s="108" t="n"/>
      <c r="CU24" s="122">
        <f>CT24*100/$E$24</f>
        <v/>
      </c>
      <c r="CV24" s="108" t="n"/>
      <c r="CW24" s="122">
        <f>CV24*100/$E$24</f>
        <v/>
      </c>
      <c r="CX24" s="108" t="n"/>
      <c r="CY24" s="122">
        <f>CX24*100/$E$24</f>
        <v/>
      </c>
      <c r="CZ24" s="108" t="n"/>
      <c r="DA24" s="122">
        <f>CZ24*100/$E$24</f>
        <v/>
      </c>
      <c r="DB24" s="108" t="n"/>
      <c r="DC24" s="122">
        <f>DB24*100/$E$24</f>
        <v/>
      </c>
      <c r="DD24" s="108" t="n"/>
      <c r="DE24" s="122">
        <f>DD24*100/$E$24</f>
        <v/>
      </c>
      <c r="DF24" s="108" t="n"/>
      <c r="DG24" s="122">
        <f>DF24*100/$E$24</f>
        <v/>
      </c>
      <c r="DH24" s="108" t="n"/>
      <c r="DI24" s="122">
        <f>DH24*100/$E$24</f>
        <v/>
      </c>
      <c r="DJ24" s="108" t="n"/>
      <c r="DK24" s="122">
        <f>DJ24*100/$E$24</f>
        <v/>
      </c>
      <c r="DL24" s="108" t="n"/>
      <c r="DM24" s="122">
        <f>DL24*100/$E$24</f>
        <v/>
      </c>
      <c r="DN24" s="108" t="n"/>
      <c r="DO24" s="122">
        <f>DN24*100/$E$24</f>
        <v/>
      </c>
      <c r="DP24" s="108" t="n"/>
      <c r="DQ24" s="122">
        <f>DP24*100/$E$24</f>
        <v/>
      </c>
      <c r="DR24" s="108" t="n"/>
      <c r="DS24" s="122">
        <f>DR24*100/$E$24</f>
        <v/>
      </c>
      <c r="DT24" s="108" t="n"/>
      <c r="DU24" s="122">
        <f>DT24*100/$E$24</f>
        <v/>
      </c>
      <c r="DV24" s="108" t="n"/>
      <c r="DW24" s="122">
        <f>DV24*100/$E$24</f>
        <v/>
      </c>
      <c r="DX24" s="108" t="n"/>
      <c r="DY24" s="122">
        <f>DX24*100/$E$24</f>
        <v/>
      </c>
      <c r="DZ24" s="108" t="n"/>
      <c r="EA24" s="122">
        <f>DZ24*100/$E$24</f>
        <v/>
      </c>
      <c r="EB24" s="108" t="n"/>
      <c r="EC24" s="122">
        <f>EB24*100/$E$24</f>
        <v/>
      </c>
      <c r="ED24" s="108" t="n"/>
      <c r="EE24" s="122">
        <f>ED24*100/$E$24</f>
        <v/>
      </c>
      <c r="EF24" s="108" t="n"/>
      <c r="EG24" s="122">
        <f>EF24*100/$E$24</f>
        <v/>
      </c>
      <c r="EH24" s="108" t="n"/>
      <c r="EI24" s="122">
        <f>EH24*100/$E$24</f>
        <v/>
      </c>
      <c r="EJ24" s="108" t="n"/>
      <c r="EK24" s="122">
        <f>EJ24*100/$E$24</f>
        <v/>
      </c>
      <c r="EL24" s="108" t="n"/>
      <c r="EM24" s="122">
        <f>EL24*100/$E$24</f>
        <v/>
      </c>
      <c r="EN24" s="108" t="n"/>
      <c r="EO24" s="122">
        <f>EN24*100/$E$24</f>
        <v/>
      </c>
      <c r="EP24" s="108" t="n"/>
      <c r="EQ24" s="122">
        <f>EP24*100/$E$24</f>
        <v/>
      </c>
      <c r="ER24" s="108" t="n"/>
      <c r="ES24" s="122">
        <f>ER24*100/$E$24</f>
        <v/>
      </c>
      <c r="ET24" s="108" t="n"/>
      <c r="EU24" s="122">
        <f>ET24*100/$E$24</f>
        <v/>
      </c>
      <c r="EV24" s="108" t="n"/>
      <c r="EW24" s="122">
        <f>EV24*100/$E$24</f>
        <v/>
      </c>
      <c r="EX24" s="108" t="n"/>
      <c r="EY24" s="122">
        <f>EX24*100/$E$24</f>
        <v/>
      </c>
      <c r="EZ24" s="108" t="n"/>
      <c r="FA24" s="122">
        <f>EZ24*100/$E$24</f>
        <v/>
      </c>
      <c r="FB24" s="108" t="n"/>
      <c r="FC24" s="122">
        <f>FB24*100/$E$24</f>
        <v/>
      </c>
      <c r="FD24" s="108" t="n"/>
      <c r="FE24" s="122">
        <f>FD24*100/$E$24</f>
        <v/>
      </c>
      <c r="FF24" s="108" t="n"/>
      <c r="FG24" s="122">
        <f>FF24*100/$E$24</f>
        <v/>
      </c>
      <c r="FH24" s="108" t="n"/>
      <c r="FI24" s="122">
        <f>FH24*100/$E$24</f>
        <v/>
      </c>
      <c r="FJ24" s="108" t="n"/>
      <c r="FK24" s="122">
        <f>FJ24*100/$E$24</f>
        <v/>
      </c>
      <c r="FL24" s="108" t="n"/>
      <c r="FM24" s="122">
        <f>FL24*100/$E$24</f>
        <v/>
      </c>
      <c r="FN24" s="108" t="n"/>
      <c r="FO24" s="122">
        <f>FN24*100/$E$24</f>
        <v/>
      </c>
      <c r="FP24" s="108" t="n"/>
      <c r="FQ24" s="122">
        <f>FP24*100/$E$24</f>
        <v/>
      </c>
      <c r="FR24" s="108" t="n"/>
      <c r="FS24" s="122">
        <f>FR24*100/$E$24</f>
        <v/>
      </c>
      <c r="FT24" s="108" t="n"/>
      <c r="FU24" s="122">
        <f>FT24*100/$E$24</f>
        <v/>
      </c>
      <c r="FV24" s="108" t="n"/>
      <c r="FW24" s="122">
        <f>FV24*100/$E$24</f>
        <v/>
      </c>
      <c r="FX24" s="108" t="n"/>
      <c r="FY24" s="122">
        <f>FX24*100/$E$24</f>
        <v/>
      </c>
      <c r="FZ24" s="108" t="n"/>
      <c r="GA24" s="122">
        <f>FZ24*100/$E$24</f>
        <v/>
      </c>
      <c r="GB24" s="108" t="n"/>
      <c r="GC24" s="122">
        <f>GB24*100/$E$24</f>
        <v/>
      </c>
      <c r="GD24" s="108" t="n"/>
      <c r="GE24" s="122">
        <f>GD24*100/$E$24</f>
        <v/>
      </c>
      <c r="GF24" s="108" t="n"/>
      <c r="GG24" s="122">
        <f>GF24*100/$E$24</f>
        <v/>
      </c>
      <c r="GH24" s="108" t="n"/>
      <c r="GI24" s="122">
        <f>GH24*100/$E$24</f>
        <v/>
      </c>
      <c r="GJ24" s="108" t="n"/>
      <c r="GK24" s="122">
        <f>GJ24*100/$E$24</f>
        <v/>
      </c>
      <c r="GL24" s="108" t="n"/>
      <c r="GM24" s="122">
        <f>GL24*100/$E$24</f>
        <v/>
      </c>
      <c r="GN24" s="108" t="n"/>
      <c r="GO24" s="122">
        <f>GN24*100/$E$24</f>
        <v/>
      </c>
      <c r="GP24" s="108" t="n"/>
      <c r="GQ24" s="122">
        <f>GP24*100/$E$24</f>
        <v/>
      </c>
      <c r="GR24" s="108" t="n"/>
      <c r="GS24" s="122">
        <f>GR24*100/$E$24</f>
        <v/>
      </c>
      <c r="GT24" s="108" t="n"/>
      <c r="GU24" s="122">
        <f>GT24*100/$E$24</f>
        <v/>
      </c>
      <c r="GV24" s="108" t="n"/>
      <c r="GW24" s="122">
        <f>GV24*100/$E$24</f>
        <v/>
      </c>
      <c r="GX24" s="108" t="n"/>
      <c r="GY24" s="122">
        <f>GX24*100/$E$24</f>
        <v/>
      </c>
      <c r="GZ24" s="108" t="n"/>
      <c r="HA24" s="122">
        <f>GZ24*100/$E$24</f>
        <v/>
      </c>
      <c r="HB24" s="108" t="n"/>
      <c r="HC24" s="122">
        <f>HB24*100/$E$24</f>
        <v/>
      </c>
      <c r="HD24" s="108" t="n"/>
      <c r="HE24" s="122">
        <f>HD24*100/$E$24</f>
        <v/>
      </c>
      <c r="HF24" s="108" t="n"/>
      <c r="HG24" s="122">
        <f>HF24*100/$E$24</f>
        <v/>
      </c>
      <c r="HH24" s="108" t="n"/>
      <c r="HI24" s="122">
        <f>HH24*100/$E$24</f>
        <v/>
      </c>
      <c r="HJ24" s="108" t="n"/>
      <c r="HK24" s="122">
        <f>HJ24*100/$E$24</f>
        <v/>
      </c>
      <c r="HL24" s="108" t="n"/>
      <c r="HM24" s="122">
        <f>HL24*100/$E$24</f>
        <v/>
      </c>
      <c r="HN24" s="108" t="n"/>
      <c r="HO24" s="122">
        <f>HN24*100/$E$24</f>
        <v/>
      </c>
      <c r="HP24" s="108" t="n"/>
      <c r="HQ24" s="122">
        <f>HP24*100/$E$24</f>
        <v/>
      </c>
      <c r="HR24" s="108" t="n"/>
      <c r="HS24" s="122">
        <f>HR24*100/$E$24</f>
        <v/>
      </c>
      <c r="HT24" s="108" t="n"/>
      <c r="HU24" s="122">
        <f>HT24*100/$E$24</f>
        <v/>
      </c>
      <c r="HV24" s="108" t="n"/>
      <c r="HW24" s="122">
        <f>HV24*100/$E$24</f>
        <v/>
      </c>
      <c r="HX24" s="108" t="n"/>
      <c r="HY24" s="122">
        <f>HX24*100/$E$24</f>
        <v/>
      </c>
      <c r="HZ24" s="108" t="n"/>
      <c r="IA24" s="122">
        <f>HZ24*100/$E$24</f>
        <v/>
      </c>
      <c r="IB24" s="108" t="n"/>
      <c r="IC24" s="122">
        <f>IB24*100/$E$24</f>
        <v/>
      </c>
      <c r="ID24" s="108" t="n"/>
      <c r="IE24" s="122">
        <f>ID24*100/$E$24</f>
        <v/>
      </c>
      <c r="IF24" s="108" t="n"/>
      <c r="IG24" s="122">
        <f>IF24*100/$E$24</f>
        <v/>
      </c>
      <c r="IH24" s="108" t="n"/>
      <c r="II24" s="122">
        <f>IH24*100/$E$24</f>
        <v/>
      </c>
      <c r="IJ24" s="108" t="n"/>
      <c r="IK24" s="122">
        <f>IJ24*100/$E$24</f>
        <v/>
      </c>
      <c r="IL24" s="108" t="n"/>
      <c r="IM24" s="122">
        <f>IL24*100/$E$24</f>
        <v/>
      </c>
      <c r="IN24" s="108" t="n"/>
      <c r="IO24" s="122">
        <f>IN24*100/$E$24</f>
        <v/>
      </c>
      <c r="IP24" s="108" t="n"/>
      <c r="IQ24" s="122">
        <f>IP24*100/$E$24</f>
        <v/>
      </c>
      <c r="IR24" s="108" t="n"/>
      <c r="IS24" s="122">
        <f>IR24*100/$E$24</f>
        <v/>
      </c>
      <c r="IT24" s="108" t="n"/>
      <c r="IU24" s="122">
        <f>IT24*100/$E$24</f>
        <v/>
      </c>
      <c r="IV24" s="108" t="n"/>
      <c r="IW24" s="122">
        <f>IV24*100/$E$24</f>
        <v/>
      </c>
      <c r="IX24" s="108" t="n"/>
      <c r="IY24" s="122">
        <f>IX24*100/$E$24</f>
        <v/>
      </c>
      <c r="IZ24" s="108" t="n"/>
      <c r="JA24" s="122">
        <f>IZ24*100/$E$24</f>
        <v/>
      </c>
      <c r="JB24" s="108" t="n"/>
      <c r="JC24" s="122">
        <f>JB24*100/$E$24</f>
        <v/>
      </c>
      <c r="JD24" s="108" t="n"/>
      <c r="JE24" s="122">
        <f>JD24*100/$E$24</f>
        <v/>
      </c>
      <c r="JF24" s="108" t="n"/>
      <c r="JG24" s="122">
        <f>JF24*100/$E$24</f>
        <v/>
      </c>
      <c r="JH24" s="108" t="n"/>
      <c r="JI24" s="122">
        <f>JH24*100/$E$24</f>
        <v/>
      </c>
      <c r="JJ24" s="108" t="n"/>
      <c r="JK24" s="122">
        <f>JJ24*100/$E$24</f>
        <v/>
      </c>
      <c r="JL24" s="108" t="n"/>
      <c r="JM24" s="122">
        <f>JL24*100/$E$24</f>
        <v/>
      </c>
      <c r="JN24" s="108" t="n"/>
      <c r="JO24" s="122">
        <f>JN24*100/$E$24</f>
        <v/>
      </c>
      <c r="JP24" s="108" t="n"/>
      <c r="JQ24" s="122">
        <f>JP24*100/$E$24</f>
        <v/>
      </c>
      <c r="JR24" s="108" t="n"/>
      <c r="JS24" s="122">
        <f>JR24*100/$E$24</f>
        <v/>
      </c>
      <c r="JT24" s="108" t="n"/>
      <c r="JU24" s="122">
        <f>JT24*100/$E$24</f>
        <v/>
      </c>
      <c r="JV24" s="108" t="n"/>
      <c r="JW24" s="122">
        <f>JV24*100/$E$24</f>
        <v/>
      </c>
      <c r="JX24" s="108" t="n"/>
      <c r="JY24" s="122">
        <f>JX24*100/$E$24</f>
        <v/>
      </c>
      <c r="JZ24" s="55">
        <f>JN24+JP24+JR24+JT24+JV24+JX24</f>
        <v/>
      </c>
      <c r="KA24" s="53">
        <f>JO24+JQ24+JS24+JU24+JW24+JY24</f>
        <v/>
      </c>
      <c r="KB24" s="64">
        <f>H24+J24+L24+N24+P24+R24+T24+V24+X24+Z24+AB24+AD24+AF24+AH24+AJ24+AL24+AN24+AP24+AR24+AT24+AV24+AX24+AZ24+BB24+BD24+BF24+BH24+BJ24+BL24+BN24+BP24+BR24+BT24+BV24+BX24+BZ24+CB24+CD24+CF24+CH24+CZ24+DB24+DD24+DF24+DH24+DJ24+DL24+DN24+DP24+DR24+DT24+DV24+DX24+DZ24+EB24+ED24+EF24+EH24+EJ24+EL24+EN24+EP24+ER24+ET24+EV24+FN24+FP24+FR24+FT24+FV24+FX24+FZ24+GB24+GD24+GF24+GH24+GJ24+GL24+GN24+GP24+GR24+GT24+GV24+GX24+GZ24+HB24+HD24+HF24+HH24+HJ24+HL24+HN24+HP24+HR24+HT24+HV24+HX24+HZ24+IB24+ID24+IF24+IH24+IJ24+IL24+IN24+IP24+IR24+IT24+IV24+IX24+IZ24+JB24+JD24+JF24+JH24+JJ24+JL24+JZ24+CJ24+CL24+CN24+CP24+CR24+CT24+CV24+CX24+EX24+EZ24+FB24+FD24+FF24+FH24+FJ24+FL24</f>
        <v/>
      </c>
      <c r="KC24" s="66">
        <f>I24+K24+M24+O24+Q24+S24+U24+W24+Y24+AA24+AC24+AE24+AG24+AI24+AK24+AM24+AO24+AQ24+AS24+AU24+AW24+AY24+BA24+BC24+BE24+BG24+BI24+BK24+BM24+BO24+BQ24+BS24+BU24+BW24+BY24+CA24+CC24+CE24+CG24+CI24+DA24+DC24+DE24+DG24+DI24+DK24+DM24+DO24+DQ24+DS24+DU24+DW24+DY24+EA24+EC24+EE24+EG24+EI24+EK24+EM24+EO24+EQ24+ES24+EU24+EW24+FO24+FS24+FU24+FW24+FQ24+FY24+GA24+GC24+GE24+GG24+GI24+GK24+GM24+GO24+GQ24+GS24+GU24+GW24+GY24+HA24+HC24+HE24+HG24+HI24+HK24+HM24+HO24+HQ24+HS24+HU24+HW24+HY24+IA24+IC24+IE24+IG24+II24+IK24+IM24+IO24+IQ24+IS24+IU24+IW24+IY24+JA24+JC24+JE24+JG24+JI24+JK24+JM24+KA24+CK24+CM24+CO24+CQ24+CS24+CU24+CW24+CY24+EY24+FA24+FC24+FE24+FG24+FI24+FK24+FM24</f>
        <v/>
      </c>
      <c r="KD24" s="44">
        <f>JO24+JQ24+JS24+JU24+JW24+JY24</f>
        <v/>
      </c>
      <c r="KE24" s="45">
        <f>KB24=E24</f>
        <v/>
      </c>
      <c r="KF24" s="101">
        <f>E24-KB24</f>
        <v/>
      </c>
      <c r="KG24" s="67" t="n"/>
    </row>
    <row r="25" ht="21.75" customFormat="1" customHeight="1" s="18">
      <c r="A25" s="130">
        <f>A24+1</f>
        <v/>
      </c>
      <c r="B25" s="199" t="inlineStr">
        <is>
          <t>Ившин К.С.</t>
        </is>
      </c>
      <c r="C25" s="176" t="inlineStr">
        <is>
          <t>сварщик</t>
        </is>
      </c>
      <c r="D25" s="177">
        <f>$D$5</f>
        <v/>
      </c>
      <c r="E25" s="202" t="n"/>
      <c r="F25" s="178" t="n">
        <v>61252.7</v>
      </c>
      <c r="G25" s="52">
        <f>F25/D25</f>
        <v/>
      </c>
      <c r="H25" s="125" t="n"/>
      <c r="I25" s="107">
        <f>H25*100/$E$25</f>
        <v/>
      </c>
      <c r="J25" s="108" t="n"/>
      <c r="K25" s="107">
        <f>J25*100/$E$25</f>
        <v/>
      </c>
      <c r="L25" s="108" t="n"/>
      <c r="M25" s="107">
        <f>L25*100/$E$25</f>
        <v/>
      </c>
      <c r="N25" s="108" t="n"/>
      <c r="O25" s="107">
        <f>N25*100/$E$25</f>
        <v/>
      </c>
      <c r="P25" s="108" t="n"/>
      <c r="Q25" s="122">
        <f>P25*100/$E$25</f>
        <v/>
      </c>
      <c r="R25" s="108" t="n"/>
      <c r="S25" s="122">
        <f>R25*100/$E$25</f>
        <v/>
      </c>
      <c r="T25" s="108" t="n"/>
      <c r="U25" s="107">
        <f>T25*100/$E$25</f>
        <v/>
      </c>
      <c r="V25" s="108" t="n"/>
      <c r="W25" s="107">
        <f>V25*100/$E$25</f>
        <v/>
      </c>
      <c r="X25" s="108" t="n"/>
      <c r="Y25" s="107">
        <f>X25*100/$E$25</f>
        <v/>
      </c>
      <c r="Z25" s="108" t="n"/>
      <c r="AA25" s="107">
        <f>Z25*100/$E$25</f>
        <v/>
      </c>
      <c r="AB25" s="108" t="n"/>
      <c r="AC25" s="107">
        <f>AB25*100/$E$25</f>
        <v/>
      </c>
      <c r="AD25" s="108" t="n"/>
      <c r="AE25" s="122">
        <f>AD25*100/$E$25</f>
        <v/>
      </c>
      <c r="AF25" s="108" t="n"/>
      <c r="AG25" s="122">
        <f>AF25*100/$E$25</f>
        <v/>
      </c>
      <c r="AH25" s="108" t="n"/>
      <c r="AI25" s="107">
        <f>AH25*100/$E$25</f>
        <v/>
      </c>
      <c r="AJ25" s="108" t="n"/>
      <c r="AK25" s="107">
        <f>AJ25*100/$E$25</f>
        <v/>
      </c>
      <c r="AL25" s="108" t="n"/>
      <c r="AM25" s="107">
        <f>AL25*100/$E$25</f>
        <v/>
      </c>
      <c r="AN25" s="108" t="n"/>
      <c r="AO25" s="107">
        <f>AN25*100/$E$25</f>
        <v/>
      </c>
      <c r="AP25" s="108" t="n"/>
      <c r="AQ25" s="107">
        <f>AP25*100/$E$25</f>
        <v/>
      </c>
      <c r="AR25" s="108" t="n"/>
      <c r="AS25" s="107">
        <f>AR25*100/$E$25</f>
        <v/>
      </c>
      <c r="AT25" s="108" t="n"/>
      <c r="AU25" s="90">
        <f>AT25*100/$E$25</f>
        <v/>
      </c>
      <c r="AV25" s="108" t="n"/>
      <c r="AW25" s="107">
        <f>AV25*100/$E$25</f>
        <v/>
      </c>
      <c r="AX25" s="108" t="n"/>
      <c r="AY25" s="107">
        <f>AX25*100/$E$25</f>
        <v/>
      </c>
      <c r="AZ25" s="108" t="n"/>
      <c r="BA25" s="107">
        <f>AZ25*100/$E$25</f>
        <v/>
      </c>
      <c r="BB25" s="108" t="n"/>
      <c r="BC25" s="107">
        <f>BB25*100/$E$25</f>
        <v/>
      </c>
      <c r="BD25" s="108" t="n"/>
      <c r="BE25" s="107">
        <f>BD25*100/$E$25</f>
        <v/>
      </c>
      <c r="BF25" s="108" t="n"/>
      <c r="BG25" s="107">
        <f>BF25*100/$E$25</f>
        <v/>
      </c>
      <c r="BH25" s="108" t="n"/>
      <c r="BI25" s="107">
        <f>BH25*100/$E$25</f>
        <v/>
      </c>
      <c r="BJ25" s="108" t="n"/>
      <c r="BK25" s="107">
        <f>BJ25*100/$E$25</f>
        <v/>
      </c>
      <c r="BL25" s="108" t="n"/>
      <c r="BM25" s="107">
        <f>BL25*100/$E$25</f>
        <v/>
      </c>
      <c r="BN25" s="108" t="n"/>
      <c r="BO25" s="107">
        <f>BN25*100/$E$25</f>
        <v/>
      </c>
      <c r="BP25" s="108" t="n"/>
      <c r="BQ25" s="107">
        <f>BP25*100/$E$25</f>
        <v/>
      </c>
      <c r="BR25" s="108" t="n"/>
      <c r="BS25" s="107">
        <f>BR25*100/$E$25</f>
        <v/>
      </c>
      <c r="BT25" s="108" t="n"/>
      <c r="BU25" s="107">
        <f>BT25*100/$E$25</f>
        <v/>
      </c>
      <c r="BV25" s="108" t="n"/>
      <c r="BW25" s="107">
        <f>BV25*100/$E$25</f>
        <v/>
      </c>
      <c r="BX25" s="108" t="n"/>
      <c r="BY25" s="107">
        <f>BX25*100/$E$25</f>
        <v/>
      </c>
      <c r="BZ25" s="108" t="n"/>
      <c r="CA25" s="107">
        <f>BZ25*100/$E$25</f>
        <v/>
      </c>
      <c r="CB25" s="108" t="n"/>
      <c r="CC25" s="107">
        <f>CB25*100/$E$25</f>
        <v/>
      </c>
      <c r="CD25" s="108" t="n"/>
      <c r="CE25" s="107">
        <f>CD25*100/$E$25</f>
        <v/>
      </c>
      <c r="CF25" s="108" t="n"/>
      <c r="CG25" s="107">
        <f>CF25*100/$E$25</f>
        <v/>
      </c>
      <c r="CH25" s="108" t="n"/>
      <c r="CI25" s="107">
        <f>CH25*100/$E$25</f>
        <v/>
      </c>
      <c r="CJ25" s="108" t="n"/>
      <c r="CK25" s="107">
        <f>CJ25*100/$E$25</f>
        <v/>
      </c>
      <c r="CL25" s="108" t="n"/>
      <c r="CM25" s="107">
        <f>CL25*100/$E$25</f>
        <v/>
      </c>
      <c r="CN25" s="108" t="n"/>
      <c r="CO25" s="122">
        <f>CN25*100/$E$25</f>
        <v/>
      </c>
      <c r="CP25" s="108" t="n"/>
      <c r="CQ25" s="107">
        <f>CP25*100/$E$25</f>
        <v/>
      </c>
      <c r="CR25" s="108" t="n"/>
      <c r="CS25" s="122">
        <f>CR25*100/$E$25</f>
        <v/>
      </c>
      <c r="CT25" s="108" t="n"/>
      <c r="CU25" s="122">
        <f>CT25*100/$E$25</f>
        <v/>
      </c>
      <c r="CV25" s="108" t="n"/>
      <c r="CW25" s="122">
        <f>CV25*100/$E$25</f>
        <v/>
      </c>
      <c r="CX25" s="108" t="n"/>
      <c r="CY25" s="122">
        <f>CX25*100/$E$25</f>
        <v/>
      </c>
      <c r="CZ25" s="108" t="n"/>
      <c r="DA25" s="122">
        <f>CZ25*100/$E$25</f>
        <v/>
      </c>
      <c r="DB25" s="108" t="n"/>
      <c r="DC25" s="122">
        <f>DB25*100/$E$25</f>
        <v/>
      </c>
      <c r="DD25" s="108" t="n"/>
      <c r="DE25" s="122">
        <f>DD25*100/$E$25</f>
        <v/>
      </c>
      <c r="DF25" s="108" t="n"/>
      <c r="DG25" s="122">
        <f>DF25*100/$E$25</f>
        <v/>
      </c>
      <c r="DH25" s="108" t="n"/>
      <c r="DI25" s="122">
        <f>DH25*100/$E$25</f>
        <v/>
      </c>
      <c r="DJ25" s="108" t="n"/>
      <c r="DK25" s="122">
        <f>DJ25*100/$E$25</f>
        <v/>
      </c>
      <c r="DL25" s="108" t="n"/>
      <c r="DM25" s="122">
        <f>DL25*100/$E$25</f>
        <v/>
      </c>
      <c r="DN25" s="108" t="n"/>
      <c r="DO25" s="122">
        <f>DN25*100/$E$25</f>
        <v/>
      </c>
      <c r="DP25" s="108" t="n"/>
      <c r="DQ25" s="122">
        <f>DP25*100/$E$25</f>
        <v/>
      </c>
      <c r="DR25" s="108" t="n"/>
      <c r="DS25" s="122">
        <f>DR25*100/$E$25</f>
        <v/>
      </c>
      <c r="DT25" s="108" t="n"/>
      <c r="DU25" s="122">
        <f>DT25*100/$E$25</f>
        <v/>
      </c>
      <c r="DV25" s="108" t="n"/>
      <c r="DW25" s="122">
        <f>DV25*100/$E$25</f>
        <v/>
      </c>
      <c r="DX25" s="108" t="n"/>
      <c r="DY25" s="122">
        <f>DX25*100/$E$25</f>
        <v/>
      </c>
      <c r="DZ25" s="108" t="n"/>
      <c r="EA25" s="122">
        <f>DZ25*100/$E$25</f>
        <v/>
      </c>
      <c r="EB25" s="108" t="n"/>
      <c r="EC25" s="122">
        <f>EB25*100/$E$25</f>
        <v/>
      </c>
      <c r="ED25" s="108" t="n"/>
      <c r="EE25" s="122">
        <f>ED25*100/$E$25</f>
        <v/>
      </c>
      <c r="EF25" s="108" t="n"/>
      <c r="EG25" s="122">
        <f>EF25*100/$E$25</f>
        <v/>
      </c>
      <c r="EH25" s="108" t="n"/>
      <c r="EI25" s="122">
        <f>EH25*100/$E$25</f>
        <v/>
      </c>
      <c r="EJ25" s="108" t="n"/>
      <c r="EK25" s="122">
        <f>EJ25*100/$E$25</f>
        <v/>
      </c>
      <c r="EL25" s="108" t="n"/>
      <c r="EM25" s="122">
        <f>EL25*100/$E$25</f>
        <v/>
      </c>
      <c r="EN25" s="108" t="n"/>
      <c r="EO25" s="122">
        <f>EN25*100/$E$25</f>
        <v/>
      </c>
      <c r="EP25" s="108" t="n"/>
      <c r="EQ25" s="122">
        <f>EP25*100/$E$25</f>
        <v/>
      </c>
      <c r="ER25" s="108" t="n"/>
      <c r="ES25" s="122">
        <f>ER25*100/$E$25</f>
        <v/>
      </c>
      <c r="ET25" s="108" t="n"/>
      <c r="EU25" s="122">
        <f>ET25*100/$E$25</f>
        <v/>
      </c>
      <c r="EV25" s="108" t="n"/>
      <c r="EW25" s="122">
        <f>EV25*100/$E$25</f>
        <v/>
      </c>
      <c r="EX25" s="108" t="n"/>
      <c r="EY25" s="122">
        <f>EX25*100/$E$25</f>
        <v/>
      </c>
      <c r="EZ25" s="108" t="n"/>
      <c r="FA25" s="122">
        <f>EZ25*100/$E$25</f>
        <v/>
      </c>
      <c r="FB25" s="108" t="n"/>
      <c r="FC25" s="122">
        <f>FB25*100/$E$25</f>
        <v/>
      </c>
      <c r="FD25" s="108" t="n"/>
      <c r="FE25" s="122">
        <f>FD25*100/$E$25</f>
        <v/>
      </c>
      <c r="FF25" s="108" t="n"/>
      <c r="FG25" s="122">
        <f>FF25*100/$E$25</f>
        <v/>
      </c>
      <c r="FH25" s="108" t="n"/>
      <c r="FI25" s="122">
        <f>FH25*100/$E$25</f>
        <v/>
      </c>
      <c r="FJ25" s="108" t="n"/>
      <c r="FK25" s="122">
        <f>FJ25*100/$E$25</f>
        <v/>
      </c>
      <c r="FL25" s="108" t="n"/>
      <c r="FM25" s="122">
        <f>FL25*100/$E$25</f>
        <v/>
      </c>
      <c r="FN25" s="108" t="n"/>
      <c r="FO25" s="122">
        <f>FN25*100/$E$25</f>
        <v/>
      </c>
      <c r="FP25" s="108" t="n"/>
      <c r="FQ25" s="122">
        <f>FP25*100/$E$25</f>
        <v/>
      </c>
      <c r="FR25" s="108" t="n"/>
      <c r="FS25" s="122">
        <f>FR25*100/$E$25</f>
        <v/>
      </c>
      <c r="FT25" s="108" t="n"/>
      <c r="FU25" s="122">
        <f>FT25*100/$E$25</f>
        <v/>
      </c>
      <c r="FV25" s="108" t="n"/>
      <c r="FW25" s="122">
        <f>FV25*100/$E$25</f>
        <v/>
      </c>
      <c r="FX25" s="108" t="n"/>
      <c r="FY25" s="107">
        <f>FX25*100/$E$25</f>
        <v/>
      </c>
      <c r="FZ25" s="108" t="n"/>
      <c r="GA25" s="107">
        <f>FZ25*100/$E$25</f>
        <v/>
      </c>
      <c r="GB25" s="108" t="n"/>
      <c r="GC25" s="107">
        <f>GB25*100/$E$25</f>
        <v/>
      </c>
      <c r="GD25" s="108" t="n"/>
      <c r="GE25" s="107">
        <f>GD25*100/$E$25</f>
        <v/>
      </c>
      <c r="GF25" s="108" t="n"/>
      <c r="GG25" s="107">
        <f>GF25*100/$E$25</f>
        <v/>
      </c>
      <c r="GH25" s="108" t="n"/>
      <c r="GI25" s="107">
        <f>GH25*100/$E$25</f>
        <v/>
      </c>
      <c r="GJ25" s="108" t="n"/>
      <c r="GK25" s="122">
        <f>GJ25*100/$E$25</f>
        <v/>
      </c>
      <c r="GL25" s="108" t="n"/>
      <c r="GM25" s="107">
        <f>GL25*100/$E$25</f>
        <v/>
      </c>
      <c r="GN25" s="108" t="n"/>
      <c r="GO25" s="122">
        <f>GN25*100/$E$25</f>
        <v/>
      </c>
      <c r="GP25" s="108" t="n"/>
      <c r="GQ25" s="107">
        <f>GP25*100/$E$25</f>
        <v/>
      </c>
      <c r="GR25" s="108" t="n"/>
      <c r="GS25" s="122">
        <f>GR25*100/$E$25</f>
        <v/>
      </c>
      <c r="GT25" s="108" t="n"/>
      <c r="GU25" s="122">
        <f>GT25*100/$E$25</f>
        <v/>
      </c>
      <c r="GV25" s="108" t="n"/>
      <c r="GW25" s="122">
        <f>GV25*100/$E$25</f>
        <v/>
      </c>
      <c r="GX25" s="108" t="n"/>
      <c r="GY25" s="107">
        <f>GX25*100/$E$25</f>
        <v/>
      </c>
      <c r="GZ25" s="108" t="n"/>
      <c r="HA25" s="107">
        <f>GZ25*100/$E$25</f>
        <v/>
      </c>
      <c r="HB25" s="108" t="n"/>
      <c r="HC25" s="107">
        <f>HB25*100/$E$25</f>
        <v/>
      </c>
      <c r="HD25" s="108" t="n"/>
      <c r="HE25" s="107">
        <f>HD25*100/$E$25</f>
        <v/>
      </c>
      <c r="HF25" s="108" t="n"/>
      <c r="HG25" s="107">
        <f>HF25*100/$E$25</f>
        <v/>
      </c>
      <c r="HH25" s="108" t="n"/>
      <c r="HI25" s="107">
        <f>HH25*100/$E$25</f>
        <v/>
      </c>
      <c r="HJ25" s="108" t="n"/>
      <c r="HK25" s="107">
        <f>HJ25*100/$E$25</f>
        <v/>
      </c>
      <c r="HL25" s="108" t="n"/>
      <c r="HM25" s="107">
        <f>HL25*100/$E$25</f>
        <v/>
      </c>
      <c r="HN25" s="108" t="n"/>
      <c r="HO25" s="107">
        <f>HN25*100/$E$25</f>
        <v/>
      </c>
      <c r="HP25" s="108" t="n"/>
      <c r="HQ25" s="107">
        <f>HP25*100/$E$25</f>
        <v/>
      </c>
      <c r="HR25" s="108" t="n"/>
      <c r="HS25" s="107">
        <f>HR25*100/$E$25</f>
        <v/>
      </c>
      <c r="HT25" s="108" t="n"/>
      <c r="HU25" s="107">
        <f>HT25*100/$E$25</f>
        <v/>
      </c>
      <c r="HV25" s="108" t="n"/>
      <c r="HW25" s="107">
        <f>HV25*100/$E$25</f>
        <v/>
      </c>
      <c r="HX25" s="108" t="n"/>
      <c r="HY25" s="107">
        <f>HX25*100/$E$25</f>
        <v/>
      </c>
      <c r="HZ25" s="108" t="n"/>
      <c r="IA25" s="122">
        <f>HZ25*100/$E$25</f>
        <v/>
      </c>
      <c r="IB25" s="108" t="n"/>
      <c r="IC25" s="122">
        <f>IB25*100/$E$25</f>
        <v/>
      </c>
      <c r="ID25" s="108" t="n"/>
      <c r="IE25" s="122">
        <f>ID25*100/$E$25</f>
        <v/>
      </c>
      <c r="IF25" s="108" t="n"/>
      <c r="IG25" s="122">
        <f>IF25*100/$E$25</f>
        <v/>
      </c>
      <c r="IH25" s="108" t="n"/>
      <c r="II25" s="122">
        <f>IH25*100/$E$25</f>
        <v/>
      </c>
      <c r="IJ25" s="108" t="n"/>
      <c r="IK25" s="122">
        <f>IJ25*100/$E$25</f>
        <v/>
      </c>
      <c r="IL25" s="108" t="n"/>
      <c r="IM25" s="107">
        <f>IL25*100/$E$25</f>
        <v/>
      </c>
      <c r="IN25" s="108" t="n"/>
      <c r="IO25" s="107">
        <f>IN25*100/$E$25</f>
        <v/>
      </c>
      <c r="IP25" s="108" t="n"/>
      <c r="IQ25" s="122">
        <f>IP25*100/$E$25</f>
        <v/>
      </c>
      <c r="IR25" s="108" t="n"/>
      <c r="IS25" s="122">
        <f>IR25*100/$E$25</f>
        <v/>
      </c>
      <c r="IT25" s="108" t="n"/>
      <c r="IU25" s="122">
        <f>IT25*100/$E$25</f>
        <v/>
      </c>
      <c r="IV25" s="108" t="n"/>
      <c r="IW25" s="122">
        <f>IV25*100/$E$25</f>
        <v/>
      </c>
      <c r="IX25" s="108" t="n"/>
      <c r="IY25" s="122">
        <f>IX25*100/$E$25</f>
        <v/>
      </c>
      <c r="IZ25" s="108" t="n"/>
      <c r="JA25" s="122">
        <f>IZ25*100/$E$25</f>
        <v/>
      </c>
      <c r="JB25" s="108" t="n"/>
      <c r="JC25" s="122">
        <f>JB25*100/$E$25</f>
        <v/>
      </c>
      <c r="JD25" s="108" t="n"/>
      <c r="JE25" s="122">
        <f>JD25*100/$E$25</f>
        <v/>
      </c>
      <c r="JF25" s="108" t="n"/>
      <c r="JG25" s="122">
        <f>JF25*100/$E$25</f>
        <v/>
      </c>
      <c r="JH25" s="108" t="n"/>
      <c r="JI25" s="122">
        <f>JH25*100/$E$25</f>
        <v/>
      </c>
      <c r="JJ25" s="108" t="n"/>
      <c r="JK25" s="122">
        <f>JJ25*100/$E$25</f>
        <v/>
      </c>
      <c r="JL25" s="108" t="n"/>
      <c r="JM25" s="122">
        <f>JL25*100/$E$25</f>
        <v/>
      </c>
      <c r="JN25" s="108" t="n"/>
      <c r="JO25" s="122">
        <f>JN25*100/$E$25</f>
        <v/>
      </c>
      <c r="JP25" s="108" t="n"/>
      <c r="JQ25" s="122">
        <f>JP25*100/$E$25</f>
        <v/>
      </c>
      <c r="JR25" s="108" t="n"/>
      <c r="JS25" s="122">
        <f>JR25*100/$E$25</f>
        <v/>
      </c>
      <c r="JT25" s="108" t="n"/>
      <c r="JU25" s="122">
        <f>JT25*100/$E$25</f>
        <v/>
      </c>
      <c r="JV25" s="108" t="n"/>
      <c r="JW25" s="122">
        <f>JV25*100/$E$25</f>
        <v/>
      </c>
      <c r="JX25" s="108" t="n"/>
      <c r="JY25" s="122">
        <f>JX25*100/$E$25</f>
        <v/>
      </c>
      <c r="JZ25" s="55">
        <f>JN25+JP25+JR25+JT25+JV25+JX25</f>
        <v/>
      </c>
      <c r="KA25" s="53">
        <f>JO25+JQ25+JS25+JU25+JW25+JY25</f>
        <v/>
      </c>
      <c r="KB25" s="64">
        <f>H25+J25+L25+N25+P25+R25+T25+V25+X25+Z25+AB25+AD25+AF25+AH25+AJ25+AL25+AN25+AP25+AR25+AT25+AV25+AX25+AZ25+BB25+BD25+BF25+BH25+BJ25+BL25+BN25+BP25+BR25+BT25+BV25+BX25+BZ25+CB25+CD25+CF25+CH25+CZ25+DB25+DD25+DF25+DH25+DJ25+DL25+DN25+DP25+DR25+DT25+DV25+DX25+DZ25+EB25+ED25+EF25+EH25+EJ25+EL25+EN25+EP25+ER25+ET25+EV25+FN25+FP25+FR25+FT25+FV25+FX25+FZ25+GB25+GD25+GF25+GH25+GJ25+GL25+GN25+GP25+GR25+GT25+GV25+GX25+GZ25+HB25+HD25+HF25+HH25+HJ25+HL25+HN25+HP25+HR25+HT25+HV25+HX25+HZ25+IB25+ID25+IF25+IH25+IJ25+IL25+IN25+IP25+IR25+IT25+IV25+IX25+IZ25+JB25+JD25+JF25+JH25+JJ25+JL25+JZ25+CJ25+CL25+CN25+CP25+CR25+CT25+CV25+CX25+EX25+EZ25+FB25+FD25+FF25+FH25+FJ25+FL25</f>
        <v/>
      </c>
      <c r="KC25" s="66">
        <f>I25+K25+M25+O25+Q25+S25+U25+W25+Y25+AA25+AC25+AE25+AG25+AI25+AK25+AM25+AO25+AQ25+AS25+AU25+AW25+AY25+BA25+BC25+BE25+BG25+BI25+BK25+BM25+BO25+BQ25+BS25+BU25+BW25+BY25+CA25+CC25+CE25+CG25+CI25+DA25+DC25+DE25+DG25+DI25+DK25+DM25+DO25+DQ25+DS25+DU25+DW25+DY25+EA25+EC25+EE25+EG25+EI25+EK25+EM25+EO25+EQ25+ES25+EU25+EW25+FO25+FS25+FU25+FW25+FQ25+FY25+GA25+GC25+GE25+GG25+GI25+GK25+GM25+GO25+GQ25+GS25+GU25+GW25+GY25+HA25+HC25+HE25+HG25+HI25+HK25+HM25+HO25+HQ25+HS25+HU25+HW25+HY25+IA25+IC25+IE25+IG25+II25+IK25+IM25+IO25+IQ25+IS25+IU25+IW25+IY25+JA25+JC25+JE25+JG25+JI25+JK25+JM25+KA25+CK25+CM25+CO25+CQ25+CS25+CU25+CW25+CY25+EY25+FA25+FC25+FE25+FG25+FI25+FK25+FM25</f>
        <v/>
      </c>
      <c r="KD25" s="44">
        <f>JO25+JQ25+JS25+JU25+JW25+JY25</f>
        <v/>
      </c>
      <c r="KE25" s="46">
        <f>KB25=E25</f>
        <v/>
      </c>
      <c r="KF25" s="101">
        <f>E25-KB25</f>
        <v/>
      </c>
      <c r="KG25" s="19" t="n"/>
      <c r="KH25" s="11" t="n"/>
      <c r="KI25" s="11" t="n"/>
      <c r="KJ25" s="11" t="n"/>
      <c r="KK25" s="11" t="n"/>
      <c r="KL25" s="11" t="n"/>
      <c r="KM25" s="11" t="n"/>
      <c r="KN25" s="11" t="n"/>
      <c r="KO25" s="11" t="n"/>
    </row>
    <row r="26" ht="21.75" customFormat="1" customHeight="1" s="19">
      <c r="A26" s="126">
        <f>A25+1</f>
        <v/>
      </c>
      <c r="B26" s="192" t="inlineStr">
        <is>
          <t>Капичников А.С.</t>
        </is>
      </c>
      <c r="C26" s="176" t="inlineStr">
        <is>
          <t>слесарь</t>
        </is>
      </c>
      <c r="D26" s="177">
        <f>$D$5</f>
        <v/>
      </c>
      <c r="E26" s="202" t="n"/>
      <c r="F26" s="178" t="n">
        <v>68902.87</v>
      </c>
      <c r="G26" s="52">
        <f>F26/D26</f>
        <v/>
      </c>
      <c r="H26" s="125" t="n"/>
      <c r="I26" s="107">
        <f>H26*100/$E$26</f>
        <v/>
      </c>
      <c r="J26" s="108" t="n"/>
      <c r="K26" s="107">
        <f>J26*100/$E$26</f>
        <v/>
      </c>
      <c r="L26" s="108" t="n"/>
      <c r="M26" s="107">
        <f>L26*100/$E$26</f>
        <v/>
      </c>
      <c r="N26" s="108" t="n"/>
      <c r="O26" s="107">
        <f>N26*100/$E$26</f>
        <v/>
      </c>
      <c r="P26" s="108" t="n"/>
      <c r="Q26" s="122">
        <f>P26*100/$E$26</f>
        <v/>
      </c>
      <c r="R26" s="108" t="n"/>
      <c r="S26" s="122">
        <f>R26*100/$E$26</f>
        <v/>
      </c>
      <c r="T26" s="108" t="n"/>
      <c r="U26" s="107">
        <f>T26*100/$E$26</f>
        <v/>
      </c>
      <c r="V26" s="108" t="n"/>
      <c r="W26" s="107">
        <f>V26*100/$E$26</f>
        <v/>
      </c>
      <c r="X26" s="108" t="n"/>
      <c r="Y26" s="107">
        <f>X26*100/$E$26</f>
        <v/>
      </c>
      <c r="Z26" s="108" t="n"/>
      <c r="AA26" s="107">
        <f>Z26*100/$E$26</f>
        <v/>
      </c>
      <c r="AB26" s="108" t="n"/>
      <c r="AC26" s="107">
        <f>AB26*100/$E$26</f>
        <v/>
      </c>
      <c r="AD26" s="108" t="n"/>
      <c r="AE26" s="122">
        <f>AD26*100/$E$26</f>
        <v/>
      </c>
      <c r="AF26" s="108" t="n"/>
      <c r="AG26" s="122">
        <f>AF26*100/$E$26</f>
        <v/>
      </c>
      <c r="AH26" s="108" t="n"/>
      <c r="AI26" s="107">
        <f>AH26*100/$E$26</f>
        <v/>
      </c>
      <c r="AJ26" s="108" t="n"/>
      <c r="AK26" s="107">
        <f>AJ26*100/$E$26</f>
        <v/>
      </c>
      <c r="AL26" s="108" t="n"/>
      <c r="AM26" s="107">
        <f>AL26*100/$E$26</f>
        <v/>
      </c>
      <c r="AN26" s="108" t="n"/>
      <c r="AO26" s="107">
        <f>AN26*100/$E$26</f>
        <v/>
      </c>
      <c r="AP26" s="108" t="n"/>
      <c r="AQ26" s="107">
        <f>AP26*100/$E$26</f>
        <v/>
      </c>
      <c r="AR26" s="108" t="n"/>
      <c r="AS26" s="107">
        <f>AR26*100/$E$26</f>
        <v/>
      </c>
      <c r="AT26" s="108" t="n"/>
      <c r="AU26" s="90">
        <f>AT26*100/$E$26</f>
        <v/>
      </c>
      <c r="AV26" s="108" t="n"/>
      <c r="AW26" s="107">
        <f>AV26*100/$E$26</f>
        <v/>
      </c>
      <c r="AX26" s="108" t="n"/>
      <c r="AY26" s="107">
        <f>AX26*100/$E$26</f>
        <v/>
      </c>
      <c r="AZ26" s="108" t="n"/>
      <c r="BA26" s="107">
        <f>AZ26*100/$E$26</f>
        <v/>
      </c>
      <c r="BB26" s="108" t="n"/>
      <c r="BC26" s="107">
        <f>BB26*100/$E$26</f>
        <v/>
      </c>
      <c r="BD26" s="108" t="n"/>
      <c r="BE26" s="107">
        <f>BD26*100/$E$26</f>
        <v/>
      </c>
      <c r="BF26" s="108" t="n"/>
      <c r="BG26" s="107">
        <f>BF26*100/$E$26</f>
        <v/>
      </c>
      <c r="BH26" s="108" t="n"/>
      <c r="BI26" s="107">
        <f>BH26*100/$E$26</f>
        <v/>
      </c>
      <c r="BJ26" s="108" t="n"/>
      <c r="BK26" s="107">
        <f>BJ26*100/$E$26</f>
        <v/>
      </c>
      <c r="BL26" s="108" t="n"/>
      <c r="BM26" s="107">
        <f>BL26*100/$E$26</f>
        <v/>
      </c>
      <c r="BN26" s="108" t="n"/>
      <c r="BO26" s="107">
        <f>BN26*100/$E$26</f>
        <v/>
      </c>
      <c r="BP26" s="108" t="n"/>
      <c r="BQ26" s="107">
        <f>BP26*100/$E$26</f>
        <v/>
      </c>
      <c r="BR26" s="108" t="n"/>
      <c r="BS26" s="107">
        <f>BR26*100/$E$26</f>
        <v/>
      </c>
      <c r="BT26" s="108" t="n"/>
      <c r="BU26" s="107">
        <f>BT26*100/$E$26</f>
        <v/>
      </c>
      <c r="BV26" s="108" t="n"/>
      <c r="BW26" s="107">
        <f>BV26*100/$E$26</f>
        <v/>
      </c>
      <c r="BX26" s="108" t="n"/>
      <c r="BY26" s="107">
        <f>BX26*100/$E$26</f>
        <v/>
      </c>
      <c r="BZ26" s="108" t="n"/>
      <c r="CA26" s="107">
        <f>BZ26*100/$E$26</f>
        <v/>
      </c>
      <c r="CB26" s="108" t="n"/>
      <c r="CC26" s="107">
        <f>CB26*100/$E$26</f>
        <v/>
      </c>
      <c r="CD26" s="108" t="n"/>
      <c r="CE26" s="107">
        <f>CD26*100/$E$26</f>
        <v/>
      </c>
      <c r="CF26" s="108" t="n"/>
      <c r="CG26" s="107">
        <f>CF26*100/$E$26</f>
        <v/>
      </c>
      <c r="CH26" s="108" t="n"/>
      <c r="CI26" s="107">
        <f>CH26*100/$E$26</f>
        <v/>
      </c>
      <c r="CJ26" s="108" t="n"/>
      <c r="CK26" s="107">
        <f>CJ26*100/$E$26</f>
        <v/>
      </c>
      <c r="CL26" s="108" t="n"/>
      <c r="CM26" s="107">
        <f>CL26*100/$E$26</f>
        <v/>
      </c>
      <c r="CN26" s="108" t="n"/>
      <c r="CO26" s="122">
        <f>CN26*100/$E$26</f>
        <v/>
      </c>
      <c r="CP26" s="108" t="n"/>
      <c r="CQ26" s="107">
        <f>CP26*100/$E$26</f>
        <v/>
      </c>
      <c r="CR26" s="108" t="n"/>
      <c r="CS26" s="122">
        <f>CR26*100/$E$26</f>
        <v/>
      </c>
      <c r="CT26" s="108" t="n"/>
      <c r="CU26" s="122">
        <f>CT26*100/$E$26</f>
        <v/>
      </c>
      <c r="CV26" s="108" t="n"/>
      <c r="CW26" s="122">
        <f>CV26*100/$E$26</f>
        <v/>
      </c>
      <c r="CX26" s="108" t="n"/>
      <c r="CY26" s="122">
        <f>CX26*100/$E$26</f>
        <v/>
      </c>
      <c r="CZ26" s="108" t="n"/>
      <c r="DA26" s="122">
        <f>CZ26*100/$E$26</f>
        <v/>
      </c>
      <c r="DB26" s="108" t="n"/>
      <c r="DC26" s="122">
        <f>DB26*100/$E$26</f>
        <v/>
      </c>
      <c r="DD26" s="108" t="n"/>
      <c r="DE26" s="122">
        <f>DD26*100/$E$26</f>
        <v/>
      </c>
      <c r="DF26" s="108" t="n"/>
      <c r="DG26" s="122">
        <f>DF26*100/$E$26</f>
        <v/>
      </c>
      <c r="DH26" s="108" t="n"/>
      <c r="DI26" s="122">
        <f>DH26*100/$E$26</f>
        <v/>
      </c>
      <c r="DJ26" s="108" t="n"/>
      <c r="DK26" s="122">
        <f>DJ26*100/$E$26</f>
        <v/>
      </c>
      <c r="DL26" s="108" t="n"/>
      <c r="DM26" s="122">
        <f>DL26*100/$E$26</f>
        <v/>
      </c>
      <c r="DN26" s="108" t="n"/>
      <c r="DO26" s="122">
        <f>DN26*100/$E$26</f>
        <v/>
      </c>
      <c r="DP26" s="108" t="n"/>
      <c r="DQ26" s="122">
        <f>DP26*100/$E$26</f>
        <v/>
      </c>
      <c r="DR26" s="108" t="n"/>
      <c r="DS26" s="122">
        <f>DR26*100/$E$26</f>
        <v/>
      </c>
      <c r="DT26" s="108" t="n"/>
      <c r="DU26" s="122">
        <f>DT26*100/$E$26</f>
        <v/>
      </c>
      <c r="DV26" s="108" t="n"/>
      <c r="DW26" s="122">
        <f>DV26*100/$E$26</f>
        <v/>
      </c>
      <c r="DX26" s="108" t="n"/>
      <c r="DY26" s="122">
        <f>DX26*100/$E$26</f>
        <v/>
      </c>
      <c r="DZ26" s="108" t="n"/>
      <c r="EA26" s="122">
        <f>DZ26*100/$E$26</f>
        <v/>
      </c>
      <c r="EB26" s="108" t="n"/>
      <c r="EC26" s="122">
        <f>EB26*100/$E$26</f>
        <v/>
      </c>
      <c r="ED26" s="108" t="n"/>
      <c r="EE26" s="122">
        <f>ED26*100/$E$26</f>
        <v/>
      </c>
      <c r="EF26" s="108" t="n"/>
      <c r="EG26" s="122">
        <f>EF26*100/$E$26</f>
        <v/>
      </c>
      <c r="EH26" s="108" t="n"/>
      <c r="EI26" s="122">
        <f>EH26*100/$E$26</f>
        <v/>
      </c>
      <c r="EJ26" s="108" t="n"/>
      <c r="EK26" s="122">
        <f>EJ26*100/$E$26</f>
        <v/>
      </c>
      <c r="EL26" s="108" t="n"/>
      <c r="EM26" s="122">
        <f>EL26*100/$E$26</f>
        <v/>
      </c>
      <c r="EN26" s="108" t="n"/>
      <c r="EO26" s="122">
        <f>EN26*100/$E$26</f>
        <v/>
      </c>
      <c r="EP26" s="108" t="n"/>
      <c r="EQ26" s="122">
        <f>EP26*100/$E$26</f>
        <v/>
      </c>
      <c r="ER26" s="108" t="n"/>
      <c r="ES26" s="122">
        <f>ER26*100/$E$26</f>
        <v/>
      </c>
      <c r="ET26" s="108" t="n"/>
      <c r="EU26" s="122">
        <f>ET26*100/$E$26</f>
        <v/>
      </c>
      <c r="EV26" s="108" t="n"/>
      <c r="EW26" s="122">
        <f>EV26*100/$E$26</f>
        <v/>
      </c>
      <c r="EX26" s="108" t="n"/>
      <c r="EY26" s="122">
        <f>EX26*100/$E$26</f>
        <v/>
      </c>
      <c r="EZ26" s="108" t="n"/>
      <c r="FA26" s="122">
        <f>EZ26*100/$E$26</f>
        <v/>
      </c>
      <c r="FB26" s="108" t="n"/>
      <c r="FC26" s="122">
        <f>FB26*100/$E$26</f>
        <v/>
      </c>
      <c r="FD26" s="108" t="n"/>
      <c r="FE26" s="122">
        <f>FD26*100/$E$26</f>
        <v/>
      </c>
      <c r="FF26" s="108" t="n"/>
      <c r="FG26" s="122">
        <f>FF26*100/$E$26</f>
        <v/>
      </c>
      <c r="FH26" s="108" t="n"/>
      <c r="FI26" s="122">
        <f>FH26*100/$E$26</f>
        <v/>
      </c>
      <c r="FJ26" s="108" t="n"/>
      <c r="FK26" s="122">
        <f>FJ26*100/$E$26</f>
        <v/>
      </c>
      <c r="FL26" s="108" t="n"/>
      <c r="FM26" s="122">
        <f>FL26*100/$E$26</f>
        <v/>
      </c>
      <c r="FN26" s="108" t="n"/>
      <c r="FO26" s="122">
        <f>FN26*100/$E$26</f>
        <v/>
      </c>
      <c r="FP26" s="108" t="n"/>
      <c r="FQ26" s="122">
        <f>FP26*100/$E$26</f>
        <v/>
      </c>
      <c r="FR26" s="108" t="n"/>
      <c r="FS26" s="122">
        <f>FR26*100/$E$26</f>
        <v/>
      </c>
      <c r="FT26" s="108" t="n"/>
      <c r="FU26" s="122">
        <f>FT26*100/$E$26</f>
        <v/>
      </c>
      <c r="FV26" s="108" t="n"/>
      <c r="FW26" s="122">
        <f>FV26*100/$E$26</f>
        <v/>
      </c>
      <c r="FX26" s="108" t="n"/>
      <c r="FY26" s="107">
        <f>FX26*100/$E$26</f>
        <v/>
      </c>
      <c r="FZ26" s="108" t="n"/>
      <c r="GA26" s="107">
        <f>FZ26*100/$E$26</f>
        <v/>
      </c>
      <c r="GB26" s="108" t="n"/>
      <c r="GC26" s="107">
        <f>GB26*100/$E$26</f>
        <v/>
      </c>
      <c r="GD26" s="108" t="n"/>
      <c r="GE26" s="107">
        <f>GD26*100/$E$26</f>
        <v/>
      </c>
      <c r="GF26" s="108" t="n"/>
      <c r="GG26" s="107">
        <f>GF26*100/$E$26</f>
        <v/>
      </c>
      <c r="GH26" s="108" t="n"/>
      <c r="GI26" s="107">
        <f>GH26*100/$E$26</f>
        <v/>
      </c>
      <c r="GJ26" s="108" t="n"/>
      <c r="GK26" s="122">
        <f>GJ26*100/$E$26</f>
        <v/>
      </c>
      <c r="GL26" s="108" t="n"/>
      <c r="GM26" s="107">
        <f>GL26*100/$E$26</f>
        <v/>
      </c>
      <c r="GN26" s="108" t="n"/>
      <c r="GO26" s="122">
        <f>GN26*100/$E$26</f>
        <v/>
      </c>
      <c r="GP26" s="108" t="n"/>
      <c r="GQ26" s="107">
        <f>GP26*100/$E$26</f>
        <v/>
      </c>
      <c r="GR26" s="108" t="n"/>
      <c r="GS26" s="122">
        <f>GR26*100/$E$26</f>
        <v/>
      </c>
      <c r="GT26" s="108" t="n"/>
      <c r="GU26" s="122">
        <f>GT26*100/$E$26</f>
        <v/>
      </c>
      <c r="GV26" s="108" t="n"/>
      <c r="GW26" s="122">
        <f>GV26*100/$E$26</f>
        <v/>
      </c>
      <c r="GX26" s="108" t="n"/>
      <c r="GY26" s="107">
        <f>GX26*100/$E$26</f>
        <v/>
      </c>
      <c r="GZ26" s="108" t="n"/>
      <c r="HA26" s="107">
        <f>GZ26*100/$E$26</f>
        <v/>
      </c>
      <c r="HB26" s="108" t="n"/>
      <c r="HC26" s="107">
        <f>HB26*100/$E$26</f>
        <v/>
      </c>
      <c r="HD26" s="108" t="n"/>
      <c r="HE26" s="107">
        <f>HD26*100/$E$26</f>
        <v/>
      </c>
      <c r="HF26" s="108" t="n"/>
      <c r="HG26" s="107">
        <f>HF26*100/$E$26</f>
        <v/>
      </c>
      <c r="HH26" s="108" t="n"/>
      <c r="HI26" s="107">
        <f>HH26*100/$E$26</f>
        <v/>
      </c>
      <c r="HJ26" s="108" t="n"/>
      <c r="HK26" s="107">
        <f>HJ26*100/$E$26</f>
        <v/>
      </c>
      <c r="HL26" s="108" t="n"/>
      <c r="HM26" s="107">
        <f>HL26*100/$E$26</f>
        <v/>
      </c>
      <c r="HN26" s="108" t="n"/>
      <c r="HO26" s="107">
        <f>HN26*100/$E$26</f>
        <v/>
      </c>
      <c r="HP26" s="108" t="n"/>
      <c r="HQ26" s="107">
        <f>HP26*100/$E$26</f>
        <v/>
      </c>
      <c r="HR26" s="108" t="n"/>
      <c r="HS26" s="107">
        <f>HR26*100/$E$26</f>
        <v/>
      </c>
      <c r="HT26" s="108" t="n"/>
      <c r="HU26" s="107">
        <f>HT26*100/$E$26</f>
        <v/>
      </c>
      <c r="HV26" s="108" t="n"/>
      <c r="HW26" s="107">
        <f>HV26*100/$E$26</f>
        <v/>
      </c>
      <c r="HX26" s="108" t="n"/>
      <c r="HY26" s="107">
        <f>HX26*100/$E$26</f>
        <v/>
      </c>
      <c r="HZ26" s="108" t="n"/>
      <c r="IA26" s="122">
        <f>HZ26*100/$E$26</f>
        <v/>
      </c>
      <c r="IB26" s="108" t="n"/>
      <c r="IC26" s="122">
        <f>IB26*100/$E$26</f>
        <v/>
      </c>
      <c r="ID26" s="108" t="n"/>
      <c r="IE26" s="122">
        <f>ID26*100/$E$26</f>
        <v/>
      </c>
      <c r="IF26" s="108" t="n"/>
      <c r="IG26" s="122">
        <f>IF26*100/$E$26</f>
        <v/>
      </c>
      <c r="IH26" s="108" t="n"/>
      <c r="II26" s="122">
        <f>IH26*100/$E$26</f>
        <v/>
      </c>
      <c r="IJ26" s="108" t="n"/>
      <c r="IK26" s="122">
        <f>IJ26*100/$E$26</f>
        <v/>
      </c>
      <c r="IL26" s="108" t="n"/>
      <c r="IM26" s="107">
        <f>IL26*100/$E$26</f>
        <v/>
      </c>
      <c r="IN26" s="108" t="n"/>
      <c r="IO26" s="107">
        <f>IN26*100/$E$26</f>
        <v/>
      </c>
      <c r="IP26" s="108" t="n"/>
      <c r="IQ26" s="122">
        <f>IP26*100/$E$26</f>
        <v/>
      </c>
      <c r="IR26" s="108" t="n"/>
      <c r="IS26" s="122">
        <f>IR26*100/$E$26</f>
        <v/>
      </c>
      <c r="IT26" s="108" t="n"/>
      <c r="IU26" s="122">
        <f>IT26*100/$E$26</f>
        <v/>
      </c>
      <c r="IV26" s="108" t="n"/>
      <c r="IW26" s="122">
        <f>IV26*100/$E$26</f>
        <v/>
      </c>
      <c r="IX26" s="108" t="n"/>
      <c r="IY26" s="122">
        <f>IX26*100/$E$26</f>
        <v/>
      </c>
      <c r="IZ26" s="108" t="n"/>
      <c r="JA26" s="122">
        <f>IZ26*100/$E$26</f>
        <v/>
      </c>
      <c r="JB26" s="108" t="n"/>
      <c r="JC26" s="122">
        <f>JB26*100/$E$26</f>
        <v/>
      </c>
      <c r="JD26" s="108" t="n"/>
      <c r="JE26" s="122">
        <f>JD26*100/$E$26</f>
        <v/>
      </c>
      <c r="JF26" s="108" t="n"/>
      <c r="JG26" s="122">
        <f>JF26*100/$E$26</f>
        <v/>
      </c>
      <c r="JH26" s="108" t="n"/>
      <c r="JI26" s="122">
        <f>JH26*100/$E$26</f>
        <v/>
      </c>
      <c r="JJ26" s="108" t="n"/>
      <c r="JK26" s="122">
        <f>JJ26*100/$E$26</f>
        <v/>
      </c>
      <c r="JL26" s="108" t="n"/>
      <c r="JM26" s="122">
        <f>JL26*100/$E$26</f>
        <v/>
      </c>
      <c r="JN26" s="108" t="n"/>
      <c r="JO26" s="122">
        <f>JN26*100/$E$26</f>
        <v/>
      </c>
      <c r="JP26" s="108" t="n"/>
      <c r="JQ26" s="122">
        <f>JP26*100/$E$26</f>
        <v/>
      </c>
      <c r="JR26" s="108" t="n"/>
      <c r="JS26" s="122">
        <f>JR26*100/$E$26</f>
        <v/>
      </c>
      <c r="JT26" s="108" t="n"/>
      <c r="JU26" s="122">
        <f>JT26*100/$E$26</f>
        <v/>
      </c>
      <c r="JV26" s="132" t="n"/>
      <c r="JW26" s="122">
        <f>JV26*100/$E$26</f>
        <v/>
      </c>
      <c r="JX26" s="132" t="n"/>
      <c r="JY26" s="122">
        <f>JX26*100/$E$26</f>
        <v/>
      </c>
      <c r="JZ26" s="55">
        <f>JN26+JP26+JR26+JT26+JV26+JX26</f>
        <v/>
      </c>
      <c r="KA26" s="53">
        <f>JO26+JQ26+JS26+JU26+JW26+JY26</f>
        <v/>
      </c>
      <c r="KB26" s="64">
        <f>H26+J26+L26+N26+P26+R26+T26+V26+X26+Z26+AB26+AD26+AF26+AH26+AJ26+AL26+AN26+AP26+AR26+AT26+AV26+AX26+AZ26+BB26+BD26+BF26+BH26+BJ26+BL26+BN26+BP26+BR26+BT26+BV26+BX26+BZ26+CB26+CD26+CF26+CH26+CZ26+DB26+DD26+DF26+DH26+DJ26+DL26+DN26+DP26+DR26+DT26+DV26+DX26+DZ26+EB26+ED26+EF26+EH26+EJ26+EL26+EN26+EP26+ER26+ET26+EV26+FN26+FP26+FR26+FT26+FV26+FX26+FZ26+GB26+GD26+GF26+GH26+GJ26+GL26+GN26+GP26+GR26+GT26+GV26+GX26+GZ26+HB26+HD26+HF26+HH26+HJ26+HL26+HN26+HP26+HR26+HT26+HV26+HX26+HZ26+IB26+ID26+IF26+IH26+IJ26+IL26+IN26+IP26+IR26+IT26+IV26+IX26+IZ26+JB26+JD26+JF26+JH26+JJ26+JL26+JZ26+CJ26+CL26+CN26+CP26+CR26+CT26+CV26+CX26+EX26+EZ26+FB26+FD26+FF26+FH26+FJ26+FL26</f>
        <v/>
      </c>
      <c r="KC26" s="66">
        <f>I26+K26+M26+O26+Q26+S26+U26+W26+Y26+AA26+AC26+AE26+AG26+AI26+AK26+AM26+AO26+AQ26+AS26+AU26+AW26+AY26+BA26+BC26+BE26+BG26+BI26+BK26+BM26+BO26+BQ26+BS26+BU26+BW26+BY26+CA26+CC26+CE26+CG26+CI26+DA26+DC26+DE26+DG26+DI26+DK26+DM26+DO26+DQ26+DS26+DU26+DW26+DY26+EA26+EC26+EE26+EG26+EI26+EK26+EM26+EO26+EQ26+ES26+EU26+EW26+FO26+FS26+FU26+FW26+FQ26+FY26+GA26+GC26+GE26+GG26+GI26+GK26+GM26+GO26+GQ26+GS26+GU26+GW26+GY26+HA26+HC26+HE26+HG26+HI26+HK26+HM26+HO26+HQ26+HS26+HU26+HW26+HY26+IA26+IC26+IE26+IG26+II26+IK26+IM26+IO26+IQ26+IS26+IU26+IW26+IY26+JA26+JC26+JE26+JG26+JI26+JK26+JM26+KA26+CK26+CM26+CO26+CQ26+CS26+CU26+CW26+CY26+EY26+FA26+FC26+FE26+FG26+FI26+FK26+FM26</f>
        <v/>
      </c>
      <c r="KD26" s="44">
        <f>JO26+JQ26+JS26+JU26+JW26+JY26</f>
        <v/>
      </c>
      <c r="KE26" s="46">
        <f>KB26=E26</f>
        <v/>
      </c>
      <c r="KF26" s="101">
        <f>E26-KB26</f>
        <v/>
      </c>
      <c r="KG26" s="20" t="n"/>
    </row>
    <row r="27" ht="21.75" customFormat="1" customHeight="1" s="19">
      <c r="A27" s="126">
        <f>A26+1</f>
        <v/>
      </c>
      <c r="B27" s="192" t="inlineStr">
        <is>
          <t>Кожемякин Е.А.</t>
        </is>
      </c>
      <c r="C27" s="176" t="inlineStr">
        <is>
          <t>сварщик</t>
        </is>
      </c>
      <c r="D27" s="177">
        <f>$D$5</f>
        <v/>
      </c>
      <c r="E27" s="202" t="n"/>
      <c r="F27" s="193" t="n">
        <v>61252.7</v>
      </c>
      <c r="G27" s="52">
        <f>F27/D27</f>
        <v/>
      </c>
      <c r="H27" s="125" t="n"/>
      <c r="I27" s="107">
        <f>H27*100/$E$27</f>
        <v/>
      </c>
      <c r="J27" s="108" t="n"/>
      <c r="K27" s="122">
        <f>J27*100/$E$27</f>
        <v/>
      </c>
      <c r="L27" s="108" t="n"/>
      <c r="M27" s="122">
        <f>L27*100/$E$27</f>
        <v/>
      </c>
      <c r="N27" s="108" t="n"/>
      <c r="O27" s="122">
        <f>N27*100/$E$27</f>
        <v/>
      </c>
      <c r="P27" s="108" t="n"/>
      <c r="Q27" s="122">
        <f>P27*100/$E$27</f>
        <v/>
      </c>
      <c r="R27" s="108" t="n"/>
      <c r="S27" s="122">
        <f>R27*100/$E$27</f>
        <v/>
      </c>
      <c r="T27" s="108" t="n"/>
      <c r="U27" s="122">
        <f>T27*100/$E$27</f>
        <v/>
      </c>
      <c r="V27" s="108" t="n"/>
      <c r="W27" s="107">
        <f>V27*100/$E$27</f>
        <v/>
      </c>
      <c r="X27" s="108" t="n"/>
      <c r="Y27" s="107">
        <f>X27*100/$E$27</f>
        <v/>
      </c>
      <c r="Z27" s="108" t="n"/>
      <c r="AA27" s="122">
        <f>Z27*100/$E$27</f>
        <v/>
      </c>
      <c r="AB27" s="108" t="n"/>
      <c r="AC27" s="107">
        <f>AB27*100/$E$27</f>
        <v/>
      </c>
      <c r="AD27" s="108" t="n"/>
      <c r="AE27" s="122">
        <f>AD27*100/$E$27</f>
        <v/>
      </c>
      <c r="AF27" s="108" t="n"/>
      <c r="AG27" s="107">
        <f>AF27*100/$E$27</f>
        <v/>
      </c>
      <c r="AH27" s="108" t="n"/>
      <c r="AI27" s="107">
        <f>AH27*100/$E$27</f>
        <v/>
      </c>
      <c r="AJ27" s="108" t="n"/>
      <c r="AK27" s="107">
        <f>AJ27*100/$E$27</f>
        <v/>
      </c>
      <c r="AL27" s="108" t="n"/>
      <c r="AM27" s="107">
        <f>AL27*100/$E$27</f>
        <v/>
      </c>
      <c r="AN27" s="108" t="n"/>
      <c r="AO27" s="107">
        <f>AN27*100/$E$27</f>
        <v/>
      </c>
      <c r="AP27" s="108" t="n"/>
      <c r="AQ27" s="107">
        <f>AP27*100/$E$27</f>
        <v/>
      </c>
      <c r="AR27" s="108" t="n"/>
      <c r="AS27" s="107">
        <f>AR27*100/$E$27</f>
        <v/>
      </c>
      <c r="AT27" s="108" t="n"/>
      <c r="AU27" s="90">
        <f>AT27*100/$E$27</f>
        <v/>
      </c>
      <c r="AV27" s="108" t="n"/>
      <c r="AW27" s="107">
        <f>AV27*100/$E$27</f>
        <v/>
      </c>
      <c r="AX27" s="108" t="n"/>
      <c r="AY27" s="107">
        <f>AX27*100/$E$27</f>
        <v/>
      </c>
      <c r="AZ27" s="108" t="n"/>
      <c r="BA27" s="107">
        <f>AZ27*100/$E$27</f>
        <v/>
      </c>
      <c r="BB27" s="108" t="n"/>
      <c r="BC27" s="107">
        <f>BB27*100/$E$27</f>
        <v/>
      </c>
      <c r="BD27" s="108" t="n"/>
      <c r="BE27" s="107">
        <f>BD27*100/$E$27</f>
        <v/>
      </c>
      <c r="BF27" s="108" t="n"/>
      <c r="BG27" s="139">
        <f>BF27*100/$E$27</f>
        <v/>
      </c>
      <c r="BH27" s="108" t="n"/>
      <c r="BI27" s="107">
        <f>BH27*100/$E$27</f>
        <v/>
      </c>
      <c r="BJ27" s="108" t="n"/>
      <c r="BK27" s="107">
        <f>BJ27*100/$E$27</f>
        <v/>
      </c>
      <c r="BL27" s="108" t="n"/>
      <c r="BM27" s="107">
        <f>BL27*100/$E$27</f>
        <v/>
      </c>
      <c r="BN27" s="108" t="n"/>
      <c r="BO27" s="107">
        <f>BN27*100/$E$27</f>
        <v/>
      </c>
      <c r="BP27" s="108" t="n"/>
      <c r="BQ27" s="107">
        <f>BP27*100/$E$27</f>
        <v/>
      </c>
      <c r="BR27" s="108" t="n"/>
      <c r="BS27" s="107">
        <f>BR27*100/$E$27</f>
        <v/>
      </c>
      <c r="BT27" s="108" t="n"/>
      <c r="BU27" s="107">
        <f>BT27*100/$E$27</f>
        <v/>
      </c>
      <c r="BV27" s="108" t="n"/>
      <c r="BW27" s="107">
        <f>BV27*100/$E$27</f>
        <v/>
      </c>
      <c r="BX27" s="108" t="n"/>
      <c r="BY27" s="107">
        <f>BX27*100/$E$27</f>
        <v/>
      </c>
      <c r="BZ27" s="108" t="n"/>
      <c r="CA27" s="107">
        <f>BZ27*100/$E$27</f>
        <v/>
      </c>
      <c r="CB27" s="108" t="n"/>
      <c r="CC27" s="107">
        <f>CB27*100/$E$27</f>
        <v/>
      </c>
      <c r="CD27" s="108" t="n"/>
      <c r="CE27" s="139">
        <f>CD27*100/$E$27</f>
        <v/>
      </c>
      <c r="CF27" s="108" t="n"/>
      <c r="CG27" s="107">
        <f>CF27*100/$E$27</f>
        <v/>
      </c>
      <c r="CH27" s="108" t="n"/>
      <c r="CI27" s="107">
        <f>CH27*100/$E$27</f>
        <v/>
      </c>
      <c r="CJ27" s="108" t="n"/>
      <c r="CK27" s="107">
        <f>CJ27*100/$E$27</f>
        <v/>
      </c>
      <c r="CL27" s="108" t="n"/>
      <c r="CM27" s="107">
        <f>CL27*100/$E$27</f>
        <v/>
      </c>
      <c r="CN27" s="108" t="n"/>
      <c r="CO27" s="122">
        <f>CN27*100/$E$27</f>
        <v/>
      </c>
      <c r="CP27" s="108" t="n"/>
      <c r="CQ27" s="107">
        <f>CP27*100/$E$27</f>
        <v/>
      </c>
      <c r="CR27" s="108" t="n"/>
      <c r="CS27" s="122">
        <f>CR27*100/$E$27</f>
        <v/>
      </c>
      <c r="CT27" s="108" t="n"/>
      <c r="CU27" s="122">
        <f>CT27*100/$E$27</f>
        <v/>
      </c>
      <c r="CV27" s="108" t="n"/>
      <c r="CW27" s="122">
        <f>CV27*100/$E$27</f>
        <v/>
      </c>
      <c r="CX27" s="108" t="n"/>
      <c r="CY27" s="122">
        <f>CX27*100/$E$27</f>
        <v/>
      </c>
      <c r="CZ27" s="108" t="n"/>
      <c r="DA27" s="122">
        <f>CZ27*100/$E$27</f>
        <v/>
      </c>
      <c r="DB27" s="108" t="n"/>
      <c r="DC27" s="122">
        <f>DB27*100/$E$27</f>
        <v/>
      </c>
      <c r="DD27" s="108" t="n"/>
      <c r="DE27" s="122">
        <f>DD27*100/$E$27</f>
        <v/>
      </c>
      <c r="DF27" s="108" t="n"/>
      <c r="DG27" s="122">
        <f>DF27*100/$E$27</f>
        <v/>
      </c>
      <c r="DH27" s="108" t="n"/>
      <c r="DI27" s="122">
        <f>DH27*100/$E$27</f>
        <v/>
      </c>
      <c r="DJ27" s="108" t="n"/>
      <c r="DK27" s="122">
        <f>DJ27*100/$E$27</f>
        <v/>
      </c>
      <c r="DL27" s="108" t="n"/>
      <c r="DM27" s="122">
        <f>DL27*100/$E$27</f>
        <v/>
      </c>
      <c r="DN27" s="108" t="n"/>
      <c r="DO27" s="122">
        <f>DN27*100/$E$27</f>
        <v/>
      </c>
      <c r="DP27" s="108" t="n"/>
      <c r="DQ27" s="122">
        <f>DP27*100/$E$27</f>
        <v/>
      </c>
      <c r="DR27" s="108" t="n"/>
      <c r="DS27" s="139">
        <f>DR27*100/$E$27</f>
        <v/>
      </c>
      <c r="DT27" s="108" t="n"/>
      <c r="DU27" s="122">
        <f>DT27*100/$E$27</f>
        <v/>
      </c>
      <c r="DV27" s="108" t="n"/>
      <c r="DW27" s="122">
        <f>DV27*100/$E$27</f>
        <v/>
      </c>
      <c r="DX27" s="108" t="n"/>
      <c r="DY27" s="122">
        <f>DX27*100/$E$27</f>
        <v/>
      </c>
      <c r="DZ27" s="108" t="n"/>
      <c r="EA27" s="122">
        <f>DZ27*100/$E$27</f>
        <v/>
      </c>
      <c r="EB27" s="108" t="n"/>
      <c r="EC27" s="122">
        <f>EB27*100/$E$27</f>
        <v/>
      </c>
      <c r="ED27" s="108" t="n"/>
      <c r="EE27" s="122">
        <f>ED27*100/$E$27</f>
        <v/>
      </c>
      <c r="EF27" s="108" t="n"/>
      <c r="EG27" s="122">
        <f>EF27*100/$E$27</f>
        <v/>
      </c>
      <c r="EH27" s="108" t="n"/>
      <c r="EI27" s="139">
        <f>EH27*100/$E$27</f>
        <v/>
      </c>
      <c r="EJ27" s="108" t="n"/>
      <c r="EK27" s="139">
        <f>EJ27*100/$E$27</f>
        <v/>
      </c>
      <c r="EL27" s="108" t="n"/>
      <c r="EM27" s="139">
        <f>EL27*100/$E$27</f>
        <v/>
      </c>
      <c r="EN27" s="108" t="n"/>
      <c r="EO27" s="139">
        <f>EN27*100/$E$27</f>
        <v/>
      </c>
      <c r="EP27" s="108" t="n"/>
      <c r="EQ27" s="139">
        <f>EP27*100/$E$27</f>
        <v/>
      </c>
      <c r="ER27" s="108" t="n"/>
      <c r="ES27" s="139">
        <f>ER27*100/$E$27</f>
        <v/>
      </c>
      <c r="ET27" s="108" t="n"/>
      <c r="EU27" s="140">
        <f>ET27*100/$E$27</f>
        <v/>
      </c>
      <c r="EV27" s="108" t="n"/>
      <c r="EW27" s="122">
        <f>EV27*100/$E$27</f>
        <v/>
      </c>
      <c r="EX27" s="108" t="n"/>
      <c r="EY27" s="122">
        <f>EX27*100/$E$27</f>
        <v/>
      </c>
      <c r="EZ27" s="108" t="n"/>
      <c r="FA27" s="122">
        <f>EZ27*100/$E$27</f>
        <v/>
      </c>
      <c r="FB27" s="108" t="n"/>
      <c r="FC27" s="122">
        <f>FB27*100/$E$27</f>
        <v/>
      </c>
      <c r="FD27" s="108" t="n"/>
      <c r="FE27" s="122">
        <f>FD27*100/$E$27</f>
        <v/>
      </c>
      <c r="FF27" s="108" t="n"/>
      <c r="FG27" s="122">
        <f>FF27*100/$E$27</f>
        <v/>
      </c>
      <c r="FH27" s="108" t="n"/>
      <c r="FI27" s="122">
        <f>FH27*100/$E$27</f>
        <v/>
      </c>
      <c r="FJ27" s="108" t="n"/>
      <c r="FK27" s="122">
        <f>FJ27*100/$E$27</f>
        <v/>
      </c>
      <c r="FL27" s="108" t="n"/>
      <c r="FM27" s="122">
        <f>FL27*100/$E$27</f>
        <v/>
      </c>
      <c r="FN27" s="108" t="n"/>
      <c r="FO27" s="122">
        <f>FN27*100/$E$27</f>
        <v/>
      </c>
      <c r="FP27" s="108" t="n"/>
      <c r="FQ27" s="139">
        <f>FP27*100/$E$27</f>
        <v/>
      </c>
      <c r="FR27" s="108" t="n"/>
      <c r="FS27" s="139">
        <f>FR27*100/$E$27</f>
        <v/>
      </c>
      <c r="FT27" s="108" t="n"/>
      <c r="FU27" s="139">
        <f>FT27*100/$E$27</f>
        <v/>
      </c>
      <c r="FV27" s="108" t="n"/>
      <c r="FW27" s="139">
        <f>FV27*100/$E$27</f>
        <v/>
      </c>
      <c r="FX27" s="108" t="n"/>
      <c r="FY27" s="139">
        <f>FX27*100/$E$27</f>
        <v/>
      </c>
      <c r="FZ27" s="108" t="n"/>
      <c r="GA27" s="140">
        <f>FZ27*100/$E$27</f>
        <v/>
      </c>
      <c r="GB27" s="108" t="n"/>
      <c r="GC27" s="140">
        <f>GB27*100/$E$27</f>
        <v/>
      </c>
      <c r="GD27" s="108" t="n"/>
      <c r="GE27" s="139">
        <f>GD27*100/$E$27</f>
        <v/>
      </c>
      <c r="GF27" s="108" t="n"/>
      <c r="GG27" s="140">
        <f>GF27*100/$E$27</f>
        <v/>
      </c>
      <c r="GH27" s="108" t="n"/>
      <c r="GI27" s="139">
        <f>GH27*100/$E$27</f>
        <v/>
      </c>
      <c r="GJ27" s="108" t="n"/>
      <c r="GK27" s="122">
        <f>GJ27*100/$E$27</f>
        <v/>
      </c>
      <c r="GL27" s="108" t="n"/>
      <c r="GM27" s="139">
        <f>GL27*100/$E$27</f>
        <v/>
      </c>
      <c r="GN27" s="133" t="n"/>
      <c r="GO27" s="122">
        <f>GN27*100/$E$27</f>
        <v/>
      </c>
      <c r="GP27" s="133" t="n"/>
      <c r="GQ27" s="139">
        <f>GP27*100/$E$27</f>
        <v/>
      </c>
      <c r="GR27" s="133" t="n"/>
      <c r="GS27" s="122">
        <f>GR27*100/$E$27</f>
        <v/>
      </c>
      <c r="GT27" s="133" t="n"/>
      <c r="GU27" s="122">
        <f>GT27*100/$E$27</f>
        <v/>
      </c>
      <c r="GV27" s="133" t="n"/>
      <c r="GW27" s="139">
        <f>GV27*100/$E$27</f>
        <v/>
      </c>
      <c r="GX27" s="133" t="n"/>
      <c r="GY27" s="139">
        <f>GX27*100/$E$27</f>
        <v/>
      </c>
      <c r="GZ27" s="133" t="n"/>
      <c r="HA27" s="139">
        <f>GZ27*100/$E$27</f>
        <v/>
      </c>
      <c r="HB27" s="133" t="n"/>
      <c r="HC27" s="139">
        <f>HB27*100/$E$27</f>
        <v/>
      </c>
      <c r="HD27" s="133" t="n"/>
      <c r="HE27" s="139">
        <f>HD27*100/$E$27</f>
        <v/>
      </c>
      <c r="HF27" s="133" t="n"/>
      <c r="HG27" s="140">
        <f>HF27*100/$E$27</f>
        <v/>
      </c>
      <c r="HH27" s="133" t="n"/>
      <c r="HI27" s="140">
        <f>HH27*100/$E$27</f>
        <v/>
      </c>
      <c r="HJ27" s="133" t="n"/>
      <c r="HK27" s="139">
        <f>HJ27*100/$E$27</f>
        <v/>
      </c>
      <c r="HL27" s="133" t="n"/>
      <c r="HM27" s="140">
        <f>HL27*100/$E$27</f>
        <v/>
      </c>
      <c r="HN27" s="133" t="n"/>
      <c r="HO27" s="139">
        <f>HN27*100/$E$27</f>
        <v/>
      </c>
      <c r="HP27" s="133" t="n"/>
      <c r="HQ27" s="140">
        <f>HP27*100/$E$27</f>
        <v/>
      </c>
      <c r="HR27" s="133" t="n"/>
      <c r="HS27" s="139">
        <f>HR27*100/$E$27</f>
        <v/>
      </c>
      <c r="HT27" s="133" t="n"/>
      <c r="HU27" s="140">
        <f>HT27*100/$E$27</f>
        <v/>
      </c>
      <c r="HV27" s="133" t="n"/>
      <c r="HW27" s="139">
        <f>HV27*100/$E$27</f>
        <v/>
      </c>
      <c r="HX27" s="108" t="n"/>
      <c r="HY27" s="140">
        <f>HX27*100/$E$27</f>
        <v/>
      </c>
      <c r="HZ27" s="108" t="n"/>
      <c r="IA27" s="122">
        <f>HZ27*100/$E$27</f>
        <v/>
      </c>
      <c r="IB27" s="108" t="n"/>
      <c r="IC27" s="122">
        <f>IB27*100/$E$27</f>
        <v/>
      </c>
      <c r="ID27" s="133" t="n"/>
      <c r="IE27" s="122">
        <f>ID27*100/$E$27</f>
        <v/>
      </c>
      <c r="IF27" s="108" t="n"/>
      <c r="IG27" s="122">
        <f>IF27*100/$E$27</f>
        <v/>
      </c>
      <c r="IH27" s="108" t="n"/>
      <c r="II27" s="122">
        <f>IH27*100/$E$27</f>
        <v/>
      </c>
      <c r="IJ27" s="108" t="n"/>
      <c r="IK27" s="122">
        <f>IJ27*100/$E$27</f>
        <v/>
      </c>
      <c r="IL27" s="108" t="n"/>
      <c r="IM27" s="140">
        <f>IL27*100/$E$27</f>
        <v/>
      </c>
      <c r="IN27" s="108" t="n"/>
      <c r="IO27" s="140">
        <f>IN27*100/$E$27</f>
        <v/>
      </c>
      <c r="IP27" s="108" t="n"/>
      <c r="IQ27" s="122">
        <f>IP27*100/$E$27</f>
        <v/>
      </c>
      <c r="IR27" s="108" t="n"/>
      <c r="IS27" s="122">
        <f>IR27*100/$E$27</f>
        <v/>
      </c>
      <c r="IT27" s="108" t="n"/>
      <c r="IU27" s="122">
        <f>IT27*100/$E$27</f>
        <v/>
      </c>
      <c r="IV27" s="133" t="n"/>
      <c r="IW27" s="122">
        <f>IV27*100/$E$27</f>
        <v/>
      </c>
      <c r="IX27" s="133" t="n"/>
      <c r="IY27" s="122">
        <f>IX27*100/$E$27</f>
        <v/>
      </c>
      <c r="IZ27" s="133" t="n"/>
      <c r="JA27" s="122">
        <f>IZ27*100/$E$27</f>
        <v/>
      </c>
      <c r="JB27" s="108" t="n"/>
      <c r="JC27" s="122">
        <f>JB27*100/$E$27</f>
        <v/>
      </c>
      <c r="JD27" s="108" t="n"/>
      <c r="JE27" s="122">
        <f>JD27*100/$E$27</f>
        <v/>
      </c>
      <c r="JF27" s="133" t="n"/>
      <c r="JG27" s="139">
        <f>JF27*100/$E$27</f>
        <v/>
      </c>
      <c r="JH27" s="133" t="n"/>
      <c r="JI27" s="122">
        <f>JH27*100/$E$27</f>
        <v/>
      </c>
      <c r="JJ27" s="133" t="n"/>
      <c r="JK27" s="139">
        <f>JJ27*100/$E$27</f>
        <v/>
      </c>
      <c r="JL27" s="108" t="n"/>
      <c r="JM27" s="122">
        <f>JL27*100/$E$27</f>
        <v/>
      </c>
      <c r="JN27" s="108" t="n"/>
      <c r="JO27" s="122">
        <f>JN27*100/$E$27</f>
        <v/>
      </c>
      <c r="JP27" s="108" t="n"/>
      <c r="JQ27" s="122">
        <f>JP27*100/$E$27</f>
        <v/>
      </c>
      <c r="JR27" s="108" t="n"/>
      <c r="JS27" s="122">
        <f>JR27*100/$E$27</f>
        <v/>
      </c>
      <c r="JT27" s="108" t="n"/>
      <c r="JU27" s="122">
        <f>JT27*100/$E$27</f>
        <v/>
      </c>
      <c r="JV27" s="108" t="n"/>
      <c r="JW27" s="122">
        <f>JV27*100/$E$27</f>
        <v/>
      </c>
      <c r="JX27" s="108" t="n"/>
      <c r="JY27" s="122">
        <f>JX27*100/$E$27</f>
        <v/>
      </c>
      <c r="JZ27" s="55">
        <f>JN27+JP27+JR27+JT27+JV27+JX27</f>
        <v/>
      </c>
      <c r="KA27" s="53">
        <f>JO27+JQ27+JS27+JU27+JW27+JY27</f>
        <v/>
      </c>
      <c r="KB27" s="64">
        <f>H27+J27+L27+N27+P27+R27+T27+V27+X27+Z27+AB27+AD27+AF27+AH27+AJ27+AL27+AN27+AP27+AR27+AT27+AV27+AX27+AZ27+BB27+BD27+BF27+BH27+BJ27+BL27+BN27+BP27+BR27+BT27+BV27+BX27+BZ27+CB27+CD27+CF27+CH27+CZ27+DB27+DD27+DF27+DH27+DJ27+DL27+DN27+DP27+DR27+DT27+DV27+DX27+DZ27+EB27+ED27+EF27+EH27+EJ27+EL27+EN27+EP27+ER27+ET27+EV27+FN27+FP27+FR27+FT27+FV27+FX27+FZ27+GB27+GD27+GF27+GH27+GJ27+GL27+GN27+GP27+GR27+GT27+GV27+GX27+GZ27+HB27+HD27+HF27+HH27+HJ27+HL27+HN27+HP27+HR27+HT27+HV27+HX27+HZ27+IB27+ID27+IF27+IH27+IJ27+IL27+IN27+IP27+IR27+IT27+IV27+IX27+IZ27+JB27+JD27+JF27+JH27+JJ27+JL27+JZ27+CJ27+CL27+CN27+CP27+CR27+CT27+CV27+CX27+EX27+EZ27+FB27+FD27+FF27+FH27+FJ27+FL27</f>
        <v/>
      </c>
      <c r="KC27" s="66">
        <f>I27+K27+M27+O27+Q27+S27+U27+W27+Y27+AA27+AC27+AE27+AG27+AI27+AK27+AM27+AO27+AQ27+AS27+AU27+AW27+AY27+BA27+BC27+BE27+BG27+BI27+BK27+BM27+BO27+BQ27+BS27+BU27+BW27+BY27+CA27+CC27+CE27+CG27+CI27+DA27+DC27+DE27+DG27+DI27+DK27+DM27+DO27+DQ27+DS27+DU27+DW27+DY27+EA27+EC27+EE27+EG27+EI27+EK27+EM27+EO27+EQ27+ES27+EU27+EW27+FO27+FS27+FU27+FW27+FQ27+FY27+GA27+GC27+GE27+GG27+GI27+GK27+GM27+GO27+GQ27+GS27+GU27+GW27+GY27+HA27+HC27+HE27+HG27+HI27+HK27+HM27+HO27+HQ27+HS27+HU27+HW27+HY27+IA27+IC27+IE27+IG27+II27+IK27+IM27+IO27+IQ27+IS27+IU27+IW27+IY27+JA27+JC27+JE27+JG27+JI27+JK27+JM27+KA27+CK27+CM27+CO27+CQ27+CS27+CU27+CW27+CY27+EY27+FA27+FC27+FE27+FG27+FI27+FK27+FM27</f>
        <v/>
      </c>
      <c r="KD27" s="44">
        <f>JO27+JQ27+JS27+JU27+JW27+JY27</f>
        <v/>
      </c>
      <c r="KE27" s="46">
        <f>KB27=E27</f>
        <v/>
      </c>
      <c r="KF27" s="101">
        <f>E27-KB27</f>
        <v/>
      </c>
      <c r="KG27" s="138" t="n"/>
    </row>
    <row r="28" ht="21.75" customFormat="1" customHeight="1" s="15">
      <c r="A28" s="126">
        <f>A27+1</f>
        <v/>
      </c>
      <c r="B28" s="175" t="inlineStr">
        <is>
          <t>Корюков А.А.</t>
        </is>
      </c>
      <c r="C28" s="176" t="inlineStr">
        <is>
          <t>токарь</t>
        </is>
      </c>
      <c r="D28" s="177">
        <f>$D$5</f>
        <v/>
      </c>
      <c r="E28" s="202" t="n"/>
      <c r="F28" s="193" t="n">
        <v>126438.55</v>
      </c>
      <c r="G28" s="52">
        <f>F28/D28</f>
        <v/>
      </c>
      <c r="H28" s="125" t="n"/>
      <c r="I28" s="107">
        <f>H28*100/$E$28</f>
        <v/>
      </c>
      <c r="J28" s="108" t="n"/>
      <c r="K28" s="107">
        <f>J28*100/$E$28</f>
        <v/>
      </c>
      <c r="L28" s="108" t="n"/>
      <c r="M28" s="107">
        <f>L28*100/$E$28</f>
        <v/>
      </c>
      <c r="N28" s="108" t="n"/>
      <c r="O28" s="107">
        <f>N28*100/$E$28</f>
        <v/>
      </c>
      <c r="P28" s="108" t="n"/>
      <c r="Q28" s="122">
        <f>P28*100/$E$28</f>
        <v/>
      </c>
      <c r="R28" s="108" t="n"/>
      <c r="S28" s="122">
        <f>R28*100/$E$28</f>
        <v/>
      </c>
      <c r="T28" s="108" t="n"/>
      <c r="U28" s="107">
        <f>T28*100/$E$28</f>
        <v/>
      </c>
      <c r="V28" s="108" t="n"/>
      <c r="W28" s="107">
        <f>V28*100/$E$28</f>
        <v/>
      </c>
      <c r="X28" s="108" t="n"/>
      <c r="Y28" s="107">
        <f>X28*100/$E$28</f>
        <v/>
      </c>
      <c r="Z28" s="108" t="n"/>
      <c r="AA28" s="107">
        <f>Z28*100/$E$28</f>
        <v/>
      </c>
      <c r="AB28" s="108" t="n"/>
      <c r="AC28" s="107">
        <f>AB28*100/$E$28</f>
        <v/>
      </c>
      <c r="AD28" s="108" t="n"/>
      <c r="AE28" s="122">
        <f>AD28*100/$E$28</f>
        <v/>
      </c>
      <c r="AF28" s="108" t="n"/>
      <c r="AG28" s="122">
        <f>AF28*100/$E$28</f>
        <v/>
      </c>
      <c r="AH28" s="108" t="n"/>
      <c r="AI28" s="107">
        <f>AH28*100/$E$28</f>
        <v/>
      </c>
      <c r="AJ28" s="108" t="n"/>
      <c r="AK28" s="107">
        <f>AJ28*100/$E$28</f>
        <v/>
      </c>
      <c r="AL28" s="108" t="n"/>
      <c r="AM28" s="107">
        <f>AL28*100/$E$28</f>
        <v/>
      </c>
      <c r="AN28" s="108" t="n"/>
      <c r="AO28" s="107">
        <f>AN28*100/$E$28</f>
        <v/>
      </c>
      <c r="AP28" s="108" t="n"/>
      <c r="AQ28" s="107">
        <f>AP28*100/$E$28</f>
        <v/>
      </c>
      <c r="AR28" s="108" t="n"/>
      <c r="AS28" s="107">
        <f>AR28*100/$E$28</f>
        <v/>
      </c>
      <c r="AT28" s="108" t="n"/>
      <c r="AU28" s="90">
        <f>AT28*100/$E$28</f>
        <v/>
      </c>
      <c r="AV28" s="108" t="n"/>
      <c r="AW28" s="107">
        <f>AV28*100/$E$28</f>
        <v/>
      </c>
      <c r="AX28" s="108" t="n"/>
      <c r="AY28" s="107">
        <f>AX28*100/$E$28</f>
        <v/>
      </c>
      <c r="AZ28" s="108" t="n"/>
      <c r="BA28" s="107">
        <f>AZ28*100/$E$28</f>
        <v/>
      </c>
      <c r="BB28" s="108" t="n"/>
      <c r="BC28" s="107">
        <f>BB28*100/$E$28</f>
        <v/>
      </c>
      <c r="BD28" s="108" t="n"/>
      <c r="BE28" s="107">
        <f>BD28*100/$E$28</f>
        <v/>
      </c>
      <c r="BF28" s="108" t="n"/>
      <c r="BG28" s="107">
        <f>BF28*100/$E$28</f>
        <v/>
      </c>
      <c r="BH28" s="108" t="n"/>
      <c r="BI28" s="107">
        <f>BH28*100/$E$28</f>
        <v/>
      </c>
      <c r="BJ28" s="108" t="n"/>
      <c r="BK28" s="107">
        <f>BJ28*100/$E$28</f>
        <v/>
      </c>
      <c r="BL28" s="108" t="n"/>
      <c r="BM28" s="107">
        <f>BL28*100/$E$28</f>
        <v/>
      </c>
      <c r="BN28" s="108" t="n"/>
      <c r="BO28" s="107">
        <f>BN28*100/$E$28</f>
        <v/>
      </c>
      <c r="BP28" s="108" t="n"/>
      <c r="BQ28" s="107">
        <f>BP28*100/$E$28</f>
        <v/>
      </c>
      <c r="BR28" s="108" t="n"/>
      <c r="BS28" s="107">
        <f>BR28*100/$E$28</f>
        <v/>
      </c>
      <c r="BT28" s="108" t="n"/>
      <c r="BU28" s="107">
        <f>BT28*100/$E$28</f>
        <v/>
      </c>
      <c r="BV28" s="108" t="n"/>
      <c r="BW28" s="107">
        <f>BV28*100/$E$28</f>
        <v/>
      </c>
      <c r="BX28" s="108" t="n"/>
      <c r="BY28" s="107">
        <f>BX28*100/$E$28</f>
        <v/>
      </c>
      <c r="BZ28" s="108" t="n"/>
      <c r="CA28" s="107">
        <f>BZ28*100/$E$28</f>
        <v/>
      </c>
      <c r="CB28" s="108" t="n"/>
      <c r="CC28" s="107">
        <f>CB28*100/$E$28</f>
        <v/>
      </c>
      <c r="CD28" s="108" t="n"/>
      <c r="CE28" s="107">
        <f>CD28*100/$E$28</f>
        <v/>
      </c>
      <c r="CF28" s="108" t="n"/>
      <c r="CG28" s="107">
        <f>CF28*100/$E$28</f>
        <v/>
      </c>
      <c r="CH28" s="108" t="n"/>
      <c r="CI28" s="107">
        <f>CH28*100/$E$28</f>
        <v/>
      </c>
      <c r="CJ28" s="108" t="n"/>
      <c r="CK28" s="107">
        <f>CJ28*100/$E$28</f>
        <v/>
      </c>
      <c r="CL28" s="108" t="n"/>
      <c r="CM28" s="107">
        <f>CL28*100/$E$28</f>
        <v/>
      </c>
      <c r="CN28" s="108" t="n"/>
      <c r="CO28" s="122">
        <f>CN28*100/$E$28</f>
        <v/>
      </c>
      <c r="CP28" s="108" t="n"/>
      <c r="CQ28" s="107">
        <f>CP28*100/$E$28</f>
        <v/>
      </c>
      <c r="CR28" s="108" t="n"/>
      <c r="CS28" s="122">
        <f>CR28*100/$E$28</f>
        <v/>
      </c>
      <c r="CT28" s="108" t="n"/>
      <c r="CU28" s="122">
        <f>CT28*100/$E$28</f>
        <v/>
      </c>
      <c r="CV28" s="108" t="n"/>
      <c r="CW28" s="122">
        <f>CV28*100/$E$28</f>
        <v/>
      </c>
      <c r="CX28" s="108" t="n"/>
      <c r="CY28" s="122">
        <f>CX28*100/$E$28</f>
        <v/>
      </c>
      <c r="CZ28" s="108" t="n"/>
      <c r="DA28" s="122">
        <f>CZ28*100/$E$28</f>
        <v/>
      </c>
      <c r="DB28" s="108" t="n"/>
      <c r="DC28" s="122">
        <f>DB28*100/$E$28</f>
        <v/>
      </c>
      <c r="DD28" s="108" t="n"/>
      <c r="DE28" s="122">
        <f>DD28*100/$E$28</f>
        <v/>
      </c>
      <c r="DF28" s="108" t="n"/>
      <c r="DG28" s="122">
        <f>DF28*100/$E$28</f>
        <v/>
      </c>
      <c r="DH28" s="108" t="n"/>
      <c r="DI28" s="122">
        <f>DH28*100/$E$28</f>
        <v/>
      </c>
      <c r="DJ28" s="108" t="n"/>
      <c r="DK28" s="122">
        <f>DJ28*100/$E$28</f>
        <v/>
      </c>
      <c r="DL28" s="108" t="n"/>
      <c r="DM28" s="122">
        <f>DL28*100/$E$28</f>
        <v/>
      </c>
      <c r="DN28" s="108" t="n"/>
      <c r="DO28" s="122">
        <f>DN28*100/$E$28</f>
        <v/>
      </c>
      <c r="DP28" s="108" t="n"/>
      <c r="DQ28" s="122">
        <f>DP28*100/$E$28</f>
        <v/>
      </c>
      <c r="DR28" s="108" t="n"/>
      <c r="DS28" s="122">
        <f>DR28*100/$E$28</f>
        <v/>
      </c>
      <c r="DT28" s="108" t="n"/>
      <c r="DU28" s="122">
        <f>DT28*100/$E$28</f>
        <v/>
      </c>
      <c r="DV28" s="108" t="n"/>
      <c r="DW28" s="122">
        <f>DV28*100/$E$28</f>
        <v/>
      </c>
      <c r="DX28" s="108" t="n"/>
      <c r="DY28" s="122">
        <f>DX28*100/$E$28</f>
        <v/>
      </c>
      <c r="DZ28" s="108" t="n"/>
      <c r="EA28" s="122">
        <f>DZ28*100/$E$28</f>
        <v/>
      </c>
      <c r="EB28" s="108" t="n"/>
      <c r="EC28" s="122">
        <f>EB28*100/$E$28</f>
        <v/>
      </c>
      <c r="ED28" s="108" t="n"/>
      <c r="EE28" s="122">
        <f>ED28*100/$E$28</f>
        <v/>
      </c>
      <c r="EF28" s="108" t="n"/>
      <c r="EG28" s="122">
        <f>EF28*100/$E$28</f>
        <v/>
      </c>
      <c r="EH28" s="108" t="n"/>
      <c r="EI28" s="122">
        <f>EH28*100/$E$28</f>
        <v/>
      </c>
      <c r="EJ28" s="108" t="n"/>
      <c r="EK28" s="122">
        <f>EJ28*100/$E$28</f>
        <v/>
      </c>
      <c r="EL28" s="108" t="n"/>
      <c r="EM28" s="122">
        <f>EL28*100/$E$28</f>
        <v/>
      </c>
      <c r="EN28" s="108" t="n"/>
      <c r="EO28" s="122">
        <f>EN28*100/$E$28</f>
        <v/>
      </c>
      <c r="EP28" s="108" t="n"/>
      <c r="EQ28" s="122">
        <f>EP28*100/$E$28</f>
        <v/>
      </c>
      <c r="ER28" s="108" t="n"/>
      <c r="ES28" s="122">
        <f>ER28*100/$E$28</f>
        <v/>
      </c>
      <c r="ET28" s="108" t="n"/>
      <c r="EU28" s="122">
        <f>ET28*100/$E$28</f>
        <v/>
      </c>
      <c r="EV28" s="108" t="n"/>
      <c r="EW28" s="122">
        <f>EV28*100/$E$28</f>
        <v/>
      </c>
      <c r="EX28" s="108" t="n"/>
      <c r="EY28" s="122">
        <f>EX28*100/$E$28</f>
        <v/>
      </c>
      <c r="EZ28" s="108" t="n"/>
      <c r="FA28" s="122">
        <f>EZ28*100/$E$28</f>
        <v/>
      </c>
      <c r="FB28" s="108" t="n"/>
      <c r="FC28" s="122">
        <f>FB28*100/$E$28</f>
        <v/>
      </c>
      <c r="FD28" s="108" t="n"/>
      <c r="FE28" s="122">
        <f>FD28*100/$E$28</f>
        <v/>
      </c>
      <c r="FF28" s="108" t="n"/>
      <c r="FG28" s="122">
        <f>FF28*100/$E$28</f>
        <v/>
      </c>
      <c r="FH28" s="108" t="n"/>
      <c r="FI28" s="122">
        <f>FH28*100/$E$28</f>
        <v/>
      </c>
      <c r="FJ28" s="108" t="n"/>
      <c r="FK28" s="122">
        <f>FJ28*100/$E$28</f>
        <v/>
      </c>
      <c r="FL28" s="108" t="n"/>
      <c r="FM28" s="122">
        <f>FL28*100/$E$28</f>
        <v/>
      </c>
      <c r="FN28" s="108" t="n"/>
      <c r="FO28" s="122">
        <f>FN28*100/$E$28</f>
        <v/>
      </c>
      <c r="FP28" s="108" t="n"/>
      <c r="FQ28" s="122">
        <f>FP28*100/$E$28</f>
        <v/>
      </c>
      <c r="FR28" s="108" t="n"/>
      <c r="FS28" s="122">
        <f>FR28*100/$E$28</f>
        <v/>
      </c>
      <c r="FT28" s="108" t="n"/>
      <c r="FU28" s="122">
        <f>FT28*100/$E$28</f>
        <v/>
      </c>
      <c r="FV28" s="108" t="n"/>
      <c r="FW28" s="122">
        <f>FV28*100/$E$28</f>
        <v/>
      </c>
      <c r="FX28" s="108" t="n"/>
      <c r="FY28" s="107">
        <f>FX28*100/$E$28</f>
        <v/>
      </c>
      <c r="FZ28" s="108" t="n"/>
      <c r="GA28" s="107">
        <f>FZ28*100/$E$28</f>
        <v/>
      </c>
      <c r="GB28" s="108" t="n"/>
      <c r="GC28" s="107">
        <f>GB28*100/$E$28</f>
        <v/>
      </c>
      <c r="GD28" s="108" t="n"/>
      <c r="GE28" s="107">
        <f>GD28*100/$E$28</f>
        <v/>
      </c>
      <c r="GF28" s="108" t="n"/>
      <c r="GG28" s="107">
        <f>GF28*100/$E$28</f>
        <v/>
      </c>
      <c r="GH28" s="108" t="n"/>
      <c r="GI28" s="107">
        <f>GH28*100/$E$28</f>
        <v/>
      </c>
      <c r="GJ28" s="108" t="n"/>
      <c r="GK28" s="122">
        <f>GJ28*100/$E$28</f>
        <v/>
      </c>
      <c r="GL28" s="108" t="n"/>
      <c r="GM28" s="107">
        <f>GL28*100/$E$28</f>
        <v/>
      </c>
      <c r="GN28" s="108" t="n"/>
      <c r="GO28" s="122">
        <f>GN28*100/$E$28</f>
        <v/>
      </c>
      <c r="GP28" s="108" t="n"/>
      <c r="GQ28" s="107">
        <f>GP28*100/$E$28</f>
        <v/>
      </c>
      <c r="GR28" s="108" t="n"/>
      <c r="GS28" s="122">
        <f>GR28*100/$E$28</f>
        <v/>
      </c>
      <c r="GT28" s="108" t="n"/>
      <c r="GU28" s="122">
        <f>GT28*100/$E$28</f>
        <v/>
      </c>
      <c r="GV28" s="108" t="n"/>
      <c r="GW28" s="122">
        <f>GV28*100/$E$28</f>
        <v/>
      </c>
      <c r="GX28" s="108" t="n"/>
      <c r="GY28" s="107">
        <f>GX28*100/$E$28</f>
        <v/>
      </c>
      <c r="GZ28" s="108" t="n"/>
      <c r="HA28" s="107">
        <f>GZ28*100/$E$28</f>
        <v/>
      </c>
      <c r="HB28" s="108" t="n"/>
      <c r="HC28" s="107">
        <f>HB28*100/$E$28</f>
        <v/>
      </c>
      <c r="HD28" s="108" t="n"/>
      <c r="HE28" s="107">
        <f>HD28*100/$E$28</f>
        <v/>
      </c>
      <c r="HF28" s="108" t="n"/>
      <c r="HG28" s="107">
        <f>HF28*100/$E$28</f>
        <v/>
      </c>
      <c r="HH28" s="108" t="n"/>
      <c r="HI28" s="107">
        <f>HH28*100/$E$28</f>
        <v/>
      </c>
      <c r="HJ28" s="108" t="n"/>
      <c r="HK28" s="107">
        <f>HJ28*100/$E$28</f>
        <v/>
      </c>
      <c r="HL28" s="108" t="n"/>
      <c r="HM28" s="107">
        <f>HL28*100/$E$28</f>
        <v/>
      </c>
      <c r="HN28" s="108" t="n"/>
      <c r="HO28" s="107">
        <f>HN28*100/$E$28</f>
        <v/>
      </c>
      <c r="HP28" s="108" t="n"/>
      <c r="HQ28" s="107">
        <f>HP28*100/$E$28</f>
        <v/>
      </c>
      <c r="HR28" s="108" t="n"/>
      <c r="HS28" s="107">
        <f>HR28*100/$E$28</f>
        <v/>
      </c>
      <c r="HT28" s="108" t="n"/>
      <c r="HU28" s="107">
        <f>HT28*100/$E$28</f>
        <v/>
      </c>
      <c r="HV28" s="108" t="n"/>
      <c r="HW28" s="107">
        <f>HV28*100/$E$28</f>
        <v/>
      </c>
      <c r="HX28" s="108" t="n"/>
      <c r="HY28" s="107">
        <f>HX28*100/$E$28</f>
        <v/>
      </c>
      <c r="HZ28" s="108" t="n"/>
      <c r="IA28" s="122">
        <f>HZ28*100/$E$28</f>
        <v/>
      </c>
      <c r="IB28" s="108" t="n"/>
      <c r="IC28" s="122">
        <f>IB28*100/$E$28</f>
        <v/>
      </c>
      <c r="ID28" s="108" t="n"/>
      <c r="IE28" s="122">
        <f>ID28*100/$E$28</f>
        <v/>
      </c>
      <c r="IF28" s="108" t="n"/>
      <c r="IG28" s="122">
        <f>IF28*100/$E$28</f>
        <v/>
      </c>
      <c r="IH28" s="108" t="n"/>
      <c r="II28" s="122">
        <f>IH28*100/$E$28</f>
        <v/>
      </c>
      <c r="IJ28" s="108" t="n"/>
      <c r="IK28" s="122">
        <f>IJ28*100/$E$28</f>
        <v/>
      </c>
      <c r="IL28" s="108" t="n"/>
      <c r="IM28" s="107">
        <f>IL28*100/$E$28</f>
        <v/>
      </c>
      <c r="IN28" s="108" t="n"/>
      <c r="IO28" s="107">
        <f>IN28*100/$E$28</f>
        <v/>
      </c>
      <c r="IP28" s="108" t="n"/>
      <c r="IQ28" s="122">
        <f>IP28*100/$E$28</f>
        <v/>
      </c>
      <c r="IR28" s="108" t="n"/>
      <c r="IS28" s="122">
        <f>IR28*100/$E$28</f>
        <v/>
      </c>
      <c r="IT28" s="108" t="n"/>
      <c r="IU28" s="122">
        <f>IT28*100/$E$28</f>
        <v/>
      </c>
      <c r="IV28" s="108" t="n"/>
      <c r="IW28" s="122">
        <f>IV28*100/$E$28</f>
        <v/>
      </c>
      <c r="IX28" s="108" t="n"/>
      <c r="IY28" s="122">
        <f>IX28*100/$E$28</f>
        <v/>
      </c>
      <c r="IZ28" s="108" t="n"/>
      <c r="JA28" s="122">
        <f>IZ28*100/$E$28</f>
        <v/>
      </c>
      <c r="JB28" s="108" t="n"/>
      <c r="JC28" s="122">
        <f>JB28*100/$E$28</f>
        <v/>
      </c>
      <c r="JD28" s="108" t="n"/>
      <c r="JE28" s="122">
        <f>JD28*100/$E$28</f>
        <v/>
      </c>
      <c r="JF28" s="108" t="n"/>
      <c r="JG28" s="122">
        <f>JF28*100/$E$28</f>
        <v/>
      </c>
      <c r="JH28" s="108" t="n"/>
      <c r="JI28" s="122">
        <f>JH28*100/$E$28</f>
        <v/>
      </c>
      <c r="JJ28" s="108" t="n"/>
      <c r="JK28" s="122">
        <f>JJ28*100/$E$28</f>
        <v/>
      </c>
      <c r="JL28" s="108" t="n"/>
      <c r="JM28" s="122">
        <f>JL28*100/$E$28</f>
        <v/>
      </c>
      <c r="JN28" s="108" t="n"/>
      <c r="JO28" s="121">
        <f>JN28*100/$E$28</f>
        <v/>
      </c>
      <c r="JP28" s="108" t="n"/>
      <c r="JQ28" s="121">
        <f>JP28*100/$E$28</f>
        <v/>
      </c>
      <c r="JR28" s="108" t="n"/>
      <c r="JS28" s="121">
        <f>JR28*100/$E$28</f>
        <v/>
      </c>
      <c r="JT28" s="108" t="n"/>
      <c r="JU28" s="121">
        <f>JT28*100/$E$28</f>
        <v/>
      </c>
      <c r="JV28" s="108" t="n"/>
      <c r="JW28" s="121">
        <f>JV28*100/$E$28</f>
        <v/>
      </c>
      <c r="JX28" s="108" t="n"/>
      <c r="JY28" s="121">
        <f>JX28*100/$E$28</f>
        <v/>
      </c>
      <c r="JZ28" s="55">
        <f>JN28+JP28+JR28+JT28+JV28+JX28</f>
        <v/>
      </c>
      <c r="KA28" s="53">
        <f>JO28+JQ28+JS28+JU28+JW28+JY28</f>
        <v/>
      </c>
      <c r="KB28" s="64">
        <f>H28+J28+L28+N28+P28+R28+T28+V28+X28+Z28+AB28+AD28+AF28+AH28+AJ28+AL28+AN28+AP28+AR28+AT28+AV28+AX28+AZ28+BB28+BD28+BF28+BH28+BJ28+BL28+BN28+BP28+BR28+BT28+BV28+BX28+BZ28+CB28+CD28+CF28+CH28+CZ28+DB28+DD28+DF28+DH28+DJ28+DL28+DN28+DP28+DR28+DT28+DV28+DX28+DZ28+EB28+ED28+EF28+EH28+EJ28+EL28+EN28+EP28+ER28+ET28+EV28+FN28+FP28+FR28+FT28+FV28+FX28+FZ28+GB28+GD28+GF28+GH28+GJ28+GL28+GN28+GP28+GR28+GT28+GV28+GX28+GZ28+HB28+HD28+HF28+HH28+HJ28+HL28+HN28+HP28+HR28+HT28+HV28+HX28+HZ28+IB28+ID28+IF28+IH28+IJ28+IL28+IN28+IP28+IR28+IT28+IV28+IX28+IZ28+JB28+JD28+JF28+JH28+JJ28+JL28+JZ28+CJ28+CL28+CN28+CP28+CR28+CT28+CV28+CX28+EX28+EZ28+FB28+FD28+FF28+FH28+FJ28+FL28</f>
        <v/>
      </c>
      <c r="KC28" s="66">
        <f>I28+K28+M28+O28+Q28+S28+U28+W28+Y28+AA28+AC28+AE28+AG28+AI28+AK28+AM28+AO28+AQ28+AS28+AU28+AW28+AY28+BA28+BC28+BE28+BG28+BI28+BK28+BM28+BO28+BQ28+BS28+BU28+BW28+BY28+CA28+CC28+CE28+CG28+CI28+DA28+DC28+DE28+DG28+DI28+DK28+DM28+DO28+DQ28+DS28+DU28+DW28+DY28+EA28+EC28+EE28+EG28+EI28+EK28+EM28+EO28+EQ28+ES28+EU28+EW28+FO28+FS28+FU28+FW28+FQ28+FY28+GA28+GC28+GE28+GG28+GI28+GK28+GM28+GO28+GQ28+GS28+GU28+GW28+GY28+HA28+HC28+HE28+HG28+HI28+HK28+HM28+HO28+HQ28+HS28+HU28+HW28+HY28+IA28+IC28+IE28+IG28+II28+IK28+IM28+IO28+IQ28+IS28+IU28+IW28+IY28+JA28+JC28+JE28+JG28+JI28+JK28+JM28+KA28+CK28+CM28+CO28+CQ28+CS28+CU28+CW28+CY28+EY28+FA28+FC28+FE28+FG28+FI28+FK28+FM28</f>
        <v/>
      </c>
      <c r="KD28" s="44">
        <f>JO28+JQ28+JS28+JU28+JW28+JY28</f>
        <v/>
      </c>
      <c r="KE28" s="45">
        <f>KB28=E28</f>
        <v/>
      </c>
      <c r="KF28" s="101">
        <f>E28-KB28</f>
        <v/>
      </c>
      <c r="KG28" s="21" t="n"/>
    </row>
    <row r="29" ht="21.75" customFormat="1" customHeight="1" s="22">
      <c r="A29" s="126">
        <f>A28+1</f>
        <v/>
      </c>
      <c r="B29" s="175" t="inlineStr">
        <is>
          <t>Кузнецов И.Р.</t>
        </is>
      </c>
      <c r="C29" s="194" t="inlineStr">
        <is>
          <t>слесарь</t>
        </is>
      </c>
      <c r="D29" s="177">
        <f>$D$5</f>
        <v/>
      </c>
      <c r="E29" s="202" t="n"/>
      <c r="F29" s="193" t="n">
        <v>49335</v>
      </c>
      <c r="G29" s="52">
        <f>F29/D29</f>
        <v/>
      </c>
      <c r="H29" s="125" t="n"/>
      <c r="I29" s="107">
        <f>H29*100/$E$29</f>
        <v/>
      </c>
      <c r="J29" s="108" t="n"/>
      <c r="K29" s="107">
        <f>J29*100/$E$29</f>
        <v/>
      </c>
      <c r="L29" s="108" t="n"/>
      <c r="M29" s="107">
        <f>L29*100/$E$29</f>
        <v/>
      </c>
      <c r="N29" s="108" t="n"/>
      <c r="O29" s="107">
        <f>N29*100/$E$29</f>
        <v/>
      </c>
      <c r="P29" s="108" t="n"/>
      <c r="Q29" s="122">
        <f>P29*100/$E$29</f>
        <v/>
      </c>
      <c r="R29" s="108" t="n"/>
      <c r="S29" s="122">
        <f>R29*100/$E$29</f>
        <v/>
      </c>
      <c r="T29" s="108" t="n"/>
      <c r="U29" s="107">
        <f>T29*100/$E$29</f>
        <v/>
      </c>
      <c r="V29" s="108" t="n"/>
      <c r="W29" s="107">
        <f>V29*100/$E$29</f>
        <v/>
      </c>
      <c r="X29" s="108" t="n"/>
      <c r="Y29" s="107">
        <f>X29*100/$E$29</f>
        <v/>
      </c>
      <c r="Z29" s="108" t="n"/>
      <c r="AA29" s="107">
        <f>Z29*100/$E$29</f>
        <v/>
      </c>
      <c r="AB29" s="108" t="n"/>
      <c r="AC29" s="107">
        <f>AB29*100/$E$29</f>
        <v/>
      </c>
      <c r="AD29" s="108" t="n"/>
      <c r="AE29" s="122">
        <f>AD29*100/$E$29</f>
        <v/>
      </c>
      <c r="AF29" s="108" t="n"/>
      <c r="AG29" s="122">
        <f>AF29*100/$E$29</f>
        <v/>
      </c>
      <c r="AH29" s="108" t="n"/>
      <c r="AI29" s="107">
        <f>AH29*100/$E$29</f>
        <v/>
      </c>
      <c r="AJ29" s="108" t="n"/>
      <c r="AK29" s="107">
        <f>AJ29*100/$E$29</f>
        <v/>
      </c>
      <c r="AL29" s="108" t="n"/>
      <c r="AM29" s="107">
        <f>AL29*100/$E$29</f>
        <v/>
      </c>
      <c r="AN29" s="108" t="n"/>
      <c r="AO29" s="107">
        <f>AN29*100/$E$29</f>
        <v/>
      </c>
      <c r="AP29" s="108" t="n"/>
      <c r="AQ29" s="107">
        <f>AP29*100/$E$29</f>
        <v/>
      </c>
      <c r="AR29" s="108" t="n"/>
      <c r="AS29" s="107">
        <f>AR29*100/$E$29</f>
        <v/>
      </c>
      <c r="AT29" s="108" t="n"/>
      <c r="AU29" s="90">
        <f>AT29*100/$E$29</f>
        <v/>
      </c>
      <c r="AV29" s="108" t="n"/>
      <c r="AW29" s="107">
        <f>AV29*100/$E$29</f>
        <v/>
      </c>
      <c r="AX29" s="108" t="n"/>
      <c r="AY29" s="107">
        <f>AX29*100/$E$29</f>
        <v/>
      </c>
      <c r="AZ29" s="108" t="n"/>
      <c r="BA29" s="107">
        <f>AZ29*100/$E$29</f>
        <v/>
      </c>
      <c r="BB29" s="108" t="n"/>
      <c r="BC29" s="107">
        <f>BB29*100/$E$29</f>
        <v/>
      </c>
      <c r="BD29" s="108" t="n"/>
      <c r="BE29" s="107">
        <f>BD29*100/$E$29</f>
        <v/>
      </c>
      <c r="BF29" s="108" t="n"/>
      <c r="BG29" s="107">
        <f>BF29*100/$E$29</f>
        <v/>
      </c>
      <c r="BH29" s="108" t="n"/>
      <c r="BI29" s="107">
        <f>BH29*100/$E$29</f>
        <v/>
      </c>
      <c r="BJ29" s="108" t="n"/>
      <c r="BK29" s="107">
        <f>BJ29*100/$E$29</f>
        <v/>
      </c>
      <c r="BL29" s="108" t="n"/>
      <c r="BM29" s="107">
        <f>BL29*100/$E$29</f>
        <v/>
      </c>
      <c r="BN29" s="108" t="n"/>
      <c r="BO29" s="107">
        <f>BN29*100/$E$29</f>
        <v/>
      </c>
      <c r="BP29" s="108" t="n"/>
      <c r="BQ29" s="107">
        <f>BP29*100/$E$29</f>
        <v/>
      </c>
      <c r="BR29" s="108" t="n"/>
      <c r="BS29" s="107">
        <f>BR29*100/$E$29</f>
        <v/>
      </c>
      <c r="BT29" s="108" t="n"/>
      <c r="BU29" s="107">
        <f>BT29*100/$E$29</f>
        <v/>
      </c>
      <c r="BV29" s="108" t="n"/>
      <c r="BW29" s="107">
        <f>BV29*100/$E$29</f>
        <v/>
      </c>
      <c r="BX29" s="108" t="n"/>
      <c r="BY29" s="107">
        <f>BX29*100/$E$29</f>
        <v/>
      </c>
      <c r="BZ29" s="108" t="n"/>
      <c r="CA29" s="107">
        <f>BZ29*100/$E$29</f>
        <v/>
      </c>
      <c r="CB29" s="108" t="n"/>
      <c r="CC29" s="107">
        <f>CB29*100/$E$29</f>
        <v/>
      </c>
      <c r="CD29" s="108" t="n"/>
      <c r="CE29" s="107">
        <f>CD29*100/$E$29</f>
        <v/>
      </c>
      <c r="CF29" s="108" t="n"/>
      <c r="CG29" s="107">
        <f>CF29*100/$E$29</f>
        <v/>
      </c>
      <c r="CH29" s="108" t="n"/>
      <c r="CI29" s="107">
        <f>CH29*100/$E$29</f>
        <v/>
      </c>
      <c r="CJ29" s="108" t="n"/>
      <c r="CK29" s="107">
        <f>CJ29*100/$E$29</f>
        <v/>
      </c>
      <c r="CL29" s="108" t="n"/>
      <c r="CM29" s="107">
        <f>CL29*100/$E$29</f>
        <v/>
      </c>
      <c r="CN29" s="108" t="n"/>
      <c r="CO29" s="122">
        <f>CN29*100/$E$29</f>
        <v/>
      </c>
      <c r="CP29" s="108" t="n"/>
      <c r="CQ29" s="107">
        <f>CP29*100/$E$29</f>
        <v/>
      </c>
      <c r="CR29" s="108" t="n"/>
      <c r="CS29" s="122">
        <f>CR29*100/$E$29</f>
        <v/>
      </c>
      <c r="CT29" s="108" t="n"/>
      <c r="CU29" s="122">
        <f>CT29*100/$E$29</f>
        <v/>
      </c>
      <c r="CV29" s="108" t="n"/>
      <c r="CW29" s="122">
        <f>CV29*100/$E$29</f>
        <v/>
      </c>
      <c r="CX29" s="108" t="n"/>
      <c r="CY29" s="122">
        <f>CX29*100/$E$29</f>
        <v/>
      </c>
      <c r="CZ29" s="108" t="n"/>
      <c r="DA29" s="122">
        <f>CZ29*100/$E$29</f>
        <v/>
      </c>
      <c r="DB29" s="108" t="n"/>
      <c r="DC29" s="122">
        <f>DB29*100/$E$29</f>
        <v/>
      </c>
      <c r="DD29" s="108" t="n"/>
      <c r="DE29" s="122">
        <f>DD29*100/$E$29</f>
        <v/>
      </c>
      <c r="DF29" s="108" t="n"/>
      <c r="DG29" s="122">
        <f>DF29*100/$E$29</f>
        <v/>
      </c>
      <c r="DH29" s="108" t="n"/>
      <c r="DI29" s="122">
        <f>DH29*100/$E$29</f>
        <v/>
      </c>
      <c r="DJ29" s="108" t="n"/>
      <c r="DK29" s="122">
        <f>DJ29*100/$E$29</f>
        <v/>
      </c>
      <c r="DL29" s="108" t="n"/>
      <c r="DM29" s="122">
        <f>DL29*100/$E$29</f>
        <v/>
      </c>
      <c r="DN29" s="108" t="n"/>
      <c r="DO29" s="122">
        <f>DN29*100/$E$29</f>
        <v/>
      </c>
      <c r="DP29" s="108" t="n"/>
      <c r="DQ29" s="122">
        <f>DP29*100/$E$29</f>
        <v/>
      </c>
      <c r="DR29" s="108" t="n"/>
      <c r="DS29" s="122">
        <f>DR29*100/E29</f>
        <v/>
      </c>
      <c r="DT29" s="108" t="n"/>
      <c r="DU29" s="122">
        <f>DT29*100/$E$29</f>
        <v/>
      </c>
      <c r="DV29" s="108" t="n"/>
      <c r="DW29" s="122">
        <f>DV29*100/$E$29</f>
        <v/>
      </c>
      <c r="DX29" s="108" t="n"/>
      <c r="DY29" s="122">
        <f>DX29*100/$E$29</f>
        <v/>
      </c>
      <c r="DZ29" s="108" t="n"/>
      <c r="EA29" s="122">
        <f>DZ29*100/$E$29</f>
        <v/>
      </c>
      <c r="EB29" s="108" t="n"/>
      <c r="EC29" s="122">
        <f>EB29*100/$E$29</f>
        <v/>
      </c>
      <c r="ED29" s="108" t="n"/>
      <c r="EE29" s="122">
        <f>ED29*100/$E$29</f>
        <v/>
      </c>
      <c r="EF29" s="108" t="n"/>
      <c r="EG29" s="122">
        <f>EF29*100/$E$29</f>
        <v/>
      </c>
      <c r="EH29" s="108" t="n"/>
      <c r="EI29" s="122">
        <f>EH29*100/$E$29</f>
        <v/>
      </c>
      <c r="EJ29" s="108" t="n"/>
      <c r="EK29" s="122">
        <f>EJ29*100/$E$29</f>
        <v/>
      </c>
      <c r="EL29" s="108" t="n"/>
      <c r="EM29" s="122">
        <f>EL29*100/$E$29</f>
        <v/>
      </c>
      <c r="EN29" s="108" t="n"/>
      <c r="EO29" s="122">
        <f>EN29*100/$E$29</f>
        <v/>
      </c>
      <c r="EP29" s="108" t="n"/>
      <c r="EQ29" s="122">
        <f>EP29*100/$E$29</f>
        <v/>
      </c>
      <c r="ER29" s="108" t="n"/>
      <c r="ES29" s="122">
        <f>ER29*100/$E$29</f>
        <v/>
      </c>
      <c r="ET29" s="108" t="n"/>
      <c r="EU29" s="122">
        <f>ET29*100/$E$29</f>
        <v/>
      </c>
      <c r="EV29" s="108" t="n"/>
      <c r="EW29" s="122">
        <f>EV29*100/$E$29</f>
        <v/>
      </c>
      <c r="EX29" s="108" t="n"/>
      <c r="EY29" s="122">
        <f>EX29*100/$E$29</f>
        <v/>
      </c>
      <c r="EZ29" s="108" t="n"/>
      <c r="FA29" s="122">
        <f>EZ29*100/$E$29</f>
        <v/>
      </c>
      <c r="FB29" s="108" t="n"/>
      <c r="FC29" s="122">
        <f>FB29*100/$E$29</f>
        <v/>
      </c>
      <c r="FD29" s="108" t="n"/>
      <c r="FE29" s="122">
        <f>FD29*100/$E$29</f>
        <v/>
      </c>
      <c r="FF29" s="108" t="n"/>
      <c r="FG29" s="122">
        <f>FF29*100/$E$29</f>
        <v/>
      </c>
      <c r="FH29" s="108" t="n"/>
      <c r="FI29" s="122">
        <f>FH29*100/$E$29</f>
        <v/>
      </c>
      <c r="FJ29" s="108" t="n"/>
      <c r="FK29" s="122">
        <f>FJ29*100/$E$29</f>
        <v/>
      </c>
      <c r="FL29" s="108" t="n"/>
      <c r="FM29" s="122">
        <f>FL29*100/$E$29</f>
        <v/>
      </c>
      <c r="FN29" s="108" t="n"/>
      <c r="FO29" s="122">
        <f>FN29*100/$E$29</f>
        <v/>
      </c>
      <c r="FP29" s="108" t="n"/>
      <c r="FQ29" s="122">
        <f>FP29*100/$E$29</f>
        <v/>
      </c>
      <c r="FR29" s="108" t="n"/>
      <c r="FS29" s="122">
        <f>FR29*100/$E$29</f>
        <v/>
      </c>
      <c r="FT29" s="108" t="n"/>
      <c r="FU29" s="122">
        <f>FT29*100/$E$29</f>
        <v/>
      </c>
      <c r="FV29" s="108" t="n"/>
      <c r="FW29" s="122">
        <f>FV29*100/$E$29</f>
        <v/>
      </c>
      <c r="FX29" s="108" t="n"/>
      <c r="FY29" s="107">
        <f>FX29*100/$E$29</f>
        <v/>
      </c>
      <c r="FZ29" s="108" t="n"/>
      <c r="GA29" s="107">
        <f>FZ29*100/$E$29</f>
        <v/>
      </c>
      <c r="GB29" s="108" t="n"/>
      <c r="GC29" s="107">
        <f>GB29*100/$E$29</f>
        <v/>
      </c>
      <c r="GD29" s="108" t="n"/>
      <c r="GE29" s="107">
        <f>GD29*100/$E$29</f>
        <v/>
      </c>
      <c r="GF29" s="108" t="n"/>
      <c r="GG29" s="107">
        <f>GF29*100/$E$29</f>
        <v/>
      </c>
      <c r="GH29" s="108" t="n"/>
      <c r="GI29" s="107">
        <f>GH29*100/$E$29</f>
        <v/>
      </c>
      <c r="GJ29" s="108" t="n"/>
      <c r="GK29" s="122">
        <f>GJ29*100/$E$29</f>
        <v/>
      </c>
      <c r="GL29" s="108" t="n"/>
      <c r="GM29" s="107">
        <f>GL29*100/$E$29</f>
        <v/>
      </c>
      <c r="GN29" s="108" t="n"/>
      <c r="GO29" s="122">
        <f>GN29*100/$E$29</f>
        <v/>
      </c>
      <c r="GP29" s="108" t="n"/>
      <c r="GQ29" s="107">
        <f>GP29*100/$E$29</f>
        <v/>
      </c>
      <c r="GR29" s="108" t="n"/>
      <c r="GS29" s="122">
        <f>GR29*100/$E$29</f>
        <v/>
      </c>
      <c r="GT29" s="108" t="n"/>
      <c r="GU29" s="122">
        <f>GT29*100/$E$29</f>
        <v/>
      </c>
      <c r="GV29" s="108" t="n"/>
      <c r="GW29" s="122">
        <f>GV29*100/$E$29</f>
        <v/>
      </c>
      <c r="GX29" s="108" t="n"/>
      <c r="GY29" s="107">
        <f>GX29*100/$E$29</f>
        <v/>
      </c>
      <c r="GZ29" s="108" t="n"/>
      <c r="HA29" s="107">
        <f>GZ29*100/$E$29</f>
        <v/>
      </c>
      <c r="HB29" s="108" t="n"/>
      <c r="HC29" s="107">
        <f>HB29*100/$E$29</f>
        <v/>
      </c>
      <c r="HD29" s="108" t="n"/>
      <c r="HE29" s="107">
        <f>HD29*100/$E$29</f>
        <v/>
      </c>
      <c r="HF29" s="108" t="n"/>
      <c r="HG29" s="107">
        <f>HF29*100/$E$29</f>
        <v/>
      </c>
      <c r="HH29" s="108" t="n"/>
      <c r="HI29" s="107">
        <f>HH29*100/$E$29</f>
        <v/>
      </c>
      <c r="HJ29" s="108" t="n"/>
      <c r="HK29" s="107">
        <f>HJ29*100/$E$29</f>
        <v/>
      </c>
      <c r="HL29" s="108" t="n"/>
      <c r="HM29" s="107">
        <f>HL29*100/$E$29</f>
        <v/>
      </c>
      <c r="HN29" s="108" t="n"/>
      <c r="HO29" s="107">
        <f>HN29*100/$E$29</f>
        <v/>
      </c>
      <c r="HP29" s="108" t="n"/>
      <c r="HQ29" s="107">
        <f>HP29*100/$E$29</f>
        <v/>
      </c>
      <c r="HR29" s="108" t="n"/>
      <c r="HS29" s="107">
        <f>HR29*100/$E$29</f>
        <v/>
      </c>
      <c r="HT29" s="108" t="n"/>
      <c r="HU29" s="107">
        <f>HT29*100/$E$29</f>
        <v/>
      </c>
      <c r="HV29" s="108" t="n"/>
      <c r="HW29" s="107">
        <f>HV29*100/$E$29</f>
        <v/>
      </c>
      <c r="HX29" s="108" t="n"/>
      <c r="HY29" s="107">
        <f>HX29*100/$E$29</f>
        <v/>
      </c>
      <c r="HZ29" s="108" t="n"/>
      <c r="IA29" s="122">
        <f>HZ29*100/$E$29</f>
        <v/>
      </c>
      <c r="IB29" s="108" t="n"/>
      <c r="IC29" s="122">
        <f>IB29*100/$E$29</f>
        <v/>
      </c>
      <c r="ID29" s="108" t="n"/>
      <c r="IE29" s="122">
        <f>ID29*100/$E$29</f>
        <v/>
      </c>
      <c r="IF29" s="108" t="n"/>
      <c r="IG29" s="122">
        <f>IF29*100/$E$29</f>
        <v/>
      </c>
      <c r="IH29" s="108" t="n"/>
      <c r="II29" s="122">
        <f>IH29*100/$E$29</f>
        <v/>
      </c>
      <c r="IJ29" s="108" t="n"/>
      <c r="IK29" s="122">
        <f>IJ29*100/$E$29</f>
        <v/>
      </c>
      <c r="IL29" s="108" t="n"/>
      <c r="IM29" s="107">
        <f>IL29*100/$E$29</f>
        <v/>
      </c>
      <c r="IN29" s="108" t="n"/>
      <c r="IO29" s="107">
        <f>IN29*100/$E$29</f>
        <v/>
      </c>
      <c r="IP29" s="108" t="n"/>
      <c r="IQ29" s="122">
        <f>IP29*100/$E$29</f>
        <v/>
      </c>
      <c r="IR29" s="108" t="n"/>
      <c r="IS29" s="122">
        <f>IR29*100/$E$29</f>
        <v/>
      </c>
      <c r="IT29" s="108" t="n"/>
      <c r="IU29" s="122">
        <f>IT29*100/$E$29</f>
        <v/>
      </c>
      <c r="IV29" s="108" t="n"/>
      <c r="IW29" s="122">
        <f>IV29*100/$E$29</f>
        <v/>
      </c>
      <c r="IX29" s="108" t="n"/>
      <c r="IY29" s="122">
        <f>IX29*100/$E$29</f>
        <v/>
      </c>
      <c r="IZ29" s="108" t="n"/>
      <c r="JA29" s="122">
        <f>IZ29*100/$E$29</f>
        <v/>
      </c>
      <c r="JB29" s="108" t="n"/>
      <c r="JC29" s="122">
        <f>JB29*100/$E$29</f>
        <v/>
      </c>
      <c r="JD29" s="108" t="n"/>
      <c r="JE29" s="122">
        <f>JD29*100/$E$29</f>
        <v/>
      </c>
      <c r="JF29" s="108" t="n"/>
      <c r="JG29" s="122">
        <f>JF29*100/$E$29</f>
        <v/>
      </c>
      <c r="JH29" s="108" t="n"/>
      <c r="JI29" s="122">
        <f>JH29*100/$E$29</f>
        <v/>
      </c>
      <c r="JJ29" s="108" t="n"/>
      <c r="JK29" s="122">
        <f>JJ29*100/$E$29</f>
        <v/>
      </c>
      <c r="JL29" s="108" t="n"/>
      <c r="JM29" s="122">
        <f>JL29*100/$E$29</f>
        <v/>
      </c>
      <c r="JN29" s="108" t="n"/>
      <c r="JO29" s="121">
        <f>JN29*100/$E$29</f>
        <v/>
      </c>
      <c r="JP29" s="108" t="n"/>
      <c r="JQ29" s="121">
        <f>JP29*100/$E$29</f>
        <v/>
      </c>
      <c r="JR29" s="108" t="n"/>
      <c r="JS29" s="121">
        <f>JR29*100/$E$29</f>
        <v/>
      </c>
      <c r="JT29" s="108" t="n"/>
      <c r="JU29" s="121">
        <f>JT29*100/$E$29</f>
        <v/>
      </c>
      <c r="JV29" s="108" t="n"/>
      <c r="JW29" s="121">
        <f>JV29*100/$E$29</f>
        <v/>
      </c>
      <c r="JX29" s="108" t="n"/>
      <c r="JY29" s="121">
        <f>JX29*100/$E$29</f>
        <v/>
      </c>
      <c r="JZ29" s="55">
        <f>JN29+JP29+JR29+JT29+JV29+JX29</f>
        <v/>
      </c>
      <c r="KA29" s="53">
        <f>JO29+JQ29+JS29+JU29+JW29+JY29</f>
        <v/>
      </c>
      <c r="KB29" s="64">
        <f>H29+J29+L29+N29+P29+R29+T29+V29+X29+Z29+AB29+AD29+AF29+AH29+AJ29+AL29+AN29+AP29+AR29+AT29+AV29+AX29+AZ29+BB29+BD29+BF29+BH29+BJ29+BL29+BN29+BP29+BR29+BT29+BV29+BX29+BZ29+CB29+CD29+CF29+CH29+CZ29+DB29+DD29+DF29+DH29+DJ29+DL29+DN29+DP29+DR29+DT29+DV29+DX29+DZ29+EB29+ED29+EF29+EH29+EJ29+EL29+EN29+EP29+ER29+ET29+EV29+FN29+FP29+FR29+FT29+FV29+FX29+FZ29+GB29+GD29+GF29+GH29+GJ29+GL29+GN29+GP29+GR29+GT29+GV29+GX29+GZ29+HB29+HD29+HF29+HH29+HJ29+HL29+HN29+HP29+HR29+HT29+HV29+HX29+HZ29+IB29+ID29+IF29+IH29+IJ29+IL29+IN29+IP29+IR29+IT29+IV29+IX29+IZ29+JB29+JD29+JF29+JH29+JJ29+JL29+JZ29+CJ29+CL29+CN29+CP29+CR29+CT29+CV29+CX29+EX29+EZ29+FB29+FD29+FF29+FH29+FJ29+FL29</f>
        <v/>
      </c>
      <c r="KC29" s="66">
        <f>I29+K29+M29+O29+Q29+S29+U29+W29+Y29+AA29+AC29+AE29+AG29+AI29+AK29+AM29+AO29+AQ29+AS29+AU29+AW29+AY29+BA29+BC29+BE29+BG29+BI29+BK29+BM29+BO29+BQ29+BS29+BU29+BW29+BY29+CA29+CC29+CE29+CG29+CI29+DA29+DC29+DE29+DG29+DI29+DK29+DM29+DO29+DQ29+DS29+DU29+DW29+DY29+EA29+EC29+EE29+EG29+EI29+EK29+EM29+EO29+EQ29+ES29+EU29+EW29+FO29+FS29+FU29+FW29+FQ29+FY29+GA29+GC29+GE29+GG29+GI29+GK29+GM29+GO29+GQ29+GS29+GU29+GW29+GY29+HA29+HC29+HE29+HG29+HI29+HK29+HM29+HO29+HQ29+HS29+HU29+HW29+HY29+IA29+IC29+IE29+IG29+II29+IK29+IM29+IO29+IQ29+IS29+IU29+IW29+IY29+JA29+JC29+JE29+JG29+JI29+JK29+JM29+KA29+CK29+CM29+CO29+CQ29+CS29+CU29+CW29+CY29+EY29+FA29+FC29+FE29+FG29+FI29+FK29+FM29</f>
        <v/>
      </c>
      <c r="KD29" s="44">
        <f>JO29+JQ29+JS29+JU29+JW29+JY29</f>
        <v/>
      </c>
      <c r="KE29" s="45">
        <f>KB29=E29</f>
        <v/>
      </c>
      <c r="KF29" s="101">
        <f>E29-KB29</f>
        <v/>
      </c>
      <c r="KG29" s="21" t="n"/>
    </row>
    <row r="30" ht="21.75" customFormat="1" customHeight="1" s="22">
      <c r="A30" s="126">
        <f>A29+1</f>
        <v/>
      </c>
      <c r="B30" s="175" t="inlineStr">
        <is>
          <t>Кузнецов Р.А.</t>
        </is>
      </c>
      <c r="C30" s="176" t="inlineStr">
        <is>
          <t>сварщик</t>
        </is>
      </c>
      <c r="D30" s="177">
        <f>$D$5</f>
        <v/>
      </c>
      <c r="E30" s="202" t="n"/>
      <c r="F30" s="193" t="n">
        <v>84149.67999999999</v>
      </c>
      <c r="G30" s="52">
        <f>F30/D30</f>
        <v/>
      </c>
      <c r="H30" s="108" t="n"/>
      <c r="I30" s="122">
        <f>H30*100/$E$30</f>
        <v/>
      </c>
      <c r="J30" s="108" t="n"/>
      <c r="K30" s="122">
        <f>J30*100/$E$30</f>
        <v/>
      </c>
      <c r="L30" s="108" t="n"/>
      <c r="M30" s="122">
        <f>L30*100/$E$30</f>
        <v/>
      </c>
      <c r="N30" s="108" t="n"/>
      <c r="O30" s="122">
        <f>N30*100/$E$30</f>
        <v/>
      </c>
      <c r="P30" s="108" t="n"/>
      <c r="Q30" s="122">
        <f>P30*100/$E$30</f>
        <v/>
      </c>
      <c r="R30" s="108" t="n"/>
      <c r="S30" s="122">
        <f>R30*100/$E$30</f>
        <v/>
      </c>
      <c r="T30" s="108" t="n"/>
      <c r="U30" s="122">
        <f>T30*100/$E$30</f>
        <v/>
      </c>
      <c r="V30" s="108" t="n"/>
      <c r="W30" s="122">
        <f>V30*100/$E$30</f>
        <v/>
      </c>
      <c r="X30" s="108" t="n"/>
      <c r="Y30" s="122">
        <f>X30*100/$E$30</f>
        <v/>
      </c>
      <c r="Z30" s="108" t="n"/>
      <c r="AA30" s="122">
        <f>Z30*100/$E$30</f>
        <v/>
      </c>
      <c r="AB30" s="108" t="n"/>
      <c r="AC30" s="122">
        <f>AB30*100/$E$30</f>
        <v/>
      </c>
      <c r="AD30" s="108" t="n"/>
      <c r="AE30" s="122">
        <f>AD30*100/$E$30</f>
        <v/>
      </c>
      <c r="AF30" s="108" t="n"/>
      <c r="AG30" s="122">
        <f>AF30*100/$E$30</f>
        <v/>
      </c>
      <c r="AH30" s="108" t="n"/>
      <c r="AI30" s="122">
        <f>AH30*100/$E$30</f>
        <v/>
      </c>
      <c r="AJ30" s="108" t="n"/>
      <c r="AK30" s="122">
        <f>AJ30*100/$E$30</f>
        <v/>
      </c>
      <c r="AL30" s="108" t="n"/>
      <c r="AM30" s="122">
        <f>AL30*100/$E$30</f>
        <v/>
      </c>
      <c r="AN30" s="108" t="n"/>
      <c r="AO30" s="122">
        <f>AN30*100/$E$30</f>
        <v/>
      </c>
      <c r="AP30" s="108" t="n"/>
      <c r="AQ30" s="122">
        <f>AP30*100/$E$30</f>
        <v/>
      </c>
      <c r="AR30" s="108" t="n"/>
      <c r="AS30" s="122">
        <f>AR30*100/$E$30</f>
        <v/>
      </c>
      <c r="AT30" s="108" t="n"/>
      <c r="AU30" s="90">
        <f>AT30*100/$E$30</f>
        <v/>
      </c>
      <c r="AV30" s="108" t="n"/>
      <c r="AW30" s="122">
        <f>AV30*100/$E$30</f>
        <v/>
      </c>
      <c r="AX30" s="108" t="n"/>
      <c r="AY30" s="122">
        <f>AX30*100/$E$30</f>
        <v/>
      </c>
      <c r="AZ30" s="108" t="n"/>
      <c r="BA30" s="122">
        <f>AZ30*100/$E$30</f>
        <v/>
      </c>
      <c r="BB30" s="108" t="n"/>
      <c r="BC30" s="122">
        <f>BB30*100/$E$30</f>
        <v/>
      </c>
      <c r="BD30" s="108" t="n"/>
      <c r="BE30" s="122">
        <f>BD30*100/$E$30</f>
        <v/>
      </c>
      <c r="BF30" s="108" t="n"/>
      <c r="BG30" s="122">
        <f>BF30*100/$E$30</f>
        <v/>
      </c>
      <c r="BH30" s="108" t="n"/>
      <c r="BI30" s="122">
        <f>BH30*100/$E$30</f>
        <v/>
      </c>
      <c r="BJ30" s="108" t="n"/>
      <c r="BK30" s="122">
        <f>BJ30*100/$E$30</f>
        <v/>
      </c>
      <c r="BL30" s="108" t="n"/>
      <c r="BM30" s="122">
        <f>BL30*100/$E$30</f>
        <v/>
      </c>
      <c r="BN30" s="108" t="n"/>
      <c r="BO30" s="122">
        <f>BN30*100/$E$30</f>
        <v/>
      </c>
      <c r="BP30" s="108" t="n"/>
      <c r="BQ30" s="122">
        <f>BP30*100/$E$30</f>
        <v/>
      </c>
      <c r="BR30" s="108" t="n"/>
      <c r="BS30" s="122">
        <f>BR30*100/$E$30</f>
        <v/>
      </c>
      <c r="BT30" s="108" t="n"/>
      <c r="BU30" s="122">
        <f>BT30*100/$E$30</f>
        <v/>
      </c>
      <c r="BV30" s="108" t="n"/>
      <c r="BW30" s="122">
        <f>BV30*100/$E$30</f>
        <v/>
      </c>
      <c r="BX30" s="108" t="n"/>
      <c r="BY30" s="122">
        <f>BX30*100/$E$30</f>
        <v/>
      </c>
      <c r="BZ30" s="108" t="n"/>
      <c r="CA30" s="122">
        <f>BZ30*100/$E$30</f>
        <v/>
      </c>
      <c r="CB30" s="108" t="n"/>
      <c r="CC30" s="122">
        <f>CB30*100/$E$30</f>
        <v/>
      </c>
      <c r="CD30" s="108" t="n"/>
      <c r="CE30" s="122">
        <f>CD30*100/$E$30</f>
        <v/>
      </c>
      <c r="CF30" s="108" t="n"/>
      <c r="CG30" s="122">
        <f>CF30*100/$E$30</f>
        <v/>
      </c>
      <c r="CH30" s="108" t="n"/>
      <c r="CI30" s="122">
        <f>CH30*100/$E$30</f>
        <v/>
      </c>
      <c r="CJ30" s="108" t="n"/>
      <c r="CK30" s="122">
        <f>CJ30*100/$E$30</f>
        <v/>
      </c>
      <c r="CL30" s="108" t="n"/>
      <c r="CM30" s="122">
        <f>CL30*100/$E$30</f>
        <v/>
      </c>
      <c r="CN30" s="108" t="n"/>
      <c r="CO30" s="122">
        <f>CN30*100/$E$30</f>
        <v/>
      </c>
      <c r="CP30" s="108" t="n"/>
      <c r="CQ30" s="122">
        <f>CP30*100/$E$30</f>
        <v/>
      </c>
      <c r="CR30" s="108" t="n"/>
      <c r="CS30" s="122">
        <f>CR30*100/$E$30</f>
        <v/>
      </c>
      <c r="CT30" s="108" t="n"/>
      <c r="CU30" s="122">
        <f>CT30*100/$E$30</f>
        <v/>
      </c>
      <c r="CV30" s="108" t="n"/>
      <c r="CW30" s="122">
        <f>CV30*100/$E$30</f>
        <v/>
      </c>
      <c r="CX30" s="108" t="n"/>
      <c r="CY30" s="122">
        <f>CX30*100/$E$30</f>
        <v/>
      </c>
      <c r="CZ30" s="108" t="n"/>
      <c r="DA30" s="122">
        <f>CZ30*100/$E$30</f>
        <v/>
      </c>
      <c r="DB30" s="108" t="n"/>
      <c r="DC30" s="122">
        <f>DB30*100/$E$30</f>
        <v/>
      </c>
      <c r="DD30" s="108" t="n"/>
      <c r="DE30" s="122">
        <f>DD30*100/$E$30</f>
        <v/>
      </c>
      <c r="DF30" s="108" t="n"/>
      <c r="DG30" s="122">
        <f>DF30*100/$E$30</f>
        <v/>
      </c>
      <c r="DH30" s="108" t="n"/>
      <c r="DI30" s="122">
        <f>DH30*100/$E$30</f>
        <v/>
      </c>
      <c r="DJ30" s="108" t="n"/>
      <c r="DK30" s="122">
        <f>DJ30*100/$E$30</f>
        <v/>
      </c>
      <c r="DL30" s="108" t="n"/>
      <c r="DM30" s="122">
        <f>DL30*100/$E$30</f>
        <v/>
      </c>
      <c r="DN30" s="108" t="n"/>
      <c r="DO30" s="122">
        <f>DN30*100/$E$30</f>
        <v/>
      </c>
      <c r="DP30" s="108" t="n"/>
      <c r="DQ30" s="122">
        <f>DP30*100/$E$30</f>
        <v/>
      </c>
      <c r="DR30" s="108" t="n"/>
      <c r="DS30" s="122">
        <f>DR30*100/$E$30</f>
        <v/>
      </c>
      <c r="DT30" s="108" t="n"/>
      <c r="DU30" s="122">
        <f>DT30*100/$E$30</f>
        <v/>
      </c>
      <c r="DV30" s="108" t="n"/>
      <c r="DW30" s="122">
        <f>DV30*100/$E$30</f>
        <v/>
      </c>
      <c r="DX30" s="108" t="n"/>
      <c r="DY30" s="122">
        <f>DX30*100/$E$30</f>
        <v/>
      </c>
      <c r="DZ30" s="108" t="n"/>
      <c r="EA30" s="122">
        <f>DZ30*100/$E$30</f>
        <v/>
      </c>
      <c r="EB30" s="108" t="n"/>
      <c r="EC30" s="122">
        <f>EB30*100/$E$30</f>
        <v/>
      </c>
      <c r="ED30" s="108" t="n"/>
      <c r="EE30" s="122">
        <f>ED30*100/$E$30</f>
        <v/>
      </c>
      <c r="EF30" s="108" t="n"/>
      <c r="EG30" s="122">
        <f>EF30*100/$E$30</f>
        <v/>
      </c>
      <c r="EH30" s="108" t="n"/>
      <c r="EI30" s="122">
        <f>EH30*100/$E$30</f>
        <v/>
      </c>
      <c r="EJ30" s="108" t="n"/>
      <c r="EK30" s="122">
        <f>EJ30*100/$E$30</f>
        <v/>
      </c>
      <c r="EL30" s="108" t="n"/>
      <c r="EM30" s="122">
        <f>EL30*100/$E$30</f>
        <v/>
      </c>
      <c r="EN30" s="108" t="n"/>
      <c r="EO30" s="122">
        <f>EN30*100/$E$30</f>
        <v/>
      </c>
      <c r="EP30" s="108" t="n"/>
      <c r="EQ30" s="122">
        <f>EP30*100/$E$30</f>
        <v/>
      </c>
      <c r="ER30" s="108" t="n"/>
      <c r="ES30" s="122">
        <f>ER30*100/$E$30</f>
        <v/>
      </c>
      <c r="ET30" s="108" t="n"/>
      <c r="EU30" s="122">
        <f>ET30*100/$E$30</f>
        <v/>
      </c>
      <c r="EV30" s="108" t="n"/>
      <c r="EW30" s="122">
        <f>EV30*100/$E$30</f>
        <v/>
      </c>
      <c r="EX30" s="108" t="n"/>
      <c r="EY30" s="122">
        <f>EX30*100/$E$30</f>
        <v/>
      </c>
      <c r="EZ30" s="108" t="n"/>
      <c r="FA30" s="122">
        <f>EZ30*100/$E$30</f>
        <v/>
      </c>
      <c r="FB30" s="108" t="n"/>
      <c r="FC30" s="122">
        <f>FB30*100/$E$30</f>
        <v/>
      </c>
      <c r="FD30" s="108" t="n"/>
      <c r="FE30" s="122">
        <f>FD30*100/$E$30</f>
        <v/>
      </c>
      <c r="FF30" s="108" t="n"/>
      <c r="FG30" s="122">
        <f>FF30*100/$E$30</f>
        <v/>
      </c>
      <c r="FH30" s="108" t="n"/>
      <c r="FI30" s="122">
        <f>FH30*100/$E$30</f>
        <v/>
      </c>
      <c r="FJ30" s="108" t="n"/>
      <c r="FK30" s="122">
        <f>FJ30*100/$E$30</f>
        <v/>
      </c>
      <c r="FL30" s="108" t="n"/>
      <c r="FM30" s="122">
        <f>FL30*100/$E$30</f>
        <v/>
      </c>
      <c r="FN30" s="108" t="n"/>
      <c r="FO30" s="122">
        <f>FN30*100/$E$30</f>
        <v/>
      </c>
      <c r="FP30" s="108" t="n"/>
      <c r="FQ30" s="122">
        <f>FP30*100/$E$30</f>
        <v/>
      </c>
      <c r="FR30" s="108" t="n"/>
      <c r="FS30" s="122">
        <f>FR30*100/$E$30</f>
        <v/>
      </c>
      <c r="FT30" s="108" t="n"/>
      <c r="FU30" s="122">
        <f>FT30*100/$E$30</f>
        <v/>
      </c>
      <c r="FV30" s="108" t="n"/>
      <c r="FW30" s="122">
        <f>FV30*100/$E$30</f>
        <v/>
      </c>
      <c r="FX30" s="108" t="n"/>
      <c r="FY30" s="122">
        <f>FX30*100/$E$30</f>
        <v/>
      </c>
      <c r="FZ30" s="108" t="n"/>
      <c r="GA30" s="122">
        <f>FZ30*100/$E$30</f>
        <v/>
      </c>
      <c r="GB30" s="108" t="n"/>
      <c r="GC30" s="122">
        <f>GB30*100/$E$30</f>
        <v/>
      </c>
      <c r="GD30" s="108" t="n"/>
      <c r="GE30" s="122">
        <f>GD30*100/$E$30</f>
        <v/>
      </c>
      <c r="GF30" s="108" t="n"/>
      <c r="GG30" s="122">
        <f>GF30*100/$E$30</f>
        <v/>
      </c>
      <c r="GH30" s="108" t="n"/>
      <c r="GI30" s="122">
        <f>GH30*100/$E$30</f>
        <v/>
      </c>
      <c r="GJ30" s="108" t="n"/>
      <c r="GK30" s="122">
        <f>GJ30*100/$E$30</f>
        <v/>
      </c>
      <c r="GL30" s="108" t="n"/>
      <c r="GM30" s="122">
        <f>GL30*100/$E$30</f>
        <v/>
      </c>
      <c r="GN30" s="108" t="n"/>
      <c r="GO30" s="122">
        <f>GN30*100/$E$30</f>
        <v/>
      </c>
      <c r="GP30" s="108" t="n"/>
      <c r="GQ30" s="122">
        <f>GP30*100/$E$30</f>
        <v/>
      </c>
      <c r="GR30" s="108" t="n"/>
      <c r="GS30" s="122">
        <f>GR30*100/$E$30</f>
        <v/>
      </c>
      <c r="GT30" s="108" t="n"/>
      <c r="GU30" s="122">
        <f>GT30*100/$E$30</f>
        <v/>
      </c>
      <c r="GV30" s="108" t="n"/>
      <c r="GW30" s="122">
        <f>GV30*100/$E$30</f>
        <v/>
      </c>
      <c r="GX30" s="108" t="n"/>
      <c r="GY30" s="122">
        <f>GX30*100/$E$30</f>
        <v/>
      </c>
      <c r="GZ30" s="108" t="n"/>
      <c r="HA30" s="122">
        <f>GZ30*100/$E$30</f>
        <v/>
      </c>
      <c r="HB30" s="108" t="n"/>
      <c r="HC30" s="122">
        <f>HB30*100/$E$30</f>
        <v/>
      </c>
      <c r="HD30" s="108" t="n"/>
      <c r="HE30" s="122">
        <f>HD30*100/$E$30</f>
        <v/>
      </c>
      <c r="HF30" s="108" t="n"/>
      <c r="HG30" s="122">
        <f>HF30*100/$E$30</f>
        <v/>
      </c>
      <c r="HH30" s="108" t="n"/>
      <c r="HI30" s="122">
        <f>HH30*100/$E$30</f>
        <v/>
      </c>
      <c r="HJ30" s="108" t="n"/>
      <c r="HK30" s="122">
        <f>HJ30*100/$E$30</f>
        <v/>
      </c>
      <c r="HL30" s="108" t="n"/>
      <c r="HM30" s="122">
        <f>HL30*100/$E$30</f>
        <v/>
      </c>
      <c r="HN30" s="108" t="n"/>
      <c r="HO30" s="122">
        <f>HN30*100/$E$30</f>
        <v/>
      </c>
      <c r="HP30" s="108" t="n"/>
      <c r="HQ30" s="122">
        <f>HP30*100/$E$30</f>
        <v/>
      </c>
      <c r="HR30" s="108" t="n"/>
      <c r="HS30" s="122">
        <f>HR30*100/$E$30</f>
        <v/>
      </c>
      <c r="HT30" s="108" t="n"/>
      <c r="HU30" s="122">
        <f>HT30*100/$E$30</f>
        <v/>
      </c>
      <c r="HV30" s="108" t="n"/>
      <c r="HW30" s="122">
        <f>HV30*100/$E$30</f>
        <v/>
      </c>
      <c r="HX30" s="108" t="n"/>
      <c r="HY30" s="122">
        <f>HX30*100/$E$30</f>
        <v/>
      </c>
      <c r="HZ30" s="108" t="n"/>
      <c r="IA30" s="122">
        <f>HZ30*100/$E$30</f>
        <v/>
      </c>
      <c r="IB30" s="108" t="n"/>
      <c r="IC30" s="122">
        <f>IB30*100/$E$30</f>
        <v/>
      </c>
      <c r="ID30" s="108" t="n"/>
      <c r="IE30" s="122">
        <f>ID30*100/$E$30</f>
        <v/>
      </c>
      <c r="IF30" s="108" t="n"/>
      <c r="IG30" s="122">
        <f>IF30*100/$E$30</f>
        <v/>
      </c>
      <c r="IH30" s="108" t="n"/>
      <c r="II30" s="122">
        <f>IH30*100/$E$30</f>
        <v/>
      </c>
      <c r="IJ30" s="108" t="n"/>
      <c r="IK30" s="122">
        <f>IJ30*100/$E$30</f>
        <v/>
      </c>
      <c r="IL30" s="108" t="n"/>
      <c r="IM30" s="122">
        <f>IL30*100/$E$30</f>
        <v/>
      </c>
      <c r="IN30" s="108" t="n"/>
      <c r="IO30" s="122">
        <f>IN30*100/$E$30</f>
        <v/>
      </c>
      <c r="IP30" s="108" t="n"/>
      <c r="IQ30" s="122">
        <f>IP30*100/$E$30</f>
        <v/>
      </c>
      <c r="IR30" s="108" t="n"/>
      <c r="IS30" s="122">
        <f>IR30*100/$E$30</f>
        <v/>
      </c>
      <c r="IT30" s="108" t="n"/>
      <c r="IU30" s="122">
        <f>IT30*100/$E$30</f>
        <v/>
      </c>
      <c r="IV30" s="108" t="n"/>
      <c r="IW30" s="122">
        <f>IV30*100/$E$30</f>
        <v/>
      </c>
      <c r="IX30" s="108" t="n"/>
      <c r="IY30" s="122">
        <f>IX30*100/$E$30</f>
        <v/>
      </c>
      <c r="IZ30" s="108" t="n"/>
      <c r="JA30" s="122">
        <f>IZ30*100/$E$30</f>
        <v/>
      </c>
      <c r="JB30" s="108" t="n"/>
      <c r="JC30" s="122">
        <f>JB30*100/$E$30</f>
        <v/>
      </c>
      <c r="JD30" s="108" t="n"/>
      <c r="JE30" s="122">
        <f>JD30*100/$E$30</f>
        <v/>
      </c>
      <c r="JF30" s="108" t="n"/>
      <c r="JG30" s="122">
        <f>JF30*100/$E$30</f>
        <v/>
      </c>
      <c r="JH30" s="108" t="n"/>
      <c r="JI30" s="122">
        <f>JH30*100/$E$30</f>
        <v/>
      </c>
      <c r="JJ30" s="108" t="n"/>
      <c r="JK30" s="122">
        <f>JJ30*100/$E$30</f>
        <v/>
      </c>
      <c r="JL30" s="108" t="n"/>
      <c r="JM30" s="122">
        <f>JL30*100/$E$30</f>
        <v/>
      </c>
      <c r="JN30" s="108" t="n"/>
      <c r="JO30" s="122">
        <f>JN30*100/$E$30</f>
        <v/>
      </c>
      <c r="JP30" s="108" t="n"/>
      <c r="JQ30" s="122">
        <f>JP30*100/$E$30</f>
        <v/>
      </c>
      <c r="JR30" s="108" t="n"/>
      <c r="JS30" s="122">
        <f>JR30*100/$E$30</f>
        <v/>
      </c>
      <c r="JT30" s="108" t="n"/>
      <c r="JU30" s="122">
        <f>JT30*100/$E$30</f>
        <v/>
      </c>
      <c r="JV30" s="108" t="n"/>
      <c r="JW30" s="122">
        <f>JV30*100/$E$30</f>
        <v/>
      </c>
      <c r="JX30" s="108" t="n"/>
      <c r="JY30" s="122">
        <f>JX30*100/$E$30</f>
        <v/>
      </c>
      <c r="JZ30" s="55">
        <f>JN30+JP30+JR30+JT30+JV30+JX30</f>
        <v/>
      </c>
      <c r="KA30" s="53">
        <f>JO30+JQ30+JS30+JU30+JW30+JY30</f>
        <v/>
      </c>
      <c r="KB30" s="64">
        <f>H30+J30+L30+N30+P30+R30+T30+V30+X30+Z30+AB30+AD30+AF30+AH30+AJ30+AL30+AN30+AP30+AR30+AT30+AV30+AX30+AZ30+BB30+BD30+BF30+BH30+BJ30+BL30+BN30+BP30+BR30+BT30+BV30+BX30+BZ30+CB30+CD30+CF30+CH30+CZ30+DB30+DD30+DF30+DH30+DJ30+DL30+DN30+DP30+DR30+DT30+DV30+DX30+DZ30+EB30+ED30+EF30+EH30+EJ30+EL30+EN30+EP30+ER30+ET30+EV30+FN30+FP30+FR30+FT30+FV30+FX30+FZ30+GB30+GD30+GF30+GH30+GJ30+GL30+GN30+GP30+GR30+GT30+GV30+GX30+GZ30+HB30+HD30+HF30+HH30+HJ30+HL30+HN30+HP30+HR30+HT30+HV30+HX30+HZ30+IB30+ID30+IF30+IH30+IJ30+IL30+IN30+IP30+IR30+IT30+IV30+IX30+IZ30+JB30+JD30+JF30+JH30+JJ30+JL30+JZ30+CJ30+CL30+CN30+CP30+CR30+CT30+CV30+CX30+EX30+EZ30+FB30+FD30+FF30+FH30+FJ30+FL30</f>
        <v/>
      </c>
      <c r="KC30" s="66">
        <f>I30+K30+M30+O30+Q30+S30+U30+W30+Y30+AA30+AC30+AE30+AG30+AI30+AK30+AM30+AO30+AQ30+AS30+AU30+AW30+AY30+BA30+BC30+BE30+BG30+BI30+BK30+BM30+BO30+BQ30+BS30+BU30+BW30+BY30+CA30+CC30+CE30+CG30+CI30+DA30+DC30+DE30+DG30+DI30+DK30+DM30+DO30+DQ30+DS30+DU30+DW30+DY30+EA30+EC30+EE30+EG30+EI30+EK30+EM30+EO30+EQ30+ES30+EU30+EW30+FO30+FS30+FU30+FW30+FQ30+FY30+GA30+GC30+GE30+GG30+GI30+GK30+GM30+GO30+GQ30+GS30+GU30+GW30+GY30+HA30+HC30+HE30+HG30+HI30+HK30+HM30+HO30+HQ30+HS30+HU30+HW30+HY30+IA30+IC30+IE30+IG30+II30+IK30+IM30+IO30+IQ30+IS30+IU30+IW30+IY30+JA30+JC30+JE30+JG30+JI30+JK30+JM30+KA30+CK30+CM30+CO30+CQ30+CS30+CU30+CW30+CY30+EY30+FA30+FC30+FE30+FG30+FI30+FK30+FM30</f>
        <v/>
      </c>
      <c r="KD30" s="44">
        <f>JO30+JQ30+JS30+JU30+JW30+JY30</f>
        <v/>
      </c>
      <c r="KE30" s="45">
        <f>KB30=E30</f>
        <v/>
      </c>
      <c r="KF30" s="101">
        <f>E30-KB30</f>
        <v/>
      </c>
      <c r="KG30" s="21" t="n"/>
    </row>
    <row r="31" ht="29.25" customFormat="1" customHeight="1" s="21">
      <c r="A31" s="126">
        <f>A30+1</f>
        <v/>
      </c>
      <c r="B31" s="175" t="inlineStr">
        <is>
          <t>Ленинг И.Н.</t>
        </is>
      </c>
      <c r="C31" s="176" t="inlineStr">
        <is>
          <t xml:space="preserve">Оператор СПУ </t>
        </is>
      </c>
      <c r="D31" s="177">
        <f>$D$5</f>
        <v/>
      </c>
      <c r="E31" s="202" t="n"/>
      <c r="F31" s="193" t="n">
        <v>126855.63</v>
      </c>
      <c r="G31" s="52">
        <f>F31/D31</f>
        <v/>
      </c>
      <c r="H31" s="125" t="n"/>
      <c r="I31" s="107">
        <f>H31*100/$E$31</f>
        <v/>
      </c>
      <c r="J31" s="108" t="n"/>
      <c r="K31" s="107">
        <f>J31*100/$E$31</f>
        <v/>
      </c>
      <c r="L31" s="108" t="n"/>
      <c r="M31" s="107">
        <f>L31*100/$E$31</f>
        <v/>
      </c>
      <c r="N31" s="108" t="n"/>
      <c r="O31" s="107">
        <f>N31*100/$E$31</f>
        <v/>
      </c>
      <c r="P31" s="108" t="n"/>
      <c r="Q31" s="122">
        <f>P31*100/$E$31</f>
        <v/>
      </c>
      <c r="R31" s="108" t="n"/>
      <c r="S31" s="122">
        <f>R31*100/$E$31</f>
        <v/>
      </c>
      <c r="T31" s="108" t="n"/>
      <c r="U31" s="107">
        <f>T31*100/$E$31</f>
        <v/>
      </c>
      <c r="V31" s="108" t="n"/>
      <c r="W31" s="107">
        <f>V31*100/$E$31</f>
        <v/>
      </c>
      <c r="X31" s="108" t="n"/>
      <c r="Y31" s="107">
        <f>X31*100/$E$31</f>
        <v/>
      </c>
      <c r="Z31" s="108" t="n"/>
      <c r="AA31" s="107">
        <f>Z31*100/$E$31</f>
        <v/>
      </c>
      <c r="AB31" s="108" t="n"/>
      <c r="AC31" s="107">
        <f>AB31*100/$E$31</f>
        <v/>
      </c>
      <c r="AD31" s="108" t="n"/>
      <c r="AE31" s="122">
        <f>AD31*100/$E$31</f>
        <v/>
      </c>
      <c r="AF31" s="108" t="n"/>
      <c r="AG31" s="122">
        <f>AF31*100/$E$31</f>
        <v/>
      </c>
      <c r="AH31" s="108" t="n"/>
      <c r="AI31" s="107">
        <f>AH31*100/$E$31</f>
        <v/>
      </c>
      <c r="AJ31" s="108" t="n"/>
      <c r="AK31" s="107">
        <f>AJ31*100/$E$31</f>
        <v/>
      </c>
      <c r="AL31" s="108" t="n"/>
      <c r="AM31" s="107">
        <f>AL31*100/$E$31</f>
        <v/>
      </c>
      <c r="AN31" s="108" t="n"/>
      <c r="AO31" s="107">
        <f>AN31*100/$E$31</f>
        <v/>
      </c>
      <c r="AP31" s="108" t="n"/>
      <c r="AQ31" s="107">
        <f>AP31*100/$E$31</f>
        <v/>
      </c>
      <c r="AR31" s="108" t="n"/>
      <c r="AS31" s="107">
        <f>AR31*100/$E$31</f>
        <v/>
      </c>
      <c r="AT31" s="108" t="n"/>
      <c r="AU31" s="90">
        <f>AT31*100/$E$31</f>
        <v/>
      </c>
      <c r="AV31" s="108" t="n"/>
      <c r="AW31" s="107">
        <f>AV31*100/$E$31</f>
        <v/>
      </c>
      <c r="AX31" s="108" t="n"/>
      <c r="AY31" s="107">
        <f>AX31*100/$E$31</f>
        <v/>
      </c>
      <c r="AZ31" s="108" t="n"/>
      <c r="BA31" s="107">
        <f>AZ31*100/$E$31</f>
        <v/>
      </c>
      <c r="BB31" s="108" t="n"/>
      <c r="BC31" s="107">
        <f>BB31*100/$E$31</f>
        <v/>
      </c>
      <c r="BD31" s="108" t="n"/>
      <c r="BE31" s="107">
        <f>BD31*100/$E$31</f>
        <v/>
      </c>
      <c r="BF31" s="108" t="n"/>
      <c r="BG31" s="107">
        <f>BF31*100/$E$31</f>
        <v/>
      </c>
      <c r="BH31" s="108" t="n"/>
      <c r="BI31" s="107">
        <f>BH31*100/$E$31</f>
        <v/>
      </c>
      <c r="BJ31" s="108" t="n"/>
      <c r="BK31" s="107">
        <f>BJ31*100/$E$31</f>
        <v/>
      </c>
      <c r="BL31" s="108" t="n"/>
      <c r="BM31" s="107">
        <f>BL31*100/$E$31</f>
        <v/>
      </c>
      <c r="BN31" s="108" t="n"/>
      <c r="BO31" s="107">
        <f>BN31*100/$E$31</f>
        <v/>
      </c>
      <c r="BP31" s="108" t="n"/>
      <c r="BQ31" s="107">
        <f>BP31*100/$E$31</f>
        <v/>
      </c>
      <c r="BR31" s="108" t="n"/>
      <c r="BS31" s="107">
        <f>BR31*100/$E$31</f>
        <v/>
      </c>
      <c r="BT31" s="108" t="n"/>
      <c r="BU31" s="107">
        <f>BT31*100/$E$31</f>
        <v/>
      </c>
      <c r="BV31" s="108" t="n"/>
      <c r="BW31" s="107">
        <f>BV31*100/$E$31</f>
        <v/>
      </c>
      <c r="BX31" s="108" t="n"/>
      <c r="BY31" s="107">
        <f>BX31*100/$E$31</f>
        <v/>
      </c>
      <c r="BZ31" s="108" t="n"/>
      <c r="CA31" s="107">
        <f>BZ31*100/$E$31</f>
        <v/>
      </c>
      <c r="CB31" s="108" t="n"/>
      <c r="CC31" s="107">
        <f>CB31*100/$E$31</f>
        <v/>
      </c>
      <c r="CD31" s="108" t="n"/>
      <c r="CE31" s="107">
        <f>CD31*100/$E$31</f>
        <v/>
      </c>
      <c r="CF31" s="108" t="n"/>
      <c r="CG31" s="107">
        <f>CF31*100/$E$31</f>
        <v/>
      </c>
      <c r="CH31" s="108" t="n"/>
      <c r="CI31" s="107">
        <f>CH31*100/$E$31</f>
        <v/>
      </c>
      <c r="CJ31" s="108" t="n"/>
      <c r="CK31" s="107">
        <f>CJ31*100/$E$31</f>
        <v/>
      </c>
      <c r="CL31" s="108" t="n"/>
      <c r="CM31" s="107">
        <f>CL31*100/$E$31</f>
        <v/>
      </c>
      <c r="CN31" s="108" t="n"/>
      <c r="CO31" s="122">
        <f>CN31*100/$E$31</f>
        <v/>
      </c>
      <c r="CP31" s="108" t="n"/>
      <c r="CQ31" s="107">
        <f>CP31*100/$E$31</f>
        <v/>
      </c>
      <c r="CR31" s="108" t="n"/>
      <c r="CS31" s="122">
        <f>CR31*100/$E$31</f>
        <v/>
      </c>
      <c r="CT31" s="108" t="n"/>
      <c r="CU31" s="122">
        <f>CT31*100/$E$31</f>
        <v/>
      </c>
      <c r="CV31" s="108" t="n"/>
      <c r="CW31" s="122">
        <f>CV31*100/$E$31</f>
        <v/>
      </c>
      <c r="CX31" s="108" t="n"/>
      <c r="CY31" s="122">
        <f>CX31*100/$E$31</f>
        <v/>
      </c>
      <c r="CZ31" s="108" t="n"/>
      <c r="DA31" s="122">
        <f>CZ31*100/$E$31</f>
        <v/>
      </c>
      <c r="DB31" s="108" t="n"/>
      <c r="DC31" s="122">
        <f>DB31*100/$E$31</f>
        <v/>
      </c>
      <c r="DD31" s="108" t="n"/>
      <c r="DE31" s="122">
        <f>DD31*100/$E$31</f>
        <v/>
      </c>
      <c r="DF31" s="108" t="n"/>
      <c r="DG31" s="122">
        <f>DF31*100/$E$31</f>
        <v/>
      </c>
      <c r="DH31" s="108" t="n"/>
      <c r="DI31" s="122">
        <f>DH31*100/$E$31</f>
        <v/>
      </c>
      <c r="DJ31" s="108" t="n"/>
      <c r="DK31" s="122">
        <f>DJ31*100/$E$31</f>
        <v/>
      </c>
      <c r="DL31" s="108" t="n"/>
      <c r="DM31" s="122">
        <f>DL31*100/$E$31</f>
        <v/>
      </c>
      <c r="DN31" s="108" t="n"/>
      <c r="DO31" s="122">
        <f>DN31*100/$E$31</f>
        <v/>
      </c>
      <c r="DP31" s="108" t="n"/>
      <c r="DQ31" s="122">
        <f>DP31*100/$E$31</f>
        <v/>
      </c>
      <c r="DR31" s="108" t="n"/>
      <c r="DS31" s="122">
        <f>DR31*100/$E$31</f>
        <v/>
      </c>
      <c r="DT31" s="108" t="n"/>
      <c r="DU31" s="122">
        <f>DT31*100/$E$31</f>
        <v/>
      </c>
      <c r="DV31" s="108" t="n"/>
      <c r="DW31" s="122">
        <f>DV31*100/$E$31</f>
        <v/>
      </c>
      <c r="DX31" s="108" t="n"/>
      <c r="DY31" s="122">
        <f>DX31*100/$E$31</f>
        <v/>
      </c>
      <c r="DZ31" s="108" t="n"/>
      <c r="EA31" s="122">
        <f>DZ31*100/$E$31</f>
        <v/>
      </c>
      <c r="EB31" s="108" t="n"/>
      <c r="EC31" s="122">
        <f>EB31*100/$E$31</f>
        <v/>
      </c>
      <c r="ED31" s="108" t="n"/>
      <c r="EE31" s="122">
        <f>ED31*100/$E$31</f>
        <v/>
      </c>
      <c r="EF31" s="108" t="n"/>
      <c r="EG31" s="122">
        <f>EF31*100/$E$31</f>
        <v/>
      </c>
      <c r="EH31" s="108" t="n"/>
      <c r="EI31" s="122">
        <f>EH31*100/$E$31</f>
        <v/>
      </c>
      <c r="EJ31" s="108" t="n"/>
      <c r="EK31" s="122">
        <f>EJ31*100/$E$31</f>
        <v/>
      </c>
      <c r="EL31" s="108" t="n"/>
      <c r="EM31" s="122">
        <f>EL31*100/$E$31</f>
        <v/>
      </c>
      <c r="EN31" s="108" t="n"/>
      <c r="EO31" s="122">
        <f>EN31*100/$E$31</f>
        <v/>
      </c>
      <c r="EP31" s="108" t="n"/>
      <c r="EQ31" s="122">
        <f>EP31*100/$E$31</f>
        <v/>
      </c>
      <c r="ER31" s="108" t="n"/>
      <c r="ES31" s="122">
        <f>ER31*100/$E$31</f>
        <v/>
      </c>
      <c r="ET31" s="108" t="n"/>
      <c r="EU31" s="122">
        <f>ET31*100/$E$31</f>
        <v/>
      </c>
      <c r="EV31" s="108" t="n"/>
      <c r="EW31" s="122">
        <f>EV31*100/$E$31</f>
        <v/>
      </c>
      <c r="EX31" s="108" t="n"/>
      <c r="EY31" s="122">
        <f>EX31*100/$E$31</f>
        <v/>
      </c>
      <c r="EZ31" s="108" t="n"/>
      <c r="FA31" s="122">
        <f>EZ31*100/$E$31</f>
        <v/>
      </c>
      <c r="FB31" s="108" t="n"/>
      <c r="FC31" s="122">
        <f>FB31*100/$E$31</f>
        <v/>
      </c>
      <c r="FD31" s="108" t="n"/>
      <c r="FE31" s="122">
        <f>FD31*100/$E$31</f>
        <v/>
      </c>
      <c r="FF31" s="108" t="n"/>
      <c r="FG31" s="122">
        <f>FF31*100/$E$31</f>
        <v/>
      </c>
      <c r="FH31" s="108" t="n"/>
      <c r="FI31" s="122">
        <f>FH31*100/$E$31</f>
        <v/>
      </c>
      <c r="FJ31" s="108" t="n"/>
      <c r="FK31" s="122">
        <f>FJ31*100/$E$31</f>
        <v/>
      </c>
      <c r="FL31" s="108" t="n"/>
      <c r="FM31" s="122">
        <f>FL31*100/$E$31</f>
        <v/>
      </c>
      <c r="FN31" s="108" t="n"/>
      <c r="FO31" s="122">
        <f>FN31*100/$E$31</f>
        <v/>
      </c>
      <c r="FP31" s="108" t="n"/>
      <c r="FQ31" s="122">
        <f>FP31*100/$E$31</f>
        <v/>
      </c>
      <c r="FR31" s="108" t="n"/>
      <c r="FS31" s="122">
        <f>FR31*100/$E$31</f>
        <v/>
      </c>
      <c r="FT31" s="108" t="n"/>
      <c r="FU31" s="122">
        <f>FT31*100/$E$31</f>
        <v/>
      </c>
      <c r="FV31" s="108" t="n"/>
      <c r="FW31" s="122">
        <f>FV31*100/$E$31</f>
        <v/>
      </c>
      <c r="FX31" s="108" t="n"/>
      <c r="FY31" s="107">
        <f>FX31*100/$E$31</f>
        <v/>
      </c>
      <c r="FZ31" s="108" t="n"/>
      <c r="GA31" s="107">
        <f>FZ31*100/$E$31</f>
        <v/>
      </c>
      <c r="GB31" s="108" t="n"/>
      <c r="GC31" s="107">
        <f>GB31*100/$E$31</f>
        <v/>
      </c>
      <c r="GD31" s="108" t="n"/>
      <c r="GE31" s="107">
        <f>GD31*100/$E$31</f>
        <v/>
      </c>
      <c r="GF31" s="108" t="n"/>
      <c r="GG31" s="107">
        <f>GF31*100/$E$31</f>
        <v/>
      </c>
      <c r="GH31" s="108" t="n"/>
      <c r="GI31" s="107">
        <f>GH31*100/$E$31</f>
        <v/>
      </c>
      <c r="GJ31" s="108" t="n"/>
      <c r="GK31" s="122">
        <f>GJ31*100/$E$31</f>
        <v/>
      </c>
      <c r="GL31" s="108" t="n"/>
      <c r="GM31" s="107">
        <f>GL31*100/$E$31</f>
        <v/>
      </c>
      <c r="GN31" s="108" t="n"/>
      <c r="GO31" s="122">
        <f>GN31*100/$E$31</f>
        <v/>
      </c>
      <c r="GP31" s="108" t="n"/>
      <c r="GQ31" s="107">
        <f>GP31*100/$E$31</f>
        <v/>
      </c>
      <c r="GR31" s="108" t="n"/>
      <c r="GS31" s="122">
        <f>GR31*100/$E$31</f>
        <v/>
      </c>
      <c r="GT31" s="108" t="n"/>
      <c r="GU31" s="122">
        <f>GT31*100/$E$31</f>
        <v/>
      </c>
      <c r="GV31" s="108" t="n"/>
      <c r="GW31" s="122">
        <f>GV31*100/$E$31</f>
        <v/>
      </c>
      <c r="GX31" s="108" t="n"/>
      <c r="GY31" s="107">
        <f>GX31*100/$E$31</f>
        <v/>
      </c>
      <c r="GZ31" s="108" t="n"/>
      <c r="HA31" s="107">
        <f>GZ31*100/$E$31</f>
        <v/>
      </c>
      <c r="HB31" s="108" t="n"/>
      <c r="HC31" s="107">
        <f>HB31*100/$E$31</f>
        <v/>
      </c>
      <c r="HD31" s="108" t="n"/>
      <c r="HE31" s="107">
        <f>HD31*100/$E$31</f>
        <v/>
      </c>
      <c r="HF31" s="108" t="n"/>
      <c r="HG31" s="107">
        <f>HF31*100/$E$31</f>
        <v/>
      </c>
      <c r="HH31" s="108" t="n"/>
      <c r="HI31" s="107">
        <f>HH31*100/$E$31</f>
        <v/>
      </c>
      <c r="HJ31" s="108" t="n"/>
      <c r="HK31" s="107">
        <f>HJ31*100/$E$31</f>
        <v/>
      </c>
      <c r="HL31" s="108" t="n"/>
      <c r="HM31" s="107">
        <f>HL31*100/$E$31</f>
        <v/>
      </c>
      <c r="HN31" s="108" t="n"/>
      <c r="HO31" s="107">
        <f>HN31*100/$E$31</f>
        <v/>
      </c>
      <c r="HP31" s="108" t="n"/>
      <c r="HQ31" s="107">
        <f>HP31*100/$E$31</f>
        <v/>
      </c>
      <c r="HR31" s="108" t="n"/>
      <c r="HS31" s="107">
        <f>HR31*100/$E$31</f>
        <v/>
      </c>
      <c r="HT31" s="108" t="n"/>
      <c r="HU31" s="107">
        <f>HT31*100/$E$31</f>
        <v/>
      </c>
      <c r="HV31" s="108" t="n"/>
      <c r="HW31" s="107">
        <f>HV31*100/$E$31</f>
        <v/>
      </c>
      <c r="HX31" s="108" t="n"/>
      <c r="HY31" s="107">
        <f>HX31*100/$E$31</f>
        <v/>
      </c>
      <c r="HZ31" s="108" t="n"/>
      <c r="IA31" s="122">
        <f>HZ31*100/$E$31</f>
        <v/>
      </c>
      <c r="IB31" s="108" t="n"/>
      <c r="IC31" s="122">
        <f>IB31*100/$E$31</f>
        <v/>
      </c>
      <c r="ID31" s="108" t="n"/>
      <c r="IE31" s="122">
        <f>ID31*100/$E$31</f>
        <v/>
      </c>
      <c r="IF31" s="108" t="n"/>
      <c r="IG31" s="122">
        <f>IF31*100/$E$31</f>
        <v/>
      </c>
      <c r="IH31" s="108" t="n"/>
      <c r="II31" s="122">
        <f>IH31*100/$E$31</f>
        <v/>
      </c>
      <c r="IJ31" s="108" t="n"/>
      <c r="IK31" s="122">
        <f>IJ31*100/$E$31</f>
        <v/>
      </c>
      <c r="IL31" s="108" t="n"/>
      <c r="IM31" s="107">
        <f>IL31*100/$E$31</f>
        <v/>
      </c>
      <c r="IN31" s="108" t="n"/>
      <c r="IO31" s="107">
        <f>IN31*100/$E$31</f>
        <v/>
      </c>
      <c r="IP31" s="108" t="n"/>
      <c r="IQ31" s="122">
        <f>IP31*100/$E$31</f>
        <v/>
      </c>
      <c r="IR31" s="108" t="n"/>
      <c r="IS31" s="122">
        <f>IR31*100/$E$31</f>
        <v/>
      </c>
      <c r="IT31" s="108" t="n"/>
      <c r="IU31" s="122">
        <f>IT31*100/$E$31</f>
        <v/>
      </c>
      <c r="IV31" s="108" t="n"/>
      <c r="IW31" s="122">
        <f>IV31*100/$E$31</f>
        <v/>
      </c>
      <c r="IX31" s="108" t="n"/>
      <c r="IY31" s="122">
        <f>IX31*100/$E$31</f>
        <v/>
      </c>
      <c r="IZ31" s="108" t="n"/>
      <c r="JA31" s="122">
        <f>IZ31*100/$E$31</f>
        <v/>
      </c>
      <c r="JB31" s="108" t="n"/>
      <c r="JC31" s="122">
        <f>JB31*100/$E$31</f>
        <v/>
      </c>
      <c r="JD31" s="108" t="n"/>
      <c r="JE31" s="122">
        <f>JD31*100/$E$31</f>
        <v/>
      </c>
      <c r="JF31" s="108" t="n"/>
      <c r="JG31" s="122">
        <f>JF31*100/$E$31</f>
        <v/>
      </c>
      <c r="JH31" s="108" t="n"/>
      <c r="JI31" s="122">
        <f>JH31*100/$E$31</f>
        <v/>
      </c>
      <c r="JJ31" s="108" t="n"/>
      <c r="JK31" s="122">
        <f>JJ31*100/$E$31</f>
        <v/>
      </c>
      <c r="JL31" s="108" t="n"/>
      <c r="JM31" s="122">
        <f>JL31*100/$E$31</f>
        <v/>
      </c>
      <c r="JN31" s="132" t="n"/>
      <c r="JO31" s="121">
        <f>JN31*100/$E$31</f>
        <v/>
      </c>
      <c r="JP31" s="132" t="n"/>
      <c r="JQ31" s="121">
        <f>JP31*100/$E$31</f>
        <v/>
      </c>
      <c r="JR31" s="132" t="n"/>
      <c r="JS31" s="121">
        <f>JR31*100/$E$31</f>
        <v/>
      </c>
      <c r="JT31" s="132" t="n"/>
      <c r="JU31" s="121">
        <f>JT31*100/$E$31</f>
        <v/>
      </c>
      <c r="JV31" s="108" t="n"/>
      <c r="JW31" s="121">
        <f>JV31*100/$E$31</f>
        <v/>
      </c>
      <c r="JX31" s="108" t="n"/>
      <c r="JY31" s="121">
        <f>JX31*100/$E$31</f>
        <v/>
      </c>
      <c r="JZ31" s="55">
        <f>JN31+JP31+JR31+JT31+JV31+JX31</f>
        <v/>
      </c>
      <c r="KA31" s="53">
        <f>JO31+JQ31+JS31+JU31+JW31+JY31</f>
        <v/>
      </c>
      <c r="KB31" s="64">
        <f>H31+J31+L31+N31+P31+R31+T31+V31+X31+Z31+AB31+AD31+AF31+AH31+AJ31+AL31+AN31+AP31+AR31+AT31+AV31+AX31+AZ31+BB31+BD31+BF31+BH31+BJ31+BL31+BN31+BP31+BR31+BT31+BV31+BX31+BZ31+CB31+CD31+CF31+CH31+CZ31+DB31+DD31+DF31+DH31+DJ31+DL31+DN31+DP31+DR31+DT31+DV31+DX31+DZ31+EB31+ED31+EF31+EH31+EJ31+EL31+EN31+EP31+ER31+ET31+EV31+FN31+FP31+FR31+FT31+FV31+FX31+FZ31+GB31+GD31+GF31+GH31+GJ31+GL31+GN31+GP31+GR31+GT31+GV31+GX31+GZ31+HB31+HD31+HF31+HH31+HJ31+HL31+HN31+HP31+HR31+HT31+HV31+HX31+HZ31+IB31+ID31+IF31+IH31+IJ31+IL31+IN31+IP31+IR31+IT31+IV31+IX31+IZ31+JB31+JD31+JF31+JH31+JJ31+JL31+JZ31+CJ31+CL31+CN31+CP31+CR31+CT31+CV31+CX31+EX31+EZ31+FB31+FD31+FF31+FH31+FJ31+FL31</f>
        <v/>
      </c>
      <c r="KC31" s="66">
        <f>I31+K31+M31+O31+Q31+S31+U31+W31+Y31+AA31+AC31+AE31+AG31+AI31+AK31+AM31+AO31+AQ31+AS31+AU31+AW31+AY31+BA31+BC31+BE31+BG31+BI31+BK31+BM31+BO31+BQ31+BS31+BU31+BW31+BY31+CA31+CC31+CE31+CG31+CI31+DA31+DC31+DE31+DG31+DI31+DK31+DM31+DO31+DQ31+DS31+DU31+DW31+DY31+EA31+EC31+EE31+EG31+EI31+EK31+EM31+EO31+EQ31+ES31+EU31+EW31+FO31+FS31+FU31+FW31+FQ31+FY31+GA31+GC31+GE31+GG31+GI31+GK31+GM31+GO31+GQ31+GS31+GU31+GW31+GY31+HA31+HC31+HE31+HG31+HI31+HK31+HM31+HO31+HQ31+HS31+HU31+HW31+HY31+IA31+IC31+IE31+IG31+II31+IK31+IM31+IO31+IQ31+IS31+IU31+IW31+IY31+JA31+JC31+JE31+JG31+JI31+JK31+JM31+KA31+CK31+CM31+CO31+CQ31+CS31+CU31+CW31+CY31+EY31+FA31+FC31+FE31+FG31+FI31+FK31+FM31</f>
        <v/>
      </c>
      <c r="KD31" s="44">
        <f>JO31+JQ31+JS31+JU31+JW31+JY31</f>
        <v/>
      </c>
      <c r="KE31" s="45">
        <f>KB31=E31</f>
        <v/>
      </c>
      <c r="KF31" s="101">
        <f>E31-KB31</f>
        <v/>
      </c>
      <c r="KG31" s="23" t="n"/>
    </row>
    <row r="32" ht="21.75" customFormat="1" customHeight="1" s="21">
      <c r="A32" s="126">
        <f>A31+1</f>
        <v/>
      </c>
      <c r="B32" s="175" t="inlineStr">
        <is>
          <t>Маргиани Г.И.</t>
        </is>
      </c>
      <c r="C32" s="176" t="inlineStr">
        <is>
          <t xml:space="preserve">Оператор СПУ </t>
        </is>
      </c>
      <c r="D32" s="177">
        <f>$D$5</f>
        <v/>
      </c>
      <c r="E32" s="202" t="n"/>
      <c r="F32" s="193" t="n">
        <v>113793.54</v>
      </c>
      <c r="G32" s="52">
        <f>F32/D32</f>
        <v/>
      </c>
      <c r="H32" s="125" t="n"/>
      <c r="I32" s="107">
        <f>H32*100/$E$32</f>
        <v/>
      </c>
      <c r="J32" s="108" t="n"/>
      <c r="K32" s="107">
        <f>J32*100/$E$32</f>
        <v/>
      </c>
      <c r="L32" s="108" t="n"/>
      <c r="M32" s="107">
        <f>L32*100/$E$32</f>
        <v/>
      </c>
      <c r="N32" s="108" t="n"/>
      <c r="O32" s="107">
        <f>N32*100/$E$32</f>
        <v/>
      </c>
      <c r="P32" s="108" t="n"/>
      <c r="Q32" s="122">
        <f>P32*100/$E$32</f>
        <v/>
      </c>
      <c r="R32" s="108" t="n"/>
      <c r="S32" s="122">
        <f>R32*100/$E$32</f>
        <v/>
      </c>
      <c r="T32" s="108" t="n"/>
      <c r="U32" s="107">
        <f>T32*100/$E$32</f>
        <v/>
      </c>
      <c r="V32" s="108" t="n"/>
      <c r="W32" s="107">
        <f>V32*100/$E$32</f>
        <v/>
      </c>
      <c r="X32" s="108" t="n"/>
      <c r="Y32" s="107">
        <f>X32*100/$E$32</f>
        <v/>
      </c>
      <c r="Z32" s="108" t="n"/>
      <c r="AA32" s="107">
        <f>Z32*100/$E$32</f>
        <v/>
      </c>
      <c r="AB32" s="108" t="n"/>
      <c r="AC32" s="107">
        <f>AB32*100/$E$32</f>
        <v/>
      </c>
      <c r="AD32" s="108" t="n"/>
      <c r="AE32" s="122">
        <f>AD32*100/$E$32</f>
        <v/>
      </c>
      <c r="AF32" s="108" t="n"/>
      <c r="AG32" s="122">
        <f>AF32*100/$E$32</f>
        <v/>
      </c>
      <c r="AH32" s="108" t="n"/>
      <c r="AI32" s="107">
        <f>AH32*100/$E$32</f>
        <v/>
      </c>
      <c r="AJ32" s="108" t="n"/>
      <c r="AK32" s="107">
        <f>AJ32*100/$E$32</f>
        <v/>
      </c>
      <c r="AL32" s="108" t="n"/>
      <c r="AM32" s="107">
        <f>AL32*100/$E$32</f>
        <v/>
      </c>
      <c r="AN32" s="108" t="n"/>
      <c r="AO32" s="107">
        <f>AN32*100/$E$32</f>
        <v/>
      </c>
      <c r="AP32" s="108" t="n"/>
      <c r="AQ32" s="107">
        <f>AP32*100/$E$32</f>
        <v/>
      </c>
      <c r="AR32" s="108" t="n"/>
      <c r="AS32" s="107">
        <f>AR32*100/$E$32</f>
        <v/>
      </c>
      <c r="AT32" s="108" t="n"/>
      <c r="AU32" s="90">
        <f>AT32*100/$E$32</f>
        <v/>
      </c>
      <c r="AV32" s="108" t="n"/>
      <c r="AW32" s="107">
        <f>AV32*100/$E$32</f>
        <v/>
      </c>
      <c r="AX32" s="108" t="n"/>
      <c r="AY32" s="107">
        <f>AX32*100/$E$32</f>
        <v/>
      </c>
      <c r="AZ32" s="108" t="n"/>
      <c r="BA32" s="122">
        <f>AZ32*100/$E$32</f>
        <v/>
      </c>
      <c r="BB32" s="108" t="n"/>
      <c r="BC32" s="107">
        <f>BB32*100/$E$32</f>
        <v/>
      </c>
      <c r="BD32" s="108" t="n"/>
      <c r="BE32" s="107">
        <f>BD32*100/$E$32</f>
        <v/>
      </c>
      <c r="BF32" s="108" t="n"/>
      <c r="BG32" s="107">
        <f>BF32*100/$E$32</f>
        <v/>
      </c>
      <c r="BH32" s="108" t="n"/>
      <c r="BI32" s="107">
        <f>BH32*100/$E$32</f>
        <v/>
      </c>
      <c r="BJ32" s="108" t="n"/>
      <c r="BK32" s="107">
        <f>BJ32*100/$E$32</f>
        <v/>
      </c>
      <c r="BL32" s="108" t="n"/>
      <c r="BM32" s="107">
        <f>BL32*100/$E$32</f>
        <v/>
      </c>
      <c r="BN32" s="108" t="n"/>
      <c r="BO32" s="107">
        <f>BN32*100/$E$32</f>
        <v/>
      </c>
      <c r="BP32" s="108" t="n"/>
      <c r="BQ32" s="107">
        <f>BP32*100/$E$32</f>
        <v/>
      </c>
      <c r="BR32" s="108" t="n"/>
      <c r="BS32" s="107">
        <f>BR32*100/$E$32</f>
        <v/>
      </c>
      <c r="BT32" s="108" t="n"/>
      <c r="BU32" s="107">
        <f>BT32*100/$E$32</f>
        <v/>
      </c>
      <c r="BV32" s="108" t="n"/>
      <c r="BW32" s="107">
        <f>BV32*100/$E$32</f>
        <v/>
      </c>
      <c r="BX32" s="108" t="n"/>
      <c r="BY32" s="107">
        <f>BX32*100/$E$32</f>
        <v/>
      </c>
      <c r="BZ32" s="108" t="n"/>
      <c r="CA32" s="107">
        <f>BZ32*100/$E$32</f>
        <v/>
      </c>
      <c r="CB32" s="108" t="n"/>
      <c r="CC32" s="107">
        <f>CB32*100/$E$32</f>
        <v/>
      </c>
      <c r="CD32" s="108" t="n"/>
      <c r="CE32" s="107">
        <f>CD32*100/$E$32</f>
        <v/>
      </c>
      <c r="CF32" s="108" t="n"/>
      <c r="CG32" s="107">
        <f>CF32*100/$E$32</f>
        <v/>
      </c>
      <c r="CH32" s="108" t="n"/>
      <c r="CI32" s="107">
        <f>CH32*100/$E$32</f>
        <v/>
      </c>
      <c r="CJ32" s="108" t="n"/>
      <c r="CK32" s="107">
        <f>CJ32*100/$E$32</f>
        <v/>
      </c>
      <c r="CL32" s="108" t="n"/>
      <c r="CM32" s="107">
        <f>CL32*100/$E$32</f>
        <v/>
      </c>
      <c r="CN32" s="108" t="n"/>
      <c r="CO32" s="122">
        <f>CN32*100/$E$32</f>
        <v/>
      </c>
      <c r="CP32" s="108" t="n"/>
      <c r="CQ32" s="107">
        <f>CP32*100/$E$32</f>
        <v/>
      </c>
      <c r="CR32" s="108" t="n"/>
      <c r="CS32" s="122">
        <f>CR32*100/$E$32</f>
        <v/>
      </c>
      <c r="CT32" s="108" t="n"/>
      <c r="CU32" s="122">
        <f>CT32*100/$E$32</f>
        <v/>
      </c>
      <c r="CV32" s="108" t="n"/>
      <c r="CW32" s="122">
        <f>CV32*100/$E$32</f>
        <v/>
      </c>
      <c r="CX32" s="108" t="n"/>
      <c r="CY32" s="122">
        <f>CX32*100/$E$32</f>
        <v/>
      </c>
      <c r="CZ32" s="108" t="n"/>
      <c r="DA32" s="122">
        <f>CZ32*100/$E$32</f>
        <v/>
      </c>
      <c r="DB32" s="108" t="n"/>
      <c r="DC32" s="122">
        <f>DB32*100/$E$32</f>
        <v/>
      </c>
      <c r="DD32" s="108" t="n"/>
      <c r="DE32" s="122">
        <f>DD32*100/$E$32</f>
        <v/>
      </c>
      <c r="DF32" s="108" t="n"/>
      <c r="DG32" s="122">
        <f>DF32*100/$E$32</f>
        <v/>
      </c>
      <c r="DH32" s="108" t="n"/>
      <c r="DI32" s="122">
        <f>DH32*100/$E$32</f>
        <v/>
      </c>
      <c r="DJ32" s="108" t="n"/>
      <c r="DK32" s="122">
        <f>DJ32*100/$E$32</f>
        <v/>
      </c>
      <c r="DL32" s="108" t="n"/>
      <c r="DM32" s="122">
        <f>DL32*100/$E$32</f>
        <v/>
      </c>
      <c r="DN32" s="108" t="n"/>
      <c r="DO32" s="122">
        <f>DN32*100/$E$32</f>
        <v/>
      </c>
      <c r="DP32" s="108" t="n"/>
      <c r="DQ32" s="122">
        <f>DP32*100/$E$32</f>
        <v/>
      </c>
      <c r="DR32" s="108" t="n"/>
      <c r="DS32" s="107">
        <f>DR32*100/$E$32</f>
        <v/>
      </c>
      <c r="DT32" s="108" t="n"/>
      <c r="DU32" s="122">
        <f>DT32*100/$E$32</f>
        <v/>
      </c>
      <c r="DV32" s="108" t="n"/>
      <c r="DW32" s="122">
        <f>DV32*100/$E$32</f>
        <v/>
      </c>
      <c r="DX32" s="108" t="n"/>
      <c r="DY32" s="122">
        <f>DX32*100/$E$32</f>
        <v/>
      </c>
      <c r="DZ32" s="108" t="n"/>
      <c r="EA32" s="122">
        <f>DZ32*100/$E$32</f>
        <v/>
      </c>
      <c r="EB32" s="108" t="n"/>
      <c r="EC32" s="122">
        <f>EB32*100/$E$32</f>
        <v/>
      </c>
      <c r="ED32" s="108" t="n"/>
      <c r="EE32" s="122">
        <f>ED32*100/$E$32</f>
        <v/>
      </c>
      <c r="EF32" s="108" t="n"/>
      <c r="EG32" s="122">
        <f>EF32*100/$E$32</f>
        <v/>
      </c>
      <c r="EH32" s="108" t="n"/>
      <c r="EI32" s="122">
        <f>EH32*100/$E$32</f>
        <v/>
      </c>
      <c r="EJ32" s="108" t="n"/>
      <c r="EK32" s="122">
        <f>EJ32*100/$E$32</f>
        <v/>
      </c>
      <c r="EL32" s="108" t="n"/>
      <c r="EM32" s="122">
        <f>EL32*100/$E$32</f>
        <v/>
      </c>
      <c r="EN32" s="108" t="n"/>
      <c r="EO32" s="122">
        <f>EN32*100/$E$32</f>
        <v/>
      </c>
      <c r="EP32" s="108" t="n"/>
      <c r="EQ32" s="122">
        <f>EP32*100/$E$32</f>
        <v/>
      </c>
      <c r="ER32" s="108" t="n"/>
      <c r="ES32" s="107">
        <f>ER32*100/$E$32</f>
        <v/>
      </c>
      <c r="ET32" s="108" t="n"/>
      <c r="EU32" s="107">
        <f>ET32*100/$E$32</f>
        <v/>
      </c>
      <c r="EV32" s="108" t="n"/>
      <c r="EW32" s="122">
        <f>EV32*100/$E$32</f>
        <v/>
      </c>
      <c r="EX32" s="108" t="n"/>
      <c r="EY32" s="122">
        <f>EX32*100/$E$32</f>
        <v/>
      </c>
      <c r="EZ32" s="108" t="n"/>
      <c r="FA32" s="122">
        <f>EZ32*100/$E$32</f>
        <v/>
      </c>
      <c r="FB32" s="108" t="n"/>
      <c r="FC32" s="122">
        <f>FB32*100/$E$32</f>
        <v/>
      </c>
      <c r="FD32" s="108" t="n"/>
      <c r="FE32" s="122">
        <f>FD32*100/$E$32</f>
        <v/>
      </c>
      <c r="FF32" s="108" t="n"/>
      <c r="FG32" s="122">
        <f>FF32*100/$E$32</f>
        <v/>
      </c>
      <c r="FH32" s="108" t="n"/>
      <c r="FI32" s="122">
        <f>FH32*100/$E$32</f>
        <v/>
      </c>
      <c r="FJ32" s="108" t="n"/>
      <c r="FK32" s="122">
        <f>FJ32*100/$E$32</f>
        <v/>
      </c>
      <c r="FL32" s="108" t="n"/>
      <c r="FM32" s="122">
        <f>FL32*100/$E$32</f>
        <v/>
      </c>
      <c r="FN32" s="108" t="n"/>
      <c r="FO32" s="122">
        <f>FN32*100/$E$32</f>
        <v/>
      </c>
      <c r="FP32" s="108" t="n"/>
      <c r="FQ32" s="122">
        <f>FP32*100/$E$32</f>
        <v/>
      </c>
      <c r="FR32" s="108" t="n"/>
      <c r="FS32" s="122">
        <f>FR32*100/$E$32</f>
        <v/>
      </c>
      <c r="FT32" s="108" t="n"/>
      <c r="FU32" s="122">
        <f>FT32*100/$E$32</f>
        <v/>
      </c>
      <c r="FV32" s="108" t="n"/>
      <c r="FW32" s="122">
        <f>FV32*100/$E$32</f>
        <v/>
      </c>
      <c r="FX32" s="108" t="n"/>
      <c r="FY32" s="122">
        <f>FX32*100/$E$32</f>
        <v/>
      </c>
      <c r="FZ32" s="108" t="n"/>
      <c r="GA32" s="122">
        <f>FZ32*100/$E$32</f>
        <v/>
      </c>
      <c r="GB32" s="108" t="n"/>
      <c r="GC32" s="107">
        <f>GB32*100/$E$32</f>
        <v/>
      </c>
      <c r="GD32" s="108" t="n"/>
      <c r="GE32" s="107">
        <f>GD32*100/$E$32</f>
        <v/>
      </c>
      <c r="GF32" s="108" t="n"/>
      <c r="GG32" s="107">
        <f>GF32*100/$E$32</f>
        <v/>
      </c>
      <c r="GH32" s="108" t="n"/>
      <c r="GI32" s="107">
        <f>GH32*100/$E$32</f>
        <v/>
      </c>
      <c r="GJ32" s="108" t="n"/>
      <c r="GK32" s="122">
        <f>GJ32*100/$E$32</f>
        <v/>
      </c>
      <c r="GL32" s="108" t="n"/>
      <c r="GM32" s="107">
        <f>GL32*100/$E$32</f>
        <v/>
      </c>
      <c r="GN32" s="108" t="n"/>
      <c r="GO32" s="122">
        <f>GN32*100/$E$32</f>
        <v/>
      </c>
      <c r="GP32" s="125" t="n"/>
      <c r="GQ32" s="122">
        <f>GP32*100/$E$32</f>
        <v/>
      </c>
      <c r="GR32" s="108" t="n"/>
      <c r="GS32" s="122">
        <f>GR32*100/$E$32</f>
        <v/>
      </c>
      <c r="GT32" s="108" t="n"/>
      <c r="GU32" s="122">
        <f>GT32*100/$E$32</f>
        <v/>
      </c>
      <c r="GV32" s="108" t="n"/>
      <c r="GW32" s="107">
        <f>GV32*100/$E$32</f>
        <v/>
      </c>
      <c r="GX32" s="108" t="n"/>
      <c r="GY32" s="107">
        <f>GX32*100/$E$32</f>
        <v/>
      </c>
      <c r="GZ32" s="108" t="n"/>
      <c r="HA32" s="122">
        <f>GZ32*100/$E$32</f>
        <v/>
      </c>
      <c r="HB32" s="108" t="n"/>
      <c r="HC32" s="122">
        <f>HB32*100/$E$32</f>
        <v/>
      </c>
      <c r="HD32" s="108" t="n"/>
      <c r="HE32" s="122">
        <f>HD32*100/$E$32</f>
        <v/>
      </c>
      <c r="HF32" s="108" t="n"/>
      <c r="HG32" s="122">
        <f>HF32*100/$E$32</f>
        <v/>
      </c>
      <c r="HH32" s="108" t="n"/>
      <c r="HI32" s="122">
        <f>HH32*100/$E$32</f>
        <v/>
      </c>
      <c r="HJ32" s="108" t="n"/>
      <c r="HK32" s="122">
        <f>HJ32*100/$E$32</f>
        <v/>
      </c>
      <c r="HL32" s="108" t="n"/>
      <c r="HM32" s="107">
        <f>HL32*100/$E$32</f>
        <v/>
      </c>
      <c r="HN32" s="108" t="n"/>
      <c r="HO32" s="107">
        <f>HN32*100/$E$32</f>
        <v/>
      </c>
      <c r="HP32" s="108" t="n"/>
      <c r="HQ32" s="107">
        <f>HP32*100/$E$32</f>
        <v/>
      </c>
      <c r="HR32" s="108" t="n"/>
      <c r="HS32" s="107">
        <f>HR32*100/$E$32</f>
        <v/>
      </c>
      <c r="HT32" s="108" t="n"/>
      <c r="HU32" s="107">
        <f>HT32*100/$E$32</f>
        <v/>
      </c>
      <c r="HV32" s="108" t="n"/>
      <c r="HW32" s="107">
        <f>HV32*100/$E$32</f>
        <v/>
      </c>
      <c r="HX32" s="108" t="n"/>
      <c r="HY32" s="122">
        <f>HX32*100/$E$32</f>
        <v/>
      </c>
      <c r="HZ32" s="108" t="n"/>
      <c r="IA32" s="122">
        <f>HZ32*100/$E$32</f>
        <v/>
      </c>
      <c r="IB32" s="108" t="n"/>
      <c r="IC32" s="122">
        <f>IB32*100/$E$32</f>
        <v/>
      </c>
      <c r="ID32" s="108" t="n"/>
      <c r="IE32" s="122">
        <f>ID32*100/$E$32</f>
        <v/>
      </c>
      <c r="IF32" s="108" t="n"/>
      <c r="IG32" s="122">
        <f>IF32*100/$E$32</f>
        <v/>
      </c>
      <c r="IH32" s="108" t="n"/>
      <c r="II32" s="122">
        <f>IH32*100/$E$32</f>
        <v/>
      </c>
      <c r="IJ32" s="108" t="n"/>
      <c r="IK32" s="122">
        <f>IJ32*100/$E$32</f>
        <v/>
      </c>
      <c r="IL32" s="108" t="n"/>
      <c r="IM32" s="122">
        <f>IL32*100/$E$32</f>
        <v/>
      </c>
      <c r="IN32" s="108" t="n"/>
      <c r="IO32" s="122">
        <f>IN32*100/$E$32</f>
        <v/>
      </c>
      <c r="IP32" s="108" t="n"/>
      <c r="IQ32" s="122">
        <f>IP32*100/$E$32</f>
        <v/>
      </c>
      <c r="IR32" s="108" t="n"/>
      <c r="IS32" s="122">
        <f>IR32*100/$E$32</f>
        <v/>
      </c>
      <c r="IT32" s="108" t="n"/>
      <c r="IU32" s="122">
        <f>IT32*100/$E$32</f>
        <v/>
      </c>
      <c r="IV32" s="108" t="n"/>
      <c r="IW32" s="122">
        <f>IV32*100/$E$32</f>
        <v/>
      </c>
      <c r="IX32" s="108" t="n"/>
      <c r="IY32" s="122">
        <f>IX32*100/$E$32</f>
        <v/>
      </c>
      <c r="IZ32" s="108" t="n"/>
      <c r="JA32" s="122">
        <f>IZ32*100/$E$32</f>
        <v/>
      </c>
      <c r="JB32" s="108" t="n"/>
      <c r="JC32" s="122">
        <f>JB32*100/$E$32</f>
        <v/>
      </c>
      <c r="JD32" s="108" t="n"/>
      <c r="JE32" s="122">
        <f>JD32*100/$E$32</f>
        <v/>
      </c>
      <c r="JF32" s="108" t="n"/>
      <c r="JG32" s="107">
        <f>JF32*100/$E$32</f>
        <v/>
      </c>
      <c r="JH32" s="108" t="n"/>
      <c r="JI32" s="122">
        <f>JH32*100/$E$32</f>
        <v/>
      </c>
      <c r="JJ32" s="125" t="n"/>
      <c r="JK32" s="122">
        <f>JJ32*100/$E$32</f>
        <v/>
      </c>
      <c r="JL32" s="108" t="n"/>
      <c r="JM32" s="122">
        <f>JL32*100/$E$32</f>
        <v/>
      </c>
      <c r="JN32" s="108" t="n"/>
      <c r="JO32" s="107">
        <f>JN32*100/$E$32</f>
        <v/>
      </c>
      <c r="JP32" s="108" t="n"/>
      <c r="JQ32" s="107">
        <f>JP32*100/$E$32</f>
        <v/>
      </c>
      <c r="JR32" s="108" t="n"/>
      <c r="JS32" s="107">
        <f>JR32*100/$E$32</f>
        <v/>
      </c>
      <c r="JT32" s="108" t="n"/>
      <c r="JU32" s="122">
        <f>JT32*100/$E$32</f>
        <v/>
      </c>
      <c r="JV32" s="108" t="n"/>
      <c r="JW32" s="122">
        <f>JV32*100/$E$32</f>
        <v/>
      </c>
      <c r="JX32" s="108" t="n"/>
      <c r="JY32" s="122">
        <f>JX32*100/$E$32</f>
        <v/>
      </c>
      <c r="JZ32" s="55">
        <f>JN32+JP32+JR32+JT32+JV32+JX32</f>
        <v/>
      </c>
      <c r="KA32" s="53">
        <f>JO32+JQ32+JS32+JU32+JW32+JY32</f>
        <v/>
      </c>
      <c r="KB32" s="64">
        <f>H32+J32+L32+N32+P32+R32+T32+V32+X32+Z32+AB32+AD32+AF32+AH32+AJ32+AL32+AN32+AP32+AR32+AT32+AV32+AX32+AZ32+BB32+BD32+BF32+BH32+BJ32+BL32+BN32+BP32+BR32+BT32+BV32+BX32+BZ32+CB32+CD32+CF32+CH32+CZ32+DB32+DD32+DF32+DH32+DJ32+DL32+DN32+DP32+DR32+DT32+DV32+DX32+DZ32+EB32+ED32+EF32+EH32+EJ32+EL32+EN32+EP32+ER32+ET32+EV32+FN32+FP32+FR32+FT32+FV32+FX32+FZ32+GB32+GD32+GF32+GH32+GJ32+GL32+GN32+GP32+GR32+GT32+GV32+GX32+GZ32+HB32+HD32+HF32+HH32+HJ32+HL32+HN32+HP32+HR32+HT32+HV32+HX32+HZ32+IB32+ID32+IF32+IH32+IJ32+IL32+IN32+IP32+IR32+IT32+IV32+IX32+IZ32+JB32+JD32+JF32+JH32+JJ32+JL32+JZ32+CJ32+CL32+CN32+CP32+CR32+CT32+CV32+CX32+EX32+EZ32+FB32+FD32+FF32+FH32+FJ32+FL32</f>
        <v/>
      </c>
      <c r="KC32" s="66">
        <f>I32+K32+M32+O32+Q32+S32+U32+W32+Y32+AA32+AC32+AE32+AG32+AI32+AK32+AM32+AO32+AQ32+AS32+AU32+AW32+AY32+BA32+BC32+BE32+BG32+BI32+BK32+BM32+BO32+BQ32+BS32+BU32+BW32+BY32+CA32+CC32+CE32+CG32+CI32+DA32+DC32+DE32+DG32+DI32+DK32+DM32+DO32+DQ32+DS32+DU32+DW32+DY32+EA32+EC32+EE32+EG32+EI32+EK32+EM32+EO32+EQ32+ES32+EU32+EW32+FO32+FS32+FU32+FW32+FQ32+FY32+GA32+GC32+GE32+GG32+GI32+GK32+GM32+GO32+GQ32+GS32+GU32+GW32+GY32+HA32+HC32+HE32+HG32+HI32+HK32+HM32+HO32+HQ32+HS32+HU32+HW32+HY32+IA32+IC32+IE32+IG32+II32+IK32+IM32+IO32+IQ32+IS32+IU32+IW32+IY32+JA32+JC32+JE32+JG32+JI32+JK32+JM32+KA32+CK32+CM32+CO32+CQ32+CS32+CU32+CW32+CY32+EY32+FA32+FC32+FE32+FG32+FI32+FK32+FM32</f>
        <v/>
      </c>
      <c r="KD32" s="44">
        <f>JO32+JQ32+JS32+JU32+JW32+JY32</f>
        <v/>
      </c>
      <c r="KE32" s="45">
        <f>KB32=E32</f>
        <v/>
      </c>
      <c r="KF32" s="101">
        <f>E32-KB32</f>
        <v/>
      </c>
      <c r="KG32" s="23" t="n"/>
    </row>
    <row r="33" ht="21.75" customFormat="1" customHeight="1" s="23">
      <c r="A33" s="126">
        <f>A32+1</f>
        <v/>
      </c>
      <c r="B33" s="175" t="inlineStr">
        <is>
          <t>Михеев В.О.</t>
        </is>
      </c>
      <c r="C33" s="194" t="inlineStr">
        <is>
          <t>электрогазосварщик</t>
        </is>
      </c>
      <c r="D33" s="177">
        <f>$D$5</f>
        <v/>
      </c>
      <c r="E33" s="202" t="n"/>
      <c r="F33" s="193" t="n">
        <v>55633.55</v>
      </c>
      <c r="G33" s="52">
        <f>F33/D33</f>
        <v/>
      </c>
      <c r="H33" s="125" t="n"/>
      <c r="I33" s="107">
        <f>H33*100/$E$33</f>
        <v/>
      </c>
      <c r="J33" s="108" t="n"/>
      <c r="K33" s="107">
        <f>J33*100/$E$33</f>
        <v/>
      </c>
      <c r="L33" s="108" t="n"/>
      <c r="M33" s="107">
        <f>L33*100/$E$33</f>
        <v/>
      </c>
      <c r="N33" s="108" t="n"/>
      <c r="O33" s="107">
        <f>N33*100/$E$33</f>
        <v/>
      </c>
      <c r="P33" s="108" t="n"/>
      <c r="Q33" s="122">
        <f>P33*100/$E$33</f>
        <v/>
      </c>
      <c r="R33" s="108" t="n"/>
      <c r="S33" s="122">
        <f>R33*100/$E$33</f>
        <v/>
      </c>
      <c r="T33" s="108" t="n"/>
      <c r="U33" s="107">
        <f>T33*100/$E$33</f>
        <v/>
      </c>
      <c r="V33" s="108" t="n"/>
      <c r="W33" s="107">
        <f>V33*100/$E$33</f>
        <v/>
      </c>
      <c r="X33" s="108" t="n"/>
      <c r="Y33" s="107">
        <f>X33*100/$E$33</f>
        <v/>
      </c>
      <c r="Z33" s="108" t="n"/>
      <c r="AA33" s="107">
        <f>Z33*100/$E$33</f>
        <v/>
      </c>
      <c r="AB33" s="108" t="n"/>
      <c r="AC33" s="107">
        <f>AB33*100/$E$33</f>
        <v/>
      </c>
      <c r="AD33" s="108" t="n"/>
      <c r="AE33" s="122">
        <f>AD33*100/$E$33</f>
        <v/>
      </c>
      <c r="AF33" s="108" t="n"/>
      <c r="AG33" s="122">
        <f>AF33*100/$E$33</f>
        <v/>
      </c>
      <c r="AH33" s="108" t="n"/>
      <c r="AI33" s="107">
        <f>AH33*100/$E$33</f>
        <v/>
      </c>
      <c r="AJ33" s="108" t="n"/>
      <c r="AK33" s="107">
        <f>AJ33*100/$E$33</f>
        <v/>
      </c>
      <c r="AL33" s="108" t="n"/>
      <c r="AM33" s="107">
        <f>AL33*100/$E$33</f>
        <v/>
      </c>
      <c r="AN33" s="108" t="n"/>
      <c r="AO33" s="107">
        <f>AN33*100/$E$33</f>
        <v/>
      </c>
      <c r="AP33" s="108" t="n"/>
      <c r="AQ33" s="107">
        <f>AP33*100/$E$33</f>
        <v/>
      </c>
      <c r="AR33" s="108" t="n"/>
      <c r="AS33" s="107">
        <f>AR33*100/$E$33</f>
        <v/>
      </c>
      <c r="AT33" s="108" t="n"/>
      <c r="AU33" s="90">
        <f>AT33*100/$E$33</f>
        <v/>
      </c>
      <c r="AV33" s="108" t="n"/>
      <c r="AW33" s="107">
        <f>AV33*100/$E$33</f>
        <v/>
      </c>
      <c r="AX33" s="108" t="n"/>
      <c r="AY33" s="107">
        <f>AX33*100/$E$33</f>
        <v/>
      </c>
      <c r="AZ33" s="108" t="n"/>
      <c r="BA33" s="107">
        <f>AZ33*100/$E$33</f>
        <v/>
      </c>
      <c r="BB33" s="108" t="n"/>
      <c r="BC33" s="107">
        <f>BB33*100/$E$33</f>
        <v/>
      </c>
      <c r="BD33" s="108" t="n"/>
      <c r="BE33" s="107">
        <f>BD33*100/$E$33</f>
        <v/>
      </c>
      <c r="BF33" s="108" t="n"/>
      <c r="BG33" s="107">
        <f>BF33*100/$E$33</f>
        <v/>
      </c>
      <c r="BH33" s="108" t="n"/>
      <c r="BI33" s="107">
        <f>BH33*100/$E$33</f>
        <v/>
      </c>
      <c r="BJ33" s="108" t="n"/>
      <c r="BK33" s="107">
        <f>BJ33*100/$E$33</f>
        <v/>
      </c>
      <c r="BL33" s="108" t="n"/>
      <c r="BM33" s="107">
        <f>BL33*100/$E$33</f>
        <v/>
      </c>
      <c r="BN33" s="108" t="n"/>
      <c r="BO33" s="107">
        <f>BN33*100/$E$33</f>
        <v/>
      </c>
      <c r="BP33" s="108" t="n"/>
      <c r="BQ33" s="107">
        <f>BP33*100/$E$33</f>
        <v/>
      </c>
      <c r="BR33" s="108" t="n"/>
      <c r="BS33" s="107">
        <f>BR33*100/$E$33</f>
        <v/>
      </c>
      <c r="BT33" s="108" t="n"/>
      <c r="BU33" s="107">
        <f>BT33*100/$E$33</f>
        <v/>
      </c>
      <c r="BV33" s="108" t="n"/>
      <c r="BW33" s="107">
        <f>BV33*100/$E$33</f>
        <v/>
      </c>
      <c r="BX33" s="108" t="n"/>
      <c r="BY33" s="107">
        <f>BX33*100/$E$33</f>
        <v/>
      </c>
      <c r="BZ33" s="108" t="n"/>
      <c r="CA33" s="107">
        <f>BZ33*100/$E$33</f>
        <v/>
      </c>
      <c r="CB33" s="108" t="n"/>
      <c r="CC33" s="107">
        <f>CB33*100/$E$33</f>
        <v/>
      </c>
      <c r="CD33" s="108" t="n"/>
      <c r="CE33" s="107">
        <f>CD33*100/$E$33</f>
        <v/>
      </c>
      <c r="CF33" s="108" t="n"/>
      <c r="CG33" s="107">
        <f>CF33*100/$E$33</f>
        <v/>
      </c>
      <c r="CH33" s="108" t="n"/>
      <c r="CI33" s="107">
        <f>CH33*100/$E$33</f>
        <v/>
      </c>
      <c r="CJ33" s="108" t="n"/>
      <c r="CK33" s="107">
        <f>CJ33*100/$E$33</f>
        <v/>
      </c>
      <c r="CL33" s="108" t="n"/>
      <c r="CM33" s="107">
        <f>CL33*100/$E$33</f>
        <v/>
      </c>
      <c r="CN33" s="108" t="n"/>
      <c r="CO33" s="122">
        <f>CN33*100/$E$33</f>
        <v/>
      </c>
      <c r="CP33" s="108" t="n"/>
      <c r="CQ33" s="107">
        <f>CP33*100/$E$33</f>
        <v/>
      </c>
      <c r="CR33" s="108" t="n"/>
      <c r="CS33" s="122">
        <f>CR33*100/$E$33</f>
        <v/>
      </c>
      <c r="CT33" s="108" t="n"/>
      <c r="CU33" s="122">
        <f>CT33*100/$E$33</f>
        <v/>
      </c>
      <c r="CV33" s="108" t="n"/>
      <c r="CW33" s="122">
        <f>CV33*100/$E$33</f>
        <v/>
      </c>
      <c r="CX33" s="108" t="n"/>
      <c r="CY33" s="122">
        <f>CX33*100/$E$33</f>
        <v/>
      </c>
      <c r="CZ33" s="108" t="n"/>
      <c r="DA33" s="122">
        <f>CZ33*100/$E$33</f>
        <v/>
      </c>
      <c r="DB33" s="108" t="n"/>
      <c r="DC33" s="122">
        <f>DB33*100/$E$33</f>
        <v/>
      </c>
      <c r="DD33" s="108" t="n"/>
      <c r="DE33" s="122">
        <f>DD33*100/$E$33</f>
        <v/>
      </c>
      <c r="DF33" s="108" t="n"/>
      <c r="DG33" s="122">
        <f>DF33*100/$E$33</f>
        <v/>
      </c>
      <c r="DH33" s="108" t="n"/>
      <c r="DI33" s="122">
        <f>DH33*100/$E$33</f>
        <v/>
      </c>
      <c r="DJ33" s="108" t="n"/>
      <c r="DK33" s="122">
        <f>DJ33*100/$E$33</f>
        <v/>
      </c>
      <c r="DL33" s="108" t="n"/>
      <c r="DM33" s="122">
        <f>DL33*100/$E$33</f>
        <v/>
      </c>
      <c r="DN33" s="108" t="n"/>
      <c r="DO33" s="122">
        <f>DN33*100/$E$33</f>
        <v/>
      </c>
      <c r="DP33" s="108" t="n"/>
      <c r="DQ33" s="122">
        <f>DP33*100/$E$33</f>
        <v/>
      </c>
      <c r="DR33" s="108" t="n"/>
      <c r="DS33" s="122">
        <f>DR33*100/$E$33</f>
        <v/>
      </c>
      <c r="DT33" s="108" t="n"/>
      <c r="DU33" s="122">
        <f>DT33*100/$E$33</f>
        <v/>
      </c>
      <c r="DV33" s="108" t="n"/>
      <c r="DW33" s="122">
        <f>DV33*100/$E$33</f>
        <v/>
      </c>
      <c r="DX33" s="108" t="n"/>
      <c r="DY33" s="122">
        <f>DX33*100/$E$33</f>
        <v/>
      </c>
      <c r="DZ33" s="108" t="n"/>
      <c r="EA33" s="122">
        <f>DZ33*100/$E$33</f>
        <v/>
      </c>
      <c r="EB33" s="108" t="n"/>
      <c r="EC33" s="122">
        <f>EB33*100/$E$33</f>
        <v/>
      </c>
      <c r="ED33" s="108" t="n"/>
      <c r="EE33" s="122">
        <f>ED33*100/$E$33</f>
        <v/>
      </c>
      <c r="EF33" s="108" t="n"/>
      <c r="EG33" s="122">
        <f>EF33*100/$E$33</f>
        <v/>
      </c>
      <c r="EH33" s="108" t="n"/>
      <c r="EI33" s="122">
        <f>EH33*100/$E$33</f>
        <v/>
      </c>
      <c r="EJ33" s="108" t="n"/>
      <c r="EK33" s="122">
        <f>EJ33*100/$E$33</f>
        <v/>
      </c>
      <c r="EL33" s="108" t="n"/>
      <c r="EM33" s="122">
        <f>EL33*100/$E$33</f>
        <v/>
      </c>
      <c r="EN33" s="108" t="n"/>
      <c r="EO33" s="122">
        <f>EN33*100/$E$33</f>
        <v/>
      </c>
      <c r="EP33" s="108" t="n"/>
      <c r="EQ33" s="122">
        <f>EP33*100/$E$33</f>
        <v/>
      </c>
      <c r="ER33" s="108" t="n"/>
      <c r="ES33" s="122">
        <f>ER33*100/$E$33</f>
        <v/>
      </c>
      <c r="ET33" s="108" t="n"/>
      <c r="EU33" s="122">
        <f>ET33*100/$E$33</f>
        <v/>
      </c>
      <c r="EV33" s="108" t="n"/>
      <c r="EW33" s="122">
        <f>EV33*100/$E$33</f>
        <v/>
      </c>
      <c r="EX33" s="108" t="n"/>
      <c r="EY33" s="122">
        <f>EX33*100/$E$33</f>
        <v/>
      </c>
      <c r="EZ33" s="108" t="n"/>
      <c r="FA33" s="122">
        <f>EZ33*100/$E$33</f>
        <v/>
      </c>
      <c r="FB33" s="108" t="n"/>
      <c r="FC33" s="122">
        <f>FB33*100/$E$33</f>
        <v/>
      </c>
      <c r="FD33" s="108" t="n"/>
      <c r="FE33" s="122">
        <f>FD33*100/$E$33</f>
        <v/>
      </c>
      <c r="FF33" s="108" t="n"/>
      <c r="FG33" s="122">
        <f>FF33*100/$E$33</f>
        <v/>
      </c>
      <c r="FH33" s="108" t="n"/>
      <c r="FI33" s="122">
        <f>FH33*100/$E$33</f>
        <v/>
      </c>
      <c r="FJ33" s="108" t="n"/>
      <c r="FK33" s="122">
        <f>FJ33*100/$E$33</f>
        <v/>
      </c>
      <c r="FL33" s="108" t="n"/>
      <c r="FM33" s="122">
        <f>FL33*100/$E$33</f>
        <v/>
      </c>
      <c r="FN33" s="108" t="n"/>
      <c r="FO33" s="122">
        <f>FN33*100/$E$33</f>
        <v/>
      </c>
      <c r="FP33" s="108" t="n"/>
      <c r="FQ33" s="122">
        <f>FP33*100/$E$33</f>
        <v/>
      </c>
      <c r="FR33" s="108" t="n"/>
      <c r="FS33" s="122">
        <f>FR33*100/$E$33</f>
        <v/>
      </c>
      <c r="FT33" s="108" t="n"/>
      <c r="FU33" s="122">
        <f>FT33*100/$E$33</f>
        <v/>
      </c>
      <c r="FV33" s="108" t="n"/>
      <c r="FW33" s="122">
        <f>FV33*100/$E$33</f>
        <v/>
      </c>
      <c r="FX33" s="108" t="n"/>
      <c r="FY33" s="107">
        <f>FX33*100/$E$33</f>
        <v/>
      </c>
      <c r="FZ33" s="108" t="n"/>
      <c r="GA33" s="107">
        <f>FZ33*100/$E$33</f>
        <v/>
      </c>
      <c r="GB33" s="108" t="n"/>
      <c r="GC33" s="107">
        <f>GB33*100/$E$33</f>
        <v/>
      </c>
      <c r="GD33" s="108" t="n"/>
      <c r="GE33" s="107">
        <f>GD33*100/$E$33</f>
        <v/>
      </c>
      <c r="GF33" s="108" t="n"/>
      <c r="GG33" s="107">
        <f>GF33*100/$E$33</f>
        <v/>
      </c>
      <c r="GH33" s="108" t="n"/>
      <c r="GI33" s="107">
        <f>GH33*100/$E$33</f>
        <v/>
      </c>
      <c r="GJ33" s="108" t="n"/>
      <c r="GK33" s="122">
        <f>GJ33*100/$E$33</f>
        <v/>
      </c>
      <c r="GL33" s="108" t="n"/>
      <c r="GM33" s="107">
        <f>GL33*100/$E$33</f>
        <v/>
      </c>
      <c r="GN33" s="108" t="n"/>
      <c r="GO33" s="122">
        <f>GN33*100/$E$33</f>
        <v/>
      </c>
      <c r="GP33" s="108" t="n"/>
      <c r="GQ33" s="107">
        <f>GP33*100/$E$33</f>
        <v/>
      </c>
      <c r="GR33" s="108" t="n"/>
      <c r="GS33" s="122">
        <f>GR33*100/$E$33</f>
        <v/>
      </c>
      <c r="GT33" s="108" t="n"/>
      <c r="GU33" s="122">
        <f>GT33*100/$E$33</f>
        <v/>
      </c>
      <c r="GV33" s="108" t="n"/>
      <c r="GW33" s="122">
        <f>GV33*100/$E$33</f>
        <v/>
      </c>
      <c r="GX33" s="108" t="n"/>
      <c r="GY33" s="107">
        <f>GX33*100/$E$33</f>
        <v/>
      </c>
      <c r="GZ33" s="108" t="n"/>
      <c r="HA33" s="107">
        <f>GZ33*100/$E$33</f>
        <v/>
      </c>
      <c r="HB33" s="108" t="n"/>
      <c r="HC33" s="107">
        <f>HB33*100/$E$33</f>
        <v/>
      </c>
      <c r="HD33" s="108" t="n"/>
      <c r="HE33" s="107">
        <f>HD33*100/$E$33</f>
        <v/>
      </c>
      <c r="HF33" s="108" t="n"/>
      <c r="HG33" s="107">
        <f>HF33*100/$E$33</f>
        <v/>
      </c>
      <c r="HH33" s="108" t="n"/>
      <c r="HI33" s="107">
        <f>HH33*100/$E$33</f>
        <v/>
      </c>
      <c r="HJ33" s="108" t="n"/>
      <c r="HK33" s="107">
        <f>HJ33*100/$E$33</f>
        <v/>
      </c>
      <c r="HL33" s="108" t="n"/>
      <c r="HM33" s="107">
        <f>HL33*100/$E$33</f>
        <v/>
      </c>
      <c r="HN33" s="108" t="n"/>
      <c r="HO33" s="107">
        <f>HN33*100/$E$33</f>
        <v/>
      </c>
      <c r="HP33" s="108" t="n"/>
      <c r="HQ33" s="107">
        <f>HP33*100/$E$33</f>
        <v/>
      </c>
      <c r="HR33" s="108" t="n"/>
      <c r="HS33" s="107">
        <f>HR33*100/$E$33</f>
        <v/>
      </c>
      <c r="HT33" s="108" t="n"/>
      <c r="HU33" s="107">
        <f>HT33*100/$E$33</f>
        <v/>
      </c>
      <c r="HV33" s="108" t="n"/>
      <c r="HW33" s="107">
        <f>HV33*100/$E$33</f>
        <v/>
      </c>
      <c r="HX33" s="108" t="n"/>
      <c r="HY33" s="107">
        <f>HX33*100/$E$33</f>
        <v/>
      </c>
      <c r="HZ33" s="108" t="n"/>
      <c r="IA33" s="122">
        <f>HZ33*100/$E$33</f>
        <v/>
      </c>
      <c r="IB33" s="108" t="n"/>
      <c r="IC33" s="122">
        <f>IB33*100/$E$33</f>
        <v/>
      </c>
      <c r="ID33" s="108" t="n"/>
      <c r="IE33" s="122">
        <f>ID33*100/$E$33</f>
        <v/>
      </c>
      <c r="IF33" s="108" t="n"/>
      <c r="IG33" s="122">
        <f>IF33*100/$E$33</f>
        <v/>
      </c>
      <c r="IH33" s="108" t="n"/>
      <c r="II33" s="122">
        <f>IH33*100/$E$33</f>
        <v/>
      </c>
      <c r="IJ33" s="108" t="n"/>
      <c r="IK33" s="122">
        <f>IJ33*100/$E$33</f>
        <v/>
      </c>
      <c r="IL33" s="108" t="n"/>
      <c r="IM33" s="107">
        <f>IL33*100/$E$33</f>
        <v/>
      </c>
      <c r="IN33" s="108" t="n"/>
      <c r="IO33" s="107">
        <f>IN33*100/$E$33</f>
        <v/>
      </c>
      <c r="IP33" s="108" t="n"/>
      <c r="IQ33" s="122">
        <f>IP33*100/$E$33</f>
        <v/>
      </c>
      <c r="IR33" s="108" t="n"/>
      <c r="IS33" s="122">
        <f>IR33*100/$E$33</f>
        <v/>
      </c>
      <c r="IT33" s="108" t="n"/>
      <c r="IU33" s="122">
        <f>IT33*100/$E$33</f>
        <v/>
      </c>
      <c r="IV33" s="108" t="n"/>
      <c r="IW33" s="122">
        <f>IV33*100/$E$33</f>
        <v/>
      </c>
      <c r="IX33" s="108" t="n"/>
      <c r="IY33" s="122">
        <f>IX33*100/$E$33</f>
        <v/>
      </c>
      <c r="IZ33" s="108" t="n"/>
      <c r="JA33" s="122">
        <f>IZ33*100/$E$33</f>
        <v/>
      </c>
      <c r="JB33" s="108" t="n"/>
      <c r="JC33" s="122">
        <f>JB33*100/$E$33</f>
        <v/>
      </c>
      <c r="JD33" s="108" t="n"/>
      <c r="JE33" s="122">
        <f>JD33*100/$E$33</f>
        <v/>
      </c>
      <c r="JF33" s="108" t="n"/>
      <c r="JG33" s="122">
        <f>JF33*100/$E$33</f>
        <v/>
      </c>
      <c r="JH33" s="108" t="n"/>
      <c r="JI33" s="122">
        <f>JH33*100/$E$33</f>
        <v/>
      </c>
      <c r="JJ33" s="108" t="n"/>
      <c r="JK33" s="122">
        <f>JJ33*100/$E$33</f>
        <v/>
      </c>
      <c r="JL33" s="108" t="n"/>
      <c r="JM33" s="122">
        <f>JL33*100/$E$33</f>
        <v/>
      </c>
      <c r="JN33" s="108" t="n"/>
      <c r="JO33" s="121">
        <f>JN33*100/$E$33</f>
        <v/>
      </c>
      <c r="JP33" s="108" t="n"/>
      <c r="JQ33" s="121">
        <f>JP33*100/$E$33</f>
        <v/>
      </c>
      <c r="JR33" s="108" t="n"/>
      <c r="JS33" s="121">
        <f>JR33*100/$E$33</f>
        <v/>
      </c>
      <c r="JT33" s="108" t="n"/>
      <c r="JU33" s="121">
        <f>JT33*100/$E$33</f>
        <v/>
      </c>
      <c r="JV33" s="108" t="n"/>
      <c r="JW33" s="121">
        <f>JV33*100/$E$33</f>
        <v/>
      </c>
      <c r="JX33" s="108" t="n"/>
      <c r="JY33" s="121">
        <f>JX33*100/$E$33</f>
        <v/>
      </c>
      <c r="JZ33" s="55">
        <f>JN33+JP33+JR33+JT33+JV33+JX33</f>
        <v/>
      </c>
      <c r="KA33" s="53">
        <f>JO33+JQ33+JS33+JU33+JW33+JY33</f>
        <v/>
      </c>
      <c r="KB33" s="64">
        <f>H33+J33+L33+N33+P33+R33+T33+V33+X33+Z33+AB33+AD33+AF33+AH33+AJ33+AL33+AN33+AP33+AR33+AT33+AV33+AX33+AZ33+BB33+BD33+BF33+BH33+BJ33+BL33+BN33+BP33+BR33+BT33+BV33+BX33+BZ33+CB33+CD33+CF33+CH33+CZ33+DB33+DD33+DF33+DH33+DJ33+DL33+DN33+DP33+DR33+DT33+DV33+DX33+DZ33+EB33+ED33+EF33+EH33+EJ33+EL33+EN33+EP33+ER33+ET33+EV33+FN33+FP33+FR33+FT33+FV33+FX33+FZ33+GB33+GD33+GF33+GH33+GJ33+GL33+GN33+GP33+GR33+GT33+GV33+GX33+GZ33+HB33+HD33+HF33+HH33+HJ33+HL33+HN33+HP33+HR33+HT33+HV33+HX33+HZ33+IB33+ID33+IF33+IH33+IJ33+IL33+IN33+IP33+IR33+IT33+IV33+IX33+IZ33+JB33+JD33+JF33+JH33+JJ33+JL33+JZ33+CJ33+CL33+CN33+CP33+CR33+CT33+CV33+CX33+EX33+EZ33+FB33+FD33+FF33+FH33+FJ33+FL33</f>
        <v/>
      </c>
      <c r="KC33" s="66">
        <f>I33+K33+M33+O33+Q33+S33+U33+W33+Y33+AA33+AC33+AE33+AG33+AI33+AK33+AM33+AO33+AQ33+AS33+AU33+AW33+AY33+BA33+BC33+BE33+BG33+BI33+BK33+BM33+BO33+BQ33+BS33+BU33+BW33+BY33+CA33+CC33+CE33+CG33+CI33+DA33+DC33+DE33+DG33+DI33+DK33+DM33+DO33+DQ33+DS33+DU33+DW33+DY33+EA33+EC33+EE33+EG33+EI33+EK33+EM33+EO33+EQ33+ES33+EU33+EW33+FO33+FS33+FU33+FW33+FQ33+FY33+GA33+GC33+GE33+GG33+GI33+GK33+GM33+GO33+GQ33+GS33+GU33+GW33+GY33+HA33+HC33+HE33+HG33+HI33+HK33+HM33+HO33+HQ33+HS33+HU33+HW33+HY33+IA33+IC33+IE33+IG33+II33+IK33+IM33+IO33+IQ33+IS33+IU33+IW33+IY33+JA33+JC33+JE33+JG33+JI33+JK33+JM33+KA33+CK33+CM33+CO33+CQ33+CS33+CU33+CW33+CY33+EY33+FA33+FC33+FE33+FG33+FI33+FK33+FM33</f>
        <v/>
      </c>
      <c r="KD33" s="44">
        <f>JO33+JQ33+JS33+JU33+JW33+JY33</f>
        <v/>
      </c>
      <c r="KE33" s="45">
        <f>KB33=E33</f>
        <v/>
      </c>
      <c r="KF33" s="101">
        <f>E33-KB33</f>
        <v/>
      </c>
      <c r="KG33" s="11" t="n"/>
    </row>
    <row r="34" ht="21.75" customFormat="1" customHeight="1" s="11">
      <c r="A34" s="126">
        <f>A33+1</f>
        <v/>
      </c>
      <c r="B34" s="201" t="inlineStr">
        <is>
          <t>Неверов Г.А.</t>
        </is>
      </c>
      <c r="C34" s="194" t="inlineStr">
        <is>
          <t>слесарь</t>
        </is>
      </c>
      <c r="D34" s="177">
        <f>$D$5</f>
        <v/>
      </c>
      <c r="E34" s="202" t="n"/>
      <c r="F34" s="193" t="n">
        <v>68902.87</v>
      </c>
      <c r="G34" s="52">
        <f>F34/D34</f>
        <v/>
      </c>
      <c r="H34" s="125" t="n"/>
      <c r="I34" s="107">
        <f>H34*100/$E$34</f>
        <v/>
      </c>
      <c r="J34" s="108" t="n"/>
      <c r="K34" s="107">
        <f>J34*100/$E$34</f>
        <v/>
      </c>
      <c r="L34" s="108" t="n"/>
      <c r="M34" s="107">
        <f>L34*100/$E$34</f>
        <v/>
      </c>
      <c r="N34" s="108" t="n"/>
      <c r="O34" s="107">
        <f>N34*100/$E$34</f>
        <v/>
      </c>
      <c r="P34" s="108" t="n"/>
      <c r="Q34" s="122">
        <f>P34*100/$E$34</f>
        <v/>
      </c>
      <c r="R34" s="108" t="n"/>
      <c r="S34" s="122">
        <f>R34*100/$E$34</f>
        <v/>
      </c>
      <c r="T34" s="108" t="n"/>
      <c r="U34" s="107">
        <f>T34*100/$E$34</f>
        <v/>
      </c>
      <c r="V34" s="108" t="n"/>
      <c r="W34" s="107">
        <f>V34*100/$E$34</f>
        <v/>
      </c>
      <c r="X34" s="108" t="n"/>
      <c r="Y34" s="107">
        <f>X34*100/$E$34</f>
        <v/>
      </c>
      <c r="Z34" s="108" t="n"/>
      <c r="AA34" s="107">
        <f>Z34*100/$E$34</f>
        <v/>
      </c>
      <c r="AB34" s="108" t="n"/>
      <c r="AC34" s="107">
        <f>AB34*100/$E$34</f>
        <v/>
      </c>
      <c r="AD34" s="108" t="n"/>
      <c r="AE34" s="122">
        <f>AD34*100/$E$34</f>
        <v/>
      </c>
      <c r="AF34" s="108" t="n"/>
      <c r="AG34" s="122">
        <f>AF34*100/$E$34</f>
        <v/>
      </c>
      <c r="AH34" s="108" t="n"/>
      <c r="AI34" s="107">
        <f>AH34*100/$E$34</f>
        <v/>
      </c>
      <c r="AJ34" s="108" t="n"/>
      <c r="AK34" s="107">
        <f>AJ34*100/$E$34</f>
        <v/>
      </c>
      <c r="AL34" s="108" t="n"/>
      <c r="AM34" s="107">
        <f>AL34*100/$E$34</f>
        <v/>
      </c>
      <c r="AN34" s="108" t="n"/>
      <c r="AO34" s="107">
        <f>AN34*100/$E$34</f>
        <v/>
      </c>
      <c r="AP34" s="108" t="n"/>
      <c r="AQ34" s="107">
        <f>AP34*100/$E$34</f>
        <v/>
      </c>
      <c r="AR34" s="108" t="n"/>
      <c r="AS34" s="107">
        <f>AR34*100/$E$34</f>
        <v/>
      </c>
      <c r="AT34" s="108" t="n"/>
      <c r="AU34" s="90">
        <f>AT34*100/$E$34</f>
        <v/>
      </c>
      <c r="AV34" s="108" t="n"/>
      <c r="AW34" s="107">
        <f>AV34*100/$E$34</f>
        <v/>
      </c>
      <c r="AX34" s="108" t="n"/>
      <c r="AY34" s="107">
        <f>AX34*100/$E$34</f>
        <v/>
      </c>
      <c r="AZ34" s="108" t="n"/>
      <c r="BA34" s="107">
        <f>AZ34*100/$E$34</f>
        <v/>
      </c>
      <c r="BB34" s="108" t="n"/>
      <c r="BC34" s="107">
        <f>BB34*100/$E$34</f>
        <v/>
      </c>
      <c r="BD34" s="108" t="n"/>
      <c r="BE34" s="107">
        <f>BD34*100/$E$34</f>
        <v/>
      </c>
      <c r="BF34" s="108" t="n"/>
      <c r="BG34" s="107">
        <f>BF34*100/$E$34</f>
        <v/>
      </c>
      <c r="BH34" s="108" t="n"/>
      <c r="BI34" s="107">
        <f>BH34*100/$E$34</f>
        <v/>
      </c>
      <c r="BJ34" s="108" t="n"/>
      <c r="BK34" s="107">
        <f>BJ34*100/$E$34</f>
        <v/>
      </c>
      <c r="BL34" s="108" t="n"/>
      <c r="BM34" s="107">
        <f>BL34*100/$E$34</f>
        <v/>
      </c>
      <c r="BN34" s="108" t="n"/>
      <c r="BO34" s="107">
        <f>BN34*100/$E$34</f>
        <v/>
      </c>
      <c r="BP34" s="108" t="n"/>
      <c r="BQ34" s="107">
        <f>BP34*100/$E$34</f>
        <v/>
      </c>
      <c r="BR34" s="108" t="n"/>
      <c r="BS34" s="107">
        <f>BR34*100/$E$34</f>
        <v/>
      </c>
      <c r="BT34" s="108" t="n"/>
      <c r="BU34" s="107">
        <f>BT34*100/$E$34</f>
        <v/>
      </c>
      <c r="BV34" s="108" t="n"/>
      <c r="BW34" s="107">
        <f>BV34*100/$E$34</f>
        <v/>
      </c>
      <c r="BX34" s="108" t="n"/>
      <c r="BY34" s="107">
        <f>BX34*100/$E$34</f>
        <v/>
      </c>
      <c r="BZ34" s="108" t="n"/>
      <c r="CA34" s="107">
        <f>BZ34*100/$E$34</f>
        <v/>
      </c>
      <c r="CB34" s="108" t="n"/>
      <c r="CC34" s="107">
        <f>CB34*100/$E$34</f>
        <v/>
      </c>
      <c r="CD34" s="108" t="n"/>
      <c r="CE34" s="107">
        <f>CD34*100/$E$34</f>
        <v/>
      </c>
      <c r="CF34" s="108" t="n"/>
      <c r="CG34" s="107">
        <f>CF34*100/$E$34</f>
        <v/>
      </c>
      <c r="CH34" s="108" t="n"/>
      <c r="CI34" s="107">
        <f>CH34*100/$E$34</f>
        <v/>
      </c>
      <c r="CJ34" s="108" t="n"/>
      <c r="CK34" s="107">
        <f>CJ34*100/$E$34</f>
        <v/>
      </c>
      <c r="CL34" s="108" t="n"/>
      <c r="CM34" s="107">
        <f>CL34*100/$E$34</f>
        <v/>
      </c>
      <c r="CN34" s="108" t="n"/>
      <c r="CO34" s="122">
        <f>CN34*100/$E$34</f>
        <v/>
      </c>
      <c r="CP34" s="108" t="n"/>
      <c r="CQ34" s="107">
        <f>CP34*100/$E$34</f>
        <v/>
      </c>
      <c r="CR34" s="108" t="n"/>
      <c r="CS34" s="122">
        <f>CR34*100/$E$34</f>
        <v/>
      </c>
      <c r="CT34" s="108" t="n"/>
      <c r="CU34" s="122">
        <f>CT34*100/$E$34</f>
        <v/>
      </c>
      <c r="CV34" s="108" t="n"/>
      <c r="CW34" s="122">
        <f>CV34*100/$E$34</f>
        <v/>
      </c>
      <c r="CX34" s="108" t="n"/>
      <c r="CY34" s="122">
        <f>CX34*100/$E$34</f>
        <v/>
      </c>
      <c r="CZ34" s="108" t="n"/>
      <c r="DA34" s="122">
        <f>CZ34*100/$E$34</f>
        <v/>
      </c>
      <c r="DB34" s="108" t="n"/>
      <c r="DC34" s="122">
        <f>DB34*100/$E$34</f>
        <v/>
      </c>
      <c r="DD34" s="108" t="n"/>
      <c r="DE34" s="122">
        <f>DD34*100/$E$34</f>
        <v/>
      </c>
      <c r="DF34" s="108" t="n"/>
      <c r="DG34" s="122">
        <f>DF34*100/$E$34</f>
        <v/>
      </c>
      <c r="DH34" s="108" t="n"/>
      <c r="DI34" s="122">
        <f>DH34*100/$E$34</f>
        <v/>
      </c>
      <c r="DJ34" s="108" t="n"/>
      <c r="DK34" s="122">
        <f>DJ34*100/$E$34</f>
        <v/>
      </c>
      <c r="DL34" s="108" t="n"/>
      <c r="DM34" s="122">
        <f>DL34*100/$E$34</f>
        <v/>
      </c>
      <c r="DN34" s="108" t="n"/>
      <c r="DO34" s="122">
        <f>DN34*100/$E$34</f>
        <v/>
      </c>
      <c r="DP34" s="108" t="n"/>
      <c r="DQ34" s="122">
        <f>DP34*100/$E$34</f>
        <v/>
      </c>
      <c r="DR34" s="108" t="n"/>
      <c r="DS34" s="122">
        <f>DR34*100/$E$34</f>
        <v/>
      </c>
      <c r="DT34" s="108" t="n"/>
      <c r="DU34" s="122">
        <f>DT34*100/$E$34</f>
        <v/>
      </c>
      <c r="DV34" s="108" t="n"/>
      <c r="DW34" s="122">
        <f>DV34*100/$E$34</f>
        <v/>
      </c>
      <c r="DX34" s="108" t="n"/>
      <c r="DY34" s="122">
        <f>DX34*100/$E$34</f>
        <v/>
      </c>
      <c r="DZ34" s="108" t="n"/>
      <c r="EA34" s="122">
        <f>DZ34*100/$E$34</f>
        <v/>
      </c>
      <c r="EB34" s="108" t="n"/>
      <c r="EC34" s="122">
        <f>EB34*100/$E$34</f>
        <v/>
      </c>
      <c r="ED34" s="108" t="n"/>
      <c r="EE34" s="122">
        <f>ED34*100/$E$34</f>
        <v/>
      </c>
      <c r="EF34" s="108" t="n"/>
      <c r="EG34" s="122">
        <f>EF34*100/$E$34</f>
        <v/>
      </c>
      <c r="EH34" s="108" t="n"/>
      <c r="EI34" s="122">
        <f>EH34*100/$E$34</f>
        <v/>
      </c>
      <c r="EJ34" s="108" t="n"/>
      <c r="EK34" s="122">
        <f>EJ34*100/$E$34</f>
        <v/>
      </c>
      <c r="EL34" s="108" t="n"/>
      <c r="EM34" s="122">
        <f>EL34*100/$E$34</f>
        <v/>
      </c>
      <c r="EN34" s="108" t="n"/>
      <c r="EO34" s="122">
        <f>EN34*100/$E$34</f>
        <v/>
      </c>
      <c r="EP34" s="108" t="n"/>
      <c r="EQ34" s="122">
        <f>EP34*100/$E$34</f>
        <v/>
      </c>
      <c r="ER34" s="108" t="n"/>
      <c r="ES34" s="122">
        <f>ER34*100/$E$34</f>
        <v/>
      </c>
      <c r="ET34" s="108" t="n"/>
      <c r="EU34" s="122">
        <f>ET34*100/$E$34</f>
        <v/>
      </c>
      <c r="EV34" s="108" t="n"/>
      <c r="EW34" s="122">
        <f>EV34*100/$E$34</f>
        <v/>
      </c>
      <c r="EX34" s="108" t="n"/>
      <c r="EY34" s="122">
        <f>EX34*100/$E$34</f>
        <v/>
      </c>
      <c r="EZ34" s="108" t="n"/>
      <c r="FA34" s="122">
        <f>EZ34*100/$E$34</f>
        <v/>
      </c>
      <c r="FB34" s="108" t="n"/>
      <c r="FC34" s="122">
        <f>FB34*100/$E$34</f>
        <v/>
      </c>
      <c r="FD34" s="108" t="n"/>
      <c r="FE34" s="122">
        <f>FD34*100/$E$34</f>
        <v/>
      </c>
      <c r="FF34" s="108" t="n"/>
      <c r="FG34" s="122">
        <f>FF34*100/$E$34</f>
        <v/>
      </c>
      <c r="FH34" s="108" t="n"/>
      <c r="FI34" s="122">
        <f>FH34*100/$E$34</f>
        <v/>
      </c>
      <c r="FJ34" s="108" t="n"/>
      <c r="FK34" s="122">
        <f>FJ34*100/$E$34</f>
        <v/>
      </c>
      <c r="FL34" s="108" t="n"/>
      <c r="FM34" s="122">
        <f>FL34*100/$E$34</f>
        <v/>
      </c>
      <c r="FN34" s="108" t="n"/>
      <c r="FO34" s="122">
        <f>FN34*100/$E$34</f>
        <v/>
      </c>
      <c r="FP34" s="108" t="n"/>
      <c r="FQ34" s="122">
        <f>FP34*100/$E$34</f>
        <v/>
      </c>
      <c r="FR34" s="108" t="n"/>
      <c r="FS34" s="122">
        <f>FR34*100/$E$34</f>
        <v/>
      </c>
      <c r="FT34" s="108" t="n"/>
      <c r="FU34" s="122">
        <f>FT34*100/$E$34</f>
        <v/>
      </c>
      <c r="FV34" s="108" t="n"/>
      <c r="FW34" s="122">
        <f>FV34*100/$E$34</f>
        <v/>
      </c>
      <c r="FX34" s="108" t="n"/>
      <c r="FY34" s="107">
        <f>FX34*100/$E$34</f>
        <v/>
      </c>
      <c r="FZ34" s="108" t="n"/>
      <c r="GA34" s="107">
        <f>FZ34*100/$E$34</f>
        <v/>
      </c>
      <c r="GB34" s="108" t="n"/>
      <c r="GC34" s="107">
        <f>GB34*100/$E$34</f>
        <v/>
      </c>
      <c r="GD34" s="108" t="n"/>
      <c r="GE34" s="107">
        <f>GD34*100/$E$34</f>
        <v/>
      </c>
      <c r="GF34" s="108" t="n"/>
      <c r="GG34" s="107">
        <f>GF34*100/$E$34</f>
        <v/>
      </c>
      <c r="GH34" s="108" t="n"/>
      <c r="GI34" s="107">
        <f>GH34*100/$E$34</f>
        <v/>
      </c>
      <c r="GJ34" s="108" t="n"/>
      <c r="GK34" s="122">
        <f>GJ34*100/$E$34</f>
        <v/>
      </c>
      <c r="GL34" s="108" t="n"/>
      <c r="GM34" s="107">
        <f>GL34*100/$E$34</f>
        <v/>
      </c>
      <c r="GN34" s="108" t="n"/>
      <c r="GO34" s="122">
        <f>GN34*100/$E$34</f>
        <v/>
      </c>
      <c r="GP34" s="108" t="n"/>
      <c r="GQ34" s="107">
        <f>GP34*100/$E$34</f>
        <v/>
      </c>
      <c r="GR34" s="108" t="n"/>
      <c r="GS34" s="122">
        <f>GR34*100/$E$34</f>
        <v/>
      </c>
      <c r="GT34" s="108" t="n"/>
      <c r="GU34" s="122">
        <f>GT34*100/$E$34</f>
        <v/>
      </c>
      <c r="GV34" s="108" t="n"/>
      <c r="GW34" s="122">
        <f>GV34*100/$E$34</f>
        <v/>
      </c>
      <c r="GX34" s="108" t="n"/>
      <c r="GY34" s="107">
        <f>GX34*100/$E$34</f>
        <v/>
      </c>
      <c r="GZ34" s="108" t="n"/>
      <c r="HA34" s="107">
        <f>GZ34*100/$E$34</f>
        <v/>
      </c>
      <c r="HB34" s="108" t="n"/>
      <c r="HC34" s="107">
        <f>HB34*100/$E$34</f>
        <v/>
      </c>
      <c r="HD34" s="108" t="n"/>
      <c r="HE34" s="107">
        <f>HD34*100/$E$34</f>
        <v/>
      </c>
      <c r="HF34" s="108" t="n"/>
      <c r="HG34" s="107">
        <f>HF34*100/$E$34</f>
        <v/>
      </c>
      <c r="HH34" s="108" t="n"/>
      <c r="HI34" s="107">
        <f>HH34*100/$E$34</f>
        <v/>
      </c>
      <c r="HJ34" s="108" t="n"/>
      <c r="HK34" s="107">
        <f>HJ34*100/$E$34</f>
        <v/>
      </c>
      <c r="HL34" s="108" t="n"/>
      <c r="HM34" s="107">
        <f>HL34*100/$E$34</f>
        <v/>
      </c>
      <c r="HN34" s="108" t="n"/>
      <c r="HO34" s="107">
        <f>HN34*100/$E$34</f>
        <v/>
      </c>
      <c r="HP34" s="108" t="n"/>
      <c r="HQ34" s="107">
        <f>HP34*100/$E$34</f>
        <v/>
      </c>
      <c r="HR34" s="108" t="n"/>
      <c r="HS34" s="107">
        <f>HR34*100/$E$34</f>
        <v/>
      </c>
      <c r="HT34" s="108" t="n"/>
      <c r="HU34" s="107">
        <f>HT34*100/$E$34</f>
        <v/>
      </c>
      <c r="HV34" s="108" t="n"/>
      <c r="HW34" s="107">
        <f>HV34*100/$E$34</f>
        <v/>
      </c>
      <c r="HX34" s="108" t="n"/>
      <c r="HY34" s="107">
        <f>HX34*100/$E$34</f>
        <v/>
      </c>
      <c r="HZ34" s="108" t="n"/>
      <c r="IA34" s="122">
        <f>HZ34*100/$E$34</f>
        <v/>
      </c>
      <c r="IB34" s="108" t="n"/>
      <c r="IC34" s="122">
        <f>IB34*100/$E$34</f>
        <v/>
      </c>
      <c r="ID34" s="108" t="n"/>
      <c r="IE34" s="122">
        <f>ID34*100/$E$34</f>
        <v/>
      </c>
      <c r="IF34" s="108" t="n"/>
      <c r="IG34" s="122">
        <f>IF34*100/$E$34</f>
        <v/>
      </c>
      <c r="IH34" s="108" t="n"/>
      <c r="II34" s="122">
        <f>IH34*100/$E$34</f>
        <v/>
      </c>
      <c r="IJ34" s="108" t="n"/>
      <c r="IK34" s="122">
        <f>IJ34*100/$E$34</f>
        <v/>
      </c>
      <c r="IL34" s="108" t="n"/>
      <c r="IM34" s="107">
        <f>IL34*100/$E$34</f>
        <v/>
      </c>
      <c r="IN34" s="108" t="n"/>
      <c r="IO34" s="107">
        <f>IN34*100/$E$34</f>
        <v/>
      </c>
      <c r="IP34" s="108" t="n"/>
      <c r="IQ34" s="122">
        <f>IP34*100/$E$34</f>
        <v/>
      </c>
      <c r="IR34" s="108" t="n"/>
      <c r="IS34" s="122">
        <f>IR34*100/$E$34</f>
        <v/>
      </c>
      <c r="IT34" s="108" t="n"/>
      <c r="IU34" s="122">
        <f>IT34*100/$E$34</f>
        <v/>
      </c>
      <c r="IV34" s="108" t="n"/>
      <c r="IW34" s="122">
        <f>IV34*100/$E$34</f>
        <v/>
      </c>
      <c r="IX34" s="108" t="n"/>
      <c r="IY34" s="122">
        <f>IX34*100/$E$34</f>
        <v/>
      </c>
      <c r="IZ34" s="108" t="n"/>
      <c r="JA34" s="122">
        <f>IZ34*100/$E$34</f>
        <v/>
      </c>
      <c r="JB34" s="108" t="n"/>
      <c r="JC34" s="122">
        <f>JB34*100/$E$34</f>
        <v/>
      </c>
      <c r="JD34" s="108" t="n"/>
      <c r="JE34" s="122">
        <f>JD34*100/$E$34</f>
        <v/>
      </c>
      <c r="JF34" s="108" t="n"/>
      <c r="JG34" s="122">
        <f>JF34*100/$E$34</f>
        <v/>
      </c>
      <c r="JH34" s="108" t="n"/>
      <c r="JI34" s="122">
        <f>JH34*100/$E$34</f>
        <v/>
      </c>
      <c r="JJ34" s="108" t="n"/>
      <c r="JK34" s="122">
        <f>JJ34*100/$E$34</f>
        <v/>
      </c>
      <c r="JL34" s="108" t="n"/>
      <c r="JM34" s="122">
        <f>JL34*100/$E$34</f>
        <v/>
      </c>
      <c r="JN34" s="108" t="n"/>
      <c r="JO34" s="121">
        <f>JN34*100/$E$34</f>
        <v/>
      </c>
      <c r="JP34" s="108" t="n"/>
      <c r="JQ34" s="121">
        <f>JP34*100/$E$34</f>
        <v/>
      </c>
      <c r="JR34" s="108" t="n"/>
      <c r="JS34" s="121">
        <f>JR34*100/$E$34</f>
        <v/>
      </c>
      <c r="JT34" s="108" t="n"/>
      <c r="JU34" s="121">
        <f>JT34*100/$E$34</f>
        <v/>
      </c>
      <c r="JV34" s="108" t="n"/>
      <c r="JW34" s="121">
        <f>JV34*100/$E$34</f>
        <v/>
      </c>
      <c r="JX34" s="108" t="n"/>
      <c r="JY34" s="121">
        <f>JX34*100/$E$34</f>
        <v/>
      </c>
      <c r="JZ34" s="55">
        <f>JN34+JP34+JR34+JT34+JV34+JX34</f>
        <v/>
      </c>
      <c r="KA34" s="53">
        <f>JO34+JQ34+JS34+JU34+JW34+JY34</f>
        <v/>
      </c>
      <c r="KB34" s="64">
        <f>H34+J34+L34+N34+P34+R34+T34+V34+X34+Z34+AB34+AD34+AF34+AH34+AJ34+AL34+AN34+AP34+AR34+AT34+AV34+AX34+AZ34+BB34+BD34+BF34+BH34+BJ34+BL34+BN34+BP34+BR34+BT34+BV34+BX34+BZ34+CB34+CD34+CF34+CH34+CZ34+DB34+DD34+DF34+DH34+DJ34+DL34+DN34+DP34+DR34+DT34+DV34+DX34+DZ34+EB34+ED34+EF34+EH34+EJ34+EL34+EN34+EP34+ER34+ET34+EV34+FN34+FP34+FR34+FT34+FV34+FX34+FZ34+GB34+GD34+GF34+GH34+GJ34+GL34+GN34+GP34+GR34+GT34+GV34+GX34+GZ34+HB34+HD34+HF34+HH34+HJ34+HL34+HN34+HP34+HR34+HT34+HV34+HX34+HZ34+IB34+ID34+IF34+IH34+IJ34+IL34+IN34+IP34+IR34+IT34+IV34+IX34+IZ34+JB34+JD34+JF34+JH34+JJ34+JL34+JZ34+CJ34+CL34+CN34+CP34+CR34+CT34+CV34+CX34+EX34+EZ34+FB34+FD34+FF34+FH34+FJ34+FL34</f>
        <v/>
      </c>
      <c r="KC34" s="66">
        <f>I34+K34+M34+O34+Q34+S34+U34+W34+Y34+AA34+AC34+AE34+AG34+AI34+AK34+AM34+AO34+AQ34+AS34+AU34+AW34+AY34+BA34+BC34+BE34+BG34+BI34+BK34+BM34+BO34+BQ34+BS34+BU34+BW34+BY34+CA34+CC34+CE34+CG34+CI34+DA34+DC34+DE34+DG34+DI34+DK34+DM34+DO34+DQ34+DS34+DU34+DW34+DY34+EA34+EC34+EE34+EG34+EI34+EK34+EM34+EO34+EQ34+ES34+EU34+EW34+FO34+FS34+FU34+FW34+FQ34+FY34+GA34+GC34+GE34+GG34+GI34+GK34+GM34+GO34+GQ34+GS34+GU34+GW34+GY34+HA34+HC34+HE34+HG34+HI34+HK34+HM34+HO34+HQ34+HS34+HU34+HW34+HY34+IA34+IC34+IE34+IG34+II34+IK34+IM34+IO34+IQ34+IS34+IU34+IW34+IY34+JA34+JC34+JE34+JG34+JI34+JK34+JM34+KA34+CK34+CM34+CO34+CQ34+CS34+CU34+CW34+CY34+EY34+FA34+FC34+FE34+FG34+FI34+FK34+FM34</f>
        <v/>
      </c>
      <c r="KD34" s="44">
        <f>JO34+JQ34+JS34+JU34+JW34+JY34</f>
        <v/>
      </c>
      <c r="KE34" s="45">
        <f>KB34=E34</f>
        <v/>
      </c>
      <c r="KF34" s="101">
        <f>E34-KB34</f>
        <v/>
      </c>
      <c r="KG34" s="23" t="n"/>
    </row>
    <row r="35" ht="21.75" customFormat="1" customHeight="1" s="23">
      <c r="A35" s="126">
        <f>A34+1</f>
        <v/>
      </c>
      <c r="B35" s="175" t="inlineStr">
        <is>
          <t>Никулин В.Г.</t>
        </is>
      </c>
      <c r="C35" s="176" t="inlineStr">
        <is>
          <t>токарь</t>
        </is>
      </c>
      <c r="D35" s="177">
        <f>$D$5</f>
        <v/>
      </c>
      <c r="E35" s="202" t="n"/>
      <c r="F35" s="193" t="n">
        <v>107473.5</v>
      </c>
      <c r="G35" s="52">
        <f>F35/D35</f>
        <v/>
      </c>
      <c r="H35" s="125" t="n"/>
      <c r="I35" s="107">
        <f>H35*100/$E$35</f>
        <v/>
      </c>
      <c r="J35" s="108" t="n"/>
      <c r="K35" s="107">
        <f>J35*100/$E$35</f>
        <v/>
      </c>
      <c r="L35" s="108" t="n"/>
      <c r="M35" s="107">
        <f>L35*100/$E$35</f>
        <v/>
      </c>
      <c r="N35" s="108" t="n"/>
      <c r="O35" s="107">
        <f>N35*100/$E$35</f>
        <v/>
      </c>
      <c r="P35" s="108" t="n"/>
      <c r="Q35" s="122">
        <f>P35*100/$E$35</f>
        <v/>
      </c>
      <c r="R35" s="108" t="n"/>
      <c r="S35" s="122">
        <f>R35*100/$E$35</f>
        <v/>
      </c>
      <c r="T35" s="108" t="n"/>
      <c r="U35" s="107">
        <f>T35*100/$E$35</f>
        <v/>
      </c>
      <c r="V35" s="108" t="n"/>
      <c r="W35" s="107">
        <f>V35*100/$E$35</f>
        <v/>
      </c>
      <c r="X35" s="108" t="n"/>
      <c r="Y35" s="107">
        <f>X35*100/$E$35</f>
        <v/>
      </c>
      <c r="Z35" s="108" t="n"/>
      <c r="AA35" s="107">
        <f>Z35*100/$E$35</f>
        <v/>
      </c>
      <c r="AB35" s="108" t="n"/>
      <c r="AC35" s="107">
        <f>AB35*100/$E$35</f>
        <v/>
      </c>
      <c r="AD35" s="108" t="n"/>
      <c r="AE35" s="122">
        <f>AD35*100/$E$35</f>
        <v/>
      </c>
      <c r="AF35" s="108" t="n"/>
      <c r="AG35" s="122">
        <f>AF35*100/$E$35</f>
        <v/>
      </c>
      <c r="AH35" s="108" t="n"/>
      <c r="AI35" s="107">
        <f>AH35*100/$E$35</f>
        <v/>
      </c>
      <c r="AJ35" s="108" t="n"/>
      <c r="AK35" s="107">
        <f>AJ35*100/$E$35</f>
        <v/>
      </c>
      <c r="AL35" s="108" t="n"/>
      <c r="AM35" s="107">
        <f>AL35*100/$E$35</f>
        <v/>
      </c>
      <c r="AN35" s="108" t="n"/>
      <c r="AO35" s="107">
        <f>AN35*100/$E$35</f>
        <v/>
      </c>
      <c r="AP35" s="108" t="n"/>
      <c r="AQ35" s="107">
        <f>AP35*100/$E$35</f>
        <v/>
      </c>
      <c r="AR35" s="108" t="n"/>
      <c r="AS35" s="107">
        <f>AR35*100/$E$35</f>
        <v/>
      </c>
      <c r="AT35" s="108" t="n"/>
      <c r="AU35" s="90">
        <f>AT35*100/$E$35</f>
        <v/>
      </c>
      <c r="AV35" s="108" t="n"/>
      <c r="AW35" s="107">
        <f>AV35*100/$E$35</f>
        <v/>
      </c>
      <c r="AX35" s="108" t="n"/>
      <c r="AY35" s="107">
        <f>AX35*100/$E$35</f>
        <v/>
      </c>
      <c r="AZ35" s="108" t="n"/>
      <c r="BA35" s="107">
        <f>AZ35*100/$E$35</f>
        <v/>
      </c>
      <c r="BB35" s="108" t="n"/>
      <c r="BC35" s="107">
        <f>BB35*100/$E$35</f>
        <v/>
      </c>
      <c r="BD35" s="108" t="n"/>
      <c r="BE35" s="107">
        <f>BD35*100/$E$35</f>
        <v/>
      </c>
      <c r="BF35" s="108" t="n"/>
      <c r="BG35" s="107">
        <f>BF35*100/$E$35</f>
        <v/>
      </c>
      <c r="BH35" s="108" t="n"/>
      <c r="BI35" s="107">
        <f>BH35*100/$E$35</f>
        <v/>
      </c>
      <c r="BJ35" s="108" t="n"/>
      <c r="BK35" s="107">
        <f>BJ35*100/$E$35</f>
        <v/>
      </c>
      <c r="BL35" s="108" t="n"/>
      <c r="BM35" s="107">
        <f>BL35*100/$E$35</f>
        <v/>
      </c>
      <c r="BN35" s="108" t="n"/>
      <c r="BO35" s="107">
        <f>BN35*100/$E$35</f>
        <v/>
      </c>
      <c r="BP35" s="108" t="n"/>
      <c r="BQ35" s="107">
        <f>BP35*100/$E$35</f>
        <v/>
      </c>
      <c r="BR35" s="108" t="n"/>
      <c r="BS35" s="107">
        <f>BR35*100/$E$35</f>
        <v/>
      </c>
      <c r="BT35" s="108" t="n"/>
      <c r="BU35" s="107">
        <f>BT35*100/$E$35</f>
        <v/>
      </c>
      <c r="BV35" s="108" t="n"/>
      <c r="BW35" s="107">
        <f>BV35*100/$E$35</f>
        <v/>
      </c>
      <c r="BX35" s="108" t="n"/>
      <c r="BY35" s="107">
        <f>BX35*100/$E$35</f>
        <v/>
      </c>
      <c r="BZ35" s="108" t="n"/>
      <c r="CA35" s="107">
        <f>BZ35*100/$E$35</f>
        <v/>
      </c>
      <c r="CB35" s="108" t="n"/>
      <c r="CC35" s="107">
        <f>CB35*100/$E$35</f>
        <v/>
      </c>
      <c r="CD35" s="108" t="n"/>
      <c r="CE35" s="107">
        <f>CD35*100/$E$35</f>
        <v/>
      </c>
      <c r="CF35" s="108" t="n"/>
      <c r="CG35" s="107">
        <f>CF35*100/$E$35</f>
        <v/>
      </c>
      <c r="CH35" s="108" t="n"/>
      <c r="CI35" s="107">
        <f>CH35*100/$E$35</f>
        <v/>
      </c>
      <c r="CJ35" s="108" t="n"/>
      <c r="CK35" s="107">
        <f>CJ35*100/$E$35</f>
        <v/>
      </c>
      <c r="CL35" s="108" t="n"/>
      <c r="CM35" s="107">
        <f>CL35*100/$E$35</f>
        <v/>
      </c>
      <c r="CN35" s="108" t="n"/>
      <c r="CO35" s="122">
        <f>CN35*100/$E$35</f>
        <v/>
      </c>
      <c r="CP35" s="108" t="n"/>
      <c r="CQ35" s="107">
        <f>CP35*100/$E$35</f>
        <v/>
      </c>
      <c r="CR35" s="108" t="n"/>
      <c r="CS35" s="122">
        <f>CR35*100/$E$35</f>
        <v/>
      </c>
      <c r="CT35" s="108" t="n"/>
      <c r="CU35" s="122">
        <f>CT35*100/$E$35</f>
        <v/>
      </c>
      <c r="CV35" s="108" t="n"/>
      <c r="CW35" s="122">
        <f>CV35*100/$E$35</f>
        <v/>
      </c>
      <c r="CX35" s="108" t="n"/>
      <c r="CY35" s="122">
        <f>CX35*100/$E$35</f>
        <v/>
      </c>
      <c r="CZ35" s="108" t="n"/>
      <c r="DA35" s="122">
        <f>CZ35*100/$E$35</f>
        <v/>
      </c>
      <c r="DB35" s="108" t="n"/>
      <c r="DC35" s="122">
        <f>DB35*100/$E$35</f>
        <v/>
      </c>
      <c r="DD35" s="108" t="n"/>
      <c r="DE35" s="122">
        <f>DD35*100/$E$35</f>
        <v/>
      </c>
      <c r="DF35" s="108" t="n"/>
      <c r="DG35" s="122">
        <f>DF35*100/$E$35</f>
        <v/>
      </c>
      <c r="DH35" s="108" t="n"/>
      <c r="DI35" s="122">
        <f>DH35*100/$E$35</f>
        <v/>
      </c>
      <c r="DJ35" s="108" t="n"/>
      <c r="DK35" s="122">
        <f>DJ35*100/$E$35</f>
        <v/>
      </c>
      <c r="DL35" s="108" t="n"/>
      <c r="DM35" s="122">
        <f>DL35*100/$E$35</f>
        <v/>
      </c>
      <c r="DN35" s="108" t="n"/>
      <c r="DO35" s="122">
        <f>DN35*100/$E$35</f>
        <v/>
      </c>
      <c r="DP35" s="108" t="n"/>
      <c r="DQ35" s="122">
        <f>DP35*100/$E$35</f>
        <v/>
      </c>
      <c r="DR35" s="108" t="n"/>
      <c r="DS35" s="122">
        <f>DR35*100/$E$35</f>
        <v/>
      </c>
      <c r="DT35" s="108" t="n"/>
      <c r="DU35" s="122">
        <f>DT35*100/$E$35</f>
        <v/>
      </c>
      <c r="DV35" s="108" t="n"/>
      <c r="DW35" s="122">
        <f>DV35*100/$E$35</f>
        <v/>
      </c>
      <c r="DX35" s="108" t="n"/>
      <c r="DY35" s="122">
        <f>DX35*100/$E$35</f>
        <v/>
      </c>
      <c r="DZ35" s="108" t="n"/>
      <c r="EA35" s="122">
        <f>DZ35*100/$E$35</f>
        <v/>
      </c>
      <c r="EB35" s="108" t="n"/>
      <c r="EC35" s="122">
        <f>EB35*100/$E$35</f>
        <v/>
      </c>
      <c r="ED35" s="108" t="n"/>
      <c r="EE35" s="122">
        <f>ED35*100/$E$35</f>
        <v/>
      </c>
      <c r="EF35" s="108" t="n"/>
      <c r="EG35" s="122">
        <f>EF35*100/$E$35</f>
        <v/>
      </c>
      <c r="EH35" s="108" t="n"/>
      <c r="EI35" s="122">
        <f>EH35*100/$E$35</f>
        <v/>
      </c>
      <c r="EJ35" s="108" t="n"/>
      <c r="EK35" s="122">
        <f>EJ35*100/$E$35</f>
        <v/>
      </c>
      <c r="EL35" s="108" t="n"/>
      <c r="EM35" s="122">
        <f>EL35*100/$E$35</f>
        <v/>
      </c>
      <c r="EN35" s="108" t="n"/>
      <c r="EO35" s="122">
        <f>EN35*100/$E$35</f>
        <v/>
      </c>
      <c r="EP35" s="108" t="n"/>
      <c r="EQ35" s="122">
        <f>EP35*100/$E$35</f>
        <v/>
      </c>
      <c r="ER35" s="108" t="n"/>
      <c r="ES35" s="122">
        <f>ER35*100/$E$35</f>
        <v/>
      </c>
      <c r="ET35" s="108" t="n"/>
      <c r="EU35" s="122">
        <f>ET35*100/$E$35</f>
        <v/>
      </c>
      <c r="EV35" s="108" t="n"/>
      <c r="EW35" s="122">
        <f>EV35*100/$E$35</f>
        <v/>
      </c>
      <c r="EX35" s="108" t="n"/>
      <c r="EY35" s="122">
        <f>EX35*100/$E$35</f>
        <v/>
      </c>
      <c r="EZ35" s="108" t="n"/>
      <c r="FA35" s="122">
        <f>EZ35*100/$E$35</f>
        <v/>
      </c>
      <c r="FB35" s="108" t="n"/>
      <c r="FC35" s="122">
        <f>FB35*100/$E$35</f>
        <v/>
      </c>
      <c r="FD35" s="108" t="n"/>
      <c r="FE35" s="122">
        <f>FD35*100/$E$35</f>
        <v/>
      </c>
      <c r="FF35" s="108" t="n"/>
      <c r="FG35" s="122">
        <f>FF35*100/$E$35</f>
        <v/>
      </c>
      <c r="FH35" s="108" t="n"/>
      <c r="FI35" s="122">
        <f>FH35*100/$E$35</f>
        <v/>
      </c>
      <c r="FJ35" s="108" t="n"/>
      <c r="FK35" s="122">
        <f>FJ35*100/$E$35</f>
        <v/>
      </c>
      <c r="FL35" s="108" t="n"/>
      <c r="FM35" s="122">
        <f>FL35*100/$E$35</f>
        <v/>
      </c>
      <c r="FN35" s="108" t="n"/>
      <c r="FO35" s="122">
        <f>FN35*100/$E$35</f>
        <v/>
      </c>
      <c r="FP35" s="108" t="n"/>
      <c r="FQ35" s="122">
        <f>FP35*100/$E$35</f>
        <v/>
      </c>
      <c r="FR35" s="108" t="n"/>
      <c r="FS35" s="122">
        <f>FR35*100/$E$35</f>
        <v/>
      </c>
      <c r="FT35" s="108" t="n"/>
      <c r="FU35" s="122">
        <f>FT35*100/$E$35</f>
        <v/>
      </c>
      <c r="FV35" s="108" t="n"/>
      <c r="FW35" s="122">
        <f>FV35*100/$E$35</f>
        <v/>
      </c>
      <c r="FX35" s="108" t="n"/>
      <c r="FY35" s="107">
        <f>FX35*100/$E$35</f>
        <v/>
      </c>
      <c r="FZ35" s="108" t="n"/>
      <c r="GA35" s="107">
        <f>FZ35*100/$E$35</f>
        <v/>
      </c>
      <c r="GB35" s="108" t="n"/>
      <c r="GC35" s="107">
        <f>GB35*100/$E$35</f>
        <v/>
      </c>
      <c r="GD35" s="108" t="n"/>
      <c r="GE35" s="107">
        <f>GD35*100/$E$35</f>
        <v/>
      </c>
      <c r="GF35" s="108" t="n"/>
      <c r="GG35" s="107">
        <f>GF35*100/$E$35</f>
        <v/>
      </c>
      <c r="GH35" s="108" t="n"/>
      <c r="GI35" s="107">
        <f>GH35*100/$E$35</f>
        <v/>
      </c>
      <c r="GJ35" s="108" t="n"/>
      <c r="GK35" s="122">
        <f>GJ35*100/$E$35</f>
        <v/>
      </c>
      <c r="GL35" s="108" t="n"/>
      <c r="GM35" s="107">
        <f>GL35*100/$E$35</f>
        <v/>
      </c>
      <c r="GN35" s="108" t="n"/>
      <c r="GO35" s="122">
        <f>GN35*100/$E$35</f>
        <v/>
      </c>
      <c r="GP35" s="108" t="n"/>
      <c r="GQ35" s="107">
        <f>GP35*100/$E$35</f>
        <v/>
      </c>
      <c r="GR35" s="108" t="n"/>
      <c r="GS35" s="122">
        <f>GR35*100/$E$35</f>
        <v/>
      </c>
      <c r="GT35" s="108" t="n"/>
      <c r="GU35" s="122">
        <f>GT35*100/$E$35</f>
        <v/>
      </c>
      <c r="GV35" s="108" t="n"/>
      <c r="GW35" s="122">
        <f>GV35*100/$E$35</f>
        <v/>
      </c>
      <c r="GX35" s="108" t="n"/>
      <c r="GY35" s="107">
        <f>GX35*100/$E$35</f>
        <v/>
      </c>
      <c r="GZ35" s="108" t="n"/>
      <c r="HA35" s="107">
        <f>GZ35*100/$E$35</f>
        <v/>
      </c>
      <c r="HB35" s="108" t="n"/>
      <c r="HC35" s="107">
        <f>HB35*100/$E$35</f>
        <v/>
      </c>
      <c r="HD35" s="108" t="n"/>
      <c r="HE35" s="107">
        <f>HD35*100/$E$35</f>
        <v/>
      </c>
      <c r="HF35" s="108" t="n"/>
      <c r="HG35" s="107">
        <f>HF35*100/$E$35</f>
        <v/>
      </c>
      <c r="HH35" s="108" t="n"/>
      <c r="HI35" s="107">
        <f>HH35*100/$E$35</f>
        <v/>
      </c>
      <c r="HJ35" s="108" t="n"/>
      <c r="HK35" s="107">
        <f>HJ35*100/$E$35</f>
        <v/>
      </c>
      <c r="HL35" s="108" t="n"/>
      <c r="HM35" s="107">
        <f>HL35*100/$E$35</f>
        <v/>
      </c>
      <c r="HN35" s="108" t="n"/>
      <c r="HO35" s="107">
        <f>HN35*100/$E$35</f>
        <v/>
      </c>
      <c r="HP35" s="108" t="n"/>
      <c r="HQ35" s="107">
        <f>HP35*100/$E$35</f>
        <v/>
      </c>
      <c r="HR35" s="108" t="n"/>
      <c r="HS35" s="107">
        <f>HR35*100/$E$35</f>
        <v/>
      </c>
      <c r="HT35" s="108" t="n"/>
      <c r="HU35" s="107">
        <f>HT35*100/$E$35</f>
        <v/>
      </c>
      <c r="HV35" s="108" t="n"/>
      <c r="HW35" s="107">
        <f>HV35*100/$E$35</f>
        <v/>
      </c>
      <c r="HX35" s="108" t="n"/>
      <c r="HY35" s="107">
        <f>HX35*100/$E$35</f>
        <v/>
      </c>
      <c r="HZ35" s="108" t="n"/>
      <c r="IA35" s="122">
        <f>HZ35*100/$E$35</f>
        <v/>
      </c>
      <c r="IB35" s="108" t="n"/>
      <c r="IC35" s="122">
        <f>IB35*100/$E$35</f>
        <v/>
      </c>
      <c r="ID35" s="108" t="n"/>
      <c r="IE35" s="122">
        <f>ID35*100/$E$35</f>
        <v/>
      </c>
      <c r="IF35" s="108" t="n"/>
      <c r="IG35" s="122">
        <f>IF35*100/$E$35</f>
        <v/>
      </c>
      <c r="IH35" s="108" t="n"/>
      <c r="II35" s="122">
        <f>IH35*100/$E$35</f>
        <v/>
      </c>
      <c r="IJ35" s="108" t="n"/>
      <c r="IK35" s="122">
        <f>IJ35*100/$E$35</f>
        <v/>
      </c>
      <c r="IL35" s="108" t="n"/>
      <c r="IM35" s="107">
        <f>IL35*100/$E$35</f>
        <v/>
      </c>
      <c r="IN35" s="108" t="n"/>
      <c r="IO35" s="107">
        <f>IN35*100/$E$35</f>
        <v/>
      </c>
      <c r="IP35" s="108" t="n"/>
      <c r="IQ35" s="122">
        <f>IP35*100/$E$35</f>
        <v/>
      </c>
      <c r="IR35" s="108" t="n"/>
      <c r="IS35" s="122">
        <f>IR35*100/$E$35</f>
        <v/>
      </c>
      <c r="IT35" s="108" t="n"/>
      <c r="IU35" s="122">
        <f>IT35*100/$E$35</f>
        <v/>
      </c>
      <c r="IV35" s="108" t="n"/>
      <c r="IW35" s="122">
        <f>IV35*100/$E$35</f>
        <v/>
      </c>
      <c r="IX35" s="108" t="n"/>
      <c r="IY35" s="122">
        <f>IX35*100/$E$35</f>
        <v/>
      </c>
      <c r="IZ35" s="108" t="n"/>
      <c r="JA35" s="122">
        <f>IZ35*100/$E$35</f>
        <v/>
      </c>
      <c r="JB35" s="108" t="n"/>
      <c r="JC35" s="122">
        <f>JB35*100/$E$35</f>
        <v/>
      </c>
      <c r="JD35" s="108" t="n"/>
      <c r="JE35" s="122">
        <f>JD35*100/$E$35</f>
        <v/>
      </c>
      <c r="JF35" s="108" t="n"/>
      <c r="JG35" s="122">
        <f>JF35*100/$E$35</f>
        <v/>
      </c>
      <c r="JH35" s="108" t="n"/>
      <c r="JI35" s="122">
        <f>JH35*100/$E$35</f>
        <v/>
      </c>
      <c r="JJ35" s="108" t="n"/>
      <c r="JK35" s="122">
        <f>JJ35*100/$E$35</f>
        <v/>
      </c>
      <c r="JL35" s="108" t="n"/>
      <c r="JM35" s="122">
        <f>JL35*100/$E$35</f>
        <v/>
      </c>
      <c r="JN35" s="108" t="n"/>
      <c r="JO35" s="121">
        <f>JN35*100/$E$35</f>
        <v/>
      </c>
      <c r="JP35" s="108" t="n"/>
      <c r="JQ35" s="121">
        <f>JP35*100/$E$35</f>
        <v/>
      </c>
      <c r="JR35" s="108" t="n"/>
      <c r="JS35" s="121">
        <f>JR35*100/$E$35</f>
        <v/>
      </c>
      <c r="JT35" s="108" t="n"/>
      <c r="JU35" s="121">
        <f>JT35*100/$E$35</f>
        <v/>
      </c>
      <c r="JV35" s="108" t="n"/>
      <c r="JW35" s="121">
        <f>JV35*100/$E$35</f>
        <v/>
      </c>
      <c r="JX35" s="108" t="n"/>
      <c r="JY35" s="121">
        <f>JX35*100/$E$35</f>
        <v/>
      </c>
      <c r="JZ35" s="55">
        <f>JN35+JP35+JR35+JT35+JV35+JX35</f>
        <v/>
      </c>
      <c r="KA35" s="53">
        <f>JO35+JQ35+JS35+JU35+JW35+JY35</f>
        <v/>
      </c>
      <c r="KB35" s="64">
        <f>H35+J35+L35+N35+P35+R35+T35+V35+X35+Z35+AB35+AD35+AF35+AH35+AJ35+AL35+AN35+AP35+AR35+AT35+AV35+AX35+AZ35+BB35+BD35+BF35+BH35+BJ35+BL35+BN35+BP35+BR35+BT35+BV35+BX35+BZ35+CB35+CD35+CF35+CH35+CZ35+DB35+DD35+DF35+DH35+DJ35+DL35+DN35+DP35+DR35+DT35+DV35+DX35+DZ35+EB35+ED35+EF35+EH35+EJ35+EL35+EN35+EP35+ER35+ET35+EV35+FN35+FP35+FR35+FT35+FV35+FX35+FZ35+GB35+GD35+GF35+GH35+GJ35+GL35+GN35+GP35+GR35+GT35+GV35+GX35+GZ35+HB35+HD35+HF35+HH35+HJ35+HL35+HN35+HP35+HR35+HT35+HV35+HX35+HZ35+IB35+ID35+IF35+IH35+IJ35+IL35+IN35+IP35+IR35+IT35+IV35+IX35+IZ35+JB35+JD35+JF35+JH35+JJ35+JL35+JZ35+CJ35+CL35+CN35+CP35+CR35+CT35+CV35+CX35+EX35+EZ35+FB35+FD35+FF35+FH35+FJ35+FL35</f>
        <v/>
      </c>
      <c r="KC35" s="66">
        <f>I35+K35+M35+O35+Q35+S35+U35+W35+Y35+AA35+AC35+AE35+AG35+AI35+AK35+AM35+AO35+AQ35+AS35+AU35+AW35+AY35+BA35+BC35+BE35+BG35+BI35+BK35+BM35+BO35+BQ35+BS35+BU35+BW35+BY35+CA35+CC35+CE35+CG35+CI35+DA35+DC35+DE35+DG35+DI35+DK35+DM35+DO35+DQ35+DS35+DU35+DW35+DY35+EA35+EC35+EE35+EG35+EI35+EK35+EM35+EO35+EQ35+ES35+EU35+EW35+FO35+FS35+FU35+FW35+FQ35+FY35+GA35+GC35+GE35+GG35+GI35+GK35+GM35+GO35+GQ35+GS35+GU35+GW35+GY35+HA35+HC35+HE35+HG35+HI35+HK35+HM35+HO35+HQ35+HS35+HU35+HW35+HY35+IA35+IC35+IE35+IG35+II35+IK35+IM35+IO35+IQ35+IS35+IU35+IW35+IY35+JA35+JC35+JE35+JG35+JI35+JK35+JM35+KA35+CK35+CM35+CO35+CQ35+CS35+CU35+CW35+CY35+EY35+FA35+FC35+FE35+FG35+FI35+FK35+FM35</f>
        <v/>
      </c>
      <c r="KD35" s="44">
        <f>JO35+JQ35+JS35+JU35+JW35+JY35</f>
        <v/>
      </c>
      <c r="KE35" s="45">
        <f>KB35=E35</f>
        <v/>
      </c>
      <c r="KF35" s="101">
        <f>E35-KB35</f>
        <v/>
      </c>
      <c r="KG35" s="24" t="n"/>
    </row>
    <row r="36" ht="21.75" customFormat="1" customHeight="1" s="24">
      <c r="A36" s="126">
        <f>A35+1</f>
        <v/>
      </c>
      <c r="B36" s="198" t="inlineStr">
        <is>
          <t>Новокрещенов А.С.</t>
        </is>
      </c>
      <c r="C36" s="194" t="inlineStr">
        <is>
          <t>токарь-расточник</t>
        </is>
      </c>
      <c r="D36" s="177">
        <f>$D$5</f>
        <v/>
      </c>
      <c r="E36" s="202" t="n"/>
      <c r="F36" s="193" t="n">
        <v>107473.91</v>
      </c>
      <c r="G36" s="52">
        <f>F36/D36</f>
        <v/>
      </c>
      <c r="H36" s="125" t="n"/>
      <c r="I36" s="107">
        <f>H36*100/$E$36</f>
        <v/>
      </c>
      <c r="J36" s="108" t="n"/>
      <c r="K36" s="107">
        <f>J36*100/$E$36</f>
        <v/>
      </c>
      <c r="L36" s="108" t="n"/>
      <c r="M36" s="107">
        <f>L36*100/$E$36</f>
        <v/>
      </c>
      <c r="N36" s="108" t="n"/>
      <c r="O36" s="107">
        <f>N36*100/$E$36</f>
        <v/>
      </c>
      <c r="P36" s="108" t="n"/>
      <c r="Q36" s="122">
        <f>P36*100/$E$36</f>
        <v/>
      </c>
      <c r="R36" s="108" t="n"/>
      <c r="S36" s="122">
        <f>R36*100/$E$36</f>
        <v/>
      </c>
      <c r="T36" s="108" t="n"/>
      <c r="U36" s="107">
        <f>T36*100/$E$36</f>
        <v/>
      </c>
      <c r="V36" s="108" t="n"/>
      <c r="W36" s="107">
        <f>V36*100/$E$36</f>
        <v/>
      </c>
      <c r="X36" s="108" t="n"/>
      <c r="Y36" s="107">
        <f>X36*100/$E$36</f>
        <v/>
      </c>
      <c r="Z36" s="108" t="n"/>
      <c r="AA36" s="107">
        <f>Z36*100/$E$36</f>
        <v/>
      </c>
      <c r="AB36" s="108" t="n"/>
      <c r="AC36" s="107">
        <f>AB36*100/$E$36</f>
        <v/>
      </c>
      <c r="AD36" s="108" t="n"/>
      <c r="AE36" s="122">
        <f>AD36*100/$E$36</f>
        <v/>
      </c>
      <c r="AF36" s="108" t="n"/>
      <c r="AG36" s="122">
        <f>AF36*100/$E$36</f>
        <v/>
      </c>
      <c r="AH36" s="108" t="n"/>
      <c r="AI36" s="107">
        <f>AH36*100/$E$36</f>
        <v/>
      </c>
      <c r="AJ36" s="108" t="n"/>
      <c r="AK36" s="107">
        <f>AJ36*100/$E$36</f>
        <v/>
      </c>
      <c r="AL36" s="108" t="n"/>
      <c r="AM36" s="107">
        <f>AL36*100/$E$36</f>
        <v/>
      </c>
      <c r="AN36" s="108" t="n"/>
      <c r="AO36" s="107">
        <f>AN36*100/$E$36</f>
        <v/>
      </c>
      <c r="AP36" s="108" t="n"/>
      <c r="AQ36" s="107">
        <f>AP36*100/$E$36</f>
        <v/>
      </c>
      <c r="AR36" s="108" t="n"/>
      <c r="AS36" s="107">
        <f>AR36*100/$E$36</f>
        <v/>
      </c>
      <c r="AT36" s="108" t="n"/>
      <c r="AU36" s="90">
        <f>AT36*100/$E$36</f>
        <v/>
      </c>
      <c r="AV36" s="108" t="n"/>
      <c r="AW36" s="107">
        <f>AV36*100/$E$36</f>
        <v/>
      </c>
      <c r="AX36" s="108" t="n"/>
      <c r="AY36" s="107">
        <f>AX36*100/$E$36</f>
        <v/>
      </c>
      <c r="AZ36" s="108" t="n"/>
      <c r="BA36" s="107">
        <f>AZ36*100/$E$36</f>
        <v/>
      </c>
      <c r="BB36" s="108" t="n"/>
      <c r="BC36" s="107">
        <f>BB36*100/$E$36</f>
        <v/>
      </c>
      <c r="BD36" s="108" t="n"/>
      <c r="BE36" s="107">
        <f>BD36*100/$E$36</f>
        <v/>
      </c>
      <c r="BF36" s="108" t="n"/>
      <c r="BG36" s="107">
        <f>BF36*100/$E$36</f>
        <v/>
      </c>
      <c r="BH36" s="108" t="n"/>
      <c r="BI36" s="107">
        <f>BH36*100/$E$36</f>
        <v/>
      </c>
      <c r="BJ36" s="108" t="n"/>
      <c r="BK36" s="107">
        <f>BJ36*100/$E$36</f>
        <v/>
      </c>
      <c r="BL36" s="108" t="n"/>
      <c r="BM36" s="107">
        <f>BL36*100/$E$36</f>
        <v/>
      </c>
      <c r="BN36" s="108" t="n"/>
      <c r="BO36" s="107">
        <f>BN36*100/$E$36</f>
        <v/>
      </c>
      <c r="BP36" s="108" t="n"/>
      <c r="BQ36" s="107">
        <f>BP36*100/$E$36</f>
        <v/>
      </c>
      <c r="BR36" s="108" t="n"/>
      <c r="BS36" s="107">
        <f>BR36*100/$E$36</f>
        <v/>
      </c>
      <c r="BT36" s="108" t="n"/>
      <c r="BU36" s="107">
        <f>BT36*100/$E$36</f>
        <v/>
      </c>
      <c r="BV36" s="108" t="n"/>
      <c r="BW36" s="107">
        <f>BV36*100/$E$36</f>
        <v/>
      </c>
      <c r="BX36" s="108" t="n"/>
      <c r="BY36" s="107">
        <f>BX36*100/$E$36</f>
        <v/>
      </c>
      <c r="BZ36" s="108" t="n"/>
      <c r="CA36" s="107">
        <f>BZ36*100/$E$36</f>
        <v/>
      </c>
      <c r="CB36" s="108" t="n"/>
      <c r="CC36" s="107">
        <f>CB36*100/$E$36</f>
        <v/>
      </c>
      <c r="CD36" s="108" t="n"/>
      <c r="CE36" s="107">
        <f>CD36*100/$E$36</f>
        <v/>
      </c>
      <c r="CF36" s="108" t="n"/>
      <c r="CG36" s="107">
        <f>CF36*100/$E$36</f>
        <v/>
      </c>
      <c r="CH36" s="108" t="n"/>
      <c r="CI36" s="107">
        <f>CH36*100/$E$36</f>
        <v/>
      </c>
      <c r="CJ36" s="108" t="n"/>
      <c r="CK36" s="107">
        <f>CJ36*100/$E$36</f>
        <v/>
      </c>
      <c r="CL36" s="108" t="n"/>
      <c r="CM36" s="107">
        <f>CL36*100/$E$36</f>
        <v/>
      </c>
      <c r="CN36" s="108" t="n"/>
      <c r="CO36" s="122">
        <f>CN36*100/$E$36</f>
        <v/>
      </c>
      <c r="CP36" s="108" t="n"/>
      <c r="CQ36" s="107">
        <f>CP36*100/$E$36</f>
        <v/>
      </c>
      <c r="CR36" s="108" t="n"/>
      <c r="CS36" s="122">
        <f>CR36*100/$E$36</f>
        <v/>
      </c>
      <c r="CT36" s="108" t="n"/>
      <c r="CU36" s="122">
        <f>CT36*100/$E$36</f>
        <v/>
      </c>
      <c r="CV36" s="108" t="n"/>
      <c r="CW36" s="122">
        <f>CV36*100/$E$36</f>
        <v/>
      </c>
      <c r="CX36" s="108" t="n"/>
      <c r="CY36" s="122">
        <f>CX36*100/$E$36</f>
        <v/>
      </c>
      <c r="CZ36" s="108" t="n"/>
      <c r="DA36" s="122">
        <f>CZ36*100/$E$36</f>
        <v/>
      </c>
      <c r="DB36" s="108" t="n"/>
      <c r="DC36" s="122">
        <f>DB36*100/$E$36</f>
        <v/>
      </c>
      <c r="DD36" s="108" t="n"/>
      <c r="DE36" s="122">
        <f>DD36*100/$E$36</f>
        <v/>
      </c>
      <c r="DF36" s="108" t="n"/>
      <c r="DG36" s="122">
        <f>DF36*100/$E$36</f>
        <v/>
      </c>
      <c r="DH36" s="108" t="n"/>
      <c r="DI36" s="122">
        <f>DH36*100/$E$36</f>
        <v/>
      </c>
      <c r="DJ36" s="108" t="n"/>
      <c r="DK36" s="122">
        <f>DJ36*100/$E$36</f>
        <v/>
      </c>
      <c r="DL36" s="108" t="n"/>
      <c r="DM36" s="122">
        <f>DL36*100/$E$36</f>
        <v/>
      </c>
      <c r="DN36" s="108" t="n"/>
      <c r="DO36" s="122">
        <f>DN36*100/$E$36</f>
        <v/>
      </c>
      <c r="DP36" s="108" t="n"/>
      <c r="DQ36" s="122">
        <f>DP36*100/$E$36</f>
        <v/>
      </c>
      <c r="DR36" s="108" t="n"/>
      <c r="DS36" s="122">
        <f>DR36*100/$E$36</f>
        <v/>
      </c>
      <c r="DT36" s="108" t="n"/>
      <c r="DU36" s="122">
        <f>DT36*100/$E$36</f>
        <v/>
      </c>
      <c r="DV36" s="108" t="n"/>
      <c r="DW36" s="122">
        <f>DV36*100/$E$36</f>
        <v/>
      </c>
      <c r="DX36" s="108" t="n"/>
      <c r="DY36" s="122">
        <f>DX36*100/$E$36</f>
        <v/>
      </c>
      <c r="DZ36" s="108" t="n"/>
      <c r="EA36" s="122">
        <f>DZ36*100/$E$36</f>
        <v/>
      </c>
      <c r="EB36" s="108" t="n"/>
      <c r="EC36" s="122">
        <f>EB36*100/$E$36</f>
        <v/>
      </c>
      <c r="ED36" s="108" t="n"/>
      <c r="EE36" s="122">
        <f>ED36*100/$E$36</f>
        <v/>
      </c>
      <c r="EF36" s="108" t="n"/>
      <c r="EG36" s="122">
        <f>EF36*100/$E$36</f>
        <v/>
      </c>
      <c r="EH36" s="108" t="n"/>
      <c r="EI36" s="122">
        <f>EH36*100/$E$36</f>
        <v/>
      </c>
      <c r="EJ36" s="108" t="n"/>
      <c r="EK36" s="122">
        <f>EJ36*100/$E$36</f>
        <v/>
      </c>
      <c r="EL36" s="108" t="n"/>
      <c r="EM36" s="122">
        <f>EL36*100/$E$36</f>
        <v/>
      </c>
      <c r="EN36" s="108" t="n"/>
      <c r="EO36" s="122">
        <f>EN36*100/$E$36</f>
        <v/>
      </c>
      <c r="EP36" s="108" t="n"/>
      <c r="EQ36" s="122">
        <f>EP36*100/$E$36</f>
        <v/>
      </c>
      <c r="ER36" s="108" t="n"/>
      <c r="ES36" s="122">
        <f>ER36*100/$E$36</f>
        <v/>
      </c>
      <c r="ET36" s="108" t="n"/>
      <c r="EU36" s="122">
        <f>ET36*100/$E$36</f>
        <v/>
      </c>
      <c r="EV36" s="108" t="n"/>
      <c r="EW36" s="122">
        <f>EV36*100/$E$36</f>
        <v/>
      </c>
      <c r="EX36" s="108" t="n"/>
      <c r="EY36" s="122">
        <f>EX36*100/$E$36</f>
        <v/>
      </c>
      <c r="EZ36" s="108" t="n"/>
      <c r="FA36" s="122">
        <f>EZ36*100/$E$36</f>
        <v/>
      </c>
      <c r="FB36" s="108" t="n"/>
      <c r="FC36" s="122">
        <f>FB36*100/$E$36</f>
        <v/>
      </c>
      <c r="FD36" s="108" t="n"/>
      <c r="FE36" s="122">
        <f>FD36*100/$E$36</f>
        <v/>
      </c>
      <c r="FF36" s="108" t="n"/>
      <c r="FG36" s="122">
        <f>FF36*100/$E$36</f>
        <v/>
      </c>
      <c r="FH36" s="108" t="n"/>
      <c r="FI36" s="122">
        <f>FH36*100/$E$36</f>
        <v/>
      </c>
      <c r="FJ36" s="108" t="n"/>
      <c r="FK36" s="122">
        <f>FJ36*100/$E$36</f>
        <v/>
      </c>
      <c r="FL36" s="108" t="n"/>
      <c r="FM36" s="122">
        <f>FL36*100/$E$36</f>
        <v/>
      </c>
      <c r="FN36" s="108" t="n"/>
      <c r="FO36" s="122">
        <f>FN36*100/$E$36</f>
        <v/>
      </c>
      <c r="FP36" s="108" t="n"/>
      <c r="FQ36" s="122">
        <f>FP36*100/$E$36</f>
        <v/>
      </c>
      <c r="FR36" s="108" t="n"/>
      <c r="FS36" s="122">
        <f>FR36*100/$E$36</f>
        <v/>
      </c>
      <c r="FT36" s="108" t="n"/>
      <c r="FU36" s="122">
        <f>FT36*100/$E$36</f>
        <v/>
      </c>
      <c r="FV36" s="108" t="n"/>
      <c r="FW36" s="122">
        <f>FV36*100/$E$36</f>
        <v/>
      </c>
      <c r="FX36" s="108" t="n"/>
      <c r="FY36" s="107">
        <f>FX36*100/$E$36</f>
        <v/>
      </c>
      <c r="FZ36" s="108" t="n"/>
      <c r="GA36" s="107">
        <f>FZ36*100/$E$36</f>
        <v/>
      </c>
      <c r="GB36" s="108" t="n"/>
      <c r="GC36" s="107">
        <f>GB36*100/$E$36</f>
        <v/>
      </c>
      <c r="GD36" s="108" t="n"/>
      <c r="GE36" s="107">
        <f>GD36*100/$E$36</f>
        <v/>
      </c>
      <c r="GF36" s="108" t="n"/>
      <c r="GG36" s="107">
        <f>GF36*100/$E$36</f>
        <v/>
      </c>
      <c r="GH36" s="108" t="n"/>
      <c r="GI36" s="107">
        <f>GH36*100/$E$36</f>
        <v/>
      </c>
      <c r="GJ36" s="108" t="n"/>
      <c r="GK36" s="122">
        <f>GJ36*100/$E$36</f>
        <v/>
      </c>
      <c r="GL36" s="108" t="n"/>
      <c r="GM36" s="107">
        <f>GL36*100/$E$36</f>
        <v/>
      </c>
      <c r="GN36" s="108" t="n"/>
      <c r="GO36" s="122">
        <f>GN36*100/$E$36</f>
        <v/>
      </c>
      <c r="GP36" s="108" t="n"/>
      <c r="GQ36" s="107">
        <f>GP36*100/$E$36</f>
        <v/>
      </c>
      <c r="GR36" s="108" t="n"/>
      <c r="GS36" s="122">
        <f>GR36*100/$E$36</f>
        <v/>
      </c>
      <c r="GT36" s="108" t="n"/>
      <c r="GU36" s="122">
        <f>GT36*100/$E$36</f>
        <v/>
      </c>
      <c r="GV36" s="108" t="n"/>
      <c r="GW36" s="122">
        <f>GV36*100/$E$36</f>
        <v/>
      </c>
      <c r="GX36" s="108" t="n"/>
      <c r="GY36" s="107">
        <f>GX36*100/$E$36</f>
        <v/>
      </c>
      <c r="GZ36" s="108" t="n"/>
      <c r="HA36" s="107">
        <f>GZ36*100/$E$36</f>
        <v/>
      </c>
      <c r="HB36" s="108" t="n"/>
      <c r="HC36" s="107">
        <f>HB36*100/$E$36</f>
        <v/>
      </c>
      <c r="HD36" s="108" t="n"/>
      <c r="HE36" s="107">
        <f>HD36*100/$E$36</f>
        <v/>
      </c>
      <c r="HF36" s="108" t="n"/>
      <c r="HG36" s="107">
        <f>HF36*100/$E$36</f>
        <v/>
      </c>
      <c r="HH36" s="108" t="n"/>
      <c r="HI36" s="107">
        <f>HH36*100/$E$36</f>
        <v/>
      </c>
      <c r="HJ36" s="108" t="n"/>
      <c r="HK36" s="107">
        <f>HJ36*100/$E$36</f>
        <v/>
      </c>
      <c r="HL36" s="108" t="n"/>
      <c r="HM36" s="107">
        <f>HL36*100/$E$36</f>
        <v/>
      </c>
      <c r="HN36" s="108" t="n"/>
      <c r="HO36" s="107">
        <f>HN36*100/$E$36</f>
        <v/>
      </c>
      <c r="HP36" s="108" t="n"/>
      <c r="HQ36" s="107">
        <f>HP36*100/$E$36</f>
        <v/>
      </c>
      <c r="HR36" s="108" t="n"/>
      <c r="HS36" s="107">
        <f>HR36*100/$E$36</f>
        <v/>
      </c>
      <c r="HT36" s="108" t="n"/>
      <c r="HU36" s="107">
        <f>HT36*100/$E$36</f>
        <v/>
      </c>
      <c r="HV36" s="108" t="n"/>
      <c r="HW36" s="107">
        <f>HV36*100/$E$36</f>
        <v/>
      </c>
      <c r="HX36" s="108" t="n"/>
      <c r="HY36" s="107">
        <f>HX36*100/$E$36</f>
        <v/>
      </c>
      <c r="HZ36" s="108" t="n"/>
      <c r="IA36" s="122">
        <f>HZ36*100/$E$36</f>
        <v/>
      </c>
      <c r="IB36" s="108" t="n"/>
      <c r="IC36" s="122">
        <f>IB36*100/$E$36</f>
        <v/>
      </c>
      <c r="ID36" s="108" t="n"/>
      <c r="IE36" s="122">
        <f>ID36*100/$E$36</f>
        <v/>
      </c>
      <c r="IF36" s="108" t="n"/>
      <c r="IG36" s="122">
        <f>IF36*100/$E$36</f>
        <v/>
      </c>
      <c r="IH36" s="108" t="n"/>
      <c r="II36" s="122">
        <f>IH36*100/$E$36</f>
        <v/>
      </c>
      <c r="IJ36" s="108" t="n"/>
      <c r="IK36" s="122">
        <f>IJ36*100/$E$36</f>
        <v/>
      </c>
      <c r="IL36" s="108" t="n"/>
      <c r="IM36" s="107">
        <f>IL36*100/$E$36</f>
        <v/>
      </c>
      <c r="IN36" s="108" t="n"/>
      <c r="IO36" s="107">
        <f>IN36*100/$E$36</f>
        <v/>
      </c>
      <c r="IP36" s="108" t="n"/>
      <c r="IQ36" s="122">
        <f>IP36*100/$E$36</f>
        <v/>
      </c>
      <c r="IR36" s="108" t="n"/>
      <c r="IS36" s="122">
        <f>IR36*100/$E$36</f>
        <v/>
      </c>
      <c r="IT36" s="108" t="n"/>
      <c r="IU36" s="122">
        <f>IT36*100/$E$36</f>
        <v/>
      </c>
      <c r="IV36" s="108" t="n"/>
      <c r="IW36" s="122">
        <f>IV36*100/$E$36</f>
        <v/>
      </c>
      <c r="IX36" s="108" t="n"/>
      <c r="IY36" s="122">
        <f>IX36*100/$E$36</f>
        <v/>
      </c>
      <c r="IZ36" s="108" t="n"/>
      <c r="JA36" s="122">
        <f>IZ36*100/$E$36</f>
        <v/>
      </c>
      <c r="JB36" s="108" t="n"/>
      <c r="JC36" s="122">
        <f>JB36*100/$E$36</f>
        <v/>
      </c>
      <c r="JD36" s="108" t="n"/>
      <c r="JE36" s="122">
        <f>JD36*100/$E$36</f>
        <v/>
      </c>
      <c r="JF36" s="108" t="n"/>
      <c r="JG36" s="122">
        <f>JF36*100/$E$36</f>
        <v/>
      </c>
      <c r="JH36" s="108" t="n"/>
      <c r="JI36" s="122">
        <f>JH36*100/$E$36</f>
        <v/>
      </c>
      <c r="JJ36" s="108" t="n"/>
      <c r="JK36" s="122">
        <f>JJ36*100/$E$36</f>
        <v/>
      </c>
      <c r="JL36" s="108" t="n"/>
      <c r="JM36" s="122">
        <f>JL36*100/$E$36</f>
        <v/>
      </c>
      <c r="JN36" s="108" t="n"/>
      <c r="JO36" s="121">
        <f>JN36*100/$E$36</f>
        <v/>
      </c>
      <c r="JP36" s="108" t="n"/>
      <c r="JQ36" s="121">
        <f>JP36*100/$E$36</f>
        <v/>
      </c>
      <c r="JR36" s="108" t="n"/>
      <c r="JS36" s="121">
        <f>JR36*100/$E$36</f>
        <v/>
      </c>
      <c r="JT36" s="108" t="n"/>
      <c r="JU36" s="121">
        <f>JT36*100/$E$36</f>
        <v/>
      </c>
      <c r="JV36" s="108" t="n"/>
      <c r="JW36" s="121">
        <f>JV36*100/$E$36</f>
        <v/>
      </c>
      <c r="JX36" s="108" t="n"/>
      <c r="JY36" s="121">
        <f>JX36*100/$E$36</f>
        <v/>
      </c>
      <c r="JZ36" s="55">
        <f>JN36+JP36+JR36+JT36+JV36+JX36</f>
        <v/>
      </c>
      <c r="KA36" s="53">
        <f>JO36+JQ36+JS36+JU36+JW36+JY36</f>
        <v/>
      </c>
      <c r="KB36" s="64">
        <f>H36+J36+L36+N36+P36+R36+T36+V36+X36+Z36+AB36+AD36+AF36+AH36+AJ36+AL36+AN36+AP36+AR36+AT36+AV36+AX36+AZ36+BB36+BD36+BF36+BH36+BJ36+BL36+BN36+BP36+BR36+BT36+BV36+BX36+BZ36+CB36+CD36+CF36+CH36+CZ36+DB36+DD36+DF36+DH36+DJ36+DL36+DN36+DP36+DR36+DT36+DV36+DX36+DZ36+EB36+ED36+EF36+EH36+EJ36+EL36+EN36+EP36+ER36+ET36+EV36+FN36+FP36+FR36+FT36+FV36+FX36+FZ36+GB36+GD36+GF36+GH36+GJ36+GL36+GN36+GP36+GR36+GT36+GV36+GX36+GZ36+HB36+HD36+HF36+HH36+HJ36+HL36+HN36+HP36+HR36+HT36+HV36+HX36+HZ36+IB36+ID36+IF36+IH36+IJ36+IL36+IN36+IP36+IR36+IT36+IV36+IX36+IZ36+JB36+JD36+JF36+JH36+JJ36+JL36+JZ36+CJ36+CL36+CN36+CP36+CR36+CT36+CV36+CX36+EX36+EZ36+FB36+FD36+FF36+FH36+FJ36+FL36</f>
        <v/>
      </c>
      <c r="KC36" s="66">
        <f>I36+K36+M36+O36+Q36+S36+U36+W36+Y36+AA36+AC36+AE36+AG36+AI36+AK36+AM36+AO36+AQ36+AS36+AU36+AW36+AY36+BA36+BC36+BE36+BG36+BI36+BK36+BM36+BO36+BQ36+BS36+BU36+BW36+BY36+CA36+CC36+CE36+CG36+CI36+DA36+DC36+DE36+DG36+DI36+DK36+DM36+DO36+DQ36+DS36+DU36+DW36+DY36+EA36+EC36+EE36+EG36+EI36+EK36+EM36+EO36+EQ36+ES36+EU36+EW36+FO36+FS36+FU36+FW36+FQ36+FY36+GA36+GC36+GE36+GG36+GI36+GK36+GM36+GO36+GQ36+GS36+GU36+GW36+GY36+HA36+HC36+HE36+HG36+HI36+HK36+HM36+HO36+HQ36+HS36+HU36+HW36+HY36+IA36+IC36+IE36+IG36+II36+IK36+IM36+IO36+IQ36+IS36+IU36+IW36+IY36+JA36+JC36+JE36+JG36+JI36+JK36+JM36+KA36+CK36+CM36+CO36+CQ36+CS36+CU36+CW36+CY36+EY36+FA36+FC36+FE36+FG36+FI36+FK36+FM36</f>
        <v/>
      </c>
      <c r="KD36" s="44">
        <f>JO36+JQ36+JS36+JU36+JW36+JY36</f>
        <v/>
      </c>
      <c r="KE36" s="45">
        <f>KB36=E36</f>
        <v/>
      </c>
      <c r="KF36" s="101">
        <f>E36-KB36</f>
        <v/>
      </c>
      <c r="KG36" s="22" t="n"/>
    </row>
    <row r="37" ht="21.75" customFormat="1" customHeight="1" s="22">
      <c r="A37" s="126">
        <f>A36+1</f>
        <v/>
      </c>
      <c r="B37" s="175" t="inlineStr">
        <is>
          <t>Носиков А.А.</t>
        </is>
      </c>
      <c r="C37" s="194" t="inlineStr">
        <is>
          <t>Фрезеровщик</t>
        </is>
      </c>
      <c r="D37" s="177">
        <f>$D$5</f>
        <v/>
      </c>
      <c r="E37" s="202" t="n"/>
      <c r="F37" s="193" t="n">
        <v>101150.05</v>
      </c>
      <c r="G37" s="52">
        <f>F37/D37</f>
        <v/>
      </c>
      <c r="H37" s="125" t="n"/>
      <c r="I37" s="107">
        <f>H37*100/$E$37</f>
        <v/>
      </c>
      <c r="J37" s="108" t="n"/>
      <c r="K37" s="107">
        <f>J37*100/$E$37</f>
        <v/>
      </c>
      <c r="L37" s="108" t="n"/>
      <c r="M37" s="107">
        <f>L37*100/$E$37</f>
        <v/>
      </c>
      <c r="N37" s="108" t="n"/>
      <c r="O37" s="107">
        <f>N37*100/$E$37</f>
        <v/>
      </c>
      <c r="P37" s="108" t="n"/>
      <c r="Q37" s="122">
        <f>P37*100/$E$37</f>
        <v/>
      </c>
      <c r="R37" s="108" t="n"/>
      <c r="S37" s="122">
        <f>R37*100/$E$37</f>
        <v/>
      </c>
      <c r="T37" s="108" t="n"/>
      <c r="U37" s="107">
        <f>T37*100/$E$37</f>
        <v/>
      </c>
      <c r="V37" s="108" t="n"/>
      <c r="W37" s="107">
        <f>V37*100/$E$37</f>
        <v/>
      </c>
      <c r="X37" s="108" t="n"/>
      <c r="Y37" s="107">
        <f>X37*100/$E$37</f>
        <v/>
      </c>
      <c r="Z37" s="108" t="n"/>
      <c r="AA37" s="107">
        <f>Z37*100/$E$37</f>
        <v/>
      </c>
      <c r="AB37" s="108" t="n"/>
      <c r="AC37" s="107">
        <f>AB37*100/$E$37</f>
        <v/>
      </c>
      <c r="AD37" s="108" t="n"/>
      <c r="AE37" s="122">
        <f>AD37*100/$E$37</f>
        <v/>
      </c>
      <c r="AF37" s="108" t="n"/>
      <c r="AG37" s="122">
        <f>AF37*100/$E$37</f>
        <v/>
      </c>
      <c r="AH37" s="108" t="n"/>
      <c r="AI37" s="107">
        <f>AH37*100/$E$37</f>
        <v/>
      </c>
      <c r="AJ37" s="108" t="n"/>
      <c r="AK37" s="107">
        <f>AJ37*100/$E$37</f>
        <v/>
      </c>
      <c r="AL37" s="108" t="n"/>
      <c r="AM37" s="107">
        <f>AL37*100/$E$37</f>
        <v/>
      </c>
      <c r="AN37" s="108" t="n"/>
      <c r="AO37" s="107">
        <f>AN37*100/$E$37</f>
        <v/>
      </c>
      <c r="AP37" s="108" t="n"/>
      <c r="AQ37" s="107">
        <f>AP37*100/$E$37</f>
        <v/>
      </c>
      <c r="AR37" s="108" t="n"/>
      <c r="AS37" s="107">
        <f>AR37*100/$E$37</f>
        <v/>
      </c>
      <c r="AT37" s="108" t="n"/>
      <c r="AU37" s="90">
        <f>AT37*100/$E$37</f>
        <v/>
      </c>
      <c r="AV37" s="108" t="n"/>
      <c r="AW37" s="107">
        <f>AV37*100/$E$37</f>
        <v/>
      </c>
      <c r="AX37" s="108" t="n"/>
      <c r="AY37" s="107">
        <f>AX37*100/$E$37</f>
        <v/>
      </c>
      <c r="AZ37" s="108" t="n"/>
      <c r="BA37" s="107">
        <f>AZ37*100/$E$37</f>
        <v/>
      </c>
      <c r="BB37" s="108" t="n"/>
      <c r="BC37" s="107">
        <f>BB37*100/$E$37</f>
        <v/>
      </c>
      <c r="BD37" s="108" t="n"/>
      <c r="BE37" s="107">
        <f>BD37*100/$E$37</f>
        <v/>
      </c>
      <c r="BF37" s="108" t="n"/>
      <c r="BG37" s="107">
        <f>BF37*100/$E$37</f>
        <v/>
      </c>
      <c r="BH37" s="108" t="n"/>
      <c r="BI37" s="107">
        <f>BH37*100/$E$37</f>
        <v/>
      </c>
      <c r="BJ37" s="108" t="n"/>
      <c r="BK37" s="107">
        <f>BJ37*100/$E$37</f>
        <v/>
      </c>
      <c r="BL37" s="108" t="n"/>
      <c r="BM37" s="107">
        <f>BL37*100/$E$37</f>
        <v/>
      </c>
      <c r="BN37" s="108" t="n"/>
      <c r="BO37" s="107">
        <f>BN37*100/$E$37</f>
        <v/>
      </c>
      <c r="BP37" s="108" t="n"/>
      <c r="BQ37" s="107">
        <f>BP37*100/$E$37</f>
        <v/>
      </c>
      <c r="BR37" s="108" t="n"/>
      <c r="BS37" s="107">
        <f>BR37*100/$E$37</f>
        <v/>
      </c>
      <c r="BT37" s="108" t="n"/>
      <c r="BU37" s="107">
        <f>BT37*100/$E$37</f>
        <v/>
      </c>
      <c r="BV37" s="108" t="n"/>
      <c r="BW37" s="107">
        <f>BV37*100/$E$37</f>
        <v/>
      </c>
      <c r="BX37" s="108" t="n"/>
      <c r="BY37" s="107">
        <f>BX37*100/$E$37</f>
        <v/>
      </c>
      <c r="BZ37" s="108" t="n"/>
      <c r="CA37" s="107">
        <f>BZ37*100/$E$37</f>
        <v/>
      </c>
      <c r="CB37" s="108" t="n"/>
      <c r="CC37" s="107">
        <f>CB37*100/$E$37</f>
        <v/>
      </c>
      <c r="CD37" s="108" t="n"/>
      <c r="CE37" s="107">
        <f>CD37*100/$E$37</f>
        <v/>
      </c>
      <c r="CF37" s="108" t="n"/>
      <c r="CG37" s="107">
        <f>CF37*100/$E$37</f>
        <v/>
      </c>
      <c r="CH37" s="108" t="n"/>
      <c r="CI37" s="107">
        <f>CH37*100/$E$37</f>
        <v/>
      </c>
      <c r="CJ37" s="108" t="n"/>
      <c r="CK37" s="107">
        <f>CJ37*100/$E$37</f>
        <v/>
      </c>
      <c r="CL37" s="108" t="n"/>
      <c r="CM37" s="107">
        <f>CL37*100/$E$37</f>
        <v/>
      </c>
      <c r="CN37" s="108" t="n"/>
      <c r="CO37" s="122">
        <f>CN37*100/$E$37</f>
        <v/>
      </c>
      <c r="CP37" s="108" t="n"/>
      <c r="CQ37" s="107">
        <f>CP37*100/$E$37</f>
        <v/>
      </c>
      <c r="CR37" s="108" t="n"/>
      <c r="CS37" s="122">
        <f>CR37*100/$E$37</f>
        <v/>
      </c>
      <c r="CT37" s="108" t="n"/>
      <c r="CU37" s="122">
        <f>CT37*100/$E$37</f>
        <v/>
      </c>
      <c r="CV37" s="108" t="n"/>
      <c r="CW37" s="122">
        <f>CV37*100/$E$37</f>
        <v/>
      </c>
      <c r="CX37" s="108" t="n"/>
      <c r="CY37" s="122">
        <f>CX37*100/$E$37</f>
        <v/>
      </c>
      <c r="CZ37" s="108" t="n"/>
      <c r="DA37" s="122">
        <f>CZ37*100/$E$37</f>
        <v/>
      </c>
      <c r="DB37" s="108" t="n"/>
      <c r="DC37" s="122">
        <f>DB37*100/$E$37</f>
        <v/>
      </c>
      <c r="DD37" s="108" t="n"/>
      <c r="DE37" s="122">
        <f>DD37*100/$E$37</f>
        <v/>
      </c>
      <c r="DF37" s="108" t="n"/>
      <c r="DG37" s="122">
        <f>DF37*100/$E$37</f>
        <v/>
      </c>
      <c r="DH37" s="108" t="n"/>
      <c r="DI37" s="122">
        <f>DH37*100/$E$37</f>
        <v/>
      </c>
      <c r="DJ37" s="108" t="n"/>
      <c r="DK37" s="122">
        <f>DJ37*100/$E$37</f>
        <v/>
      </c>
      <c r="DL37" s="108" t="n"/>
      <c r="DM37" s="122">
        <f>DL37*100/$E$37</f>
        <v/>
      </c>
      <c r="DN37" s="108" t="n"/>
      <c r="DO37" s="122">
        <f>DN37*100/$E$37</f>
        <v/>
      </c>
      <c r="DP37" s="108" t="n"/>
      <c r="DQ37" s="122">
        <f>DP37*100/$E$37</f>
        <v/>
      </c>
      <c r="DR37" s="108" t="n"/>
      <c r="DS37" s="122">
        <f>DR37*100/$E$37</f>
        <v/>
      </c>
      <c r="DT37" s="108" t="n"/>
      <c r="DU37" s="122">
        <f>DT37*100/$E$37</f>
        <v/>
      </c>
      <c r="DV37" s="108" t="n"/>
      <c r="DW37" s="122">
        <f>DV37*100/$E$37</f>
        <v/>
      </c>
      <c r="DX37" s="108" t="n"/>
      <c r="DY37" s="122">
        <f>DX37*100/$E$37</f>
        <v/>
      </c>
      <c r="DZ37" s="108" t="n"/>
      <c r="EA37" s="122">
        <f>DZ37*100/$E$37</f>
        <v/>
      </c>
      <c r="EB37" s="108" t="n"/>
      <c r="EC37" s="122">
        <f>EB37*100/$E$37</f>
        <v/>
      </c>
      <c r="ED37" s="108" t="n"/>
      <c r="EE37" s="122">
        <f>ED37*100/$E$37</f>
        <v/>
      </c>
      <c r="EF37" s="108" t="n"/>
      <c r="EG37" s="122">
        <f>EF37*100/$E$37</f>
        <v/>
      </c>
      <c r="EH37" s="108" t="n"/>
      <c r="EI37" s="122">
        <f>EH37*100/$E$37</f>
        <v/>
      </c>
      <c r="EJ37" s="108" t="n"/>
      <c r="EK37" s="122">
        <f>EJ37*100/$E$37</f>
        <v/>
      </c>
      <c r="EL37" s="108" t="n"/>
      <c r="EM37" s="122">
        <f>EL37*100/$E$37</f>
        <v/>
      </c>
      <c r="EN37" s="108" t="n"/>
      <c r="EO37" s="122">
        <f>EN37*100/$E$37</f>
        <v/>
      </c>
      <c r="EP37" s="108" t="n"/>
      <c r="EQ37" s="122">
        <f>EP37*100/$E$37</f>
        <v/>
      </c>
      <c r="ER37" s="108" t="n"/>
      <c r="ES37" s="122">
        <f>ER37*100/$E$37</f>
        <v/>
      </c>
      <c r="ET37" s="108" t="n"/>
      <c r="EU37" s="122">
        <f>ET37*100/$E$37</f>
        <v/>
      </c>
      <c r="EV37" s="108" t="n"/>
      <c r="EW37" s="122">
        <f>EV37*100/$E$37</f>
        <v/>
      </c>
      <c r="EX37" s="108" t="n"/>
      <c r="EY37" s="122">
        <f>EX37*100/$E$37</f>
        <v/>
      </c>
      <c r="EZ37" s="108" t="n"/>
      <c r="FA37" s="122">
        <f>EZ37*100/$E$37</f>
        <v/>
      </c>
      <c r="FB37" s="108" t="n"/>
      <c r="FC37" s="122">
        <f>FB37*100/$E$37</f>
        <v/>
      </c>
      <c r="FD37" s="108" t="n"/>
      <c r="FE37" s="122">
        <f>FD37*100/$E$37</f>
        <v/>
      </c>
      <c r="FF37" s="108" t="n"/>
      <c r="FG37" s="122">
        <f>FF37*100/$E$37</f>
        <v/>
      </c>
      <c r="FH37" s="108" t="n"/>
      <c r="FI37" s="122">
        <f>FH37*100/$E$37</f>
        <v/>
      </c>
      <c r="FJ37" s="108" t="n"/>
      <c r="FK37" s="122">
        <f>FJ37*100/$E$37</f>
        <v/>
      </c>
      <c r="FL37" s="108" t="n"/>
      <c r="FM37" s="122">
        <f>FL37*100/$E$37</f>
        <v/>
      </c>
      <c r="FN37" s="108" t="n"/>
      <c r="FO37" s="122">
        <f>FN37*100/$E$37</f>
        <v/>
      </c>
      <c r="FP37" s="108" t="n"/>
      <c r="FQ37" s="122">
        <f>FP37*100/$E$37</f>
        <v/>
      </c>
      <c r="FR37" s="108" t="n"/>
      <c r="FS37" s="122">
        <f>FR37*100/$E$37</f>
        <v/>
      </c>
      <c r="FT37" s="108" t="n"/>
      <c r="FU37" s="122">
        <f>FT37*100/$E$37</f>
        <v/>
      </c>
      <c r="FV37" s="108" t="n"/>
      <c r="FW37" s="122">
        <f>FV37*100/$E$37</f>
        <v/>
      </c>
      <c r="FX37" s="108" t="n"/>
      <c r="FY37" s="107">
        <f>FX37*100/$E$37</f>
        <v/>
      </c>
      <c r="FZ37" s="108" t="n"/>
      <c r="GA37" s="107">
        <f>FZ37*100/$E$37</f>
        <v/>
      </c>
      <c r="GB37" s="108" t="n"/>
      <c r="GC37" s="107">
        <f>GB37*100/$E$37</f>
        <v/>
      </c>
      <c r="GD37" s="108" t="n"/>
      <c r="GE37" s="107">
        <f>GD37*100/$E$37</f>
        <v/>
      </c>
      <c r="GF37" s="108" t="n"/>
      <c r="GG37" s="107">
        <f>GF37*100/$E$37</f>
        <v/>
      </c>
      <c r="GH37" s="108" t="n"/>
      <c r="GI37" s="107">
        <f>GH37*100/$E$37</f>
        <v/>
      </c>
      <c r="GJ37" s="108" t="n"/>
      <c r="GK37" s="122">
        <f>GJ37*100/$E$37</f>
        <v/>
      </c>
      <c r="GL37" s="108" t="n"/>
      <c r="GM37" s="107">
        <f>GL37*100/$E$37</f>
        <v/>
      </c>
      <c r="GN37" s="108" t="n"/>
      <c r="GO37" s="122">
        <f>GN37*100/$E$37</f>
        <v/>
      </c>
      <c r="GP37" s="108" t="n"/>
      <c r="GQ37" s="107">
        <f>GP37*100/$E$37</f>
        <v/>
      </c>
      <c r="GR37" s="108" t="n"/>
      <c r="GS37" s="122">
        <f>GR37*100/$E$37</f>
        <v/>
      </c>
      <c r="GT37" s="108" t="n"/>
      <c r="GU37" s="122">
        <f>GT37*100/$E$37</f>
        <v/>
      </c>
      <c r="GV37" s="108" t="n"/>
      <c r="GW37" s="122">
        <f>GV37*100/$E$37</f>
        <v/>
      </c>
      <c r="GX37" s="108" t="n"/>
      <c r="GY37" s="107">
        <f>GX37*100/$E$37</f>
        <v/>
      </c>
      <c r="GZ37" s="108" t="n"/>
      <c r="HA37" s="107">
        <f>GZ37*100/$E$37</f>
        <v/>
      </c>
      <c r="HB37" s="108" t="n"/>
      <c r="HC37" s="107">
        <f>HB37*100/$E$37</f>
        <v/>
      </c>
      <c r="HD37" s="108" t="n"/>
      <c r="HE37" s="107">
        <f>HD37*100/$E$37</f>
        <v/>
      </c>
      <c r="HF37" s="108" t="n"/>
      <c r="HG37" s="107">
        <f>HF37*100/$E$37</f>
        <v/>
      </c>
      <c r="HH37" s="108" t="n"/>
      <c r="HI37" s="107">
        <f>HH37*100/$E$37</f>
        <v/>
      </c>
      <c r="HJ37" s="108" t="n"/>
      <c r="HK37" s="107">
        <f>HJ37*100/$E$37</f>
        <v/>
      </c>
      <c r="HL37" s="108" t="n"/>
      <c r="HM37" s="107">
        <f>HL37*100/$E$37</f>
        <v/>
      </c>
      <c r="HN37" s="108" t="n"/>
      <c r="HO37" s="107">
        <f>HN37*100/$E$37</f>
        <v/>
      </c>
      <c r="HP37" s="108" t="n"/>
      <c r="HQ37" s="107">
        <f>HP37*100/$E$37</f>
        <v/>
      </c>
      <c r="HR37" s="108" t="n"/>
      <c r="HS37" s="107">
        <f>HR37*100/$E$37</f>
        <v/>
      </c>
      <c r="HT37" s="108" t="n"/>
      <c r="HU37" s="107">
        <f>HT37*100/$E$37</f>
        <v/>
      </c>
      <c r="HV37" s="108" t="n"/>
      <c r="HW37" s="107">
        <f>HV37*100/$E$37</f>
        <v/>
      </c>
      <c r="HX37" s="108" t="n"/>
      <c r="HY37" s="107">
        <f>HX37*100/$E$37</f>
        <v/>
      </c>
      <c r="HZ37" s="108" t="n"/>
      <c r="IA37" s="122">
        <f>HZ37*100/$E$37</f>
        <v/>
      </c>
      <c r="IB37" s="108" t="n"/>
      <c r="IC37" s="122">
        <f>IB37*100/$E$37</f>
        <v/>
      </c>
      <c r="ID37" s="108" t="n"/>
      <c r="IE37" s="122">
        <f>ID37*100/$E$37</f>
        <v/>
      </c>
      <c r="IF37" s="108" t="n"/>
      <c r="IG37" s="122">
        <f>IF37*100/$E$37</f>
        <v/>
      </c>
      <c r="IH37" s="108" t="n"/>
      <c r="II37" s="122">
        <f>IH37*100/$E$37</f>
        <v/>
      </c>
      <c r="IJ37" s="108" t="n"/>
      <c r="IK37" s="122">
        <f>IJ37*100/$E$37</f>
        <v/>
      </c>
      <c r="IL37" s="108" t="n"/>
      <c r="IM37" s="107">
        <f>IL37*100/$E$37</f>
        <v/>
      </c>
      <c r="IN37" s="108" t="n"/>
      <c r="IO37" s="107">
        <f>IN37*100/$E$37</f>
        <v/>
      </c>
      <c r="IP37" s="108" t="n"/>
      <c r="IQ37" s="122">
        <f>IP37*100/$E$37</f>
        <v/>
      </c>
      <c r="IR37" s="108" t="n"/>
      <c r="IS37" s="122">
        <f>IR37*100/$E$37</f>
        <v/>
      </c>
      <c r="IT37" s="108" t="n"/>
      <c r="IU37" s="122">
        <f>IT37*100/$E$37</f>
        <v/>
      </c>
      <c r="IV37" s="108" t="n"/>
      <c r="IW37" s="122">
        <f>IV37*100/$E$37</f>
        <v/>
      </c>
      <c r="IX37" s="108" t="n"/>
      <c r="IY37" s="122">
        <f>IX37*100/$E$37</f>
        <v/>
      </c>
      <c r="IZ37" s="108" t="n"/>
      <c r="JA37" s="122">
        <f>IZ37*100/$E$37</f>
        <v/>
      </c>
      <c r="JB37" s="108" t="n"/>
      <c r="JC37" s="122">
        <f>JB37*100/$E$37</f>
        <v/>
      </c>
      <c r="JD37" s="108" t="n"/>
      <c r="JE37" s="122">
        <f>JD37*100/$E$37</f>
        <v/>
      </c>
      <c r="JF37" s="108" t="n"/>
      <c r="JG37" s="122">
        <f>JF37*100/$E$37</f>
        <v/>
      </c>
      <c r="JH37" s="108" t="n"/>
      <c r="JI37" s="122">
        <f>JH37*100/$E$37</f>
        <v/>
      </c>
      <c r="JJ37" s="108" t="n"/>
      <c r="JK37" s="122">
        <f>JJ37*100/$E$37</f>
        <v/>
      </c>
      <c r="JL37" s="108" t="n"/>
      <c r="JM37" s="122">
        <f>JL37*100/$E$37</f>
        <v/>
      </c>
      <c r="JN37" s="108" t="n"/>
      <c r="JO37" s="121">
        <f>JN37*100/$E$37</f>
        <v/>
      </c>
      <c r="JP37" s="108" t="n"/>
      <c r="JQ37" s="121">
        <f>JP37*100/$E$37</f>
        <v/>
      </c>
      <c r="JR37" s="108" t="n"/>
      <c r="JS37" s="121">
        <f>JR37*100/$E$37</f>
        <v/>
      </c>
      <c r="JT37" s="108" t="n"/>
      <c r="JU37" s="121">
        <f>JT37*100/$E$37</f>
        <v/>
      </c>
      <c r="JV37" s="117" t="n"/>
      <c r="JW37" s="121">
        <f>JV37*100/$E$37</f>
        <v/>
      </c>
      <c r="JX37" s="117" t="n"/>
      <c r="JY37" s="121">
        <f>JX37*100/$E$37</f>
        <v/>
      </c>
      <c r="JZ37" s="55">
        <f>JN37+JP37+JR37+JT37+JV37+JX37</f>
        <v/>
      </c>
      <c r="KA37" s="53">
        <f>JO37+JQ37+JS37+JU37+JW37+JY37</f>
        <v/>
      </c>
      <c r="KB37" s="64">
        <f>H37+J37+L37+N37+P37+R37+T37+V37+X37+Z37+AB37+AD37+AF37+AH37+AJ37+AL37+AN37+AP37+AR37+AT37+AV37+AX37+AZ37+BB37+BD37+BF37+BH37+BJ37+BL37+BN37+BP37+BR37+BT37+BV37+BX37+BZ37+CB37+CD37+CF37+CH37+CZ37+DB37+DD37+DF37+DH37+DJ37+DL37+DN37+DP37+DR37+DT37+DV37+DX37+DZ37+EB37+ED37+EF37+EH37+EJ37+EL37+EN37+EP37+ER37+ET37+EV37+FN37+FP37+FR37+FT37+FV37+FX37+FZ37+GB37+GD37+GF37+GH37+GJ37+GL37+GN37+GP37+GR37+GT37+GV37+GX37+GZ37+HB37+HD37+HF37+HH37+HJ37+HL37+HN37+HP37+HR37+HT37+HV37+HX37+HZ37+IB37+ID37+IF37+IH37+IJ37+IL37+IN37+IP37+IR37+IT37+IV37+IX37+IZ37+JB37+JD37+JF37+JH37+JJ37+JL37+JZ37+CJ37+CL37+CN37+CP37+CR37+CT37+CV37+CX37+EX37+EZ37+FB37+FD37+FF37+FH37+FJ37+FL37</f>
        <v/>
      </c>
      <c r="KC37" s="66">
        <f>I37+K37+M37+O37+Q37+S37+U37+W37+Y37+AA37+AC37+AE37+AG37+AI37+AK37+AM37+AO37+AQ37+AS37+AU37+AW37+AY37+BA37+BC37+BE37+BG37+BI37+BK37+BM37+BO37+BQ37+BS37+BU37+BW37+BY37+CA37+CC37+CE37+CG37+CI37+DA37+DC37+DE37+DG37+DI37+DK37+DM37+DO37+DQ37+DS37+DU37+DW37+DY37+EA37+EC37+EE37+EG37+EI37+EK37+EM37+EO37+EQ37+ES37+EU37+EW37+FO37+FS37+FU37+FW37+FQ37+FY37+GA37+GC37+GE37+GG37+GI37+GK37+GM37+GO37+GQ37+GS37+GU37+GW37+GY37+HA37+HC37+HE37+HG37+HI37+HK37+HM37+HO37+HQ37+HS37+HU37+HW37+HY37+IA37+IC37+IE37+IG37+II37+IK37+IM37+IO37+IQ37+IS37+IU37+IW37+IY37+JA37+JC37+JE37+JG37+JI37+JK37+JM37+KA37+CK37+CM37+CO37+CQ37+CS37+CU37+CW37+CY37+EY37+FA37+FC37+FE37+FG37+FI37+FK37+FM37</f>
        <v/>
      </c>
      <c r="KD37" s="44">
        <f>JO37+JQ37+JS37+JU37+JW37+JY37</f>
        <v/>
      </c>
      <c r="KE37" s="45">
        <f>KB37=E37</f>
        <v/>
      </c>
      <c r="KF37" s="101">
        <f>E37-KB37</f>
        <v/>
      </c>
      <c r="KG37" s="25" t="n"/>
    </row>
    <row r="38" ht="21.75" customFormat="1" customHeight="1" s="25">
      <c r="A38" s="126">
        <f>A37+1</f>
        <v/>
      </c>
      <c r="B38" s="175" t="inlineStr">
        <is>
          <t>Ряснов С.О.</t>
        </is>
      </c>
      <c r="C38" s="176" t="inlineStr">
        <is>
          <t>Фрезеровщик</t>
        </is>
      </c>
      <c r="D38" s="177">
        <f>$D$5</f>
        <v/>
      </c>
      <c r="E38" s="202" t="n"/>
      <c r="F38" s="193" t="n">
        <v>63219</v>
      </c>
      <c r="G38" s="52">
        <f>F38/D38</f>
        <v/>
      </c>
      <c r="H38" s="125" t="n"/>
      <c r="I38" s="107">
        <f>H38*100/$E$38</f>
        <v/>
      </c>
      <c r="J38" s="108" t="n"/>
      <c r="K38" s="107">
        <f>J38*100/$E$38</f>
        <v/>
      </c>
      <c r="L38" s="108" t="n"/>
      <c r="M38" s="107">
        <f>L38*100/$E$38</f>
        <v/>
      </c>
      <c r="N38" s="108" t="n"/>
      <c r="O38" s="107">
        <f>N38*100/$E$38</f>
        <v/>
      </c>
      <c r="P38" s="108" t="n"/>
      <c r="Q38" s="122">
        <f>P38*100/$E$38</f>
        <v/>
      </c>
      <c r="R38" s="108" t="n"/>
      <c r="S38" s="122">
        <f>R38*100/$E$38</f>
        <v/>
      </c>
      <c r="T38" s="108" t="n"/>
      <c r="U38" s="107">
        <f>T38*100/$E$38</f>
        <v/>
      </c>
      <c r="V38" s="108" t="n"/>
      <c r="W38" s="107">
        <f>V38*100/$E$38</f>
        <v/>
      </c>
      <c r="X38" s="108" t="n"/>
      <c r="Y38" s="107">
        <f>X38*100/$E$38</f>
        <v/>
      </c>
      <c r="Z38" s="108" t="n"/>
      <c r="AA38" s="107">
        <f>Z38*100/$E$38</f>
        <v/>
      </c>
      <c r="AB38" s="108" t="n"/>
      <c r="AC38" s="107">
        <f>AB38*100/$E$38</f>
        <v/>
      </c>
      <c r="AD38" s="108" t="n"/>
      <c r="AE38" s="122">
        <f>AD38*100/$E$38</f>
        <v/>
      </c>
      <c r="AF38" s="108" t="n"/>
      <c r="AG38" s="122">
        <f>AF38*100/$E$38</f>
        <v/>
      </c>
      <c r="AH38" s="108" t="n"/>
      <c r="AI38" s="107">
        <f>AH38*100/$E$38</f>
        <v/>
      </c>
      <c r="AJ38" s="108" t="n"/>
      <c r="AK38" s="107">
        <f>AJ38*100/$E$38</f>
        <v/>
      </c>
      <c r="AL38" s="108" t="n"/>
      <c r="AM38" s="107">
        <f>AL38*100/$E$38</f>
        <v/>
      </c>
      <c r="AN38" s="108" t="n"/>
      <c r="AO38" s="107">
        <f>AN38*100/$E$38</f>
        <v/>
      </c>
      <c r="AP38" s="108" t="n"/>
      <c r="AQ38" s="107">
        <f>AP38*100/$E$38</f>
        <v/>
      </c>
      <c r="AR38" s="108" t="n"/>
      <c r="AS38" s="107">
        <f>AR38*100/$E$38</f>
        <v/>
      </c>
      <c r="AT38" s="108" t="n"/>
      <c r="AU38" s="90">
        <f>AT38*100/$E$38</f>
        <v/>
      </c>
      <c r="AV38" s="108" t="n"/>
      <c r="AW38" s="107">
        <f>AV38*100/$E$38</f>
        <v/>
      </c>
      <c r="AX38" s="108" t="n"/>
      <c r="AY38" s="107">
        <f>AX38*100/$E$38</f>
        <v/>
      </c>
      <c r="AZ38" s="108" t="n"/>
      <c r="BA38" s="107">
        <f>AZ38*100/$E$38</f>
        <v/>
      </c>
      <c r="BB38" s="108" t="n"/>
      <c r="BC38" s="107">
        <f>BB38*100/$E$38</f>
        <v/>
      </c>
      <c r="BD38" s="108" t="n"/>
      <c r="BE38" s="107">
        <f>BD38*100/$E$38</f>
        <v/>
      </c>
      <c r="BF38" s="108" t="n"/>
      <c r="BG38" s="107">
        <f>BF38*100/$E$38</f>
        <v/>
      </c>
      <c r="BH38" s="108" t="n"/>
      <c r="BI38" s="107">
        <f>BH38*100/$E$38</f>
        <v/>
      </c>
      <c r="BJ38" s="108" t="n"/>
      <c r="BK38" s="107">
        <f>BJ38*100/$E$38</f>
        <v/>
      </c>
      <c r="BL38" s="108" t="n"/>
      <c r="BM38" s="107">
        <f>BL38*100/$E$38</f>
        <v/>
      </c>
      <c r="BN38" s="108" t="n"/>
      <c r="BO38" s="107">
        <f>BN38*100/$E$38</f>
        <v/>
      </c>
      <c r="BP38" s="108" t="n"/>
      <c r="BQ38" s="107">
        <f>BP38*100/$E$38</f>
        <v/>
      </c>
      <c r="BR38" s="108" t="n"/>
      <c r="BS38" s="107">
        <f>BR38*100/$E$38</f>
        <v/>
      </c>
      <c r="BT38" s="108" t="n"/>
      <c r="BU38" s="107">
        <f>BT38*100/$E$38</f>
        <v/>
      </c>
      <c r="BV38" s="108" t="n"/>
      <c r="BW38" s="107">
        <f>BV38*100/$E$38</f>
        <v/>
      </c>
      <c r="BX38" s="108" t="n"/>
      <c r="BY38" s="107">
        <f>BX38*100/$E$38</f>
        <v/>
      </c>
      <c r="BZ38" s="108" t="n"/>
      <c r="CA38" s="107">
        <f>BZ38*100/$E$38</f>
        <v/>
      </c>
      <c r="CB38" s="108" t="n"/>
      <c r="CC38" s="107">
        <f>CB38*100/$E$38</f>
        <v/>
      </c>
      <c r="CD38" s="108" t="n"/>
      <c r="CE38" s="107">
        <f>CD38*100/$E$38</f>
        <v/>
      </c>
      <c r="CF38" s="108" t="n"/>
      <c r="CG38" s="107">
        <f>CF38*100/$E$38</f>
        <v/>
      </c>
      <c r="CH38" s="108" t="n"/>
      <c r="CI38" s="107">
        <f>CH38*100/$E$38</f>
        <v/>
      </c>
      <c r="CJ38" s="108" t="n"/>
      <c r="CK38" s="107">
        <f>CJ38*100/$E$38</f>
        <v/>
      </c>
      <c r="CL38" s="108" t="n"/>
      <c r="CM38" s="107">
        <f>CL38*100/$E$38</f>
        <v/>
      </c>
      <c r="CN38" s="108" t="n"/>
      <c r="CO38" s="122">
        <f>CN38*100/$E$38</f>
        <v/>
      </c>
      <c r="CP38" s="108" t="n"/>
      <c r="CQ38" s="107">
        <f>CP38*100/$E$38</f>
        <v/>
      </c>
      <c r="CR38" s="108" t="n"/>
      <c r="CS38" s="122">
        <f>CR38*100/$E$38</f>
        <v/>
      </c>
      <c r="CT38" s="108" t="n"/>
      <c r="CU38" s="122">
        <f>CT38*100/$E$38</f>
        <v/>
      </c>
      <c r="CV38" s="108" t="n"/>
      <c r="CW38" s="122">
        <f>CV38*100/$E$38</f>
        <v/>
      </c>
      <c r="CX38" s="108" t="n"/>
      <c r="CY38" s="122">
        <f>CX38*100/$E$38</f>
        <v/>
      </c>
      <c r="CZ38" s="108" t="n"/>
      <c r="DA38" s="122">
        <f>CZ38*100/$E$38</f>
        <v/>
      </c>
      <c r="DB38" s="108" t="n"/>
      <c r="DC38" s="122">
        <f>DB38*100/$E$38</f>
        <v/>
      </c>
      <c r="DD38" s="108" t="n"/>
      <c r="DE38" s="122">
        <f>DD38*100/$E$38</f>
        <v/>
      </c>
      <c r="DF38" s="108" t="n"/>
      <c r="DG38" s="122">
        <f>DF38*100/$E$38</f>
        <v/>
      </c>
      <c r="DH38" s="108" t="n"/>
      <c r="DI38" s="122">
        <f>DH38*100/$E$38</f>
        <v/>
      </c>
      <c r="DJ38" s="108" t="n"/>
      <c r="DK38" s="122">
        <f>DJ38*100/$E$38</f>
        <v/>
      </c>
      <c r="DL38" s="108" t="n"/>
      <c r="DM38" s="122">
        <f>DL38*100/$E$38</f>
        <v/>
      </c>
      <c r="DN38" s="108" t="n"/>
      <c r="DO38" s="122">
        <f>DN38*100/$E$38</f>
        <v/>
      </c>
      <c r="DP38" s="108" t="n"/>
      <c r="DQ38" s="122">
        <f>DP38*100/$E$38</f>
        <v/>
      </c>
      <c r="DR38" s="108" t="n"/>
      <c r="DS38" s="122">
        <f>DR38*100/$E$38</f>
        <v/>
      </c>
      <c r="DT38" s="108" t="n"/>
      <c r="DU38" s="122">
        <f>DT38*100/$E$38</f>
        <v/>
      </c>
      <c r="DV38" s="108" t="n"/>
      <c r="DW38" s="122">
        <f>DV38*100/$E$38</f>
        <v/>
      </c>
      <c r="DX38" s="108" t="n"/>
      <c r="DY38" s="122">
        <f>DX38*100/$E$38</f>
        <v/>
      </c>
      <c r="DZ38" s="108" t="n"/>
      <c r="EA38" s="122">
        <f>DZ38*100/$E$38</f>
        <v/>
      </c>
      <c r="EB38" s="108" t="n"/>
      <c r="EC38" s="122">
        <f>EB38*100/$E$38</f>
        <v/>
      </c>
      <c r="ED38" s="108" t="n"/>
      <c r="EE38" s="122">
        <f>ED38*100/$E$38</f>
        <v/>
      </c>
      <c r="EF38" s="108" t="n"/>
      <c r="EG38" s="122">
        <f>EF38*100/$E$38</f>
        <v/>
      </c>
      <c r="EH38" s="108" t="n"/>
      <c r="EI38" s="122">
        <f>EH38*100/$E$38</f>
        <v/>
      </c>
      <c r="EJ38" s="108" t="n"/>
      <c r="EK38" s="122">
        <f>EJ38*100/$E$38</f>
        <v/>
      </c>
      <c r="EL38" s="108" t="n"/>
      <c r="EM38" s="122">
        <f>EL38*100/$E$38</f>
        <v/>
      </c>
      <c r="EN38" s="108" t="n"/>
      <c r="EO38" s="122">
        <f>EN38*100/$E$38</f>
        <v/>
      </c>
      <c r="EP38" s="108" t="n"/>
      <c r="EQ38" s="122">
        <f>EP38*100/$E$38</f>
        <v/>
      </c>
      <c r="ER38" s="108" t="n"/>
      <c r="ES38" s="122">
        <f>ER38*100/$E$38</f>
        <v/>
      </c>
      <c r="ET38" s="108" t="n"/>
      <c r="EU38" s="122">
        <f>ET38*100/$E$38</f>
        <v/>
      </c>
      <c r="EV38" s="108" t="n"/>
      <c r="EW38" s="122">
        <f>EV38*100/$E$38</f>
        <v/>
      </c>
      <c r="EX38" s="108" t="n"/>
      <c r="EY38" s="122">
        <f>EX38*100/$E$38</f>
        <v/>
      </c>
      <c r="EZ38" s="108" t="n"/>
      <c r="FA38" s="122">
        <f>EZ38*100/$E$38</f>
        <v/>
      </c>
      <c r="FB38" s="108" t="n"/>
      <c r="FC38" s="122">
        <f>FB38*100/$E$38</f>
        <v/>
      </c>
      <c r="FD38" s="108" t="n"/>
      <c r="FE38" s="122">
        <f>FD38*100/$E$38</f>
        <v/>
      </c>
      <c r="FF38" s="108" t="n"/>
      <c r="FG38" s="122">
        <f>FF38*100/$E$38</f>
        <v/>
      </c>
      <c r="FH38" s="108" t="n"/>
      <c r="FI38" s="122">
        <f>FH38*100/$E$38</f>
        <v/>
      </c>
      <c r="FJ38" s="108" t="n"/>
      <c r="FK38" s="122">
        <f>FJ38*100/$E$38</f>
        <v/>
      </c>
      <c r="FL38" s="108" t="n"/>
      <c r="FM38" s="122">
        <f>FL38*100/$E$38</f>
        <v/>
      </c>
      <c r="FN38" s="108" t="n"/>
      <c r="FO38" s="122">
        <f>FN38*100/$E$38</f>
        <v/>
      </c>
      <c r="FP38" s="108" t="n"/>
      <c r="FQ38" s="122">
        <f>FP38*100/$E$38</f>
        <v/>
      </c>
      <c r="FR38" s="108" t="n"/>
      <c r="FS38" s="122">
        <f>FR38*100/$E$38</f>
        <v/>
      </c>
      <c r="FT38" s="108" t="n"/>
      <c r="FU38" s="122">
        <f>FT38*100/$E$38</f>
        <v/>
      </c>
      <c r="FV38" s="108" t="n"/>
      <c r="FW38" s="122">
        <f>FV38*100/$E$38</f>
        <v/>
      </c>
      <c r="FX38" s="108" t="n"/>
      <c r="FY38" s="107">
        <f>FX38*100/$E$38</f>
        <v/>
      </c>
      <c r="FZ38" s="108" t="n"/>
      <c r="GA38" s="107">
        <f>FZ38*100/$E$38</f>
        <v/>
      </c>
      <c r="GB38" s="108" t="n"/>
      <c r="GC38" s="107">
        <f>GB38*100/$E$38</f>
        <v/>
      </c>
      <c r="GD38" s="108" t="n"/>
      <c r="GE38" s="107">
        <f>GD38*100/$E$38</f>
        <v/>
      </c>
      <c r="GF38" s="108" t="n"/>
      <c r="GG38" s="107">
        <f>GF38*100/$E$38</f>
        <v/>
      </c>
      <c r="GH38" s="108" t="n"/>
      <c r="GI38" s="107">
        <f>GH38*100/$E$38</f>
        <v/>
      </c>
      <c r="GJ38" s="108" t="n"/>
      <c r="GK38" s="122">
        <f>GJ38*100/$E$38</f>
        <v/>
      </c>
      <c r="GL38" s="108" t="n"/>
      <c r="GM38" s="107">
        <f>GL38*100/$E$38</f>
        <v/>
      </c>
      <c r="GN38" s="108" t="n"/>
      <c r="GO38" s="122">
        <f>GN38*100/$E$38</f>
        <v/>
      </c>
      <c r="GP38" s="108" t="n"/>
      <c r="GQ38" s="107">
        <f>GP38*100/$E$38</f>
        <v/>
      </c>
      <c r="GR38" s="108" t="n"/>
      <c r="GS38" s="122">
        <f>GR38*100/$E$38</f>
        <v/>
      </c>
      <c r="GT38" s="108" t="n"/>
      <c r="GU38" s="122">
        <f>GT38*100/$E$38</f>
        <v/>
      </c>
      <c r="GV38" s="108" t="n"/>
      <c r="GW38" s="122">
        <f>GV38*100/$E$38</f>
        <v/>
      </c>
      <c r="GX38" s="108" t="n"/>
      <c r="GY38" s="107">
        <f>GX38*100/$E$38</f>
        <v/>
      </c>
      <c r="GZ38" s="108" t="n"/>
      <c r="HA38" s="107">
        <f>GZ38*100/$E$38</f>
        <v/>
      </c>
      <c r="HB38" s="108" t="n"/>
      <c r="HC38" s="107">
        <f>HB38*100/$E$38</f>
        <v/>
      </c>
      <c r="HD38" s="108" t="n"/>
      <c r="HE38" s="107">
        <f>HD38*100/$E$38</f>
        <v/>
      </c>
      <c r="HF38" s="108" t="n"/>
      <c r="HG38" s="107">
        <f>HF38*100/$E$38</f>
        <v/>
      </c>
      <c r="HH38" s="108" t="n"/>
      <c r="HI38" s="107">
        <f>HH38*100/$E$38</f>
        <v/>
      </c>
      <c r="HJ38" s="108" t="n"/>
      <c r="HK38" s="107">
        <f>HJ38*100/$E$38</f>
        <v/>
      </c>
      <c r="HL38" s="108" t="n"/>
      <c r="HM38" s="107">
        <f>HL38*100/$E$38</f>
        <v/>
      </c>
      <c r="HN38" s="108" t="n"/>
      <c r="HO38" s="107">
        <f>HN38*100/$E$38</f>
        <v/>
      </c>
      <c r="HP38" s="108" t="n"/>
      <c r="HQ38" s="107">
        <f>HP38*100/$E$38</f>
        <v/>
      </c>
      <c r="HR38" s="108" t="n"/>
      <c r="HS38" s="107">
        <f>HR38*100/$E$38</f>
        <v/>
      </c>
      <c r="HT38" s="108" t="n"/>
      <c r="HU38" s="107">
        <f>HT38*100/$E$38</f>
        <v/>
      </c>
      <c r="HV38" s="108" t="n"/>
      <c r="HW38" s="107">
        <f>HV38*100/$E$38</f>
        <v/>
      </c>
      <c r="HX38" s="108" t="n"/>
      <c r="HY38" s="107">
        <f>HX38*100/$E$38</f>
        <v/>
      </c>
      <c r="HZ38" s="108" t="n"/>
      <c r="IA38" s="122">
        <f>HZ38*100/$E$38</f>
        <v/>
      </c>
      <c r="IB38" s="108" t="n"/>
      <c r="IC38" s="122">
        <f>IB38*100/$E$38</f>
        <v/>
      </c>
      <c r="ID38" s="108" t="n"/>
      <c r="IE38" s="122">
        <f>ID38*100/$E$38</f>
        <v/>
      </c>
      <c r="IF38" s="108" t="n"/>
      <c r="IG38" s="122">
        <f>IF38*100/$E$38</f>
        <v/>
      </c>
      <c r="IH38" s="108" t="n"/>
      <c r="II38" s="122">
        <f>IH38*100/$E$38</f>
        <v/>
      </c>
      <c r="IJ38" s="108" t="n"/>
      <c r="IK38" s="122">
        <f>IJ38*100/$E$38</f>
        <v/>
      </c>
      <c r="IL38" s="108" t="n"/>
      <c r="IM38" s="107">
        <f>IL38*100/$E$38</f>
        <v/>
      </c>
      <c r="IN38" s="108" t="n"/>
      <c r="IO38" s="107">
        <f>IN38*100/$E$38</f>
        <v/>
      </c>
      <c r="IP38" s="108" t="n"/>
      <c r="IQ38" s="122">
        <f>IP38*100/$E$38</f>
        <v/>
      </c>
      <c r="IR38" s="108" t="n"/>
      <c r="IS38" s="122">
        <f>IR38*100/$E$38</f>
        <v/>
      </c>
      <c r="IT38" s="108" t="n"/>
      <c r="IU38" s="122">
        <f>IT38*100/$E$38</f>
        <v/>
      </c>
      <c r="IV38" s="108" t="n"/>
      <c r="IW38" s="122">
        <f>IV38*100/$E$38</f>
        <v/>
      </c>
      <c r="IX38" s="108" t="n"/>
      <c r="IY38" s="122">
        <f>IX38*100/$E$38</f>
        <v/>
      </c>
      <c r="IZ38" s="108" t="n"/>
      <c r="JA38" s="122">
        <f>IZ38*100/$E$38</f>
        <v/>
      </c>
      <c r="JB38" s="108" t="n"/>
      <c r="JC38" s="122">
        <f>JB38*100/$E$38</f>
        <v/>
      </c>
      <c r="JD38" s="108" t="n"/>
      <c r="JE38" s="122">
        <f>JD38*100/$E$38</f>
        <v/>
      </c>
      <c r="JF38" s="108" t="n"/>
      <c r="JG38" s="122">
        <f>JF38*100/$E$38</f>
        <v/>
      </c>
      <c r="JH38" s="108" t="n"/>
      <c r="JI38" s="122">
        <f>JH38*100/$E$38</f>
        <v/>
      </c>
      <c r="JJ38" s="108" t="n"/>
      <c r="JK38" s="122">
        <f>JJ38*100/$E$38</f>
        <v/>
      </c>
      <c r="JL38" s="108" t="n"/>
      <c r="JM38" s="122">
        <f>JL38*100/$E$38</f>
        <v/>
      </c>
      <c r="JN38" s="108" t="n"/>
      <c r="JO38" s="121">
        <f>JN38*100/$E$38</f>
        <v/>
      </c>
      <c r="JP38" s="108" t="n"/>
      <c r="JQ38" s="121">
        <f>JP38*100/$E$38</f>
        <v/>
      </c>
      <c r="JR38" s="108" t="n"/>
      <c r="JS38" s="121">
        <f>JR38*100/$E$38</f>
        <v/>
      </c>
      <c r="JT38" s="108" t="n"/>
      <c r="JU38" s="121">
        <f>JT38*100/$E$38</f>
        <v/>
      </c>
      <c r="JV38" s="108" t="n"/>
      <c r="JW38" s="121">
        <f>JV38*100/$E$38</f>
        <v/>
      </c>
      <c r="JX38" s="108" t="n"/>
      <c r="JY38" s="121">
        <f>JX38*100/$E$38</f>
        <v/>
      </c>
      <c r="JZ38" s="55">
        <f>JN38+JP38+JR38+JT38+JV38+JX38</f>
        <v/>
      </c>
      <c r="KA38" s="53">
        <f>JO38+JQ38+JS38+JU38+JW38+JY38</f>
        <v/>
      </c>
      <c r="KB38" s="64">
        <f>H38+J38+L38+N38+P38+R38+T38+V38+X38+Z38+AB38+AD38+AF38+AH38+AJ38+AL38+AN38+AP38+AR38+AT38+AV38+AX38+AZ38+BB38+BD38+BF38+BH38+BJ38+BL38+BN38+BP38+BR38+BT38+BV38+BX38+BZ38+CB38+CD38+CF38+CH38+CZ38+DB38+DD38+DF38+DH38+DJ38+DL38+DN38+DP38+DR38+DT38+DV38+DX38+DZ38+EB38+ED38+EF38+EH38+EJ38+EL38+EN38+EP38+ER38+ET38+EV38+FN38+FP38+FR38+FT38+FV38+FX38+FZ38+GB38+GD38+GF38+GH38+GJ38+GL38+GN38+GP38+GR38+GT38+GV38+GX38+GZ38+HB38+HD38+HF38+HH38+HJ38+HL38+HN38+HP38+HR38+HT38+HV38+HX38+HZ38+IB38+ID38+IF38+IH38+IJ38+IL38+IN38+IP38+IR38+IT38+IV38+IX38+IZ38+JB38+JD38+JF38+JH38+JJ38+JL38+JZ38+CJ38+CL38+CN38+CP38+CR38+CT38+CV38+CX38+EX38+EZ38+FB38+FD38+FF38+FH38+FJ38+FL38</f>
        <v/>
      </c>
      <c r="KC38" s="66">
        <f>I38+K38+M38+O38+Q38+S38+U38+W38+Y38+AA38+AC38+AE38+AG38+AI38+AK38+AM38+AO38+AQ38+AS38+AU38+AW38+AY38+BA38+BC38+BE38+BG38+BI38+BK38+BM38+BO38+BQ38+BS38+BU38+BW38+BY38+CA38+CC38+CE38+CG38+CI38+DA38+DC38+DE38+DG38+DI38+DK38+DM38+DO38+DQ38+DS38+DU38+DW38+DY38+EA38+EC38+EE38+EG38+EI38+EK38+EM38+EO38+EQ38+ES38+EU38+EW38+FO38+FS38+FU38+FW38+FQ38+FY38+GA38+GC38+GE38+GG38+GI38+GK38+GM38+GO38+GQ38+GS38+GU38+GW38+GY38+HA38+HC38+HE38+HG38+HI38+HK38+HM38+HO38+HQ38+HS38+HU38+HW38+HY38+IA38+IC38+IE38+IG38+II38+IK38+IM38+IO38+IQ38+IS38+IU38+IW38+IY38+JA38+JC38+JE38+JG38+JI38+JK38+JM38+KA38+CK38+CM38+CO38+CQ38+CS38+CU38+CW38+CY38+EY38+FA38+FC38+FE38+FG38+FI38+FK38+FM38</f>
        <v/>
      </c>
      <c r="KD38" s="44">
        <f>JO38+JQ38+JS38+JU38+JW38+JY38</f>
        <v/>
      </c>
      <c r="KE38" s="45">
        <f>KB38=E38</f>
        <v/>
      </c>
      <c r="KF38" s="101">
        <f>E38-KB38</f>
        <v/>
      </c>
      <c r="KG38" s="15" t="n"/>
    </row>
    <row r="39" ht="21.75" customFormat="1" customHeight="1" s="25">
      <c r="A39" s="126">
        <f>A38+1</f>
        <v/>
      </c>
      <c r="B39" s="175" t="inlineStr">
        <is>
          <t>Протасов С.А.</t>
        </is>
      </c>
      <c r="C39" s="194" t="inlineStr">
        <is>
          <t>слесарь МСР</t>
        </is>
      </c>
      <c r="D39" s="177">
        <f>$D$5</f>
        <v/>
      </c>
      <c r="E39" s="202" t="n"/>
      <c r="F39" s="193" t="n">
        <v>84149.67999999999</v>
      </c>
      <c r="G39" s="52">
        <f>F39/D39</f>
        <v/>
      </c>
      <c r="H39" s="125" t="n"/>
      <c r="I39" s="107">
        <f>H39*100/$E$39</f>
        <v/>
      </c>
      <c r="J39" s="108" t="n"/>
      <c r="K39" s="107">
        <f>J39*100/$E$39</f>
        <v/>
      </c>
      <c r="L39" s="108" t="n"/>
      <c r="M39" s="107">
        <f>L39*100/$E$39</f>
        <v/>
      </c>
      <c r="N39" s="108" t="n"/>
      <c r="O39" s="107">
        <f>N39*100/$E$39</f>
        <v/>
      </c>
      <c r="P39" s="108" t="n"/>
      <c r="Q39" s="122">
        <f>P39*100/$E$39</f>
        <v/>
      </c>
      <c r="R39" s="108" t="n"/>
      <c r="S39" s="122">
        <f>R39*100/$E$39</f>
        <v/>
      </c>
      <c r="T39" s="108" t="n"/>
      <c r="U39" s="107">
        <f>T39*100/$E$39</f>
        <v/>
      </c>
      <c r="V39" s="108" t="n"/>
      <c r="W39" s="107">
        <f>V39*100/$E$39</f>
        <v/>
      </c>
      <c r="X39" s="108" t="n"/>
      <c r="Y39" s="107">
        <f>X39*100/$E$39</f>
        <v/>
      </c>
      <c r="Z39" s="108" t="n"/>
      <c r="AA39" s="107">
        <f>Z39*100/$E$39</f>
        <v/>
      </c>
      <c r="AB39" s="108" t="n"/>
      <c r="AC39" s="107">
        <f>AB39*100/$E$39</f>
        <v/>
      </c>
      <c r="AD39" s="108" t="n"/>
      <c r="AE39" s="122">
        <f>AD39*100/$E$39</f>
        <v/>
      </c>
      <c r="AF39" s="108" t="n"/>
      <c r="AG39" s="122">
        <f>AF39*100/$E$39</f>
        <v/>
      </c>
      <c r="AH39" s="108" t="n"/>
      <c r="AI39" s="107">
        <f>AH39*100/$E$39</f>
        <v/>
      </c>
      <c r="AJ39" s="108" t="n"/>
      <c r="AK39" s="107">
        <f>AJ39*100/$E$39</f>
        <v/>
      </c>
      <c r="AL39" s="108" t="n"/>
      <c r="AM39" s="107">
        <f>AL39*100/$E$39</f>
        <v/>
      </c>
      <c r="AN39" s="108" t="n"/>
      <c r="AO39" s="107">
        <f>AN39*100/$E$39</f>
        <v/>
      </c>
      <c r="AP39" s="108" t="n"/>
      <c r="AQ39" s="107">
        <f>AP39*100/$E$39</f>
        <v/>
      </c>
      <c r="AR39" s="108" t="n"/>
      <c r="AS39" s="107">
        <f>AR39*100/$E$39</f>
        <v/>
      </c>
      <c r="AT39" s="108" t="n"/>
      <c r="AU39" s="90">
        <f>AT39*100/$E$39</f>
        <v/>
      </c>
      <c r="AV39" s="108" t="n"/>
      <c r="AW39" s="107">
        <f>AV39*100/$E$39</f>
        <v/>
      </c>
      <c r="AX39" s="108" t="n"/>
      <c r="AY39" s="107">
        <f>AX39*100/$E$39</f>
        <v/>
      </c>
      <c r="AZ39" s="108" t="n"/>
      <c r="BA39" s="107">
        <f>AZ39*100/$E$39</f>
        <v/>
      </c>
      <c r="BB39" s="108" t="n"/>
      <c r="BC39" s="107">
        <f>BB39*100/$E$39</f>
        <v/>
      </c>
      <c r="BD39" s="108" t="n"/>
      <c r="BE39" s="107">
        <f>BD39*100/$E$39</f>
        <v/>
      </c>
      <c r="BF39" s="108" t="n"/>
      <c r="BG39" s="107">
        <f>BF39*100/$E$39</f>
        <v/>
      </c>
      <c r="BH39" s="108" t="n"/>
      <c r="BI39" s="107">
        <f>BH39*100/$E$39</f>
        <v/>
      </c>
      <c r="BJ39" s="108" t="n"/>
      <c r="BK39" s="107">
        <f>BJ39*100/$E$39</f>
        <v/>
      </c>
      <c r="BL39" s="108" t="n"/>
      <c r="BM39" s="107">
        <f>BL39*100/$E$39</f>
        <v/>
      </c>
      <c r="BN39" s="108" t="n"/>
      <c r="BO39" s="107">
        <f>BN39*100/$E$39</f>
        <v/>
      </c>
      <c r="BP39" s="108" t="n"/>
      <c r="BQ39" s="107">
        <f>BP39*100/$E$39</f>
        <v/>
      </c>
      <c r="BR39" s="108" t="n"/>
      <c r="BS39" s="107">
        <f>BR39*100/$E$39</f>
        <v/>
      </c>
      <c r="BT39" s="108" t="n"/>
      <c r="BU39" s="107">
        <f>BT39*100/$E$39</f>
        <v/>
      </c>
      <c r="BV39" s="108" t="n"/>
      <c r="BW39" s="107">
        <f>BV39*100/$E$39</f>
        <v/>
      </c>
      <c r="BX39" s="108" t="n"/>
      <c r="BY39" s="107">
        <f>BX39*100/$E$39</f>
        <v/>
      </c>
      <c r="BZ39" s="108" t="n"/>
      <c r="CA39" s="107">
        <f>BZ39*100/$E$39</f>
        <v/>
      </c>
      <c r="CB39" s="108" t="n"/>
      <c r="CC39" s="107">
        <f>CB39*100/$E$39</f>
        <v/>
      </c>
      <c r="CD39" s="108" t="n"/>
      <c r="CE39" s="107">
        <f>CD39*100/$E$39</f>
        <v/>
      </c>
      <c r="CF39" s="108" t="n"/>
      <c r="CG39" s="107">
        <f>CF39*100/$E$39</f>
        <v/>
      </c>
      <c r="CH39" s="108" t="n"/>
      <c r="CI39" s="107">
        <f>CH39*100/$E$39</f>
        <v/>
      </c>
      <c r="CJ39" s="108" t="n"/>
      <c r="CK39" s="107">
        <f>CJ39*100/$E$39</f>
        <v/>
      </c>
      <c r="CL39" s="108" t="n"/>
      <c r="CM39" s="107">
        <f>CL39*100/$E$39</f>
        <v/>
      </c>
      <c r="CN39" s="108" t="n"/>
      <c r="CO39" s="122">
        <f>CN39*100/$E$39</f>
        <v/>
      </c>
      <c r="CP39" s="108" t="n"/>
      <c r="CQ39" s="107">
        <f>CP39*100/$E$39</f>
        <v/>
      </c>
      <c r="CR39" s="108" t="n"/>
      <c r="CS39" s="122">
        <f>CR39*100/$E$39</f>
        <v/>
      </c>
      <c r="CT39" s="108" t="n"/>
      <c r="CU39" s="122">
        <f>CT39*100/$E$39</f>
        <v/>
      </c>
      <c r="CV39" s="108" t="n"/>
      <c r="CW39" s="122">
        <f>CV39*100/$E$39</f>
        <v/>
      </c>
      <c r="CX39" s="108" t="n"/>
      <c r="CY39" s="122">
        <f>CX39*100/$E$39</f>
        <v/>
      </c>
      <c r="CZ39" s="108" t="n"/>
      <c r="DA39" s="122">
        <f>CZ39*100/$E$39</f>
        <v/>
      </c>
      <c r="DB39" s="108" t="n"/>
      <c r="DC39" s="122">
        <f>DB39*100/$E$39</f>
        <v/>
      </c>
      <c r="DD39" s="108" t="n"/>
      <c r="DE39" s="122">
        <f>DD39*100/$E$39</f>
        <v/>
      </c>
      <c r="DF39" s="108" t="n"/>
      <c r="DG39" s="122">
        <f>DF39*100/$E$39</f>
        <v/>
      </c>
      <c r="DH39" s="108" t="n"/>
      <c r="DI39" s="122">
        <f>DH39*100/$E$39</f>
        <v/>
      </c>
      <c r="DJ39" s="108" t="n"/>
      <c r="DK39" s="122">
        <f>DJ39*100/$E$39</f>
        <v/>
      </c>
      <c r="DL39" s="108" t="n"/>
      <c r="DM39" s="122">
        <f>DL39*100/$E$39</f>
        <v/>
      </c>
      <c r="DN39" s="108" t="n"/>
      <c r="DO39" s="122">
        <f>DN39*100/$E$39</f>
        <v/>
      </c>
      <c r="DP39" s="108" t="n"/>
      <c r="DQ39" s="122">
        <f>DP39*100/$E$39</f>
        <v/>
      </c>
      <c r="DR39" s="108" t="n"/>
      <c r="DS39" s="122">
        <f>DR39*100/E39</f>
        <v/>
      </c>
      <c r="DT39" s="108" t="n"/>
      <c r="DU39" s="122">
        <f>DT39*100/$E$39</f>
        <v/>
      </c>
      <c r="DV39" s="108" t="n"/>
      <c r="DW39" s="122">
        <f>DV39*100/$E$39</f>
        <v/>
      </c>
      <c r="DX39" s="108" t="n"/>
      <c r="DY39" s="122">
        <f>DX39*100/$E$39</f>
        <v/>
      </c>
      <c r="DZ39" s="108" t="n"/>
      <c r="EA39" s="122">
        <f>DZ39*100/$E$39</f>
        <v/>
      </c>
      <c r="EB39" s="108" t="n"/>
      <c r="EC39" s="122">
        <f>EB39*100/$E$39</f>
        <v/>
      </c>
      <c r="ED39" s="108" t="n"/>
      <c r="EE39" s="122">
        <f>ED39*100/$E$39</f>
        <v/>
      </c>
      <c r="EF39" s="108" t="n"/>
      <c r="EG39" s="122">
        <f>EF39*100/$E$39</f>
        <v/>
      </c>
      <c r="EH39" s="108" t="n"/>
      <c r="EI39" s="122">
        <f>EH39*100/$E$39</f>
        <v/>
      </c>
      <c r="EJ39" s="108" t="n"/>
      <c r="EK39" s="122">
        <f>EJ39*100/$E$39</f>
        <v/>
      </c>
      <c r="EL39" s="108" t="n"/>
      <c r="EM39" s="122">
        <f>EL39*100/$E$39</f>
        <v/>
      </c>
      <c r="EN39" s="108" t="n"/>
      <c r="EO39" s="122">
        <f>EN39*100/$E$39</f>
        <v/>
      </c>
      <c r="EP39" s="108" t="n"/>
      <c r="EQ39" s="122">
        <f>EP39*100/$E$39</f>
        <v/>
      </c>
      <c r="ER39" s="108" t="n"/>
      <c r="ES39" s="122">
        <f>ER39*100/$E$39</f>
        <v/>
      </c>
      <c r="ET39" s="108" t="n"/>
      <c r="EU39" s="122">
        <f>ET39*100/$E$39</f>
        <v/>
      </c>
      <c r="EV39" s="108" t="n"/>
      <c r="EW39" s="122">
        <f>EV39*100/$E$39</f>
        <v/>
      </c>
      <c r="EX39" s="108" t="n"/>
      <c r="EY39" s="122">
        <f>EX39*100/$E$39</f>
        <v/>
      </c>
      <c r="EZ39" s="108" t="n"/>
      <c r="FA39" s="122">
        <f>EZ39*100/$E$39</f>
        <v/>
      </c>
      <c r="FB39" s="108" t="n"/>
      <c r="FC39" s="122">
        <f>FB39*100/$E$39</f>
        <v/>
      </c>
      <c r="FD39" s="108" t="n"/>
      <c r="FE39" s="122">
        <f>FD39*100/$E$39</f>
        <v/>
      </c>
      <c r="FF39" s="108" t="n"/>
      <c r="FG39" s="122">
        <f>FF39*100/$E$39</f>
        <v/>
      </c>
      <c r="FH39" s="108" t="n"/>
      <c r="FI39" s="122">
        <f>FH39*100/$E$39</f>
        <v/>
      </c>
      <c r="FJ39" s="108" t="n"/>
      <c r="FK39" s="122">
        <f>FJ39*100/$E$39</f>
        <v/>
      </c>
      <c r="FL39" s="108" t="n"/>
      <c r="FM39" s="122">
        <f>FL39*100/$E$39</f>
        <v/>
      </c>
      <c r="FN39" s="108" t="n"/>
      <c r="FO39" s="122">
        <f>FN39*100/$E$39</f>
        <v/>
      </c>
      <c r="FP39" s="108" t="n"/>
      <c r="FQ39" s="122">
        <f>FP39*100/E39</f>
        <v/>
      </c>
      <c r="FR39" s="108" t="n"/>
      <c r="FS39" s="122">
        <f>FR39*100/$E$39</f>
        <v/>
      </c>
      <c r="FT39" s="108" t="n"/>
      <c r="FU39" s="122">
        <f>FT39*100/$E$39</f>
        <v/>
      </c>
      <c r="FV39" s="108" t="n"/>
      <c r="FW39" s="122">
        <f>FV39*100/$E$39</f>
        <v/>
      </c>
      <c r="FX39" s="108" t="n"/>
      <c r="FY39" s="107">
        <f>FX39*100/$E$39</f>
        <v/>
      </c>
      <c r="FZ39" s="108" t="n"/>
      <c r="GA39" s="107">
        <f>FZ39*100/$E$39</f>
        <v/>
      </c>
      <c r="GB39" s="108" t="n"/>
      <c r="GC39" s="107">
        <f>GB39*100/$E$39</f>
        <v/>
      </c>
      <c r="GD39" s="108" t="n"/>
      <c r="GE39" s="107">
        <f>GD39*100/$E$39</f>
        <v/>
      </c>
      <c r="GF39" s="108" t="n"/>
      <c r="GG39" s="107">
        <f>GF39*100/$E$39</f>
        <v/>
      </c>
      <c r="GH39" s="108" t="n"/>
      <c r="GI39" s="107">
        <f>GH39*100/$E$39</f>
        <v/>
      </c>
      <c r="GJ39" s="108" t="n"/>
      <c r="GK39" s="122">
        <f>GJ39*100/$E$39</f>
        <v/>
      </c>
      <c r="GL39" s="108" t="n"/>
      <c r="GM39" s="107">
        <f>GL39*100/$E$39</f>
        <v/>
      </c>
      <c r="GN39" s="108" t="n"/>
      <c r="GO39" s="122">
        <f>GN39*100/$E$39</f>
        <v/>
      </c>
      <c r="GP39" s="108" t="n"/>
      <c r="GQ39" s="107">
        <f>GP39*100/$E$39</f>
        <v/>
      </c>
      <c r="GR39" s="108" t="n"/>
      <c r="GS39" s="122">
        <f>GR39*100/$E$39</f>
        <v/>
      </c>
      <c r="GT39" s="108" t="n"/>
      <c r="GU39" s="122">
        <f>GT39*100/$E$39</f>
        <v/>
      </c>
      <c r="GV39" s="108" t="n"/>
      <c r="GW39" s="122">
        <f>GV39*100/$E$39</f>
        <v/>
      </c>
      <c r="GX39" s="108" t="n"/>
      <c r="GY39" s="107">
        <f>GX39*100/$E$39</f>
        <v/>
      </c>
      <c r="GZ39" s="108" t="n"/>
      <c r="HA39" s="107">
        <f>GZ39*100/$E$39</f>
        <v/>
      </c>
      <c r="HB39" s="108" t="n"/>
      <c r="HC39" s="107">
        <f>HB39*100/$E$39</f>
        <v/>
      </c>
      <c r="HD39" s="108" t="n"/>
      <c r="HE39" s="107">
        <f>HD39*100/$E$39</f>
        <v/>
      </c>
      <c r="HF39" s="108" t="n"/>
      <c r="HG39" s="107">
        <f>HF39*100/$E$39</f>
        <v/>
      </c>
      <c r="HH39" s="108" t="n"/>
      <c r="HI39" s="107">
        <f>HH39*100/$E$39</f>
        <v/>
      </c>
      <c r="HJ39" s="108" t="n"/>
      <c r="HK39" s="107">
        <f>HJ39*100/$E$39</f>
        <v/>
      </c>
      <c r="HL39" s="108" t="n"/>
      <c r="HM39" s="107">
        <f>HL39*100/$E$39</f>
        <v/>
      </c>
      <c r="HN39" s="108" t="n"/>
      <c r="HO39" s="107">
        <f>HN39*100/$E$39</f>
        <v/>
      </c>
      <c r="HP39" s="108" t="n"/>
      <c r="HQ39" s="107">
        <f>HP39*100/$E$39</f>
        <v/>
      </c>
      <c r="HR39" s="108" t="n"/>
      <c r="HS39" s="107">
        <f>HR39*100/$E$39</f>
        <v/>
      </c>
      <c r="HT39" s="108" t="n"/>
      <c r="HU39" s="107">
        <f>HT39*100/$E$39</f>
        <v/>
      </c>
      <c r="HV39" s="108" t="n"/>
      <c r="HW39" s="107">
        <f>HV39*100/$E$39</f>
        <v/>
      </c>
      <c r="HX39" s="108" t="n"/>
      <c r="HY39" s="107">
        <f>HX39*100/$E$39</f>
        <v/>
      </c>
      <c r="HZ39" s="108" t="n"/>
      <c r="IA39" s="122">
        <f>HZ39*100/$E$39</f>
        <v/>
      </c>
      <c r="IB39" s="108" t="n"/>
      <c r="IC39" s="122">
        <f>IB39*100/$E$39</f>
        <v/>
      </c>
      <c r="ID39" s="108" t="n"/>
      <c r="IE39" s="122">
        <f>ID39*100/$E$39</f>
        <v/>
      </c>
      <c r="IF39" s="108" t="n"/>
      <c r="IG39" s="122">
        <f>IF39*100/$E$39</f>
        <v/>
      </c>
      <c r="IH39" s="108" t="n"/>
      <c r="II39" s="122">
        <f>IH39*100/$E$39</f>
        <v/>
      </c>
      <c r="IJ39" s="108" t="n"/>
      <c r="IK39" s="122">
        <f>IJ39*100/$E$39</f>
        <v/>
      </c>
      <c r="IL39" s="108" t="n"/>
      <c r="IM39" s="107">
        <f>IL39*100/$E$39</f>
        <v/>
      </c>
      <c r="IN39" s="108" t="n"/>
      <c r="IO39" s="107">
        <f>IN39*100/$E$39</f>
        <v/>
      </c>
      <c r="IP39" s="108" t="n"/>
      <c r="IQ39" s="122">
        <f>IP39*100/$E$39</f>
        <v/>
      </c>
      <c r="IR39" s="108" t="n"/>
      <c r="IS39" s="122">
        <f>IR39*100/$E$39</f>
        <v/>
      </c>
      <c r="IT39" s="108" t="n"/>
      <c r="IU39" s="122">
        <f>IT39*100/$E$39</f>
        <v/>
      </c>
      <c r="IV39" s="108" t="n"/>
      <c r="IW39" s="122">
        <f>IV39*100/$E$39</f>
        <v/>
      </c>
      <c r="IX39" s="108" t="n"/>
      <c r="IY39" s="122">
        <f>IX39*100/$E$39</f>
        <v/>
      </c>
      <c r="IZ39" s="108" t="n"/>
      <c r="JA39" s="122">
        <f>IZ39*100/$E$39</f>
        <v/>
      </c>
      <c r="JB39" s="108" t="n"/>
      <c r="JC39" s="122">
        <f>JB39*100/$E$39</f>
        <v/>
      </c>
      <c r="JD39" s="108" t="n"/>
      <c r="JE39" s="122">
        <f>JD39*100/$E$39</f>
        <v/>
      </c>
      <c r="JF39" s="108" t="n"/>
      <c r="JG39" s="122">
        <f>JF39*100/$E$39</f>
        <v/>
      </c>
      <c r="JH39" s="108" t="n"/>
      <c r="JI39" s="122">
        <f>JH39*100/$E$39</f>
        <v/>
      </c>
      <c r="JJ39" s="108" t="n"/>
      <c r="JK39" s="122">
        <f>JJ39*100/$E$39</f>
        <v/>
      </c>
      <c r="JL39" s="108" t="n"/>
      <c r="JM39" s="122">
        <f>JL39*100/$E$39</f>
        <v/>
      </c>
      <c r="JN39" s="108" t="n"/>
      <c r="JO39" s="121">
        <f>JN39*100/$E$39</f>
        <v/>
      </c>
      <c r="JP39" s="108" t="n"/>
      <c r="JQ39" s="121">
        <f>JP39*100/$E$39</f>
        <v/>
      </c>
      <c r="JR39" s="108" t="n"/>
      <c r="JS39" s="121">
        <f>JR39*100/$E$39</f>
        <v/>
      </c>
      <c r="JT39" s="108" t="n"/>
      <c r="JU39" s="121">
        <f>JT39*100/$E$39</f>
        <v/>
      </c>
      <c r="JV39" s="108" t="n"/>
      <c r="JW39" s="121">
        <f>JV39*100/$E$39</f>
        <v/>
      </c>
      <c r="JX39" s="108" t="n"/>
      <c r="JY39" s="121">
        <f>JX39*100/$E$39</f>
        <v/>
      </c>
      <c r="JZ39" s="55">
        <f>JN39+JP39+JR39+JT39+JV39+JX39</f>
        <v/>
      </c>
      <c r="KA39" s="53">
        <f>JO39+JQ39+JS39+JU39+JW39+JY39</f>
        <v/>
      </c>
      <c r="KB39" s="64">
        <f>H39+J39+L39+N39+P39+R39+T39+V39+X39+Z39+AB39+AD39+AF39+AH39+AJ39+AL39+AN39+AP39+AR39+AT39+AV39+AX39+AZ39+BB39+BD39+BF39+BH39+BJ39+BL39+BN39+BP39+BR39+BT39+BV39+BX39+BZ39+CB39+CD39+CF39+CH39+CZ39+DB39+DD39+DF39+DH39+DJ39+DL39+DN39+DP39+DR39+DT39+DV39+DX39+DZ39+EB39+ED39+EF39+EH39+EJ39+EL39+EN39+EP39+ER39+ET39+EV39+FN39+FP39+FR39+FT39+FV39+FX39+FZ39+GB39+GD39+GF39+GH39+GJ39+GL39+GN39+GP39+GR39+GT39+GV39+GX39+GZ39+HB39+HD39+HF39+HH39+HJ39+HL39+HN39+HP39+HR39+HT39+HV39+HX39+HZ39+IB39+ID39+IF39+IH39+IJ39+IL39+IN39+IP39+IR39+IT39+IV39+IX39+IZ39+JB39+JD39+JF39+JH39+JJ39+JL39+JZ39+CJ39+CL39+CN39+CP39+CR39+CT39+CV39+CX39+EX39+EZ39+FB39+FD39+FF39+FH39+FJ39+FL39</f>
        <v/>
      </c>
      <c r="KC39" s="66">
        <f>I39+K39+M39+O39+Q39+S39+U39+W39+Y39+AA39+AC39+AE39+AG39+AI39+AK39+AM39+AO39+AQ39+AS39+AU39+AW39+AY39+BA39+BC39+BE39+BG39+BI39+BK39+BM39+BO39+BQ39+BS39+BU39+BW39+BY39+CA39+CC39+CE39+CG39+CI39+DA39+DC39+DE39+DG39+DI39+DK39+DM39+DO39+DQ39+DS39+DU39+DW39+DY39+EA39+EC39+EE39+EG39+EI39+EK39+EM39+EO39+EQ39+ES39+EU39+EW39+FO39+FS39+FU39+FW39+FQ39+FY39+GA39+GC39+GE39+GG39+GI39+GK39+GM39+GO39+GQ39+GS39+GU39+GW39+GY39+HA39+HC39+HE39+HG39+HI39+HK39+HM39+HO39+HQ39+HS39+HU39+HW39+HY39+IA39+IC39+IE39+IG39+II39+IK39+IM39+IO39+IQ39+IS39+IU39+IW39+IY39+JA39+JC39+JE39+JG39+JI39+JK39+JM39+KA39+CK39+CM39+CO39+CQ39+CS39+CU39+CW39+CY39+EY39+FA39+FC39+FE39+FG39+FI39+FK39+FM39</f>
        <v/>
      </c>
      <c r="KD39" s="44">
        <f>JO39+JQ39+JS39+JU39+JW39+JY39</f>
        <v/>
      </c>
      <c r="KE39" s="45">
        <f>KB39=E39</f>
        <v/>
      </c>
      <c r="KF39" s="101">
        <f>E39-KB39</f>
        <v/>
      </c>
      <c r="KG39" s="15" t="n"/>
    </row>
    <row r="40" ht="21.75" customFormat="1" customHeight="1" s="25">
      <c r="A40" s="126">
        <f>A39+1</f>
        <v/>
      </c>
      <c r="B40" s="175" t="inlineStr">
        <is>
          <t>Селивановский А.К.</t>
        </is>
      </c>
      <c r="C40" s="194" t="inlineStr">
        <is>
          <t>токарь-расточник</t>
        </is>
      </c>
      <c r="D40" s="177">
        <f>$D$5</f>
        <v/>
      </c>
      <c r="E40" s="202" t="n"/>
      <c r="F40" s="193" t="n">
        <v>101150.45</v>
      </c>
      <c r="G40" s="52">
        <f>F40/D40</f>
        <v/>
      </c>
      <c r="H40" s="125" t="n"/>
      <c r="I40" s="107">
        <f>H40*100/$E$40</f>
        <v/>
      </c>
      <c r="J40" s="108" t="n"/>
      <c r="K40" s="107">
        <f>J40*100/$E$40</f>
        <v/>
      </c>
      <c r="L40" s="108" t="n"/>
      <c r="M40" s="107">
        <f>L40*100/$E$40</f>
        <v/>
      </c>
      <c r="N40" s="108" t="n"/>
      <c r="O40" s="107">
        <f>N40*100/$E$40</f>
        <v/>
      </c>
      <c r="P40" s="108" t="n"/>
      <c r="Q40" s="122">
        <f>P40*100/$E$40</f>
        <v/>
      </c>
      <c r="R40" s="108" t="n"/>
      <c r="S40" s="122">
        <f>R40*100/$E$40</f>
        <v/>
      </c>
      <c r="T40" s="108" t="n"/>
      <c r="U40" s="107">
        <f>T40*100/$E$40</f>
        <v/>
      </c>
      <c r="V40" s="108" t="n"/>
      <c r="W40" s="107">
        <f>V40*100/$E$40</f>
        <v/>
      </c>
      <c r="X40" s="108" t="n"/>
      <c r="Y40" s="107">
        <f>X40*100/$E$40</f>
        <v/>
      </c>
      <c r="Z40" s="108" t="n"/>
      <c r="AA40" s="107">
        <f>Z40*100/$E$40</f>
        <v/>
      </c>
      <c r="AB40" s="108" t="n"/>
      <c r="AC40" s="107">
        <f>AB40*100/$E$40</f>
        <v/>
      </c>
      <c r="AD40" s="108" t="n"/>
      <c r="AE40" s="122">
        <f>AD40*100/$E$40</f>
        <v/>
      </c>
      <c r="AF40" s="108" t="n"/>
      <c r="AG40" s="122">
        <f>AF40*100/$E$40</f>
        <v/>
      </c>
      <c r="AH40" s="108" t="n"/>
      <c r="AI40" s="107">
        <f>AH40*100/$E$40</f>
        <v/>
      </c>
      <c r="AJ40" s="108" t="n"/>
      <c r="AK40" s="107">
        <f>AJ40*100/$E$40</f>
        <v/>
      </c>
      <c r="AL40" s="108" t="n"/>
      <c r="AM40" s="107">
        <f>AL40*100/$E$40</f>
        <v/>
      </c>
      <c r="AN40" s="108" t="n"/>
      <c r="AO40" s="107">
        <f>AN40*100/$E$40</f>
        <v/>
      </c>
      <c r="AP40" s="108" t="n"/>
      <c r="AQ40" s="107">
        <f>AP40*100/$E$40</f>
        <v/>
      </c>
      <c r="AR40" s="108" t="n"/>
      <c r="AS40" s="107">
        <f>AR40*100/$E$40</f>
        <v/>
      </c>
      <c r="AT40" s="108" t="n"/>
      <c r="AU40" s="90">
        <f>AT40*100/$E$40</f>
        <v/>
      </c>
      <c r="AV40" s="108" t="n"/>
      <c r="AW40" s="107">
        <f>AV40*100/$E$40</f>
        <v/>
      </c>
      <c r="AX40" s="108" t="n"/>
      <c r="AY40" s="107">
        <f>AX40*100/$E$40</f>
        <v/>
      </c>
      <c r="AZ40" s="108" t="n"/>
      <c r="BA40" s="107">
        <f>AZ40*100/$E$40</f>
        <v/>
      </c>
      <c r="BB40" s="108" t="n"/>
      <c r="BC40" s="107">
        <f>BB40*100/$E$40</f>
        <v/>
      </c>
      <c r="BD40" s="108" t="n"/>
      <c r="BE40" s="107">
        <f>BD40*100/$E$40</f>
        <v/>
      </c>
      <c r="BF40" s="108" t="n"/>
      <c r="BG40" s="107">
        <f>BF40*100/$E$40</f>
        <v/>
      </c>
      <c r="BH40" s="108" t="n"/>
      <c r="BI40" s="107">
        <f>BH40*100/$E$40</f>
        <v/>
      </c>
      <c r="BJ40" s="108" t="n"/>
      <c r="BK40" s="107">
        <f>BJ40*100/$E$40</f>
        <v/>
      </c>
      <c r="BL40" s="108" t="n"/>
      <c r="BM40" s="107">
        <f>BL40*100/$E$40</f>
        <v/>
      </c>
      <c r="BN40" s="108" t="n"/>
      <c r="BO40" s="107">
        <f>BN40*100/$E$40</f>
        <v/>
      </c>
      <c r="BP40" s="108" t="n"/>
      <c r="BQ40" s="107">
        <f>BP40*100/$E$40</f>
        <v/>
      </c>
      <c r="BR40" s="108" t="n"/>
      <c r="BS40" s="107">
        <f>BR40*100/$E$40</f>
        <v/>
      </c>
      <c r="BT40" s="108" t="n"/>
      <c r="BU40" s="107">
        <f>BT40*100/$E$40</f>
        <v/>
      </c>
      <c r="BV40" s="108" t="n"/>
      <c r="BW40" s="107">
        <f>BV40*100/$E$40</f>
        <v/>
      </c>
      <c r="BX40" s="108" t="n"/>
      <c r="BY40" s="107">
        <f>BX40*100/$E$40</f>
        <v/>
      </c>
      <c r="BZ40" s="108" t="n"/>
      <c r="CA40" s="107">
        <f>BZ40*100/$E$40</f>
        <v/>
      </c>
      <c r="CB40" s="108" t="n"/>
      <c r="CC40" s="107">
        <f>CB40*100/$E$40</f>
        <v/>
      </c>
      <c r="CD40" s="108" t="n"/>
      <c r="CE40" s="107">
        <f>CD40*100/$E$40</f>
        <v/>
      </c>
      <c r="CF40" s="108" t="n"/>
      <c r="CG40" s="107">
        <f>CF40*100/$E$40</f>
        <v/>
      </c>
      <c r="CH40" s="108" t="n"/>
      <c r="CI40" s="107">
        <f>CH40*100/$E$40</f>
        <v/>
      </c>
      <c r="CJ40" s="108" t="n"/>
      <c r="CK40" s="107">
        <f>CJ40*100/$E$40</f>
        <v/>
      </c>
      <c r="CL40" s="108" t="n"/>
      <c r="CM40" s="107">
        <f>CL40*100/$E$40</f>
        <v/>
      </c>
      <c r="CN40" s="108" t="n"/>
      <c r="CO40" s="122">
        <f>CN40*100/$E$40</f>
        <v/>
      </c>
      <c r="CP40" s="108" t="n"/>
      <c r="CQ40" s="107">
        <f>CP40*100/$E$40</f>
        <v/>
      </c>
      <c r="CR40" s="108" t="n"/>
      <c r="CS40" s="122">
        <f>CR40*100/$E$40</f>
        <v/>
      </c>
      <c r="CT40" s="108" t="n"/>
      <c r="CU40" s="122">
        <f>CT40*100/$E$40</f>
        <v/>
      </c>
      <c r="CV40" s="108" t="n"/>
      <c r="CW40" s="122">
        <f>CV40*100/$E$40</f>
        <v/>
      </c>
      <c r="CX40" s="108" t="n"/>
      <c r="CY40" s="122">
        <f>CX40*100/$E$40</f>
        <v/>
      </c>
      <c r="CZ40" s="108" t="n"/>
      <c r="DA40" s="122">
        <f>CZ40*100/$E$40</f>
        <v/>
      </c>
      <c r="DB40" s="108" t="n"/>
      <c r="DC40" s="122">
        <f>DB40*100/$E$40</f>
        <v/>
      </c>
      <c r="DD40" s="108" t="n"/>
      <c r="DE40" s="122">
        <f>DD40*100/$E$40</f>
        <v/>
      </c>
      <c r="DF40" s="108" t="n"/>
      <c r="DG40" s="122">
        <f>DF40*100/$E$40</f>
        <v/>
      </c>
      <c r="DH40" s="108" t="n"/>
      <c r="DI40" s="122">
        <f>DH40*100/$E$40</f>
        <v/>
      </c>
      <c r="DJ40" s="108" t="n"/>
      <c r="DK40" s="122">
        <f>DJ40*100/$E$40</f>
        <v/>
      </c>
      <c r="DL40" s="108" t="n"/>
      <c r="DM40" s="122">
        <f>DL40*100/$E$40</f>
        <v/>
      </c>
      <c r="DN40" s="108" t="n"/>
      <c r="DO40" s="122">
        <f>DN40*100/$E$40</f>
        <v/>
      </c>
      <c r="DP40" s="108" t="n"/>
      <c r="DQ40" s="122">
        <f>DP40*100/$E$40</f>
        <v/>
      </c>
      <c r="DR40" s="108" t="n"/>
      <c r="DS40" s="122">
        <f>DR40*100/$E$40</f>
        <v/>
      </c>
      <c r="DT40" s="108" t="n"/>
      <c r="DU40" s="122">
        <f>DT40*100/$E$40</f>
        <v/>
      </c>
      <c r="DV40" s="108" t="n"/>
      <c r="DW40" s="122">
        <f>DV40*100/$E$40</f>
        <v/>
      </c>
      <c r="DX40" s="108" t="n"/>
      <c r="DY40" s="122">
        <f>DX40*100/$E$40</f>
        <v/>
      </c>
      <c r="DZ40" s="108" t="n"/>
      <c r="EA40" s="122">
        <f>DZ40*100/$E$40</f>
        <v/>
      </c>
      <c r="EB40" s="108" t="n"/>
      <c r="EC40" s="122">
        <f>EB40*100/$E$40</f>
        <v/>
      </c>
      <c r="ED40" s="108" t="n"/>
      <c r="EE40" s="122">
        <f>ED40*100/$E$40</f>
        <v/>
      </c>
      <c r="EF40" s="108" t="n"/>
      <c r="EG40" s="122">
        <f>EF40*100/$E$40</f>
        <v/>
      </c>
      <c r="EH40" s="108" t="n"/>
      <c r="EI40" s="122">
        <f>EH40*100/$E$40</f>
        <v/>
      </c>
      <c r="EJ40" s="108" t="n"/>
      <c r="EK40" s="122">
        <f>EJ40*100/$E$40</f>
        <v/>
      </c>
      <c r="EL40" s="108" t="n"/>
      <c r="EM40" s="122">
        <f>EL40*100/$E$40</f>
        <v/>
      </c>
      <c r="EN40" s="108" t="n"/>
      <c r="EO40" s="122">
        <f>EN40*100/$E$40</f>
        <v/>
      </c>
      <c r="EP40" s="108" t="n"/>
      <c r="EQ40" s="122">
        <f>EP40*100/$E$40</f>
        <v/>
      </c>
      <c r="ER40" s="108" t="n"/>
      <c r="ES40" s="122">
        <f>ER40*100/$E$40</f>
        <v/>
      </c>
      <c r="ET40" s="108" t="n"/>
      <c r="EU40" s="122">
        <f>ET40*100/$E$40</f>
        <v/>
      </c>
      <c r="EV40" s="108" t="n"/>
      <c r="EW40" s="122">
        <f>EV40*100/$E$40</f>
        <v/>
      </c>
      <c r="EX40" s="108" t="n"/>
      <c r="EY40" s="122">
        <f>EX40*100/$E$40</f>
        <v/>
      </c>
      <c r="EZ40" s="108" t="n"/>
      <c r="FA40" s="122">
        <f>EZ40*100/$E$40</f>
        <v/>
      </c>
      <c r="FB40" s="108" t="n"/>
      <c r="FC40" s="122">
        <f>FB40*100/$E$40</f>
        <v/>
      </c>
      <c r="FD40" s="108" t="n"/>
      <c r="FE40" s="122">
        <f>FD40*100/$E$40</f>
        <v/>
      </c>
      <c r="FF40" s="108" t="n"/>
      <c r="FG40" s="122">
        <f>FF40*100/$E$40</f>
        <v/>
      </c>
      <c r="FH40" s="108" t="n"/>
      <c r="FI40" s="122">
        <f>FH40*100/$E$40</f>
        <v/>
      </c>
      <c r="FJ40" s="108" t="n"/>
      <c r="FK40" s="122">
        <f>FJ40*100/$E$40</f>
        <v/>
      </c>
      <c r="FL40" s="108" t="n"/>
      <c r="FM40" s="122">
        <f>FL40*100/$E$40</f>
        <v/>
      </c>
      <c r="FN40" s="108" t="n"/>
      <c r="FO40" s="122">
        <f>FN40*100/$E$40</f>
        <v/>
      </c>
      <c r="FP40" s="108" t="n"/>
      <c r="FQ40" s="122">
        <f>FP40*100/$E$40</f>
        <v/>
      </c>
      <c r="FR40" s="108" t="n"/>
      <c r="FS40" s="122">
        <f>FR40*100/$E$40</f>
        <v/>
      </c>
      <c r="FT40" s="108" t="n"/>
      <c r="FU40" s="122">
        <f>FT40*100/$E$40</f>
        <v/>
      </c>
      <c r="FV40" s="108" t="n"/>
      <c r="FW40" s="122">
        <f>FV40*100/$E$40</f>
        <v/>
      </c>
      <c r="FX40" s="108" t="n"/>
      <c r="FY40" s="107">
        <f>FX40*100/$E$40</f>
        <v/>
      </c>
      <c r="FZ40" s="108" t="n"/>
      <c r="GA40" s="107">
        <f>FZ40*100/$E$40</f>
        <v/>
      </c>
      <c r="GB40" s="108" t="n"/>
      <c r="GC40" s="107">
        <f>GB40*100/$E$40</f>
        <v/>
      </c>
      <c r="GD40" s="108" t="n"/>
      <c r="GE40" s="107">
        <f>GD40*100/$E$40</f>
        <v/>
      </c>
      <c r="GF40" s="108" t="n"/>
      <c r="GG40" s="107">
        <f>GF40*100/$E$40</f>
        <v/>
      </c>
      <c r="GH40" s="108" t="n"/>
      <c r="GI40" s="107">
        <f>GH40*100/$E$40</f>
        <v/>
      </c>
      <c r="GJ40" s="108" t="n"/>
      <c r="GK40" s="122">
        <f>GJ40*100/$E$40</f>
        <v/>
      </c>
      <c r="GL40" s="108" t="n"/>
      <c r="GM40" s="107">
        <f>GL40*100/$E$40</f>
        <v/>
      </c>
      <c r="GN40" s="108" t="n"/>
      <c r="GO40" s="122">
        <f>GN40*100/$E$40</f>
        <v/>
      </c>
      <c r="GP40" s="108" t="n"/>
      <c r="GQ40" s="107">
        <f>GP40*100/$E$40</f>
        <v/>
      </c>
      <c r="GR40" s="108" t="n"/>
      <c r="GS40" s="122">
        <f>GR40*100/$E$40</f>
        <v/>
      </c>
      <c r="GT40" s="108" t="n"/>
      <c r="GU40" s="122">
        <f>GT40*100/$E$40</f>
        <v/>
      </c>
      <c r="GV40" s="108" t="n"/>
      <c r="GW40" s="122">
        <f>GV40*100/$E$40</f>
        <v/>
      </c>
      <c r="GX40" s="108" t="n"/>
      <c r="GY40" s="107">
        <f>GX40*100/$E$40</f>
        <v/>
      </c>
      <c r="GZ40" s="108" t="n"/>
      <c r="HA40" s="107">
        <f>GZ40*100/$E$40</f>
        <v/>
      </c>
      <c r="HB40" s="108" t="n"/>
      <c r="HC40" s="107">
        <f>HB40*100/$E$40</f>
        <v/>
      </c>
      <c r="HD40" s="108" t="n"/>
      <c r="HE40" s="107">
        <f>HD40*100/$E$40</f>
        <v/>
      </c>
      <c r="HF40" s="108" t="n"/>
      <c r="HG40" s="107">
        <f>HF40*100/$E$40</f>
        <v/>
      </c>
      <c r="HH40" s="108" t="n"/>
      <c r="HI40" s="107">
        <f>HH40*100/$E$40</f>
        <v/>
      </c>
      <c r="HJ40" s="108" t="n"/>
      <c r="HK40" s="107">
        <f>HJ40*100/$E$40</f>
        <v/>
      </c>
      <c r="HL40" s="108" t="n"/>
      <c r="HM40" s="107">
        <f>HL40*100/$E$40</f>
        <v/>
      </c>
      <c r="HN40" s="108" t="n"/>
      <c r="HO40" s="107">
        <f>HN40*100/$E$40</f>
        <v/>
      </c>
      <c r="HP40" s="108" t="n"/>
      <c r="HQ40" s="107">
        <f>HP40*100/$E$40</f>
        <v/>
      </c>
      <c r="HR40" s="108" t="n"/>
      <c r="HS40" s="107">
        <f>HR40*100/$E$40</f>
        <v/>
      </c>
      <c r="HT40" s="108" t="n"/>
      <c r="HU40" s="107">
        <f>HT40*100/$E$40</f>
        <v/>
      </c>
      <c r="HV40" s="108" t="n"/>
      <c r="HW40" s="107">
        <f>HV40*100/$E$40</f>
        <v/>
      </c>
      <c r="HX40" s="108" t="n"/>
      <c r="HY40" s="107">
        <f>HX40*100/$E$40</f>
        <v/>
      </c>
      <c r="HZ40" s="108" t="n"/>
      <c r="IA40" s="122">
        <f>HZ40*100/$E$40</f>
        <v/>
      </c>
      <c r="IB40" s="108" t="n"/>
      <c r="IC40" s="122">
        <f>IB40*100/$E$40</f>
        <v/>
      </c>
      <c r="ID40" s="108" t="n"/>
      <c r="IE40" s="122">
        <f>ID40*100/$E$40</f>
        <v/>
      </c>
      <c r="IF40" s="108" t="n"/>
      <c r="IG40" s="122">
        <f>IF40*100/$E$40</f>
        <v/>
      </c>
      <c r="IH40" s="108" t="n"/>
      <c r="II40" s="122">
        <f>IH40*100/$E$40</f>
        <v/>
      </c>
      <c r="IJ40" s="108" t="n"/>
      <c r="IK40" s="122">
        <f>IJ40*100/$E$40</f>
        <v/>
      </c>
      <c r="IL40" s="108" t="n"/>
      <c r="IM40" s="107">
        <f>IL40*100/$E$40</f>
        <v/>
      </c>
      <c r="IN40" s="108" t="n"/>
      <c r="IO40" s="107">
        <f>IN40*100/$E$40</f>
        <v/>
      </c>
      <c r="IP40" s="108" t="n"/>
      <c r="IQ40" s="122">
        <f>IP40*100/$E$40</f>
        <v/>
      </c>
      <c r="IR40" s="108" t="n"/>
      <c r="IS40" s="122">
        <f>IR40*100/$E$40</f>
        <v/>
      </c>
      <c r="IT40" s="108" t="n"/>
      <c r="IU40" s="122">
        <f>IT40*100/$E$40</f>
        <v/>
      </c>
      <c r="IV40" s="108" t="n"/>
      <c r="IW40" s="122">
        <f>IV40*100/$E$40</f>
        <v/>
      </c>
      <c r="IX40" s="108" t="n"/>
      <c r="IY40" s="122">
        <f>IX40*100/$E$40</f>
        <v/>
      </c>
      <c r="IZ40" s="108" t="n"/>
      <c r="JA40" s="122">
        <f>IZ40*100/$E$40</f>
        <v/>
      </c>
      <c r="JB40" s="108" t="n"/>
      <c r="JC40" s="122">
        <f>JB40*100/$E$40</f>
        <v/>
      </c>
      <c r="JD40" s="108" t="n"/>
      <c r="JE40" s="122">
        <f>JD40*100/$E$40</f>
        <v/>
      </c>
      <c r="JF40" s="108" t="n"/>
      <c r="JG40" s="122">
        <f>JF40*100/$E$40</f>
        <v/>
      </c>
      <c r="JH40" s="108" t="n"/>
      <c r="JI40" s="122">
        <f>JH40*100/$E$40</f>
        <v/>
      </c>
      <c r="JJ40" s="108" t="n"/>
      <c r="JK40" s="122">
        <f>JJ40*100/$E$40</f>
        <v/>
      </c>
      <c r="JL40" s="108" t="n"/>
      <c r="JM40" s="122">
        <f>JL40*100/$E$40</f>
        <v/>
      </c>
      <c r="JN40" s="108" t="n"/>
      <c r="JO40" s="121">
        <f>JN40*100/$E$40</f>
        <v/>
      </c>
      <c r="JP40" s="108" t="n"/>
      <c r="JQ40" s="121">
        <f>JP40*100/$E$40</f>
        <v/>
      </c>
      <c r="JR40" s="108" t="n"/>
      <c r="JS40" s="121">
        <f>JR40*100/$E$40</f>
        <v/>
      </c>
      <c r="JT40" s="108" t="n"/>
      <c r="JU40" s="121">
        <f>JT40*100/$E$40</f>
        <v/>
      </c>
      <c r="JV40" s="108" t="n"/>
      <c r="JW40" s="121">
        <f>JV40*100/$E$40</f>
        <v/>
      </c>
      <c r="JX40" s="108" t="n"/>
      <c r="JY40" s="121">
        <f>JX40*100/$E$40</f>
        <v/>
      </c>
      <c r="JZ40" s="55">
        <f>JN40+JP40+JR40+JT40+JV40+JX40</f>
        <v/>
      </c>
      <c r="KA40" s="53">
        <f>JO40+JQ40+JS40+JU40+JW40+JY40</f>
        <v/>
      </c>
      <c r="KB40" s="64">
        <f>H40+J40+L40+N40+P40+R40+T40+V40+X40+Z40+AB40+AD40+AF40+AH40+AJ40+AL40+AN40+AP40+AR40+AT40+AV40+AX40+AZ40+BB40+BD40+BF40+BH40+BJ40+BL40+BN40+BP40+BR40+BT40+BV40+BX40+BZ40+CB40+CD40+CF40+CH40+CZ40+DB40+DD40+DF40+DH40+DJ40+DL40+DN40+DP40+DR40+DT40+DV40+DX40+DZ40+EB40+ED40+EF40+EH40+EJ40+EL40+EN40+EP40+ER40+ET40+EV40+FN40+FP40+FR40+FT40+FV40+FX40+FZ40+GB40+GD40+GF40+GH40+GJ40+GL40+GN40+GP40+GR40+GT40+GV40+GX40+GZ40+HB40+HD40+HF40+HH40+HJ40+HL40+HN40+HP40+HR40+HT40+HV40+HX40+HZ40+IB40+ID40+IF40+IH40+IJ40+IL40+IN40+IP40+IR40+IT40+IV40+IX40+IZ40+JB40+JD40+JF40+JH40+JJ40+JL40+JZ40+CJ40+CL40+CN40+CP40+CR40+CT40+CV40+CX40+EX40+EZ40+FB40+FD40+FF40+FH40+FJ40+FL40</f>
        <v/>
      </c>
      <c r="KC40" s="66">
        <f>I40+K40+M40+O40+Q40+S40+U40+W40+Y40+AA40+AC40+AE40+AG40+AI40+AK40+AM40+AO40+AQ40+AS40+AU40+AW40+AY40+BA40+BC40+BE40+BG40+BI40+BK40+BM40+BO40+BQ40+BS40+BU40+BW40+BY40+CA40+CC40+CE40+CG40+CI40+DA40+DC40+DE40+DG40+DI40+DK40+DM40+DO40+DQ40+DS40+DU40+DW40+DY40+EA40+EC40+EE40+EG40+EI40+EK40+EM40+EO40+EQ40+ES40+EU40+EW40+FO40+FS40+FU40+FW40+FQ40+FY40+GA40+GC40+GE40+GG40+GI40+GK40+GM40+GO40+GQ40+GS40+GU40+GW40+GY40+HA40+HC40+HE40+HG40+HI40+HK40+HM40+HO40+HQ40+HS40+HU40+HW40+HY40+IA40+IC40+IE40+IG40+II40+IK40+IM40+IO40+IQ40+IS40+IU40+IW40+IY40+JA40+JC40+JE40+JG40+JI40+JK40+JM40+KA40+CK40+CM40+CO40+CQ40+CS40+CU40+CW40+CY40+EY40+FA40+FC40+FE40+FG40+FI40+FK40+FM40</f>
        <v/>
      </c>
      <c r="KD40" s="44">
        <f>JO40+JQ40+JS40+JU40+JW40+JY40</f>
        <v/>
      </c>
      <c r="KE40" s="45">
        <f>KB40=E40</f>
        <v/>
      </c>
      <c r="KF40" s="101">
        <f>E40-KB40</f>
        <v/>
      </c>
      <c r="KG40" s="17" t="n"/>
    </row>
    <row r="41" ht="21.75" customFormat="1" customHeight="1" s="17">
      <c r="A41" s="126">
        <f>A40+1</f>
        <v/>
      </c>
      <c r="B41" s="175" t="inlineStr">
        <is>
          <t>Серебреннников Е.В.</t>
        </is>
      </c>
      <c r="C41" s="176" t="inlineStr">
        <is>
          <t>слесарь МСР</t>
        </is>
      </c>
      <c r="D41" s="177">
        <f>$D$5</f>
        <v/>
      </c>
      <c r="E41" s="202" t="n"/>
      <c r="F41" s="193" t="n">
        <v>55770</v>
      </c>
      <c r="G41" s="52">
        <f>F41/D41</f>
        <v/>
      </c>
      <c r="H41" s="125" t="n"/>
      <c r="I41" s="107">
        <f>H41*100/$E$41</f>
        <v/>
      </c>
      <c r="J41" s="108" t="n"/>
      <c r="K41" s="107">
        <f>J41*100/$E$41</f>
        <v/>
      </c>
      <c r="L41" s="108" t="n"/>
      <c r="M41" s="107">
        <f>L41*100/$E$41</f>
        <v/>
      </c>
      <c r="N41" s="108" t="n"/>
      <c r="O41" s="107">
        <f>N41*100/$E$41</f>
        <v/>
      </c>
      <c r="P41" s="108" t="n"/>
      <c r="Q41" s="122">
        <f>P41*100/$E$41</f>
        <v/>
      </c>
      <c r="R41" s="108" t="n"/>
      <c r="S41" s="122">
        <f>R41*100/$E$41</f>
        <v/>
      </c>
      <c r="T41" s="108" t="n"/>
      <c r="U41" s="107">
        <f>T41*100/$E$41</f>
        <v/>
      </c>
      <c r="V41" s="108" t="n"/>
      <c r="W41" s="107">
        <f>V41*100/$E$41</f>
        <v/>
      </c>
      <c r="X41" s="108" t="n"/>
      <c r="Y41" s="107">
        <f>X41*100/$E$41</f>
        <v/>
      </c>
      <c r="Z41" s="108" t="n"/>
      <c r="AA41" s="107">
        <f>Z41*100/$E$41</f>
        <v/>
      </c>
      <c r="AB41" s="108" t="n"/>
      <c r="AC41" s="107">
        <f>AB41*100/$E$41</f>
        <v/>
      </c>
      <c r="AD41" s="108" t="n"/>
      <c r="AE41" s="122">
        <f>AD41*100/$E$41</f>
        <v/>
      </c>
      <c r="AF41" s="108" t="n"/>
      <c r="AG41" s="122">
        <f>AF41*100/$E$41</f>
        <v/>
      </c>
      <c r="AH41" s="108" t="n"/>
      <c r="AI41" s="107">
        <f>AH41*100/$E$41</f>
        <v/>
      </c>
      <c r="AJ41" s="108" t="n"/>
      <c r="AK41" s="107">
        <f>AJ41*100/$E$41</f>
        <v/>
      </c>
      <c r="AL41" s="108" t="n"/>
      <c r="AM41" s="107">
        <f>AL41*100/$E$41</f>
        <v/>
      </c>
      <c r="AN41" s="108" t="n"/>
      <c r="AO41" s="107">
        <f>AN41*100/$E$41</f>
        <v/>
      </c>
      <c r="AP41" s="108" t="n"/>
      <c r="AQ41" s="107">
        <f>AP41*100/$E$41</f>
        <v/>
      </c>
      <c r="AR41" s="108" t="n"/>
      <c r="AS41" s="107">
        <f>AR41*100/$E$41</f>
        <v/>
      </c>
      <c r="AT41" s="108" t="n"/>
      <c r="AU41" s="90">
        <f>AT41*100/$E$41</f>
        <v/>
      </c>
      <c r="AV41" s="108" t="n"/>
      <c r="AW41" s="107">
        <f>AV41*100/$E$41</f>
        <v/>
      </c>
      <c r="AX41" s="108" t="n"/>
      <c r="AY41" s="107">
        <f>AX41*100/$E$41</f>
        <v/>
      </c>
      <c r="AZ41" s="108" t="n"/>
      <c r="BA41" s="107">
        <f>AZ41*100/$E$41</f>
        <v/>
      </c>
      <c r="BB41" s="108" t="n"/>
      <c r="BC41" s="107">
        <f>BB41*100/$E$41</f>
        <v/>
      </c>
      <c r="BD41" s="108" t="n"/>
      <c r="BE41" s="107">
        <f>BD41*100/$E$41</f>
        <v/>
      </c>
      <c r="BF41" s="108" t="n"/>
      <c r="BG41" s="107">
        <f>BF41*100/$E$41</f>
        <v/>
      </c>
      <c r="BH41" s="108" t="n"/>
      <c r="BI41" s="107">
        <f>BH41*100/$E$41</f>
        <v/>
      </c>
      <c r="BJ41" s="108" t="n"/>
      <c r="BK41" s="107">
        <f>BJ41*100/$E$41</f>
        <v/>
      </c>
      <c r="BL41" s="108" t="n"/>
      <c r="BM41" s="107">
        <f>BL41*100/$E$41</f>
        <v/>
      </c>
      <c r="BN41" s="108" t="n"/>
      <c r="BO41" s="107">
        <f>BN41*100/$E$41</f>
        <v/>
      </c>
      <c r="BP41" s="108" t="n"/>
      <c r="BQ41" s="107">
        <f>BP41*100/$E$41</f>
        <v/>
      </c>
      <c r="BR41" s="108" t="n"/>
      <c r="BS41" s="107">
        <f>BR41*100/$E$41</f>
        <v/>
      </c>
      <c r="BT41" s="108" t="n"/>
      <c r="BU41" s="107">
        <f>BT41*100/$E$41</f>
        <v/>
      </c>
      <c r="BV41" s="108" t="n"/>
      <c r="BW41" s="107">
        <f>BV41*100/$E$41</f>
        <v/>
      </c>
      <c r="BX41" s="108" t="n"/>
      <c r="BY41" s="107">
        <f>BX41*100/$E$41</f>
        <v/>
      </c>
      <c r="BZ41" s="108" t="n"/>
      <c r="CA41" s="107">
        <f>BZ41*100/$E$41</f>
        <v/>
      </c>
      <c r="CB41" s="108" t="n"/>
      <c r="CC41" s="107">
        <f>CB41*100/$E$41</f>
        <v/>
      </c>
      <c r="CD41" s="108" t="n"/>
      <c r="CE41" s="107">
        <f>CD41*100/$E$41</f>
        <v/>
      </c>
      <c r="CF41" s="108" t="n"/>
      <c r="CG41" s="107">
        <f>CF41*100/$E$41</f>
        <v/>
      </c>
      <c r="CH41" s="108" t="n"/>
      <c r="CI41" s="107">
        <f>CH41*100/$E$41</f>
        <v/>
      </c>
      <c r="CJ41" s="108" t="n"/>
      <c r="CK41" s="107">
        <f>CJ41*100/$E$41</f>
        <v/>
      </c>
      <c r="CL41" s="108" t="n"/>
      <c r="CM41" s="107">
        <f>CL41*100/$E$41</f>
        <v/>
      </c>
      <c r="CN41" s="108" t="n"/>
      <c r="CO41" s="122">
        <f>CN41*100/$E$41</f>
        <v/>
      </c>
      <c r="CP41" s="108" t="n"/>
      <c r="CQ41" s="107">
        <f>CP41*100/$E$41</f>
        <v/>
      </c>
      <c r="CR41" s="108" t="n"/>
      <c r="CS41" s="122">
        <f>CR41*100/$E$41</f>
        <v/>
      </c>
      <c r="CT41" s="108" t="n"/>
      <c r="CU41" s="122">
        <f>CT41*100/$E$41</f>
        <v/>
      </c>
      <c r="CV41" s="108" t="n"/>
      <c r="CW41" s="122">
        <f>CV41*100/$E$41</f>
        <v/>
      </c>
      <c r="CX41" s="108" t="n"/>
      <c r="CY41" s="122">
        <f>CX41*100/$E$41</f>
        <v/>
      </c>
      <c r="CZ41" s="108" t="n"/>
      <c r="DA41" s="122">
        <f>CZ41*100/$E$41</f>
        <v/>
      </c>
      <c r="DB41" s="108" t="n"/>
      <c r="DC41" s="122">
        <f>DB41*100/$E$41</f>
        <v/>
      </c>
      <c r="DD41" s="108" t="n"/>
      <c r="DE41" s="122">
        <f>DD41*100/$E$41</f>
        <v/>
      </c>
      <c r="DF41" s="108" t="n"/>
      <c r="DG41" s="122">
        <f>DF41*100/$E$41</f>
        <v/>
      </c>
      <c r="DH41" s="108" t="n"/>
      <c r="DI41" s="122">
        <f>DH41*100/$E$41</f>
        <v/>
      </c>
      <c r="DJ41" s="108" t="n"/>
      <c r="DK41" s="122">
        <f>DJ41*100/$E$41</f>
        <v/>
      </c>
      <c r="DL41" s="108" t="n"/>
      <c r="DM41" s="122">
        <f>DL41*100/$E$41</f>
        <v/>
      </c>
      <c r="DN41" s="108" t="n"/>
      <c r="DO41" s="122">
        <f>DN41*100/$E$41</f>
        <v/>
      </c>
      <c r="DP41" s="108" t="n"/>
      <c r="DQ41" s="122">
        <f>DP41*100/$E$41</f>
        <v/>
      </c>
      <c r="DR41" s="108" t="n"/>
      <c r="DS41" s="122">
        <f>DR41*100/$E$41</f>
        <v/>
      </c>
      <c r="DT41" s="108" t="n"/>
      <c r="DU41" s="122">
        <f>DT41*100/$E$41</f>
        <v/>
      </c>
      <c r="DV41" s="108" t="n"/>
      <c r="DW41" s="122">
        <f>DV41*100/$E$41</f>
        <v/>
      </c>
      <c r="DX41" s="108" t="n"/>
      <c r="DY41" s="122">
        <f>DX41*100/$E$41</f>
        <v/>
      </c>
      <c r="DZ41" s="108" t="n"/>
      <c r="EA41" s="122">
        <f>DZ41*100/$E$41</f>
        <v/>
      </c>
      <c r="EB41" s="108" t="n"/>
      <c r="EC41" s="122">
        <f>EB41*100/$E$41</f>
        <v/>
      </c>
      <c r="ED41" s="108" t="n"/>
      <c r="EE41" s="122">
        <f>ED41*100/$E$41</f>
        <v/>
      </c>
      <c r="EF41" s="108" t="n"/>
      <c r="EG41" s="122">
        <f>EF41*100/$E$41</f>
        <v/>
      </c>
      <c r="EH41" s="108" t="n"/>
      <c r="EI41" s="122">
        <f>EH41*100/$E$41</f>
        <v/>
      </c>
      <c r="EJ41" s="108" t="n"/>
      <c r="EK41" s="122">
        <f>EJ41*100/$E$41</f>
        <v/>
      </c>
      <c r="EL41" s="108" t="n"/>
      <c r="EM41" s="122">
        <f>EL41*100/$E$41</f>
        <v/>
      </c>
      <c r="EN41" s="108" t="n"/>
      <c r="EO41" s="122">
        <f>EN41*100/$E$41</f>
        <v/>
      </c>
      <c r="EP41" s="108" t="n"/>
      <c r="EQ41" s="122">
        <f>EP41*100/$E$41</f>
        <v/>
      </c>
      <c r="ER41" s="108" t="n"/>
      <c r="ES41" s="122">
        <f>ER41*100/$E$41</f>
        <v/>
      </c>
      <c r="ET41" s="108" t="n"/>
      <c r="EU41" s="122">
        <f>ET41*100/$E$41</f>
        <v/>
      </c>
      <c r="EV41" s="108" t="n"/>
      <c r="EW41" s="122">
        <f>EV41*100/$E$41</f>
        <v/>
      </c>
      <c r="EX41" s="108" t="n"/>
      <c r="EY41" s="122">
        <f>EX41*100/$E$41</f>
        <v/>
      </c>
      <c r="EZ41" s="108" t="n"/>
      <c r="FA41" s="122">
        <f>EZ41*100/$E$41</f>
        <v/>
      </c>
      <c r="FB41" s="108" t="n"/>
      <c r="FC41" s="122">
        <f>FB41*100/$E$41</f>
        <v/>
      </c>
      <c r="FD41" s="108" t="n"/>
      <c r="FE41" s="122">
        <f>FD41*100/$E$41</f>
        <v/>
      </c>
      <c r="FF41" s="108" t="n"/>
      <c r="FG41" s="122">
        <f>FF41*100/$E$41</f>
        <v/>
      </c>
      <c r="FH41" s="108" t="n"/>
      <c r="FI41" s="122">
        <f>FH41*100/$E$41</f>
        <v/>
      </c>
      <c r="FJ41" s="108" t="n"/>
      <c r="FK41" s="122">
        <f>FJ41*100/$E$41</f>
        <v/>
      </c>
      <c r="FL41" s="108" t="n"/>
      <c r="FM41" s="122">
        <f>FL41*100/$E$41</f>
        <v/>
      </c>
      <c r="FN41" s="108" t="n"/>
      <c r="FO41" s="122">
        <f>FN41*100/$E$41</f>
        <v/>
      </c>
      <c r="FP41" s="108" t="n"/>
      <c r="FQ41" s="122">
        <f>FP41*100/$E$41</f>
        <v/>
      </c>
      <c r="FR41" s="108" t="n"/>
      <c r="FS41" s="122">
        <f>FR41*100/$E$41</f>
        <v/>
      </c>
      <c r="FT41" s="108" t="n"/>
      <c r="FU41" s="122">
        <f>FT41*100/$E$41</f>
        <v/>
      </c>
      <c r="FV41" s="108" t="n"/>
      <c r="FW41" s="122">
        <f>FV41*100/$E$41</f>
        <v/>
      </c>
      <c r="FX41" s="108" t="n"/>
      <c r="FY41" s="107">
        <f>FX41*100/$E$41</f>
        <v/>
      </c>
      <c r="FZ41" s="108" t="n"/>
      <c r="GA41" s="107">
        <f>FZ41*100/$E$41</f>
        <v/>
      </c>
      <c r="GB41" s="108" t="n"/>
      <c r="GC41" s="107">
        <f>GB41*100/$E$41</f>
        <v/>
      </c>
      <c r="GD41" s="108" t="n"/>
      <c r="GE41" s="107">
        <f>GD41*100/$E$41</f>
        <v/>
      </c>
      <c r="GF41" s="108" t="n"/>
      <c r="GG41" s="107">
        <f>GF41*100/$E$41</f>
        <v/>
      </c>
      <c r="GH41" s="108" t="n"/>
      <c r="GI41" s="107">
        <f>GH41*100/$E$41</f>
        <v/>
      </c>
      <c r="GJ41" s="108" t="n"/>
      <c r="GK41" s="122">
        <f>GJ41*100/$E$41</f>
        <v/>
      </c>
      <c r="GL41" s="108" t="n"/>
      <c r="GM41" s="107">
        <f>GL41*100/$E$41</f>
        <v/>
      </c>
      <c r="GN41" s="108" t="n"/>
      <c r="GO41" s="122">
        <f>GN41*100/$E$41</f>
        <v/>
      </c>
      <c r="GP41" s="108" t="n"/>
      <c r="GQ41" s="107">
        <f>GP41*100/$E$41</f>
        <v/>
      </c>
      <c r="GR41" s="108" t="n"/>
      <c r="GS41" s="122">
        <f>GR41*100/$E$41</f>
        <v/>
      </c>
      <c r="GT41" s="108" t="n"/>
      <c r="GU41" s="122">
        <f>GT41*100/$E$41</f>
        <v/>
      </c>
      <c r="GV41" s="108" t="n"/>
      <c r="GW41" s="122">
        <f>GV41*100/$E$41</f>
        <v/>
      </c>
      <c r="GX41" s="108" t="n"/>
      <c r="GY41" s="107">
        <f>GX41*100/$E$41</f>
        <v/>
      </c>
      <c r="GZ41" s="108" t="n"/>
      <c r="HA41" s="107">
        <f>GZ41*100/$E$41</f>
        <v/>
      </c>
      <c r="HB41" s="108" t="n"/>
      <c r="HC41" s="107">
        <f>HB41*100/$E$41</f>
        <v/>
      </c>
      <c r="HD41" s="108" t="n"/>
      <c r="HE41" s="107">
        <f>HD41*100/$E$41</f>
        <v/>
      </c>
      <c r="HF41" s="108" t="n"/>
      <c r="HG41" s="107">
        <f>HF41*100/$E$41</f>
        <v/>
      </c>
      <c r="HH41" s="108" t="n"/>
      <c r="HI41" s="107">
        <f>HH41*100/$E$41</f>
        <v/>
      </c>
      <c r="HJ41" s="108" t="n"/>
      <c r="HK41" s="107">
        <f>HJ41*100/$E$41</f>
        <v/>
      </c>
      <c r="HL41" s="108" t="n"/>
      <c r="HM41" s="107">
        <f>HL41*100/$E$41</f>
        <v/>
      </c>
      <c r="HN41" s="108" t="n"/>
      <c r="HO41" s="107">
        <f>HN41*100/$E$41</f>
        <v/>
      </c>
      <c r="HP41" s="108" t="n"/>
      <c r="HQ41" s="107">
        <f>HP41*100/$E$41</f>
        <v/>
      </c>
      <c r="HR41" s="108" t="n"/>
      <c r="HS41" s="107">
        <f>HR41*100/$E$41</f>
        <v/>
      </c>
      <c r="HT41" s="108" t="n"/>
      <c r="HU41" s="107">
        <f>HT41*100/$E$41</f>
        <v/>
      </c>
      <c r="HV41" s="108" t="n"/>
      <c r="HW41" s="107">
        <f>HV41*100/$E$41</f>
        <v/>
      </c>
      <c r="HX41" s="108" t="n"/>
      <c r="HY41" s="107">
        <f>HX41*100/$E$41</f>
        <v/>
      </c>
      <c r="HZ41" s="108" t="n"/>
      <c r="IA41" s="122">
        <f>HZ41*100/$E$41</f>
        <v/>
      </c>
      <c r="IB41" s="108" t="n"/>
      <c r="IC41" s="122">
        <f>IB41*100/$E$41</f>
        <v/>
      </c>
      <c r="ID41" s="108" t="n"/>
      <c r="IE41" s="122">
        <f>ID41*100/$E$41</f>
        <v/>
      </c>
      <c r="IF41" s="108" t="n"/>
      <c r="IG41" s="122">
        <f>IF41*100/$E$41</f>
        <v/>
      </c>
      <c r="IH41" s="108" t="n"/>
      <c r="II41" s="122">
        <f>IH41*100/$E$41</f>
        <v/>
      </c>
      <c r="IJ41" s="108" t="n"/>
      <c r="IK41" s="122">
        <f>IJ41*100/$E$41</f>
        <v/>
      </c>
      <c r="IL41" s="108" t="n"/>
      <c r="IM41" s="107">
        <f>IL41*100/$E$41</f>
        <v/>
      </c>
      <c r="IN41" s="108" t="n"/>
      <c r="IO41" s="107">
        <f>IN41*100/$E$41</f>
        <v/>
      </c>
      <c r="IP41" s="108" t="n"/>
      <c r="IQ41" s="122">
        <f>IP41*100/$E$41</f>
        <v/>
      </c>
      <c r="IR41" s="108" t="n"/>
      <c r="IS41" s="122">
        <f>IR41*100/$E$41</f>
        <v/>
      </c>
      <c r="IT41" s="108" t="n"/>
      <c r="IU41" s="122">
        <f>IT41*100/$E$41</f>
        <v/>
      </c>
      <c r="IV41" s="108" t="n"/>
      <c r="IW41" s="122">
        <f>IV41*100/$E$41</f>
        <v/>
      </c>
      <c r="IX41" s="108" t="n"/>
      <c r="IY41" s="122">
        <f>IX41*100/$E$41</f>
        <v/>
      </c>
      <c r="IZ41" s="108" t="n"/>
      <c r="JA41" s="122">
        <f>IZ41*100/$E$41</f>
        <v/>
      </c>
      <c r="JB41" s="108" t="n"/>
      <c r="JC41" s="122">
        <f>JB41*100/$E$41</f>
        <v/>
      </c>
      <c r="JD41" s="108" t="n"/>
      <c r="JE41" s="122">
        <f>JD41*100/$E$41</f>
        <v/>
      </c>
      <c r="JF41" s="108" t="n"/>
      <c r="JG41" s="122">
        <f>JF41*100/$E$41</f>
        <v/>
      </c>
      <c r="JH41" s="108" t="n"/>
      <c r="JI41" s="122">
        <f>JH41*100/$E$41</f>
        <v/>
      </c>
      <c r="JJ41" s="108" t="n"/>
      <c r="JK41" s="122">
        <f>JJ41*100/$E$41</f>
        <v/>
      </c>
      <c r="JL41" s="108" t="n"/>
      <c r="JM41" s="122">
        <f>JL41*100/$E$41</f>
        <v/>
      </c>
      <c r="JN41" s="108" t="n"/>
      <c r="JO41" s="121">
        <f>JN41*100/$E$41</f>
        <v/>
      </c>
      <c r="JP41" s="108" t="n"/>
      <c r="JQ41" s="121">
        <f>JP41*100/$E$41</f>
        <v/>
      </c>
      <c r="JR41" s="108" t="n"/>
      <c r="JS41" s="121">
        <f>JR41*100/$E$41</f>
        <v/>
      </c>
      <c r="JT41" s="108" t="n"/>
      <c r="JU41" s="121">
        <f>JT41*100/$E$41</f>
        <v/>
      </c>
      <c r="JV41" s="108" t="n"/>
      <c r="JW41" s="121">
        <f>JV41*100/$E$41</f>
        <v/>
      </c>
      <c r="JX41" s="108" t="n"/>
      <c r="JY41" s="121">
        <f>JX41*100/$E$41</f>
        <v/>
      </c>
      <c r="JZ41" s="55">
        <f>JN41+JP41+JR41+JT41+JV41+JX41</f>
        <v/>
      </c>
      <c r="KA41" s="53">
        <f>JO41+JQ41+JS41+JU41+JW41+JY41</f>
        <v/>
      </c>
      <c r="KB41" s="64">
        <f>H41+J41+L41+N41+P41+R41+T41+V41+X41+Z41+AB41+AD41+AF41+AH41+AJ41+AL41+AN41+AP41+AR41+AT41+AV41+AX41+AZ41+BB41+BD41+BF41+BH41+BJ41+BL41+BN41+BP41+BR41+BT41+BV41+BX41+BZ41+CB41+CD41+CF41+CH41+CZ41+DB41+DD41+DF41+DH41+DJ41+DL41+DN41+DP41+DR41+DT41+DV41+DX41+DZ41+EB41+ED41+EF41+EH41+EJ41+EL41+EN41+EP41+ER41+ET41+EV41+FN41+FP41+FR41+FT41+FV41+FX41+FZ41+GB41+GD41+GF41+GH41+GJ41+GL41+GN41+GP41+GR41+GT41+GV41+GX41+GZ41+HB41+HD41+HF41+HH41+HJ41+HL41+HN41+HP41+HR41+HT41+HV41+HX41+HZ41+IB41+ID41+IF41+IH41+IJ41+IL41+IN41+IP41+IR41+IT41+IV41+IX41+IZ41+JB41+JD41+JF41+JH41+JJ41+JL41+JZ41+CJ41+CL41+CN41+CP41+CR41+CT41+CV41+CX41+EX41+EZ41+FB41+FD41+FF41+FH41+FJ41+FL41</f>
        <v/>
      </c>
      <c r="KC41" s="66">
        <f>I41+K41+M41+O41+Q41+S41+U41+W41+Y41+AA41+AC41+AE41+AG41+AI41+AK41+AM41+AO41+AQ41+AS41+AU41+AW41+AY41+BA41+BC41+BE41+BG41+BI41+BK41+BM41+BO41+BQ41+BS41+BU41+BW41+BY41+CA41+CC41+CE41+CG41+CI41+DA41+DC41+DE41+DG41+DI41+DK41+DM41+DO41+DQ41+DS41+DU41+DW41+DY41+EA41+EC41+EE41+EG41+EI41+EK41+EM41+EO41+EQ41+ES41+EU41+EW41+FO41+FS41+FU41+FW41+FQ41+FY41+GA41+GC41+GE41+GG41+GI41+GK41+GM41+GO41+GQ41+GS41+GU41+GW41+GY41+HA41+HC41+HE41+HG41+HI41+HK41+HM41+HO41+HQ41+HS41+HU41+HW41+HY41+IA41+IC41+IE41+IG41+II41+IK41+IM41+IO41+IQ41+IS41+IU41+IW41+IY41+JA41+JC41+JE41+JG41+JI41+JK41+JM41+KA41+CK41+CM41+CO41+CQ41+CS41+CU41+CW41+CY41+EY41+FA41+FC41+FE41+FG41+FI41+FK41+FM41</f>
        <v/>
      </c>
      <c r="KD41" s="44">
        <f>JO41+JQ41+JS41+JU41+JW41+JY41</f>
        <v/>
      </c>
      <c r="KE41" s="45">
        <f>KB41=E41</f>
        <v/>
      </c>
      <c r="KF41" s="101">
        <f>E41-KB41</f>
        <v/>
      </c>
      <c r="KG41" s="26" t="n"/>
    </row>
    <row r="42" ht="21.75" customFormat="1" customHeight="1" s="27">
      <c r="A42" s="126">
        <f>A41+1</f>
        <v/>
      </c>
      <c r="B42" s="175" t="inlineStr">
        <is>
          <t>Сидоров Ю.В.</t>
        </is>
      </c>
      <c r="C42" s="176" t="inlineStr">
        <is>
          <t>ЧПУ</t>
        </is>
      </c>
      <c r="D42" s="177">
        <f>$D$5</f>
        <v/>
      </c>
      <c r="E42" s="202" t="n"/>
      <c r="F42" s="193" t="n">
        <v>120115.09</v>
      </c>
      <c r="G42" s="52">
        <f>F42/D42</f>
        <v/>
      </c>
      <c r="H42" s="125" t="n"/>
      <c r="I42" s="107">
        <f>H42*100/$E$42</f>
        <v/>
      </c>
      <c r="J42" s="108" t="n"/>
      <c r="K42" s="107">
        <f>J42*100/$E$42</f>
        <v/>
      </c>
      <c r="L42" s="108" t="n"/>
      <c r="M42" s="107">
        <f>L42*100/$E$42</f>
        <v/>
      </c>
      <c r="N42" s="108" t="n"/>
      <c r="O42" s="107">
        <f>N42*100/$E$42</f>
        <v/>
      </c>
      <c r="P42" s="108" t="n"/>
      <c r="Q42" s="122">
        <f>P42*100/$E$42</f>
        <v/>
      </c>
      <c r="R42" s="108" t="n"/>
      <c r="S42" s="122">
        <f>R42*100/$E$42</f>
        <v/>
      </c>
      <c r="T42" s="108" t="n"/>
      <c r="U42" s="107">
        <f>T42*100/$E$42</f>
        <v/>
      </c>
      <c r="V42" s="108" t="n"/>
      <c r="W42" s="107">
        <f>V42*100/$E$42</f>
        <v/>
      </c>
      <c r="X42" s="108" t="n"/>
      <c r="Y42" s="107">
        <f>X42*100/$E$42</f>
        <v/>
      </c>
      <c r="Z42" s="108" t="n"/>
      <c r="AA42" s="107">
        <f>Z42*100/$E$42</f>
        <v/>
      </c>
      <c r="AB42" s="108" t="n"/>
      <c r="AC42" s="107">
        <f>AB42*100/$E$42</f>
        <v/>
      </c>
      <c r="AD42" s="108" t="n"/>
      <c r="AE42" s="122">
        <f>AD42*100/$E$42</f>
        <v/>
      </c>
      <c r="AF42" s="108" t="n"/>
      <c r="AG42" s="122">
        <f>AF42*100/$E$42</f>
        <v/>
      </c>
      <c r="AH42" s="108" t="n"/>
      <c r="AI42" s="107">
        <f>AH42*100/$E$42</f>
        <v/>
      </c>
      <c r="AJ42" s="108" t="n"/>
      <c r="AK42" s="107">
        <f>AJ42*100/$E$42</f>
        <v/>
      </c>
      <c r="AL42" s="108" t="n"/>
      <c r="AM42" s="107">
        <f>AL42*100/$E$42</f>
        <v/>
      </c>
      <c r="AN42" s="108" t="n"/>
      <c r="AO42" s="107">
        <f>AN42*100/$E$42</f>
        <v/>
      </c>
      <c r="AP42" s="108" t="n"/>
      <c r="AQ42" s="107">
        <f>AP42*100/$E$42</f>
        <v/>
      </c>
      <c r="AR42" s="108" t="n"/>
      <c r="AS42" s="107">
        <f>AR42*100/$E$42</f>
        <v/>
      </c>
      <c r="AT42" s="108" t="n"/>
      <c r="AU42" s="90">
        <f>AT42*100/$E$42</f>
        <v/>
      </c>
      <c r="AV42" s="108" t="n"/>
      <c r="AW42" s="107">
        <f>AV42*100/$E$42</f>
        <v/>
      </c>
      <c r="AX42" s="108" t="n"/>
      <c r="AY42" s="107">
        <f>AX42*100/$E$42</f>
        <v/>
      </c>
      <c r="AZ42" s="108" t="n"/>
      <c r="BA42" s="107">
        <f>AZ42*100/$E$42</f>
        <v/>
      </c>
      <c r="BB42" s="108" t="n"/>
      <c r="BC42" s="107">
        <f>BB42*100/$E$42</f>
        <v/>
      </c>
      <c r="BD42" s="108" t="n"/>
      <c r="BE42" s="107">
        <f>BD42*100/$E$42</f>
        <v/>
      </c>
      <c r="BF42" s="108" t="n"/>
      <c r="BG42" s="107">
        <f>BF42*100/$E$42</f>
        <v/>
      </c>
      <c r="BH42" s="108" t="n"/>
      <c r="BI42" s="107">
        <f>BH42*100/$E$42</f>
        <v/>
      </c>
      <c r="BJ42" s="108" t="n"/>
      <c r="BK42" s="107">
        <f>BJ42*100/$E$42</f>
        <v/>
      </c>
      <c r="BL42" s="108" t="n"/>
      <c r="BM42" s="107">
        <f>BL42*100/$E$42</f>
        <v/>
      </c>
      <c r="BN42" s="108" t="n"/>
      <c r="BO42" s="107">
        <f>BN42*100/$E$42</f>
        <v/>
      </c>
      <c r="BP42" s="108" t="n"/>
      <c r="BQ42" s="107">
        <f>BP42*100/$E$42</f>
        <v/>
      </c>
      <c r="BR42" s="108" t="n"/>
      <c r="BS42" s="107">
        <f>BR42*100/$E$42</f>
        <v/>
      </c>
      <c r="BT42" s="108" t="n"/>
      <c r="BU42" s="107">
        <f>BT42*100/$E$42</f>
        <v/>
      </c>
      <c r="BV42" s="108" t="n"/>
      <c r="BW42" s="107">
        <f>BV42*100/$E$42</f>
        <v/>
      </c>
      <c r="BX42" s="108" t="n"/>
      <c r="BY42" s="107">
        <f>BX42*100/$E$42</f>
        <v/>
      </c>
      <c r="BZ42" s="108" t="n"/>
      <c r="CA42" s="107">
        <f>BZ42*100/$E$42</f>
        <v/>
      </c>
      <c r="CB42" s="108" t="n"/>
      <c r="CC42" s="107">
        <f>CB42*100/$E$42</f>
        <v/>
      </c>
      <c r="CD42" s="108" t="n"/>
      <c r="CE42" s="107">
        <f>CD42*100/$E$42</f>
        <v/>
      </c>
      <c r="CF42" s="108" t="n"/>
      <c r="CG42" s="107">
        <f>CF42*100/$E$42</f>
        <v/>
      </c>
      <c r="CH42" s="108" t="n"/>
      <c r="CI42" s="107">
        <f>CH42*100/$E$42</f>
        <v/>
      </c>
      <c r="CJ42" s="108" t="n"/>
      <c r="CK42" s="107">
        <f>CJ42*100/$E$42</f>
        <v/>
      </c>
      <c r="CL42" s="108" t="n"/>
      <c r="CM42" s="107">
        <f>CL42*100/$E$42</f>
        <v/>
      </c>
      <c r="CN42" s="108" t="n"/>
      <c r="CO42" s="122">
        <f>CN42*100/$E$42</f>
        <v/>
      </c>
      <c r="CP42" s="108" t="n"/>
      <c r="CQ42" s="107">
        <f>CP42*100/$E$42</f>
        <v/>
      </c>
      <c r="CR42" s="108" t="n"/>
      <c r="CS42" s="122">
        <f>CR42*100/$E$42</f>
        <v/>
      </c>
      <c r="CT42" s="108" t="n"/>
      <c r="CU42" s="122">
        <f>CT42*100/$E$42</f>
        <v/>
      </c>
      <c r="CV42" s="108" t="n"/>
      <c r="CW42" s="122">
        <f>CV42*100/$E$42</f>
        <v/>
      </c>
      <c r="CX42" s="108" t="n"/>
      <c r="CY42" s="122">
        <f>CX42*100/$E$42</f>
        <v/>
      </c>
      <c r="CZ42" s="108" t="n"/>
      <c r="DA42" s="122">
        <f>CZ42*100/$E$42</f>
        <v/>
      </c>
      <c r="DB42" s="108" t="n"/>
      <c r="DC42" s="122">
        <f>DB42*100/$E$42</f>
        <v/>
      </c>
      <c r="DD42" s="108" t="n"/>
      <c r="DE42" s="122">
        <f>DD42*100/$E$42</f>
        <v/>
      </c>
      <c r="DF42" s="108" t="n"/>
      <c r="DG42" s="122">
        <f>DF42*100/$E$42</f>
        <v/>
      </c>
      <c r="DH42" s="108" t="n"/>
      <c r="DI42" s="122">
        <f>DH42*100/$E$42</f>
        <v/>
      </c>
      <c r="DJ42" s="108" t="n"/>
      <c r="DK42" s="122">
        <f>DJ42*100/$E$42</f>
        <v/>
      </c>
      <c r="DL42" s="108" t="n"/>
      <c r="DM42" s="122">
        <f>DL42*100/$E$42</f>
        <v/>
      </c>
      <c r="DN42" s="108" t="n"/>
      <c r="DO42" s="122">
        <f>DN42*100/$E$42</f>
        <v/>
      </c>
      <c r="DP42" s="108" t="n"/>
      <c r="DQ42" s="122">
        <f>DP42*100/$E$42</f>
        <v/>
      </c>
      <c r="DR42" s="108" t="n"/>
      <c r="DS42" s="122">
        <f>DR42*100/$E$42</f>
        <v/>
      </c>
      <c r="DT42" s="108" t="n"/>
      <c r="DU42" s="122">
        <f>DT42*100/$E$42</f>
        <v/>
      </c>
      <c r="DV42" s="108" t="n"/>
      <c r="DW42" s="122">
        <f>DV42*100/$E$42</f>
        <v/>
      </c>
      <c r="DX42" s="108" t="n"/>
      <c r="DY42" s="122">
        <f>DX42*100/$E$42</f>
        <v/>
      </c>
      <c r="DZ42" s="108" t="n"/>
      <c r="EA42" s="122">
        <f>DZ42*100/$E$42</f>
        <v/>
      </c>
      <c r="EB42" s="108" t="n"/>
      <c r="EC42" s="122">
        <f>EB42*100/$E$42</f>
        <v/>
      </c>
      <c r="ED42" s="108" t="n"/>
      <c r="EE42" s="122">
        <f>ED42*100/$E$42</f>
        <v/>
      </c>
      <c r="EF42" s="108" t="n"/>
      <c r="EG42" s="122">
        <f>EF42*100/$E$42</f>
        <v/>
      </c>
      <c r="EH42" s="108" t="n"/>
      <c r="EI42" s="122">
        <f>EH42*100/$E$42</f>
        <v/>
      </c>
      <c r="EJ42" s="108" t="n"/>
      <c r="EK42" s="122">
        <f>EJ42*100/$E$42</f>
        <v/>
      </c>
      <c r="EL42" s="108" t="n"/>
      <c r="EM42" s="122">
        <f>EL42*100/$E$42</f>
        <v/>
      </c>
      <c r="EN42" s="108" t="n"/>
      <c r="EO42" s="122">
        <f>EN42*100/$E$42</f>
        <v/>
      </c>
      <c r="EP42" s="108" t="n"/>
      <c r="EQ42" s="122">
        <f>EP42*100/$E$42</f>
        <v/>
      </c>
      <c r="ER42" s="108" t="n"/>
      <c r="ES42" s="122">
        <f>ER42*100/$E$42</f>
        <v/>
      </c>
      <c r="ET42" s="108" t="n"/>
      <c r="EU42" s="122">
        <f>ET42*100/$E$42</f>
        <v/>
      </c>
      <c r="EV42" s="108" t="n"/>
      <c r="EW42" s="122">
        <f>EV42*100/$E$42</f>
        <v/>
      </c>
      <c r="EX42" s="108" t="n"/>
      <c r="EY42" s="122">
        <f>EX42*100/$E$42</f>
        <v/>
      </c>
      <c r="EZ42" s="108" t="n"/>
      <c r="FA42" s="122">
        <f>EZ42*100/$E$42</f>
        <v/>
      </c>
      <c r="FB42" s="108" t="n"/>
      <c r="FC42" s="122">
        <f>FB42*100/$E$42</f>
        <v/>
      </c>
      <c r="FD42" s="108" t="n"/>
      <c r="FE42" s="122">
        <f>FD42*100/$E$42</f>
        <v/>
      </c>
      <c r="FF42" s="108" t="n"/>
      <c r="FG42" s="122">
        <f>FF42*100/$E$42</f>
        <v/>
      </c>
      <c r="FH42" s="108" t="n"/>
      <c r="FI42" s="122">
        <f>FH42*100/$E$42</f>
        <v/>
      </c>
      <c r="FJ42" s="108" t="n"/>
      <c r="FK42" s="122">
        <f>FJ42*100/$E$42</f>
        <v/>
      </c>
      <c r="FL42" s="108" t="n"/>
      <c r="FM42" s="122">
        <f>FL42*100/$E$42</f>
        <v/>
      </c>
      <c r="FN42" s="108" t="n"/>
      <c r="FO42" s="122">
        <f>FN42*100/$E$42</f>
        <v/>
      </c>
      <c r="FP42" s="108" t="n"/>
      <c r="FQ42" s="122">
        <f>FP42*100/$E$42</f>
        <v/>
      </c>
      <c r="FR42" s="108" t="n"/>
      <c r="FS42" s="122">
        <f>FR42*100/$E$42</f>
        <v/>
      </c>
      <c r="FT42" s="108" t="n"/>
      <c r="FU42" s="122">
        <f>FT42*100/$E$42</f>
        <v/>
      </c>
      <c r="FV42" s="108" t="n"/>
      <c r="FW42" s="122">
        <f>FV42*100/$E$42</f>
        <v/>
      </c>
      <c r="FX42" s="108" t="n"/>
      <c r="FY42" s="107">
        <f>FX42*100/$E$42</f>
        <v/>
      </c>
      <c r="FZ42" s="108" t="n"/>
      <c r="GA42" s="107">
        <f>FZ42*100/$E$42</f>
        <v/>
      </c>
      <c r="GB42" s="108" t="n"/>
      <c r="GC42" s="107">
        <f>GB42*100/$E$42</f>
        <v/>
      </c>
      <c r="GD42" s="108" t="n"/>
      <c r="GE42" s="107">
        <f>GD42*100/$E$42</f>
        <v/>
      </c>
      <c r="GF42" s="108" t="n"/>
      <c r="GG42" s="107">
        <f>GF42*100/$E$42</f>
        <v/>
      </c>
      <c r="GH42" s="108" t="n"/>
      <c r="GI42" s="107">
        <f>GH42*100/$E$42</f>
        <v/>
      </c>
      <c r="GJ42" s="108" t="n"/>
      <c r="GK42" s="122">
        <f>GJ42*100/$E$42</f>
        <v/>
      </c>
      <c r="GL42" s="108" t="n"/>
      <c r="GM42" s="107">
        <f>GL42*100/$E$42</f>
        <v/>
      </c>
      <c r="GN42" s="108" t="n"/>
      <c r="GO42" s="122">
        <f>GN42*100/$E$42</f>
        <v/>
      </c>
      <c r="GP42" s="108" t="n"/>
      <c r="GQ42" s="107">
        <f>GP42*100/$E$42</f>
        <v/>
      </c>
      <c r="GR42" s="108" t="n"/>
      <c r="GS42" s="122">
        <f>GR42*100/$E$42</f>
        <v/>
      </c>
      <c r="GT42" s="108" t="n"/>
      <c r="GU42" s="122">
        <f>GT42*100/$E$42</f>
        <v/>
      </c>
      <c r="GV42" s="108" t="n"/>
      <c r="GW42" s="122">
        <f>GV42*100/$E$42</f>
        <v/>
      </c>
      <c r="GX42" s="108" t="n"/>
      <c r="GY42" s="107">
        <f>GX42*100/$E$42</f>
        <v/>
      </c>
      <c r="GZ42" s="108" t="n"/>
      <c r="HA42" s="107">
        <f>GZ42*100/$E$42</f>
        <v/>
      </c>
      <c r="HB42" s="108" t="n"/>
      <c r="HC42" s="107">
        <f>HB42*100/$E$42</f>
        <v/>
      </c>
      <c r="HD42" s="108" t="n"/>
      <c r="HE42" s="107">
        <f>HD42*100/$E$42</f>
        <v/>
      </c>
      <c r="HF42" s="108" t="n"/>
      <c r="HG42" s="107">
        <f>HF42*100/$E$42</f>
        <v/>
      </c>
      <c r="HH42" s="108" t="n"/>
      <c r="HI42" s="107">
        <f>HH42*100/$E$42</f>
        <v/>
      </c>
      <c r="HJ42" s="108" t="n"/>
      <c r="HK42" s="107">
        <f>HJ42*100/$E$42</f>
        <v/>
      </c>
      <c r="HL42" s="108" t="n"/>
      <c r="HM42" s="107">
        <f>HL42*100/$E$42</f>
        <v/>
      </c>
      <c r="HN42" s="108" t="n"/>
      <c r="HO42" s="107">
        <f>HN42*100/$E$42</f>
        <v/>
      </c>
      <c r="HP42" s="108" t="n"/>
      <c r="HQ42" s="107">
        <f>HP42*100/$E$42</f>
        <v/>
      </c>
      <c r="HR42" s="108" t="n"/>
      <c r="HS42" s="107">
        <f>HR42*100/$E$42</f>
        <v/>
      </c>
      <c r="HT42" s="108" t="n"/>
      <c r="HU42" s="107">
        <f>HT42*100/$E$42</f>
        <v/>
      </c>
      <c r="HV42" s="108" t="n"/>
      <c r="HW42" s="107">
        <f>HV42*100/$E$42</f>
        <v/>
      </c>
      <c r="HX42" s="108" t="n"/>
      <c r="HY42" s="107">
        <f>HX42*100/$E$42</f>
        <v/>
      </c>
      <c r="HZ42" s="108" t="n"/>
      <c r="IA42" s="122">
        <f>HZ42*100/$E$42</f>
        <v/>
      </c>
      <c r="IB42" s="108" t="n"/>
      <c r="IC42" s="122">
        <f>IB42*100/$E$42</f>
        <v/>
      </c>
      <c r="ID42" s="108" t="n"/>
      <c r="IE42" s="122">
        <f>ID42*100/$E$42</f>
        <v/>
      </c>
      <c r="IF42" s="108" t="n"/>
      <c r="IG42" s="122">
        <f>IF42*100/$E$42</f>
        <v/>
      </c>
      <c r="IH42" s="108" t="n"/>
      <c r="II42" s="122">
        <f>IH42*100/$E$42</f>
        <v/>
      </c>
      <c r="IJ42" s="108" t="n"/>
      <c r="IK42" s="122">
        <f>IJ42*100/$E$42</f>
        <v/>
      </c>
      <c r="IL42" s="108" t="n"/>
      <c r="IM42" s="107">
        <f>IL42*100/$E$42</f>
        <v/>
      </c>
      <c r="IN42" s="108" t="n"/>
      <c r="IO42" s="107">
        <f>IN42*100/$E$42</f>
        <v/>
      </c>
      <c r="IP42" s="108" t="n"/>
      <c r="IQ42" s="122">
        <f>IP42*100/$E$42</f>
        <v/>
      </c>
      <c r="IR42" s="108" t="n"/>
      <c r="IS42" s="122">
        <f>IR42*100/$E$42</f>
        <v/>
      </c>
      <c r="IT42" s="108" t="n"/>
      <c r="IU42" s="122">
        <f>IT42*100/$E$42</f>
        <v/>
      </c>
      <c r="IV42" s="108" t="n"/>
      <c r="IW42" s="122">
        <f>IV42*100/$E$42</f>
        <v/>
      </c>
      <c r="IX42" s="108" t="n"/>
      <c r="IY42" s="122">
        <f>IX42*100/$E$42</f>
        <v/>
      </c>
      <c r="IZ42" s="108" t="n"/>
      <c r="JA42" s="122">
        <f>IZ42*100/$E$42</f>
        <v/>
      </c>
      <c r="JB42" s="108" t="n"/>
      <c r="JC42" s="122">
        <f>JB42*100/$E$42</f>
        <v/>
      </c>
      <c r="JD42" s="108" t="n"/>
      <c r="JE42" s="122">
        <f>JD42*100/$E$42</f>
        <v/>
      </c>
      <c r="JF42" s="108" t="n"/>
      <c r="JG42" s="122">
        <f>JF42*100/$E$42</f>
        <v/>
      </c>
      <c r="JH42" s="108" t="n"/>
      <c r="JI42" s="122">
        <f>JH42*100/$E$42</f>
        <v/>
      </c>
      <c r="JJ42" s="108" t="n"/>
      <c r="JK42" s="122">
        <f>JJ42*100/$E$42</f>
        <v/>
      </c>
      <c r="JL42" s="108" t="n"/>
      <c r="JM42" s="122">
        <f>JL42*100/$E$42</f>
        <v/>
      </c>
      <c r="JN42" s="108" t="n"/>
      <c r="JO42" s="121">
        <f>JN42*100/$E$42</f>
        <v/>
      </c>
      <c r="JP42" s="108" t="n"/>
      <c r="JQ42" s="121">
        <f>JP42*100/$E$42</f>
        <v/>
      </c>
      <c r="JR42" s="108" t="n"/>
      <c r="JS42" s="121">
        <f>JR42*100/$E$42</f>
        <v/>
      </c>
      <c r="JT42" s="108" t="n"/>
      <c r="JU42" s="121">
        <f>JT42*100/$E$42</f>
        <v/>
      </c>
      <c r="JV42" s="108" t="n"/>
      <c r="JW42" s="121">
        <f>JV42*100/$E$42</f>
        <v/>
      </c>
      <c r="JX42" s="108" t="n"/>
      <c r="JY42" s="121">
        <f>JX42*100/$E$42</f>
        <v/>
      </c>
      <c r="JZ42" s="55">
        <f>JN42+JP42+JR42+JT42+JV42+JX42</f>
        <v/>
      </c>
      <c r="KA42" s="53">
        <f>JO42+JQ42+JS42+JU42+JW42+JY42</f>
        <v/>
      </c>
      <c r="KB42" s="64">
        <f>H42+J42+L42+N42+P42+R42+T42+V42+X42+Z42+AB42+AD42+AF42+AH42+AJ42+AL42+AN42+AP42+AR42+AT42+AV42+AX42+AZ42+BB42+BD42+BF42+BH42+BJ42+BL42+BN42+BP42+BR42+BT42+BV42+BX42+BZ42+CB42+CD42+CF42+CH42+CZ42+DB42+DD42+DF42+DH42+DJ42+DL42+DN42+DP42+DR42+DT42+DV42+DX42+DZ42+EB42+ED42+EF42+EH42+EJ42+EL42+EN42+EP42+ER42+ET42+EV42+FN42+FP42+FR42+FT42+FV42+FX42+FZ42+GB42+GD42+GF42+GH42+GJ42+GL42+GN42+GP42+GR42+GT42+GV42+GX42+GZ42+HB42+HD42+HF42+HH42+HJ42+HL42+HN42+HP42+HR42+HT42+HV42+HX42+HZ42+IB42+ID42+IF42+IH42+IJ42+IL42+IN42+IP42+IR42+IT42+IV42+IX42+IZ42+JB42+JD42+JF42+JH42+JJ42+JL42+JZ42+CJ42+CL42+CN42+CP42+CR42+CT42+CV42+CX42+EX42+EZ42+FB42+FD42+FF42+FH42+FJ42+FL42</f>
        <v/>
      </c>
      <c r="KC42" s="66">
        <f>I42+K42+M42+O42+Q42+S42+U42+W42+Y42+AA42+AC42+AE42+AG42+AI42+AK42+AM42+AO42+AQ42+AS42+AU42+AW42+AY42+BA42+BC42+BE42+BG42+BI42+BK42+BM42+BO42+BQ42+BS42+BU42+BW42+BY42+CA42+CC42+CE42+CG42+CI42+DA42+DC42+DE42+DG42+DI42+DK42+DM42+DO42+DQ42+DS42+DU42+DW42+DY42+EA42+EC42+EE42+EG42+EI42+EK42+EM42+EO42+EQ42+ES42+EU42+EW42+FO42+FS42+FU42+FW42+FQ42+FY42+GA42+GC42+GE42+GG42+GI42+GK42+GM42+GO42+GQ42+GS42+GU42+GW42+GY42+HA42+HC42+HE42+HG42+HI42+HK42+HM42+HO42+HQ42+HS42+HU42+HW42+HY42+IA42+IC42+IE42+IG42+II42+IK42+IM42+IO42+IQ42+IS42+IU42+IW42+IY42+JA42+JC42+JE42+JG42+JI42+JK42+JM42+KA42+CK42+CM42+CO42+CQ42+CS42+CU42+CW42+CY42+EY42+FA42+FC42+FE42+FG42+FI42+FK42+FM42</f>
        <v/>
      </c>
      <c r="KD42" s="44">
        <f>JO42+JQ42+JS42+JU42+JW42+JY42</f>
        <v/>
      </c>
      <c r="KE42" s="45">
        <f>KB42=E42</f>
        <v/>
      </c>
      <c r="KF42" s="101">
        <f>E42-KB42</f>
        <v/>
      </c>
      <c r="KG42" s="11" t="n"/>
    </row>
    <row r="43" ht="21.75" customFormat="1" customHeight="1" s="11">
      <c r="A43" s="126">
        <f>A42+1</f>
        <v/>
      </c>
      <c r="B43" s="175" t="inlineStr">
        <is>
          <t>Соколов Р.Т.</t>
        </is>
      </c>
      <c r="C43" s="176" t="inlineStr">
        <is>
          <t>сварщик</t>
        </is>
      </c>
      <c r="D43" s="177">
        <f>$D$5</f>
        <v/>
      </c>
      <c r="E43" s="202" t="n"/>
      <c r="F43" s="193" t="n">
        <v>84149.67999999999</v>
      </c>
      <c r="G43" s="52">
        <f>F43/D43</f>
        <v/>
      </c>
      <c r="H43" s="125" t="n"/>
      <c r="I43" s="107">
        <f>H43*100/$E$43</f>
        <v/>
      </c>
      <c r="J43" s="108" t="n"/>
      <c r="K43" s="107">
        <f>J43*100/$E$43</f>
        <v/>
      </c>
      <c r="L43" s="108" t="n"/>
      <c r="M43" s="107">
        <f>L43*100/$E$43</f>
        <v/>
      </c>
      <c r="N43" s="108" t="n"/>
      <c r="O43" s="107">
        <f>N43*100/$E$43</f>
        <v/>
      </c>
      <c r="P43" s="108" t="n"/>
      <c r="Q43" s="122">
        <f>P43*100/$E$43</f>
        <v/>
      </c>
      <c r="R43" s="108" t="n"/>
      <c r="S43" s="122">
        <f>R43*100/$E$43</f>
        <v/>
      </c>
      <c r="T43" s="108" t="n"/>
      <c r="U43" s="107">
        <f>T43*100/$E$43</f>
        <v/>
      </c>
      <c r="V43" s="108" t="n"/>
      <c r="W43" s="107">
        <f>V43*100/$E$43</f>
        <v/>
      </c>
      <c r="X43" s="108" t="n"/>
      <c r="Y43" s="107">
        <f>X43*100/$E$43</f>
        <v/>
      </c>
      <c r="Z43" s="108" t="n"/>
      <c r="AA43" s="107">
        <f>Z43*100/$E$43</f>
        <v/>
      </c>
      <c r="AB43" s="108" t="n"/>
      <c r="AC43" s="107">
        <f>AB43*100/$E$43</f>
        <v/>
      </c>
      <c r="AD43" s="108" t="n"/>
      <c r="AE43" s="122">
        <f>AD43*100/$E$43</f>
        <v/>
      </c>
      <c r="AF43" s="108" t="n"/>
      <c r="AG43" s="122">
        <f>AF43*100/$E$43</f>
        <v/>
      </c>
      <c r="AH43" s="108" t="n"/>
      <c r="AI43" s="107">
        <f>AH43*100/$E$43</f>
        <v/>
      </c>
      <c r="AJ43" s="108" t="n"/>
      <c r="AK43" s="107">
        <f>AJ43*100/$E$43</f>
        <v/>
      </c>
      <c r="AL43" s="108" t="n"/>
      <c r="AM43" s="107">
        <f>AL43*100/$E$43</f>
        <v/>
      </c>
      <c r="AN43" s="108" t="n"/>
      <c r="AO43" s="107">
        <f>AN43*100/$E$43</f>
        <v/>
      </c>
      <c r="AP43" s="108" t="n"/>
      <c r="AQ43" s="107">
        <f>AP43*100/$E$43</f>
        <v/>
      </c>
      <c r="AR43" s="108" t="n"/>
      <c r="AS43" s="107">
        <f>AR43*100/$E$43</f>
        <v/>
      </c>
      <c r="AT43" s="108" t="n"/>
      <c r="AU43" s="90">
        <f>AT43*100/$E$43</f>
        <v/>
      </c>
      <c r="AV43" s="108" t="n"/>
      <c r="AW43" s="107">
        <f>AV43*100/$E$43</f>
        <v/>
      </c>
      <c r="AX43" s="108" t="n"/>
      <c r="AY43" s="107">
        <f>AX43*100/$E$43</f>
        <v/>
      </c>
      <c r="AZ43" s="108" t="n"/>
      <c r="BA43" s="107">
        <f>AZ43*100/$E$43</f>
        <v/>
      </c>
      <c r="BB43" s="108" t="n"/>
      <c r="BC43" s="107">
        <f>BB43*100/$E$43</f>
        <v/>
      </c>
      <c r="BD43" s="108" t="n"/>
      <c r="BE43" s="107">
        <f>BD43*100/$E$43</f>
        <v/>
      </c>
      <c r="BF43" s="108" t="n"/>
      <c r="BG43" s="107">
        <f>BF43*100/$E$43</f>
        <v/>
      </c>
      <c r="BH43" s="108" t="n"/>
      <c r="BI43" s="107">
        <f>BH43*100/$E$43</f>
        <v/>
      </c>
      <c r="BJ43" s="108" t="n"/>
      <c r="BK43" s="107">
        <f>BJ43*100/$E$43</f>
        <v/>
      </c>
      <c r="BL43" s="108" t="n"/>
      <c r="BM43" s="107">
        <f>BL43*100/$E$43</f>
        <v/>
      </c>
      <c r="BN43" s="108" t="n"/>
      <c r="BO43" s="107">
        <f>BN43*100/$E$43</f>
        <v/>
      </c>
      <c r="BP43" s="108" t="n"/>
      <c r="BQ43" s="107">
        <f>BP43*100/$E$43</f>
        <v/>
      </c>
      <c r="BR43" s="108" t="n"/>
      <c r="BS43" s="107">
        <f>BR43*100/$E$43</f>
        <v/>
      </c>
      <c r="BT43" s="108" t="n"/>
      <c r="BU43" s="107">
        <f>BT43*100/$E$43</f>
        <v/>
      </c>
      <c r="BV43" s="108" t="n"/>
      <c r="BW43" s="107">
        <f>BV43*100/$E$43</f>
        <v/>
      </c>
      <c r="BX43" s="108" t="n"/>
      <c r="BY43" s="107">
        <f>BX43*100/$E$43</f>
        <v/>
      </c>
      <c r="BZ43" s="108" t="n"/>
      <c r="CA43" s="107">
        <f>BZ43*100/$E$43</f>
        <v/>
      </c>
      <c r="CB43" s="108" t="n"/>
      <c r="CC43" s="107">
        <f>CB43*100/$E$43</f>
        <v/>
      </c>
      <c r="CD43" s="108" t="n"/>
      <c r="CE43" s="107">
        <f>CD43*100/$E$43</f>
        <v/>
      </c>
      <c r="CF43" s="108" t="n"/>
      <c r="CG43" s="107">
        <f>CF43*100/$E$43</f>
        <v/>
      </c>
      <c r="CH43" s="108" t="n"/>
      <c r="CI43" s="107">
        <f>CH43*100/$E$43</f>
        <v/>
      </c>
      <c r="CJ43" s="108" t="n"/>
      <c r="CK43" s="107">
        <f>CJ43*100/$E$43</f>
        <v/>
      </c>
      <c r="CL43" s="108" t="n"/>
      <c r="CM43" s="107">
        <f>CL43*100/$E$43</f>
        <v/>
      </c>
      <c r="CN43" s="108" t="n"/>
      <c r="CO43" s="122">
        <f>CN43*100/$E$43</f>
        <v/>
      </c>
      <c r="CP43" s="108" t="n"/>
      <c r="CQ43" s="107">
        <f>CP43*100/$E$43</f>
        <v/>
      </c>
      <c r="CR43" s="108" t="n"/>
      <c r="CS43" s="122">
        <f>CR43*100/$E$43</f>
        <v/>
      </c>
      <c r="CT43" s="108" t="n"/>
      <c r="CU43" s="122">
        <f>CT43*100/$E$43</f>
        <v/>
      </c>
      <c r="CV43" s="108" t="n"/>
      <c r="CW43" s="122">
        <f>CV43*100/$E$43</f>
        <v/>
      </c>
      <c r="CX43" s="108" t="n"/>
      <c r="CY43" s="122">
        <f>CX43*100/$E$43</f>
        <v/>
      </c>
      <c r="CZ43" s="108" t="n"/>
      <c r="DA43" s="122">
        <f>CZ43*100/$E$43</f>
        <v/>
      </c>
      <c r="DB43" s="108" t="n"/>
      <c r="DC43" s="122">
        <f>DB43*100/$E$43</f>
        <v/>
      </c>
      <c r="DD43" s="108" t="n"/>
      <c r="DE43" s="122">
        <f>DD43*100/$E$43</f>
        <v/>
      </c>
      <c r="DF43" s="108" t="n"/>
      <c r="DG43" s="122">
        <f>DF43*100/$E$43</f>
        <v/>
      </c>
      <c r="DH43" s="108" t="n"/>
      <c r="DI43" s="122">
        <f>DH43*100/$E$43</f>
        <v/>
      </c>
      <c r="DJ43" s="108" t="n"/>
      <c r="DK43" s="122">
        <f>DJ43*100/$E$43</f>
        <v/>
      </c>
      <c r="DL43" s="108" t="n"/>
      <c r="DM43" s="122">
        <f>DL43*100/$E$43</f>
        <v/>
      </c>
      <c r="DN43" s="108" t="n"/>
      <c r="DO43" s="122">
        <f>DN43*100/$E$43</f>
        <v/>
      </c>
      <c r="DP43" s="108" t="n"/>
      <c r="DQ43" s="122">
        <f>DP43*100/$E$43</f>
        <v/>
      </c>
      <c r="DR43" s="108" t="n"/>
      <c r="DS43" s="122">
        <f>DR43*100/$E$43</f>
        <v/>
      </c>
      <c r="DT43" s="108" t="n"/>
      <c r="DU43" s="122">
        <f>DT43*100/$E$43</f>
        <v/>
      </c>
      <c r="DV43" s="108" t="n"/>
      <c r="DW43" s="122">
        <f>DV43*100/$E$43</f>
        <v/>
      </c>
      <c r="DX43" s="108" t="n"/>
      <c r="DY43" s="122">
        <f>DX43*100/$E$43</f>
        <v/>
      </c>
      <c r="DZ43" s="108" t="n"/>
      <c r="EA43" s="122">
        <f>DZ43*100/$E$43</f>
        <v/>
      </c>
      <c r="EB43" s="108" t="n"/>
      <c r="EC43" s="122">
        <f>EB43*100/$E$43</f>
        <v/>
      </c>
      <c r="ED43" s="108" t="n"/>
      <c r="EE43" s="122">
        <f>ED43*100/$E$43</f>
        <v/>
      </c>
      <c r="EF43" s="108" t="n"/>
      <c r="EG43" s="122">
        <f>EF43*100/$E$43</f>
        <v/>
      </c>
      <c r="EH43" s="108" t="n"/>
      <c r="EI43" s="122">
        <f>EH43*100/$E$43</f>
        <v/>
      </c>
      <c r="EJ43" s="108" t="n"/>
      <c r="EK43" s="122">
        <f>EJ43*100/$E$43</f>
        <v/>
      </c>
      <c r="EL43" s="108" t="n"/>
      <c r="EM43" s="122">
        <f>EL43*100/$E$43</f>
        <v/>
      </c>
      <c r="EN43" s="108" t="n"/>
      <c r="EO43" s="122">
        <f>EN43*100/$E$43</f>
        <v/>
      </c>
      <c r="EP43" s="108" t="n"/>
      <c r="EQ43" s="122">
        <f>EP43*100/$E$43</f>
        <v/>
      </c>
      <c r="ER43" s="108" t="n"/>
      <c r="ES43" s="122">
        <f>ER43*100/$E$43</f>
        <v/>
      </c>
      <c r="ET43" s="108" t="n"/>
      <c r="EU43" s="122">
        <f>ET43*100/$E$43</f>
        <v/>
      </c>
      <c r="EV43" s="108" t="n"/>
      <c r="EW43" s="122">
        <f>EV43*100/$E$43</f>
        <v/>
      </c>
      <c r="EX43" s="108" t="n"/>
      <c r="EY43" s="122">
        <f>EX43*100/$E$43</f>
        <v/>
      </c>
      <c r="EZ43" s="108" t="n"/>
      <c r="FA43" s="122">
        <f>EZ43*100/$E$43</f>
        <v/>
      </c>
      <c r="FB43" s="108" t="n"/>
      <c r="FC43" s="122">
        <f>FB43*100/$E$43</f>
        <v/>
      </c>
      <c r="FD43" s="108" t="n"/>
      <c r="FE43" s="122">
        <f>FD43*100/$E$43</f>
        <v/>
      </c>
      <c r="FF43" s="108" t="n"/>
      <c r="FG43" s="122">
        <f>FF43*100/$E$43</f>
        <v/>
      </c>
      <c r="FH43" s="108" t="n"/>
      <c r="FI43" s="122">
        <f>FH43*100/$E$43</f>
        <v/>
      </c>
      <c r="FJ43" s="108" t="n"/>
      <c r="FK43" s="122">
        <f>FJ43*100/$E$43</f>
        <v/>
      </c>
      <c r="FL43" s="108" t="n"/>
      <c r="FM43" s="122">
        <f>FL43*100/$E$43</f>
        <v/>
      </c>
      <c r="FN43" s="108" t="n"/>
      <c r="FO43" s="122">
        <f>FN43*100/$E$43</f>
        <v/>
      </c>
      <c r="FP43" s="108" t="n"/>
      <c r="FQ43" s="122">
        <f>FP43*100/$E$43</f>
        <v/>
      </c>
      <c r="FR43" s="108" t="n"/>
      <c r="FS43" s="122">
        <f>FR43*100/$E$43</f>
        <v/>
      </c>
      <c r="FT43" s="108" t="n"/>
      <c r="FU43" s="122">
        <f>FT43*100/$E$43</f>
        <v/>
      </c>
      <c r="FV43" s="108" t="n"/>
      <c r="FW43" s="122">
        <f>FV43*100/$E$43</f>
        <v/>
      </c>
      <c r="FX43" s="108" t="n"/>
      <c r="FY43" s="107">
        <f>FX43*100/$E$43</f>
        <v/>
      </c>
      <c r="FZ43" s="108" t="n"/>
      <c r="GA43" s="107">
        <f>FZ43*100/$E$43</f>
        <v/>
      </c>
      <c r="GB43" s="108" t="n"/>
      <c r="GC43" s="107">
        <f>GB43*100/$E$43</f>
        <v/>
      </c>
      <c r="GD43" s="108" t="n"/>
      <c r="GE43" s="107">
        <f>GD43*100/$E$43</f>
        <v/>
      </c>
      <c r="GF43" s="108" t="n"/>
      <c r="GG43" s="107">
        <f>GF43*100/$E$43</f>
        <v/>
      </c>
      <c r="GH43" s="108" t="n"/>
      <c r="GI43" s="107">
        <f>GH43*100/$E$43</f>
        <v/>
      </c>
      <c r="GJ43" s="108" t="n"/>
      <c r="GK43" s="122">
        <f>GJ43*100/$E$43</f>
        <v/>
      </c>
      <c r="GL43" s="108" t="n"/>
      <c r="GM43" s="107">
        <f>GL43*100/$E$43</f>
        <v/>
      </c>
      <c r="GN43" s="108" t="n"/>
      <c r="GO43" s="122">
        <f>GN43*100/$E$43</f>
        <v/>
      </c>
      <c r="GP43" s="108" t="n"/>
      <c r="GQ43" s="107">
        <f>GP43*100/$E$43</f>
        <v/>
      </c>
      <c r="GR43" s="108" t="n"/>
      <c r="GS43" s="122">
        <f>GR43*100/$E$43</f>
        <v/>
      </c>
      <c r="GT43" s="108" t="n"/>
      <c r="GU43" s="122">
        <f>GT43*100/$E$43</f>
        <v/>
      </c>
      <c r="GV43" s="108" t="n"/>
      <c r="GW43" s="122">
        <f>GV43*100/$E$43</f>
        <v/>
      </c>
      <c r="GX43" s="108" t="n"/>
      <c r="GY43" s="107">
        <f>GX43*100/$E$43</f>
        <v/>
      </c>
      <c r="GZ43" s="108" t="n"/>
      <c r="HA43" s="107">
        <f>GZ43*100/$E$43</f>
        <v/>
      </c>
      <c r="HB43" s="108" t="n"/>
      <c r="HC43" s="107">
        <f>HB43*100/$E$43</f>
        <v/>
      </c>
      <c r="HD43" s="108" t="n"/>
      <c r="HE43" s="107">
        <f>HD43*100/$E$43</f>
        <v/>
      </c>
      <c r="HF43" s="108" t="n"/>
      <c r="HG43" s="107">
        <f>HF43*100/$E$43</f>
        <v/>
      </c>
      <c r="HH43" s="108" t="n"/>
      <c r="HI43" s="107">
        <f>HH43*100/$E$43</f>
        <v/>
      </c>
      <c r="HJ43" s="108" t="n"/>
      <c r="HK43" s="107">
        <f>HJ43*100/$E$43</f>
        <v/>
      </c>
      <c r="HL43" s="108" t="n"/>
      <c r="HM43" s="107">
        <f>HL43*100/$E$43</f>
        <v/>
      </c>
      <c r="HN43" s="108" t="n"/>
      <c r="HO43" s="107">
        <f>HN43*100/$E$43</f>
        <v/>
      </c>
      <c r="HP43" s="108" t="n"/>
      <c r="HQ43" s="107">
        <f>HP43*100/$E$43</f>
        <v/>
      </c>
      <c r="HR43" s="108" t="n"/>
      <c r="HS43" s="107">
        <f>HR43*100/$E$43</f>
        <v/>
      </c>
      <c r="HT43" s="108" t="n"/>
      <c r="HU43" s="107">
        <f>HT43*100/$E$43</f>
        <v/>
      </c>
      <c r="HV43" s="108" t="n"/>
      <c r="HW43" s="107">
        <f>HV43*100/$E$43</f>
        <v/>
      </c>
      <c r="HX43" s="108" t="n"/>
      <c r="HY43" s="107">
        <f>HX43*100/$E$43</f>
        <v/>
      </c>
      <c r="HZ43" s="108" t="n"/>
      <c r="IA43" s="122">
        <f>HZ43*100/$E$43</f>
        <v/>
      </c>
      <c r="IB43" s="108" t="n"/>
      <c r="IC43" s="122">
        <f>IB43*100/$E$43</f>
        <v/>
      </c>
      <c r="ID43" s="108" t="n"/>
      <c r="IE43" s="122">
        <f>ID43*100/$E$43</f>
        <v/>
      </c>
      <c r="IF43" s="108" t="n"/>
      <c r="IG43" s="122">
        <f>IF43*100/$E$43</f>
        <v/>
      </c>
      <c r="IH43" s="108" t="n"/>
      <c r="II43" s="122">
        <f>IH43*100/$E$43</f>
        <v/>
      </c>
      <c r="IJ43" s="108" t="n"/>
      <c r="IK43" s="122">
        <f>IJ43*100/$E$43</f>
        <v/>
      </c>
      <c r="IL43" s="108" t="n"/>
      <c r="IM43" s="107">
        <f>IL43*100/$E$43</f>
        <v/>
      </c>
      <c r="IN43" s="108" t="n"/>
      <c r="IO43" s="107">
        <f>IN43*100/$E$43</f>
        <v/>
      </c>
      <c r="IP43" s="108" t="n"/>
      <c r="IQ43" s="122">
        <f>IP43*100/$E$43</f>
        <v/>
      </c>
      <c r="IR43" s="108" t="n"/>
      <c r="IS43" s="122">
        <f>IR43*100/$E$43</f>
        <v/>
      </c>
      <c r="IT43" s="108" t="n"/>
      <c r="IU43" s="122">
        <f>IT43*100/$E$43</f>
        <v/>
      </c>
      <c r="IV43" s="108" t="n"/>
      <c r="IW43" s="122">
        <f>IV43*100/$E$43</f>
        <v/>
      </c>
      <c r="IX43" s="108" t="n"/>
      <c r="IY43" s="122">
        <f>IX43*100/$E$43</f>
        <v/>
      </c>
      <c r="IZ43" s="108" t="n"/>
      <c r="JA43" s="122">
        <f>IZ43*100/$E$43</f>
        <v/>
      </c>
      <c r="JB43" s="108" t="n"/>
      <c r="JC43" s="122">
        <f>JB43*100/$E$43</f>
        <v/>
      </c>
      <c r="JD43" s="108" t="n"/>
      <c r="JE43" s="122">
        <f>JD43*100/$E$43</f>
        <v/>
      </c>
      <c r="JF43" s="108" t="n"/>
      <c r="JG43" s="122">
        <f>JF43*100/$E$43</f>
        <v/>
      </c>
      <c r="JH43" s="108" t="n"/>
      <c r="JI43" s="122">
        <f>JH43*100/$E$43</f>
        <v/>
      </c>
      <c r="JJ43" s="108" t="n"/>
      <c r="JK43" s="122">
        <f>JJ43*100/$E$43</f>
        <v/>
      </c>
      <c r="JL43" s="108" t="n"/>
      <c r="JM43" s="122">
        <f>JL43*100/$E$43</f>
        <v/>
      </c>
      <c r="JN43" s="108" t="n"/>
      <c r="JO43" s="121">
        <f>JN43*100/$E$43</f>
        <v/>
      </c>
      <c r="JP43" s="108" t="n"/>
      <c r="JQ43" s="121">
        <f>JP43*100/$E$43</f>
        <v/>
      </c>
      <c r="JR43" s="108" t="n"/>
      <c r="JS43" s="121">
        <f>JR43*100/$E$43</f>
        <v/>
      </c>
      <c r="JT43" s="108" t="n"/>
      <c r="JU43" s="121">
        <f>JT43*100/$E$43</f>
        <v/>
      </c>
      <c r="JV43" s="108" t="n"/>
      <c r="JW43" s="121">
        <f>JV43*100/$E$43</f>
        <v/>
      </c>
      <c r="JX43" s="108" t="n"/>
      <c r="JY43" s="121">
        <f>JX43*100/$E$43</f>
        <v/>
      </c>
      <c r="JZ43" s="55">
        <f>JN43+JP43+JR43+JT43+JV43+JX43</f>
        <v/>
      </c>
      <c r="KA43" s="53">
        <f>JO43+JQ43+JS43+JU43+JW43+JY43</f>
        <v/>
      </c>
      <c r="KB43" s="64">
        <f>H43+J43+L43+N43+P43+R43+T43+V43+X43+Z43+AB43+AD43+AF43+AH43+AJ43+AL43+AN43+AP43+AR43+AT43+AV43+AX43+AZ43+BB43+BD43+BF43+BH43+BJ43+BL43+BN43+BP43+BR43+BT43+BV43+BX43+BZ43+CB43+CD43+CF43+CH43+CZ43+DB43+DD43+DF43+DH43+DJ43+DL43+DN43+DP43+DR43+DT43+DV43+DX43+DZ43+EB43+ED43+EF43+EH43+EJ43+EL43+EN43+EP43+ER43+ET43+EV43+FN43+FP43+FR43+FT43+FV43+FX43+FZ43+GB43+GD43+GF43+GH43+GJ43+GL43+GN43+GP43+GR43+GT43+GV43+GX43+GZ43+HB43+HD43+HF43+HH43+HJ43+HL43+HN43+HP43+HR43+HT43+HV43+HX43+HZ43+IB43+ID43+IF43+IH43+IJ43+IL43+IN43+IP43+IR43+IT43+IV43+IX43+IZ43+JB43+JD43+JF43+JH43+JJ43+JL43+JZ43+CJ43+CL43+CN43+CP43+CR43+CT43+CV43+CX43+EX43+EZ43+FB43+FD43+FF43+FH43+FJ43+FL43</f>
        <v/>
      </c>
      <c r="KC43" s="66">
        <f>I43+K43+M43+O43+Q43+S43+U43+W43+Y43+AA43+AC43+AE43+AG43+AI43+AK43+AM43+AO43+AQ43+AS43+AU43+AW43+AY43+BA43+BC43+BE43+BG43+BI43+BK43+BM43+BO43+BQ43+BS43+BU43+BW43+BY43+CA43+CC43+CE43+CG43+CI43+DA43+DC43+DE43+DG43+DI43+DK43+DM43+DO43+DQ43+DS43+DU43+DW43+DY43+EA43+EC43+EE43+EG43+EI43+EK43+EM43+EO43+EQ43+ES43+EU43+EW43+FO43+FS43+FU43+FW43+FQ43+FY43+GA43+GC43+GE43+GG43+GI43+GK43+GM43+GO43+GQ43+GS43+GU43+GW43+GY43+HA43+HC43+HE43+HG43+HI43+HK43+HM43+HO43+HQ43+HS43+HU43+HW43+HY43+IA43+IC43+IE43+IG43+II43+IK43+IM43+IO43+IQ43+IS43+IU43+IW43+IY43+JA43+JC43+JE43+JG43+JI43+JK43+JM43+KA43+CK43+CM43+CO43+CQ43+CS43+CU43+CW43+CY43+EY43+FA43+FC43+FE43+FG43+FI43+FK43+FM43</f>
        <v/>
      </c>
      <c r="KD43" s="44">
        <f>JO43+JQ43+JS43+JU43+JW43+JY43</f>
        <v/>
      </c>
      <c r="KE43" s="45">
        <f>KB43=E43</f>
        <v/>
      </c>
      <c r="KF43" s="101">
        <f>E43-KB43</f>
        <v/>
      </c>
      <c r="KG43" s="26" t="n"/>
    </row>
    <row r="44" ht="21.75" customFormat="1" customHeight="1" s="26">
      <c r="A44" s="126">
        <f>A43+1</f>
        <v/>
      </c>
      <c r="B44" s="175" t="inlineStr">
        <is>
          <t>Сорокин Е</t>
        </is>
      </c>
      <c r="C44" s="176" t="inlineStr">
        <is>
          <t>сварщик</t>
        </is>
      </c>
      <c r="D44" s="177">
        <f>$D$5</f>
        <v/>
      </c>
      <c r="E44" s="202" t="n"/>
      <c r="F44" s="193" t="n">
        <v>84149.67999999999</v>
      </c>
      <c r="G44" s="52">
        <f>F44/D44</f>
        <v/>
      </c>
      <c r="H44" s="125" t="n"/>
      <c r="I44" s="107">
        <f>H44*100/$E$44</f>
        <v/>
      </c>
      <c r="J44" s="108" t="n"/>
      <c r="K44" s="107">
        <f>J44*100/$E$44</f>
        <v/>
      </c>
      <c r="L44" s="108" t="n"/>
      <c r="M44" s="107">
        <f>L44*100/$E$44</f>
        <v/>
      </c>
      <c r="N44" s="108" t="n"/>
      <c r="O44" s="107">
        <f>N44*100/$E$44</f>
        <v/>
      </c>
      <c r="P44" s="108" t="n"/>
      <c r="Q44" s="122">
        <f>P44*100/$E$44</f>
        <v/>
      </c>
      <c r="R44" s="108" t="n"/>
      <c r="S44" s="122">
        <f>R44*100/$E$44</f>
        <v/>
      </c>
      <c r="T44" s="108" t="n"/>
      <c r="U44" s="107">
        <f>T44*100/$E$44</f>
        <v/>
      </c>
      <c r="V44" s="108" t="n"/>
      <c r="W44" s="107">
        <f>V44*100/$E$44</f>
        <v/>
      </c>
      <c r="X44" s="108" t="n"/>
      <c r="Y44" s="107">
        <f>X44*100/$E$44</f>
        <v/>
      </c>
      <c r="Z44" s="108" t="n"/>
      <c r="AA44" s="107">
        <f>Z44*100/$E$44</f>
        <v/>
      </c>
      <c r="AB44" s="108" t="n"/>
      <c r="AC44" s="107">
        <f>AB44*100/$E$44</f>
        <v/>
      </c>
      <c r="AD44" s="108" t="n"/>
      <c r="AE44" s="122">
        <f>AD44*100/$E$44</f>
        <v/>
      </c>
      <c r="AF44" s="108" t="n"/>
      <c r="AG44" s="122">
        <f>AF44*100/$E$44</f>
        <v/>
      </c>
      <c r="AH44" s="108" t="n"/>
      <c r="AI44" s="107">
        <f>AH44*100/$E$44</f>
        <v/>
      </c>
      <c r="AJ44" s="108" t="n"/>
      <c r="AK44" s="107">
        <f>AJ44*100/$E$44</f>
        <v/>
      </c>
      <c r="AL44" s="108" t="n"/>
      <c r="AM44" s="107">
        <f>AL44*100/$E$44</f>
        <v/>
      </c>
      <c r="AN44" s="108" t="n"/>
      <c r="AO44" s="107">
        <f>AN44*100/$E$44</f>
        <v/>
      </c>
      <c r="AP44" s="108" t="n"/>
      <c r="AQ44" s="107">
        <f>AP44*100/$E$44</f>
        <v/>
      </c>
      <c r="AR44" s="108" t="n"/>
      <c r="AS44" s="107">
        <f>AR44*100/$E$44</f>
        <v/>
      </c>
      <c r="AT44" s="108" t="n"/>
      <c r="AU44" s="90">
        <f>AT44*100/$E$44</f>
        <v/>
      </c>
      <c r="AV44" s="108" t="n"/>
      <c r="AW44" s="107">
        <f>AV44*100/$E$44</f>
        <v/>
      </c>
      <c r="AX44" s="108" t="n"/>
      <c r="AY44" s="107">
        <f>AX44*100/$E$44</f>
        <v/>
      </c>
      <c r="AZ44" s="108" t="n"/>
      <c r="BA44" s="107">
        <f>AZ44*100/$E$44</f>
        <v/>
      </c>
      <c r="BB44" s="108" t="n"/>
      <c r="BC44" s="107">
        <f>BB44*100/$E$44</f>
        <v/>
      </c>
      <c r="BD44" s="108" t="n"/>
      <c r="BE44" s="107">
        <f>BD44*100/$E$44</f>
        <v/>
      </c>
      <c r="BF44" s="108" t="n"/>
      <c r="BG44" s="107">
        <f>BF44*100/$E$44</f>
        <v/>
      </c>
      <c r="BH44" s="108" t="n"/>
      <c r="BI44" s="107">
        <f>BH44*100/$E$44</f>
        <v/>
      </c>
      <c r="BJ44" s="108" t="n"/>
      <c r="BK44" s="107">
        <f>BJ44*100/$E$44</f>
        <v/>
      </c>
      <c r="BL44" s="108" t="n"/>
      <c r="BM44" s="107">
        <f>BL44*100/$E$44</f>
        <v/>
      </c>
      <c r="BN44" s="108" t="n"/>
      <c r="BO44" s="107">
        <f>BN44*100/$E$44</f>
        <v/>
      </c>
      <c r="BP44" s="108" t="n"/>
      <c r="BQ44" s="107">
        <f>BP44*100/$E$44</f>
        <v/>
      </c>
      <c r="BR44" s="108" t="n"/>
      <c r="BS44" s="107">
        <f>BR44*100/$E$44</f>
        <v/>
      </c>
      <c r="BT44" s="108" t="n"/>
      <c r="BU44" s="107">
        <f>BT44*100/$E$44</f>
        <v/>
      </c>
      <c r="BV44" s="108" t="n"/>
      <c r="BW44" s="107">
        <f>BV44*100/$E$44</f>
        <v/>
      </c>
      <c r="BX44" s="108" t="n"/>
      <c r="BY44" s="107">
        <f>BX44*100/$E$44</f>
        <v/>
      </c>
      <c r="BZ44" s="108" t="n"/>
      <c r="CA44" s="107">
        <f>BZ44*100/$E$44</f>
        <v/>
      </c>
      <c r="CB44" s="108" t="n"/>
      <c r="CC44" s="107">
        <f>CB44*100/$E$44</f>
        <v/>
      </c>
      <c r="CD44" s="108" t="n"/>
      <c r="CE44" s="107">
        <f>CD44*100/$E$44</f>
        <v/>
      </c>
      <c r="CF44" s="108" t="n"/>
      <c r="CG44" s="107">
        <f>CF44*100/$E$44</f>
        <v/>
      </c>
      <c r="CH44" s="108" t="n"/>
      <c r="CI44" s="107">
        <f>CH44*100/$E$44</f>
        <v/>
      </c>
      <c r="CJ44" s="108" t="n"/>
      <c r="CK44" s="107">
        <f>CJ44*100/$E$44</f>
        <v/>
      </c>
      <c r="CL44" s="108" t="n"/>
      <c r="CM44" s="107">
        <f>CL44*100/$E$44</f>
        <v/>
      </c>
      <c r="CN44" s="108" t="n"/>
      <c r="CO44" s="122">
        <f>CN44*100/$E$44</f>
        <v/>
      </c>
      <c r="CP44" s="108" t="n"/>
      <c r="CQ44" s="107">
        <f>CP44*100/$E$44</f>
        <v/>
      </c>
      <c r="CR44" s="108" t="n"/>
      <c r="CS44" s="122">
        <f>CR44*100/$E$44</f>
        <v/>
      </c>
      <c r="CT44" s="108" t="n"/>
      <c r="CU44" s="122">
        <f>CT44*100/$E$44</f>
        <v/>
      </c>
      <c r="CV44" s="108" t="n"/>
      <c r="CW44" s="122">
        <f>CV44*100/$E$44</f>
        <v/>
      </c>
      <c r="CX44" s="108" t="n"/>
      <c r="CY44" s="122">
        <f>CX44*100/$E$44</f>
        <v/>
      </c>
      <c r="CZ44" s="108" t="n"/>
      <c r="DA44" s="122">
        <f>CZ44*100/$E$44</f>
        <v/>
      </c>
      <c r="DB44" s="108" t="n"/>
      <c r="DC44" s="122">
        <f>DB44*100/$E$44</f>
        <v/>
      </c>
      <c r="DD44" s="108" t="n"/>
      <c r="DE44" s="122">
        <f>DD44*100/$E$44</f>
        <v/>
      </c>
      <c r="DF44" s="108" t="n"/>
      <c r="DG44" s="122">
        <f>DF44*100/$E$44</f>
        <v/>
      </c>
      <c r="DH44" s="108" t="n"/>
      <c r="DI44" s="122">
        <f>DH44*100/$E$44</f>
        <v/>
      </c>
      <c r="DJ44" s="108" t="n"/>
      <c r="DK44" s="122">
        <f>DJ44*100/$E$44</f>
        <v/>
      </c>
      <c r="DL44" s="108" t="n"/>
      <c r="DM44" s="122">
        <f>DL44*100/$E$44</f>
        <v/>
      </c>
      <c r="DN44" s="108" t="n"/>
      <c r="DO44" s="122">
        <f>DN44*100/$E$44</f>
        <v/>
      </c>
      <c r="DP44" s="108" t="n"/>
      <c r="DQ44" s="122">
        <f>DP44*100/$E$44</f>
        <v/>
      </c>
      <c r="DR44" s="108" t="n"/>
      <c r="DS44" s="122">
        <f>DR44*100/$E$44</f>
        <v/>
      </c>
      <c r="DT44" s="108" t="n"/>
      <c r="DU44" s="122">
        <f>DT44*100/$E$44</f>
        <v/>
      </c>
      <c r="DV44" s="108" t="n"/>
      <c r="DW44" s="122">
        <f>DV44*100/$E$44</f>
        <v/>
      </c>
      <c r="DX44" s="108" t="n"/>
      <c r="DY44" s="122">
        <f>DX44*100/$E$44</f>
        <v/>
      </c>
      <c r="DZ44" s="108" t="n"/>
      <c r="EA44" s="122">
        <f>DZ44*100/$E$44</f>
        <v/>
      </c>
      <c r="EB44" s="108" t="n"/>
      <c r="EC44" s="122">
        <f>EB44*100/$E$44</f>
        <v/>
      </c>
      <c r="ED44" s="108" t="n"/>
      <c r="EE44" s="122">
        <f>ED44*100/$E$44</f>
        <v/>
      </c>
      <c r="EF44" s="108" t="n"/>
      <c r="EG44" s="122">
        <f>EF44*100/$E$44</f>
        <v/>
      </c>
      <c r="EH44" s="108" t="n"/>
      <c r="EI44" s="122">
        <f>EH44*100/$E$44</f>
        <v/>
      </c>
      <c r="EJ44" s="108" t="n"/>
      <c r="EK44" s="122">
        <f>EJ44*100/$E$44</f>
        <v/>
      </c>
      <c r="EL44" s="108" t="n"/>
      <c r="EM44" s="122">
        <f>EL44*100/$E$44</f>
        <v/>
      </c>
      <c r="EN44" s="108" t="n"/>
      <c r="EO44" s="122">
        <f>EN44*100/$E$44</f>
        <v/>
      </c>
      <c r="EP44" s="108" t="n"/>
      <c r="EQ44" s="122">
        <f>EP44*100/$E$44</f>
        <v/>
      </c>
      <c r="ER44" s="108" t="n"/>
      <c r="ES44" s="122">
        <f>ER44*100/$E$44</f>
        <v/>
      </c>
      <c r="ET44" s="108" t="n"/>
      <c r="EU44" s="122">
        <f>ET44*100/$E$44</f>
        <v/>
      </c>
      <c r="EV44" s="108" t="n"/>
      <c r="EW44" s="122">
        <f>EV44*100/$E$44</f>
        <v/>
      </c>
      <c r="EX44" s="108" t="n"/>
      <c r="EY44" s="122">
        <f>EX44*100/$E$44</f>
        <v/>
      </c>
      <c r="EZ44" s="108" t="n"/>
      <c r="FA44" s="122">
        <f>EZ44*100/$E$44</f>
        <v/>
      </c>
      <c r="FB44" s="108" t="n"/>
      <c r="FC44" s="122">
        <f>FB44*100/$E$44</f>
        <v/>
      </c>
      <c r="FD44" s="108" t="n"/>
      <c r="FE44" s="122">
        <f>FD44*100/$E$44</f>
        <v/>
      </c>
      <c r="FF44" s="108" t="n"/>
      <c r="FG44" s="122">
        <f>FF44*100/$E$44</f>
        <v/>
      </c>
      <c r="FH44" s="108" t="n"/>
      <c r="FI44" s="122">
        <f>FH44*100/$E$44</f>
        <v/>
      </c>
      <c r="FJ44" s="108" t="n"/>
      <c r="FK44" s="122">
        <f>FJ44*100/$E$44</f>
        <v/>
      </c>
      <c r="FL44" s="108" t="n"/>
      <c r="FM44" s="122">
        <f>FL44*100/$E$44</f>
        <v/>
      </c>
      <c r="FN44" s="108" t="n"/>
      <c r="FO44" s="122">
        <f>FN44*100/$E$44</f>
        <v/>
      </c>
      <c r="FP44" s="108" t="n"/>
      <c r="FQ44" s="122">
        <f>FP44*100/$E$44</f>
        <v/>
      </c>
      <c r="FR44" s="108" t="n"/>
      <c r="FS44" s="122">
        <f>FR44*100/$E$44</f>
        <v/>
      </c>
      <c r="FT44" s="108" t="n"/>
      <c r="FU44" s="122">
        <f>FT44*100/$E$44</f>
        <v/>
      </c>
      <c r="FV44" s="108" t="n"/>
      <c r="FW44" s="122">
        <f>FV44*100/$E$44</f>
        <v/>
      </c>
      <c r="FX44" s="108" t="n"/>
      <c r="FY44" s="107">
        <f>FX44*100/$E$44</f>
        <v/>
      </c>
      <c r="FZ44" s="108" t="n"/>
      <c r="GA44" s="107">
        <f>FZ44*100/$E$44</f>
        <v/>
      </c>
      <c r="GB44" s="108" t="n"/>
      <c r="GC44" s="107">
        <f>GB44*100/$E$44</f>
        <v/>
      </c>
      <c r="GD44" s="108" t="n"/>
      <c r="GE44" s="107">
        <f>GD44*100/$E$44</f>
        <v/>
      </c>
      <c r="GF44" s="108" t="n"/>
      <c r="GG44" s="107">
        <f>GF44*100/$E$44</f>
        <v/>
      </c>
      <c r="GH44" s="108" t="n"/>
      <c r="GI44" s="107">
        <f>GH44*100/$E$44</f>
        <v/>
      </c>
      <c r="GJ44" s="108" t="n"/>
      <c r="GK44" s="122">
        <f>GJ44*100/$E$44</f>
        <v/>
      </c>
      <c r="GL44" s="108" t="n"/>
      <c r="GM44" s="107">
        <f>GL44*100/$E$44</f>
        <v/>
      </c>
      <c r="GN44" s="108" t="n"/>
      <c r="GO44" s="122">
        <f>GN44*100/$E$44</f>
        <v/>
      </c>
      <c r="GP44" s="108" t="n"/>
      <c r="GQ44" s="107">
        <f>GP44*100/$E$44</f>
        <v/>
      </c>
      <c r="GR44" s="108" t="n"/>
      <c r="GS44" s="122">
        <f>GR44*100/$E$44</f>
        <v/>
      </c>
      <c r="GT44" s="108" t="n"/>
      <c r="GU44" s="122">
        <f>GT44*100/$E$44</f>
        <v/>
      </c>
      <c r="GV44" s="108" t="n"/>
      <c r="GW44" s="122">
        <f>GV44*100/$E$44</f>
        <v/>
      </c>
      <c r="GX44" s="108" t="n"/>
      <c r="GY44" s="107">
        <f>GX44*100/$E$44</f>
        <v/>
      </c>
      <c r="GZ44" s="108" t="n"/>
      <c r="HA44" s="107">
        <f>GZ44*100/$E$44</f>
        <v/>
      </c>
      <c r="HB44" s="108" t="n"/>
      <c r="HC44" s="107">
        <f>HB44*100/$E$44</f>
        <v/>
      </c>
      <c r="HD44" s="108" t="n"/>
      <c r="HE44" s="107">
        <f>HD44*100/$E$44</f>
        <v/>
      </c>
      <c r="HF44" s="108" t="n"/>
      <c r="HG44" s="107">
        <f>HF44*100/$E$44</f>
        <v/>
      </c>
      <c r="HH44" s="108" t="n"/>
      <c r="HI44" s="107">
        <f>HH44*100/$E$44</f>
        <v/>
      </c>
      <c r="HJ44" s="108" t="n"/>
      <c r="HK44" s="107">
        <f>HJ44*100/$E$44</f>
        <v/>
      </c>
      <c r="HL44" s="108" t="n"/>
      <c r="HM44" s="107">
        <f>HL44*100/$E$44</f>
        <v/>
      </c>
      <c r="HN44" s="108" t="n"/>
      <c r="HO44" s="107">
        <f>HN44*100/$E$44</f>
        <v/>
      </c>
      <c r="HP44" s="108" t="n"/>
      <c r="HQ44" s="107">
        <f>HP44*100/$E$44</f>
        <v/>
      </c>
      <c r="HR44" s="108" t="n"/>
      <c r="HS44" s="107">
        <f>HR44*100/$E$44</f>
        <v/>
      </c>
      <c r="HT44" s="108" t="n"/>
      <c r="HU44" s="107">
        <f>HT44*100/$E$44</f>
        <v/>
      </c>
      <c r="HV44" s="108" t="n"/>
      <c r="HW44" s="107">
        <f>HV44*100/$E$44</f>
        <v/>
      </c>
      <c r="HX44" s="108" t="n"/>
      <c r="HY44" s="107">
        <f>HX44*100/$E$44</f>
        <v/>
      </c>
      <c r="HZ44" s="108" t="n"/>
      <c r="IA44" s="122">
        <f>HZ44*100/$E$44</f>
        <v/>
      </c>
      <c r="IB44" s="108" t="n"/>
      <c r="IC44" s="122">
        <f>IB44*100/$E$44</f>
        <v/>
      </c>
      <c r="ID44" s="108" t="n"/>
      <c r="IE44" s="122">
        <f>ID44*100/$E$44</f>
        <v/>
      </c>
      <c r="IF44" s="108" t="n"/>
      <c r="IG44" s="122">
        <f>IF44*100/$E$44</f>
        <v/>
      </c>
      <c r="IH44" s="108" t="n"/>
      <c r="II44" s="122">
        <f>IH44*100/$E$44</f>
        <v/>
      </c>
      <c r="IJ44" s="108" t="n"/>
      <c r="IK44" s="122">
        <f>IJ44*100/$E$44</f>
        <v/>
      </c>
      <c r="IL44" s="108" t="n"/>
      <c r="IM44" s="107">
        <f>IL44*100/$E$44</f>
        <v/>
      </c>
      <c r="IN44" s="108" t="n"/>
      <c r="IO44" s="107">
        <f>IN44*100/$E$44</f>
        <v/>
      </c>
      <c r="IP44" s="108" t="n"/>
      <c r="IQ44" s="122">
        <f>IP44*100/$E$44</f>
        <v/>
      </c>
      <c r="IR44" s="108" t="n"/>
      <c r="IS44" s="122">
        <f>IR44*100/$E$44</f>
        <v/>
      </c>
      <c r="IT44" s="108" t="n"/>
      <c r="IU44" s="122">
        <f>IT44*100/$E$44</f>
        <v/>
      </c>
      <c r="IV44" s="108" t="n"/>
      <c r="IW44" s="122">
        <f>IV44*100/$E$44</f>
        <v/>
      </c>
      <c r="IX44" s="108" t="n"/>
      <c r="IY44" s="122">
        <f>IX44*100/$E$44</f>
        <v/>
      </c>
      <c r="IZ44" s="108" t="n"/>
      <c r="JA44" s="122">
        <f>IZ44*100/$E$44</f>
        <v/>
      </c>
      <c r="JB44" s="108" t="n"/>
      <c r="JC44" s="122">
        <f>JB44*100/$E$44</f>
        <v/>
      </c>
      <c r="JD44" s="108" t="n"/>
      <c r="JE44" s="122">
        <f>JD44*100/$E$44</f>
        <v/>
      </c>
      <c r="JF44" s="133" t="n"/>
      <c r="JG44" s="122">
        <f>JF44*100/$E$44</f>
        <v/>
      </c>
      <c r="JH44" s="108" t="n"/>
      <c r="JI44" s="122">
        <f>JH44*100/$E$44</f>
        <v/>
      </c>
      <c r="JJ44" s="108" t="n"/>
      <c r="JK44" s="122">
        <f>JJ44*100/$E$44</f>
        <v/>
      </c>
      <c r="JL44" s="108" t="n"/>
      <c r="JM44" s="122">
        <f>JL44*100/$E$44</f>
        <v/>
      </c>
      <c r="JN44" s="108" t="n"/>
      <c r="JO44" s="121">
        <f>JN44*100/$E$44</f>
        <v/>
      </c>
      <c r="JP44" s="108" t="n"/>
      <c r="JQ44" s="121">
        <f>JP44*100/$E$44</f>
        <v/>
      </c>
      <c r="JR44" s="108" t="n"/>
      <c r="JS44" s="121">
        <f>JR44*100/$E$44</f>
        <v/>
      </c>
      <c r="JT44" s="108" t="n"/>
      <c r="JU44" s="121">
        <f>JT44*100/$E$44</f>
        <v/>
      </c>
      <c r="JV44" s="108" t="n"/>
      <c r="JW44" s="121">
        <f>JV44*100/$E$44</f>
        <v/>
      </c>
      <c r="JX44" s="108" t="n"/>
      <c r="JY44" s="121">
        <f>JX44*100/$E$44</f>
        <v/>
      </c>
      <c r="JZ44" s="55">
        <f>JN44+JP44+JR44+JT44+JV44+JX44</f>
        <v/>
      </c>
      <c r="KA44" s="53">
        <f>JO44+JQ44+JS44+JU44+JW44+JY44</f>
        <v/>
      </c>
      <c r="KB44" s="64">
        <f>H44+J44+L44+N44+P44+R44+T44+V44+X44+Z44+AB44+AD44+AF44+AH44+AJ44+AL44+AN44+AP44+AR44+AT44+AV44+AX44+AZ44+BB44+BD44+BF44+BH44+BJ44+BL44+BN44+BP44+BR44+BT44+BV44+BX44+BZ44+CB44+CD44+CF44+CH44+CZ44+DB44+DD44+DF44+DH44+DJ44+DL44+DN44+DP44+DR44+DT44+DV44+DX44+DZ44+EB44+ED44+EF44+EH44+EJ44+EL44+EN44+EP44+ER44+ET44+EV44+FN44+FP44+FR44+FT44+FV44+FX44+FZ44+GB44+GD44+GF44+GH44+GJ44+GL44+GN44+GP44+GR44+GT44+GV44+GX44+GZ44+HB44+HD44+HF44+HH44+HJ44+HL44+HN44+HP44+HR44+HT44+HV44+HX44+HZ44+IB44+ID44+IF44+IH44+IJ44+IL44+IN44+IP44+IR44+IT44+IV44+IX44+IZ44+JB44+JD44+JF44+JH44+JJ44+JL44+JZ44+CJ44+CL44+CN44+CP44+CR44+CT44+CV44+CX44+EX44+EZ44+FB44+FD44+FF44+FH44+FJ44+FL44</f>
        <v/>
      </c>
      <c r="KC44" s="66">
        <f>I44+K44+M44+O44+Q44+S44+U44+W44+Y44+AA44+AC44+AE44+AG44+AI44+AK44+AM44+AO44+AQ44+AS44+AU44+AW44+AY44+BA44+BC44+BE44+BG44+BI44+BK44+BM44+BO44+BQ44+BS44+BU44+BW44+BY44+CA44+CC44+CE44+CG44+CI44+DA44+DC44+DE44+DG44+DI44+DK44+DM44+DO44+DQ44+DS44+DU44+DW44+DY44+EA44+EC44+EE44+EG44+EI44+EK44+EM44+EO44+EQ44+ES44+EU44+EW44+FO44+FS44+FU44+FW44+FQ44+FY44+GA44+GC44+GE44+GG44+GI44+GK44+GM44+GO44+GQ44+GS44+GU44+GW44+GY44+HA44+HC44+HE44+HG44+HI44+HK44+HM44+HO44+HQ44+HS44+HU44+HW44+HY44+IA44+IC44+IE44+IG44+II44+IK44+IM44+IO44+IQ44+IS44+IU44+IW44+IY44+JA44+JC44+JE44+JG44+JI44+JK44+JM44+KA44+CK44+CM44+CO44+CQ44+CS44+CU44+CW44+CY44+EY44+FA44+FC44+FE44+FG44+FI44+FK44+FM44</f>
        <v/>
      </c>
      <c r="KD44" s="44">
        <f>JO44+JQ44+JS44+JU44+JW44+JY44</f>
        <v/>
      </c>
      <c r="KE44" s="45">
        <f>KB44=E44</f>
        <v/>
      </c>
      <c r="KF44" s="101">
        <f>E44-KB44</f>
        <v/>
      </c>
      <c r="KG44" s="17" t="n"/>
    </row>
    <row r="45" ht="21.75" customFormat="1" customHeight="1" s="17">
      <c r="A45" s="126">
        <f>A44+1</f>
        <v/>
      </c>
      <c r="B45" s="175" t="inlineStr">
        <is>
          <t>Титаев А.А.</t>
        </is>
      </c>
      <c r="C45" s="176" t="inlineStr">
        <is>
          <t>слесарь МСР</t>
        </is>
      </c>
      <c r="D45" s="177">
        <f>$D$5</f>
        <v/>
      </c>
      <c r="E45" s="202" t="n"/>
      <c r="F45" s="178" t="n">
        <v>55770</v>
      </c>
      <c r="G45" s="52">
        <f>F45/D45</f>
        <v/>
      </c>
      <c r="H45" s="125" t="n"/>
      <c r="I45" s="107">
        <f>H45*100/$E$45</f>
        <v/>
      </c>
      <c r="J45" s="108" t="n"/>
      <c r="K45" s="107">
        <f>J45*100/$E$45</f>
        <v/>
      </c>
      <c r="L45" s="108" t="n"/>
      <c r="M45" s="107">
        <f>L45*100/$E$45</f>
        <v/>
      </c>
      <c r="N45" s="108" t="n"/>
      <c r="O45" s="107">
        <f>N45*100/$E$45</f>
        <v/>
      </c>
      <c r="P45" s="108" t="n"/>
      <c r="Q45" s="122">
        <f>P45*100/$E$45</f>
        <v/>
      </c>
      <c r="R45" s="108" t="n"/>
      <c r="S45" s="122">
        <f>R45*100/$E$45</f>
        <v/>
      </c>
      <c r="T45" s="108" t="n"/>
      <c r="U45" s="107">
        <f>T45*100/$E$45</f>
        <v/>
      </c>
      <c r="V45" s="108" t="n"/>
      <c r="W45" s="107">
        <f>V45*100/$E$45</f>
        <v/>
      </c>
      <c r="X45" s="108" t="n"/>
      <c r="Y45" s="107">
        <f>X45*100/$E$45</f>
        <v/>
      </c>
      <c r="Z45" s="108" t="n"/>
      <c r="AA45" s="107">
        <f>Z45*100/$E$45</f>
        <v/>
      </c>
      <c r="AB45" s="108" t="n"/>
      <c r="AC45" s="107">
        <f>AB45*100/$E$45</f>
        <v/>
      </c>
      <c r="AD45" s="108" t="n"/>
      <c r="AE45" s="122">
        <f>AD45*100/$E$45</f>
        <v/>
      </c>
      <c r="AF45" s="108" t="n"/>
      <c r="AG45" s="122">
        <f>AF45*100/$E$45</f>
        <v/>
      </c>
      <c r="AH45" s="108" t="n"/>
      <c r="AI45" s="107">
        <f>AH45*100/$E$45</f>
        <v/>
      </c>
      <c r="AJ45" s="108" t="n"/>
      <c r="AK45" s="107">
        <f>AJ45*100/$E$45</f>
        <v/>
      </c>
      <c r="AL45" s="108" t="n"/>
      <c r="AM45" s="107">
        <f>AL45*100/$E$45</f>
        <v/>
      </c>
      <c r="AN45" s="108" t="n"/>
      <c r="AO45" s="107">
        <f>AN45*100/$E$45</f>
        <v/>
      </c>
      <c r="AP45" s="108" t="n"/>
      <c r="AQ45" s="107">
        <f>AP45*100/$E$45</f>
        <v/>
      </c>
      <c r="AR45" s="108" t="n"/>
      <c r="AS45" s="107">
        <f>AR45*100/$E$45</f>
        <v/>
      </c>
      <c r="AT45" s="108" t="n"/>
      <c r="AU45" s="90">
        <f>AT45*100/$E$45</f>
        <v/>
      </c>
      <c r="AV45" s="108" t="n"/>
      <c r="AW45" s="107">
        <f>AV45*100/$E$45</f>
        <v/>
      </c>
      <c r="AX45" s="108" t="n"/>
      <c r="AY45" s="107">
        <f>AX45*100/$E$45</f>
        <v/>
      </c>
      <c r="AZ45" s="108" t="n"/>
      <c r="BA45" s="107">
        <f>AZ45*100/$E$45</f>
        <v/>
      </c>
      <c r="BB45" s="108" t="n"/>
      <c r="BC45" s="107">
        <f>BB45*100/$E$45</f>
        <v/>
      </c>
      <c r="BD45" s="108" t="n"/>
      <c r="BE45" s="107">
        <f>BD45*100/$E$45</f>
        <v/>
      </c>
      <c r="BF45" s="108" t="n"/>
      <c r="BG45" s="107">
        <f>BF45*100/$E$45</f>
        <v/>
      </c>
      <c r="BH45" s="108" t="n"/>
      <c r="BI45" s="107">
        <f>BH45*100/$E$45</f>
        <v/>
      </c>
      <c r="BJ45" s="108" t="n"/>
      <c r="BK45" s="107">
        <f>BJ45*100/$E$45</f>
        <v/>
      </c>
      <c r="BL45" s="108" t="n"/>
      <c r="BM45" s="107">
        <f>BL45*100/$E$45</f>
        <v/>
      </c>
      <c r="BN45" s="108" t="n"/>
      <c r="BO45" s="107">
        <f>BN45*100/$E$45</f>
        <v/>
      </c>
      <c r="BP45" s="108" t="n"/>
      <c r="BQ45" s="107">
        <f>BP45*100/$E$45</f>
        <v/>
      </c>
      <c r="BR45" s="108" t="n"/>
      <c r="BS45" s="107">
        <f>BR45*100/$E$45</f>
        <v/>
      </c>
      <c r="BT45" s="108" t="n"/>
      <c r="BU45" s="107">
        <f>BT45*100/$E$45</f>
        <v/>
      </c>
      <c r="BV45" s="108" t="n"/>
      <c r="BW45" s="107">
        <f>BV45*100/$E$45</f>
        <v/>
      </c>
      <c r="BX45" s="108" t="n"/>
      <c r="BY45" s="107">
        <f>BX45*100/$E$45</f>
        <v/>
      </c>
      <c r="BZ45" s="108" t="n"/>
      <c r="CA45" s="107">
        <f>BZ45*100/$E$45</f>
        <v/>
      </c>
      <c r="CB45" s="108" t="n"/>
      <c r="CC45" s="107">
        <f>CB45*100/$E$45</f>
        <v/>
      </c>
      <c r="CD45" s="108" t="n"/>
      <c r="CE45" s="107">
        <f>CD45*100/$E$45</f>
        <v/>
      </c>
      <c r="CF45" s="108" t="n"/>
      <c r="CG45" s="107">
        <f>CF45*100/$E$45</f>
        <v/>
      </c>
      <c r="CH45" s="108" t="n"/>
      <c r="CI45" s="107">
        <f>CH45*100/$E$45</f>
        <v/>
      </c>
      <c r="CJ45" s="108" t="n"/>
      <c r="CK45" s="107">
        <f>CJ45*100/$E$45</f>
        <v/>
      </c>
      <c r="CL45" s="108" t="n"/>
      <c r="CM45" s="107">
        <f>CL45*100/$E$45</f>
        <v/>
      </c>
      <c r="CN45" s="108" t="n"/>
      <c r="CO45" s="122">
        <f>CN45*100/$E$45</f>
        <v/>
      </c>
      <c r="CP45" s="108" t="n"/>
      <c r="CQ45" s="107">
        <f>CP45*100/$E$45</f>
        <v/>
      </c>
      <c r="CR45" s="108" t="n"/>
      <c r="CS45" s="122">
        <f>CR45*100/$E$45</f>
        <v/>
      </c>
      <c r="CT45" s="108" t="n"/>
      <c r="CU45" s="122">
        <f>CT45*100/$E$45</f>
        <v/>
      </c>
      <c r="CV45" s="108" t="n"/>
      <c r="CW45" s="122">
        <f>CV45*100/$E$45</f>
        <v/>
      </c>
      <c r="CX45" s="108" t="n"/>
      <c r="CY45" s="122">
        <f>CX45*100/$E$45</f>
        <v/>
      </c>
      <c r="CZ45" s="108" t="n"/>
      <c r="DA45" s="122">
        <f>CZ45*100/$E$45</f>
        <v/>
      </c>
      <c r="DB45" s="108" t="n"/>
      <c r="DC45" s="122">
        <f>DB45*100/$E$45</f>
        <v/>
      </c>
      <c r="DD45" s="108" t="n"/>
      <c r="DE45" s="122">
        <f>DD45*100/$E$45</f>
        <v/>
      </c>
      <c r="DF45" s="108" t="n"/>
      <c r="DG45" s="122">
        <f>DF45*100/$E$45</f>
        <v/>
      </c>
      <c r="DH45" s="108" t="n"/>
      <c r="DI45" s="122">
        <f>DH45*100/$E$45</f>
        <v/>
      </c>
      <c r="DJ45" s="108" t="n"/>
      <c r="DK45" s="122">
        <f>DJ45*100/$E$45</f>
        <v/>
      </c>
      <c r="DL45" s="108" t="n"/>
      <c r="DM45" s="122">
        <f>DL45*100/$E$45</f>
        <v/>
      </c>
      <c r="DN45" s="108" t="n"/>
      <c r="DO45" s="122">
        <f>DN45*100/$E$45</f>
        <v/>
      </c>
      <c r="DP45" s="108" t="n"/>
      <c r="DQ45" s="122">
        <f>DP45*100/$E$45</f>
        <v/>
      </c>
      <c r="DR45" s="108" t="n"/>
      <c r="DS45" s="122">
        <f>DR45*100/$E$45</f>
        <v/>
      </c>
      <c r="DT45" s="108" t="n"/>
      <c r="DU45" s="122">
        <f>DT45*100/$E$45</f>
        <v/>
      </c>
      <c r="DV45" s="108" t="n"/>
      <c r="DW45" s="122">
        <f>DV45*100/$E$45</f>
        <v/>
      </c>
      <c r="DX45" s="108" t="n"/>
      <c r="DY45" s="122">
        <f>DX45*100/$E$45</f>
        <v/>
      </c>
      <c r="DZ45" s="108" t="n"/>
      <c r="EA45" s="122">
        <f>DZ45*100/$E$45</f>
        <v/>
      </c>
      <c r="EB45" s="108" t="n"/>
      <c r="EC45" s="122">
        <f>EB45*100/$E$45</f>
        <v/>
      </c>
      <c r="ED45" s="108" t="n"/>
      <c r="EE45" s="122">
        <f>ED45*100/$E$45</f>
        <v/>
      </c>
      <c r="EF45" s="108" t="n"/>
      <c r="EG45" s="122">
        <f>EF45*100/$E$45</f>
        <v/>
      </c>
      <c r="EH45" s="108" t="n"/>
      <c r="EI45" s="122">
        <f>EH45*100/$E$45</f>
        <v/>
      </c>
      <c r="EJ45" s="108" t="n"/>
      <c r="EK45" s="122">
        <f>EJ45*100/$E$45</f>
        <v/>
      </c>
      <c r="EL45" s="108" t="n"/>
      <c r="EM45" s="122">
        <f>EL45*100/$E$45</f>
        <v/>
      </c>
      <c r="EN45" s="108" t="n"/>
      <c r="EO45" s="122">
        <f>EN45*100/$E$45</f>
        <v/>
      </c>
      <c r="EP45" s="108" t="n"/>
      <c r="EQ45" s="122">
        <f>EP45*100/$E$45</f>
        <v/>
      </c>
      <c r="ER45" s="108" t="n"/>
      <c r="ES45" s="122">
        <f>ER45*100/$E$45</f>
        <v/>
      </c>
      <c r="ET45" s="108" t="n"/>
      <c r="EU45" s="122">
        <f>ET45*100/$E$45</f>
        <v/>
      </c>
      <c r="EV45" s="108" t="n"/>
      <c r="EW45" s="122">
        <f>EV45*100/$E$45</f>
        <v/>
      </c>
      <c r="EX45" s="108" t="n"/>
      <c r="EY45" s="122">
        <f>EX45*100/$E$45</f>
        <v/>
      </c>
      <c r="EZ45" s="108" t="n"/>
      <c r="FA45" s="122">
        <f>EZ45*100/$E$45</f>
        <v/>
      </c>
      <c r="FB45" s="108" t="n"/>
      <c r="FC45" s="122">
        <f>FB45*100/$E$45</f>
        <v/>
      </c>
      <c r="FD45" s="108" t="n"/>
      <c r="FE45" s="122">
        <f>FD45*100/$E$45</f>
        <v/>
      </c>
      <c r="FF45" s="108" t="n"/>
      <c r="FG45" s="122">
        <f>FF45*100/$E$45</f>
        <v/>
      </c>
      <c r="FH45" s="108" t="n"/>
      <c r="FI45" s="122">
        <f>FH45*100/$E$45</f>
        <v/>
      </c>
      <c r="FJ45" s="108" t="n"/>
      <c r="FK45" s="122">
        <f>FJ45*100/$E$45</f>
        <v/>
      </c>
      <c r="FL45" s="108" t="n"/>
      <c r="FM45" s="122">
        <f>FL45*100/$E$45</f>
        <v/>
      </c>
      <c r="FN45" s="108" t="n"/>
      <c r="FO45" s="122">
        <f>FN45*100/$E$45</f>
        <v/>
      </c>
      <c r="FP45" s="108" t="n"/>
      <c r="FQ45" s="122">
        <f>FP45*100/$E$45</f>
        <v/>
      </c>
      <c r="FR45" s="108" t="n"/>
      <c r="FS45" s="122">
        <f>FR45*100/$E$45</f>
        <v/>
      </c>
      <c r="FT45" s="108" t="n"/>
      <c r="FU45" s="122">
        <f>FT45*100/$E$45</f>
        <v/>
      </c>
      <c r="FV45" s="108" t="n"/>
      <c r="FW45" s="122">
        <f>FV45*100/$E$45</f>
        <v/>
      </c>
      <c r="FX45" s="108" t="n"/>
      <c r="FY45" s="107">
        <f>FX45*100/$E$45</f>
        <v/>
      </c>
      <c r="FZ45" s="108" t="n"/>
      <c r="GA45" s="107">
        <f>FZ45*100/$E$45</f>
        <v/>
      </c>
      <c r="GB45" s="108" t="n"/>
      <c r="GC45" s="107">
        <f>GB45*100/$E$45</f>
        <v/>
      </c>
      <c r="GD45" s="108" t="n"/>
      <c r="GE45" s="107">
        <f>GD45*100/$E$45</f>
        <v/>
      </c>
      <c r="GF45" s="108" t="n"/>
      <c r="GG45" s="107">
        <f>GF45*100/$E$45</f>
        <v/>
      </c>
      <c r="GH45" s="108" t="n"/>
      <c r="GI45" s="107">
        <f>GH45*100/$E$45</f>
        <v/>
      </c>
      <c r="GJ45" s="108" t="n"/>
      <c r="GK45" s="122">
        <f>GJ45*100/$E$45</f>
        <v/>
      </c>
      <c r="GL45" s="108" t="n"/>
      <c r="GM45" s="107">
        <f>GL45*100/$E$45</f>
        <v/>
      </c>
      <c r="GN45" s="108" t="n"/>
      <c r="GO45" s="122">
        <f>GN45*100/$E$45</f>
        <v/>
      </c>
      <c r="GP45" s="108" t="n"/>
      <c r="GQ45" s="107">
        <f>GP45*100/$E$45</f>
        <v/>
      </c>
      <c r="GR45" s="108" t="n"/>
      <c r="GS45" s="122">
        <f>GR45*100/$E$45</f>
        <v/>
      </c>
      <c r="GT45" s="108" t="n"/>
      <c r="GU45" s="122">
        <f>GT45*100/$E$45</f>
        <v/>
      </c>
      <c r="GV45" s="108" t="n"/>
      <c r="GW45" s="122">
        <f>GV45*100/$E$45</f>
        <v/>
      </c>
      <c r="GX45" s="108" t="n"/>
      <c r="GY45" s="107">
        <f>GX45*100/$E$45</f>
        <v/>
      </c>
      <c r="GZ45" s="108" t="n"/>
      <c r="HA45" s="107">
        <f>GZ45*100/$E$45</f>
        <v/>
      </c>
      <c r="HB45" s="108" t="n"/>
      <c r="HC45" s="107">
        <f>HB45*100/$E$45</f>
        <v/>
      </c>
      <c r="HD45" s="108" t="n"/>
      <c r="HE45" s="107">
        <f>HD45*100/$E$45</f>
        <v/>
      </c>
      <c r="HF45" s="108" t="n"/>
      <c r="HG45" s="107">
        <f>HF45*100/$E$45</f>
        <v/>
      </c>
      <c r="HH45" s="108" t="n"/>
      <c r="HI45" s="107">
        <f>HH45*100/$E$45</f>
        <v/>
      </c>
      <c r="HJ45" s="108" t="n"/>
      <c r="HK45" s="107">
        <f>HJ45*100/$E$45</f>
        <v/>
      </c>
      <c r="HL45" s="108" t="n"/>
      <c r="HM45" s="107">
        <f>HL45*100/$E$45</f>
        <v/>
      </c>
      <c r="HN45" s="108" t="n"/>
      <c r="HO45" s="107">
        <f>HN45*100/$E$45</f>
        <v/>
      </c>
      <c r="HP45" s="108" t="n"/>
      <c r="HQ45" s="107">
        <f>HP45*100/$E$45</f>
        <v/>
      </c>
      <c r="HR45" s="108" t="n"/>
      <c r="HS45" s="107">
        <f>HR45*100/$E$45</f>
        <v/>
      </c>
      <c r="HT45" s="108" t="n"/>
      <c r="HU45" s="107">
        <f>HT45*100/$E$45</f>
        <v/>
      </c>
      <c r="HV45" s="108" t="n"/>
      <c r="HW45" s="107">
        <f>HV45*100/$E$45</f>
        <v/>
      </c>
      <c r="HX45" s="108" t="n"/>
      <c r="HY45" s="107">
        <f>HX45*100/$E$45</f>
        <v/>
      </c>
      <c r="HZ45" s="108" t="n"/>
      <c r="IA45" s="122">
        <f>HZ45*100/$E$45</f>
        <v/>
      </c>
      <c r="IB45" s="108" t="n"/>
      <c r="IC45" s="122">
        <f>IB45*100/$E$45</f>
        <v/>
      </c>
      <c r="ID45" s="108" t="n"/>
      <c r="IE45" s="122">
        <f>ID45*100/$E$45</f>
        <v/>
      </c>
      <c r="IF45" s="108" t="n"/>
      <c r="IG45" s="122">
        <f>IF45*100/$E$45</f>
        <v/>
      </c>
      <c r="IH45" s="108" t="n"/>
      <c r="II45" s="122">
        <f>IH45*100/$E$45</f>
        <v/>
      </c>
      <c r="IJ45" s="108" t="n"/>
      <c r="IK45" s="122">
        <f>IJ45*100/$E$45</f>
        <v/>
      </c>
      <c r="IL45" s="108" t="n"/>
      <c r="IM45" s="107">
        <f>IL45*100/$E$45</f>
        <v/>
      </c>
      <c r="IN45" s="108" t="n"/>
      <c r="IO45" s="107">
        <f>IN45*100/$E$45</f>
        <v/>
      </c>
      <c r="IP45" s="108" t="n"/>
      <c r="IQ45" s="122">
        <f>IP45*100/$E$45</f>
        <v/>
      </c>
      <c r="IR45" s="108" t="n"/>
      <c r="IS45" s="122">
        <f>IR45*100/$E$45</f>
        <v/>
      </c>
      <c r="IT45" s="108" t="n"/>
      <c r="IU45" s="122">
        <f>IT45*100/$E$45</f>
        <v/>
      </c>
      <c r="IV45" s="108" t="n"/>
      <c r="IW45" s="122">
        <f>IV45*100/$E$45</f>
        <v/>
      </c>
      <c r="IX45" s="108" t="n"/>
      <c r="IY45" s="122">
        <f>IX45*100/$E$45</f>
        <v/>
      </c>
      <c r="IZ45" s="108" t="n"/>
      <c r="JA45" s="122">
        <f>IZ45*100/$E$45</f>
        <v/>
      </c>
      <c r="JB45" s="108" t="n"/>
      <c r="JC45" s="122">
        <f>JB45*100/$E$45</f>
        <v/>
      </c>
      <c r="JD45" s="108" t="n"/>
      <c r="JE45" s="122">
        <f>JD45*100/$E$45</f>
        <v/>
      </c>
      <c r="JF45" s="108" t="n"/>
      <c r="JG45" s="122">
        <f>JF45*100/$E$45</f>
        <v/>
      </c>
      <c r="JH45" s="108" t="n"/>
      <c r="JI45" s="122">
        <f>JH45*100/$E$45</f>
        <v/>
      </c>
      <c r="JJ45" s="108" t="n"/>
      <c r="JK45" s="122">
        <f>JJ45*100/$E$45</f>
        <v/>
      </c>
      <c r="JL45" s="108" t="n"/>
      <c r="JM45" s="122">
        <f>JL45*100/$E$45</f>
        <v/>
      </c>
      <c r="JN45" s="108" t="n"/>
      <c r="JO45" s="121">
        <f>JN45*100/$E$45</f>
        <v/>
      </c>
      <c r="JP45" s="108" t="n"/>
      <c r="JQ45" s="121">
        <f>JP45*100/$E$45</f>
        <v/>
      </c>
      <c r="JR45" s="108" t="n"/>
      <c r="JS45" s="121">
        <f>JR45*100/$E$45</f>
        <v/>
      </c>
      <c r="JT45" s="108" t="n"/>
      <c r="JU45" s="121">
        <f>JT45*100/$E$45</f>
        <v/>
      </c>
      <c r="JV45" s="132" t="n"/>
      <c r="JW45" s="121">
        <f>JV45*100/$E$45</f>
        <v/>
      </c>
      <c r="JX45" s="132" t="n"/>
      <c r="JY45" s="121">
        <f>JX45*100/$E$45</f>
        <v/>
      </c>
      <c r="JZ45" s="55">
        <f>JN45+JP45+JR45+JT45+JV45+JX45</f>
        <v/>
      </c>
      <c r="KA45" s="53">
        <f>JO45+JQ45+JS45+JU45+JW45+JY45</f>
        <v/>
      </c>
      <c r="KB45" s="64">
        <f>H45+J45+L45+N45+P45+R45+T45+V45+X45+Z45+AB45+AD45+AF45+AH45+AJ45+AL45+AN45+AP45+AR45+AT45+AV45+AX45+AZ45+BB45+BD45+BF45+BH45+BJ45+BL45+BN45+BP45+BR45+BT45+BV45+BX45+BZ45+CB45+CD45+CF45+CH45+CZ45+DB45+DD45+DF45+DH45+DJ45+DL45+DN45+DP45+DR45+DT45+DV45+DX45+DZ45+EB45+ED45+EF45+EH45+EJ45+EL45+EN45+EP45+ER45+ET45+EV45+FN45+FP45+FR45+FT45+FV45+FX45+FZ45+GB45+GD45+GF45+GH45+GJ45+GL45+GN45+GP45+GR45+GT45+GV45+GX45+GZ45+HB45+HD45+HF45+HH45+HJ45+HL45+HN45+HP45+HR45+HT45+HV45+HX45+HZ45+IB45+ID45+IF45+IH45+IJ45+IL45+IN45+IP45+IR45+IT45+IV45+IX45+IZ45+JB45+JD45+JF45+JH45+JJ45+JL45+JZ45+CJ45+CL45+CN45+CP45+CR45+CT45+CV45+CX45+EX45+EZ45+FB45+FD45+FF45+FH45+FJ45+FL45</f>
        <v/>
      </c>
      <c r="KC45" s="66">
        <f>I45+K45+M45+O45+Q45+S45+U45+W45+Y45+AA45+AC45+AE45+AG45+AI45+AK45+AM45+AO45+AQ45+AS45+AU45+AW45+AY45+BA45+BC45+BE45+BG45+BI45+BK45+BM45+BO45+BQ45+BS45+BU45+BW45+BY45+CA45+CC45+CE45+CG45+CI45+DA45+DC45+DE45+DG45+DI45+DK45+DM45+DO45+DQ45+DS45+DU45+DW45+DY45+EA45+EC45+EE45+EG45+EI45+EK45+EM45+EO45+EQ45+ES45+EU45+EW45+FO45+FS45+FU45+FW45+FQ45+FY45+GA45+GC45+GE45+GG45+GI45+GK45+GM45+GO45+GQ45+GS45+GU45+GW45+GY45+HA45+HC45+HE45+HG45+HI45+HK45+HM45+HO45+HQ45+HS45+HU45+HW45+HY45+IA45+IC45+IE45+IG45+II45+IK45+IM45+IO45+IQ45+IS45+IU45+IW45+IY45+JA45+JC45+JE45+JG45+JI45+JK45+JM45+KA45+CK45+CM45+CO45+CQ45+CS45+CU45+CW45+CY45+EY45+FA45+FC45+FE45+FG45+FI45+FK45+FM45</f>
        <v/>
      </c>
      <c r="KD45" s="44">
        <f>JO45+JQ45+JS45+JU45+JW45+JY45</f>
        <v/>
      </c>
      <c r="KE45" s="45">
        <f>KB45=E45</f>
        <v/>
      </c>
      <c r="KF45" s="101">
        <f>E45-KB45</f>
        <v/>
      </c>
      <c r="KG45" s="11" t="n"/>
    </row>
    <row r="46" ht="21.75" customFormat="1" customHeight="1" s="11">
      <c r="A46" s="126">
        <f>A45+1</f>
        <v/>
      </c>
      <c r="B46" s="175" t="inlineStr">
        <is>
          <t>Токарев Н. С.</t>
        </is>
      </c>
      <c r="C46" s="176" t="inlineStr">
        <is>
          <t>фрезеровщик</t>
        </is>
      </c>
      <c r="D46" s="177">
        <f>$D$5</f>
        <v/>
      </c>
      <c r="E46" s="202" t="n"/>
      <c r="F46" s="191" t="n">
        <v>101149.88</v>
      </c>
      <c r="G46" s="52">
        <f>F46/D46</f>
        <v/>
      </c>
      <c r="H46" s="125" t="n"/>
      <c r="I46" s="107">
        <f>H46*100/$E$46</f>
        <v/>
      </c>
      <c r="J46" s="108" t="n"/>
      <c r="K46" s="107">
        <f>J46*100/$E$46</f>
        <v/>
      </c>
      <c r="L46" s="108" t="n"/>
      <c r="M46" s="107">
        <f>L46*100/$E$46</f>
        <v/>
      </c>
      <c r="N46" s="108" t="n"/>
      <c r="O46" s="107">
        <f>N46*100/$E$46</f>
        <v/>
      </c>
      <c r="P46" s="108" t="n"/>
      <c r="Q46" s="122">
        <f>P46*100/$E$46</f>
        <v/>
      </c>
      <c r="R46" s="108" t="n"/>
      <c r="S46" s="122">
        <f>R46*100/$E$46</f>
        <v/>
      </c>
      <c r="T46" s="108" t="n"/>
      <c r="U46" s="107">
        <f>T46*100/$E$46</f>
        <v/>
      </c>
      <c r="V46" s="108" t="n"/>
      <c r="W46" s="107">
        <f>V46*100/$E$46</f>
        <v/>
      </c>
      <c r="X46" s="108" t="n"/>
      <c r="Y46" s="107">
        <f>X46*100/$E$46</f>
        <v/>
      </c>
      <c r="Z46" s="108" t="n"/>
      <c r="AA46" s="107">
        <f>Z46*100/$E$46</f>
        <v/>
      </c>
      <c r="AB46" s="108" t="n"/>
      <c r="AC46" s="107">
        <f>AB46*100/$E$46</f>
        <v/>
      </c>
      <c r="AD46" s="108" t="n"/>
      <c r="AE46" s="122">
        <f>AD46*100/$E$46</f>
        <v/>
      </c>
      <c r="AF46" s="108" t="n"/>
      <c r="AG46" s="122">
        <f>AF46*100/$E$46</f>
        <v/>
      </c>
      <c r="AH46" s="108" t="n"/>
      <c r="AI46" s="107">
        <f>AH46*100/$E$46</f>
        <v/>
      </c>
      <c r="AJ46" s="108" t="n"/>
      <c r="AK46" s="107">
        <f>AJ46*100/$E$46</f>
        <v/>
      </c>
      <c r="AL46" s="108" t="n"/>
      <c r="AM46" s="107">
        <f>AL46*100/$E$46</f>
        <v/>
      </c>
      <c r="AN46" s="108" t="n"/>
      <c r="AO46" s="107">
        <f>AN46*100/$E$46</f>
        <v/>
      </c>
      <c r="AP46" s="108" t="n"/>
      <c r="AQ46" s="107">
        <f>AP46*100/$E$46</f>
        <v/>
      </c>
      <c r="AR46" s="108" t="n"/>
      <c r="AS46" s="107">
        <f>AR46*100/$E$46</f>
        <v/>
      </c>
      <c r="AT46" s="108" t="n"/>
      <c r="AU46" s="90">
        <f>AT46*100/$E$46</f>
        <v/>
      </c>
      <c r="AV46" s="108" t="n"/>
      <c r="AW46" s="107">
        <f>AV46*100/$E$46</f>
        <v/>
      </c>
      <c r="AX46" s="108" t="n"/>
      <c r="AY46" s="107">
        <f>AX46*100/$E$46</f>
        <v/>
      </c>
      <c r="AZ46" s="108" t="n"/>
      <c r="BA46" s="107">
        <f>AZ46*100/$E$46</f>
        <v/>
      </c>
      <c r="BB46" s="108" t="n"/>
      <c r="BC46" s="107">
        <f>BB46*100/$E$46</f>
        <v/>
      </c>
      <c r="BD46" s="108" t="n"/>
      <c r="BE46" s="107">
        <f>BD46*100/$E$46</f>
        <v/>
      </c>
      <c r="BF46" s="108" t="n"/>
      <c r="BG46" s="107">
        <f>BF46*100/$E$46</f>
        <v/>
      </c>
      <c r="BH46" s="108" t="n"/>
      <c r="BI46" s="107">
        <f>BH46*100/$E$46</f>
        <v/>
      </c>
      <c r="BJ46" s="108" t="n"/>
      <c r="BK46" s="107">
        <f>BJ46*100/$E$46</f>
        <v/>
      </c>
      <c r="BL46" s="108" t="n"/>
      <c r="BM46" s="107">
        <f>BL46*100/$E$46</f>
        <v/>
      </c>
      <c r="BN46" s="108" t="n"/>
      <c r="BO46" s="107">
        <f>BN46*100/$E$46</f>
        <v/>
      </c>
      <c r="BP46" s="108" t="n"/>
      <c r="BQ46" s="107">
        <f>BP46*100/$E$46</f>
        <v/>
      </c>
      <c r="BR46" s="108" t="n"/>
      <c r="BS46" s="107">
        <f>BR46*100/$E$46</f>
        <v/>
      </c>
      <c r="BT46" s="108" t="n"/>
      <c r="BU46" s="107">
        <f>BT46*100/$E$46</f>
        <v/>
      </c>
      <c r="BV46" s="108" t="n"/>
      <c r="BW46" s="107">
        <f>BV46*100/$E$46</f>
        <v/>
      </c>
      <c r="BX46" s="108" t="n"/>
      <c r="BY46" s="107">
        <f>BX46*100/$E$46</f>
        <v/>
      </c>
      <c r="BZ46" s="108" t="n"/>
      <c r="CA46" s="107">
        <f>BZ46*100/$E$46</f>
        <v/>
      </c>
      <c r="CB46" s="108" t="n"/>
      <c r="CC46" s="107">
        <f>CB46*100/$E$46</f>
        <v/>
      </c>
      <c r="CD46" s="108" t="n"/>
      <c r="CE46" s="107">
        <f>CD46*100/$E$46</f>
        <v/>
      </c>
      <c r="CF46" s="108" t="n"/>
      <c r="CG46" s="107">
        <f>CF46*100/$E$46</f>
        <v/>
      </c>
      <c r="CH46" s="108" t="n"/>
      <c r="CI46" s="107">
        <f>CH46*100/$E$46</f>
        <v/>
      </c>
      <c r="CJ46" s="108" t="n"/>
      <c r="CK46" s="107">
        <f>CJ46*100/$E$46</f>
        <v/>
      </c>
      <c r="CL46" s="108" t="n"/>
      <c r="CM46" s="107">
        <f>CL46*100/$E$46</f>
        <v/>
      </c>
      <c r="CN46" s="108" t="n"/>
      <c r="CO46" s="122">
        <f>CN46*100/$E$46</f>
        <v/>
      </c>
      <c r="CP46" s="108" t="n"/>
      <c r="CQ46" s="107">
        <f>CP46*100/$E$46</f>
        <v/>
      </c>
      <c r="CR46" s="108" t="n"/>
      <c r="CS46" s="122">
        <f>CR46*100/$E$46</f>
        <v/>
      </c>
      <c r="CT46" s="108" t="n"/>
      <c r="CU46" s="122">
        <f>CT46*100/$E$46</f>
        <v/>
      </c>
      <c r="CV46" s="108" t="n"/>
      <c r="CW46" s="122">
        <f>CV46*100/$E$46</f>
        <v/>
      </c>
      <c r="CX46" s="108" t="n"/>
      <c r="CY46" s="122">
        <f>CX46*100/$E$46</f>
        <v/>
      </c>
      <c r="CZ46" s="108" t="n"/>
      <c r="DA46" s="122">
        <f>CZ46*100/$E$46</f>
        <v/>
      </c>
      <c r="DB46" s="108" t="n"/>
      <c r="DC46" s="122">
        <f>DB46*100/$E$46</f>
        <v/>
      </c>
      <c r="DD46" s="108" t="n"/>
      <c r="DE46" s="122">
        <f>DD46*100/$E$46</f>
        <v/>
      </c>
      <c r="DF46" s="108" t="n"/>
      <c r="DG46" s="122">
        <f>DF46*100/$E$46</f>
        <v/>
      </c>
      <c r="DH46" s="108" t="n"/>
      <c r="DI46" s="122">
        <f>DH46*100/$E$46</f>
        <v/>
      </c>
      <c r="DJ46" s="108" t="n"/>
      <c r="DK46" s="122">
        <f>DJ46*100/$E$46</f>
        <v/>
      </c>
      <c r="DL46" s="108" t="n"/>
      <c r="DM46" s="122">
        <f>DL46*100/$E$46</f>
        <v/>
      </c>
      <c r="DN46" s="108" t="n"/>
      <c r="DO46" s="122">
        <f>DN46*100/$E$46</f>
        <v/>
      </c>
      <c r="DP46" s="108" t="n"/>
      <c r="DQ46" s="122">
        <f>DP46*100/$E$46</f>
        <v/>
      </c>
      <c r="DR46" s="108" t="n"/>
      <c r="DS46" s="122">
        <f>DR46*100/$E$46</f>
        <v/>
      </c>
      <c r="DT46" s="108" t="n"/>
      <c r="DU46" s="122">
        <f>DT46*100/$E$46</f>
        <v/>
      </c>
      <c r="DV46" s="108" t="n"/>
      <c r="DW46" s="122">
        <f>DV46*100/$E$46</f>
        <v/>
      </c>
      <c r="DX46" s="108" t="n"/>
      <c r="DY46" s="122">
        <f>DX46*100/$E$46</f>
        <v/>
      </c>
      <c r="DZ46" s="108" t="n"/>
      <c r="EA46" s="122">
        <f>DZ46*100/$E$46</f>
        <v/>
      </c>
      <c r="EB46" s="108" t="n"/>
      <c r="EC46" s="122">
        <f>EB46*100/$E$46</f>
        <v/>
      </c>
      <c r="ED46" s="108" t="n"/>
      <c r="EE46" s="122">
        <f>ED46*100/$E$46</f>
        <v/>
      </c>
      <c r="EF46" s="108" t="n"/>
      <c r="EG46" s="122">
        <f>EF46*100/$E$46</f>
        <v/>
      </c>
      <c r="EH46" s="108" t="n"/>
      <c r="EI46" s="122">
        <f>EH46*100/$E$46</f>
        <v/>
      </c>
      <c r="EJ46" s="108" t="n"/>
      <c r="EK46" s="122">
        <f>EJ46*100/$E$46</f>
        <v/>
      </c>
      <c r="EL46" s="108" t="n"/>
      <c r="EM46" s="122">
        <f>EL46*100/$E$46</f>
        <v/>
      </c>
      <c r="EN46" s="108" t="n"/>
      <c r="EO46" s="122">
        <f>EN46*100/$E$46</f>
        <v/>
      </c>
      <c r="EP46" s="108" t="n"/>
      <c r="EQ46" s="122">
        <f>EP46*100/$E$46</f>
        <v/>
      </c>
      <c r="ER46" s="108" t="n"/>
      <c r="ES46" s="122">
        <f>ER46*100/$E$46</f>
        <v/>
      </c>
      <c r="ET46" s="108" t="n"/>
      <c r="EU46" s="122">
        <f>ET46*100/$E$46</f>
        <v/>
      </c>
      <c r="EV46" s="108" t="n"/>
      <c r="EW46" s="122">
        <f>EV46*100/$E$46</f>
        <v/>
      </c>
      <c r="EX46" s="108" t="n"/>
      <c r="EY46" s="122">
        <f>EX46*100/$E$46</f>
        <v/>
      </c>
      <c r="EZ46" s="108" t="n"/>
      <c r="FA46" s="122">
        <f>EZ46*100/$E$46</f>
        <v/>
      </c>
      <c r="FB46" s="108" t="n"/>
      <c r="FC46" s="122">
        <f>FB46*100/$E$46</f>
        <v/>
      </c>
      <c r="FD46" s="108" t="n"/>
      <c r="FE46" s="122">
        <f>FD46*100/$E$46</f>
        <v/>
      </c>
      <c r="FF46" s="108" t="n"/>
      <c r="FG46" s="122">
        <f>FF46*100/$E$46</f>
        <v/>
      </c>
      <c r="FH46" s="108" t="n"/>
      <c r="FI46" s="122">
        <f>FH46*100/$E$46</f>
        <v/>
      </c>
      <c r="FJ46" s="108" t="n"/>
      <c r="FK46" s="122">
        <f>FJ46*100/$E$46</f>
        <v/>
      </c>
      <c r="FL46" s="108" t="n"/>
      <c r="FM46" s="122">
        <f>FL46*100/$E$46</f>
        <v/>
      </c>
      <c r="FN46" s="108" t="n"/>
      <c r="FO46" s="122">
        <f>FN46*100/$E$46</f>
        <v/>
      </c>
      <c r="FP46" s="108" t="n"/>
      <c r="FQ46" s="122">
        <f>FP46*100/$E$46</f>
        <v/>
      </c>
      <c r="FR46" s="108" t="n"/>
      <c r="FS46" s="122">
        <f>FR46*100/$E$46</f>
        <v/>
      </c>
      <c r="FT46" s="108" t="n"/>
      <c r="FU46" s="122">
        <f>FT46*100/$E$46</f>
        <v/>
      </c>
      <c r="FV46" s="108" t="n"/>
      <c r="FW46" s="122">
        <f>FV46*100/$E$46</f>
        <v/>
      </c>
      <c r="FX46" s="108" t="n"/>
      <c r="FY46" s="107">
        <f>FX46*100/$E$46</f>
        <v/>
      </c>
      <c r="FZ46" s="108" t="n"/>
      <c r="GA46" s="107">
        <f>FZ46*100/$E$46</f>
        <v/>
      </c>
      <c r="GB46" s="108" t="n"/>
      <c r="GC46" s="107">
        <f>GB46*100/$E$46</f>
        <v/>
      </c>
      <c r="GD46" s="108" t="n"/>
      <c r="GE46" s="107">
        <f>GD46*100/$E$46</f>
        <v/>
      </c>
      <c r="GF46" s="108" t="n"/>
      <c r="GG46" s="107">
        <f>GF46*100/$E$46</f>
        <v/>
      </c>
      <c r="GH46" s="108" t="n"/>
      <c r="GI46" s="107">
        <f>GH46*100/$E$46</f>
        <v/>
      </c>
      <c r="GJ46" s="108" t="n"/>
      <c r="GK46" s="122">
        <f>GJ46*100/$E$46</f>
        <v/>
      </c>
      <c r="GL46" s="108" t="n"/>
      <c r="GM46" s="107">
        <f>GL46*100/$E$46</f>
        <v/>
      </c>
      <c r="GN46" s="108" t="n"/>
      <c r="GO46" s="122">
        <f>GN46*100/$E$46</f>
        <v/>
      </c>
      <c r="GP46" s="108" t="n"/>
      <c r="GQ46" s="107">
        <f>GP46*100/$E$46</f>
        <v/>
      </c>
      <c r="GR46" s="108" t="n"/>
      <c r="GS46" s="122">
        <f>GR46*100/$E$46</f>
        <v/>
      </c>
      <c r="GT46" s="108" t="n"/>
      <c r="GU46" s="122">
        <f>GT46*100/$E$46</f>
        <v/>
      </c>
      <c r="GV46" s="108" t="n"/>
      <c r="GW46" s="122">
        <f>GV46*100/$E$46</f>
        <v/>
      </c>
      <c r="GX46" s="108" t="n"/>
      <c r="GY46" s="107">
        <f>GX46*100/$E$46</f>
        <v/>
      </c>
      <c r="GZ46" s="108" t="n"/>
      <c r="HA46" s="107">
        <f>GZ46*100/$E$46</f>
        <v/>
      </c>
      <c r="HB46" s="108" t="n"/>
      <c r="HC46" s="107">
        <f>HB46*100/$E$46</f>
        <v/>
      </c>
      <c r="HD46" s="108" t="n"/>
      <c r="HE46" s="107">
        <f>HD46*100/$E$46</f>
        <v/>
      </c>
      <c r="HF46" s="108" t="n"/>
      <c r="HG46" s="107">
        <f>HF46*100/$E$46</f>
        <v/>
      </c>
      <c r="HH46" s="108" t="n"/>
      <c r="HI46" s="107">
        <f>HH46*100/$E$46</f>
        <v/>
      </c>
      <c r="HJ46" s="108" t="n"/>
      <c r="HK46" s="107">
        <f>HJ46*100/$E$46</f>
        <v/>
      </c>
      <c r="HL46" s="108" t="n"/>
      <c r="HM46" s="107">
        <f>HL46*100/$E$46</f>
        <v/>
      </c>
      <c r="HN46" s="108" t="n"/>
      <c r="HO46" s="107">
        <f>HN46*100/$E$46</f>
        <v/>
      </c>
      <c r="HP46" s="108" t="n"/>
      <c r="HQ46" s="107">
        <f>HP46*100/$E$46</f>
        <v/>
      </c>
      <c r="HR46" s="108" t="n"/>
      <c r="HS46" s="107">
        <f>HR46*100/$E$46</f>
        <v/>
      </c>
      <c r="HT46" s="108" t="n"/>
      <c r="HU46" s="107">
        <f>HT46*100/$E$46</f>
        <v/>
      </c>
      <c r="HV46" s="108" t="n"/>
      <c r="HW46" s="107">
        <f>HV46*100/$E$46</f>
        <v/>
      </c>
      <c r="HX46" s="108" t="n"/>
      <c r="HY46" s="107">
        <f>HX46*100/$E$46</f>
        <v/>
      </c>
      <c r="HZ46" s="108" t="n"/>
      <c r="IA46" s="122">
        <f>HZ46*100/$E$46</f>
        <v/>
      </c>
      <c r="IB46" s="108" t="n"/>
      <c r="IC46" s="122">
        <f>IB46*100/$E$46</f>
        <v/>
      </c>
      <c r="ID46" s="108" t="n"/>
      <c r="IE46" s="122">
        <f>ID46*100/$E$46</f>
        <v/>
      </c>
      <c r="IF46" s="108" t="n"/>
      <c r="IG46" s="122">
        <f>IF46*100/$E$46</f>
        <v/>
      </c>
      <c r="IH46" s="108" t="n"/>
      <c r="II46" s="122">
        <f>IH46*100/$E$46</f>
        <v/>
      </c>
      <c r="IJ46" s="108" t="n"/>
      <c r="IK46" s="122">
        <f>IJ46*100/$E$46</f>
        <v/>
      </c>
      <c r="IL46" s="108" t="n"/>
      <c r="IM46" s="107">
        <f>IL46*100/$E$46</f>
        <v/>
      </c>
      <c r="IN46" s="108" t="n"/>
      <c r="IO46" s="107">
        <f>IN46*100/$E$46</f>
        <v/>
      </c>
      <c r="IP46" s="108" t="n"/>
      <c r="IQ46" s="122">
        <f>IP46*100/$E$46</f>
        <v/>
      </c>
      <c r="IR46" s="108" t="n"/>
      <c r="IS46" s="122">
        <f>IR46*100/$E$46</f>
        <v/>
      </c>
      <c r="IT46" s="108" t="n"/>
      <c r="IU46" s="122">
        <f>IT46*100/$E$46</f>
        <v/>
      </c>
      <c r="IV46" s="108" t="n"/>
      <c r="IW46" s="122">
        <f>IV46*100/$E$46</f>
        <v/>
      </c>
      <c r="IX46" s="108" t="n"/>
      <c r="IY46" s="122">
        <f>IX46*100/$E$46</f>
        <v/>
      </c>
      <c r="IZ46" s="108" t="n"/>
      <c r="JA46" s="122">
        <f>IZ46*100/$E$46</f>
        <v/>
      </c>
      <c r="JB46" s="108" t="n"/>
      <c r="JC46" s="122">
        <f>JB46*100/$E$46</f>
        <v/>
      </c>
      <c r="JD46" s="108" t="n"/>
      <c r="JE46" s="122">
        <f>JD46*100/$E$46</f>
        <v/>
      </c>
      <c r="JF46" s="108" t="n"/>
      <c r="JG46" s="122">
        <f>JF46*100/$E$46</f>
        <v/>
      </c>
      <c r="JH46" s="108" t="n"/>
      <c r="JI46" s="122">
        <f>JH46*100/$E$46</f>
        <v/>
      </c>
      <c r="JJ46" s="108" t="n"/>
      <c r="JK46" s="122">
        <f>JJ46*100/$E$46</f>
        <v/>
      </c>
      <c r="JL46" s="108" t="n"/>
      <c r="JM46" s="122">
        <f>JL46*100/$E$46</f>
        <v/>
      </c>
      <c r="JN46" s="108" t="n"/>
      <c r="JO46" s="121">
        <f>JN46*100/$E$46</f>
        <v/>
      </c>
      <c r="JP46" s="108" t="n"/>
      <c r="JQ46" s="121">
        <f>JP46*100/$E$46</f>
        <v/>
      </c>
      <c r="JR46" s="108" t="n"/>
      <c r="JS46" s="121">
        <f>JR46*100/$E$46</f>
        <v/>
      </c>
      <c r="JT46" s="108" t="n"/>
      <c r="JU46" s="121">
        <f>JT46*100/$E$46</f>
        <v/>
      </c>
      <c r="JV46" s="108" t="n"/>
      <c r="JW46" s="121">
        <f>JV46*100/$E$46</f>
        <v/>
      </c>
      <c r="JX46" s="108" t="n"/>
      <c r="JY46" s="121">
        <f>JX46*100/$E$46</f>
        <v/>
      </c>
      <c r="JZ46" s="55">
        <f>JN46+JP46+JR46+JT46+JV46+JX46</f>
        <v/>
      </c>
      <c r="KA46" s="53">
        <f>JO46+JQ46+JS46+JU46+JW46+JY46</f>
        <v/>
      </c>
      <c r="KB46" s="64">
        <f>H46+J46+L46+N46+P46+R46+T46+V46+X46+Z46+AB46+AD46+AF46+AH46+AJ46+AL46+AN46+AP46+AR46+AT46+AV46+AX46+AZ46+BB46+BD46+BF46+BH46+BJ46+BL46+BN46+BP46+BR46+BT46+BV46+BX46+BZ46+CB46+CD46+CF46+CH46+CZ46+DB46+DD46+DF46+DH46+DJ46+DL46+DN46+DP46+DR46+DT46+DV46+DX46+DZ46+EB46+ED46+EF46+EH46+EJ46+EL46+EN46+EP46+ER46+ET46+EV46+FN46+FP46+FR46+FT46+FV46+FX46+FZ46+GB46+GD46+GF46+GH46+GJ46+GL46+GN46+GP46+GR46+GT46+GV46+GX46+GZ46+HB46+HD46+HF46+HH46+HJ46+HL46+HN46+HP46+HR46+HT46+HV46+HX46+HZ46+IB46+ID46+IF46+IH46+IJ46+IL46+IN46+IP46+IR46+IT46+IV46+IX46+IZ46+JB46+JD46+JF46+JH46+JJ46+JL46+JZ46+CJ46+CL46+CN46+CP46+CR46+CT46+CV46+CX46+EX46+EZ46+FB46+FD46+FF46+FH46+FJ46+FL46</f>
        <v/>
      </c>
      <c r="KC46" s="66">
        <f>I46+K46+M46+O46+Q46+S46+U46+W46+Y46+AA46+AC46+AE46+AG46+AI46+AK46+AM46+AO46+AQ46+AS46+AU46+AW46+AY46+BA46+BC46+BE46+BG46+BI46+BK46+BM46+BO46+BQ46+BS46+BU46+BW46+BY46+CA46+CC46+CE46+CG46+CI46+DA46+DC46+DE46+DG46+DI46+DK46+DM46+DO46+DQ46+DS46+DU46+DW46+DY46+EA46+EC46+EE46+EG46+EI46+EK46+EM46+EO46+EQ46+ES46+EU46+EW46+FO46+FS46+FU46+FW46+FQ46+FY46+GA46+GC46+GE46+GG46+GI46+GK46+GM46+GO46+GQ46+GS46+GU46+GW46+GY46+HA46+HC46+HE46+HG46+HI46+HK46+HM46+HO46+HQ46+HS46+HU46+HW46+HY46+IA46+IC46+IE46+IG46+II46+IK46+IM46+IO46+IQ46+IS46+IU46+IW46+IY46+JA46+JC46+JE46+JG46+JI46+JK46+JM46+KA46+CK46+CM46+CO46+CQ46+CS46+CU46+CW46+CY46+EY46+FA46+FC46+FE46+FG46+FI46+FK46+FM46</f>
        <v/>
      </c>
      <c r="KD46" s="44">
        <f>JO46+JQ46+JS46+JU46+JW46+JY46</f>
        <v/>
      </c>
      <c r="KE46" s="45">
        <f>KB46=E46</f>
        <v/>
      </c>
      <c r="KF46" s="101">
        <f>E46-KB46</f>
        <v/>
      </c>
      <c r="KG46" s="22" t="n"/>
    </row>
    <row r="47" ht="21.75" customFormat="1" customHeight="1" s="22">
      <c r="A47" s="126">
        <f>A46+1</f>
        <v/>
      </c>
      <c r="B47" s="192" t="inlineStr">
        <is>
          <t>Трикачев С.И.</t>
        </is>
      </c>
      <c r="C47" s="204" t="inlineStr">
        <is>
          <t>токарь</t>
        </is>
      </c>
      <c r="D47" s="206">
        <f>$D$5</f>
        <v/>
      </c>
      <c r="E47" s="207" t="n"/>
      <c r="F47" s="205" t="n">
        <v>107473.5</v>
      </c>
      <c r="G47" s="52">
        <f>F47/D47</f>
        <v/>
      </c>
      <c r="H47" s="125" t="n"/>
      <c r="I47" s="107">
        <f>H47*100/$E$47</f>
        <v/>
      </c>
      <c r="J47" s="108" t="n"/>
      <c r="K47" s="107">
        <f>J47*100/$E$47</f>
        <v/>
      </c>
      <c r="L47" s="108" t="n"/>
      <c r="M47" s="107">
        <f>L47*100/$E$47</f>
        <v/>
      </c>
      <c r="N47" s="108" t="n"/>
      <c r="O47" s="107">
        <f>N47*100/$E$47</f>
        <v/>
      </c>
      <c r="P47" s="108" t="n"/>
      <c r="Q47" s="122">
        <f>P47*100/$E$47</f>
        <v/>
      </c>
      <c r="R47" s="108" t="n"/>
      <c r="S47" s="122">
        <f>R47*100/$E$47</f>
        <v/>
      </c>
      <c r="T47" s="108" t="n"/>
      <c r="U47" s="107">
        <f>T47*100/$E$47</f>
        <v/>
      </c>
      <c r="V47" s="108" t="n"/>
      <c r="W47" s="107">
        <f>V47*100/$E$47</f>
        <v/>
      </c>
      <c r="X47" s="108" t="n"/>
      <c r="Y47" s="107">
        <f>X47*100/$E$47</f>
        <v/>
      </c>
      <c r="Z47" s="108" t="n"/>
      <c r="AA47" s="107">
        <f>Z47*100/$E$47</f>
        <v/>
      </c>
      <c r="AB47" s="108" t="n"/>
      <c r="AC47" s="107">
        <f>AB47*100/$E$47</f>
        <v/>
      </c>
      <c r="AD47" s="108" t="n"/>
      <c r="AE47" s="122">
        <f>AD47*100/$E$47</f>
        <v/>
      </c>
      <c r="AF47" s="108" t="n"/>
      <c r="AG47" s="122">
        <f>AF47*100/$E$47</f>
        <v/>
      </c>
      <c r="AH47" s="108" t="n"/>
      <c r="AI47" s="107">
        <f>AH47*100/$E$47</f>
        <v/>
      </c>
      <c r="AJ47" s="108" t="n"/>
      <c r="AK47" s="107">
        <f>AJ47*100/$E$47</f>
        <v/>
      </c>
      <c r="AL47" s="108" t="n"/>
      <c r="AM47" s="107">
        <f>AL47*100/$E$47</f>
        <v/>
      </c>
      <c r="AN47" s="108" t="n"/>
      <c r="AO47" s="107">
        <f>AN47*100/$E$47</f>
        <v/>
      </c>
      <c r="AP47" s="108" t="n"/>
      <c r="AQ47" s="107">
        <f>AP47*100/$E$47</f>
        <v/>
      </c>
      <c r="AR47" s="108" t="n"/>
      <c r="AS47" s="107">
        <f>AR47*100/$E$47</f>
        <v/>
      </c>
      <c r="AT47" s="108" t="n"/>
      <c r="AU47" s="90">
        <f>AT47*100/$E$47</f>
        <v/>
      </c>
      <c r="AV47" s="108" t="n"/>
      <c r="AW47" s="107">
        <f>AV47*100/$E$47</f>
        <v/>
      </c>
      <c r="AX47" s="108" t="n"/>
      <c r="AY47" s="107">
        <f>AX47*100/$E$47</f>
        <v/>
      </c>
      <c r="AZ47" s="108" t="n"/>
      <c r="BA47" s="107">
        <f>AZ47*100/$E$47</f>
        <v/>
      </c>
      <c r="BB47" s="108" t="n"/>
      <c r="BC47" s="107">
        <f>BB47*100/$E$47</f>
        <v/>
      </c>
      <c r="BD47" s="108" t="n"/>
      <c r="BE47" s="107">
        <f>BD47*100/$E$47</f>
        <v/>
      </c>
      <c r="BF47" s="108" t="n"/>
      <c r="BG47" s="107">
        <f>BF47*100/$E$47</f>
        <v/>
      </c>
      <c r="BH47" s="108" t="n"/>
      <c r="BI47" s="107">
        <f>BH47*100/$E$47</f>
        <v/>
      </c>
      <c r="BJ47" s="108" t="n"/>
      <c r="BK47" s="107">
        <f>BJ47*100/$E$47</f>
        <v/>
      </c>
      <c r="BL47" s="108" t="n"/>
      <c r="BM47" s="107">
        <f>BL47*100/$E$47</f>
        <v/>
      </c>
      <c r="BN47" s="108" t="n"/>
      <c r="BO47" s="107">
        <f>BN47*100/$E$47</f>
        <v/>
      </c>
      <c r="BP47" s="108" t="n"/>
      <c r="BQ47" s="107">
        <f>BP47*100/$E$47</f>
        <v/>
      </c>
      <c r="BR47" s="108" t="n"/>
      <c r="BS47" s="107">
        <f>BR47*100/$E$47</f>
        <v/>
      </c>
      <c r="BT47" s="108" t="n"/>
      <c r="BU47" s="107">
        <f>BT47*100/$E$47</f>
        <v/>
      </c>
      <c r="BV47" s="108" t="n"/>
      <c r="BW47" s="107">
        <f>BV47*100/$E$47</f>
        <v/>
      </c>
      <c r="BX47" s="108" t="n"/>
      <c r="BY47" s="107">
        <f>BX47*100/$E$47</f>
        <v/>
      </c>
      <c r="BZ47" s="108" t="n"/>
      <c r="CA47" s="107">
        <f>BZ47*100/$E$47</f>
        <v/>
      </c>
      <c r="CB47" s="108" t="n"/>
      <c r="CC47" s="107">
        <f>CB47*100/$E$47</f>
        <v/>
      </c>
      <c r="CD47" s="108" t="n"/>
      <c r="CE47" s="107">
        <f>CD47*100/$E$47</f>
        <v/>
      </c>
      <c r="CF47" s="108" t="n"/>
      <c r="CG47" s="107">
        <f>CF47*100/$E$47</f>
        <v/>
      </c>
      <c r="CH47" s="108" t="n"/>
      <c r="CI47" s="107">
        <f>CH47*100/$E$47</f>
        <v/>
      </c>
      <c r="CJ47" s="108" t="n"/>
      <c r="CK47" s="107">
        <f>CJ47*100/$E$47</f>
        <v/>
      </c>
      <c r="CL47" s="108" t="n"/>
      <c r="CM47" s="107">
        <f>CL47*100/$E$47</f>
        <v/>
      </c>
      <c r="CN47" s="108" t="n"/>
      <c r="CO47" s="122">
        <f>CN47*100/$E$47</f>
        <v/>
      </c>
      <c r="CP47" s="108" t="n"/>
      <c r="CQ47" s="107">
        <f>CP47*100/$E$47</f>
        <v/>
      </c>
      <c r="CR47" s="108" t="n"/>
      <c r="CS47" s="122">
        <f>CR47*100/$E$47</f>
        <v/>
      </c>
      <c r="CT47" s="108" t="n"/>
      <c r="CU47" s="122">
        <f>CT47*100/$E$47</f>
        <v/>
      </c>
      <c r="CV47" s="108" t="n"/>
      <c r="CW47" s="122">
        <f>CV47*100/$E$47</f>
        <v/>
      </c>
      <c r="CX47" s="108" t="n"/>
      <c r="CY47" s="122">
        <f>CX47*100/$E$47</f>
        <v/>
      </c>
      <c r="CZ47" s="108" t="n"/>
      <c r="DA47" s="122">
        <f>CZ47*100/$E$47</f>
        <v/>
      </c>
      <c r="DB47" s="108" t="n"/>
      <c r="DC47" s="122">
        <f>DB47*100/$E$47</f>
        <v/>
      </c>
      <c r="DD47" s="108" t="n"/>
      <c r="DE47" s="122">
        <f>DD47*100/$E$47</f>
        <v/>
      </c>
      <c r="DF47" s="108" t="n"/>
      <c r="DG47" s="122">
        <f>DF47*100/$E$47</f>
        <v/>
      </c>
      <c r="DH47" s="108" t="n"/>
      <c r="DI47" s="122">
        <f>DH47*100/$E$47</f>
        <v/>
      </c>
      <c r="DJ47" s="108" t="n"/>
      <c r="DK47" s="122">
        <f>DJ47*100/$E$47</f>
        <v/>
      </c>
      <c r="DL47" s="108" t="n"/>
      <c r="DM47" s="122">
        <f>DL47*100/$E$47</f>
        <v/>
      </c>
      <c r="DN47" s="108" t="n"/>
      <c r="DO47" s="122">
        <f>DN47*100/$E$47</f>
        <v/>
      </c>
      <c r="DP47" s="108" t="n"/>
      <c r="DQ47" s="122">
        <f>DP47*100/$E$47</f>
        <v/>
      </c>
      <c r="DR47" s="108" t="n"/>
      <c r="DS47" s="122">
        <f>DR47*100/$E$47</f>
        <v/>
      </c>
      <c r="DT47" s="108" t="n"/>
      <c r="DU47" s="122">
        <f>DT47*100/$E$47</f>
        <v/>
      </c>
      <c r="DV47" s="108" t="n"/>
      <c r="DW47" s="122">
        <f>DV47*100/$E$47</f>
        <v/>
      </c>
      <c r="DX47" s="108" t="n"/>
      <c r="DY47" s="122">
        <f>DX47*100/$E$47</f>
        <v/>
      </c>
      <c r="DZ47" s="108" t="n"/>
      <c r="EA47" s="122">
        <f>DZ47*100/$E$47</f>
        <v/>
      </c>
      <c r="EB47" s="108" t="n"/>
      <c r="EC47" s="122">
        <f>EB47*100/$E$47</f>
        <v/>
      </c>
      <c r="ED47" s="108" t="n"/>
      <c r="EE47" s="122">
        <f>ED47*100/$E$47</f>
        <v/>
      </c>
      <c r="EF47" s="108" t="n"/>
      <c r="EG47" s="122">
        <f>EF47*100/$E$47</f>
        <v/>
      </c>
      <c r="EH47" s="108" t="n"/>
      <c r="EI47" s="122">
        <f>EH47*100/$E$47</f>
        <v/>
      </c>
      <c r="EJ47" s="108" t="n"/>
      <c r="EK47" s="122">
        <f>EJ47*100/$E$47</f>
        <v/>
      </c>
      <c r="EL47" s="108" t="n"/>
      <c r="EM47" s="122">
        <f>EL47*100/$E$47</f>
        <v/>
      </c>
      <c r="EN47" s="108" t="n"/>
      <c r="EO47" s="122">
        <f>EN47*100/$E$47</f>
        <v/>
      </c>
      <c r="EP47" s="108" t="n"/>
      <c r="EQ47" s="122">
        <f>EP47*100/$E$47</f>
        <v/>
      </c>
      <c r="ER47" s="108" t="n"/>
      <c r="ES47" s="122">
        <f>ER47*100/$E$47</f>
        <v/>
      </c>
      <c r="ET47" s="108" t="n"/>
      <c r="EU47" s="122">
        <f>ET47*100/$E$47</f>
        <v/>
      </c>
      <c r="EV47" s="108" t="n"/>
      <c r="EW47" s="122">
        <f>EV47*100/$E$47</f>
        <v/>
      </c>
      <c r="EX47" s="108" t="n"/>
      <c r="EY47" s="122">
        <f>EX47*100/$E$47</f>
        <v/>
      </c>
      <c r="EZ47" s="108" t="n"/>
      <c r="FA47" s="122">
        <f>EZ47*100/$E$47</f>
        <v/>
      </c>
      <c r="FB47" s="108" t="n"/>
      <c r="FC47" s="122">
        <f>FB47*100/$E$47</f>
        <v/>
      </c>
      <c r="FD47" s="108" t="n"/>
      <c r="FE47" s="122">
        <f>FD47*100/$E$47</f>
        <v/>
      </c>
      <c r="FF47" s="108" t="n"/>
      <c r="FG47" s="122">
        <f>FF47*100/$E$47</f>
        <v/>
      </c>
      <c r="FH47" s="108" t="n"/>
      <c r="FI47" s="122">
        <f>FH47*100/$E$47</f>
        <v/>
      </c>
      <c r="FJ47" s="108" t="n"/>
      <c r="FK47" s="122">
        <f>FJ47*100/$E$47</f>
        <v/>
      </c>
      <c r="FL47" s="108" t="n"/>
      <c r="FM47" s="122">
        <f>FL47*100/$E$47</f>
        <v/>
      </c>
      <c r="FN47" s="108" t="n"/>
      <c r="FO47" s="122">
        <f>FN47*100/$E$47</f>
        <v/>
      </c>
      <c r="FP47" s="108" t="n"/>
      <c r="FQ47" s="122">
        <f>FP47*100/$E$47</f>
        <v/>
      </c>
      <c r="FR47" s="108" t="n"/>
      <c r="FS47" s="122">
        <f>FR47*100/$E$47</f>
        <v/>
      </c>
      <c r="FT47" s="108" t="n"/>
      <c r="FU47" s="122">
        <f>FT47*100/$E$47</f>
        <v/>
      </c>
      <c r="FV47" s="108" t="n"/>
      <c r="FW47" s="122">
        <f>FV47*100/$E$47</f>
        <v/>
      </c>
      <c r="FX47" s="108" t="n"/>
      <c r="FY47" s="107">
        <f>FX47*100/$E$47</f>
        <v/>
      </c>
      <c r="FZ47" s="108" t="n"/>
      <c r="GA47" s="107">
        <f>FZ47*100/$E$47</f>
        <v/>
      </c>
      <c r="GB47" s="108" t="n"/>
      <c r="GC47" s="107">
        <f>GB47*100/$E$47</f>
        <v/>
      </c>
      <c r="GD47" s="108" t="n"/>
      <c r="GE47" s="107">
        <f>GD47*100/$E$47</f>
        <v/>
      </c>
      <c r="GF47" s="108" t="n"/>
      <c r="GG47" s="107">
        <f>GF47*100/$E$47</f>
        <v/>
      </c>
      <c r="GH47" s="108" t="n"/>
      <c r="GI47" s="107">
        <f>GH47*100/$E$47</f>
        <v/>
      </c>
      <c r="GJ47" s="108" t="n"/>
      <c r="GK47" s="122">
        <f>GJ47*100/$E$47</f>
        <v/>
      </c>
      <c r="GL47" s="108" t="n"/>
      <c r="GM47" s="107">
        <f>GL47*100/$E$47</f>
        <v/>
      </c>
      <c r="GN47" s="108" t="n"/>
      <c r="GO47" s="122">
        <f>GN47*100/$E$47</f>
        <v/>
      </c>
      <c r="GP47" s="108" t="n"/>
      <c r="GQ47" s="107">
        <f>GP47*100/$E$47</f>
        <v/>
      </c>
      <c r="GR47" s="108" t="n"/>
      <c r="GS47" s="122">
        <f>GR47*100/$E$47</f>
        <v/>
      </c>
      <c r="GT47" s="108" t="n"/>
      <c r="GU47" s="122">
        <f>GT47*100/$E$47</f>
        <v/>
      </c>
      <c r="GV47" s="108" t="n"/>
      <c r="GW47" s="122">
        <f>GV47*100/$E$47</f>
        <v/>
      </c>
      <c r="GX47" s="108" t="n"/>
      <c r="GY47" s="107">
        <f>GX47*100/$E$47</f>
        <v/>
      </c>
      <c r="GZ47" s="108" t="n"/>
      <c r="HA47" s="107">
        <f>GZ47*100/$E$47</f>
        <v/>
      </c>
      <c r="HB47" s="108" t="n"/>
      <c r="HC47" s="107">
        <f>HB47*100/$E$47</f>
        <v/>
      </c>
      <c r="HD47" s="108" t="n"/>
      <c r="HE47" s="107">
        <f>HD47*100/$E$47</f>
        <v/>
      </c>
      <c r="HF47" s="108" t="n"/>
      <c r="HG47" s="107">
        <f>HF47*100/$E$47</f>
        <v/>
      </c>
      <c r="HH47" s="108" t="n"/>
      <c r="HI47" s="107">
        <f>HH47*100/$E$47</f>
        <v/>
      </c>
      <c r="HJ47" s="108" t="n"/>
      <c r="HK47" s="107">
        <f>HJ47*100/$E$47</f>
        <v/>
      </c>
      <c r="HL47" s="108" t="n"/>
      <c r="HM47" s="107">
        <f>HL47*100/$E$47</f>
        <v/>
      </c>
      <c r="HN47" s="108" t="n"/>
      <c r="HO47" s="107">
        <f>HN47*100/$E$47</f>
        <v/>
      </c>
      <c r="HP47" s="108" t="n"/>
      <c r="HQ47" s="107">
        <f>HP47*100/$E$47</f>
        <v/>
      </c>
      <c r="HR47" s="108" t="n"/>
      <c r="HS47" s="107">
        <f>HR47*100/$E$47</f>
        <v/>
      </c>
      <c r="HT47" s="108" t="n"/>
      <c r="HU47" s="107">
        <f>HT47*100/$E$47</f>
        <v/>
      </c>
      <c r="HV47" s="108" t="n"/>
      <c r="HW47" s="107">
        <f>HV47*100/$E$47</f>
        <v/>
      </c>
      <c r="HX47" s="108" t="n"/>
      <c r="HY47" s="107">
        <f>HX47*100/$E$47</f>
        <v/>
      </c>
      <c r="HZ47" s="108" t="n"/>
      <c r="IA47" s="122">
        <f>HZ47*100/$E$47</f>
        <v/>
      </c>
      <c r="IB47" s="108" t="n"/>
      <c r="IC47" s="122">
        <f>IB47*100/$E$47</f>
        <v/>
      </c>
      <c r="ID47" s="108" t="n"/>
      <c r="IE47" s="122">
        <f>ID47*100/$E$47</f>
        <v/>
      </c>
      <c r="IF47" s="108" t="n"/>
      <c r="IG47" s="122">
        <f>IF47*100/$E$47</f>
        <v/>
      </c>
      <c r="IH47" s="108" t="n"/>
      <c r="II47" s="122">
        <f>IH47*100/$E$47</f>
        <v/>
      </c>
      <c r="IJ47" s="108" t="n"/>
      <c r="IK47" s="122">
        <f>IJ47*100/$E$47</f>
        <v/>
      </c>
      <c r="IL47" s="108" t="n"/>
      <c r="IM47" s="107">
        <f>IL47*100/$E$47</f>
        <v/>
      </c>
      <c r="IN47" s="108" t="n"/>
      <c r="IO47" s="107">
        <f>IN47*100/$E$47</f>
        <v/>
      </c>
      <c r="IP47" s="108" t="n"/>
      <c r="IQ47" s="122">
        <f>IP47*100/$E$47</f>
        <v/>
      </c>
      <c r="IR47" s="108" t="n"/>
      <c r="IS47" s="122">
        <f>IR47*100/$E$47</f>
        <v/>
      </c>
      <c r="IT47" s="108" t="n"/>
      <c r="IU47" s="122">
        <f>IT47*100/$E$47</f>
        <v/>
      </c>
      <c r="IV47" s="108" t="n"/>
      <c r="IW47" s="122">
        <f>IV47*100/$E$47</f>
        <v/>
      </c>
      <c r="IX47" s="108" t="n"/>
      <c r="IY47" s="122">
        <f>IX47*100/$E$47</f>
        <v/>
      </c>
      <c r="IZ47" s="108" t="n"/>
      <c r="JA47" s="122">
        <f>IZ47*100/$E$47</f>
        <v/>
      </c>
      <c r="JB47" s="108" t="n"/>
      <c r="JC47" s="122">
        <f>JB47*100/$E$47</f>
        <v/>
      </c>
      <c r="JD47" s="108" t="n"/>
      <c r="JE47" s="122">
        <f>JD47*100/$E$47</f>
        <v/>
      </c>
      <c r="JF47" s="108" t="n"/>
      <c r="JG47" s="122">
        <f>JF47*100/$E$47</f>
        <v/>
      </c>
      <c r="JH47" s="108" t="n"/>
      <c r="JI47" s="122">
        <f>JH47*100/$E$47</f>
        <v/>
      </c>
      <c r="JJ47" s="108" t="n"/>
      <c r="JK47" s="122">
        <f>JJ47*100/$E$47</f>
        <v/>
      </c>
      <c r="JL47" s="108" t="n"/>
      <c r="JM47" s="122">
        <f>JL47*100/$E$47</f>
        <v/>
      </c>
      <c r="JN47" s="108" t="n"/>
      <c r="JO47" s="121">
        <f>JN47*100/$E$47</f>
        <v/>
      </c>
      <c r="JP47" s="108" t="n"/>
      <c r="JQ47" s="121">
        <f>JP47*100/$E$47</f>
        <v/>
      </c>
      <c r="JR47" s="108" t="n"/>
      <c r="JS47" s="121">
        <f>JR47*100/$E$47</f>
        <v/>
      </c>
      <c r="JT47" s="108" t="n"/>
      <c r="JU47" s="121">
        <f>JT47*100/$E$47</f>
        <v/>
      </c>
      <c r="JV47" s="108" t="n"/>
      <c r="JW47" s="121">
        <f>JV47*100/$E$47</f>
        <v/>
      </c>
      <c r="JX47" s="108" t="n"/>
      <c r="JY47" s="121">
        <f>JX47*100/$E$47</f>
        <v/>
      </c>
      <c r="JZ47" s="55">
        <f>JN47+JP47+JR47+JT47+JV47+JX47</f>
        <v/>
      </c>
      <c r="KA47" s="53">
        <f>JO47+JQ47+JS47+JU47+JW47+JY47</f>
        <v/>
      </c>
      <c r="KB47" s="64">
        <f>H47+J47+L47+N47+P47+R47+T47+V47+X47+Z47+AB47+AD47+AF47+AH47+AJ47+AL47+AN47+AP47+AR47+AT47+AV47+AX47+AZ47+BB47+BD47+BF47+BH47+BJ47+BL47+BN47+BP47+BR47+BT47+BV47+BX47+BZ47+CB47+CD47+CF47+CH47+CZ47+DB47+DD47+DF47+DH47+DJ47+DL47+DN47+DP47+DR47+DT47+DV47+DX47+DZ47+EB47+ED47+EF47+EH47+EJ47+EL47+EN47+EP47+ER47+ET47+EV47+FN47+FP47+FR47+FT47+FV47+FX47+FZ47+GB47+GD47+GF47+GH47+GJ47+GL47+GN47+GP47+GR47+GT47+GV47+GX47+GZ47+HB47+HD47+HF47+HH47+HJ47+HL47+HN47+HP47+HR47+HT47+HV47+HX47+HZ47+IB47+ID47+IF47+IH47+IJ47+IL47+IN47+IP47+IR47+IT47+IV47+IX47+IZ47+JB47+JD47+JF47+JH47+JJ47+JL47+JZ47+CJ47+CL47+CN47+CP47+CR47+CT47+CV47+CX47+EX47+EZ47+FB47+FD47+FF47+FH47+FJ47+FL47</f>
        <v/>
      </c>
      <c r="KC47" s="66">
        <f>I47+K47+M47+O47+Q47+S47+U47+W47+Y47+AA47+AC47+AE47+AG47+AI47+AK47+AM47+AO47+AQ47+AS47+AU47+AW47+AY47+BA47+BC47+BE47+BG47+BI47+BK47+BM47+BO47+BQ47+BS47+BU47+BW47+BY47+CA47+CC47+CE47+CG47+CI47+DA47+DC47+DE47+DG47+DI47+DK47+DM47+DO47+DQ47+DS47+DU47+DW47+DY47+EA47+EC47+EE47+EG47+EI47+EK47+EM47+EO47+EQ47+ES47+EU47+EW47+FO47+FS47+FU47+FW47+FQ47+FY47+GA47+GC47+GE47+GG47+GI47+GK47+GM47+GO47+GQ47+GS47+GU47+GW47+GY47+HA47+HC47+HE47+HG47+HI47+HK47+HM47+HO47+HQ47+HS47+HU47+HW47+HY47+IA47+IC47+IE47+IG47+II47+IK47+IM47+IO47+IQ47+IS47+IU47+IW47+IY47+JA47+JC47+JE47+JG47+JI47+JK47+JM47+KA47+CK47+CM47+CO47+CQ47+CS47+CU47+CW47+CY47+EY47+FA47+FC47+FE47+FG47+FI47+FK47+FM47</f>
        <v/>
      </c>
      <c r="KD47" s="44">
        <f>JO47+JQ47+JS47+JU47+JW47+JY47</f>
        <v/>
      </c>
      <c r="KE47" s="45">
        <f>KB47=E47</f>
        <v/>
      </c>
      <c r="KF47" s="101">
        <f>E47-KB47</f>
        <v/>
      </c>
      <c r="KG47" s="11" t="n"/>
    </row>
    <row r="48" ht="21.75" customFormat="1" customHeight="1" s="26">
      <c r="A48" s="126">
        <f>A47+1</f>
        <v/>
      </c>
      <c r="B48" s="175" t="inlineStr">
        <is>
          <t>Федотов Е.А.</t>
        </is>
      </c>
      <c r="C48" s="176" t="inlineStr">
        <is>
          <t>термист</t>
        </is>
      </c>
      <c r="D48" s="177">
        <f>$D$5</f>
        <v/>
      </c>
      <c r="E48" s="202" t="n"/>
      <c r="F48" s="193" t="n">
        <v>68902.87</v>
      </c>
      <c r="G48" s="52">
        <f>F48/D48</f>
        <v/>
      </c>
      <c r="H48" s="125" t="n"/>
      <c r="I48" s="107">
        <f>H48*100/$E$48</f>
        <v/>
      </c>
      <c r="J48" s="108" t="n"/>
      <c r="K48" s="107">
        <f>J48*100/$E$48</f>
        <v/>
      </c>
      <c r="L48" s="108" t="n"/>
      <c r="M48" s="107">
        <f>L48*100/$E$48</f>
        <v/>
      </c>
      <c r="N48" s="108" t="n"/>
      <c r="O48" s="107">
        <f>N48*100/$E$48</f>
        <v/>
      </c>
      <c r="P48" s="108" t="n"/>
      <c r="Q48" s="122">
        <f>P48*100/$E$48</f>
        <v/>
      </c>
      <c r="R48" s="108" t="n"/>
      <c r="S48" s="122">
        <f>R48*100/$E$48</f>
        <v/>
      </c>
      <c r="T48" s="108" t="n"/>
      <c r="U48" s="107">
        <f>T48*100/$E$48</f>
        <v/>
      </c>
      <c r="V48" s="108" t="n"/>
      <c r="W48" s="107">
        <f>V48*100/$E$48</f>
        <v/>
      </c>
      <c r="X48" s="108" t="n"/>
      <c r="Y48" s="107">
        <f>X48*100/$E$48</f>
        <v/>
      </c>
      <c r="Z48" s="108" t="n"/>
      <c r="AA48" s="107">
        <f>Z48*100/$E$48</f>
        <v/>
      </c>
      <c r="AB48" s="108" t="n"/>
      <c r="AC48" s="107">
        <f>AB48*100/$E$48</f>
        <v/>
      </c>
      <c r="AD48" s="108" t="n"/>
      <c r="AE48" s="122">
        <f>AD48*100/$E$48</f>
        <v/>
      </c>
      <c r="AF48" s="108" t="n"/>
      <c r="AG48" s="122">
        <f>AF48*100/$E$48</f>
        <v/>
      </c>
      <c r="AH48" s="108" t="n"/>
      <c r="AI48" s="107">
        <f>AH48*100/$E$48</f>
        <v/>
      </c>
      <c r="AJ48" s="108" t="n"/>
      <c r="AK48" s="107">
        <f>AJ48*100/$E$48</f>
        <v/>
      </c>
      <c r="AL48" s="108" t="n"/>
      <c r="AM48" s="107">
        <f>AL48*100/$E$48</f>
        <v/>
      </c>
      <c r="AN48" s="108" t="n"/>
      <c r="AO48" s="107">
        <f>AN48*100/$E$48</f>
        <v/>
      </c>
      <c r="AP48" s="108" t="n"/>
      <c r="AQ48" s="107">
        <f>AP48*100/$E$48</f>
        <v/>
      </c>
      <c r="AR48" s="108" t="n"/>
      <c r="AS48" s="107">
        <f>AR48*100/$E$48</f>
        <v/>
      </c>
      <c r="AT48" s="108" t="n"/>
      <c r="AU48" s="90">
        <f>AT48*100/$E$48</f>
        <v/>
      </c>
      <c r="AV48" s="108" t="n"/>
      <c r="AW48" s="107">
        <f>AV48*100/$E$48</f>
        <v/>
      </c>
      <c r="AX48" s="108" t="n"/>
      <c r="AY48" s="107">
        <f>AX48*100/$E$48</f>
        <v/>
      </c>
      <c r="AZ48" s="108" t="n"/>
      <c r="BA48" s="107">
        <f>AZ48*100/$E$48</f>
        <v/>
      </c>
      <c r="BB48" s="108" t="n"/>
      <c r="BC48" s="107">
        <f>BB48*100/$E$48</f>
        <v/>
      </c>
      <c r="BD48" s="108" t="n"/>
      <c r="BE48" s="107">
        <f>BD48*100/$E$48</f>
        <v/>
      </c>
      <c r="BF48" s="108" t="n"/>
      <c r="BG48" s="107">
        <f>BF48*100/$E$48</f>
        <v/>
      </c>
      <c r="BH48" s="108" t="n"/>
      <c r="BI48" s="107">
        <f>BH48*100/$E$48</f>
        <v/>
      </c>
      <c r="BJ48" s="108" t="n"/>
      <c r="BK48" s="107">
        <f>BJ48*100/$E$48</f>
        <v/>
      </c>
      <c r="BL48" s="108" t="n"/>
      <c r="BM48" s="107">
        <f>BL48*100/$E$48</f>
        <v/>
      </c>
      <c r="BN48" s="108" t="n"/>
      <c r="BO48" s="107">
        <f>BN48*100/$E$48</f>
        <v/>
      </c>
      <c r="BP48" s="108" t="n"/>
      <c r="BQ48" s="107">
        <f>BP48*100/$E$48</f>
        <v/>
      </c>
      <c r="BR48" s="108" t="n"/>
      <c r="BS48" s="107">
        <f>BR48*100/$E$48</f>
        <v/>
      </c>
      <c r="BT48" s="108" t="n"/>
      <c r="BU48" s="107">
        <f>BT48*100/$E$48</f>
        <v/>
      </c>
      <c r="BV48" s="108" t="n"/>
      <c r="BW48" s="107">
        <f>BV48*100/$E$48</f>
        <v/>
      </c>
      <c r="BX48" s="108" t="n"/>
      <c r="BY48" s="107">
        <f>BX48*100/$E$48</f>
        <v/>
      </c>
      <c r="BZ48" s="108" t="n"/>
      <c r="CA48" s="107">
        <f>BZ48*100/$E$48</f>
        <v/>
      </c>
      <c r="CB48" s="108" t="n"/>
      <c r="CC48" s="107">
        <f>CB48*100/$E$48</f>
        <v/>
      </c>
      <c r="CD48" s="108" t="n"/>
      <c r="CE48" s="107">
        <f>CD48*100/$E$48</f>
        <v/>
      </c>
      <c r="CF48" s="108" t="n"/>
      <c r="CG48" s="107">
        <f>CF48*100/$E$48</f>
        <v/>
      </c>
      <c r="CH48" s="108" t="n"/>
      <c r="CI48" s="107">
        <f>CH48*100/$E$48</f>
        <v/>
      </c>
      <c r="CJ48" s="108" t="n"/>
      <c r="CK48" s="107">
        <f>CJ48*100/$E$48</f>
        <v/>
      </c>
      <c r="CL48" s="108" t="n"/>
      <c r="CM48" s="107">
        <f>CL48*100/$E$48</f>
        <v/>
      </c>
      <c r="CN48" s="108" t="n"/>
      <c r="CO48" s="122">
        <f>CN48*100/$E$48</f>
        <v/>
      </c>
      <c r="CP48" s="108" t="n"/>
      <c r="CQ48" s="107">
        <f>CP48*100/$E$48</f>
        <v/>
      </c>
      <c r="CR48" s="108" t="n"/>
      <c r="CS48" s="122">
        <f>CR48*100/$E$48</f>
        <v/>
      </c>
      <c r="CT48" s="108" t="n"/>
      <c r="CU48" s="122">
        <f>CT48*100/$E$48</f>
        <v/>
      </c>
      <c r="CV48" s="108" t="n"/>
      <c r="CW48" s="122">
        <f>CV48*100/$E$48</f>
        <v/>
      </c>
      <c r="CX48" s="108" t="n"/>
      <c r="CY48" s="122">
        <f>CX48*100/$E$48</f>
        <v/>
      </c>
      <c r="CZ48" s="108" t="n"/>
      <c r="DA48" s="122">
        <f>CZ48*100/$E$48</f>
        <v/>
      </c>
      <c r="DB48" s="108" t="n"/>
      <c r="DC48" s="122">
        <f>DB48*100/$E$48</f>
        <v/>
      </c>
      <c r="DD48" s="108" t="n"/>
      <c r="DE48" s="122">
        <f>DD48*100/$E$48</f>
        <v/>
      </c>
      <c r="DF48" s="108" t="n"/>
      <c r="DG48" s="122">
        <f>DF48*100/$E$48</f>
        <v/>
      </c>
      <c r="DH48" s="108" t="n"/>
      <c r="DI48" s="122">
        <f>DH48*100/$E$48</f>
        <v/>
      </c>
      <c r="DJ48" s="108" t="n"/>
      <c r="DK48" s="122">
        <f>DJ48*100/$E$48</f>
        <v/>
      </c>
      <c r="DL48" s="108" t="n"/>
      <c r="DM48" s="122">
        <f>DL48*100/$E$48</f>
        <v/>
      </c>
      <c r="DN48" s="108" t="n"/>
      <c r="DO48" s="122">
        <f>DN48*100/$E$48</f>
        <v/>
      </c>
      <c r="DP48" s="108" t="n"/>
      <c r="DQ48" s="122">
        <f>DP48*100/$E$48</f>
        <v/>
      </c>
      <c r="DR48" s="108" t="n"/>
      <c r="DS48" s="122">
        <f>DR48*100/$E$48</f>
        <v/>
      </c>
      <c r="DT48" s="108" t="n"/>
      <c r="DU48" s="122">
        <f>DT48*100/$E$48</f>
        <v/>
      </c>
      <c r="DV48" s="108" t="n"/>
      <c r="DW48" s="122">
        <f>DV48*100/$E$48</f>
        <v/>
      </c>
      <c r="DX48" s="108" t="n"/>
      <c r="DY48" s="122">
        <f>DX48*100/$E$48</f>
        <v/>
      </c>
      <c r="DZ48" s="108" t="n"/>
      <c r="EA48" s="122">
        <f>DZ48*100/$E$48</f>
        <v/>
      </c>
      <c r="EB48" s="108" t="n"/>
      <c r="EC48" s="122">
        <f>EB48*100/$E$48</f>
        <v/>
      </c>
      <c r="ED48" s="108" t="n"/>
      <c r="EE48" s="122">
        <f>ED48*100/$E$48</f>
        <v/>
      </c>
      <c r="EF48" s="108" t="n"/>
      <c r="EG48" s="122">
        <f>EF48*100/$E$48</f>
        <v/>
      </c>
      <c r="EH48" s="108" t="n"/>
      <c r="EI48" s="122">
        <f>EH48*100/$E$48</f>
        <v/>
      </c>
      <c r="EJ48" s="108" t="n"/>
      <c r="EK48" s="122">
        <f>EJ48*100/$E$48</f>
        <v/>
      </c>
      <c r="EL48" s="108" t="n"/>
      <c r="EM48" s="122">
        <f>EL48*100/$E$48</f>
        <v/>
      </c>
      <c r="EN48" s="108" t="n"/>
      <c r="EO48" s="122">
        <f>EN48*100/$E$48</f>
        <v/>
      </c>
      <c r="EP48" s="108" t="n"/>
      <c r="EQ48" s="122">
        <f>EP48*100/$E$48</f>
        <v/>
      </c>
      <c r="ER48" s="108" t="n"/>
      <c r="ES48" s="122">
        <f>ER48*100/$E$48</f>
        <v/>
      </c>
      <c r="ET48" s="108" t="n"/>
      <c r="EU48" s="122">
        <f>ET48*100/$E$48</f>
        <v/>
      </c>
      <c r="EV48" s="108" t="n"/>
      <c r="EW48" s="122">
        <f>EV48*100/$E$48</f>
        <v/>
      </c>
      <c r="EX48" s="108" t="n"/>
      <c r="EY48" s="122">
        <f>EX48*100/$E$48</f>
        <v/>
      </c>
      <c r="EZ48" s="108" t="n"/>
      <c r="FA48" s="122">
        <f>EZ48*100/$E$48</f>
        <v/>
      </c>
      <c r="FB48" s="108" t="n"/>
      <c r="FC48" s="122">
        <f>FB48*100/$E$48</f>
        <v/>
      </c>
      <c r="FD48" s="108" t="n"/>
      <c r="FE48" s="122">
        <f>FD48*100/$E$48</f>
        <v/>
      </c>
      <c r="FF48" s="108" t="n"/>
      <c r="FG48" s="122">
        <f>FF48*100/$E$48</f>
        <v/>
      </c>
      <c r="FH48" s="108" t="n"/>
      <c r="FI48" s="122">
        <f>FH48*100/$E$48</f>
        <v/>
      </c>
      <c r="FJ48" s="108" t="n"/>
      <c r="FK48" s="122">
        <f>FJ48*100/$E$48</f>
        <v/>
      </c>
      <c r="FL48" s="108" t="n"/>
      <c r="FM48" s="122">
        <f>FL48*100/$E$48</f>
        <v/>
      </c>
      <c r="FN48" s="108" t="n"/>
      <c r="FO48" s="122">
        <f>FN48*100/$E$48</f>
        <v/>
      </c>
      <c r="FP48" s="108" t="n"/>
      <c r="FQ48" s="122">
        <f>FP48*100/$E$48</f>
        <v/>
      </c>
      <c r="FR48" s="108" t="n"/>
      <c r="FS48" s="122">
        <f>FR48*100/$E$48</f>
        <v/>
      </c>
      <c r="FT48" s="108" t="n"/>
      <c r="FU48" s="122">
        <f>FT48*100/$E$48</f>
        <v/>
      </c>
      <c r="FV48" s="108" t="n"/>
      <c r="FW48" s="122">
        <f>FV48*100/$E$48</f>
        <v/>
      </c>
      <c r="FX48" s="108" t="n"/>
      <c r="FY48" s="107">
        <f>FX48*100/$E$48</f>
        <v/>
      </c>
      <c r="FZ48" s="108" t="n"/>
      <c r="GA48" s="107">
        <f>FZ48*100/$E$48</f>
        <v/>
      </c>
      <c r="GB48" s="108" t="n"/>
      <c r="GC48" s="107">
        <f>GB48*100/$E$48</f>
        <v/>
      </c>
      <c r="GD48" s="108" t="n"/>
      <c r="GE48" s="107">
        <f>GD48*100/$E$48</f>
        <v/>
      </c>
      <c r="GF48" s="108" t="n"/>
      <c r="GG48" s="107">
        <f>GF48*100/$E$48</f>
        <v/>
      </c>
      <c r="GH48" s="108" t="n"/>
      <c r="GI48" s="107">
        <f>GH48*100/$E$48</f>
        <v/>
      </c>
      <c r="GJ48" s="108" t="n"/>
      <c r="GK48" s="122">
        <f>GJ48*100/$E$48</f>
        <v/>
      </c>
      <c r="GL48" s="108" t="n"/>
      <c r="GM48" s="107">
        <f>GL48*100/$E$48</f>
        <v/>
      </c>
      <c r="GN48" s="108" t="n"/>
      <c r="GO48" s="122">
        <f>GN48*100/$E$48</f>
        <v/>
      </c>
      <c r="GP48" s="108" t="n"/>
      <c r="GQ48" s="107">
        <f>GP48*100/$E$48</f>
        <v/>
      </c>
      <c r="GR48" s="108" t="n"/>
      <c r="GS48" s="122">
        <f>GR48*100/$E$48</f>
        <v/>
      </c>
      <c r="GT48" s="108" t="n"/>
      <c r="GU48" s="122">
        <f>GT48*100/$E$48</f>
        <v/>
      </c>
      <c r="GV48" s="108" t="n"/>
      <c r="GW48" s="122">
        <f>GV48*100/$E$48</f>
        <v/>
      </c>
      <c r="GX48" s="108" t="n"/>
      <c r="GY48" s="107">
        <f>GX48*100/$E$48</f>
        <v/>
      </c>
      <c r="GZ48" s="108" t="n"/>
      <c r="HA48" s="107">
        <f>GZ48*100/$E$48</f>
        <v/>
      </c>
      <c r="HB48" s="108" t="n"/>
      <c r="HC48" s="107">
        <f>HB48*100/$E$48</f>
        <v/>
      </c>
      <c r="HD48" s="108" t="n"/>
      <c r="HE48" s="107">
        <f>HD48*100/$E$48</f>
        <v/>
      </c>
      <c r="HF48" s="108" t="n"/>
      <c r="HG48" s="107">
        <f>HF48*100/$E$48</f>
        <v/>
      </c>
      <c r="HH48" s="108" t="n"/>
      <c r="HI48" s="107">
        <f>HH48*100/$E$48</f>
        <v/>
      </c>
      <c r="HJ48" s="108" t="n"/>
      <c r="HK48" s="107">
        <f>HJ48*100/$E$48</f>
        <v/>
      </c>
      <c r="HL48" s="108" t="n"/>
      <c r="HM48" s="107">
        <f>HL48*100/$E$48</f>
        <v/>
      </c>
      <c r="HN48" s="108" t="n"/>
      <c r="HO48" s="107">
        <f>HN48*100/$E$48</f>
        <v/>
      </c>
      <c r="HP48" s="108" t="n"/>
      <c r="HQ48" s="107">
        <f>HP48*100/$E$48</f>
        <v/>
      </c>
      <c r="HR48" s="108" t="n"/>
      <c r="HS48" s="107">
        <f>HR48*100/$E$48</f>
        <v/>
      </c>
      <c r="HT48" s="108" t="n"/>
      <c r="HU48" s="107">
        <f>HT48*100/$E$48</f>
        <v/>
      </c>
      <c r="HV48" s="108" t="n"/>
      <c r="HW48" s="107">
        <f>HV48*100/$E$48</f>
        <v/>
      </c>
      <c r="HX48" s="108" t="n"/>
      <c r="HY48" s="107">
        <f>HX48*100/$E$48</f>
        <v/>
      </c>
      <c r="HZ48" s="108" t="n"/>
      <c r="IA48" s="122">
        <f>HZ48*100/$E$48</f>
        <v/>
      </c>
      <c r="IB48" s="108" t="n"/>
      <c r="IC48" s="122">
        <f>IB48*100/$E$48</f>
        <v/>
      </c>
      <c r="ID48" s="108" t="n"/>
      <c r="IE48" s="122">
        <f>ID48*100/$E$48</f>
        <v/>
      </c>
      <c r="IF48" s="108" t="n"/>
      <c r="IG48" s="122">
        <f>IF48*100/$E$48</f>
        <v/>
      </c>
      <c r="IH48" s="108" t="n"/>
      <c r="II48" s="122">
        <f>IH48*100/$E$48</f>
        <v/>
      </c>
      <c r="IJ48" s="108" t="n"/>
      <c r="IK48" s="122">
        <f>IJ48*100/$E$48</f>
        <v/>
      </c>
      <c r="IL48" s="108" t="n"/>
      <c r="IM48" s="107">
        <f>IL48*100/$E$48</f>
        <v/>
      </c>
      <c r="IN48" s="108" t="n"/>
      <c r="IO48" s="107">
        <f>IN48*100/$E$48</f>
        <v/>
      </c>
      <c r="IP48" s="108" t="n"/>
      <c r="IQ48" s="122">
        <f>IP48*100/$E$48</f>
        <v/>
      </c>
      <c r="IR48" s="108" t="n"/>
      <c r="IS48" s="122">
        <f>IR48*100/$E$48</f>
        <v/>
      </c>
      <c r="IT48" s="108" t="n"/>
      <c r="IU48" s="122">
        <f>IT48*100/$E$48</f>
        <v/>
      </c>
      <c r="IV48" s="108" t="n"/>
      <c r="IW48" s="122">
        <f>IV48*100/$E$48</f>
        <v/>
      </c>
      <c r="IX48" s="108" t="n"/>
      <c r="IY48" s="122">
        <f>IX48*100/$E$48</f>
        <v/>
      </c>
      <c r="IZ48" s="108" t="n"/>
      <c r="JA48" s="122">
        <f>IZ48*100/$E$48</f>
        <v/>
      </c>
      <c r="JB48" s="108" t="n"/>
      <c r="JC48" s="122">
        <f>JB48*100/$E$48</f>
        <v/>
      </c>
      <c r="JD48" s="108" t="n"/>
      <c r="JE48" s="122">
        <f>JD48*100/$E$48</f>
        <v/>
      </c>
      <c r="JF48" s="108" t="n"/>
      <c r="JG48" s="122">
        <f>JF48*100/$E$48</f>
        <v/>
      </c>
      <c r="JH48" s="108" t="n"/>
      <c r="JI48" s="122">
        <f>JH48*100/$E$48</f>
        <v/>
      </c>
      <c r="JJ48" s="108" t="n"/>
      <c r="JK48" s="122">
        <f>JJ48*100/$E$48</f>
        <v/>
      </c>
      <c r="JL48" s="108" t="n"/>
      <c r="JM48" s="122">
        <f>JL48*100/$E$48</f>
        <v/>
      </c>
      <c r="JN48" s="108" t="n"/>
      <c r="JO48" s="121">
        <f>JN48*100/$E$48</f>
        <v/>
      </c>
      <c r="JP48" s="108" t="n"/>
      <c r="JQ48" s="121">
        <f>JP48*100/$E$48</f>
        <v/>
      </c>
      <c r="JR48" s="108" t="n"/>
      <c r="JS48" s="121">
        <f>JR48*100/$E$48</f>
        <v/>
      </c>
      <c r="JT48" s="108" t="n"/>
      <c r="JU48" s="121">
        <f>JT48*100/$E$48</f>
        <v/>
      </c>
      <c r="JV48" s="108" t="n"/>
      <c r="JW48" s="121">
        <f>JV48*100/$E$48</f>
        <v/>
      </c>
      <c r="JX48" s="108" t="n"/>
      <c r="JY48" s="121">
        <f>JX48*100/$E$48</f>
        <v/>
      </c>
      <c r="JZ48" s="55">
        <f>JN48+JP48+JR48+JT48+JV48+JX48</f>
        <v/>
      </c>
      <c r="KA48" s="53">
        <f>JO48+JQ48+JS48+JU48+JW48+JY48</f>
        <v/>
      </c>
      <c r="KB48" s="64">
        <f>H48+J48+L48+N48+P48+R48+T48+V48+X48+Z48+AB48+AD48+AF48+AH48+AJ48+AL48+AN48+AP48+AR48+AT48+AV48+AX48+AZ48+BB48+BD48+BF48+BH48+BJ48+BL48+BN48+BP48+BR48+BT48+BV48+BX48+BZ48+CB48+CD48+CF48+CH48+CZ48+DB48+DD48+DF48+DH48+DJ48+DL48+DN48+DP48+DR48+DT48+DV48+DX48+DZ48+EB48+ED48+EF48+EH48+EJ48+EL48+EN48+EP48+ER48+ET48+EV48+FN48+FP48+FR48+FT48+FV48+FX48+FZ48+GB48+GD48+GF48+GH48+GJ48+GL48+GN48+GP48+GR48+GT48+GV48+GX48+GZ48+HB48+HD48+HF48+HH48+HJ48+HL48+HN48+HP48+HR48+HT48+HV48+HX48+HZ48+IB48+ID48+IF48+IH48+IJ48+IL48+IN48+IP48+IR48+IT48+IV48+IX48+IZ48+JB48+JD48+JF48+JH48+JJ48+JL48+JZ48+CJ48+CL48+CN48+CP48+CR48+CT48+CV48+CX48+EX48+EZ48+FB48+FD48+FF48+FH48+FJ48+FL48</f>
        <v/>
      </c>
      <c r="KC48" s="66">
        <f>I48+K48+M48+O48+Q48+S48+U48+W48+Y48+AA48+AC48+AE48+AG48+AI48+AK48+AM48+AO48+AQ48+AS48+AU48+AW48+AY48+BA48+BC48+BE48+BG48+BI48+BK48+BM48+BO48+BQ48+BS48+BU48+BW48+BY48+CA48+CC48+CE48+CG48+CI48+DA48+DC48+DE48+DG48+DI48+DK48+DM48+DO48+DQ48+DS48+DU48+DW48+DY48+EA48+EC48+EE48+EG48+EI48+EK48+EM48+EO48+EQ48+ES48+EU48+EW48+FO48+FS48+FU48+FW48+FQ48+FY48+GA48+GC48+GE48+GG48+GI48+GK48+GM48+GO48+GQ48+GS48+GU48+GW48+GY48+HA48+HC48+HE48+HG48+HI48+HK48+HM48+HO48+HQ48+HS48+HU48+HW48+HY48+IA48+IC48+IE48+IG48+II48+IK48+IM48+IO48+IQ48+IS48+IU48+IW48+IY48+JA48+JC48+JE48+JG48+JI48+JK48+JM48+KA48+CK48+CM48+CO48+CQ48+CS48+CU48+CW48+CY48+EY48+FA48+FC48+FE48+FG48+FI48+FK48+FM48</f>
        <v/>
      </c>
      <c r="KD48" s="44">
        <f>JO48+JQ48+JS48+JU48+JW48+JY48</f>
        <v/>
      </c>
      <c r="KE48" s="45">
        <f>KB48=E48</f>
        <v/>
      </c>
      <c r="KF48" s="101">
        <f>E48-KB48</f>
        <v/>
      </c>
      <c r="KG48" s="29" t="n"/>
    </row>
    <row r="49" ht="21.75" customFormat="1" customHeight="1" s="22">
      <c r="A49" s="126">
        <f>A48+1</f>
        <v/>
      </c>
      <c r="B49" s="175" t="inlineStr">
        <is>
          <t>Фещенко Д.М.</t>
        </is>
      </c>
      <c r="C49" s="176" t="inlineStr">
        <is>
          <t xml:space="preserve">Оператор СПУ </t>
        </is>
      </c>
      <c r="D49" s="177">
        <f>$D$5</f>
        <v/>
      </c>
      <c r="E49" s="202" t="n"/>
      <c r="F49" s="193" t="n">
        <v>101149.88</v>
      </c>
      <c r="G49" s="52">
        <f>F49/D49</f>
        <v/>
      </c>
      <c r="H49" s="125" t="n"/>
      <c r="I49" s="107">
        <f>H49*100/$E$49</f>
        <v/>
      </c>
      <c r="J49" s="108" t="n"/>
      <c r="K49" s="107">
        <f>J49*100/$E$49</f>
        <v/>
      </c>
      <c r="L49" s="108" t="n"/>
      <c r="M49" s="107">
        <f>L49*100/$E$49</f>
        <v/>
      </c>
      <c r="N49" s="108" t="n"/>
      <c r="O49" s="107">
        <f>N49*100/$E$49</f>
        <v/>
      </c>
      <c r="P49" s="108" t="n"/>
      <c r="Q49" s="122">
        <f>P49*100/$E$49</f>
        <v/>
      </c>
      <c r="R49" s="125" t="n"/>
      <c r="S49" s="122">
        <f>R49*100/$E$49</f>
        <v/>
      </c>
      <c r="T49" s="108" t="n"/>
      <c r="U49" s="107">
        <f>T49*100/$E$49</f>
        <v/>
      </c>
      <c r="V49" s="108" t="n"/>
      <c r="W49" s="107">
        <f>V49*100/$E$49</f>
        <v/>
      </c>
      <c r="X49" s="108" t="n"/>
      <c r="Y49" s="107">
        <f>X49*100/$E$49</f>
        <v/>
      </c>
      <c r="Z49" s="108" t="n"/>
      <c r="AA49" s="107">
        <f>Z49*100/$E$49</f>
        <v/>
      </c>
      <c r="AB49" s="108" t="n"/>
      <c r="AC49" s="107">
        <f>AB49*100/$E$49</f>
        <v/>
      </c>
      <c r="AD49" s="108" t="n"/>
      <c r="AE49" s="122">
        <f>AD49*100/$E$49</f>
        <v/>
      </c>
      <c r="AF49" s="108" t="n"/>
      <c r="AG49" s="122">
        <f>AF49*100/$E$49</f>
        <v/>
      </c>
      <c r="AH49" s="108" t="n"/>
      <c r="AI49" s="107">
        <f>AH49*100/$E$49</f>
        <v/>
      </c>
      <c r="AJ49" s="108" t="n"/>
      <c r="AK49" s="107">
        <f>AJ49*100/$E$49</f>
        <v/>
      </c>
      <c r="AL49" s="108" t="n"/>
      <c r="AM49" s="107">
        <f>AL49*100/$E$49</f>
        <v/>
      </c>
      <c r="AN49" s="108" t="n"/>
      <c r="AO49" s="107">
        <f>AN49*100/$E$49</f>
        <v/>
      </c>
      <c r="AP49" s="108" t="n"/>
      <c r="AQ49" s="107">
        <f>AP49*100/$E$49</f>
        <v/>
      </c>
      <c r="AR49" s="108" t="n"/>
      <c r="AS49" s="107">
        <f>AR49*100/$E$49</f>
        <v/>
      </c>
      <c r="AT49" s="108" t="n"/>
      <c r="AU49" s="90">
        <f>AT49*100/$E$49</f>
        <v/>
      </c>
      <c r="AV49" s="108" t="n"/>
      <c r="AW49" s="107">
        <f>AV49*100/$E$49</f>
        <v/>
      </c>
      <c r="AX49" s="108" t="n"/>
      <c r="AY49" s="107">
        <f>AX49*100/$E$49</f>
        <v/>
      </c>
      <c r="AZ49" s="108" t="n"/>
      <c r="BA49" s="107">
        <f>AZ49*100/$E$49</f>
        <v/>
      </c>
      <c r="BB49" s="108" t="n"/>
      <c r="BC49" s="107">
        <f>BB49*100/$E$49</f>
        <v/>
      </c>
      <c r="BD49" s="108" t="n"/>
      <c r="BE49" s="107">
        <f>BD49*100/$E$49</f>
        <v/>
      </c>
      <c r="BF49" s="108" t="n"/>
      <c r="BG49" s="107">
        <f>BF49*100/$E$49</f>
        <v/>
      </c>
      <c r="BH49" s="108" t="n"/>
      <c r="BI49" s="107">
        <f>BH49*100/$E$49</f>
        <v/>
      </c>
      <c r="BJ49" s="108" t="n"/>
      <c r="BK49" s="107">
        <f>BJ49*100/$E$49</f>
        <v/>
      </c>
      <c r="BL49" s="108" t="n"/>
      <c r="BM49" s="107">
        <f>BL49*100/$E$49</f>
        <v/>
      </c>
      <c r="BN49" s="108" t="n"/>
      <c r="BO49" s="107">
        <f>BN49*100/$E$49</f>
        <v/>
      </c>
      <c r="BP49" s="108" t="n"/>
      <c r="BQ49" s="107">
        <f>BP49*100/$E$49</f>
        <v/>
      </c>
      <c r="BR49" s="108" t="n"/>
      <c r="BS49" s="107">
        <f>BR49*100/$E$49</f>
        <v/>
      </c>
      <c r="BT49" s="108" t="n"/>
      <c r="BU49" s="107">
        <f>BT49*100/$E$49</f>
        <v/>
      </c>
      <c r="BV49" s="108" t="n"/>
      <c r="BW49" s="107">
        <f>BV49*100/$E$49</f>
        <v/>
      </c>
      <c r="BX49" s="108" t="n"/>
      <c r="BY49" s="107">
        <f>BX49*100/$E$49</f>
        <v/>
      </c>
      <c r="BZ49" s="108" t="n"/>
      <c r="CA49" s="107">
        <f>BZ49*100/$E$49</f>
        <v/>
      </c>
      <c r="CB49" s="108" t="n"/>
      <c r="CC49" s="107">
        <f>CB49*100/$E$49</f>
        <v/>
      </c>
      <c r="CD49" s="108" t="n"/>
      <c r="CE49" s="107">
        <f>CD49*100/$E$49</f>
        <v/>
      </c>
      <c r="CF49" s="108" t="n"/>
      <c r="CG49" s="107">
        <f>CF49*100/$E$49</f>
        <v/>
      </c>
      <c r="CH49" s="108" t="n"/>
      <c r="CI49" s="107">
        <f>CH49*100/$E$49</f>
        <v/>
      </c>
      <c r="CJ49" s="108" t="n"/>
      <c r="CK49" s="107">
        <f>CJ49*100/$E$49</f>
        <v/>
      </c>
      <c r="CL49" s="108" t="n"/>
      <c r="CM49" s="107">
        <f>CL49*100/$E$49</f>
        <v/>
      </c>
      <c r="CN49" s="108" t="n"/>
      <c r="CO49" s="122">
        <f>CN49*100/$E$49</f>
        <v/>
      </c>
      <c r="CP49" s="108" t="n"/>
      <c r="CQ49" s="107">
        <f>CP49*100/$E$49</f>
        <v/>
      </c>
      <c r="CR49" s="108" t="n"/>
      <c r="CS49" s="122">
        <f>CR49*100/$E$49</f>
        <v/>
      </c>
      <c r="CT49" s="108" t="n"/>
      <c r="CU49" s="122">
        <f>CT49*100/$E$49</f>
        <v/>
      </c>
      <c r="CV49" s="108" t="n"/>
      <c r="CW49" s="122">
        <f>CV49*100/$E$49</f>
        <v/>
      </c>
      <c r="CX49" s="108" t="n"/>
      <c r="CY49" s="122">
        <f>CX49*100/$E$49</f>
        <v/>
      </c>
      <c r="CZ49" s="108" t="n"/>
      <c r="DA49" s="122">
        <f>CZ49*100/$E$49</f>
        <v/>
      </c>
      <c r="DB49" s="108" t="n"/>
      <c r="DC49" s="122">
        <f>DB49*100/$E$49</f>
        <v/>
      </c>
      <c r="DD49" s="108" t="n"/>
      <c r="DE49" s="122">
        <f>DD49*100/$E$49</f>
        <v/>
      </c>
      <c r="DF49" s="108" t="n"/>
      <c r="DG49" s="122">
        <f>DF49*100/$E$49</f>
        <v/>
      </c>
      <c r="DH49" s="108" t="n"/>
      <c r="DI49" s="122">
        <f>DH49*100/$E$49</f>
        <v/>
      </c>
      <c r="DJ49" s="108" t="n"/>
      <c r="DK49" s="122">
        <f>DJ49*100/$E$49</f>
        <v/>
      </c>
      <c r="DL49" s="108" t="n"/>
      <c r="DM49" s="122">
        <f>DL49*100/$E$49</f>
        <v/>
      </c>
      <c r="DN49" s="108" t="n"/>
      <c r="DO49" s="122">
        <f>DN49*100/$E$49</f>
        <v/>
      </c>
      <c r="DP49" s="108" t="n"/>
      <c r="DQ49" s="122">
        <f>DP49*100/$E$49</f>
        <v/>
      </c>
      <c r="DR49" s="108" t="n"/>
      <c r="DS49" s="122">
        <f>DR49*100/$E$49</f>
        <v/>
      </c>
      <c r="DT49" s="108" t="n"/>
      <c r="DU49" s="122">
        <f>DT49*100/$E$49</f>
        <v/>
      </c>
      <c r="DV49" s="108" t="n"/>
      <c r="DW49" s="122">
        <f>DV49*100/$E$49</f>
        <v/>
      </c>
      <c r="DX49" s="108" t="n"/>
      <c r="DY49" s="122">
        <f>DX49*100/$E$49</f>
        <v/>
      </c>
      <c r="DZ49" s="108" t="n"/>
      <c r="EA49" s="122">
        <f>DZ49*100/$E$49</f>
        <v/>
      </c>
      <c r="EB49" s="108" t="n"/>
      <c r="EC49" s="122">
        <f>EB49*100/$E$49</f>
        <v/>
      </c>
      <c r="ED49" s="108" t="n"/>
      <c r="EE49" s="122">
        <f>ED49*100/$E$49</f>
        <v/>
      </c>
      <c r="EF49" s="108" t="n"/>
      <c r="EG49" s="122">
        <f>EF49*100/$E$49</f>
        <v/>
      </c>
      <c r="EH49" s="108" t="n"/>
      <c r="EI49" s="122">
        <f>EH49*100/$E$49</f>
        <v/>
      </c>
      <c r="EJ49" s="108" t="n"/>
      <c r="EK49" s="122">
        <f>EJ49*100/$E$49</f>
        <v/>
      </c>
      <c r="EL49" s="108" t="n"/>
      <c r="EM49" s="122">
        <f>EL49*100/$E$49</f>
        <v/>
      </c>
      <c r="EN49" s="108" t="n"/>
      <c r="EO49" s="122">
        <f>EN49*100/$E$49</f>
        <v/>
      </c>
      <c r="EP49" s="108" t="n"/>
      <c r="EQ49" s="122">
        <f>EP49*100/$E$49</f>
        <v/>
      </c>
      <c r="ER49" s="108" t="n"/>
      <c r="ES49" s="122">
        <f>ER49*100/$E$49</f>
        <v/>
      </c>
      <c r="ET49" s="108" t="n"/>
      <c r="EU49" s="122">
        <f>ET49*100/$E$49</f>
        <v/>
      </c>
      <c r="EV49" s="108" t="n"/>
      <c r="EW49" s="122">
        <f>EV49*100/$E$49</f>
        <v/>
      </c>
      <c r="EX49" s="108" t="n"/>
      <c r="EY49" s="122">
        <f>EX49*100/$E$49</f>
        <v/>
      </c>
      <c r="EZ49" s="108" t="n"/>
      <c r="FA49" s="122">
        <f>EZ49*100/$E$49</f>
        <v/>
      </c>
      <c r="FB49" s="108" t="n"/>
      <c r="FC49" s="122">
        <f>FB49*100/$E$49</f>
        <v/>
      </c>
      <c r="FD49" s="108" t="n"/>
      <c r="FE49" s="122">
        <f>FD49*100/$E$49</f>
        <v/>
      </c>
      <c r="FF49" s="108" t="n"/>
      <c r="FG49" s="122">
        <f>FF49*100/$E$49</f>
        <v/>
      </c>
      <c r="FH49" s="108" t="n"/>
      <c r="FI49" s="122">
        <f>FH49*100/$E$49</f>
        <v/>
      </c>
      <c r="FJ49" s="108" t="n"/>
      <c r="FK49" s="122">
        <f>FJ49*100/$E$49</f>
        <v/>
      </c>
      <c r="FL49" s="108" t="n"/>
      <c r="FM49" s="122">
        <f>FL49*100/$E$49</f>
        <v/>
      </c>
      <c r="FN49" s="108" t="n"/>
      <c r="FO49" s="122">
        <f>FN49*100/$E$49</f>
        <v/>
      </c>
      <c r="FP49" s="108" t="n"/>
      <c r="FQ49" s="122">
        <f>FP49*100/$E$49</f>
        <v/>
      </c>
      <c r="FR49" s="108" t="n"/>
      <c r="FS49" s="122">
        <f>FR49*100/$E$49</f>
        <v/>
      </c>
      <c r="FT49" s="108" t="n"/>
      <c r="FU49" s="122">
        <f>FT49*100/$E$49</f>
        <v/>
      </c>
      <c r="FV49" s="108" t="n"/>
      <c r="FW49" s="122">
        <f>FV49*100/$E$49</f>
        <v/>
      </c>
      <c r="FX49" s="108" t="n"/>
      <c r="FY49" s="107">
        <f>FX49*100/$E$49</f>
        <v/>
      </c>
      <c r="FZ49" s="108" t="n"/>
      <c r="GA49" s="107">
        <f>FZ49*100/$E$49</f>
        <v/>
      </c>
      <c r="GB49" s="108" t="n"/>
      <c r="GC49" s="107">
        <f>GB49*100/$E$49</f>
        <v/>
      </c>
      <c r="GD49" s="108" t="n"/>
      <c r="GE49" s="107">
        <f>GD49*100/$E$49</f>
        <v/>
      </c>
      <c r="GF49" s="108" t="n"/>
      <c r="GG49" s="107">
        <f>GF49*100/$E$49</f>
        <v/>
      </c>
      <c r="GH49" s="108" t="n"/>
      <c r="GI49" s="107">
        <f>GH49*100/$E$49</f>
        <v/>
      </c>
      <c r="GJ49" s="108" t="n"/>
      <c r="GK49" s="122">
        <f>GJ49*100/$E$49</f>
        <v/>
      </c>
      <c r="GL49" s="108" t="n"/>
      <c r="GM49" s="107">
        <f>GL49*100/$E$49</f>
        <v/>
      </c>
      <c r="GN49" s="108" t="n"/>
      <c r="GO49" s="122">
        <f>GN49*100/$E$49</f>
        <v/>
      </c>
      <c r="GP49" s="108" t="n"/>
      <c r="GQ49" s="107">
        <f>GP49*100/$E$49</f>
        <v/>
      </c>
      <c r="GR49" s="108" t="n"/>
      <c r="GS49" s="122">
        <f>GR49*100/$E$49</f>
        <v/>
      </c>
      <c r="GT49" s="108" t="n"/>
      <c r="GU49" s="122">
        <f>GT49*100/$E$49</f>
        <v/>
      </c>
      <c r="GV49" s="108" t="n"/>
      <c r="GW49" s="122">
        <f>GV49*100/$E$49</f>
        <v/>
      </c>
      <c r="GX49" s="108" t="n"/>
      <c r="GY49" s="107">
        <f>GX49*100/$E$49</f>
        <v/>
      </c>
      <c r="GZ49" s="108" t="n"/>
      <c r="HA49" s="107">
        <f>GZ49*100/$E$49</f>
        <v/>
      </c>
      <c r="HB49" s="108" t="n"/>
      <c r="HC49" s="107">
        <f>HB49*100/$E$49</f>
        <v/>
      </c>
      <c r="HD49" s="108" t="n"/>
      <c r="HE49" s="107">
        <f>HD49*100/$E$49</f>
        <v/>
      </c>
      <c r="HF49" s="108" t="n"/>
      <c r="HG49" s="107">
        <f>HF49*100/$E$49</f>
        <v/>
      </c>
      <c r="HH49" s="108" t="n"/>
      <c r="HI49" s="107">
        <f>HH49*100/$E$49</f>
        <v/>
      </c>
      <c r="HJ49" s="108" t="n"/>
      <c r="HK49" s="107">
        <f>HJ49*100/$E$49</f>
        <v/>
      </c>
      <c r="HL49" s="108" t="n"/>
      <c r="HM49" s="107">
        <f>HL49*100/$E$49</f>
        <v/>
      </c>
      <c r="HN49" s="108" t="n"/>
      <c r="HO49" s="107">
        <f>HN49*100/$E$49</f>
        <v/>
      </c>
      <c r="HP49" s="108" t="n"/>
      <c r="HQ49" s="107">
        <f>HP49*100/$E$49</f>
        <v/>
      </c>
      <c r="HR49" s="108" t="n"/>
      <c r="HS49" s="107">
        <f>HR49*100/$E$49</f>
        <v/>
      </c>
      <c r="HT49" s="108" t="n"/>
      <c r="HU49" s="107">
        <f>HT49*100/$E$49</f>
        <v/>
      </c>
      <c r="HV49" s="108" t="n"/>
      <c r="HW49" s="107">
        <f>HV49*100/$E$49</f>
        <v/>
      </c>
      <c r="HX49" s="108" t="n"/>
      <c r="HY49" s="107">
        <f>HX49*100/$E$49</f>
        <v/>
      </c>
      <c r="HZ49" s="108" t="n"/>
      <c r="IA49" s="122">
        <f>HZ49*100/$E$49</f>
        <v/>
      </c>
      <c r="IB49" s="108" t="n"/>
      <c r="IC49" s="122">
        <f>IB49*100/$E$49</f>
        <v/>
      </c>
      <c r="ID49" s="108" t="n"/>
      <c r="IE49" s="122">
        <f>ID49*100/$E$49</f>
        <v/>
      </c>
      <c r="IF49" s="108" t="n"/>
      <c r="IG49" s="122">
        <f>IF49*100/$E$49</f>
        <v/>
      </c>
      <c r="IH49" s="108" t="n"/>
      <c r="II49" s="122">
        <f>IH49*100/$E$49</f>
        <v/>
      </c>
      <c r="IJ49" s="108" t="n"/>
      <c r="IK49" s="122">
        <f>IJ49*100/$E$49</f>
        <v/>
      </c>
      <c r="IL49" s="108" t="n"/>
      <c r="IM49" s="107">
        <f>IL49*100/$E$49</f>
        <v/>
      </c>
      <c r="IN49" s="108" t="n"/>
      <c r="IO49" s="107">
        <f>IN49*100/$E$49</f>
        <v/>
      </c>
      <c r="IP49" s="108" t="n"/>
      <c r="IQ49" s="122">
        <f>IP49*100/$E$49</f>
        <v/>
      </c>
      <c r="IR49" s="108" t="n"/>
      <c r="IS49" s="122">
        <f>IR49*100/$E$49</f>
        <v/>
      </c>
      <c r="IT49" s="108" t="n"/>
      <c r="IU49" s="122">
        <f>IT49*100/$E$49</f>
        <v/>
      </c>
      <c r="IV49" s="108" t="n"/>
      <c r="IW49" s="122">
        <f>IV49*100/$E$49</f>
        <v/>
      </c>
      <c r="IX49" s="108" t="n"/>
      <c r="IY49" s="122">
        <f>IX49*100/$E$49</f>
        <v/>
      </c>
      <c r="IZ49" s="108" t="n"/>
      <c r="JA49" s="122">
        <f>IZ49*100/$E$49</f>
        <v/>
      </c>
      <c r="JB49" s="108" t="n"/>
      <c r="JC49" s="122">
        <f>JB49*100/$E$49</f>
        <v/>
      </c>
      <c r="JD49" s="108" t="n"/>
      <c r="JE49" s="122">
        <f>JD49*100/$E$49</f>
        <v/>
      </c>
      <c r="JF49" s="108" t="n"/>
      <c r="JG49" s="122">
        <f>JF49*100/$E$49</f>
        <v/>
      </c>
      <c r="JH49" s="108" t="n"/>
      <c r="JI49" s="122">
        <f>JH49*100/$E$49</f>
        <v/>
      </c>
      <c r="JJ49" s="108" t="n"/>
      <c r="JK49" s="122">
        <f>JJ49*100/$E$49</f>
        <v/>
      </c>
      <c r="JL49" s="108" t="n"/>
      <c r="JM49" s="122">
        <f>JL49*100/$E$49</f>
        <v/>
      </c>
      <c r="JN49" s="108" t="n"/>
      <c r="JO49" s="121">
        <f>JN49*100/$E$49</f>
        <v/>
      </c>
      <c r="JP49" s="108" t="n"/>
      <c r="JQ49" s="121">
        <f>JP49*100/$E$49</f>
        <v/>
      </c>
      <c r="JR49" s="108" t="n"/>
      <c r="JS49" s="121">
        <f>JR49*100/$E$49</f>
        <v/>
      </c>
      <c r="JT49" s="108" t="n"/>
      <c r="JU49" s="121">
        <f>JT49*100/$E$49</f>
        <v/>
      </c>
      <c r="JV49" s="108" t="n"/>
      <c r="JW49" s="121">
        <f>JV49*100/$E$49</f>
        <v/>
      </c>
      <c r="JX49" s="108" t="n"/>
      <c r="JY49" s="121">
        <f>JX49*100/$E$49</f>
        <v/>
      </c>
      <c r="JZ49" s="55">
        <f>JN49+JP49+JR49+JT49+JV49+JX49</f>
        <v/>
      </c>
      <c r="KA49" s="53">
        <f>JO49+JQ49+JS49+JU49+JW49+JY49</f>
        <v/>
      </c>
      <c r="KB49" s="64">
        <f>H49+J49+L49+N49+P49+R49+T49+V49+X49+Z49+AB49+AD49+AF49+AH49+AJ49+AL49+AN49+AP49+AR49+AT49+AV49+AX49+AZ49+BB49+BD49+BF49+BH49+BJ49+BL49+BN49+BP49+BR49+BT49+BV49+BX49+BZ49+CB49+CD49+CF49+CH49+CZ49+DB49+DD49+DF49+DH49+DJ49+DL49+DN49+DP49+DR49+DT49+DV49+DX49+DZ49+EB49+ED49+EF49+EH49+EJ49+EL49+EN49+EP49+ER49+ET49+EV49+FN49+FP49+FR49+FT49+FV49+FX49+FZ49+GB49+GD49+GF49+GH49+GJ49+GL49+GN49+GP49+GR49+GT49+GV49+GX49+GZ49+HB49+HD49+HF49+HH49+HJ49+HL49+HN49+HP49+HR49+HT49+HV49+HX49+HZ49+IB49+ID49+IF49+IH49+IJ49+IL49+IN49+IP49+IR49+IT49+IV49+IX49+IZ49+JB49+JD49+JF49+JH49+JJ49+JL49+JZ49+CJ49+CL49+CN49+CP49+CR49+CT49+CV49+CX49+EX49+EZ49+FB49+FD49+FF49+FH49+FJ49+FL49</f>
        <v/>
      </c>
      <c r="KC49" s="66">
        <f>I49+K49+M49+O49+Q49+S49+U49+W49+Y49+AA49+AC49+AE49+AG49+AI49+AK49+AM49+AO49+AQ49+AS49+AU49+AW49+AY49+BA49+BC49+BE49+BG49+BI49+BK49+BM49+BO49+BQ49+BS49+BU49+BW49+BY49+CA49+CC49+CE49+CG49+CI49+DA49+DC49+DE49+DG49+DI49+DK49+DM49+DO49+DQ49+DS49+DU49+DW49+DY49+EA49+EC49+EE49+EG49+EI49+EK49+EM49+EO49+EQ49+ES49+EU49+EW49+FO49+FS49+FU49+FW49+FQ49+FY49+GA49+GC49+GE49+GG49+GI49+GK49+GM49+GO49+GQ49+GS49+GU49+GW49+GY49+HA49+HC49+HE49+HG49+HI49+HK49+HM49+HO49+HQ49+HS49+HU49+HW49+HY49+IA49+IC49+IE49+IG49+II49+IK49+IM49+IO49+IQ49+IS49+IU49+IW49+IY49+JA49+JC49+JE49+JG49+JI49+JK49+JM49+KA49+CK49+CM49+CO49+CQ49+CS49+CU49+CW49+CY49+EY49+FA49+FC49+FE49+FG49+FI49+FK49+FM49</f>
        <v/>
      </c>
      <c r="KD49" s="44">
        <f>JO49+JQ49+JS49+JU49+JW49+JY49</f>
        <v/>
      </c>
      <c r="KE49" s="45">
        <f>KB49=E49</f>
        <v/>
      </c>
      <c r="KF49" s="101">
        <f>E49-KB49</f>
        <v/>
      </c>
      <c r="KG49" s="11" t="n"/>
    </row>
    <row r="50" ht="21.75" customFormat="1" customHeight="1" s="195">
      <c r="A50" s="126" t="n">
        <v>42</v>
      </c>
      <c r="B50" s="175" t="inlineStr">
        <is>
          <t>Чигоряев С.А.</t>
        </is>
      </c>
      <c r="C50" s="176" t="inlineStr">
        <is>
          <t>слесарь</t>
        </is>
      </c>
      <c r="D50" s="177">
        <f>$D$5</f>
        <v/>
      </c>
      <c r="E50" s="202" t="n"/>
      <c r="F50" s="193" t="n">
        <v>97702.28</v>
      </c>
      <c r="G50" s="179">
        <f>F50/D50</f>
        <v/>
      </c>
      <c r="H50" s="180" t="n"/>
      <c r="I50" s="140">
        <f>H50*100/$E$50</f>
        <v/>
      </c>
      <c r="J50" s="133" t="n"/>
      <c r="K50" s="140">
        <f>J50*100/$E$50</f>
        <v/>
      </c>
      <c r="L50" s="133" t="n"/>
      <c r="M50" s="140">
        <f>L50*100/$E$50</f>
        <v/>
      </c>
      <c r="N50" s="133" t="n"/>
      <c r="O50" s="140">
        <f>N50*100/$E$50</f>
        <v/>
      </c>
      <c r="P50" s="133" t="n"/>
      <c r="Q50" s="139">
        <f>P50*100/$E$50</f>
        <v/>
      </c>
      <c r="R50" s="133" t="n"/>
      <c r="S50" s="139">
        <f>R50*100/$E$50</f>
        <v/>
      </c>
      <c r="T50" s="133" t="n"/>
      <c r="U50" s="140">
        <f>T50*100/$E$50</f>
        <v/>
      </c>
      <c r="V50" s="133" t="n"/>
      <c r="W50" s="140">
        <f>V50*100/$E$50</f>
        <v/>
      </c>
      <c r="X50" s="133" t="n"/>
      <c r="Y50" s="140">
        <f>X50*100/$E$50</f>
        <v/>
      </c>
      <c r="Z50" s="133" t="n"/>
      <c r="AA50" s="140">
        <f>Z50*100/$E$50</f>
        <v/>
      </c>
      <c r="AB50" s="133" t="n"/>
      <c r="AC50" s="140">
        <f>AB50*100/$E$50</f>
        <v/>
      </c>
      <c r="AD50" s="133" t="n"/>
      <c r="AE50" s="139">
        <f>AD50*100/$E$50</f>
        <v/>
      </c>
      <c r="AF50" s="133" t="n"/>
      <c r="AG50" s="139">
        <f>AF50*100/$E$50</f>
        <v/>
      </c>
      <c r="AH50" s="133" t="n"/>
      <c r="AI50" s="140">
        <f>AH50*100/$E$50</f>
        <v/>
      </c>
      <c r="AJ50" s="133" t="n"/>
      <c r="AK50" s="140">
        <f>AJ50*100/$E$50</f>
        <v/>
      </c>
      <c r="AL50" s="133" t="n"/>
      <c r="AM50" s="140">
        <f>AL50*100/$E$50</f>
        <v/>
      </c>
      <c r="AN50" s="133" t="n"/>
      <c r="AO50" s="140">
        <f>AN50*100/$E$50</f>
        <v/>
      </c>
      <c r="AP50" s="133" t="n"/>
      <c r="AQ50" s="140">
        <f>AP50*100/$E$50</f>
        <v/>
      </c>
      <c r="AR50" s="133" t="n"/>
      <c r="AS50" s="140">
        <f>AR50*100/$E$50</f>
        <v/>
      </c>
      <c r="AT50" s="133" t="n"/>
      <c r="AU50" s="181">
        <f>AT50*100/$E$50</f>
        <v/>
      </c>
      <c r="AV50" s="133" t="n"/>
      <c r="AW50" s="140">
        <f>AV50*100/$E$50</f>
        <v/>
      </c>
      <c r="AX50" s="133" t="n"/>
      <c r="AY50" s="140">
        <f>AX50*100/$E$50</f>
        <v/>
      </c>
      <c r="AZ50" s="133" t="n"/>
      <c r="BA50" s="140">
        <f>AZ50*100/$E$50</f>
        <v/>
      </c>
      <c r="BB50" s="133" t="n"/>
      <c r="BC50" s="140">
        <f>BB50*100/$E$50</f>
        <v/>
      </c>
      <c r="BD50" s="133" t="n"/>
      <c r="BE50" s="140">
        <f>BD50*100/$E$50</f>
        <v/>
      </c>
      <c r="BF50" s="133" t="n"/>
      <c r="BG50" s="140">
        <f>BF50*100/$E$50</f>
        <v/>
      </c>
      <c r="BH50" s="133" t="n"/>
      <c r="BI50" s="140">
        <f>BH50*100/$E$50</f>
        <v/>
      </c>
      <c r="BJ50" s="133" t="n"/>
      <c r="BK50" s="140">
        <f>BJ50*100/$E$50</f>
        <v/>
      </c>
      <c r="BL50" s="133" t="n"/>
      <c r="BM50" s="140">
        <f>BL50*100/$E$50</f>
        <v/>
      </c>
      <c r="BN50" s="133" t="n"/>
      <c r="BO50" s="140">
        <f>BN50*100/$E$50</f>
        <v/>
      </c>
      <c r="BP50" s="133" t="n"/>
      <c r="BQ50" s="140">
        <f>BP50*100/$E$50</f>
        <v/>
      </c>
      <c r="BR50" s="133" t="n"/>
      <c r="BS50" s="140">
        <f>BR50*100/$E$50</f>
        <v/>
      </c>
      <c r="BT50" s="133" t="n"/>
      <c r="BU50" s="140">
        <f>BT50*100/$E$50</f>
        <v/>
      </c>
      <c r="BV50" s="133" t="n"/>
      <c r="BW50" s="140">
        <f>BV50*100/$E$50</f>
        <v/>
      </c>
      <c r="BX50" s="133" t="n"/>
      <c r="BY50" s="140">
        <f>BX50*100/$E$50</f>
        <v/>
      </c>
      <c r="BZ50" s="133" t="n"/>
      <c r="CA50" s="140">
        <f>BZ50*100/$E$50</f>
        <v/>
      </c>
      <c r="CB50" s="133" t="n"/>
      <c r="CC50" s="140">
        <f>CB50*100/$E$50</f>
        <v/>
      </c>
      <c r="CD50" s="133" t="n"/>
      <c r="CE50" s="140">
        <f>CD50*100/$E$50</f>
        <v/>
      </c>
      <c r="CF50" s="133" t="n"/>
      <c r="CG50" s="140">
        <f>CF50*100/$E$50</f>
        <v/>
      </c>
      <c r="CH50" s="133" t="n"/>
      <c r="CI50" s="140">
        <f>CH50*100/$E$50</f>
        <v/>
      </c>
      <c r="CJ50" s="133" t="n"/>
      <c r="CK50" s="140">
        <f>CJ50*100/$E$50</f>
        <v/>
      </c>
      <c r="CL50" s="133" t="n"/>
      <c r="CM50" s="140">
        <f>CL50*100/$E$50</f>
        <v/>
      </c>
      <c r="CN50" s="133" t="n"/>
      <c r="CO50" s="139">
        <f>CN50*100/$E$50</f>
        <v/>
      </c>
      <c r="CP50" s="133" t="n"/>
      <c r="CQ50" s="140">
        <f>CP50*100/$E$50</f>
        <v/>
      </c>
      <c r="CR50" s="133" t="n"/>
      <c r="CS50" s="139">
        <f>CR50*100/$E$50</f>
        <v/>
      </c>
      <c r="CT50" s="133" t="n"/>
      <c r="CU50" s="139">
        <f>CT50*100/$E$50</f>
        <v/>
      </c>
      <c r="CV50" s="133" t="n"/>
      <c r="CW50" s="139">
        <f>CV50*100/$E$50</f>
        <v/>
      </c>
      <c r="CX50" s="133" t="n"/>
      <c r="CY50" s="139">
        <f>CX50*100/$E$50</f>
        <v/>
      </c>
      <c r="CZ50" s="133" t="n"/>
      <c r="DA50" s="139">
        <f>CZ50*100/$E$50</f>
        <v/>
      </c>
      <c r="DB50" s="133" t="n"/>
      <c r="DC50" s="139">
        <f>DB50*100/$E$50</f>
        <v/>
      </c>
      <c r="DD50" s="133" t="n"/>
      <c r="DE50" s="139">
        <f>DD50*100/$E$50</f>
        <v/>
      </c>
      <c r="DF50" s="133" t="n"/>
      <c r="DG50" s="139">
        <f>DF50*100/$E$50</f>
        <v/>
      </c>
      <c r="DH50" s="133" t="n"/>
      <c r="DI50" s="139">
        <f>DH50*100/$E$50</f>
        <v/>
      </c>
      <c r="DJ50" s="133" t="n"/>
      <c r="DK50" s="139">
        <f>DJ50*100/$E$50</f>
        <v/>
      </c>
      <c r="DL50" s="133" t="n"/>
      <c r="DM50" s="139">
        <f>DL50*100/$E$50</f>
        <v/>
      </c>
      <c r="DN50" s="133" t="n"/>
      <c r="DO50" s="139">
        <f>DN50*100/$E$50</f>
        <v/>
      </c>
      <c r="DP50" s="133" t="n"/>
      <c r="DQ50" s="139">
        <f>DP50*100/$E$50</f>
        <v/>
      </c>
      <c r="DR50" s="133" t="n"/>
      <c r="DS50" s="139">
        <f>DR50*100/$E$50</f>
        <v/>
      </c>
      <c r="DT50" s="133" t="n"/>
      <c r="DU50" s="139">
        <f>DT50*100/$E$50</f>
        <v/>
      </c>
      <c r="DV50" s="133" t="n"/>
      <c r="DW50" s="139">
        <f>DV50*100/$E$50</f>
        <v/>
      </c>
      <c r="DX50" s="133" t="n"/>
      <c r="DY50" s="139">
        <f>DX50*100/$E$50</f>
        <v/>
      </c>
      <c r="DZ50" s="133" t="n"/>
      <c r="EA50" s="139">
        <f>DZ50*100/$E$50</f>
        <v/>
      </c>
      <c r="EB50" s="133" t="n"/>
      <c r="EC50" s="139">
        <f>EB50*100/$E$50</f>
        <v/>
      </c>
      <c r="ED50" s="133" t="n"/>
      <c r="EE50" s="139">
        <f>ED50*100/$E$50</f>
        <v/>
      </c>
      <c r="EF50" s="133" t="n"/>
      <c r="EG50" s="139">
        <f>EF50*100/$E$50</f>
        <v/>
      </c>
      <c r="EH50" s="133" t="n"/>
      <c r="EI50" s="139">
        <f>EH50*100/$E$50</f>
        <v/>
      </c>
      <c r="EJ50" s="133" t="n"/>
      <c r="EK50" s="139">
        <f>EJ50*100/$E$50</f>
        <v/>
      </c>
      <c r="EL50" s="133" t="n"/>
      <c r="EM50" s="139">
        <f>EL50*100/$E$50</f>
        <v/>
      </c>
      <c r="EN50" s="133" t="n"/>
      <c r="EO50" s="139">
        <f>EN50*100/$E$50</f>
        <v/>
      </c>
      <c r="EP50" s="133" t="n"/>
      <c r="EQ50" s="139">
        <f>EP50*100/$E$50</f>
        <v/>
      </c>
      <c r="ER50" s="133" t="n"/>
      <c r="ES50" s="139">
        <f>ER50*100/$E$50</f>
        <v/>
      </c>
      <c r="ET50" s="133" t="n"/>
      <c r="EU50" s="139">
        <f>ET50*100/$E$50</f>
        <v/>
      </c>
      <c r="EV50" s="133" t="n"/>
      <c r="EW50" s="139">
        <f>EV50*100/$E$50</f>
        <v/>
      </c>
      <c r="EX50" s="133" t="n"/>
      <c r="EY50" s="139">
        <f>EX50*100/$E$50</f>
        <v/>
      </c>
      <c r="EZ50" s="133" t="n"/>
      <c r="FA50" s="139">
        <f>EZ50*100/$E$50</f>
        <v/>
      </c>
      <c r="FB50" s="133" t="n"/>
      <c r="FC50" s="139">
        <f>FB50*100/$E$50</f>
        <v/>
      </c>
      <c r="FD50" s="133" t="n"/>
      <c r="FE50" s="139">
        <f>FD50*100/$E$50</f>
        <v/>
      </c>
      <c r="FF50" s="133" t="n"/>
      <c r="FG50" s="139">
        <f>FF50*100/$E$50</f>
        <v/>
      </c>
      <c r="FH50" s="133" t="n"/>
      <c r="FI50" s="139">
        <f>FH50*100/$E$50</f>
        <v/>
      </c>
      <c r="FJ50" s="133" t="n"/>
      <c r="FK50" s="139">
        <f>FJ50*100/$E$50</f>
        <v/>
      </c>
      <c r="FL50" s="133" t="n"/>
      <c r="FM50" s="139">
        <f>FL50*100/$E$50</f>
        <v/>
      </c>
      <c r="FN50" s="133" t="n"/>
      <c r="FO50" s="139">
        <f>FN50*100/$E$50</f>
        <v/>
      </c>
      <c r="FP50" s="133" t="n"/>
      <c r="FQ50" s="139">
        <f>FP50*100/$E$50</f>
        <v/>
      </c>
      <c r="FR50" s="133" t="n"/>
      <c r="FS50" s="139">
        <f>FR50*100/$E$50</f>
        <v/>
      </c>
      <c r="FT50" s="133" t="n"/>
      <c r="FU50" s="139">
        <f>FT50*100/$E$50</f>
        <v/>
      </c>
      <c r="FV50" s="133" t="n"/>
      <c r="FW50" s="139">
        <f>FV50*100/$E$50</f>
        <v/>
      </c>
      <c r="FX50" s="133" t="n"/>
      <c r="FY50" s="140">
        <f>FX50*100/$E$50</f>
        <v/>
      </c>
      <c r="FZ50" s="133" t="n"/>
      <c r="GA50" s="140">
        <f>FZ50*100/$E$50</f>
        <v/>
      </c>
      <c r="GB50" s="133" t="n"/>
      <c r="GC50" s="140">
        <f>GB50*100/$E$50</f>
        <v/>
      </c>
      <c r="GD50" s="133" t="n"/>
      <c r="GE50" s="140">
        <f>GD50*100/$E$50</f>
        <v/>
      </c>
      <c r="GF50" s="133" t="n"/>
      <c r="GG50" s="140">
        <f>GF50*100/$E$50</f>
        <v/>
      </c>
      <c r="GH50" s="133" t="n"/>
      <c r="GI50" s="140">
        <f>GH50*100/$E$50</f>
        <v/>
      </c>
      <c r="GJ50" s="133" t="n"/>
      <c r="GK50" s="139">
        <f>GJ50*100/$E$50</f>
        <v/>
      </c>
      <c r="GL50" s="133" t="n"/>
      <c r="GM50" s="140">
        <f>GL50*100/$E$50</f>
        <v/>
      </c>
      <c r="GN50" s="133" t="n"/>
      <c r="GO50" s="139">
        <f>GN50*100/$E$50</f>
        <v/>
      </c>
      <c r="GP50" s="133" t="n"/>
      <c r="GQ50" s="140">
        <f>GP50*100/$E$50</f>
        <v/>
      </c>
      <c r="GR50" s="133" t="n"/>
      <c r="GS50" s="139">
        <f>GR50*100/$E$50</f>
        <v/>
      </c>
      <c r="GT50" s="133" t="n"/>
      <c r="GU50" s="139">
        <f>GT50*100/$E$50</f>
        <v/>
      </c>
      <c r="GV50" s="133" t="n"/>
      <c r="GW50" s="139">
        <f>GV50*100/$E$50</f>
        <v/>
      </c>
      <c r="GX50" s="133" t="n"/>
      <c r="GY50" s="140">
        <f>GX50*100/$E$50</f>
        <v/>
      </c>
      <c r="GZ50" s="133" t="n"/>
      <c r="HA50" s="140">
        <f>GZ50*100/$E$50</f>
        <v/>
      </c>
      <c r="HB50" s="133" t="n"/>
      <c r="HC50" s="140">
        <f>HB50*100/$E$50</f>
        <v/>
      </c>
      <c r="HD50" s="133" t="n"/>
      <c r="HE50" s="140">
        <f>HD50*100/$E$50</f>
        <v/>
      </c>
      <c r="HF50" s="133" t="n"/>
      <c r="HG50" s="140">
        <f>HF50*100/$E$50</f>
        <v/>
      </c>
      <c r="HH50" s="133" t="n"/>
      <c r="HI50" s="140">
        <f>HH50*100/$E$50</f>
        <v/>
      </c>
      <c r="HJ50" s="133" t="n"/>
      <c r="HK50" s="140">
        <f>HJ50*100/$E$50</f>
        <v/>
      </c>
      <c r="HL50" s="133" t="n"/>
      <c r="HM50" s="140">
        <f>HL50*100/$E$50</f>
        <v/>
      </c>
      <c r="HN50" s="133" t="n"/>
      <c r="HO50" s="140">
        <f>HN50*100/$E$50</f>
        <v/>
      </c>
      <c r="HP50" s="133" t="n"/>
      <c r="HQ50" s="140">
        <f>HP50*100/$E$50</f>
        <v/>
      </c>
      <c r="HR50" s="133" t="n"/>
      <c r="HS50" s="140">
        <f>HR50*100/$E$50</f>
        <v/>
      </c>
      <c r="HT50" s="133" t="n"/>
      <c r="HU50" s="140">
        <f>HT50*100/$E$50</f>
        <v/>
      </c>
      <c r="HV50" s="133" t="n"/>
      <c r="HW50" s="140">
        <f>HV50*100/$E$50</f>
        <v/>
      </c>
      <c r="HX50" s="133" t="n"/>
      <c r="HY50" s="140">
        <f>HX50*100/$E$50</f>
        <v/>
      </c>
      <c r="HZ50" s="133" t="n"/>
      <c r="IA50" s="139">
        <f>HZ50*100/$E$50</f>
        <v/>
      </c>
      <c r="IB50" s="133" t="n"/>
      <c r="IC50" s="139">
        <f>IB50*100/$E$50</f>
        <v/>
      </c>
      <c r="ID50" s="133" t="n"/>
      <c r="IE50" s="139">
        <f>ID50*100/$E$50</f>
        <v/>
      </c>
      <c r="IF50" s="133" t="n"/>
      <c r="IG50" s="139">
        <f>IF50*100/$E$50</f>
        <v/>
      </c>
      <c r="IH50" s="133" t="n"/>
      <c r="II50" s="139">
        <f>IH50*100/$E$50</f>
        <v/>
      </c>
      <c r="IJ50" s="133" t="n"/>
      <c r="IK50" s="139">
        <f>IJ50*100/$E$50</f>
        <v/>
      </c>
      <c r="IL50" s="133" t="n"/>
      <c r="IM50" s="140">
        <f>IL50*100/$E$50</f>
        <v/>
      </c>
      <c r="IN50" s="133" t="n"/>
      <c r="IO50" s="140">
        <f>IN50*100/$E$50</f>
        <v/>
      </c>
      <c r="IP50" s="133" t="n"/>
      <c r="IQ50" s="139">
        <f>IP50*100/$E$50</f>
        <v/>
      </c>
      <c r="IR50" s="133" t="n"/>
      <c r="IS50" s="139">
        <f>IR50*100/$E$50</f>
        <v/>
      </c>
      <c r="IT50" s="133" t="n"/>
      <c r="IU50" s="139">
        <f>IT50*100/$E$50</f>
        <v/>
      </c>
      <c r="IV50" s="133" t="n"/>
      <c r="IW50" s="139">
        <f>IV50*100/$E$50</f>
        <v/>
      </c>
      <c r="IX50" s="133" t="n"/>
      <c r="IY50" s="139">
        <f>IX50*100/$E$50</f>
        <v/>
      </c>
      <c r="IZ50" s="133" t="n"/>
      <c r="JA50" s="139">
        <f>IZ50*100/$E$50</f>
        <v/>
      </c>
      <c r="JB50" s="133" t="n"/>
      <c r="JC50" s="139">
        <f>JB50*100/$E$50</f>
        <v/>
      </c>
      <c r="JD50" s="133" t="n"/>
      <c r="JE50" s="139">
        <f>JD50*100/$E$50</f>
        <v/>
      </c>
      <c r="JF50" s="133" t="n"/>
      <c r="JG50" s="139">
        <f>JF50*100/$E$50</f>
        <v/>
      </c>
      <c r="JH50" s="133" t="n"/>
      <c r="JI50" s="139">
        <f>JH50*100/$E$50</f>
        <v/>
      </c>
      <c r="JJ50" s="133" t="n"/>
      <c r="JK50" s="139">
        <f>JJ50*100/$E$50</f>
        <v/>
      </c>
      <c r="JL50" s="133" t="n"/>
      <c r="JM50" s="139">
        <f>JL50*100/$E$50</f>
        <v/>
      </c>
      <c r="JN50" s="133" t="n"/>
      <c r="JO50" s="182">
        <f>JN50*100/$E$50</f>
        <v/>
      </c>
      <c r="JP50" s="133" t="n"/>
      <c r="JQ50" s="182">
        <f>JP50*100/$E$50</f>
        <v/>
      </c>
      <c r="JR50" s="133" t="n"/>
      <c r="JS50" s="182">
        <f>JR50*100/$E$50</f>
        <v/>
      </c>
      <c r="JT50" s="133" t="n"/>
      <c r="JU50" s="182">
        <f>JT50*100/$E$50</f>
        <v/>
      </c>
      <c r="JV50" s="133" t="n"/>
      <c r="JW50" s="182">
        <f>JV50*100/$E$50</f>
        <v/>
      </c>
      <c r="JX50" s="133" t="n"/>
      <c r="JY50" s="182">
        <f>JX50*100/$E$50</f>
        <v/>
      </c>
      <c r="JZ50" s="183">
        <f>JN50+JP50+JR50+JT50+JV50+JX50</f>
        <v/>
      </c>
      <c r="KA50" s="184">
        <f>JO50+JQ50+JS50+JU50+JW50+JY50</f>
        <v/>
      </c>
      <c r="KB50" s="185">
        <f>H50+J50+L50+N50+P50+R50+T50+V50+X50+Z50+AB50+AD50+AF50+AH50+AJ50+AL50+AN50+AP50+AR50+AT50+AV50+AX50+AZ50+BB50+BD50+BF50+BH50+BJ50+BL50+BN50+BP50+BR50+BT50+BV50+BX50+BZ50+CB50+CD50+CF50+CH50+CZ50+DB50+DD50+DF50+DH50+DJ50+DL50+DN50+DP50+DR50+DT50+DV50+DX50+DZ50+EB50+ED50+EF50+EH50+EJ50+EL50+EN50+EP50+ER50+ET50+EV50+FN50+FP50+FR50+FT50+FV50+FX50+FZ50+GB50+GD50+GF50+GH50+GJ50+GL50+GN50+GP50+GR50+GT50+GV50+GX50+GZ50+HB50+HD50+HF50+HH50+HJ50+HL50+HN50+HP50+HR50+HT50+HV50+HX50+HZ50+IB50+ID50+IF50+IH50+IJ50+IL50+IN50+IP50+IR50+IT50+IV50+IX50+IZ50+JB50+JD50+JF50+JH50+JJ50+JL50+JZ50+CJ50+CL50+CN50+CP50+CR50+CT50+CV50+CX50+EX50+EZ50+FB50+FD50+FF50+FH50+FJ50+FL50</f>
        <v/>
      </c>
      <c r="KC50" s="186">
        <f>I50+K50+M50+O50+Q50+S50+U50+W50+Y50+AA50+AC50+AE50+AG50+AI50+AK50+AM50+AO50+AQ50+AS50+AU50+AW50+AY50+BA50+BC50+BE50+BG50+BI50+BK50+BM50+BO50+BQ50+BS50+BU50+BW50+BY50+CA50+CC50+CE50+CG50+CI50+DA50+DC50+DE50+DG50+DI50+DK50+DM50+DO50+DQ50+DS50+DU50+DW50+DY50+EA50+EC50+EE50+EG50+EI50+EK50+EM50+EO50+EQ50+ES50+EU50+EW50+FO50+FS50+FU50+FW50+FQ50+FY50+GA50+GC50+GE50+GG50+GI50+GK50+GM50+GO50+GQ50+GS50+GU50+GW50+GY50+HA50+HC50+HE50+HG50+HI50+HK50+HM50+HO50+HQ50+HS50+HU50+HW50+HY50+IA50+IC50+IE50+IG50+II50+IK50+IM50+IO50+IQ50+IS50+IU50+IW50+IY50+JA50+JC50+JE50+JG50+JI50+JK50+JM50+KA50+CK50+CM50+CO50+CQ50+CS50+CU50+CW50+CY50+EY50+FA50+FC50+FE50+FG50+FI50+FK50+FM50</f>
        <v/>
      </c>
      <c r="KD50" s="187">
        <f>JO50+JQ50+JS50+JU50+JW50+JY50</f>
        <v/>
      </c>
      <c r="KE50" s="188">
        <f>KB50=E50</f>
        <v/>
      </c>
      <c r="KF50" s="189">
        <f>E50-KB50</f>
        <v/>
      </c>
      <c r="KG50" s="196" t="n"/>
    </row>
    <row r="51" ht="27" customFormat="1" customHeight="1" s="11" thickBot="1">
      <c r="A51" s="126">
        <f>A50+1</f>
        <v/>
      </c>
      <c r="B51" s="175" t="inlineStr">
        <is>
          <t>Южиков А.Ю.</t>
        </is>
      </c>
      <c r="C51" s="176" t="inlineStr">
        <is>
          <t>сварщик</t>
        </is>
      </c>
      <c r="D51" s="177">
        <f>$D$5</f>
        <v/>
      </c>
      <c r="E51" s="202" t="n"/>
      <c r="F51" s="193" t="n">
        <v>68853.84</v>
      </c>
      <c r="G51" s="52">
        <f>F51/D51</f>
        <v/>
      </c>
      <c r="H51" s="125" t="n"/>
      <c r="I51" s="107">
        <f>H51*100/$E$51</f>
        <v/>
      </c>
      <c r="J51" s="108" t="n"/>
      <c r="K51" s="107">
        <f>J51*100/$E$51</f>
        <v/>
      </c>
      <c r="L51" s="108" t="n"/>
      <c r="M51" s="107">
        <f>L51*100/$E$51</f>
        <v/>
      </c>
      <c r="N51" s="108" t="n"/>
      <c r="O51" s="107">
        <f>N51*100/$E$51</f>
        <v/>
      </c>
      <c r="P51" s="108" t="n"/>
      <c r="Q51" s="122">
        <f>P51*100/$E$51</f>
        <v/>
      </c>
      <c r="R51" s="125" t="n"/>
      <c r="S51" s="122">
        <f>R51*100/$E$51</f>
        <v/>
      </c>
      <c r="T51" s="108" t="n"/>
      <c r="U51" s="107">
        <f>T51*100/$E$51</f>
        <v/>
      </c>
      <c r="V51" s="108" t="n"/>
      <c r="W51" s="107">
        <f>V51*100/$E$51</f>
        <v/>
      </c>
      <c r="X51" s="108" t="n"/>
      <c r="Y51" s="107">
        <f>X51*100/$E$51</f>
        <v/>
      </c>
      <c r="Z51" s="108" t="n"/>
      <c r="AA51" s="107">
        <f>Z51*100/$E$51</f>
        <v/>
      </c>
      <c r="AB51" s="108" t="n"/>
      <c r="AC51" s="107">
        <f>AB51*100/$E$51</f>
        <v/>
      </c>
      <c r="AD51" s="108" t="n"/>
      <c r="AE51" s="122">
        <f>AD51*100/$E$51</f>
        <v/>
      </c>
      <c r="AF51" s="108" t="n"/>
      <c r="AG51" s="122">
        <f>AF51*100/$E$51</f>
        <v/>
      </c>
      <c r="AH51" s="108" t="n"/>
      <c r="AI51" s="107">
        <f>AH51*100/$E$51</f>
        <v/>
      </c>
      <c r="AJ51" s="108" t="n"/>
      <c r="AK51" s="107">
        <f>AJ51*100/$E$51</f>
        <v/>
      </c>
      <c r="AL51" s="108" t="n"/>
      <c r="AM51" s="107">
        <f>AL51*100/$E$51</f>
        <v/>
      </c>
      <c r="AN51" s="108" t="n"/>
      <c r="AO51" s="107">
        <f>AN51*100/$E$51</f>
        <v/>
      </c>
      <c r="AP51" s="108" t="n"/>
      <c r="AQ51" s="107">
        <f>AP51*100/$E$51</f>
        <v/>
      </c>
      <c r="AR51" s="108" t="n"/>
      <c r="AS51" s="107">
        <f>AR51*100/$E$51</f>
        <v/>
      </c>
      <c r="AT51" s="108" t="n"/>
      <c r="AU51" s="90">
        <f>AT51*100/$E$51</f>
        <v/>
      </c>
      <c r="AV51" s="108" t="n"/>
      <c r="AW51" s="107">
        <f>AV51*100/$E$51</f>
        <v/>
      </c>
      <c r="AX51" s="108" t="n"/>
      <c r="AY51" s="107">
        <f>AX51*100/$E$51</f>
        <v/>
      </c>
      <c r="AZ51" s="108" t="n"/>
      <c r="BA51" s="107">
        <f>AZ51*100/$E$51</f>
        <v/>
      </c>
      <c r="BB51" s="108" t="n"/>
      <c r="BC51" s="107">
        <f>BB51*100/$E$51</f>
        <v/>
      </c>
      <c r="BD51" s="108" t="n"/>
      <c r="BE51" s="107">
        <f>BD51*100/$E$51</f>
        <v/>
      </c>
      <c r="BF51" s="108" t="n"/>
      <c r="BG51" s="107">
        <f>BF51*100/$E$51</f>
        <v/>
      </c>
      <c r="BH51" s="108" t="n"/>
      <c r="BI51" s="107">
        <f>BH51*100/$E$51</f>
        <v/>
      </c>
      <c r="BJ51" s="108" t="n"/>
      <c r="BK51" s="107">
        <f>BJ51*100/$E$51</f>
        <v/>
      </c>
      <c r="BL51" s="108" t="n"/>
      <c r="BM51" s="107">
        <f>BL51*100/$E$51</f>
        <v/>
      </c>
      <c r="BN51" s="108" t="n"/>
      <c r="BO51" s="107">
        <f>BN51*100/$E$51</f>
        <v/>
      </c>
      <c r="BP51" s="108" t="n"/>
      <c r="BQ51" s="107">
        <f>BP51*100/$E$51</f>
        <v/>
      </c>
      <c r="BR51" s="108" t="n"/>
      <c r="BS51" s="107">
        <f>BR51*100/$E$51</f>
        <v/>
      </c>
      <c r="BT51" s="108" t="n"/>
      <c r="BU51" s="107">
        <f>BT51*100/$E$51</f>
        <v/>
      </c>
      <c r="BV51" s="108" t="n"/>
      <c r="BW51" s="107">
        <f>BV51*100/$E$51</f>
        <v/>
      </c>
      <c r="BX51" s="108" t="n"/>
      <c r="BY51" s="107">
        <f>BX51*100/$E$51</f>
        <v/>
      </c>
      <c r="BZ51" s="108" t="n"/>
      <c r="CA51" s="107">
        <f>BZ51*100/$E$51</f>
        <v/>
      </c>
      <c r="CB51" s="108" t="n"/>
      <c r="CC51" s="107">
        <f>CB51*100/$E$51</f>
        <v/>
      </c>
      <c r="CD51" s="108" t="n"/>
      <c r="CE51" s="107">
        <f>CD51*100/$E$51</f>
        <v/>
      </c>
      <c r="CF51" s="108" t="n"/>
      <c r="CG51" s="107">
        <f>CF51*100/$E$51</f>
        <v/>
      </c>
      <c r="CH51" s="108" t="n"/>
      <c r="CI51" s="107">
        <f>CH51*100/$E$51</f>
        <v/>
      </c>
      <c r="CJ51" s="108" t="n"/>
      <c r="CK51" s="107">
        <f>CJ51*100/$E$51</f>
        <v/>
      </c>
      <c r="CL51" s="108" t="n"/>
      <c r="CM51" s="107">
        <f>CL51*100/$E$51</f>
        <v/>
      </c>
      <c r="CN51" s="108" t="n"/>
      <c r="CO51" s="122">
        <f>CN51*100/$E$51</f>
        <v/>
      </c>
      <c r="CP51" s="108" t="n"/>
      <c r="CQ51" s="107">
        <f>CP51*100/$E$51</f>
        <v/>
      </c>
      <c r="CR51" s="108" t="n"/>
      <c r="CS51" s="122">
        <f>CR51*100/$E$51</f>
        <v/>
      </c>
      <c r="CT51" s="108" t="n"/>
      <c r="CU51" s="122">
        <f>CT51*100/$E$51</f>
        <v/>
      </c>
      <c r="CV51" s="108" t="n"/>
      <c r="CW51" s="122">
        <f>CV51*100/$E$51</f>
        <v/>
      </c>
      <c r="CX51" s="108" t="n"/>
      <c r="CY51" s="122">
        <f>CX51*100/$E$51</f>
        <v/>
      </c>
      <c r="CZ51" s="108" t="n"/>
      <c r="DA51" s="122">
        <f>CZ51*100/$E$51</f>
        <v/>
      </c>
      <c r="DB51" s="108" t="n"/>
      <c r="DC51" s="122">
        <f>DB51*100/$E$51</f>
        <v/>
      </c>
      <c r="DD51" s="108" t="n"/>
      <c r="DE51" s="122">
        <f>DD51*100/$E$51</f>
        <v/>
      </c>
      <c r="DF51" s="108" t="n"/>
      <c r="DG51" s="122">
        <f>DF51*100/$E$51</f>
        <v/>
      </c>
      <c r="DH51" s="108" t="n"/>
      <c r="DI51" s="122">
        <f>DH51*100/$E$51</f>
        <v/>
      </c>
      <c r="DJ51" s="108" t="n"/>
      <c r="DK51" s="122">
        <f>DJ51*100/$E$51</f>
        <v/>
      </c>
      <c r="DL51" s="108" t="n"/>
      <c r="DM51" s="122">
        <f>DL51*100/$E$51</f>
        <v/>
      </c>
      <c r="DN51" s="108" t="n"/>
      <c r="DO51" s="122">
        <f>DN51*100/$E$51</f>
        <v/>
      </c>
      <c r="DP51" s="108" t="n"/>
      <c r="DQ51" s="122">
        <f>DP51*100/$E$51</f>
        <v/>
      </c>
      <c r="DR51" s="108" t="n"/>
      <c r="DS51" s="122">
        <f>DR51*100/$E$51</f>
        <v/>
      </c>
      <c r="DT51" s="108" t="n"/>
      <c r="DU51" s="122">
        <f>DT51*100/$E$51</f>
        <v/>
      </c>
      <c r="DV51" s="108" t="n"/>
      <c r="DW51" s="122">
        <f>DV51*100/$E$51</f>
        <v/>
      </c>
      <c r="DX51" s="108" t="n"/>
      <c r="DY51" s="122">
        <f>DX51*100/$E$51</f>
        <v/>
      </c>
      <c r="DZ51" s="108" t="n"/>
      <c r="EA51" s="122">
        <f>DZ51*100/$E$51</f>
        <v/>
      </c>
      <c r="EB51" s="108" t="n"/>
      <c r="EC51" s="122">
        <f>EB51*100/$E$51</f>
        <v/>
      </c>
      <c r="ED51" s="108" t="n"/>
      <c r="EE51" s="122">
        <f>ED51*100/$E$51</f>
        <v/>
      </c>
      <c r="EF51" s="108" t="n"/>
      <c r="EG51" s="122">
        <f>EF51*100/$E$51</f>
        <v/>
      </c>
      <c r="EH51" s="108" t="n"/>
      <c r="EI51" s="122">
        <f>EH51*100/$E$51</f>
        <v/>
      </c>
      <c r="EJ51" s="108" t="n"/>
      <c r="EK51" s="122">
        <f>EJ51*100/$E$51</f>
        <v/>
      </c>
      <c r="EL51" s="108" t="n"/>
      <c r="EM51" s="122">
        <f>EL51*100/$E$51</f>
        <v/>
      </c>
      <c r="EN51" s="108" t="n"/>
      <c r="EO51" s="122">
        <f>EN51*100/$E$51</f>
        <v/>
      </c>
      <c r="EP51" s="108" t="n"/>
      <c r="EQ51" s="122">
        <f>EP51*100/$E$51</f>
        <v/>
      </c>
      <c r="ER51" s="108" t="n"/>
      <c r="ES51" s="122">
        <f>ER51*100/$E$51</f>
        <v/>
      </c>
      <c r="ET51" s="108" t="n"/>
      <c r="EU51" s="122">
        <f>ET51*100/$E$51</f>
        <v/>
      </c>
      <c r="EV51" s="108" t="n"/>
      <c r="EW51" s="122">
        <f>EV51*100/$E$51</f>
        <v/>
      </c>
      <c r="EX51" s="108" t="n"/>
      <c r="EY51" s="122">
        <f>EX51*100/$E$51</f>
        <v/>
      </c>
      <c r="EZ51" s="108" t="n"/>
      <c r="FA51" s="122">
        <f>EZ51*100/$E$51</f>
        <v/>
      </c>
      <c r="FB51" s="108" t="n"/>
      <c r="FC51" s="122">
        <f>FB51*100/$E$51</f>
        <v/>
      </c>
      <c r="FD51" s="108" t="n"/>
      <c r="FE51" s="122">
        <f>FD51*100/$E$51</f>
        <v/>
      </c>
      <c r="FF51" s="108" t="n"/>
      <c r="FG51" s="122">
        <f>FF51*100/$E$51</f>
        <v/>
      </c>
      <c r="FH51" s="108" t="n"/>
      <c r="FI51" s="122">
        <f>FH51*100/$E$51</f>
        <v/>
      </c>
      <c r="FJ51" s="108" t="n"/>
      <c r="FK51" s="122">
        <f>FJ51*100/$E$51</f>
        <v/>
      </c>
      <c r="FL51" s="108" t="n"/>
      <c r="FM51" s="122">
        <f>FL51*100/$E$51</f>
        <v/>
      </c>
      <c r="FN51" s="108" t="n"/>
      <c r="FO51" s="122">
        <f>FN51*100/$E$51</f>
        <v/>
      </c>
      <c r="FP51" s="108" t="n"/>
      <c r="FQ51" s="122">
        <f>FP51*100/$E$51</f>
        <v/>
      </c>
      <c r="FR51" s="108" t="n"/>
      <c r="FS51" s="122">
        <f>FR51*100/$E$51</f>
        <v/>
      </c>
      <c r="FT51" s="108" t="n"/>
      <c r="FU51" s="122">
        <f>FT51*100/$E$51</f>
        <v/>
      </c>
      <c r="FV51" s="108" t="n"/>
      <c r="FW51" s="122">
        <f>FV51*100/$E$51</f>
        <v/>
      </c>
      <c r="FX51" s="108" t="n"/>
      <c r="FY51" s="107">
        <f>FX51*100/$E$51</f>
        <v/>
      </c>
      <c r="FZ51" s="108" t="n"/>
      <c r="GA51" s="107">
        <f>FZ51*100/$E$51</f>
        <v/>
      </c>
      <c r="GB51" s="108" t="n"/>
      <c r="GC51" s="107">
        <f>GB51*100/$E$51</f>
        <v/>
      </c>
      <c r="GD51" s="108" t="n"/>
      <c r="GE51" s="107">
        <f>GD51*100/$E$51</f>
        <v/>
      </c>
      <c r="GF51" s="108" t="n"/>
      <c r="GG51" s="107">
        <f>GF51*100/$E$51</f>
        <v/>
      </c>
      <c r="GH51" s="108" t="n"/>
      <c r="GI51" s="107">
        <f>GH51*100/$E$51</f>
        <v/>
      </c>
      <c r="GJ51" s="108" t="n"/>
      <c r="GK51" s="122">
        <f>GJ51*100/$E$51</f>
        <v/>
      </c>
      <c r="GL51" s="108" t="n"/>
      <c r="GM51" s="107">
        <f>GL51*100/$E$51</f>
        <v/>
      </c>
      <c r="GN51" s="108" t="n"/>
      <c r="GO51" s="122">
        <f>GN51*100/$E$51</f>
        <v/>
      </c>
      <c r="GP51" s="108" t="n"/>
      <c r="GQ51" s="107">
        <f>GP51*100/$E$51</f>
        <v/>
      </c>
      <c r="GR51" s="108" t="n"/>
      <c r="GS51" s="122">
        <f>GR51*100/$E$51</f>
        <v/>
      </c>
      <c r="GT51" s="108" t="n"/>
      <c r="GU51" s="122">
        <f>GT51*100/$E$51</f>
        <v/>
      </c>
      <c r="GV51" s="108" t="n"/>
      <c r="GW51" s="122">
        <f>GV51*100/$E$51</f>
        <v/>
      </c>
      <c r="GX51" s="108" t="n"/>
      <c r="GY51" s="107">
        <f>GX51*100/$E$51</f>
        <v/>
      </c>
      <c r="GZ51" s="108" t="n"/>
      <c r="HA51" s="107">
        <f>GZ51*100/$E$51</f>
        <v/>
      </c>
      <c r="HB51" s="108" t="n"/>
      <c r="HC51" s="107">
        <f>HB51*100/$E$51</f>
        <v/>
      </c>
      <c r="HD51" s="108" t="n"/>
      <c r="HE51" s="107">
        <f>HD51*100/$E$51</f>
        <v/>
      </c>
      <c r="HF51" s="108" t="n"/>
      <c r="HG51" s="107">
        <f>HF51*100/$E$51</f>
        <v/>
      </c>
      <c r="HH51" s="108" t="n"/>
      <c r="HI51" s="107">
        <f>HH51*100/$E$51</f>
        <v/>
      </c>
      <c r="HJ51" s="108" t="n"/>
      <c r="HK51" s="107">
        <f>HJ51*100/$E$51</f>
        <v/>
      </c>
      <c r="HL51" s="108" t="n"/>
      <c r="HM51" s="107">
        <f>HL51*100/$E$51</f>
        <v/>
      </c>
      <c r="HN51" s="108" t="n"/>
      <c r="HO51" s="107">
        <f>HN51*100/$E$51</f>
        <v/>
      </c>
      <c r="HP51" s="108" t="n"/>
      <c r="HQ51" s="107">
        <f>HP51*100/$E$51</f>
        <v/>
      </c>
      <c r="HR51" s="108" t="n"/>
      <c r="HS51" s="107">
        <f>HR51*100/$E$51</f>
        <v/>
      </c>
      <c r="HT51" s="108" t="n"/>
      <c r="HU51" s="107">
        <f>HT51*100/$E$51</f>
        <v/>
      </c>
      <c r="HV51" s="108" t="n"/>
      <c r="HW51" s="107">
        <f>HV51*100/$E$51</f>
        <v/>
      </c>
      <c r="HX51" s="108" t="n"/>
      <c r="HY51" s="107">
        <f>HX51*100/$E$51</f>
        <v/>
      </c>
      <c r="HZ51" s="108" t="n"/>
      <c r="IA51" s="122">
        <f>HZ51*100/$E$51</f>
        <v/>
      </c>
      <c r="IB51" s="108" t="n"/>
      <c r="IC51" s="122">
        <f>IB51*100/$E$51</f>
        <v/>
      </c>
      <c r="ID51" s="108" t="n"/>
      <c r="IE51" s="122">
        <f>ID51*100/$E$51</f>
        <v/>
      </c>
      <c r="IF51" s="108" t="n"/>
      <c r="IG51" s="122">
        <f>IF51*100/$E$51</f>
        <v/>
      </c>
      <c r="IH51" s="108" t="n"/>
      <c r="II51" s="122">
        <f>IH51*100/$E$51</f>
        <v/>
      </c>
      <c r="IJ51" s="108" t="n"/>
      <c r="IK51" s="122">
        <f>IJ51*100/$E$51</f>
        <v/>
      </c>
      <c r="IL51" s="108" t="n"/>
      <c r="IM51" s="107">
        <f>IL51*100/$E$51</f>
        <v/>
      </c>
      <c r="IN51" s="108" t="n"/>
      <c r="IO51" s="107">
        <f>IN51*100/$E$51</f>
        <v/>
      </c>
      <c r="IP51" s="108" t="n"/>
      <c r="IQ51" s="122">
        <f>IP51*100/$E$51</f>
        <v/>
      </c>
      <c r="IR51" s="108" t="n"/>
      <c r="IS51" s="122">
        <f>IR51*100/$E$51</f>
        <v/>
      </c>
      <c r="IT51" s="108" t="n"/>
      <c r="IU51" s="122">
        <f>IT51*100/$E$51</f>
        <v/>
      </c>
      <c r="IV51" s="108" t="n"/>
      <c r="IW51" s="122">
        <f>IV51*100/$E$51</f>
        <v/>
      </c>
      <c r="IX51" s="108" t="n"/>
      <c r="IY51" s="122">
        <f>IX51*100/$E$51</f>
        <v/>
      </c>
      <c r="IZ51" s="108" t="n"/>
      <c r="JA51" s="122">
        <f>IZ51*100/$E$51</f>
        <v/>
      </c>
      <c r="JB51" s="108" t="n"/>
      <c r="JC51" s="122">
        <f>JB51*100/$E$51</f>
        <v/>
      </c>
      <c r="JD51" s="108" t="n"/>
      <c r="JE51" s="122">
        <f>JD51*100/$E$51</f>
        <v/>
      </c>
      <c r="JF51" s="108" t="n"/>
      <c r="JG51" s="122">
        <f>JF51*100/$E$51</f>
        <v/>
      </c>
      <c r="JH51" s="108" t="n"/>
      <c r="JI51" s="122">
        <f>JH51*100/$E$51</f>
        <v/>
      </c>
      <c r="JJ51" s="108" t="n"/>
      <c r="JK51" s="122">
        <f>JJ51*100/$E$51</f>
        <v/>
      </c>
      <c r="JL51" s="108" t="n"/>
      <c r="JM51" s="122">
        <f>JL51*100/$E$51</f>
        <v/>
      </c>
      <c r="JN51" s="108" t="n"/>
      <c r="JO51" s="121">
        <f>JN51*100/$E$51</f>
        <v/>
      </c>
      <c r="JP51" s="108" t="n"/>
      <c r="JQ51" s="121">
        <f>JP51*100/$E$51</f>
        <v/>
      </c>
      <c r="JR51" s="108" t="n"/>
      <c r="JS51" s="121">
        <f>JR51*100/$E$51</f>
        <v/>
      </c>
      <c r="JT51" s="108" t="n"/>
      <c r="JU51" s="121">
        <f>JT51*100/$E$51</f>
        <v/>
      </c>
      <c r="JV51" s="108" t="n"/>
      <c r="JW51" s="121">
        <f>JV51*100/$E$51</f>
        <v/>
      </c>
      <c r="JX51" s="108" t="n"/>
      <c r="JY51" s="121">
        <f>JX51*100/$E$51</f>
        <v/>
      </c>
      <c r="JZ51" s="55">
        <f>JN51+JP51+JR51+JT51+JV51+JX51</f>
        <v/>
      </c>
      <c r="KA51" s="53">
        <f>JO51+JQ51+JS51+JU51+JW51+JY51</f>
        <v/>
      </c>
      <c r="KB51" s="64">
        <f>H51+J51+L51+N51+P51+R51+T51+V51+X51+Z51+AB51+AD51+AF51+AH51+AJ51+AL51+AN51+AP51+AR51+AT51+AV51+AX51+AZ51+BB51+BD51+BF51+BH51+BJ51+BL51+BN51+BP51+BR51+BT51+BV51+BX51+BZ51+CB51+CD51+CF51+CH51+CZ51+DB51+DD51+DF51+DH51+DJ51+DL51+DN51+DP51+DR51+DT51+DV51+DX51+DZ51+EB51+ED51+EF51+EH51+EJ51+EL51+EN51+EP51+ER51+ET51+EV51+FN51+FP51+FR51+FT51+FV51+FX51+FZ51+GB51+GD51+GF51+GH51+GJ51+GL51+GN51+GP51+GR51+GT51+GV51+GX51+GZ51+HB51+HD51+HF51+HH51+HJ51+HL51+HN51+HP51+HR51+HT51+HV51+HX51+HZ51+IB51+ID51+IF51+IH51+IJ51+IL51+IN51+IP51+IR51+IT51+IV51+IX51+IZ51+JB51+JD51+JF51+JH51+JJ51+JL51+JZ51+CJ51+CL51+CN51+CP51+CR51+CT51+CV51+CX51+EX51+EZ51+FB51+FD51+FF51+FH51+FJ51+FL51</f>
        <v/>
      </c>
      <c r="KC51" s="66">
        <f>I51+K51+M51+O51+Q51+S51+U51+W51+Y51+AA51+AC51+AE51+AG51+AI51+AK51+AM51+AO51+AQ51+AS51+AU51+AW51+AY51+BA51+BC51+BE51+BG51+BI51+BK51+BM51+BO51+BQ51+BS51+BU51+BW51+BY51+CA51+CC51+CE51+CG51+CI51+DA51+DC51+DE51+DG51+DI51+DK51+DM51+DO51+DQ51+DS51+DU51+DW51+DY51+EA51+EC51+EE51+EG51+EI51+EK51+EM51+EO51+EQ51+ES51+EU51+EW51+FO51+FS51+FU51+FW51+FQ51+FY51+GA51+GC51+GE51+GG51+GI51+GK51+GM51+GO51+GQ51+GS51+GU51+GW51+GY51+HA51+HC51+HE51+HG51+HI51+HK51+HM51+HO51+HQ51+HS51+HU51+HW51+HY51+IA51+IC51+IE51+IG51+II51+IK51+IM51+IO51+IQ51+IS51+IU51+IW51+IY51+JA51+JC51+JE51+JG51+JI51+JK51+JM51+KA51+CK51+CM51+CO51+CQ51+CS51+CU51+CW51+CY51+EY51+FA51+FC51+FE51+FG51+FI51+FK51+FM51</f>
        <v/>
      </c>
      <c r="KD51" s="44">
        <f>JO51+JQ51+JS51+JU51+JW51+JY51</f>
        <v/>
      </c>
      <c r="KE51" s="45">
        <f>KB51=E51</f>
        <v/>
      </c>
      <c r="KF51" s="101">
        <f>E51-KB51</f>
        <v/>
      </c>
      <c r="KG51" s="28" t="n"/>
    </row>
    <row r="52" ht="29.25" customFormat="1" customHeight="1" s="100" thickBot="1">
      <c r="A52" s="129" t="n"/>
      <c r="B52" s="135" t="inlineStr">
        <is>
          <t>Итого</t>
        </is>
      </c>
      <c r="C52" s="91" t="n"/>
      <c r="D52" s="131">
        <f>SUM(D9:D51)</f>
        <v/>
      </c>
      <c r="E52" s="31">
        <f>SUM(E9:E51)</f>
        <v/>
      </c>
      <c r="F52" s="92">
        <f>SUM(F9:F51)</f>
        <v/>
      </c>
      <c r="G52" s="105">
        <f>E52*F53</f>
        <v/>
      </c>
      <c r="H52" s="95">
        <f>SUM(H9:H51)</f>
        <v/>
      </c>
      <c r="I52" s="96">
        <f>SUM(I9:I51)</f>
        <v/>
      </c>
      <c r="J52" s="89">
        <f>SUM(J9:J51)</f>
        <v/>
      </c>
      <c r="K52" s="96">
        <f>SUM(K9:K51)</f>
        <v/>
      </c>
      <c r="L52" s="89">
        <f>SUM(L9:L51)</f>
        <v/>
      </c>
      <c r="M52" s="96">
        <f>SUM(M9:M51)</f>
        <v/>
      </c>
      <c r="N52" s="89">
        <f>SUM(N9:N51)</f>
        <v/>
      </c>
      <c r="O52" s="96">
        <f>SUM(O9:O51)</f>
        <v/>
      </c>
      <c r="P52" s="89">
        <f>SUM(P9:P51)</f>
        <v/>
      </c>
      <c r="Q52" s="96">
        <f>SUM(Q9:Q51)</f>
        <v/>
      </c>
      <c r="R52" s="95">
        <f>SUM(R9:R51)</f>
        <v/>
      </c>
      <c r="S52" s="96">
        <f>SUM(S9:S51)</f>
        <v/>
      </c>
      <c r="T52" s="89">
        <f>SUM(T9:T51)</f>
        <v/>
      </c>
      <c r="U52" s="96">
        <f>SUM(U9:U51)</f>
        <v/>
      </c>
      <c r="V52" s="89">
        <f>SUM(V9:V51)</f>
        <v/>
      </c>
      <c r="W52" s="96">
        <f>SUM(W9:W51)</f>
        <v/>
      </c>
      <c r="X52" s="89">
        <f>SUM(X9:X51)</f>
        <v/>
      </c>
      <c r="Y52" s="96">
        <f>SUM(Y9:Y51)</f>
        <v/>
      </c>
      <c r="Z52" s="89">
        <f>SUM(Z9:Z51)</f>
        <v/>
      </c>
      <c r="AA52" s="96">
        <f>SUM(AA9:AA51)</f>
        <v/>
      </c>
      <c r="AB52" s="89">
        <f>SUM(AB9:AB51)</f>
        <v/>
      </c>
      <c r="AC52" s="96">
        <f>SUM(AC9:AC51)</f>
        <v/>
      </c>
      <c r="AD52" s="89">
        <f>SUM(AD9:AD51)</f>
        <v/>
      </c>
      <c r="AE52" s="96">
        <f>SUM(AE9:AE51)</f>
        <v/>
      </c>
      <c r="AF52" s="89">
        <f>SUM(AF9:AF51)</f>
        <v/>
      </c>
      <c r="AG52" s="96">
        <f>SUM(AG9:AG51)</f>
        <v/>
      </c>
      <c r="AH52" s="89">
        <f>SUM(AH9:AH51)</f>
        <v/>
      </c>
      <c r="AI52" s="96">
        <f>SUM(AI9:AI51)</f>
        <v/>
      </c>
      <c r="AJ52" s="89">
        <f>SUM(AJ9:AJ51)</f>
        <v/>
      </c>
      <c r="AK52" s="96">
        <f>SUM(AK9:AK51)</f>
        <v/>
      </c>
      <c r="AL52" s="89">
        <f>SUM(AL9:AL51)</f>
        <v/>
      </c>
      <c r="AM52" s="96">
        <f>SUM(AM9:AM51)</f>
        <v/>
      </c>
      <c r="AN52" s="89">
        <f>SUM(AN9:AN51)</f>
        <v/>
      </c>
      <c r="AO52" s="96">
        <f>SUM(AO9:AO51)</f>
        <v/>
      </c>
      <c r="AP52" s="89">
        <f>SUM(AP9:AP51)</f>
        <v/>
      </c>
      <c r="AQ52" s="96">
        <f>SUM(AQ9:AQ51)</f>
        <v/>
      </c>
      <c r="AR52" s="89">
        <f>SUM(AR9:AR51)</f>
        <v/>
      </c>
      <c r="AS52" s="96">
        <f>SUM(AS9:AS51)</f>
        <v/>
      </c>
      <c r="AT52" s="89">
        <f>SUM(AT9:AT51)</f>
        <v/>
      </c>
      <c r="AU52" s="96">
        <f>SUM(AU9:AU51)</f>
        <v/>
      </c>
      <c r="AV52" s="89">
        <f>SUM(AV9:AV51)</f>
        <v/>
      </c>
      <c r="AW52" s="96">
        <f>SUM(AW9:AW51)</f>
        <v/>
      </c>
      <c r="AX52" s="89">
        <f>SUM(AX9:AX51)</f>
        <v/>
      </c>
      <c r="AY52" s="96">
        <f>SUM(AY9:AY51)</f>
        <v/>
      </c>
      <c r="AZ52" s="89">
        <f>SUM(AZ9:AZ51)</f>
        <v/>
      </c>
      <c r="BA52" s="96">
        <f>SUM(BA9:BA51)</f>
        <v/>
      </c>
      <c r="BB52" s="89">
        <f>SUM(BB9:BB51)</f>
        <v/>
      </c>
      <c r="BC52" s="96">
        <f>SUM(BC9:BC51)</f>
        <v/>
      </c>
      <c r="BD52" s="89">
        <f>SUM(BD9:BD51)</f>
        <v/>
      </c>
      <c r="BE52" s="96">
        <f>SUM(BE9:BE51)</f>
        <v/>
      </c>
      <c r="BF52" s="89">
        <f>SUM(BF9:BF51)</f>
        <v/>
      </c>
      <c r="BG52" s="96">
        <f>SUM(BG9:BG51)</f>
        <v/>
      </c>
      <c r="BH52" s="89">
        <f>SUM(BH9:BH51)</f>
        <v/>
      </c>
      <c r="BI52" s="96">
        <f>SUM(BI9:BI51)</f>
        <v/>
      </c>
      <c r="BJ52" s="89">
        <f>SUM(BJ9:BJ51)</f>
        <v/>
      </c>
      <c r="BK52" s="96">
        <f>SUM(BK9:BK51)</f>
        <v/>
      </c>
      <c r="BL52" s="89">
        <f>SUM(BL9:BL51)</f>
        <v/>
      </c>
      <c r="BM52" s="96">
        <f>SUM(BM9:BM51)</f>
        <v/>
      </c>
      <c r="BN52" s="89">
        <f>SUM(BN9:BN51)</f>
        <v/>
      </c>
      <c r="BO52" s="96">
        <f>SUM(BO9:BO51)</f>
        <v/>
      </c>
      <c r="BP52" s="89">
        <f>SUM(BP9:BP51)</f>
        <v/>
      </c>
      <c r="BQ52" s="96">
        <f>SUM(BQ9:BQ51)</f>
        <v/>
      </c>
      <c r="BR52" s="89">
        <f>SUM(BR9:BR51)</f>
        <v/>
      </c>
      <c r="BS52" s="96">
        <f>SUM(BS9:BS51)</f>
        <v/>
      </c>
      <c r="BT52" s="89">
        <f>SUM(BT9:BT51)</f>
        <v/>
      </c>
      <c r="BU52" s="96">
        <f>SUM(BU9:BU51)</f>
        <v/>
      </c>
      <c r="BV52" s="89">
        <f>SUM(BV9:BV51)</f>
        <v/>
      </c>
      <c r="BW52" s="96">
        <f>SUM(BW9:BW51)</f>
        <v/>
      </c>
      <c r="BX52" s="89">
        <f>SUM(BX9:BX51)</f>
        <v/>
      </c>
      <c r="BY52" s="96">
        <f>SUM(BY9:BY51)</f>
        <v/>
      </c>
      <c r="BZ52" s="89">
        <f>SUM(BZ9:BZ51)</f>
        <v/>
      </c>
      <c r="CA52" s="96">
        <f>SUM(CA9:CA51)</f>
        <v/>
      </c>
      <c r="CB52" s="89">
        <f>SUM(CB9:CB51)</f>
        <v/>
      </c>
      <c r="CC52" s="96">
        <f>SUM(CC9:CC51)</f>
        <v/>
      </c>
      <c r="CD52" s="89">
        <f>SUM(CD9:CD51)</f>
        <v/>
      </c>
      <c r="CE52" s="96">
        <f>SUM(CE9:CE51)</f>
        <v/>
      </c>
      <c r="CF52" s="89">
        <f>SUM(CF9:CF51)</f>
        <v/>
      </c>
      <c r="CG52" s="96">
        <f>SUM(CG9:CG51)</f>
        <v/>
      </c>
      <c r="CH52" s="89">
        <f>SUM(CH9:CH51)</f>
        <v/>
      </c>
      <c r="CI52" s="96">
        <f>SUM(CI9:CI51)</f>
        <v/>
      </c>
      <c r="CJ52" s="89">
        <f>SUM(CJ9:CJ51)</f>
        <v/>
      </c>
      <c r="CK52" s="96">
        <f>SUM(CK9:CK51)</f>
        <v/>
      </c>
      <c r="CL52" s="89">
        <f>SUM(CL9:CL51)</f>
        <v/>
      </c>
      <c r="CM52" s="96">
        <f>SUM(CM9:CM51)</f>
        <v/>
      </c>
      <c r="CN52" s="89">
        <f>SUM(CN9:CN51)</f>
        <v/>
      </c>
      <c r="CO52" s="96">
        <f>SUM(CO9:CO51)</f>
        <v/>
      </c>
      <c r="CP52" s="89">
        <f>SUM(CP9:CP51)</f>
        <v/>
      </c>
      <c r="CQ52" s="96">
        <f>SUM(CQ9:CQ51)</f>
        <v/>
      </c>
      <c r="CR52" s="89">
        <f>SUM(CR9:CR51)</f>
        <v/>
      </c>
      <c r="CS52" s="96">
        <f>SUM(CS9:CS51)</f>
        <v/>
      </c>
      <c r="CT52" s="89">
        <f>SUM(CT9:CT51)</f>
        <v/>
      </c>
      <c r="CU52" s="96">
        <f>SUM(CU9:CU51)</f>
        <v/>
      </c>
      <c r="CV52" s="89">
        <f>SUM(CV9:CV51)</f>
        <v/>
      </c>
      <c r="CW52" s="96">
        <f>SUM(CW9:CW51)</f>
        <v/>
      </c>
      <c r="CX52" s="89">
        <f>SUM(CX9:CX51)</f>
        <v/>
      </c>
      <c r="CY52" s="96">
        <f>SUM(CY9:CY51)</f>
        <v/>
      </c>
      <c r="CZ52" s="89">
        <f>SUM(CZ9:CZ51)</f>
        <v/>
      </c>
      <c r="DA52" s="96">
        <f>SUM(DA9:DA51)</f>
        <v/>
      </c>
      <c r="DB52" s="89">
        <f>SUM(DB9:DB51)</f>
        <v/>
      </c>
      <c r="DC52" s="96">
        <f>SUM(DC9:DC51)</f>
        <v/>
      </c>
      <c r="DD52" s="89">
        <f>SUM(DD9:DD51)</f>
        <v/>
      </c>
      <c r="DE52" s="96">
        <f>SUM(DE9:DE51)</f>
        <v/>
      </c>
      <c r="DF52" s="89">
        <f>SUM(DF9:DF51)</f>
        <v/>
      </c>
      <c r="DG52" s="96">
        <f>SUM(DG9:DG51)</f>
        <v/>
      </c>
      <c r="DH52" s="89">
        <f>SUM(DH9:DH51)</f>
        <v/>
      </c>
      <c r="DI52" s="96">
        <f>SUM(DI9:DI51)</f>
        <v/>
      </c>
      <c r="DJ52" s="89">
        <f>SUM(DJ9:DJ51)</f>
        <v/>
      </c>
      <c r="DK52" s="96">
        <f>SUM(DK9:DK51)</f>
        <v/>
      </c>
      <c r="DL52" s="89">
        <f>SUM(DL9:DL51)</f>
        <v/>
      </c>
      <c r="DM52" s="96">
        <f>SUM(DM9:DM51)</f>
        <v/>
      </c>
      <c r="DN52" s="89">
        <f>SUM(DN9:DN51)</f>
        <v/>
      </c>
      <c r="DO52" s="96">
        <f>SUM(DO9:DO51)</f>
        <v/>
      </c>
      <c r="DP52" s="89">
        <f>SUM(DP9:DP51)</f>
        <v/>
      </c>
      <c r="DQ52" s="96">
        <f>SUM(DQ9:DQ51)</f>
        <v/>
      </c>
      <c r="DR52" s="89">
        <f>SUM(DR9:DR51)</f>
        <v/>
      </c>
      <c r="DS52" s="96">
        <f>SUM(DS9:DS51)</f>
        <v/>
      </c>
      <c r="DT52" s="89">
        <f>SUM(DT9:DT51)</f>
        <v/>
      </c>
      <c r="DU52" s="96">
        <f>SUM(DU9:DU51)</f>
        <v/>
      </c>
      <c r="DV52" s="89">
        <f>SUM(DV9:DV51)</f>
        <v/>
      </c>
      <c r="DW52" s="96">
        <f>SUM(DW9:DW51)</f>
        <v/>
      </c>
      <c r="DX52" s="89">
        <f>SUM(DX9:DX51)</f>
        <v/>
      </c>
      <c r="DY52" s="96">
        <f>SUM(DY9:DY51)</f>
        <v/>
      </c>
      <c r="DZ52" s="89">
        <f>SUM(DZ9:DZ51)</f>
        <v/>
      </c>
      <c r="EA52" s="96">
        <f>SUM(EA9:EA51)</f>
        <v/>
      </c>
      <c r="EB52" s="89">
        <f>SUM(EB9:EB51)</f>
        <v/>
      </c>
      <c r="EC52" s="96">
        <f>SUM(EC9:EC51)</f>
        <v/>
      </c>
      <c r="ED52" s="89">
        <f>SUM(ED9:ED51)</f>
        <v/>
      </c>
      <c r="EE52" s="96">
        <f>SUM(EE9:EE51)</f>
        <v/>
      </c>
      <c r="EF52" s="89">
        <f>SUM(EF9:EF51)</f>
        <v/>
      </c>
      <c r="EG52" s="96">
        <f>SUM(EG9:EG51)</f>
        <v/>
      </c>
      <c r="EH52" s="89">
        <f>SUM(EH9:EH51)</f>
        <v/>
      </c>
      <c r="EI52" s="96">
        <f>SUM(EI9:EI51)</f>
        <v/>
      </c>
      <c r="EJ52" s="89">
        <f>SUM(EJ9:EJ51)</f>
        <v/>
      </c>
      <c r="EK52" s="96">
        <f>SUM(EK9:EK51)</f>
        <v/>
      </c>
      <c r="EL52" s="89">
        <f>SUM(EL9:EL51)</f>
        <v/>
      </c>
      <c r="EM52" s="96">
        <f>SUM(EM9:EM51)</f>
        <v/>
      </c>
      <c r="EN52" s="89">
        <f>SUM(EN9:EN51)</f>
        <v/>
      </c>
      <c r="EO52" s="96">
        <f>SUM(EO9:EO51)</f>
        <v/>
      </c>
      <c r="EP52" s="89">
        <f>SUM(EP9:EP51)</f>
        <v/>
      </c>
      <c r="EQ52" s="96">
        <f>SUM(EQ9:EQ51)</f>
        <v/>
      </c>
      <c r="ER52" s="89">
        <f>SUM(ER9:ER51)</f>
        <v/>
      </c>
      <c r="ES52" s="96">
        <f>SUM(ES9:ES51)</f>
        <v/>
      </c>
      <c r="ET52" s="89">
        <f>SUM(ET9:ET51)</f>
        <v/>
      </c>
      <c r="EU52" s="96">
        <f>SUM(EU9:EU51)</f>
        <v/>
      </c>
      <c r="EV52" s="89">
        <f>SUM(EV9:EV51)</f>
        <v/>
      </c>
      <c r="EW52" s="96">
        <f>SUM(EW9:EW51)</f>
        <v/>
      </c>
      <c r="EX52" s="89">
        <f>SUM(EX9:EX51)</f>
        <v/>
      </c>
      <c r="EY52" s="96">
        <f>SUM(EY9:EY51)</f>
        <v/>
      </c>
      <c r="EZ52" s="89">
        <f>SUM(EZ9:EZ51)</f>
        <v/>
      </c>
      <c r="FA52" s="96">
        <f>SUM(FA9:FA51)</f>
        <v/>
      </c>
      <c r="FB52" s="89">
        <f>SUM(FB9:FB51)</f>
        <v/>
      </c>
      <c r="FC52" s="96">
        <f>SUM(FC9:FC51)</f>
        <v/>
      </c>
      <c r="FD52" s="89">
        <f>SUM(FD9:FD51)</f>
        <v/>
      </c>
      <c r="FE52" s="96">
        <f>SUM(FE9:FE51)</f>
        <v/>
      </c>
      <c r="FF52" s="89">
        <f>SUM(FF9:FF51)</f>
        <v/>
      </c>
      <c r="FG52" s="96">
        <f>SUM(FG9:FG51)</f>
        <v/>
      </c>
      <c r="FH52" s="89">
        <f>SUM(FH9:FH51)</f>
        <v/>
      </c>
      <c r="FI52" s="96">
        <f>SUM(FI9:FI51)</f>
        <v/>
      </c>
      <c r="FJ52" s="89">
        <f>SUM(FJ9:FJ51)</f>
        <v/>
      </c>
      <c r="FK52" s="96">
        <f>SUM(FK9:FK51)</f>
        <v/>
      </c>
      <c r="FL52" s="89">
        <f>SUM(FL9:FL51)</f>
        <v/>
      </c>
      <c r="FM52" s="96">
        <f>SUM(FM9:FM51)</f>
        <v/>
      </c>
      <c r="FN52" s="89">
        <f>SUM(FN9:FN51)</f>
        <v/>
      </c>
      <c r="FO52" s="96">
        <f>SUM(FO9:FO51)</f>
        <v/>
      </c>
      <c r="FP52" s="89">
        <f>SUM(FP9:FP51)</f>
        <v/>
      </c>
      <c r="FQ52" s="96">
        <f>SUM(FQ9:FQ51)</f>
        <v/>
      </c>
      <c r="FR52" s="89">
        <f>SUM(FR9:FR51)</f>
        <v/>
      </c>
      <c r="FS52" s="96">
        <f>SUM(FS9:FS51)</f>
        <v/>
      </c>
      <c r="FT52" s="89">
        <f>SUM(FT9:FT51)</f>
        <v/>
      </c>
      <c r="FU52" s="96">
        <f>SUM(FU9:FU51)</f>
        <v/>
      </c>
      <c r="FV52" s="89">
        <f>SUM(FV9:FV51)</f>
        <v/>
      </c>
      <c r="FW52" s="96">
        <f>SUM(FW9:FW51)</f>
        <v/>
      </c>
      <c r="FX52" s="89">
        <f>SUM(FX9:FX51)</f>
        <v/>
      </c>
      <c r="FY52" s="96">
        <f>SUM(FY9:FY51)</f>
        <v/>
      </c>
      <c r="FZ52" s="89">
        <f>SUM(FZ9:FZ51)</f>
        <v/>
      </c>
      <c r="GA52" s="96">
        <f>SUM(GA9:GA51)</f>
        <v/>
      </c>
      <c r="GB52" s="89">
        <f>SUM(GB9:GB51)</f>
        <v/>
      </c>
      <c r="GC52" s="96">
        <f>SUM(GC9:GC51)</f>
        <v/>
      </c>
      <c r="GD52" s="89">
        <f>SUM(GD9:GD51)</f>
        <v/>
      </c>
      <c r="GE52" s="96">
        <f>SUM(GE9:GE51)</f>
        <v/>
      </c>
      <c r="GF52" s="89">
        <f>SUM(GF9:GF51)</f>
        <v/>
      </c>
      <c r="GG52" s="96">
        <f>SUM(GG9:GG51)</f>
        <v/>
      </c>
      <c r="GH52" s="89">
        <f>SUM(GH9:GH51)</f>
        <v/>
      </c>
      <c r="GI52" s="96">
        <f>SUM(GI9:GI51)</f>
        <v/>
      </c>
      <c r="GJ52" s="89">
        <f>SUM(GJ9:GJ51)</f>
        <v/>
      </c>
      <c r="GK52" s="96">
        <f>SUM(GK9:GK51)</f>
        <v/>
      </c>
      <c r="GL52" s="89">
        <f>SUM(GL9:GL51)</f>
        <v/>
      </c>
      <c r="GM52" s="96">
        <f>SUM(GM9:GM51)</f>
        <v/>
      </c>
      <c r="GN52" s="89">
        <f>SUM(GN9:GN51)</f>
        <v/>
      </c>
      <c r="GO52" s="96">
        <f>SUM(GO9:GO51)</f>
        <v/>
      </c>
      <c r="GP52" s="89">
        <f>SUM(GP9:GP51)</f>
        <v/>
      </c>
      <c r="GQ52" s="96">
        <f>SUM(GQ9:GQ51)</f>
        <v/>
      </c>
      <c r="GR52" s="89">
        <f>SUM(GR9:GR51)</f>
        <v/>
      </c>
      <c r="GS52" s="96">
        <f>SUM(GS9:GS51)</f>
        <v/>
      </c>
      <c r="GT52" s="89">
        <f>SUM(GT9:GT51)</f>
        <v/>
      </c>
      <c r="GU52" s="96">
        <f>SUM(GU9:GU51)</f>
        <v/>
      </c>
      <c r="GV52" s="89">
        <f>SUM(GV9:GV51)</f>
        <v/>
      </c>
      <c r="GW52" s="96">
        <f>SUM(GW9:GW51)</f>
        <v/>
      </c>
      <c r="GX52" s="89">
        <f>SUM(GX9:GX51)</f>
        <v/>
      </c>
      <c r="GY52" s="96">
        <f>SUM(GY9:GY51)</f>
        <v/>
      </c>
      <c r="GZ52" s="89">
        <f>SUM(GZ9:GZ51)</f>
        <v/>
      </c>
      <c r="HA52" s="96">
        <f>SUM(HA9:HA51)</f>
        <v/>
      </c>
      <c r="HB52" s="89">
        <f>SUM(HB9:HB51)</f>
        <v/>
      </c>
      <c r="HC52" s="96">
        <f>SUM(HC9:HC51)</f>
        <v/>
      </c>
      <c r="HD52" s="89">
        <f>SUM(HD9:HD51)</f>
        <v/>
      </c>
      <c r="HE52" s="96">
        <f>SUM(HE9:HE51)</f>
        <v/>
      </c>
      <c r="HF52" s="89">
        <f>SUM(HF9:HF51)</f>
        <v/>
      </c>
      <c r="HG52" s="96">
        <f>SUM(HG9:HG51)</f>
        <v/>
      </c>
      <c r="HH52" s="89">
        <f>SUM(HH9:HH51)</f>
        <v/>
      </c>
      <c r="HI52" s="96">
        <f>SUM(HI9:HI51)</f>
        <v/>
      </c>
      <c r="HJ52" s="89">
        <f>SUM(HJ9:HJ51)</f>
        <v/>
      </c>
      <c r="HK52" s="96">
        <f>SUM(HK9:HK51)</f>
        <v/>
      </c>
      <c r="HL52" s="89">
        <f>SUM(HL9:HL51)</f>
        <v/>
      </c>
      <c r="HM52" s="96">
        <f>SUM(HM9:HM51)</f>
        <v/>
      </c>
      <c r="HN52" s="89">
        <f>SUM(HN9:HN51)</f>
        <v/>
      </c>
      <c r="HO52" s="96">
        <f>SUM(HO9:HO51)</f>
        <v/>
      </c>
      <c r="HP52" s="89">
        <f>SUM(HP9:HP51)</f>
        <v/>
      </c>
      <c r="HQ52" s="96">
        <f>SUM(HQ9:HQ51)</f>
        <v/>
      </c>
      <c r="HR52" s="89">
        <f>SUM(HR9:HR51)</f>
        <v/>
      </c>
      <c r="HS52" s="96">
        <f>SUM(HS9:HS51)</f>
        <v/>
      </c>
      <c r="HT52" s="89">
        <f>SUM(HT9:HT51)</f>
        <v/>
      </c>
      <c r="HU52" s="96">
        <f>SUM(HU9:HU51)</f>
        <v/>
      </c>
      <c r="HV52" s="89">
        <f>SUM(HV9:HV51)</f>
        <v/>
      </c>
      <c r="HW52" s="96">
        <f>SUM(HW9:HW51)</f>
        <v/>
      </c>
      <c r="HX52" s="89">
        <f>SUM(HX9:HX51)</f>
        <v/>
      </c>
      <c r="HY52" s="96">
        <f>SUM(HY9:HY51)</f>
        <v/>
      </c>
      <c r="HZ52" s="89">
        <f>SUM(HZ9:HZ51)</f>
        <v/>
      </c>
      <c r="IA52" s="96">
        <f>SUM(IA9:IA51)</f>
        <v/>
      </c>
      <c r="IB52" s="89">
        <f>SUM(IB9:IB51)</f>
        <v/>
      </c>
      <c r="IC52" s="96">
        <f>SUM(IC9:IC51)</f>
        <v/>
      </c>
      <c r="ID52" s="89">
        <f>SUM(ID9:ID51)</f>
        <v/>
      </c>
      <c r="IE52" s="96">
        <f>SUM(IE9:IE51)</f>
        <v/>
      </c>
      <c r="IF52" s="89">
        <f>SUM(IF9:IF51)</f>
        <v/>
      </c>
      <c r="IG52" s="96">
        <f>SUM(IG9:IG51)</f>
        <v/>
      </c>
      <c r="IH52" s="89">
        <f>SUM(IH9:IH51)</f>
        <v/>
      </c>
      <c r="II52" s="96">
        <f>SUM(II9:II51)</f>
        <v/>
      </c>
      <c r="IJ52" s="89">
        <f>SUM(IJ9:IJ51)</f>
        <v/>
      </c>
      <c r="IK52" s="96">
        <f>SUM(IK9:IK51)</f>
        <v/>
      </c>
      <c r="IL52" s="89">
        <f>SUM(IL9:IL51)</f>
        <v/>
      </c>
      <c r="IM52" s="96">
        <f>SUM(IM9:IM51)</f>
        <v/>
      </c>
      <c r="IN52" s="89">
        <f>SUM(IN9:IN51)</f>
        <v/>
      </c>
      <c r="IO52" s="96">
        <f>SUM(IO9:IO51)</f>
        <v/>
      </c>
      <c r="IP52" s="89">
        <f>SUM(IP9:IP51)</f>
        <v/>
      </c>
      <c r="IQ52" s="96">
        <f>SUM(IQ9:IQ51)</f>
        <v/>
      </c>
      <c r="IR52" s="89">
        <f>SUM(IR9:IR51)</f>
        <v/>
      </c>
      <c r="IS52" s="96">
        <f>SUM(IS9:IS51)</f>
        <v/>
      </c>
      <c r="IT52" s="89">
        <f>SUM(IT9:IT51)</f>
        <v/>
      </c>
      <c r="IU52" s="96">
        <f>SUM(IU9:IU51)</f>
        <v/>
      </c>
      <c r="IV52" s="89">
        <f>SUM(IV9:IV51)</f>
        <v/>
      </c>
      <c r="IW52" s="96">
        <f>SUM(IW9:IW51)</f>
        <v/>
      </c>
      <c r="IX52" s="89">
        <f>SUM(IX9:IX51)</f>
        <v/>
      </c>
      <c r="IY52" s="96">
        <f>SUM(IY9:IY51)</f>
        <v/>
      </c>
      <c r="IZ52" s="89">
        <f>SUM(IZ9:IZ51)</f>
        <v/>
      </c>
      <c r="JA52" s="96">
        <f>SUM(JA9:JA51)</f>
        <v/>
      </c>
      <c r="JB52" s="89">
        <f>SUM(JB9:JB51)</f>
        <v/>
      </c>
      <c r="JC52" s="96">
        <f>SUM(JC9:JC51)</f>
        <v/>
      </c>
      <c r="JD52" s="89">
        <f>SUM(JD9:JD51)</f>
        <v/>
      </c>
      <c r="JE52" s="96">
        <f>SUM(JE9:JE51)</f>
        <v/>
      </c>
      <c r="JF52" s="89">
        <f>SUM(JF9:JF51)</f>
        <v/>
      </c>
      <c r="JG52" s="96">
        <f>SUM(JG9:JG51)</f>
        <v/>
      </c>
      <c r="JH52" s="89">
        <f>SUM(JH9:JH51)</f>
        <v/>
      </c>
      <c r="JI52" s="96">
        <f>SUM(JI9:JI51)</f>
        <v/>
      </c>
      <c r="JJ52" s="89">
        <f>SUM(JJ9:JJ51)</f>
        <v/>
      </c>
      <c r="JK52" s="96">
        <f>SUM(JK9:JK51)</f>
        <v/>
      </c>
      <c r="JL52" s="89">
        <f>SUM(JL9:JL51)</f>
        <v/>
      </c>
      <c r="JM52" s="96">
        <f>SUM(JM9:JM51)</f>
        <v/>
      </c>
      <c r="JN52" s="93">
        <f>SUM(JN9:JN51)</f>
        <v/>
      </c>
      <c r="JO52" s="102">
        <f>JN52*100/$E$25</f>
        <v/>
      </c>
      <c r="JP52" s="94">
        <f>SUM(JP9:JP51)</f>
        <v/>
      </c>
      <c r="JQ52" s="103">
        <f>JP52*100/$E$15</f>
        <v/>
      </c>
      <c r="JR52" s="94">
        <f>SUM(JR9:JR51)</f>
        <v/>
      </c>
      <c r="JS52" s="102">
        <f>JR52*100/$E$25</f>
        <v/>
      </c>
      <c r="JT52" s="94">
        <f>SUM(JT9:JT51)</f>
        <v/>
      </c>
      <c r="JU52" s="102">
        <f>JT52*100/$E$25</f>
        <v/>
      </c>
      <c r="JV52" s="94">
        <f>SUM(JV9:JV51)</f>
        <v/>
      </c>
      <c r="JW52" s="102">
        <f>JV52*100/$E$25</f>
        <v/>
      </c>
      <c r="JX52" s="94">
        <f>SUM(JX9:JX51)</f>
        <v/>
      </c>
      <c r="JY52" s="102">
        <f>JX52*100/$E$25</f>
        <v/>
      </c>
      <c r="JZ52" s="102">
        <f>JN52+JP52+JR52+JT52+JV52+JX52</f>
        <v/>
      </c>
      <c r="KA52" s="106">
        <f>SUM(KA9:KA51)</f>
        <v/>
      </c>
      <c r="KB52" s="104">
        <f>H52+J52+L52+N52+P52+R52+T52+V52+X52+Z52+AB52+AD52+AF52+AH52+AJ52+AL52+AN52+AP52+AR52+AT52+AV52+AX52+AZ52+BB52+BD52+BF52+BH52+BJ52+BL52+BN52+BP52+BR52+BT52+BV52+BX52+BZ52+CB52+CD52+CF52+CH52+CZ52+DB52+DD52+DF52+DH52+DJ52+DL52+DN52+DP52+DR52+DT52+DV52+DX52+DZ52+EB52+ED52+EF52+EH52+EJ52+EL52+EN52+EP52+ER52+ET52+EV52+FN52+FP52+FR52+FT52+FV52+FX52+FZ52+GB52+GD52+GF52+GH52+GJ52+GL52+GN52+GP52+GR52+GT52+GV52+GX52+GZ52+HB52+HD52+HF52+HH52+HJ52+HL52+HN52+HP52+HR52+HT52+HV52+HX52+HZ52+IB52+ID52+IF52+IH52+IJ52+IL52+IN52+IP52+IR52+IT52+IV52+IX52+IZ52+JB52+JD52+JF52+JH52+JJ52+JL52+JZ52+CJ52+CL52+CN52+CP52+CR52+CT52+CV52+CX52+EX52+EZ52+FB52+FD52+FF52+FH52+FJ52+FL52</f>
        <v/>
      </c>
      <c r="KC52" s="116">
        <f>I52+K52+M52+O52+Q52+S52+U52+W52+Y52+AA52+AC52+AE52+AG52+AI52+AK52+AM52+AO52+AQ52+AS52+AU52+AW52+AY52+BA52+BC52+BE52+BG52+BI52+BK52+BM52+BO52+BQ52+BS52+BU52+BW52+BY52+CA52+CC52+CE52+CG52+CI52+DA52+DC52+DE52+DG52+DI52+DK52+DM52+DO52+DQ52+DS52+DU52+DW52+DY52+EA52+EC52+EE52+EG52+EI52+EK52+EM52+EO52+EQ52+ES52+EU52+EW52+FO52+FS52+FU52+FW52+FQ52+FY52+GA52+GC52+GE52+GG52+GI52+GK52+GM52+GO52+GQ52+GS52+GU52+GW52+GY52+HA52+HC52+HE52+HG52+HI52+HK52+HM52+HO52+HQ52+HS52+HU52+HW52+HY52+IA52+IC52+IE52+IG52+II52+IK52+IM52+IO52+IQ52+IS52+IU52+IW52+IY52+JA52+JC52+JE52+JG52+JI52+JK52+JM52+KA52+CK52+CM52+CO52+CQ52+CS52+CU52+CW52+CY52+EY52+FA52+FC52+FE52+FG52+FI52+FK52+FM52</f>
        <v/>
      </c>
      <c r="KD52" s="97" t="n"/>
      <c r="KE52" s="98" t="n"/>
      <c r="KF52" s="97" t="n"/>
      <c r="KG52" s="97" t="n"/>
      <c r="KH52" s="98" t="n"/>
      <c r="KI52" s="98" t="n"/>
      <c r="KJ52" s="98" t="n"/>
      <c r="KK52" s="98" t="n"/>
      <c r="KL52" s="98" t="n"/>
      <c r="KM52" s="98" t="n"/>
      <c r="KN52" s="99" t="n"/>
    </row>
    <row r="53" ht="29.25" customFormat="1" customHeight="1" s="292" thickBot="1">
      <c r="A53" s="111" t="n"/>
      <c r="B53" s="148" t="inlineStr">
        <is>
          <t>Плановая ЗП</t>
        </is>
      </c>
      <c r="C53" s="78" t="n"/>
      <c r="D53" s="112" t="n"/>
      <c r="E53" s="113" t="n"/>
      <c r="F53" s="250">
        <f>F52/D52</f>
        <v/>
      </c>
      <c r="G53" s="118" t="n"/>
      <c r="H53" s="276">
        <f>$F$53*H52</f>
        <v/>
      </c>
      <c r="I53" s="277" t="n"/>
      <c r="J53" s="245">
        <f>$F$53*J52</f>
        <v/>
      </c>
      <c r="K53" s="246" t="n"/>
      <c r="L53" s="245">
        <f>$F$53*L52</f>
        <v/>
      </c>
      <c r="M53" s="246" t="n"/>
      <c r="N53" s="254">
        <f>$F$53*N52</f>
        <v/>
      </c>
      <c r="O53" s="255" t="n"/>
      <c r="P53" s="245">
        <f>$F$53*P52</f>
        <v/>
      </c>
      <c r="Q53" s="246" t="n"/>
      <c r="R53" s="269">
        <f>$F$53*R52</f>
        <v/>
      </c>
      <c r="S53" s="246" t="n"/>
      <c r="T53" s="311">
        <f>$F$53*T52</f>
        <v/>
      </c>
      <c r="V53" s="291">
        <f>$F$53*V52</f>
        <v/>
      </c>
      <c r="X53" s="291">
        <f>$F$53*X52</f>
        <v/>
      </c>
      <c r="Z53" s="313">
        <f>$F$53*Z52</f>
        <v/>
      </c>
      <c r="AA53" s="306" t="n"/>
      <c r="AB53" s="245">
        <f>$F$53*AB52</f>
        <v/>
      </c>
      <c r="AC53" s="246" t="n"/>
      <c r="AD53" s="250">
        <f>$F$53*AD52</f>
        <v/>
      </c>
      <c r="AE53" s="251" t="n"/>
      <c r="AF53" s="245">
        <f>$F$53*AF52</f>
        <v/>
      </c>
      <c r="AG53" s="246" t="n"/>
      <c r="AH53" s="245">
        <f>$F$53*AH52</f>
        <v/>
      </c>
      <c r="AI53" s="246" t="n"/>
      <c r="AJ53" s="245">
        <f>$F$53*AJ52</f>
        <v/>
      </c>
      <c r="AK53" s="246" t="n"/>
      <c r="AL53" s="245">
        <f>$F$53*AL52</f>
        <v/>
      </c>
      <c r="AM53" s="246" t="n"/>
      <c r="AN53" s="250">
        <f>$F$53*AN52</f>
        <v/>
      </c>
      <c r="AO53" s="251" t="n"/>
      <c r="AP53" s="250">
        <f>$F$53*AP52</f>
        <v/>
      </c>
      <c r="AQ53" s="251" t="n"/>
      <c r="AR53" s="245">
        <f>$F$53*AR52</f>
        <v/>
      </c>
      <c r="AS53" s="246" t="n"/>
      <c r="AT53" s="250">
        <f>$F$53*AT52</f>
        <v/>
      </c>
      <c r="AU53" s="251" t="n"/>
      <c r="AV53" s="245">
        <f>$F$53*AV52</f>
        <v/>
      </c>
      <c r="AW53" s="246" t="n"/>
      <c r="AX53" s="250">
        <f>$F$53*AX52</f>
        <v/>
      </c>
      <c r="AY53" s="251" t="n"/>
      <c r="AZ53" s="245">
        <f>$F$53*AZ52</f>
        <v/>
      </c>
      <c r="BA53" s="246" t="n"/>
      <c r="BB53" s="250">
        <f>$F$53*BB52</f>
        <v/>
      </c>
      <c r="BC53" s="251" t="n"/>
      <c r="BD53" s="245">
        <f>$F$53*BD52</f>
        <v/>
      </c>
      <c r="BE53" s="246" t="n"/>
      <c r="BF53" s="250">
        <f>$F$53*BF52</f>
        <v/>
      </c>
      <c r="BG53" s="251" t="n"/>
      <c r="BH53" s="250">
        <f>$F$53*BH52</f>
        <v/>
      </c>
      <c r="BI53" s="251" t="n"/>
      <c r="BJ53" s="250">
        <f>$F$53*BJ52</f>
        <v/>
      </c>
      <c r="BK53" s="251" t="n"/>
      <c r="BL53" s="245">
        <f>$F$53*BL52</f>
        <v/>
      </c>
      <c r="BM53" s="246" t="n"/>
      <c r="BN53" s="245">
        <f>$F$53*BN52</f>
        <v/>
      </c>
      <c r="BO53" s="246" t="n"/>
      <c r="BP53" s="245">
        <f>$F$53*BP52</f>
        <v/>
      </c>
      <c r="BQ53" s="246" t="n"/>
      <c r="BR53" s="245">
        <f>$F$53*BR52</f>
        <v/>
      </c>
      <c r="BS53" s="246" t="n"/>
      <c r="BT53" s="245">
        <f>$F$53*BT52</f>
        <v/>
      </c>
      <c r="BU53" s="246" t="n"/>
      <c r="BV53" s="245">
        <f>$F$53*BV52</f>
        <v/>
      </c>
      <c r="BW53" s="246" t="n"/>
      <c r="BX53" s="245">
        <f>$F$53*BX52</f>
        <v/>
      </c>
      <c r="BY53" s="246" t="n"/>
      <c r="BZ53" s="245">
        <f>$F$53*BZ52</f>
        <v/>
      </c>
      <c r="CA53" s="246" t="n"/>
      <c r="CB53" s="250">
        <f>$F$53*CB52</f>
        <v/>
      </c>
      <c r="CC53" s="251" t="n"/>
      <c r="CD53" s="250">
        <f>$F$53*CD52</f>
        <v/>
      </c>
      <c r="CE53" s="251" t="n"/>
      <c r="CF53" s="250">
        <f>$F$53*CF52</f>
        <v/>
      </c>
      <c r="CG53" s="251" t="n"/>
      <c r="CH53" s="245">
        <f>$F$53*CH52</f>
        <v/>
      </c>
      <c r="CI53" s="246" t="n"/>
      <c r="CJ53" s="245">
        <f>$F$53*CJ52</f>
        <v/>
      </c>
      <c r="CK53" s="246" t="n"/>
      <c r="CL53" s="245">
        <f>$F$53*CL52</f>
        <v/>
      </c>
      <c r="CM53" s="246" t="n"/>
      <c r="CN53" s="245">
        <f>$F$53*CN52</f>
        <v/>
      </c>
      <c r="CO53" s="246" t="n"/>
      <c r="CP53" s="290">
        <f>$F$53*CP52</f>
        <v/>
      </c>
      <c r="CQ53" s="255" t="n"/>
      <c r="CR53" s="245">
        <f>$F$53*CR52</f>
        <v/>
      </c>
      <c r="CS53" s="246" t="n"/>
      <c r="CT53" s="245">
        <f>$F$53*CT52</f>
        <v/>
      </c>
      <c r="CU53" s="246" t="n"/>
      <c r="CV53" s="273">
        <f>$F$53*CV52</f>
        <v/>
      </c>
      <c r="CW53" s="251" t="n"/>
      <c r="CX53" s="245">
        <f>$F$53*CX52</f>
        <v/>
      </c>
      <c r="CY53" s="246" t="n"/>
      <c r="CZ53" s="245">
        <f>$F$53*CZ52</f>
        <v/>
      </c>
      <c r="DA53" s="246" t="n"/>
      <c r="DB53" s="273">
        <f>$F$53*DB52</f>
        <v/>
      </c>
      <c r="DC53" s="251" t="n"/>
      <c r="DD53" s="245">
        <f>$F$53*DD52</f>
        <v/>
      </c>
      <c r="DE53" s="246" t="n"/>
      <c r="DF53" s="250">
        <f>$F$53*DF52</f>
        <v/>
      </c>
      <c r="DG53" s="251" t="n"/>
      <c r="DH53" s="245">
        <f>$F$53*DH52</f>
        <v/>
      </c>
      <c r="DI53" s="246" t="n"/>
      <c r="DJ53" s="245">
        <f>$F$53*DJ52</f>
        <v/>
      </c>
      <c r="DK53" s="246" t="n"/>
      <c r="DL53" s="250">
        <f>$F$53*DL52</f>
        <v/>
      </c>
      <c r="DM53" s="251" t="n"/>
      <c r="DN53" s="254">
        <f>$F$53*DN52</f>
        <v/>
      </c>
      <c r="DO53" s="255" t="n"/>
      <c r="DP53" s="250">
        <f>$F$53*DP52</f>
        <v/>
      </c>
      <c r="DQ53" s="251" t="n"/>
      <c r="DR53" s="245">
        <f>$F$53*DR52</f>
        <v/>
      </c>
      <c r="DS53" s="246" t="n"/>
      <c r="DT53" s="250">
        <f>$F$53*DT52</f>
        <v/>
      </c>
      <c r="DU53" s="251" t="n"/>
      <c r="DV53" s="245">
        <f>$F$53*DV52</f>
        <v/>
      </c>
      <c r="DW53" s="246" t="n"/>
      <c r="DX53" s="254">
        <f>$F$53*DX52</f>
        <v/>
      </c>
      <c r="DY53" s="255" t="n"/>
      <c r="DZ53" s="245">
        <f>$F$53*DZ52</f>
        <v/>
      </c>
      <c r="EA53" s="246" t="n"/>
      <c r="EB53" s="245">
        <f>$F$53*EB52</f>
        <v/>
      </c>
      <c r="EC53" s="246" t="n"/>
      <c r="ED53" s="245">
        <f>$F$53*ED52</f>
        <v/>
      </c>
      <c r="EE53" s="246" t="n"/>
      <c r="EF53" s="290">
        <f>$F$53*EF52</f>
        <v/>
      </c>
      <c r="EG53" s="255" t="n"/>
      <c r="EH53" s="245">
        <f>$F$53*EH52</f>
        <v/>
      </c>
      <c r="EI53" s="246" t="n"/>
      <c r="EJ53" s="245">
        <f>$F$53*EJ52</f>
        <v/>
      </c>
      <c r="EK53" s="246" t="n"/>
      <c r="EL53" s="245">
        <f>$F$53*EL52</f>
        <v/>
      </c>
      <c r="EM53" s="246" t="n"/>
      <c r="EN53" s="245">
        <f>$F$53*EN52</f>
        <v/>
      </c>
      <c r="EO53" s="246" t="n"/>
      <c r="EP53" s="245">
        <f>$F$53*EP52</f>
        <v/>
      </c>
      <c r="EQ53" s="246" t="n"/>
      <c r="ER53" s="245">
        <f>$F$53*ER52</f>
        <v/>
      </c>
      <c r="ES53" s="246" t="n"/>
      <c r="ET53" s="245">
        <f>$F$53*ET52</f>
        <v/>
      </c>
      <c r="EU53" s="246" t="n"/>
      <c r="EV53" s="245">
        <f>$F$53*EV52</f>
        <v/>
      </c>
      <c r="EW53" s="246" t="n"/>
      <c r="EX53" s="275">
        <f>$F$53*EX52</f>
        <v/>
      </c>
      <c r="EY53" s="266" t="n"/>
      <c r="EZ53" s="245">
        <f>$F$53*EZ52</f>
        <v/>
      </c>
      <c r="FA53" s="246" t="n"/>
      <c r="FB53" s="245">
        <f>$F$53*FB52</f>
        <v/>
      </c>
      <c r="FC53" s="246" t="n"/>
      <c r="FD53" s="245">
        <f>$F$53*FD52</f>
        <v/>
      </c>
      <c r="FE53" s="246" t="n"/>
      <c r="FF53" s="245">
        <f>$F$53*FF52</f>
        <v/>
      </c>
      <c r="FG53" s="246" t="n"/>
      <c r="FH53" s="245">
        <f>$F$53*FH52</f>
        <v/>
      </c>
      <c r="FI53" s="246" t="n"/>
      <c r="FJ53" s="273">
        <f>$F$53*FJ52</f>
        <v/>
      </c>
      <c r="FK53" s="251" t="n"/>
      <c r="FL53" s="250">
        <f>$F$53*FL52</f>
        <v/>
      </c>
      <c r="FM53" s="251" t="n"/>
      <c r="FN53" s="245">
        <f>$F$53*FN52</f>
        <v/>
      </c>
      <c r="FO53" s="246" t="n"/>
      <c r="FP53" s="245">
        <f>$F$53*FP52</f>
        <v/>
      </c>
      <c r="FQ53" s="246" t="n"/>
      <c r="FR53" s="245">
        <f>$F$53*FR52</f>
        <v/>
      </c>
      <c r="FS53" s="246" t="n"/>
      <c r="FT53" s="245">
        <f>$F$53*FT52</f>
        <v/>
      </c>
      <c r="FU53" s="246" t="n"/>
      <c r="FV53" s="245">
        <f>$F$53*FV52</f>
        <v/>
      </c>
      <c r="FW53" s="246" t="n"/>
      <c r="FX53" s="254">
        <f>$F$53*FX52</f>
        <v/>
      </c>
      <c r="FY53" s="255" t="n"/>
      <c r="FZ53" s="254">
        <f>$F$53*FZ52</f>
        <v/>
      </c>
      <c r="GA53" s="255" t="n"/>
      <c r="GB53" s="254">
        <f>$F$53*GB52</f>
        <v/>
      </c>
      <c r="GC53" s="255" t="n"/>
      <c r="GD53" s="254">
        <f>$F$53*GD52</f>
        <v/>
      </c>
      <c r="GE53" s="255" t="n"/>
      <c r="GF53" s="245">
        <f>$F$53*GF52</f>
        <v/>
      </c>
      <c r="GG53" s="246" t="n"/>
      <c r="GH53" s="245">
        <f>$F$53*GH52</f>
        <v/>
      </c>
      <c r="GI53" s="246" t="n"/>
      <c r="GJ53" s="245">
        <f>$F$53*GJ52</f>
        <v/>
      </c>
      <c r="GK53" s="246" t="n"/>
      <c r="GL53" s="245">
        <f>$F$53*GL52</f>
        <v/>
      </c>
      <c r="GM53" s="246" t="n"/>
      <c r="GN53" s="262">
        <f>$F$53*GN52</f>
        <v/>
      </c>
      <c r="GO53" s="263" t="n"/>
      <c r="GP53" s="262">
        <f>$F$53*GP52</f>
        <v/>
      </c>
      <c r="GQ53" s="263" t="n"/>
      <c r="GR53" s="262">
        <f>$F$53*GR52</f>
        <v/>
      </c>
      <c r="GS53" s="263" t="n"/>
      <c r="GT53" s="262">
        <f>$F$53*GT52</f>
        <v/>
      </c>
      <c r="GU53" s="263" t="n"/>
      <c r="GV53" s="262">
        <f>$F$53*GV52</f>
        <v/>
      </c>
      <c r="GW53" s="263" t="n"/>
      <c r="GX53" s="262">
        <f>$F$53*GX52</f>
        <v/>
      </c>
      <c r="GY53" s="263" t="n"/>
      <c r="GZ53" s="262">
        <f>$F$53*GZ52</f>
        <v/>
      </c>
      <c r="HA53" s="263" t="n"/>
      <c r="HB53" s="262">
        <f>$F$53*HB52</f>
        <v/>
      </c>
      <c r="HC53" s="263" t="n"/>
      <c r="HD53" s="262">
        <f>$F$53*HD52</f>
        <v/>
      </c>
      <c r="HE53" s="263" t="n"/>
      <c r="HF53" s="262">
        <f>$F$53*HF52</f>
        <v/>
      </c>
      <c r="HG53" s="263" t="n"/>
      <c r="HH53" s="262">
        <f>$F$53*HH52</f>
        <v/>
      </c>
      <c r="HI53" s="263" t="n"/>
      <c r="HJ53" s="262">
        <f>$F$53*HJ52</f>
        <v/>
      </c>
      <c r="HK53" s="263" t="n"/>
      <c r="HL53" s="262">
        <f>$F$53*HL52</f>
        <v/>
      </c>
      <c r="HM53" s="263" t="n"/>
      <c r="HN53" s="262">
        <f>$F$53*HN52</f>
        <v/>
      </c>
      <c r="HO53" s="263" t="n"/>
      <c r="HP53" s="262">
        <f>$F$53*HP52</f>
        <v/>
      </c>
      <c r="HQ53" s="263" t="n"/>
      <c r="HR53" s="262">
        <f>$F$53*HR52</f>
        <v/>
      </c>
      <c r="HS53" s="263" t="n"/>
      <c r="HT53" s="262">
        <f>$F$53*HT52</f>
        <v/>
      </c>
      <c r="HU53" s="263" t="n"/>
      <c r="HV53" s="276">
        <f>$F$53*HV52</f>
        <v/>
      </c>
      <c r="HW53" s="277" t="n"/>
      <c r="HX53" s="314">
        <f>$F$53*HX52</f>
        <v/>
      </c>
      <c r="HY53" s="266" t="n"/>
      <c r="HZ53" s="314">
        <f>$F$53*HZ52</f>
        <v/>
      </c>
      <c r="IA53" s="266" t="n"/>
      <c r="IB53" s="262">
        <f>$F$53*IB52</f>
        <v/>
      </c>
      <c r="IC53" s="263" t="n"/>
      <c r="ID53" s="276">
        <f>$F$53*ID52</f>
        <v/>
      </c>
      <c r="IE53" s="277" t="n"/>
      <c r="IF53" s="245">
        <f>$F$53*IF52</f>
        <v/>
      </c>
      <c r="IG53" s="246" t="n"/>
      <c r="IH53" s="245">
        <f>$F$53*IH52</f>
        <v/>
      </c>
      <c r="II53" s="246" t="n"/>
      <c r="IJ53" s="245">
        <f>$F$53*IJ52</f>
        <v/>
      </c>
      <c r="IK53" s="246" t="n"/>
      <c r="IL53" s="245">
        <f>$F$53*IL52</f>
        <v/>
      </c>
      <c r="IM53" s="246" t="n"/>
      <c r="IN53" s="245">
        <f>$F$53*IN52</f>
        <v/>
      </c>
      <c r="IO53" s="246" t="n"/>
      <c r="IP53" s="245">
        <f>$F$53*IP52</f>
        <v/>
      </c>
      <c r="IQ53" s="246" t="n"/>
      <c r="IR53" s="245">
        <f>$F$53*IR52</f>
        <v/>
      </c>
      <c r="IS53" s="246" t="n"/>
      <c r="IT53" s="245">
        <f>$F$53*IT52</f>
        <v/>
      </c>
      <c r="IU53" s="246" t="n"/>
      <c r="IV53" s="245">
        <f>$F$53*IV52</f>
        <v/>
      </c>
      <c r="IW53" s="246" t="n"/>
      <c r="IX53" s="245">
        <f>$F$53*IX52</f>
        <v/>
      </c>
      <c r="IY53" s="246" t="n"/>
      <c r="IZ53" s="245">
        <f>$F$53*IZ52</f>
        <v/>
      </c>
      <c r="JA53" s="246" t="n"/>
      <c r="JB53" s="245">
        <f>$F$53*JB52</f>
        <v/>
      </c>
      <c r="JC53" s="246" t="n"/>
      <c r="JD53" s="245">
        <f>$F$53*JD52</f>
        <v/>
      </c>
      <c r="JE53" s="246" t="n"/>
      <c r="JF53" s="245">
        <f>$F$53*JF52</f>
        <v/>
      </c>
      <c r="JG53" s="246" t="n"/>
      <c r="JH53" s="245">
        <f>$F$53*JH52</f>
        <v/>
      </c>
      <c r="JI53" s="246" t="n"/>
      <c r="JJ53" s="262">
        <f>$F$53*JJ52</f>
        <v/>
      </c>
      <c r="JK53" s="263" t="n"/>
      <c r="JL53" s="245">
        <f>$F$53*JL52</f>
        <v/>
      </c>
      <c r="JM53" s="246" t="n"/>
      <c r="JN53" s="276">
        <f>$F$53*JN52</f>
        <v/>
      </c>
      <c r="JO53" s="277" t="n"/>
      <c r="JP53" s="282">
        <f>$F$53*JP52</f>
        <v/>
      </c>
      <c r="JQ53" s="277" t="n"/>
      <c r="JR53" s="282">
        <f>$F$53*JR52</f>
        <v/>
      </c>
      <c r="JS53" s="277" t="n"/>
      <c r="JT53" s="282">
        <f>$F$53*JT52</f>
        <v/>
      </c>
      <c r="JU53" s="277" t="n"/>
      <c r="JV53" s="282">
        <f>$F$53*JV52</f>
        <v/>
      </c>
      <c r="JW53" s="277" t="n"/>
      <c r="JX53" s="282">
        <f>$F$53*JX52</f>
        <v/>
      </c>
      <c r="JY53" s="277" t="n"/>
      <c r="JZ53" s="297">
        <f>JN53+JP53+JR53+JT53+JX53</f>
        <v/>
      </c>
      <c r="KA53" s="263" t="n"/>
      <c r="KB53" s="298">
        <f>SUM(H53:JY53)</f>
        <v/>
      </c>
      <c r="KC53" s="246" t="n"/>
      <c r="KD53" s="2" t="n"/>
      <c r="KE53" s="279" t="n"/>
      <c r="KF53" s="97">
        <f>J53+L53+N53+P53+R53+AB53+AD53+AF53+AH53+AJ53+AL53+AN53+AP53+AR53+AT53+AV53+AX53+AZ53+BB53+BD53+BF53+BH53+BJ53+BL53+BN53+BP53+BR53+BT53+BV53+BX53+BZ53+CB53+CD53+CF53+CH53+CJ53+CL53+CN53+CP53+CR53+CT53+CV53+CX53+CZ53+DB53+DD53+DF53+DH53+DJ53+DL53+DN53+DP53+DR53+DT53+DV53+DX53+DZ53+EB53+ED53+EF53+EH53+EJ53+EL53+EN53+EP53+ER53+ET53+EV53+EZ53+FB53+FD53+FF53+FH53+FJ53+FL53+FN53+FP53+FR53+FT53+FV53+FX53+FZ53+GB53+GD53+GF53+GH53+GJ53+GL53+IF53+IJ53+IL53+IN53+IP53+IR53+IT53+JB53+JD53+JL53</f>
        <v/>
      </c>
      <c r="KG53" s="279" t="n"/>
      <c r="KH53" s="279" t="n"/>
      <c r="KI53" s="279" t="n"/>
      <c r="KJ53" s="279" t="n"/>
      <c r="KK53" s="279" t="n"/>
      <c r="KL53" s="279" t="n"/>
      <c r="KM53" s="279" t="n"/>
      <c r="KN53" s="279" t="n"/>
    </row>
    <row r="54" ht="29.25" customHeight="1" thickBot="1">
      <c r="A54" s="111" t="n"/>
      <c r="B54" s="77" t="inlineStr">
        <is>
          <t>Фактическая ЗП</t>
        </is>
      </c>
      <c r="C54" s="78" t="n"/>
      <c r="D54" s="112" t="n"/>
      <c r="E54" s="113" t="n"/>
      <c r="F54" s="250">
        <f>KB54/E52</f>
        <v/>
      </c>
      <c r="G54" s="118" t="n"/>
      <c r="H54" s="332" t="n"/>
      <c r="I54" s="251" t="n"/>
      <c r="J54" s="293" t="n"/>
      <c r="K54" s="246" t="n"/>
      <c r="L54" s="293" t="n"/>
      <c r="M54" s="246" t="n"/>
      <c r="N54" s="294" t="n"/>
      <c r="O54" s="255" t="n"/>
      <c r="P54" s="293" t="n"/>
      <c r="Q54" s="246" t="n"/>
      <c r="R54" s="315" t="n"/>
      <c r="S54" s="246" t="n"/>
      <c r="T54" s="315" t="n"/>
      <c r="U54" s="246" t="n"/>
      <c r="V54" s="253" t="n"/>
      <c r="W54" s="246" t="n"/>
      <c r="X54" s="300" t="n"/>
      <c r="Y54" s="255" t="n"/>
      <c r="Z54" s="253" t="n"/>
      <c r="AA54" s="246" t="n"/>
      <c r="AB54" s="253" t="n"/>
      <c r="AC54" s="246" t="n"/>
      <c r="AD54" s="261" t="n"/>
      <c r="AE54" s="251" t="n"/>
      <c r="AF54" s="253" t="n"/>
      <c r="AG54" s="246" t="n"/>
      <c r="AH54" s="253" t="n"/>
      <c r="AI54" s="246" t="n"/>
      <c r="AJ54" s="253" t="n"/>
      <c r="AK54" s="246" t="n"/>
      <c r="AL54" s="253" t="n"/>
      <c r="AM54" s="246" t="n"/>
      <c r="AN54" s="261" t="n"/>
      <c r="AO54" s="251" t="n"/>
      <c r="AP54" s="261" t="n"/>
      <c r="AQ54" s="251" t="n"/>
      <c r="AR54" s="253" t="n"/>
      <c r="AS54" s="246" t="n"/>
      <c r="AT54" s="261" t="n"/>
      <c r="AU54" s="251" t="n"/>
      <c r="AV54" s="253" t="n"/>
      <c r="AW54" s="246" t="n"/>
      <c r="AX54" s="261" t="n"/>
      <c r="AY54" s="251" t="n"/>
      <c r="AZ54" s="253" t="n"/>
      <c r="BA54" s="246" t="n"/>
      <c r="BB54" s="261" t="n"/>
      <c r="BC54" s="251" t="n"/>
      <c r="BD54" s="253" t="n"/>
      <c r="BE54" s="246" t="n"/>
      <c r="BF54" s="261" t="n"/>
      <c r="BG54" s="251" t="n"/>
      <c r="BH54" s="261" t="n"/>
      <c r="BI54" s="251" t="n"/>
      <c r="BJ54" s="261" t="n"/>
      <c r="BK54" s="251" t="n"/>
      <c r="BL54" s="253" t="n"/>
      <c r="BM54" s="246" t="n"/>
      <c r="BN54" s="253" t="n"/>
      <c r="BO54" s="246" t="n"/>
      <c r="BP54" s="253" t="n"/>
      <c r="BQ54" s="246" t="n"/>
      <c r="BR54" s="253" t="n"/>
      <c r="BS54" s="246" t="n"/>
      <c r="BT54" s="253" t="n"/>
      <c r="BU54" s="246" t="n"/>
      <c r="BV54" s="253" t="n"/>
      <c r="BW54" s="246" t="n"/>
      <c r="BX54" s="253" t="n"/>
      <c r="BY54" s="246" t="n"/>
      <c r="BZ54" s="253" t="n"/>
      <c r="CA54" s="246" t="n"/>
      <c r="CB54" s="261" t="n"/>
      <c r="CC54" s="251" t="n"/>
      <c r="CD54" s="261" t="n"/>
      <c r="CE54" s="251" t="n"/>
      <c r="CF54" s="261" t="n"/>
      <c r="CG54" s="251" t="n"/>
      <c r="CH54" s="253" t="n"/>
      <c r="CI54" s="246" t="n"/>
      <c r="CJ54" s="253" t="n"/>
      <c r="CK54" s="246" t="n"/>
      <c r="CL54" s="253" t="n"/>
      <c r="CM54" s="246" t="n"/>
      <c r="CN54" s="253" t="n"/>
      <c r="CO54" s="246" t="n"/>
      <c r="CP54" s="300" t="n"/>
      <c r="CQ54" s="255" t="n"/>
      <c r="CR54" s="253" t="n"/>
      <c r="CS54" s="246" t="n"/>
      <c r="CT54" s="253" t="n"/>
      <c r="CU54" s="246" t="n"/>
      <c r="CV54" s="300" t="n"/>
      <c r="CW54" s="255" t="n"/>
      <c r="CX54" s="253" t="n"/>
      <c r="CY54" s="246" t="n"/>
      <c r="CZ54" s="261" t="n"/>
      <c r="DA54" s="251" t="n"/>
      <c r="DB54" s="261" t="n"/>
      <c r="DC54" s="251" t="n"/>
      <c r="DD54" s="253" t="n"/>
      <c r="DE54" s="246" t="n"/>
      <c r="DF54" s="261" t="n"/>
      <c r="DG54" s="251" t="n"/>
      <c r="DH54" s="253" t="n"/>
      <c r="DI54" s="246" t="n"/>
      <c r="DJ54" s="253" t="n"/>
      <c r="DK54" s="246" t="n"/>
      <c r="DL54" s="261" t="n"/>
      <c r="DM54" s="251" t="n"/>
      <c r="DN54" s="274" t="n"/>
      <c r="DO54" s="255" t="n"/>
      <c r="DP54" s="261" t="n"/>
      <c r="DQ54" s="251" t="n"/>
      <c r="DR54" s="253" t="n"/>
      <c r="DS54" s="246" t="n"/>
      <c r="DT54" s="261" t="n"/>
      <c r="DU54" s="251" t="n"/>
      <c r="DV54" s="253" t="n"/>
      <c r="DW54" s="246" t="n"/>
      <c r="DX54" s="274" t="n"/>
      <c r="DY54" s="255" t="n"/>
      <c r="DZ54" s="253" t="n"/>
      <c r="EA54" s="246" t="n"/>
      <c r="EB54" s="253" t="n"/>
      <c r="EC54" s="246" t="n"/>
      <c r="ED54" s="253" t="n"/>
      <c r="EE54" s="246" t="n"/>
      <c r="EF54" s="315" t="n"/>
      <c r="EG54" s="246" t="n"/>
      <c r="EH54" s="253" t="n"/>
      <c r="EI54" s="246" t="n"/>
      <c r="EJ54" s="253" t="n"/>
      <c r="EK54" s="246" t="n"/>
      <c r="EL54" s="253" t="n"/>
      <c r="EM54" s="246" t="n"/>
      <c r="EN54" s="253" t="n"/>
      <c r="EO54" s="246" t="n"/>
      <c r="EP54" s="253" t="n"/>
      <c r="EQ54" s="246" t="n"/>
      <c r="ER54" s="253" t="n"/>
      <c r="ES54" s="246" t="n"/>
      <c r="ET54" s="253" t="n"/>
      <c r="EU54" s="246" t="n"/>
      <c r="EV54" s="253" t="n"/>
      <c r="EW54" s="246" t="n"/>
      <c r="EX54" s="300" t="n"/>
      <c r="EY54" s="255" t="n"/>
      <c r="EZ54" s="253" t="n"/>
      <c r="FA54" s="246" t="n"/>
      <c r="FB54" s="253" t="n"/>
      <c r="FC54" s="246" t="n"/>
      <c r="FD54" s="253" t="n"/>
      <c r="FE54" s="246" t="n"/>
      <c r="FF54" s="253" t="n"/>
      <c r="FG54" s="246" t="n"/>
      <c r="FH54" s="253" t="n"/>
      <c r="FI54" s="246" t="n"/>
      <c r="FJ54" s="289" t="n"/>
      <c r="FK54" s="251" t="n"/>
      <c r="FL54" s="320" t="n"/>
      <c r="FM54" s="263" t="n"/>
      <c r="FN54" s="296" t="n"/>
      <c r="FO54" s="263" t="n"/>
      <c r="FP54" s="253" t="n"/>
      <c r="FQ54" s="246" t="n"/>
      <c r="FR54" s="253" t="n"/>
      <c r="FS54" s="246" t="n"/>
      <c r="FT54" s="253" t="n"/>
      <c r="FU54" s="246" t="n"/>
      <c r="FV54" s="253" t="n"/>
      <c r="FW54" s="246" t="n"/>
      <c r="FX54" s="274" t="n"/>
      <c r="FY54" s="255" t="n"/>
      <c r="FZ54" s="274" t="n"/>
      <c r="GA54" s="255" t="n"/>
      <c r="GB54" s="274" t="n"/>
      <c r="GC54" s="255" t="n"/>
      <c r="GD54" s="274" t="n"/>
      <c r="GE54" s="255" t="n"/>
      <c r="GF54" s="253" t="n"/>
      <c r="GG54" s="246" t="n"/>
      <c r="GH54" s="253" t="n"/>
      <c r="GI54" s="246" t="n"/>
      <c r="GJ54" s="253" t="n"/>
      <c r="GK54" s="246" t="n"/>
      <c r="GL54" s="253" t="n"/>
      <c r="GM54" s="246" t="n"/>
      <c r="GN54" s="253" t="n"/>
      <c r="GO54" s="246" t="n"/>
      <c r="GP54" s="253" t="n"/>
      <c r="GQ54" s="246" t="n"/>
      <c r="GR54" s="253" t="n"/>
      <c r="GS54" s="246" t="n"/>
      <c r="GT54" s="253" t="n"/>
      <c r="GU54" s="246" t="n"/>
      <c r="GV54" s="253" t="n"/>
      <c r="GW54" s="246" t="n"/>
      <c r="GX54" s="253" t="n"/>
      <c r="GY54" s="246" t="n"/>
      <c r="GZ54" s="253" t="n"/>
      <c r="HA54" s="246" t="n"/>
      <c r="HB54" s="253" t="n"/>
      <c r="HC54" s="246" t="n"/>
      <c r="HD54" s="253" t="n"/>
      <c r="HE54" s="246" t="n"/>
      <c r="HF54" s="253" t="n"/>
      <c r="HG54" s="246" t="n"/>
      <c r="HH54" s="253" t="n"/>
      <c r="HI54" s="246" t="n"/>
      <c r="HJ54" s="253" t="n"/>
      <c r="HK54" s="246" t="n"/>
      <c r="HL54" s="253" t="n"/>
      <c r="HM54" s="246" t="n"/>
      <c r="HN54" s="253" t="n"/>
      <c r="HO54" s="246" t="n"/>
      <c r="HP54" s="253" t="n"/>
      <c r="HQ54" s="246" t="n"/>
      <c r="HR54" s="253" t="n"/>
      <c r="HS54" s="246" t="n"/>
      <c r="HT54" s="253" t="n"/>
      <c r="HU54" s="246" t="n"/>
      <c r="HV54" s="289" t="n"/>
      <c r="HW54" s="251" t="n"/>
      <c r="HX54" s="274" t="n"/>
      <c r="HY54" s="255" t="n"/>
      <c r="HZ54" s="253" t="n"/>
      <c r="IA54" s="246" t="n"/>
      <c r="IB54" s="253" t="n"/>
      <c r="IC54" s="246" t="n"/>
      <c r="ID54" s="289" t="n"/>
      <c r="IE54" s="251" t="n"/>
      <c r="IF54" s="253" t="n"/>
      <c r="IG54" s="246" t="n"/>
      <c r="IH54" s="253" t="n"/>
      <c r="II54" s="246" t="n"/>
      <c r="IJ54" s="253" t="n"/>
      <c r="IK54" s="246" t="n"/>
      <c r="IL54" s="253" t="n"/>
      <c r="IM54" s="246" t="n"/>
      <c r="IN54" s="253" t="n"/>
      <c r="IO54" s="246" t="n"/>
      <c r="IP54" s="253" t="n"/>
      <c r="IQ54" s="246" t="n"/>
      <c r="IR54" s="253" t="n"/>
      <c r="IS54" s="246" t="n"/>
      <c r="IT54" s="253" t="n"/>
      <c r="IU54" s="246" t="n"/>
      <c r="IV54" s="253" t="n"/>
      <c r="IW54" s="246" t="n"/>
      <c r="IX54" s="253" t="n"/>
      <c r="IY54" s="246" t="n"/>
      <c r="IZ54" s="253" t="n"/>
      <c r="JA54" s="246" t="n"/>
      <c r="JB54" s="253" t="n"/>
      <c r="JC54" s="246" t="n"/>
      <c r="JD54" s="253" t="n"/>
      <c r="JE54" s="246" t="n"/>
      <c r="JF54" s="253" t="n"/>
      <c r="JG54" s="246" t="n"/>
      <c r="JH54" s="253" t="n"/>
      <c r="JI54" s="246" t="n"/>
      <c r="JJ54" s="253" t="n"/>
      <c r="JK54" s="246" t="n"/>
      <c r="JL54" s="253" t="n"/>
      <c r="JM54" s="246" t="n"/>
      <c r="JN54" s="289" t="n"/>
      <c r="JO54" s="251" t="n"/>
      <c r="JP54" s="264" t="n"/>
      <c r="JQ54" s="251" t="n"/>
      <c r="JR54" s="264" t="n"/>
      <c r="JS54" s="251" t="n"/>
      <c r="JT54" s="264" t="n"/>
      <c r="JU54" s="251" t="n"/>
      <c r="JV54" s="264" t="n"/>
      <c r="JW54" s="251" t="n"/>
      <c r="JX54" s="264" t="n"/>
      <c r="JY54" s="251" t="n"/>
      <c r="JZ54" s="302">
        <f>JN54+JP54+JR54+JT54+JV54+JX54</f>
        <v/>
      </c>
      <c r="KA54" s="246" t="n"/>
      <c r="KB54" s="303">
        <f>SUM(H54:JY54)</f>
        <v/>
      </c>
      <c r="KC54" s="246" t="n"/>
      <c r="KD54" s="2">
        <f>KB53-KB55</f>
        <v/>
      </c>
      <c r="KF54" s="97" t="n"/>
    </row>
    <row r="55" ht="29.25" customHeight="1" thickBot="1">
      <c r="A55" s="115" t="n"/>
      <c r="B55" s="76" t="inlineStr">
        <is>
          <t xml:space="preserve">Отклонение (+/-) к плану </t>
        </is>
      </c>
      <c r="C55" s="78" t="n"/>
      <c r="D55" s="112" t="n"/>
      <c r="E55" s="113" t="n"/>
      <c r="F55" s="250" t="n"/>
      <c r="G55" s="118" t="n"/>
      <c r="H55" s="273">
        <f>H53-H54</f>
        <v/>
      </c>
      <c r="I55" s="251" t="n"/>
      <c r="J55" s="245">
        <f>J53-J54</f>
        <v/>
      </c>
      <c r="K55" s="246" t="n"/>
      <c r="L55" s="245">
        <f>L53-L54</f>
        <v/>
      </c>
      <c r="M55" s="246" t="n"/>
      <c r="N55" s="254">
        <f>N53-N54</f>
        <v/>
      </c>
      <c r="O55" s="255" t="n"/>
      <c r="P55" s="245">
        <f>P53-P54</f>
        <v/>
      </c>
      <c r="Q55" s="246" t="n"/>
      <c r="R55" s="295">
        <f>R53-R54</f>
        <v/>
      </c>
      <c r="S55" s="263" t="n"/>
      <c r="T55" s="275">
        <f>T53-T54</f>
        <v/>
      </c>
      <c r="U55" s="266" t="n"/>
      <c r="V55" s="314">
        <f>V53-V54</f>
        <v/>
      </c>
      <c r="W55" s="266" t="n"/>
      <c r="X55" s="314">
        <f>X53-X54</f>
        <v/>
      </c>
      <c r="Y55" s="266" t="n"/>
      <c r="Z55" s="262">
        <f>Z53-Z54</f>
        <v/>
      </c>
      <c r="AA55" s="263" t="n"/>
      <c r="AB55" s="262">
        <f>AB53-AB54</f>
        <v/>
      </c>
      <c r="AC55" s="263" t="n"/>
      <c r="AD55" s="330">
        <f>AD53-AD54</f>
        <v/>
      </c>
      <c r="AE55" s="277" t="n"/>
      <c r="AF55" s="262">
        <f>AF53-AF54</f>
        <v/>
      </c>
      <c r="AG55" s="263" t="n"/>
      <c r="AH55" s="262">
        <f>AH53-AH54</f>
        <v/>
      </c>
      <c r="AI55" s="263" t="n"/>
      <c r="AJ55" s="262">
        <f>AJ53-AJ54</f>
        <v/>
      </c>
      <c r="AK55" s="263" t="n"/>
      <c r="AL55" s="245">
        <f>AL53-AL54</f>
        <v/>
      </c>
      <c r="AM55" s="246" t="n"/>
      <c r="AN55" s="250">
        <f>AN53-AN54</f>
        <v/>
      </c>
      <c r="AO55" s="251" t="n"/>
      <c r="AP55" s="250">
        <f>AP53-AP54</f>
        <v/>
      </c>
      <c r="AQ55" s="251" t="n"/>
      <c r="AR55" s="245">
        <f>AR53-AR54</f>
        <v/>
      </c>
      <c r="AS55" s="246" t="n"/>
      <c r="AT55" s="250">
        <f>AT53-AT54</f>
        <v/>
      </c>
      <c r="AU55" s="251" t="n"/>
      <c r="AV55" s="245">
        <f>AV53-AV54</f>
        <v/>
      </c>
      <c r="AW55" s="246" t="n"/>
      <c r="AX55" s="250">
        <f>AX53-AX54</f>
        <v/>
      </c>
      <c r="AY55" s="251" t="n"/>
      <c r="AZ55" s="245">
        <f>AZ53-AZ54</f>
        <v/>
      </c>
      <c r="BA55" s="246" t="n"/>
      <c r="BB55" s="250">
        <f>BB53-BB54</f>
        <v/>
      </c>
      <c r="BC55" s="251" t="n"/>
      <c r="BD55" s="245">
        <f>BD53-BD54</f>
        <v/>
      </c>
      <c r="BE55" s="246" t="n"/>
      <c r="BF55" s="250">
        <f>BF53-BF54</f>
        <v/>
      </c>
      <c r="BG55" s="251" t="n"/>
      <c r="BH55" s="250">
        <f>BH53-BH54</f>
        <v/>
      </c>
      <c r="BI55" s="251" t="n"/>
      <c r="BJ55" s="250">
        <f>BJ53-BJ54</f>
        <v/>
      </c>
      <c r="BK55" s="251" t="n"/>
      <c r="BL55" s="245">
        <f>BL53-BL54</f>
        <v/>
      </c>
      <c r="BM55" s="246" t="n"/>
      <c r="BN55" s="245">
        <f>BN53-BN54</f>
        <v/>
      </c>
      <c r="BO55" s="246" t="n"/>
      <c r="BP55" s="245">
        <f>BP53-BP54</f>
        <v/>
      </c>
      <c r="BQ55" s="246" t="n"/>
      <c r="BR55" s="245">
        <f>BR53-BR54</f>
        <v/>
      </c>
      <c r="BS55" s="246" t="n"/>
      <c r="BT55" s="245">
        <f>BT53-BT54</f>
        <v/>
      </c>
      <c r="BU55" s="246" t="n"/>
      <c r="BV55" s="245">
        <f>BV53-BV54</f>
        <v/>
      </c>
      <c r="BW55" s="246" t="n"/>
      <c r="BX55" s="245">
        <f>BX53-BX54</f>
        <v/>
      </c>
      <c r="BY55" s="246" t="n"/>
      <c r="BZ55" s="245">
        <f>BZ53-BZ54</f>
        <v/>
      </c>
      <c r="CA55" s="246" t="n"/>
      <c r="CB55" s="250">
        <f>CB53-CB54</f>
        <v/>
      </c>
      <c r="CC55" s="251" t="n"/>
      <c r="CD55" s="250">
        <f>CD53-CD54</f>
        <v/>
      </c>
      <c r="CE55" s="251" t="n"/>
      <c r="CF55" s="250">
        <f>CF53-CF54</f>
        <v/>
      </c>
      <c r="CG55" s="251" t="n"/>
      <c r="CH55" s="245">
        <f>CH53-CH54</f>
        <v/>
      </c>
      <c r="CI55" s="246" t="n"/>
      <c r="CJ55" s="245">
        <f>CJ53-CJ54</f>
        <v/>
      </c>
      <c r="CK55" s="246" t="n"/>
      <c r="CL55" s="245">
        <f>CL53-CL54</f>
        <v/>
      </c>
      <c r="CM55" s="246" t="n"/>
      <c r="CN55" s="245">
        <f>CN53-CN54</f>
        <v/>
      </c>
      <c r="CO55" s="246" t="n"/>
      <c r="CP55" s="290">
        <f>CP53-CP54</f>
        <v/>
      </c>
      <c r="CQ55" s="255" t="n"/>
      <c r="CR55" s="245">
        <f>CR53-CR54</f>
        <v/>
      </c>
      <c r="CS55" s="246" t="n"/>
      <c r="CT55" s="245">
        <f>CT53-CT54</f>
        <v/>
      </c>
      <c r="CU55" s="246" t="n"/>
      <c r="CV55" s="276">
        <f>CV53-CV54</f>
        <v/>
      </c>
      <c r="CW55" s="277" t="n"/>
      <c r="CX55" s="245">
        <f>CX53-CX54</f>
        <v/>
      </c>
      <c r="CY55" s="246" t="n"/>
      <c r="CZ55" s="250">
        <f>CZ53-CZ54</f>
        <v/>
      </c>
      <c r="DA55" s="251" t="n"/>
      <c r="DB55" s="250">
        <f>DB53-DB54</f>
        <v/>
      </c>
      <c r="DC55" s="251" t="n"/>
      <c r="DD55" s="245">
        <f>DD53-DD54</f>
        <v/>
      </c>
      <c r="DE55" s="246" t="n"/>
      <c r="DF55" s="250">
        <f>DF53-DF54</f>
        <v/>
      </c>
      <c r="DG55" s="251" t="n"/>
      <c r="DH55" s="245">
        <f>DH53-DH54</f>
        <v/>
      </c>
      <c r="DI55" s="246" t="n"/>
      <c r="DJ55" s="245">
        <f>DJ53-DJ54</f>
        <v/>
      </c>
      <c r="DK55" s="246" t="n"/>
      <c r="DL55" s="250">
        <f>DL53-DL54</f>
        <v/>
      </c>
      <c r="DM55" s="251" t="n"/>
      <c r="DN55" s="254">
        <f>DN53-DN54</f>
        <v/>
      </c>
      <c r="DO55" s="255" t="n"/>
      <c r="DP55" s="245">
        <f>DP53-DP54</f>
        <v/>
      </c>
      <c r="DQ55" s="246" t="n"/>
      <c r="DR55" s="245">
        <f>DR53-DR54</f>
        <v/>
      </c>
      <c r="DS55" s="246" t="n"/>
      <c r="DT55" s="250">
        <f>DT53-DT54</f>
        <v/>
      </c>
      <c r="DU55" s="251" t="n"/>
      <c r="DV55" s="245">
        <f>DV53-DV54</f>
        <v/>
      </c>
      <c r="DW55" s="246" t="n"/>
      <c r="DX55" s="254">
        <f>DX53-DX54</f>
        <v/>
      </c>
      <c r="DY55" s="255" t="n"/>
      <c r="DZ55" s="245">
        <f>DZ53-DZ54</f>
        <v/>
      </c>
      <c r="EA55" s="246" t="n"/>
      <c r="EB55" s="245">
        <f>EB53-EB54</f>
        <v/>
      </c>
      <c r="EC55" s="246" t="n"/>
      <c r="ED55" s="245">
        <f>ED53-ED54</f>
        <v/>
      </c>
      <c r="EE55" s="246" t="n"/>
      <c r="EF55" s="290">
        <f>EF53-EF54</f>
        <v/>
      </c>
      <c r="EG55" s="255" t="n"/>
      <c r="EH55" s="245">
        <f>EH53-EH54</f>
        <v/>
      </c>
      <c r="EI55" s="246" t="n"/>
      <c r="EJ55" s="245">
        <f>EJ53-EJ54</f>
        <v/>
      </c>
      <c r="EK55" s="246" t="n"/>
      <c r="EL55" s="245">
        <f>EL53-EL54</f>
        <v/>
      </c>
      <c r="EM55" s="246" t="n"/>
      <c r="EN55" s="245">
        <f>EN53-EN54</f>
        <v/>
      </c>
      <c r="EO55" s="246" t="n"/>
      <c r="EP55" s="245">
        <f>EP53-EP54</f>
        <v/>
      </c>
      <c r="EQ55" s="246" t="n"/>
      <c r="ER55" s="245">
        <f>ER53-ER54</f>
        <v/>
      </c>
      <c r="ES55" s="246" t="n"/>
      <c r="ET55" s="245">
        <f>ET53-ET54</f>
        <v/>
      </c>
      <c r="EU55" s="246" t="n"/>
      <c r="EV55" s="245">
        <f>EV53-EV54</f>
        <v/>
      </c>
      <c r="EW55" s="246" t="n"/>
      <c r="EX55" s="290">
        <f>EX53-EX54</f>
        <v/>
      </c>
      <c r="EY55" s="255" t="n"/>
      <c r="EZ55" s="245">
        <f>EZ53-EZ54</f>
        <v/>
      </c>
      <c r="FA55" s="246" t="n"/>
      <c r="FB55" s="245">
        <f>FB53-FB54</f>
        <v/>
      </c>
      <c r="FC55" s="246" t="n"/>
      <c r="FD55" s="245">
        <f>FD53-FD54</f>
        <v/>
      </c>
      <c r="FE55" s="246" t="n"/>
      <c r="FF55" s="245">
        <f>FF53-FF54</f>
        <v/>
      </c>
      <c r="FG55" s="246" t="n"/>
      <c r="FH55" s="245">
        <f>FH53-FH54</f>
        <v/>
      </c>
      <c r="FI55" s="246" t="n"/>
      <c r="FJ55" s="269">
        <f>FJ53-FJ54</f>
        <v/>
      </c>
      <c r="FK55" s="246" t="n"/>
      <c r="FL55" s="245">
        <f>FL53-FL54</f>
        <v/>
      </c>
      <c r="FM55" s="246" t="n"/>
      <c r="FN55" s="245">
        <f>FN53-FN54</f>
        <v/>
      </c>
      <c r="FO55" s="246" t="n"/>
      <c r="FP55" s="245">
        <f>FP53-FP54</f>
        <v/>
      </c>
      <c r="FQ55" s="246" t="n"/>
      <c r="FR55" s="245">
        <f>FR53-FR54</f>
        <v/>
      </c>
      <c r="FS55" s="246" t="n"/>
      <c r="FT55" s="245">
        <f>FT53-FT54</f>
        <v/>
      </c>
      <c r="FU55" s="246" t="n"/>
      <c r="FV55" s="245">
        <f>FV53-FV54</f>
        <v/>
      </c>
      <c r="FW55" s="246" t="n"/>
      <c r="FX55" s="254">
        <f>FX53-FX54</f>
        <v/>
      </c>
      <c r="FY55" s="255" t="n"/>
      <c r="FZ55" s="254">
        <f>FZ53-FZ54</f>
        <v/>
      </c>
      <c r="GA55" s="255" t="n"/>
      <c r="GB55" s="254">
        <f>GB53-GB54</f>
        <v/>
      </c>
      <c r="GC55" s="255" t="n"/>
      <c r="GD55" s="254">
        <f>GD53-GD54</f>
        <v/>
      </c>
      <c r="GE55" s="255" t="n"/>
      <c r="GF55" s="245">
        <f>GF53-GF54</f>
        <v/>
      </c>
      <c r="GG55" s="246" t="n"/>
      <c r="GH55" s="245">
        <f>GH53-GH54</f>
        <v/>
      </c>
      <c r="GI55" s="246" t="n"/>
      <c r="GJ55" s="245">
        <f>GJ53-GJ54</f>
        <v/>
      </c>
      <c r="GK55" s="246" t="n"/>
      <c r="GL55" s="245">
        <f>GL53-GL54</f>
        <v/>
      </c>
      <c r="GM55" s="246" t="n"/>
      <c r="GN55" s="245">
        <f>GN53-GN54</f>
        <v/>
      </c>
      <c r="GO55" s="246" t="n"/>
      <c r="GP55" s="245">
        <f>GP53-GP54</f>
        <v/>
      </c>
      <c r="GQ55" s="246" t="n"/>
      <c r="GR55" s="245">
        <f>GR53-GR54</f>
        <v/>
      </c>
      <c r="GS55" s="246" t="n"/>
      <c r="GT55" s="245">
        <f>GT53-GT54</f>
        <v/>
      </c>
      <c r="GU55" s="246" t="n"/>
      <c r="GV55" s="245">
        <f>GV53-GV54</f>
        <v/>
      </c>
      <c r="GW55" s="246" t="n"/>
      <c r="GX55" s="245">
        <f>GX53-GX54</f>
        <v/>
      </c>
      <c r="GY55" s="246" t="n"/>
      <c r="GZ55" s="245">
        <f>GZ53-GZ54</f>
        <v/>
      </c>
      <c r="HA55" s="246" t="n"/>
      <c r="HB55" s="245">
        <f>HB53-HB54</f>
        <v/>
      </c>
      <c r="HC55" s="246" t="n"/>
      <c r="HD55" s="245">
        <f>HD53-HD54</f>
        <v/>
      </c>
      <c r="HE55" s="246" t="n"/>
      <c r="HF55" s="245">
        <f>HF53-HF54</f>
        <v/>
      </c>
      <c r="HG55" s="246" t="n"/>
      <c r="HH55" s="245">
        <f>HH53-HH54</f>
        <v/>
      </c>
      <c r="HI55" s="246" t="n"/>
      <c r="HJ55" s="245">
        <f>HJ53-HJ54</f>
        <v/>
      </c>
      <c r="HK55" s="246" t="n"/>
      <c r="HL55" s="245">
        <f>HL53-HL54</f>
        <v/>
      </c>
      <c r="HM55" s="246" t="n"/>
      <c r="HN55" s="245">
        <f>HN53-HN54</f>
        <v/>
      </c>
      <c r="HO55" s="246" t="n"/>
      <c r="HP55" s="245">
        <f>HP53-HP54</f>
        <v/>
      </c>
      <c r="HQ55" s="246" t="n"/>
      <c r="HR55" s="245">
        <f>HR53-HR54</f>
        <v/>
      </c>
      <c r="HS55" s="246" t="n"/>
      <c r="HT55" s="245">
        <f>HT53-HT54</f>
        <v/>
      </c>
      <c r="HU55" s="246" t="n"/>
      <c r="HV55" s="273">
        <f>HV53-HV54</f>
        <v/>
      </c>
      <c r="HW55" s="251" t="n"/>
      <c r="HX55" s="254">
        <f>HX53-HX54</f>
        <v/>
      </c>
      <c r="HY55" s="255" t="n"/>
      <c r="HZ55" s="254">
        <f>HZ53-HZ54</f>
        <v/>
      </c>
      <c r="IA55" s="255" t="n"/>
      <c r="IB55" s="245">
        <f>IB53-IB54</f>
        <v/>
      </c>
      <c r="IC55" s="246" t="n"/>
      <c r="ID55" s="273">
        <f>ID53-ID54</f>
        <v/>
      </c>
      <c r="IE55" s="251" t="n"/>
      <c r="IF55" s="245">
        <f>IF53-IF54</f>
        <v/>
      </c>
      <c r="IG55" s="246" t="n"/>
      <c r="IH55" s="245">
        <f>IH53-IH54</f>
        <v/>
      </c>
      <c r="II55" s="246" t="n"/>
      <c r="IJ55" s="245">
        <f>IJ53-IJ54</f>
        <v/>
      </c>
      <c r="IK55" s="246" t="n"/>
      <c r="IL55" s="245">
        <f>IL53-IL54</f>
        <v/>
      </c>
      <c r="IM55" s="246" t="n"/>
      <c r="IN55" s="245">
        <f>IN53-IN54</f>
        <v/>
      </c>
      <c r="IO55" s="246" t="n"/>
      <c r="IP55" s="245">
        <f>IP53-IP54</f>
        <v/>
      </c>
      <c r="IQ55" s="246" t="n"/>
      <c r="IR55" s="245">
        <f>IR53-IR54</f>
        <v/>
      </c>
      <c r="IS55" s="246" t="n"/>
      <c r="IT55" s="245">
        <f>IT53-IT54</f>
        <v/>
      </c>
      <c r="IU55" s="246" t="n"/>
      <c r="IV55" s="245">
        <f>IV53-IV54</f>
        <v/>
      </c>
      <c r="IW55" s="246" t="n"/>
      <c r="IX55" s="245">
        <f>IX53-IX54</f>
        <v/>
      </c>
      <c r="IY55" s="246" t="n"/>
      <c r="IZ55" s="245">
        <f>IZ53-IZ54</f>
        <v/>
      </c>
      <c r="JA55" s="246" t="n"/>
      <c r="JB55" s="245">
        <f>JB53-JB54</f>
        <v/>
      </c>
      <c r="JC55" s="246" t="n"/>
      <c r="JD55" s="245">
        <f>JD53-JD54</f>
        <v/>
      </c>
      <c r="JE55" s="246" t="n"/>
      <c r="JF55" s="245">
        <f>JF53-JF54</f>
        <v/>
      </c>
      <c r="JG55" s="246" t="n"/>
      <c r="JH55" s="245">
        <f>JH53-JH54</f>
        <v/>
      </c>
      <c r="JI55" s="246" t="n"/>
      <c r="JJ55" s="245">
        <f>JJ53-JJ54</f>
        <v/>
      </c>
      <c r="JK55" s="246" t="n"/>
      <c r="JL55" s="245">
        <f>JL53-JL54</f>
        <v/>
      </c>
      <c r="JM55" s="246" t="n"/>
      <c r="JN55" s="273">
        <f>JN53-JN54</f>
        <v/>
      </c>
      <c r="JO55" s="251" t="n"/>
      <c r="JP55" s="250">
        <f>JP53-JP54</f>
        <v/>
      </c>
      <c r="JQ55" s="251" t="n"/>
      <c r="JR55" s="245">
        <f>JR53-JR54</f>
        <v/>
      </c>
      <c r="JS55" s="246" t="n"/>
      <c r="JT55" s="245">
        <f>JT53-JT54</f>
        <v/>
      </c>
      <c r="JU55" s="246" t="n"/>
      <c r="JV55" s="245">
        <f>JV53-JV54</f>
        <v/>
      </c>
      <c r="JW55" s="246" t="n"/>
      <c r="JX55" s="250">
        <f>JX53-JX54</f>
        <v/>
      </c>
      <c r="JY55" s="251" t="n"/>
      <c r="JZ55" s="245">
        <f>JZ53-JZ54</f>
        <v/>
      </c>
      <c r="KA55" s="246" t="n"/>
      <c r="KB55" s="298">
        <f>SUM(H55:JY55)</f>
        <v/>
      </c>
      <c r="KC55" s="246" t="n"/>
      <c r="KD55" s="2" t="n"/>
      <c r="KF55" s="97" t="n"/>
    </row>
    <row r="56" ht="11.25" customHeight="1">
      <c r="B56" s="32" t="n"/>
      <c r="D56" s="279" t="inlineStr">
        <is>
          <t>частично актован</t>
        </is>
      </c>
      <c r="M56" s="279" t="n"/>
      <c r="CT56" s="279" t="n"/>
      <c r="CU56" s="279" t="n"/>
      <c r="KB56" s="307" t="n"/>
      <c r="KC56" s="308" t="n"/>
    </row>
    <row r="57" ht="11.25" customHeight="1">
      <c r="B57" s="33" t="n"/>
      <c r="D57" s="279" t="inlineStr">
        <is>
          <t>НЗП</t>
        </is>
      </c>
      <c r="M57" s="279" t="n"/>
      <c r="CT57" s="279" t="n"/>
      <c r="CU57" s="279" t="n"/>
    </row>
    <row r="58" ht="11.25" customHeight="1">
      <c r="B58" s="34" t="n"/>
      <c r="D58" s="279" t="inlineStr">
        <is>
          <t>актовка</t>
        </is>
      </c>
      <c r="M58" s="279" t="n"/>
      <c r="CT58" s="279" t="n"/>
      <c r="CU58" s="279" t="n"/>
    </row>
    <row r="59" ht="11.25" customHeight="1">
      <c r="B59" s="35" t="n"/>
      <c r="D59" s="279" t="inlineStr">
        <is>
          <t>для заполнения данными бухгалтерии</t>
        </is>
      </c>
      <c r="M59" s="279" t="n"/>
      <c r="CT59" s="279" t="n"/>
      <c r="CU59" s="279" t="n"/>
    </row>
    <row r="60" ht="29.25" customHeight="1">
      <c r="CT60" s="279" t="n"/>
      <c r="CU60" s="279" t="n"/>
    </row>
    <row r="61" ht="14.25" customHeight="1">
      <c r="CT61" s="279" t="n"/>
      <c r="CU61" s="279" t="n"/>
    </row>
    <row r="62" ht="13.2" customHeight="1">
      <c r="BF62" s="88" t="n"/>
      <c r="CD62" s="88" t="n"/>
      <c r="CR62" s="88" t="n"/>
      <c r="CT62" s="88" t="n"/>
      <c r="CU62" s="279" t="n"/>
      <c r="DL62" s="88" t="n"/>
      <c r="DX62" s="88" t="n"/>
      <c r="EJ62" s="88" t="n"/>
      <c r="EP62" s="88" t="n"/>
      <c r="EX62" s="88" t="n"/>
      <c r="GX62" s="88" t="n"/>
      <c r="GZ62" s="88" t="n"/>
      <c r="HB62" s="88" t="n"/>
      <c r="HD62" s="88" t="n"/>
      <c r="HF62" s="88" t="n"/>
      <c r="HH62" s="88" t="n"/>
      <c r="HJ62" s="88" t="n"/>
      <c r="HL62" s="88" t="n"/>
      <c r="KF62" s="88" t="n"/>
    </row>
    <row r="63" ht="13.2" customHeight="1">
      <c r="CT63" s="279" t="n"/>
      <c r="CU63" s="279" t="n"/>
    </row>
    <row r="64" ht="13.2" customHeight="1">
      <c r="CT64" s="279" t="n"/>
      <c r="CU64" s="279" t="n"/>
    </row>
    <row r="65" ht="13.2" customHeight="1">
      <c r="CT65" s="279" t="n"/>
      <c r="CU65" s="279" t="n"/>
    </row>
    <row r="66" ht="13.2" customHeight="1">
      <c r="CT66" s="279" t="n"/>
      <c r="CU66" s="279" t="n"/>
    </row>
    <row r="67" ht="13.2" customHeight="1">
      <c r="CT67" s="279" t="n"/>
      <c r="CU67" s="279" t="n"/>
    </row>
    <row r="68" ht="13.2" customHeight="1">
      <c r="CT68" s="279" t="n"/>
      <c r="CU68" s="279" t="n"/>
    </row>
    <row r="69" ht="13.2" customHeight="1">
      <c r="CT69" s="279" t="n"/>
      <c r="CU69" s="279" t="n"/>
    </row>
    <row r="70" ht="13.2" customHeight="1">
      <c r="CT70" s="279" t="n"/>
      <c r="CU70" s="279" t="n"/>
      <c r="JE70" s="301" t="n"/>
    </row>
    <row r="71" ht="13.2" customHeight="1">
      <c r="CT71" s="279" t="n"/>
      <c r="CU71" s="279" t="n"/>
      <c r="JE71" s="278" t="n"/>
    </row>
    <row r="72" ht="13.2" customHeight="1">
      <c r="CT72" s="279" t="n"/>
      <c r="CU72" s="279" t="n"/>
    </row>
    <row r="73" ht="13.2" customHeight="1">
      <c r="CT73" s="279" t="n"/>
      <c r="CU73" s="279" t="n"/>
    </row>
    <row r="74" ht="13.2" customHeight="1">
      <c r="CT74" s="279" t="n"/>
      <c r="CU74" s="279" t="n"/>
    </row>
    <row r="75" ht="13.2" customHeight="1">
      <c r="CT75" s="279" t="n"/>
      <c r="CU75" s="279" t="n"/>
    </row>
    <row r="76" ht="13.2" customHeight="1">
      <c r="CT76" s="279" t="n"/>
      <c r="CU76" s="279" t="n"/>
    </row>
    <row r="77" ht="13.2" customHeight="1">
      <c r="CT77" s="279" t="n"/>
      <c r="CU77" s="279" t="n"/>
    </row>
    <row r="78" ht="13.2" customHeight="1">
      <c r="CT78" s="279" t="n"/>
      <c r="CU78" s="279" t="n"/>
    </row>
    <row r="79" ht="13.2" customHeight="1">
      <c r="CT79" s="279" t="n"/>
      <c r="CU79" s="279" t="n"/>
    </row>
    <row r="80" ht="13.2" customHeight="1">
      <c r="CT80" s="279" t="n"/>
      <c r="CU80" s="279" t="n"/>
    </row>
    <row r="81" ht="13.2" customHeight="1">
      <c r="CT81" s="279" t="n"/>
      <c r="CU81" s="279" t="n"/>
    </row>
    <row r="82" ht="13.2" customHeight="1">
      <c r="CT82" s="279" t="n"/>
      <c r="CU82" s="279" t="n"/>
    </row>
    <row r="83" ht="13.2" customHeight="1">
      <c r="CT83" s="279" t="n"/>
      <c r="CU83" s="279" t="n"/>
    </row>
    <row r="84" ht="13.2" customHeight="1">
      <c r="CT84" s="279" t="n"/>
      <c r="CU84" s="279" t="n"/>
    </row>
    <row r="85" ht="13.2" customHeight="1">
      <c r="CT85" s="279" t="n"/>
      <c r="CU85" s="279" t="n"/>
    </row>
    <row r="86" ht="13.2" customHeight="1">
      <c r="CT86" s="279" t="n"/>
      <c r="CU86" s="279" t="n"/>
    </row>
    <row r="87" ht="13.2" customHeight="1">
      <c r="CT87" s="279" t="n"/>
      <c r="CU87" s="279" t="n"/>
    </row>
    <row r="88" ht="13.2" customHeight="1">
      <c r="CT88" s="279" t="n"/>
      <c r="CU88" s="279" t="n"/>
    </row>
    <row r="89" ht="13.2" customHeight="1">
      <c r="CT89" s="279" t="n"/>
      <c r="CU89" s="279" t="n"/>
    </row>
    <row r="90" ht="13.2" customHeight="1">
      <c r="CT90" s="279" t="n"/>
      <c r="CU90" s="279" t="n"/>
    </row>
    <row r="91" ht="13.2" customHeight="1">
      <c r="CT91" s="279" t="n"/>
      <c r="CU91" s="279" t="n"/>
    </row>
    <row r="92" ht="13.2" customHeight="1">
      <c r="CT92" s="279" t="n"/>
      <c r="CU92" s="279" t="n"/>
    </row>
    <row r="93" ht="13.2" customHeight="1">
      <c r="CT93" s="279" t="n"/>
      <c r="CU93" s="279" t="n"/>
    </row>
    <row r="94" ht="13.2" customHeight="1">
      <c r="CT94" s="279" t="n"/>
      <c r="CU94" s="279" t="n"/>
    </row>
    <row r="95" ht="13.2" customHeight="1">
      <c r="CT95" s="279" t="n"/>
      <c r="CU95" s="279" t="n"/>
    </row>
    <row r="96" ht="13.2" customHeight="1">
      <c r="CT96" s="279" t="n"/>
      <c r="CU96" s="279" t="n"/>
    </row>
    <row r="97" ht="13.2" customHeight="1">
      <c r="CT97" s="279" t="n"/>
      <c r="CU97" s="279" t="n"/>
    </row>
    <row r="98" ht="13.2" customHeight="1">
      <c r="CT98" s="279" t="n"/>
      <c r="CU98" s="279" t="n"/>
    </row>
    <row r="99" ht="13.2" customHeight="1">
      <c r="CT99" s="279" t="n"/>
      <c r="CU99" s="279" t="n"/>
    </row>
    <row r="100" ht="13.2" customHeight="1">
      <c r="CT100" s="279" t="n"/>
      <c r="CU100" s="279" t="n"/>
    </row>
    <row r="101" ht="13.2" customHeight="1">
      <c r="CT101" s="279" t="n"/>
      <c r="CU101" s="279" t="n"/>
    </row>
    <row r="102" ht="13.2" customHeight="1">
      <c r="CT102" s="279" t="n"/>
      <c r="CU102" s="279" t="n"/>
    </row>
    <row r="103" ht="13.2" customHeight="1">
      <c r="CT103" s="279" t="n"/>
      <c r="CU103" s="279" t="n"/>
    </row>
    <row r="104" ht="13.2" customHeight="1">
      <c r="CT104" s="279" t="n"/>
      <c r="CU104" s="279" t="n"/>
    </row>
    <row r="105" ht="13.2" customHeight="1">
      <c r="CT105" s="279" t="n"/>
      <c r="CU105" s="279" t="n"/>
    </row>
    <row r="106" ht="13.2" customHeight="1">
      <c r="CT106" s="279" t="n"/>
      <c r="CU106" s="279" t="n"/>
    </row>
    <row r="107" ht="13.2" customHeight="1">
      <c r="CT107" s="279" t="n"/>
      <c r="CU107" s="279" t="n"/>
    </row>
    <row r="108" ht="13.2" customHeight="1">
      <c r="CT108" s="279" t="n"/>
      <c r="CU108" s="279" t="n"/>
    </row>
    <row r="109" ht="13.2" customHeight="1">
      <c r="CT109" s="279" t="n"/>
      <c r="CU109" s="279" t="n"/>
    </row>
    <row r="110" ht="13.2" customHeight="1">
      <c r="CT110" s="279" t="n"/>
      <c r="CU110" s="279" t="n"/>
    </row>
    <row r="111" ht="13.2" customHeight="1">
      <c r="CT111" s="279" t="n"/>
      <c r="CU111" s="279" t="n"/>
    </row>
    <row r="112" ht="13.2" customHeight="1">
      <c r="CT112" s="279" t="n"/>
      <c r="CU112" s="279" t="n"/>
    </row>
    <row r="113" ht="13.2" customHeight="1">
      <c r="CT113" s="279" t="n"/>
      <c r="CU113" s="279" t="n"/>
    </row>
    <row r="114" ht="13.2" customHeight="1">
      <c r="CT114" s="279" t="n"/>
      <c r="CU114" s="279" t="n"/>
    </row>
    <row r="115" ht="13.2" customHeight="1">
      <c r="CT115" s="279" t="n"/>
      <c r="CU115" s="279" t="n"/>
    </row>
    <row r="116" ht="13.2" customHeight="1">
      <c r="CT116" s="279" t="n"/>
      <c r="CU116" s="279" t="n"/>
    </row>
    <row r="117" ht="13.2" customHeight="1">
      <c r="CT117" s="279" t="n"/>
      <c r="CU117" s="279" t="n"/>
    </row>
    <row r="118" ht="13.2" customHeight="1">
      <c r="CT118" s="279" t="n"/>
      <c r="CU118" s="279" t="n"/>
    </row>
    <row r="119" ht="13.2" customHeight="1">
      <c r="CT119" s="279" t="n"/>
      <c r="CU119" s="279" t="n"/>
    </row>
    <row r="120" ht="13.2" customHeight="1">
      <c r="CT120" s="279" t="n"/>
      <c r="CU120" s="279" t="n"/>
    </row>
    <row r="121" ht="13.2" customHeight="1">
      <c r="CT121" s="279" t="n"/>
      <c r="CU121" s="279" t="n"/>
    </row>
    <row r="122" ht="13.2" customHeight="1">
      <c r="CT122" s="279" t="n"/>
      <c r="CU122" s="279" t="n"/>
    </row>
    <row r="123" ht="13.2" customHeight="1">
      <c r="CT123" s="279" t="n"/>
      <c r="CU123" s="279" t="n"/>
    </row>
    <row r="124" ht="13.2" customHeight="1">
      <c r="CT124" s="279" t="n"/>
      <c r="CU124" s="279" t="n"/>
    </row>
    <row r="125" ht="13.2" customHeight="1">
      <c r="CT125" s="279" t="n"/>
      <c r="CU125" s="279" t="n"/>
    </row>
    <row r="126" ht="13.2" customHeight="1">
      <c r="CT126" s="279" t="n"/>
      <c r="CU126" s="279" t="n"/>
    </row>
    <row r="127" ht="13.2" customHeight="1">
      <c r="CT127" s="279" t="n"/>
      <c r="CU127" s="279" t="n"/>
    </row>
    <row r="128" ht="13.2" customHeight="1">
      <c r="CT128" s="279" t="n"/>
      <c r="CU128" s="279" t="n"/>
    </row>
    <row r="129" ht="13.2" customHeight="1">
      <c r="CT129" s="279" t="n"/>
      <c r="CU129" s="279" t="n"/>
    </row>
    <row r="130" ht="13.2" customHeight="1">
      <c r="CT130" s="279" t="n"/>
      <c r="CU130" s="279" t="n"/>
    </row>
    <row r="131" ht="13.2" customHeight="1">
      <c r="CT131" s="279" t="n"/>
      <c r="CU131" s="279" t="n"/>
    </row>
    <row r="132" ht="13.2" customHeight="1">
      <c r="CT132" s="279" t="n"/>
      <c r="CU132" s="279" t="n"/>
    </row>
    <row r="133" ht="13.2" customHeight="1">
      <c r="CT133" s="279" t="n"/>
      <c r="CU133" s="279" t="n"/>
    </row>
    <row r="134" ht="13.2" customHeight="1">
      <c r="CT134" s="279" t="n"/>
      <c r="CU134" s="279" t="n"/>
    </row>
    <row r="135" ht="13.2" customHeight="1">
      <c r="CT135" s="279" t="n"/>
      <c r="CU135" s="279" t="n"/>
    </row>
    <row r="136" ht="13.2" customHeight="1">
      <c r="CT136" s="279" t="n"/>
      <c r="CU136" s="279" t="n"/>
    </row>
    <row r="137" ht="13.2" customHeight="1">
      <c r="CT137" s="279" t="n"/>
      <c r="CU137" s="279" t="n"/>
    </row>
    <row r="138" ht="13.2" customHeight="1">
      <c r="CT138" s="279" t="n"/>
      <c r="CU138" s="279" t="n"/>
    </row>
    <row r="139" ht="13.2" customHeight="1">
      <c r="CT139" s="279" t="n"/>
      <c r="CU139" s="279" t="n"/>
    </row>
    <row r="140" ht="13.2" customHeight="1">
      <c r="CT140" s="279" t="n"/>
      <c r="CU140" s="279" t="n"/>
    </row>
    <row r="141" ht="13.2" customHeight="1">
      <c r="CT141" s="279" t="n"/>
      <c r="CU141" s="279" t="n"/>
    </row>
    <row r="142" ht="13.2" customHeight="1">
      <c r="CT142" s="279" t="n"/>
      <c r="CU142" s="279" t="n"/>
    </row>
    <row r="143" ht="13.2" customHeight="1">
      <c r="CT143" s="279" t="n"/>
      <c r="CU143" s="279" t="n"/>
    </row>
    <row r="144" ht="13.2" customHeight="1">
      <c r="CT144" s="279" t="n"/>
      <c r="CU144" s="279" t="n"/>
    </row>
    <row r="145" ht="13.2" customHeight="1">
      <c r="CT145" s="279" t="n"/>
      <c r="CU145" s="279" t="n"/>
    </row>
    <row r="146" ht="13.2" customHeight="1">
      <c r="CT146" s="279" t="n"/>
      <c r="CU146" s="279" t="n"/>
    </row>
    <row r="147" ht="13.2" customHeight="1">
      <c r="CT147" s="279" t="n"/>
      <c r="CU147" s="279" t="n"/>
    </row>
    <row r="148" ht="13.2" customHeight="1">
      <c r="CT148" s="279" t="n"/>
      <c r="CU148" s="279" t="n"/>
    </row>
    <row r="149" ht="13.2" customHeight="1">
      <c r="CT149" s="279" t="n"/>
      <c r="CU149" s="279" t="n"/>
    </row>
    <row r="150" ht="13.2" customHeight="1">
      <c r="CT150" s="279" t="n"/>
      <c r="CU150" s="279" t="n"/>
    </row>
    <row r="151" ht="13.2" customHeight="1">
      <c r="CT151" s="279" t="n"/>
      <c r="CU151" s="279" t="n"/>
    </row>
    <row r="152" ht="13.2" customHeight="1">
      <c r="CT152" s="279" t="n"/>
      <c r="CU152" s="279" t="n"/>
    </row>
    <row r="153" ht="13.2" customHeight="1">
      <c r="CT153" s="279" t="n"/>
      <c r="CU153" s="279" t="n"/>
    </row>
    <row r="154" ht="13.2" customHeight="1">
      <c r="CT154" s="279" t="n"/>
      <c r="CU154" s="279" t="n"/>
    </row>
    <row r="155" ht="13.2" customHeight="1">
      <c r="CT155" s="279" t="n"/>
      <c r="CU155" s="279" t="n"/>
    </row>
    <row r="156" ht="13.2" customHeight="1">
      <c r="CT156" s="279" t="n"/>
      <c r="CU156" s="279" t="n"/>
    </row>
    <row r="157" ht="13.2" customHeight="1">
      <c r="CT157" s="279" t="n"/>
      <c r="CU157" s="279" t="n"/>
    </row>
    <row r="158" ht="13.2" customHeight="1">
      <c r="CT158" s="279" t="n"/>
      <c r="CU158" s="279" t="n"/>
    </row>
    <row r="159" ht="13.2" customHeight="1">
      <c r="CT159" s="279" t="n"/>
      <c r="CU159" s="279" t="n"/>
    </row>
    <row r="160" ht="13.2" customHeight="1">
      <c r="CT160" s="279" t="n"/>
      <c r="CU160" s="279" t="n"/>
    </row>
    <row r="161" ht="13.2" customHeight="1">
      <c r="CT161" s="279" t="n"/>
      <c r="CU161" s="279" t="n"/>
    </row>
    <row r="162" ht="13.2" customHeight="1">
      <c r="CT162" s="279" t="n"/>
      <c r="CU162" s="279" t="n"/>
    </row>
    <row r="163" ht="13.2" customHeight="1">
      <c r="CT163" s="279" t="n"/>
      <c r="CU163" s="279" t="n"/>
    </row>
    <row r="164" ht="13.2" customHeight="1">
      <c r="CT164" s="279" t="n"/>
      <c r="CU164" s="279" t="n"/>
    </row>
    <row r="165" ht="13.2" customHeight="1">
      <c r="CT165" s="279" t="n"/>
      <c r="CU165" s="279" t="n"/>
    </row>
    <row r="166" ht="13.2" customHeight="1">
      <c r="CT166" s="279" t="n"/>
      <c r="CU166" s="279" t="n"/>
    </row>
    <row r="167" ht="13.2" customHeight="1">
      <c r="CT167" s="279" t="n"/>
      <c r="CU167" s="279" t="n"/>
    </row>
    <row r="168" ht="13.2" customHeight="1">
      <c r="CT168" s="279" t="n"/>
      <c r="CU168" s="279" t="n"/>
    </row>
    <row r="169" ht="13.2" customHeight="1">
      <c r="CT169" s="279" t="n"/>
      <c r="CU169" s="279" t="n"/>
    </row>
    <row r="170" ht="13.2" customHeight="1">
      <c r="CT170" s="279" t="n"/>
      <c r="CU170" s="279" t="n"/>
    </row>
    <row r="171" ht="13.2" customHeight="1">
      <c r="CT171" s="279" t="n"/>
      <c r="CU171" s="279" t="n"/>
    </row>
    <row r="172" ht="13.2" customHeight="1">
      <c r="CT172" s="279" t="n"/>
      <c r="CU172" s="279" t="n"/>
    </row>
    <row r="173" ht="13.2" customHeight="1">
      <c r="CT173" s="279" t="n"/>
      <c r="CU173" s="279" t="n"/>
    </row>
    <row r="174" ht="13.2" customHeight="1">
      <c r="CT174" s="279" t="n"/>
      <c r="CU174" s="279" t="n"/>
    </row>
    <row r="175" ht="13.2" customHeight="1">
      <c r="CT175" s="279" t="n"/>
      <c r="CU175" s="279" t="n"/>
    </row>
    <row r="176" ht="13.2" customHeight="1">
      <c r="CT176" s="279" t="n"/>
      <c r="CU176" s="279" t="n"/>
    </row>
    <row r="177" ht="13.2" customHeight="1">
      <c r="CT177" s="279" t="n"/>
      <c r="CU177" s="279" t="n"/>
    </row>
    <row r="178" ht="13.2" customHeight="1">
      <c r="CT178" s="279" t="n"/>
      <c r="CU178" s="279" t="n"/>
    </row>
    <row r="179" ht="13.2" customHeight="1">
      <c r="CT179" s="279" t="n"/>
      <c r="CU179" s="279" t="n"/>
    </row>
    <row r="180" ht="13.2" customHeight="1">
      <c r="CT180" s="279" t="n"/>
      <c r="CU180" s="279" t="n"/>
    </row>
    <row r="181" ht="13.2" customHeight="1">
      <c r="CT181" s="279" t="n"/>
      <c r="CU181" s="279" t="n"/>
    </row>
    <row r="182" ht="13.2" customHeight="1">
      <c r="CT182" s="279" t="n"/>
      <c r="CU182" s="279" t="n"/>
    </row>
    <row r="183" ht="13.2" customHeight="1">
      <c r="CT183" s="279" t="n"/>
      <c r="CU183" s="279" t="n"/>
    </row>
    <row r="184" ht="13.2" customHeight="1">
      <c r="CT184" s="279" t="n"/>
      <c r="CU184" s="279" t="n"/>
    </row>
    <row r="185" ht="13.2" customHeight="1">
      <c r="CT185" s="279" t="n"/>
      <c r="CU185" s="279" t="n"/>
    </row>
    <row r="186" ht="13.2" customHeight="1">
      <c r="CT186" s="279" t="n"/>
      <c r="CU186" s="279" t="n"/>
    </row>
    <row r="187" ht="13.2" customHeight="1">
      <c r="CT187" s="279" t="n"/>
      <c r="CU187" s="279" t="n"/>
    </row>
    <row r="188" ht="13.2" customHeight="1">
      <c r="CT188" s="279" t="n"/>
      <c r="CU188" s="279" t="n"/>
    </row>
    <row r="189" ht="13.2" customHeight="1">
      <c r="CT189" s="279" t="n"/>
      <c r="CU189" s="279" t="n"/>
    </row>
    <row r="190" ht="13.2" customHeight="1">
      <c r="CT190" s="279" t="n"/>
      <c r="CU190" s="279" t="n"/>
    </row>
    <row r="191" ht="13.2" customHeight="1">
      <c r="CT191" s="279" t="n"/>
      <c r="CU191" s="279" t="n"/>
    </row>
    <row r="192" ht="13.2" customHeight="1">
      <c r="CT192" s="279" t="n"/>
      <c r="CU192" s="279" t="n"/>
    </row>
    <row r="193" ht="13.2" customHeight="1">
      <c r="CT193" s="279" t="n"/>
      <c r="CU193" s="279" t="n"/>
    </row>
    <row r="194" ht="13.2" customHeight="1">
      <c r="CT194" s="279" t="n"/>
      <c r="CU194" s="279" t="n"/>
    </row>
    <row r="195" ht="13.2" customHeight="1">
      <c r="CT195" s="279" t="n"/>
      <c r="CU195" s="279" t="n"/>
    </row>
    <row r="196" ht="13.2" customHeight="1">
      <c r="CT196" s="279" t="n"/>
      <c r="CU196" s="279" t="n"/>
    </row>
    <row r="197" ht="13.2" customHeight="1">
      <c r="CT197" s="279" t="n"/>
      <c r="CU197" s="279" t="n"/>
    </row>
    <row r="198" ht="13.2" customHeight="1">
      <c r="CT198" s="279" t="n"/>
      <c r="CU198" s="279" t="n"/>
    </row>
    <row r="199" ht="13.2" customHeight="1">
      <c r="CT199" s="279" t="n"/>
      <c r="CU199" s="279" t="n"/>
    </row>
    <row r="200" ht="13.2" customHeight="1">
      <c r="CT200" s="279" t="n"/>
      <c r="CU200" s="279" t="n"/>
    </row>
    <row r="201" ht="13.2" customHeight="1">
      <c r="CT201" s="279" t="n"/>
      <c r="CU201" s="279" t="n"/>
    </row>
    <row r="202" ht="13.2" customHeight="1">
      <c r="CT202" s="279" t="n"/>
      <c r="CU202" s="279" t="n"/>
    </row>
    <row r="203" ht="13.2" customHeight="1">
      <c r="CT203" s="279" t="n"/>
      <c r="CU203" s="279" t="n"/>
    </row>
    <row r="204" ht="13.2" customHeight="1">
      <c r="CT204" s="279" t="n"/>
      <c r="CU204" s="279" t="n"/>
    </row>
    <row r="205" ht="13.2" customHeight="1">
      <c r="CT205" s="279" t="n"/>
      <c r="CU205" s="279" t="n"/>
    </row>
    <row r="206" ht="13.2" customHeight="1">
      <c r="CT206" s="279" t="n"/>
      <c r="CU206" s="279" t="n"/>
    </row>
    <row r="207" ht="13.2" customHeight="1">
      <c r="CT207" s="279" t="n"/>
      <c r="CU207" s="279" t="n"/>
    </row>
    <row r="208" ht="13.2" customHeight="1">
      <c r="CT208" s="279" t="n"/>
      <c r="CU208" s="279" t="n"/>
    </row>
    <row r="209" ht="13.2" customHeight="1">
      <c r="CT209" s="279" t="n"/>
      <c r="CU209" s="279" t="n"/>
    </row>
    <row r="210" ht="13.2" customHeight="1">
      <c r="CT210" s="279" t="n"/>
      <c r="CU210" s="279" t="n"/>
    </row>
    <row r="211" ht="13.2" customHeight="1">
      <c r="CT211" s="279" t="n"/>
      <c r="CU211" s="279" t="n"/>
    </row>
    <row r="212" ht="13.2" customHeight="1">
      <c r="CT212" s="279" t="n"/>
      <c r="CU212" s="279" t="n"/>
    </row>
    <row r="213" ht="13.2" customHeight="1">
      <c r="CT213" s="279" t="n"/>
      <c r="CU213" s="279" t="n"/>
    </row>
    <row r="214" ht="13.2" customHeight="1">
      <c r="CT214" s="279" t="n"/>
      <c r="CU214" s="279" t="n"/>
    </row>
    <row r="215" ht="13.2" customHeight="1">
      <c r="CT215" s="279" t="n"/>
      <c r="CU215" s="279" t="n"/>
    </row>
    <row r="216" ht="13.2" customHeight="1">
      <c r="CT216" s="279" t="n"/>
      <c r="CU216" s="279" t="n"/>
    </row>
    <row r="217" ht="13.2" customHeight="1">
      <c r="CT217" s="279" t="n"/>
      <c r="CU217" s="279" t="n"/>
    </row>
    <row r="218" ht="13.2" customHeight="1">
      <c r="CT218" s="279" t="n"/>
      <c r="CU218" s="279" t="n"/>
    </row>
    <row r="219" ht="13.2" customHeight="1">
      <c r="CT219" s="279" t="n"/>
      <c r="CU219" s="279" t="n"/>
    </row>
    <row r="220" ht="13.2" customHeight="1">
      <c r="CT220" s="279" t="n"/>
      <c r="CU220" s="279" t="n"/>
    </row>
    <row r="221" ht="13.2" customHeight="1">
      <c r="CT221" s="279" t="n"/>
      <c r="CU221" s="279" t="n"/>
    </row>
    <row r="222" ht="13.2" customHeight="1">
      <c r="CT222" s="279" t="n"/>
      <c r="CU222" s="279" t="n"/>
    </row>
    <row r="223" ht="13.2" customHeight="1">
      <c r="CT223" s="279" t="n"/>
      <c r="CU223" s="279" t="n"/>
    </row>
    <row r="224" ht="13.2" customHeight="1">
      <c r="CT224" s="279" t="n"/>
      <c r="CU224" s="279" t="n"/>
    </row>
    <row r="225" ht="13.2" customHeight="1">
      <c r="CT225" s="279" t="n"/>
      <c r="CU225" s="279" t="n"/>
    </row>
    <row r="226" ht="13.2" customHeight="1">
      <c r="CT226" s="279" t="n"/>
      <c r="CU226" s="279" t="n"/>
    </row>
    <row r="227" ht="13.2" customHeight="1">
      <c r="CT227" s="279" t="n"/>
      <c r="CU227" s="279" t="n"/>
    </row>
    <row r="228" ht="13.2" customHeight="1">
      <c r="CT228" s="279" t="n"/>
      <c r="CU228" s="279" t="n"/>
    </row>
    <row r="229" ht="13.2" customHeight="1">
      <c r="CT229" s="279" t="n"/>
      <c r="CU229" s="279" t="n"/>
    </row>
    <row r="230" ht="13.2" customHeight="1">
      <c r="CT230" s="279" t="n"/>
      <c r="CU230" s="279" t="n"/>
    </row>
    <row r="231" ht="13.2" customHeight="1">
      <c r="CT231" s="279" t="n"/>
      <c r="CU231" s="279" t="n"/>
    </row>
    <row r="232" ht="13.2" customHeight="1">
      <c r="CT232" s="279" t="n"/>
      <c r="CU232" s="279" t="n"/>
    </row>
    <row r="233" ht="13.2" customHeight="1">
      <c r="CT233" s="279" t="n"/>
      <c r="CU233" s="279" t="n"/>
    </row>
    <row r="234" ht="13.2" customHeight="1">
      <c r="CT234" s="279" t="n"/>
      <c r="CU234" s="279" t="n"/>
    </row>
    <row r="235" ht="13.2" customHeight="1">
      <c r="CT235" s="279" t="n"/>
      <c r="CU235" s="279" t="n"/>
    </row>
    <row r="236" ht="13.2" customHeight="1">
      <c r="CT236" s="279" t="n"/>
      <c r="CU236" s="279" t="n"/>
    </row>
    <row r="237" ht="13.2" customHeight="1">
      <c r="CT237" s="279" t="n"/>
      <c r="CU237" s="279" t="n"/>
    </row>
    <row r="238" ht="13.2" customHeight="1">
      <c r="CT238" s="279" t="n"/>
      <c r="CU238" s="279" t="n"/>
    </row>
    <row r="239" ht="13.2" customHeight="1">
      <c r="CT239" s="279" t="n"/>
      <c r="CU239" s="279" t="n"/>
    </row>
    <row r="240" ht="13.2" customHeight="1">
      <c r="CT240" s="279" t="n"/>
      <c r="CU240" s="279" t="n"/>
    </row>
    <row r="241" ht="13.2" customHeight="1">
      <c r="CT241" s="279" t="n"/>
      <c r="CU241" s="279" t="n"/>
    </row>
    <row r="242" ht="13.2" customHeight="1">
      <c r="CT242" s="279" t="n"/>
      <c r="CU242" s="279" t="n"/>
    </row>
    <row r="243" ht="13.2" customHeight="1">
      <c r="CT243" s="279" t="n"/>
      <c r="CU243" s="279" t="n"/>
    </row>
    <row r="244" ht="13.2" customHeight="1">
      <c r="CT244" s="279" t="n"/>
      <c r="CU244" s="279" t="n"/>
    </row>
    <row r="245" ht="13.2" customHeight="1">
      <c r="CT245" s="279" t="n"/>
      <c r="CU245" s="279" t="n"/>
    </row>
    <row r="246" ht="13.2" customHeight="1">
      <c r="CT246" s="279" t="n"/>
      <c r="CU246" s="279" t="n"/>
    </row>
    <row r="247" ht="13.2" customHeight="1">
      <c r="CT247" s="279" t="n"/>
      <c r="CU247" s="279" t="n"/>
    </row>
    <row r="248" ht="13.2" customHeight="1">
      <c r="CT248" s="279" t="n"/>
      <c r="CU248" s="279" t="n"/>
    </row>
    <row r="249" ht="13.2" customHeight="1">
      <c r="CT249" s="279" t="n"/>
      <c r="CU249" s="279" t="n"/>
    </row>
    <row r="250" ht="13.2" customHeight="1">
      <c r="CT250" s="279" t="n"/>
      <c r="CU250" s="279" t="n"/>
    </row>
    <row r="251" ht="13.2" customHeight="1">
      <c r="CT251" s="279" t="n"/>
      <c r="CU251" s="279" t="n"/>
    </row>
    <row r="252" ht="13.2" customHeight="1">
      <c r="CT252" s="279" t="n"/>
      <c r="CU252" s="279" t="n"/>
    </row>
    <row r="253" ht="13.2" customHeight="1">
      <c r="CT253" s="279" t="n"/>
      <c r="CU253" s="279" t="n"/>
    </row>
    <row r="254" ht="13.2" customHeight="1">
      <c r="CT254" s="279" t="n"/>
      <c r="CU254" s="279" t="n"/>
    </row>
    <row r="255" ht="13.2" customHeight="1">
      <c r="CT255" s="279" t="n"/>
      <c r="CU255" s="279" t="n"/>
    </row>
    <row r="256" ht="13.2" customHeight="1">
      <c r="CT256" s="279" t="n"/>
      <c r="CU256" s="279" t="n"/>
    </row>
    <row r="257" ht="13.2" customHeight="1">
      <c r="CT257" s="279" t="n"/>
      <c r="CU257" s="279" t="n"/>
    </row>
    <row r="258" ht="13.2" customHeight="1">
      <c r="CT258" s="279" t="n"/>
      <c r="CU258" s="279" t="n"/>
    </row>
    <row r="259" ht="13.2" customHeight="1">
      <c r="CT259" s="279" t="n"/>
      <c r="CU259" s="279" t="n"/>
    </row>
    <row r="260" ht="13.2" customHeight="1">
      <c r="CT260" s="279" t="n"/>
      <c r="CU260" s="279" t="n"/>
    </row>
    <row r="261" ht="13.2" customHeight="1">
      <c r="CT261" s="279" t="n"/>
      <c r="CU261" s="279" t="n"/>
    </row>
    <row r="262" ht="13.2" customHeight="1">
      <c r="CT262" s="279" t="n"/>
      <c r="CU262" s="279" t="n"/>
    </row>
    <row r="263" ht="13.2" customHeight="1">
      <c r="CT263" s="279" t="n"/>
      <c r="CU263" s="279" t="n"/>
    </row>
    <row r="264" ht="13.2" customHeight="1">
      <c r="CT264" s="279" t="n"/>
      <c r="CU264" s="279" t="n"/>
    </row>
    <row r="265" ht="13.2" customHeight="1">
      <c r="CT265" s="279" t="n"/>
      <c r="CU265" s="279" t="n"/>
    </row>
    <row r="266" ht="13.2" customHeight="1">
      <c r="CT266" s="279" t="n"/>
      <c r="CU266" s="279" t="n"/>
    </row>
    <row r="267" ht="13.2" customHeight="1">
      <c r="CT267" s="279" t="n"/>
      <c r="CU267" s="279" t="n"/>
    </row>
    <row r="268" ht="13.2" customHeight="1">
      <c r="CT268" s="279" t="n"/>
      <c r="CU268" s="279" t="n"/>
    </row>
    <row r="269" ht="13.2" customHeight="1">
      <c r="CT269" s="279" t="n"/>
      <c r="CU269" s="279" t="n"/>
    </row>
    <row r="270" ht="13.2" customHeight="1">
      <c r="CT270" s="279" t="n"/>
      <c r="CU270" s="279" t="n"/>
    </row>
    <row r="271" ht="13.2" customHeight="1">
      <c r="CT271" s="279" t="n"/>
      <c r="CU271" s="279" t="n"/>
    </row>
    <row r="272" ht="13.2" customHeight="1">
      <c r="CT272" s="279" t="n"/>
      <c r="CU272" s="279" t="n"/>
    </row>
    <row r="273" ht="13.2" customHeight="1">
      <c r="CT273" s="279" t="n"/>
      <c r="CU273" s="279" t="n"/>
    </row>
    <row r="274" ht="13.2" customHeight="1">
      <c r="CT274" s="279" t="n"/>
      <c r="CU274" s="279" t="n"/>
    </row>
    <row r="275" ht="13.2" customHeight="1">
      <c r="CT275" s="279" t="n"/>
      <c r="CU275" s="279" t="n"/>
    </row>
    <row r="276" ht="13.2" customHeight="1">
      <c r="CT276" s="279" t="n"/>
      <c r="CU276" s="279" t="n"/>
    </row>
    <row r="277" ht="13.2" customHeight="1">
      <c r="CT277" s="279" t="n"/>
      <c r="CU277" s="279" t="n"/>
    </row>
    <row r="278" ht="13.2" customHeight="1">
      <c r="CT278" s="279" t="n"/>
      <c r="CU278" s="279" t="n"/>
    </row>
    <row r="279" ht="13.2" customHeight="1">
      <c r="CT279" s="279" t="n"/>
      <c r="CU279" s="279" t="n"/>
    </row>
    <row r="280" ht="13.2" customHeight="1">
      <c r="CT280" s="279" t="n"/>
      <c r="CU280" s="279" t="n"/>
    </row>
    <row r="281" ht="13.2" customHeight="1">
      <c r="CT281" s="279" t="n"/>
      <c r="CU281" s="279" t="n"/>
    </row>
    <row r="282" ht="13.2" customHeight="1">
      <c r="CT282" s="279" t="n"/>
      <c r="CU282" s="279" t="n"/>
    </row>
    <row r="283" ht="13.2" customHeight="1">
      <c r="CT283" s="279" t="n"/>
      <c r="CU283" s="279" t="n"/>
    </row>
    <row r="284" ht="13.2" customHeight="1">
      <c r="CT284" s="279" t="n"/>
      <c r="CU284" s="279" t="n"/>
    </row>
    <row r="285" ht="13.2" customHeight="1">
      <c r="CT285" s="279" t="n"/>
      <c r="CU285" s="279" t="n"/>
    </row>
    <row r="286" ht="13.2" customHeight="1">
      <c r="CT286" s="279" t="n"/>
      <c r="CU286" s="279" t="n"/>
    </row>
    <row r="287" ht="13.2" customHeight="1">
      <c r="CT287" s="279" t="n"/>
      <c r="CU287" s="279" t="n"/>
    </row>
    <row r="288" ht="13.2" customHeight="1">
      <c r="CT288" s="279" t="n"/>
      <c r="CU288" s="279" t="n"/>
    </row>
    <row r="289" ht="13.2" customHeight="1">
      <c r="CT289" s="279" t="n"/>
      <c r="CU289" s="279" t="n"/>
    </row>
    <row r="290" ht="13.2" customHeight="1">
      <c r="CT290" s="279" t="n"/>
      <c r="CU290" s="279" t="n"/>
    </row>
    <row r="291" ht="13.2" customHeight="1">
      <c r="CT291" s="279" t="n"/>
      <c r="CU291" s="279" t="n"/>
    </row>
    <row r="292" ht="13.2" customHeight="1">
      <c r="CT292" s="279" t="n"/>
      <c r="CU292" s="279" t="n"/>
    </row>
    <row r="293" ht="13.2" customHeight="1">
      <c r="CT293" s="279" t="n"/>
      <c r="CU293" s="279" t="n"/>
    </row>
    <row r="294" ht="13.2" customHeight="1">
      <c r="CT294" s="279" t="n"/>
      <c r="CU294" s="279" t="n"/>
    </row>
    <row r="295" ht="13.2" customHeight="1">
      <c r="CT295" s="279" t="n"/>
      <c r="CU295" s="279" t="n"/>
    </row>
    <row r="296" ht="13.2" customHeight="1">
      <c r="CT296" s="279" t="n"/>
      <c r="CU296" s="279" t="n"/>
    </row>
    <row r="297" ht="13.2" customHeight="1">
      <c r="CT297" s="279" t="n"/>
      <c r="CU297" s="279" t="n"/>
    </row>
    <row r="298" ht="13.2" customHeight="1">
      <c r="CT298" s="279" t="n"/>
      <c r="CU298" s="279" t="n"/>
    </row>
    <row r="299" ht="13.2" customHeight="1">
      <c r="CT299" s="279" t="n"/>
      <c r="CU299" s="279" t="n"/>
    </row>
    <row r="300" ht="13.2" customHeight="1">
      <c r="CT300" s="279" t="n"/>
      <c r="CU300" s="279" t="n"/>
    </row>
    <row r="301" ht="13.2" customHeight="1">
      <c r="CT301" s="279" t="n"/>
      <c r="CU301" s="279" t="n"/>
    </row>
    <row r="302" ht="13.2" customHeight="1">
      <c r="CT302" s="279" t="n"/>
      <c r="CU302" s="279" t="n"/>
    </row>
    <row r="303" ht="13.2" customHeight="1">
      <c r="CT303" s="279" t="n"/>
      <c r="CU303" s="279" t="n"/>
    </row>
    <row r="304" ht="13.2" customHeight="1">
      <c r="CT304" s="279" t="n"/>
      <c r="CU304" s="279" t="n"/>
    </row>
    <row r="305" ht="13.2" customHeight="1">
      <c r="CT305" s="279" t="n"/>
      <c r="CU305" s="279" t="n"/>
    </row>
    <row r="306" ht="13.2" customHeight="1">
      <c r="CT306" s="279" t="n"/>
      <c r="CU306" s="279" t="n"/>
    </row>
    <row r="307" ht="13.2" customHeight="1">
      <c r="CT307" s="279" t="n"/>
      <c r="CU307" s="279" t="n"/>
    </row>
    <row r="308" ht="13.2" customHeight="1">
      <c r="CT308" s="279" t="n"/>
      <c r="CU308" s="279" t="n"/>
    </row>
    <row r="309" ht="13.2" customHeight="1">
      <c r="CT309" s="279" t="n"/>
      <c r="CU309" s="279" t="n"/>
    </row>
    <row r="310" ht="13.2" customHeight="1">
      <c r="CT310" s="279" t="n"/>
      <c r="CU310" s="279" t="n"/>
    </row>
    <row r="311" ht="13.2" customHeight="1">
      <c r="CT311" s="279" t="n"/>
      <c r="CU311" s="279" t="n"/>
    </row>
    <row r="312" ht="13.2" customHeight="1">
      <c r="CT312" s="279" t="n"/>
      <c r="CU312" s="279" t="n"/>
    </row>
    <row r="313" ht="13.2" customHeight="1">
      <c r="CT313" s="279" t="n"/>
      <c r="CU313" s="279" t="n"/>
    </row>
    <row r="314" ht="13.2" customHeight="1">
      <c r="CT314" s="279" t="n"/>
      <c r="CU314" s="279" t="n"/>
    </row>
    <row r="315" ht="13.2" customHeight="1">
      <c r="CT315" s="279" t="n"/>
      <c r="CU315" s="279" t="n"/>
    </row>
    <row r="316" ht="13.2" customHeight="1">
      <c r="CT316" s="279" t="n"/>
      <c r="CU316" s="279" t="n"/>
    </row>
    <row r="317" ht="13.2" customHeight="1">
      <c r="CT317" s="279" t="n"/>
      <c r="CU317" s="279" t="n"/>
    </row>
    <row r="318" ht="13.2" customHeight="1">
      <c r="CT318" s="279" t="n"/>
      <c r="CU318" s="279" t="n"/>
    </row>
    <row r="319" ht="13.2" customHeight="1">
      <c r="CT319" s="279" t="n"/>
      <c r="CU319" s="279" t="n"/>
    </row>
    <row r="320" ht="13.2" customHeight="1">
      <c r="CT320" s="279" t="n"/>
      <c r="CU320" s="279" t="n"/>
    </row>
    <row r="321" ht="13.2" customHeight="1">
      <c r="CT321" s="279" t="n"/>
      <c r="CU321" s="279" t="n"/>
    </row>
    <row r="322" ht="13.2" customHeight="1">
      <c r="CT322" s="279" t="n"/>
      <c r="CU322" s="279" t="n"/>
    </row>
    <row r="323" ht="13.2" customHeight="1">
      <c r="CT323" s="279" t="n"/>
      <c r="CU323" s="279" t="n"/>
    </row>
    <row r="324" ht="13.2" customHeight="1">
      <c r="CT324" s="279" t="n"/>
      <c r="CU324" s="279" t="n"/>
    </row>
    <row r="325" ht="13.2" customHeight="1">
      <c r="CT325" s="279" t="n"/>
      <c r="CU325" s="279" t="n"/>
    </row>
    <row r="326" ht="13.2" customHeight="1">
      <c r="CT326" s="279" t="n"/>
      <c r="CU326" s="279" t="n"/>
    </row>
    <row r="327" ht="13.2" customHeight="1">
      <c r="CT327" s="279" t="n"/>
      <c r="CU327" s="279" t="n"/>
    </row>
    <row r="328" ht="13.2" customHeight="1">
      <c r="CT328" s="279" t="n"/>
      <c r="CU328" s="279" t="n"/>
    </row>
    <row r="329" ht="13.2" customHeight="1">
      <c r="CT329" s="279" t="n"/>
      <c r="CU329" s="279" t="n"/>
    </row>
    <row r="330" ht="13.2" customHeight="1">
      <c r="CT330" s="279" t="n"/>
      <c r="CU330" s="279" t="n"/>
    </row>
    <row r="331" ht="13.2" customHeight="1">
      <c r="CT331" s="279" t="n"/>
      <c r="CU331" s="279" t="n"/>
    </row>
    <row r="332" ht="13.2" customHeight="1">
      <c r="CT332" s="279" t="n"/>
      <c r="CU332" s="279" t="n"/>
    </row>
    <row r="333" ht="13.2" customHeight="1">
      <c r="CT333" s="279" t="n"/>
      <c r="CU333" s="279" t="n"/>
    </row>
    <row r="334" ht="13.2" customHeight="1">
      <c r="CT334" s="279" t="n"/>
      <c r="CU334" s="279" t="n"/>
    </row>
    <row r="335" ht="13.2" customHeight="1">
      <c r="CT335" s="279" t="n"/>
      <c r="CU335" s="279" t="n"/>
    </row>
    <row r="336" ht="13.2" customHeight="1">
      <c r="CT336" s="279" t="n"/>
      <c r="CU336" s="279" t="n"/>
    </row>
    <row r="337" ht="13.2" customHeight="1">
      <c r="CT337" s="279" t="n"/>
      <c r="CU337" s="279" t="n"/>
    </row>
    <row r="338" ht="13.2" customHeight="1">
      <c r="CT338" s="279" t="n"/>
      <c r="CU338" s="279" t="n"/>
    </row>
    <row r="339" ht="13.2" customHeight="1">
      <c r="CT339" s="279" t="n"/>
      <c r="CU339" s="279" t="n"/>
    </row>
    <row r="340" ht="13.2" customHeight="1">
      <c r="CT340" s="279" t="n"/>
      <c r="CU340" s="279" t="n"/>
    </row>
    <row r="341" ht="13.2" customHeight="1">
      <c r="CT341" s="279" t="n"/>
      <c r="CU341" s="279" t="n"/>
    </row>
    <row r="342" ht="13.2" customHeight="1">
      <c r="CT342" s="279" t="n"/>
      <c r="CU342" s="279" t="n"/>
    </row>
    <row r="343" ht="13.2" customHeight="1">
      <c r="CT343" s="279" t="n"/>
      <c r="CU343" s="279" t="n"/>
    </row>
    <row r="344" ht="13.2" customHeight="1">
      <c r="CT344" s="279" t="n"/>
      <c r="CU344" s="279" t="n"/>
    </row>
    <row r="345" ht="13.2" customHeight="1">
      <c r="CT345" s="279" t="n"/>
      <c r="CU345" s="279" t="n"/>
    </row>
    <row r="346" ht="13.2" customHeight="1">
      <c r="CT346" s="279" t="n"/>
      <c r="CU346" s="279" t="n"/>
    </row>
    <row r="347" ht="13.2" customHeight="1">
      <c r="CT347" s="279" t="n"/>
      <c r="CU347" s="279" t="n"/>
    </row>
    <row r="348" ht="13.2" customHeight="1">
      <c r="CT348" s="279" t="n"/>
      <c r="CU348" s="279" t="n"/>
    </row>
    <row r="349" ht="13.2" customHeight="1">
      <c r="CT349" s="279" t="n"/>
      <c r="CU349" s="279" t="n"/>
    </row>
    <row r="350" ht="13.2" customHeight="1">
      <c r="CT350" s="279" t="n"/>
      <c r="CU350" s="279" t="n"/>
    </row>
    <row r="351" ht="13.2" customHeight="1">
      <c r="CT351" s="279" t="n"/>
      <c r="CU351" s="279" t="n"/>
    </row>
    <row r="352" ht="13.2" customHeight="1">
      <c r="CT352" s="279" t="n"/>
      <c r="CU352" s="279" t="n"/>
    </row>
    <row r="353" ht="13.2" customHeight="1">
      <c r="CT353" s="279" t="n"/>
      <c r="CU353" s="279" t="n"/>
    </row>
    <row r="354" ht="13.2" customHeight="1">
      <c r="CT354" s="279" t="n"/>
      <c r="CU354" s="279" t="n"/>
    </row>
    <row r="355" ht="13.2" customHeight="1">
      <c r="CT355" s="279" t="n"/>
      <c r="CU355" s="279" t="n"/>
    </row>
    <row r="356" ht="13.2" customHeight="1">
      <c r="CT356" s="279" t="n"/>
      <c r="CU356" s="279" t="n"/>
    </row>
    <row r="357" ht="13.2" customHeight="1">
      <c r="CT357" s="279" t="n"/>
      <c r="CU357" s="279" t="n"/>
    </row>
    <row r="358" ht="13.2" customHeight="1">
      <c r="CT358" s="279" t="n"/>
      <c r="CU358" s="279" t="n"/>
    </row>
    <row r="359" ht="13.2" customHeight="1">
      <c r="CT359" s="279" t="n"/>
      <c r="CU359" s="279" t="n"/>
    </row>
    <row r="360" ht="13.2" customHeight="1">
      <c r="CT360" s="279" t="n"/>
      <c r="CU360" s="279" t="n"/>
    </row>
    <row r="361" ht="13.2" customHeight="1">
      <c r="CT361" s="279" t="n"/>
      <c r="CU361" s="279" t="n"/>
    </row>
    <row r="362" ht="13.2" customHeight="1">
      <c r="CT362" s="279" t="n"/>
      <c r="CU362" s="279" t="n"/>
    </row>
    <row r="363" ht="13.2" customHeight="1">
      <c r="CT363" s="279" t="n"/>
      <c r="CU363" s="279" t="n"/>
    </row>
    <row r="364" ht="13.2" customHeight="1">
      <c r="CT364" s="279" t="n"/>
      <c r="CU364" s="279" t="n"/>
    </row>
    <row r="365" ht="13.2" customHeight="1">
      <c r="CT365" s="279" t="n"/>
      <c r="CU365" s="279" t="n"/>
    </row>
    <row r="366" ht="13.2" customHeight="1">
      <c r="CT366" s="279" t="n"/>
      <c r="CU366" s="279" t="n"/>
    </row>
    <row r="367" ht="13.2" customHeight="1">
      <c r="CT367" s="279" t="n"/>
      <c r="CU367" s="279" t="n"/>
    </row>
    <row r="368" ht="13.2" customHeight="1">
      <c r="CT368" s="279" t="n"/>
      <c r="CU368" s="279" t="n"/>
    </row>
    <row r="369" ht="13.2" customHeight="1">
      <c r="CT369" s="279" t="n"/>
      <c r="CU369" s="279" t="n"/>
    </row>
    <row r="370" ht="13.2" customHeight="1">
      <c r="CT370" s="279" t="n"/>
      <c r="CU370" s="279" t="n"/>
    </row>
    <row r="371" ht="13.2" customHeight="1">
      <c r="CT371" s="279" t="n"/>
      <c r="CU371" s="279" t="n"/>
    </row>
    <row r="372" ht="13.2" customHeight="1">
      <c r="CT372" s="279" t="n"/>
      <c r="CU372" s="279" t="n"/>
    </row>
    <row r="373" ht="13.2" customHeight="1">
      <c r="CT373" s="279" t="n"/>
      <c r="CU373" s="279" t="n"/>
    </row>
    <row r="374" ht="13.2" customHeight="1">
      <c r="CT374" s="279" t="n"/>
      <c r="CU374" s="279" t="n"/>
    </row>
    <row r="375" ht="13.2" customHeight="1">
      <c r="CT375" s="279" t="n"/>
      <c r="CU375" s="279" t="n"/>
    </row>
    <row r="376" ht="13.2" customHeight="1">
      <c r="CT376" s="279" t="n"/>
      <c r="CU376" s="279" t="n"/>
    </row>
    <row r="377" ht="13.2" customHeight="1">
      <c r="CT377" s="279" t="n"/>
      <c r="CU377" s="279" t="n"/>
    </row>
    <row r="378" ht="13.2" customHeight="1">
      <c r="CT378" s="279" t="n"/>
      <c r="CU378" s="279" t="n"/>
    </row>
    <row r="379" ht="13.2" customHeight="1">
      <c r="CT379" s="279" t="n"/>
      <c r="CU379" s="279" t="n"/>
    </row>
    <row r="380" ht="13.2" customHeight="1">
      <c r="CT380" s="279" t="n"/>
      <c r="CU380" s="279" t="n"/>
    </row>
    <row r="381" ht="13.2" customHeight="1">
      <c r="CT381" s="279" t="n"/>
      <c r="CU381" s="279" t="n"/>
    </row>
    <row r="382" ht="13.2" customHeight="1">
      <c r="CT382" s="279" t="n"/>
      <c r="CU382" s="279" t="n"/>
    </row>
    <row r="383" ht="13.2" customHeight="1">
      <c r="CT383" s="279" t="n"/>
      <c r="CU383" s="279" t="n"/>
    </row>
    <row r="384" ht="13.2" customHeight="1">
      <c r="CT384" s="279" t="n"/>
      <c r="CU384" s="279" t="n"/>
    </row>
    <row r="385" ht="13.2" customHeight="1">
      <c r="CT385" s="279" t="n"/>
      <c r="CU385" s="279" t="n"/>
    </row>
    <row r="386" ht="13.2" customHeight="1">
      <c r="CT386" s="279" t="n"/>
      <c r="CU386" s="279" t="n"/>
    </row>
    <row r="387" ht="13.2" customHeight="1">
      <c r="CT387" s="279" t="n"/>
      <c r="CU387" s="279" t="n"/>
    </row>
    <row r="388" ht="13.2" customHeight="1">
      <c r="CT388" s="279" t="n"/>
      <c r="CU388" s="279" t="n"/>
    </row>
    <row r="389" ht="13.2" customHeight="1">
      <c r="CT389" s="279" t="n"/>
      <c r="CU389" s="279" t="n"/>
    </row>
    <row r="390" ht="13.2" customHeight="1">
      <c r="CT390" s="279" t="n"/>
      <c r="CU390" s="279" t="n"/>
    </row>
    <row r="391" ht="13.2" customHeight="1">
      <c r="CT391" s="279" t="n"/>
      <c r="CU391" s="279" t="n"/>
    </row>
    <row r="392" ht="13.2" customHeight="1">
      <c r="CT392" s="279" t="n"/>
      <c r="CU392" s="279" t="n"/>
    </row>
    <row r="393" ht="13.2" customHeight="1">
      <c r="CT393" s="279" t="n"/>
      <c r="CU393" s="279" t="n"/>
    </row>
    <row r="394" ht="13.2" customHeight="1">
      <c r="CT394" s="279" t="n"/>
      <c r="CU394" s="279" t="n"/>
    </row>
    <row r="395" ht="13.2" customHeight="1">
      <c r="CT395" s="279" t="n"/>
      <c r="CU395" s="279" t="n"/>
    </row>
    <row r="396" ht="13.2" customHeight="1">
      <c r="CT396" s="279" t="n"/>
      <c r="CU396" s="279" t="n"/>
    </row>
    <row r="397" ht="13.2" customHeight="1">
      <c r="CT397" s="279" t="n"/>
      <c r="CU397" s="279" t="n"/>
    </row>
    <row r="398" ht="13.2" customHeight="1">
      <c r="CT398" s="279" t="n"/>
      <c r="CU398" s="279" t="n"/>
    </row>
    <row r="399" ht="13.2" customHeight="1">
      <c r="CT399" s="279" t="n"/>
      <c r="CU399" s="279" t="n"/>
    </row>
    <row r="400" ht="13.2" customHeight="1">
      <c r="CT400" s="279" t="n"/>
      <c r="CU400" s="279" t="n"/>
    </row>
    <row r="401" ht="13.2" customHeight="1">
      <c r="CT401" s="279" t="n"/>
      <c r="CU401" s="279" t="n"/>
    </row>
    <row r="402" ht="13.2" customHeight="1">
      <c r="CT402" s="279" t="n"/>
      <c r="CU402" s="279" t="n"/>
    </row>
    <row r="403" ht="13.2" customHeight="1">
      <c r="CT403" s="279" t="n"/>
      <c r="CU403" s="279" t="n"/>
    </row>
    <row r="404" ht="13.2" customHeight="1">
      <c r="CT404" s="279" t="n"/>
      <c r="CU404" s="279" t="n"/>
    </row>
    <row r="405" ht="13.2" customHeight="1">
      <c r="CT405" s="279" t="n"/>
      <c r="CU405" s="279" t="n"/>
    </row>
    <row r="406" ht="13.2" customHeight="1">
      <c r="CT406" s="279" t="n"/>
      <c r="CU406" s="279" t="n"/>
    </row>
    <row r="407" ht="13.2" customHeight="1">
      <c r="CT407" s="279" t="n"/>
      <c r="CU407" s="279" t="n"/>
    </row>
    <row r="408" ht="13.2" customHeight="1">
      <c r="CT408" s="279" t="n"/>
      <c r="CU408" s="279" t="n"/>
    </row>
    <row r="409" ht="13.2" customHeight="1">
      <c r="CT409" s="279" t="n"/>
      <c r="CU409" s="279" t="n"/>
    </row>
    <row r="410" ht="13.2" customHeight="1">
      <c r="CT410" s="279" t="n"/>
      <c r="CU410" s="279" t="n"/>
    </row>
    <row r="411" ht="13.2" customHeight="1">
      <c r="CT411" s="279" t="n"/>
      <c r="CU411" s="279" t="n"/>
    </row>
    <row r="412" ht="13.2" customHeight="1">
      <c r="CT412" s="279" t="n"/>
      <c r="CU412" s="279" t="n"/>
    </row>
    <row r="413" ht="13.2" customHeight="1">
      <c r="CT413" s="279" t="n"/>
      <c r="CU413" s="279" t="n"/>
    </row>
    <row r="414" ht="13.2" customHeight="1">
      <c r="CT414" s="279" t="n"/>
      <c r="CU414" s="279" t="n"/>
    </row>
    <row r="415" ht="13.2" customHeight="1">
      <c r="CT415" s="279" t="n"/>
      <c r="CU415" s="279" t="n"/>
    </row>
    <row r="416" ht="13.2" customHeight="1">
      <c r="CT416" s="279" t="n"/>
      <c r="CU416" s="279" t="n"/>
    </row>
    <row r="417" ht="13.2" customHeight="1">
      <c r="CT417" s="279" t="n"/>
      <c r="CU417" s="279" t="n"/>
    </row>
    <row r="418" ht="13.2" customHeight="1">
      <c r="CT418" s="279" t="n"/>
      <c r="CU418" s="279" t="n"/>
    </row>
    <row r="419" ht="13.2" customHeight="1">
      <c r="CT419" s="279" t="n"/>
      <c r="CU419" s="279" t="n"/>
    </row>
    <row r="420" ht="13.2" customHeight="1">
      <c r="CT420" s="279" t="n"/>
      <c r="CU420" s="279" t="n"/>
    </row>
    <row r="421" ht="13.2" customHeight="1">
      <c r="CT421" s="279" t="n"/>
      <c r="CU421" s="279" t="n"/>
    </row>
    <row r="422" ht="13.2" customHeight="1">
      <c r="CT422" s="279" t="n"/>
      <c r="CU422" s="279" t="n"/>
    </row>
    <row r="423" ht="13.2" customHeight="1">
      <c r="CT423" s="279" t="n"/>
      <c r="CU423" s="279" t="n"/>
    </row>
    <row r="424" ht="13.2" customHeight="1">
      <c r="CT424" s="279" t="n"/>
      <c r="CU424" s="279" t="n"/>
    </row>
    <row r="425" ht="13.2" customHeight="1">
      <c r="CT425" s="279" t="n"/>
      <c r="CU425" s="279" t="n"/>
    </row>
    <row r="426" ht="13.2" customHeight="1">
      <c r="CT426" s="279" t="n"/>
      <c r="CU426" s="279" t="n"/>
    </row>
    <row r="427" ht="13.2" customHeight="1">
      <c r="CT427" s="279" t="n"/>
      <c r="CU427" s="279" t="n"/>
    </row>
    <row r="428" ht="13.2" customHeight="1">
      <c r="CT428" s="279" t="n"/>
      <c r="CU428" s="279" t="n"/>
    </row>
    <row r="429" ht="13.2" customHeight="1">
      <c r="CT429" s="279" t="n"/>
      <c r="CU429" s="279" t="n"/>
    </row>
    <row r="430" ht="13.2" customHeight="1">
      <c r="CT430" s="279" t="n"/>
      <c r="CU430" s="279" t="n"/>
    </row>
    <row r="431" ht="13.2" customHeight="1">
      <c r="CT431" s="279" t="n"/>
      <c r="CU431" s="279" t="n"/>
    </row>
    <row r="432" ht="13.2" customHeight="1">
      <c r="CT432" s="279" t="n"/>
      <c r="CU432" s="279" t="n"/>
    </row>
    <row r="433" ht="13.2" customHeight="1">
      <c r="CT433" s="279" t="n"/>
      <c r="CU433" s="279" t="n"/>
    </row>
    <row r="434" ht="13.2" customHeight="1">
      <c r="CT434" s="279" t="n"/>
      <c r="CU434" s="279" t="n"/>
    </row>
    <row r="435" ht="13.2" customHeight="1">
      <c r="CT435" s="279" t="n"/>
      <c r="CU435" s="279" t="n"/>
    </row>
    <row r="436" ht="13.2" customHeight="1">
      <c r="CT436" s="279" t="n"/>
      <c r="CU436" s="279" t="n"/>
    </row>
    <row r="437" ht="13.2" customHeight="1">
      <c r="CT437" s="279" t="n"/>
      <c r="CU437" s="279" t="n"/>
    </row>
    <row r="438" ht="13.2" customHeight="1">
      <c r="CT438" s="279" t="n"/>
      <c r="CU438" s="279" t="n"/>
    </row>
    <row r="439" ht="13.2" customHeight="1">
      <c r="CT439" s="279" t="n"/>
      <c r="CU439" s="279" t="n"/>
    </row>
    <row r="440" ht="13.2" customHeight="1">
      <c r="CT440" s="279" t="n"/>
      <c r="CU440" s="279" t="n"/>
    </row>
    <row r="441" ht="13.2" customHeight="1">
      <c r="CT441" s="279" t="n"/>
      <c r="CU441" s="279" t="n"/>
    </row>
    <row r="442" ht="13.2" customHeight="1">
      <c r="CT442" s="279" t="n"/>
      <c r="CU442" s="279" t="n"/>
    </row>
    <row r="443" ht="13.2" customHeight="1">
      <c r="CT443" s="279" t="n"/>
      <c r="CU443" s="279" t="n"/>
    </row>
    <row r="444" ht="13.2" customHeight="1">
      <c r="CT444" s="279" t="n"/>
      <c r="CU444" s="279" t="n"/>
    </row>
    <row r="445" ht="13.2" customHeight="1">
      <c r="CT445" s="279" t="n"/>
      <c r="CU445" s="279" t="n"/>
    </row>
    <row r="446" ht="13.2" customHeight="1">
      <c r="CT446" s="279" t="n"/>
      <c r="CU446" s="279" t="n"/>
    </row>
    <row r="447" ht="13.2" customHeight="1">
      <c r="CT447" s="279" t="n"/>
      <c r="CU447" s="279" t="n"/>
    </row>
    <row r="448" ht="13.2" customHeight="1">
      <c r="CT448" s="279" t="n"/>
      <c r="CU448" s="279" t="n"/>
    </row>
    <row r="449" ht="13.2" customHeight="1">
      <c r="CT449" s="279" t="n"/>
      <c r="CU449" s="279" t="n"/>
    </row>
    <row r="450" ht="13.2" customHeight="1">
      <c r="CT450" s="279" t="n"/>
      <c r="CU450" s="279" t="n"/>
    </row>
    <row r="451" ht="13.2" customHeight="1">
      <c r="CT451" s="279" t="n"/>
      <c r="CU451" s="279" t="n"/>
    </row>
    <row r="452" ht="13.2" customHeight="1">
      <c r="CT452" s="279" t="n"/>
      <c r="CU452" s="279" t="n"/>
    </row>
    <row r="453" ht="13.2" customHeight="1">
      <c r="CT453" s="279" t="n"/>
      <c r="CU453" s="279" t="n"/>
    </row>
    <row r="454" ht="13.2" customHeight="1">
      <c r="CT454" s="279" t="n"/>
      <c r="CU454" s="279" t="n"/>
    </row>
    <row r="455" ht="13.2" customHeight="1">
      <c r="CT455" s="279" t="n"/>
      <c r="CU455" s="279" t="n"/>
    </row>
    <row r="456" ht="13.2" customHeight="1">
      <c r="CT456" s="279" t="n"/>
      <c r="CU456" s="279" t="n"/>
    </row>
    <row r="457" ht="13.2" customHeight="1">
      <c r="CT457" s="279" t="n"/>
      <c r="CU457" s="279" t="n"/>
    </row>
    <row r="458" ht="13.2" customHeight="1">
      <c r="CT458" s="279" t="n"/>
      <c r="CU458" s="279" t="n"/>
    </row>
    <row r="459" ht="12.75" customHeight="1">
      <c r="CT459" s="279" t="n"/>
      <c r="CU459" s="279" t="n"/>
    </row>
    <row r="460" ht="12.75" customHeight="1">
      <c r="CT460" s="279" t="n"/>
      <c r="CU460" s="279" t="n"/>
    </row>
  </sheetData>
  <autoFilter ref="A8:KF59"/>
  <mergeCells count="725">
    <mergeCell ref="ER54:ES54"/>
    <mergeCell ref="FB54:FC54"/>
    <mergeCell ref="ET54:EU54"/>
    <mergeCell ref="JJ55:JK55"/>
    <mergeCell ref="JL55:JM55"/>
    <mergeCell ref="IX54:IY54"/>
    <mergeCell ref="JJ5:JK5"/>
    <mergeCell ref="IX4:IY4"/>
    <mergeCell ref="CP5:CQ5"/>
    <mergeCell ref="Z53:AA53"/>
    <mergeCell ref="CR5:CS5"/>
    <mergeCell ref="GD54:GE54"/>
    <mergeCell ref="AZ5:BA5"/>
    <mergeCell ref="GF54:GG54"/>
    <mergeCell ref="BB5:BC5"/>
    <mergeCell ref="AT5:AU5"/>
    <mergeCell ref="BD5:BE5"/>
    <mergeCell ref="BN53:BO53"/>
    <mergeCell ref="JR4:JS5"/>
    <mergeCell ref="JT4:JU5"/>
    <mergeCell ref="HR54:HS54"/>
    <mergeCell ref="J4:K4"/>
    <mergeCell ref="BT55:BU55"/>
    <mergeCell ref="L4:M4"/>
    <mergeCell ref="BL55:BM55"/>
    <mergeCell ref="EB5:EC5"/>
    <mergeCell ref="BN55:BO55"/>
    <mergeCell ref="ED5:EE5"/>
    <mergeCell ref="CX53:CY53"/>
    <mergeCell ref="CZ53:DA53"/>
    <mergeCell ref="BR4:BS4"/>
    <mergeCell ref="BT4:BU4"/>
    <mergeCell ref="JD54:JE54"/>
    <mergeCell ref="GJ5:GK5"/>
    <mergeCell ref="CX55:CY55"/>
    <mergeCell ref="CZ55:DA55"/>
    <mergeCell ref="EZ4:FA4"/>
    <mergeCell ref="CL54:CM54"/>
    <mergeCell ref="CN54:CO54"/>
    <mergeCell ref="HB55:HC55"/>
    <mergeCell ref="HD55:HE55"/>
    <mergeCell ref="EJ53:EK53"/>
    <mergeCell ref="EL53:EM53"/>
    <mergeCell ref="DD4:DE4"/>
    <mergeCell ref="IN53:IO53"/>
    <mergeCell ref="IP53:IQ53"/>
    <mergeCell ref="IF53:IG53"/>
    <mergeCell ref="IR53:IS53"/>
    <mergeCell ref="IH53:II53"/>
    <mergeCell ref="EJ55:EK55"/>
    <mergeCell ref="HJ4:HK4"/>
    <mergeCell ref="HB4:HC4"/>
    <mergeCell ref="DV54:DW54"/>
    <mergeCell ref="DX54:DY54"/>
    <mergeCell ref="IN55:IO55"/>
    <mergeCell ref="IP55:IQ55"/>
    <mergeCell ref="IH55:II55"/>
    <mergeCell ref="IB54:IC54"/>
    <mergeCell ref="JT53:JU53"/>
    <mergeCell ref="GR5:GS5"/>
    <mergeCell ref="A1:G1"/>
    <mergeCell ref="GD4:GE4"/>
    <mergeCell ref="FH54:FI54"/>
    <mergeCell ref="JL6:JM6"/>
    <mergeCell ref="JN3:KA3"/>
    <mergeCell ref="FJ54:FK54"/>
    <mergeCell ref="X5:Y5"/>
    <mergeCell ref="AR53:AS53"/>
    <mergeCell ref="Z5:AA5"/>
    <mergeCell ref="JT55:JU55"/>
    <mergeCell ref="JN54:JO54"/>
    <mergeCell ref="JF54:JG54"/>
    <mergeCell ref="BL53:BM53"/>
    <mergeCell ref="JF4:JG4"/>
    <mergeCell ref="JH4:JI4"/>
    <mergeCell ref="AR55:AS55"/>
    <mergeCell ref="HP4:HQ4"/>
    <mergeCell ref="HD5:HE5"/>
    <mergeCell ref="BJ5:BK5"/>
    <mergeCell ref="CD53:CE53"/>
    <mergeCell ref="BL5:BM5"/>
    <mergeCell ref="IV55:IW55"/>
    <mergeCell ref="AV4:AW4"/>
    <mergeCell ref="AX4:AY4"/>
    <mergeCell ref="FN5:FO5"/>
    <mergeCell ref="FP5:FQ5"/>
    <mergeCell ref="FF5:FG5"/>
    <mergeCell ref="FH5:FI5"/>
    <mergeCell ref="GB53:GC53"/>
    <mergeCell ref="CD55:CE55"/>
    <mergeCell ref="CF55:CG55"/>
    <mergeCell ref="BP54:BQ54"/>
    <mergeCell ref="BR54:BS54"/>
    <mergeCell ref="DX4:DY4"/>
    <mergeCell ref="FZ55:GA55"/>
    <mergeCell ref="IP5:IQ5"/>
    <mergeCell ref="GB55:GC55"/>
    <mergeCell ref="DP53:DQ53"/>
    <mergeCell ref="DR53:DS53"/>
    <mergeCell ref="CH4:CI4"/>
    <mergeCell ref="DH53:DI53"/>
    <mergeCell ref="DJ53:DK53"/>
    <mergeCell ref="CJ4:CK4"/>
    <mergeCell ref="T54:U54"/>
    <mergeCell ref="EL55:EM55"/>
    <mergeCell ref="HL53:HM53"/>
    <mergeCell ref="GT5:GU5"/>
    <mergeCell ref="HN53:HO53"/>
    <mergeCell ref="DN55:DO55"/>
    <mergeCell ref="DP55:DQ55"/>
    <mergeCell ref="GF4:GG4"/>
    <mergeCell ref="DB54:DC54"/>
    <mergeCell ref="CT54:CU54"/>
    <mergeCell ref="DD54:DE54"/>
    <mergeCell ref="CV54:CW54"/>
    <mergeCell ref="AT53:AU53"/>
    <mergeCell ref="HL55:HM55"/>
    <mergeCell ref="HN55:HO55"/>
    <mergeCell ref="GX54:GY54"/>
    <mergeCell ref="GZ54:HA54"/>
    <mergeCell ref="HL5:HM5"/>
    <mergeCell ref="BF54:BG54"/>
    <mergeCell ref="GX4:GY4"/>
    <mergeCell ref="AT55:AU55"/>
    <mergeCell ref="IX53:IY53"/>
    <mergeCell ref="IZ53:JA53"/>
    <mergeCell ref="HR4:HS4"/>
    <mergeCell ref="JE70:JH70"/>
    <mergeCell ref="CF53:CG53"/>
    <mergeCell ref="D5:E5"/>
    <mergeCell ref="IX55:IY55"/>
    <mergeCell ref="IJ54:IK54"/>
    <mergeCell ref="IL54:IM54"/>
    <mergeCell ref="IJ4:IK4"/>
    <mergeCell ref="CZ5:DA5"/>
    <mergeCell ref="DB5:DC5"/>
    <mergeCell ref="V55:W55"/>
    <mergeCell ref="JE71:JH71"/>
    <mergeCell ref="AZ53:BA53"/>
    <mergeCell ref="AH5:AI5"/>
    <mergeCell ref="BB53:BC53"/>
    <mergeCell ref="R4:S4"/>
    <mergeCell ref="AB4:AC4"/>
    <mergeCell ref="T4:U4"/>
    <mergeCell ref="JX54:JY54"/>
    <mergeCell ref="V4:W4"/>
    <mergeCell ref="EJ5:EK5"/>
    <mergeCell ref="EL5:EM5"/>
    <mergeCell ref="FF53:FG53"/>
    <mergeCell ref="BH55:BI55"/>
    <mergeCell ref="AZ55:BA55"/>
    <mergeCell ref="DZ4:EA4"/>
    <mergeCell ref="BB55:BC55"/>
    <mergeCell ref="DB4:DC4"/>
    <mergeCell ref="AN54:AO54"/>
    <mergeCell ref="FD55:FE55"/>
    <mergeCell ref="J55:K55"/>
    <mergeCell ref="FF55:FG55"/>
    <mergeCell ref="L55:M55"/>
    <mergeCell ref="CL53:CM53"/>
    <mergeCell ref="CN53:CO53"/>
    <mergeCell ref="BD4:BE4"/>
    <mergeCell ref="BF4:BG4"/>
    <mergeCell ref="FV5:FW5"/>
    <mergeCell ref="GP53:GQ53"/>
    <mergeCell ref="FX5:FY5"/>
    <mergeCell ref="GR53:GS53"/>
    <mergeCell ref="A2:A7"/>
    <mergeCell ref="C2:C7"/>
    <mergeCell ref="FJ4:FK4"/>
    <mergeCell ref="FL4:FM4"/>
    <mergeCell ref="BP1:BQ1"/>
    <mergeCell ref="BX54:BY54"/>
    <mergeCell ref="BZ54:CA54"/>
    <mergeCell ref="ET53:EU53"/>
    <mergeCell ref="GP55:GQ55"/>
    <mergeCell ref="GR55:GS55"/>
    <mergeCell ref="IL4:IM4"/>
    <mergeCell ref="IB53:IC53"/>
    <mergeCell ref="ID53:IE53"/>
    <mergeCell ref="HT53:HU53"/>
    <mergeCell ref="EF54:EG54"/>
    <mergeCell ref="HV53:HW53"/>
    <mergeCell ref="GV4:GW4"/>
    <mergeCell ref="EH54:EI54"/>
    <mergeCell ref="IX5:IY5"/>
    <mergeCell ref="IB55:IC55"/>
    <mergeCell ref="HN54:HO54"/>
    <mergeCell ref="HF54:HG54"/>
    <mergeCell ref="HP54:HQ54"/>
    <mergeCell ref="HH54:HI54"/>
    <mergeCell ref="CD5:CE5"/>
    <mergeCell ref="L53:M53"/>
    <mergeCell ref="CF5:CG5"/>
    <mergeCell ref="N53:O53"/>
    <mergeCell ref="FR54:FS54"/>
    <mergeCell ref="JP54:JQ54"/>
    <mergeCell ref="L5:M5"/>
    <mergeCell ref="N5:O5"/>
    <mergeCell ref="DP5:DQ5"/>
    <mergeCell ref="DR5:DS5"/>
    <mergeCell ref="AF55:AG55"/>
    <mergeCell ref="R54:S54"/>
    <mergeCell ref="HN5:HO5"/>
    <mergeCell ref="BT5:BU5"/>
    <mergeCell ref="IR54:IS54"/>
    <mergeCell ref="BR53:BS53"/>
    <mergeCell ref="AJ4:AK4"/>
    <mergeCell ref="AL4:AM4"/>
    <mergeCell ref="CL55:CM55"/>
    <mergeCell ref="FB5:FC5"/>
    <mergeCell ref="CN55:CO55"/>
    <mergeCell ref="ET5:EU5"/>
    <mergeCell ref="FD5:FE5"/>
    <mergeCell ref="FN53:FO53"/>
    <mergeCell ref="EV5:EW5"/>
    <mergeCell ref="FP53:FQ53"/>
    <mergeCell ref="EN4:EO4"/>
    <mergeCell ref="EF4:EG4"/>
    <mergeCell ref="EH4:EI4"/>
    <mergeCell ref="BD54:BE54"/>
    <mergeCell ref="JR53:JS53"/>
    <mergeCell ref="IZ5:JA5"/>
    <mergeCell ref="DZ53:EA53"/>
    <mergeCell ref="FL55:FM55"/>
    <mergeCell ref="FN55:FO55"/>
    <mergeCell ref="FP55:FQ55"/>
    <mergeCell ref="EZ54:FA54"/>
    <mergeCell ref="H54:I54"/>
    <mergeCell ref="JR55:JS55"/>
    <mergeCell ref="DX55:DY55"/>
    <mergeCell ref="DZ55:EA55"/>
    <mergeCell ref="DJ54:DK54"/>
    <mergeCell ref="GZ53:HA53"/>
    <mergeCell ref="DL54:DM54"/>
    <mergeCell ref="FR4:FS4"/>
    <mergeCell ref="FT4:FU4"/>
    <mergeCell ref="HV55:HW55"/>
    <mergeCell ref="IB5:IC5"/>
    <mergeCell ref="AF53:AG53"/>
    <mergeCell ref="HT5:HU5"/>
    <mergeCell ref="AH53:AI53"/>
    <mergeCell ref="HV5:HW5"/>
    <mergeCell ref="GL54:GM54"/>
    <mergeCell ref="B2:B7"/>
    <mergeCell ref="HH4:HI4"/>
    <mergeCell ref="GN54:GO54"/>
    <mergeCell ref="JF53:JG53"/>
    <mergeCell ref="JH53:JI53"/>
    <mergeCell ref="AH55:AI55"/>
    <mergeCell ref="JH55:JI55"/>
    <mergeCell ref="IT54:IU54"/>
    <mergeCell ref="JF5:JG5"/>
    <mergeCell ref="JH5:JI5"/>
    <mergeCell ref="IR4:IS4"/>
    <mergeCell ref="IT4:IU4"/>
    <mergeCell ref="CL5:CM5"/>
    <mergeCell ref="CN5:CO5"/>
    <mergeCell ref="V53:W53"/>
    <mergeCell ref="JZ55:KA55"/>
    <mergeCell ref="BZ4:CA4"/>
    <mergeCell ref="CB4:CC4"/>
    <mergeCell ref="JL54:JM54"/>
    <mergeCell ref="BJ53:BK53"/>
    <mergeCell ref="DF55:DG55"/>
    <mergeCell ref="DH55:DI55"/>
    <mergeCell ref="AD4:AE4"/>
    <mergeCell ref="N4:O4"/>
    <mergeCell ref="P4:Q4"/>
    <mergeCell ref="BP55:BQ55"/>
    <mergeCell ref="BR55:BS55"/>
    <mergeCell ref="DX5:DY5"/>
    <mergeCell ref="ER53:ES53"/>
    <mergeCell ref="BJ55:BK55"/>
    <mergeCell ref="DZ5:EA5"/>
    <mergeCell ref="DL4:DM4"/>
    <mergeCell ref="DN4:DO4"/>
    <mergeCell ref="Z54:AA54"/>
    <mergeCell ref="ID5:IE5"/>
    <mergeCell ref="AB54:AC54"/>
    <mergeCell ref="CV53:CW53"/>
    <mergeCell ref="ER55:ES55"/>
    <mergeCell ref="ET55:EU55"/>
    <mergeCell ref="BP4:BQ4"/>
    <mergeCell ref="GF5:GG5"/>
    <mergeCell ref="HB53:HC53"/>
    <mergeCell ref="CV55:CW55"/>
    <mergeCell ref="GD53:GE53"/>
    <mergeCell ref="CF54:CG54"/>
    <mergeCell ref="EV4:EW4"/>
    <mergeCell ref="CH54:CI54"/>
    <mergeCell ref="CJ54:CK54"/>
    <mergeCell ref="GX55:GY55"/>
    <mergeCell ref="EX4:EY4"/>
    <mergeCell ref="GZ55:HA55"/>
    <mergeCell ref="JZ53:KA53"/>
    <mergeCell ref="KB53:KC53"/>
    <mergeCell ref="JL3:JM4"/>
    <mergeCell ref="EH53:EI53"/>
    <mergeCell ref="IV4:IW4"/>
    <mergeCell ref="FP54:FQ54"/>
    <mergeCell ref="IL53:IM53"/>
    <mergeCell ref="AF5:AG5"/>
    <mergeCell ref="KB55:KC55"/>
    <mergeCell ref="HF4:HG4"/>
    <mergeCell ref="DR54:DS54"/>
    <mergeCell ref="DT54:DU54"/>
    <mergeCell ref="BT53:BU53"/>
    <mergeCell ref="IJ55:IK55"/>
    <mergeCell ref="IL55:IM55"/>
    <mergeCell ref="HX54:HY54"/>
    <mergeCell ref="IJ5:IK5"/>
    <mergeCell ref="HZ54:IA54"/>
    <mergeCell ref="IL5:IM5"/>
    <mergeCell ref="HX4:HY4"/>
    <mergeCell ref="BR5:BS5"/>
    <mergeCell ref="JH6:JI6"/>
    <mergeCell ref="FF54:FG54"/>
    <mergeCell ref="T5:U5"/>
    <mergeCell ref="AN53:AO53"/>
    <mergeCell ref="V5:W5"/>
    <mergeCell ref="H4:I4"/>
    <mergeCell ref="JJ4:JK4"/>
    <mergeCell ref="JB4:JC4"/>
    <mergeCell ref="AN55:AO55"/>
    <mergeCell ref="CT5:CU5"/>
    <mergeCell ref="DD5:DE5"/>
    <mergeCell ref="AP55:AQ55"/>
    <mergeCell ref="GZ5:HA5"/>
    <mergeCell ref="JV54:JW54"/>
    <mergeCell ref="HB5:HC5"/>
    <mergeCell ref="BZ53:CA53"/>
    <mergeCell ref="GL4:GM4"/>
    <mergeCell ref="BH5:BI5"/>
    <mergeCell ref="AR4:AS4"/>
    <mergeCell ref="GN4:GO4"/>
    <mergeCell ref="CB53:CC53"/>
    <mergeCell ref="AT4:AU4"/>
    <mergeCell ref="KB56:KC56"/>
    <mergeCell ref="GF53:GG53"/>
    <mergeCell ref="FV53:FW53"/>
    <mergeCell ref="FX53:FY53"/>
    <mergeCell ref="HT55:HU55"/>
    <mergeCell ref="BZ55:CA55"/>
    <mergeCell ref="EP4:EQ4"/>
    <mergeCell ref="CB55:CC55"/>
    <mergeCell ref="BL54:BM54"/>
    <mergeCell ref="BN54:BO54"/>
    <mergeCell ref="DT4:DU4"/>
    <mergeCell ref="GD55:GE55"/>
    <mergeCell ref="FV55:FW55"/>
    <mergeCell ref="GF55:GG55"/>
    <mergeCell ref="FX55:FY55"/>
    <mergeCell ref="HZ4:IA4"/>
    <mergeCell ref="DM1:DP1"/>
    <mergeCell ref="EN54:EO54"/>
    <mergeCell ref="EP54:EQ54"/>
    <mergeCell ref="HH53:HI53"/>
    <mergeCell ref="HJ53:HK53"/>
    <mergeCell ref="JF55:JG55"/>
    <mergeCell ref="GB4:GC4"/>
    <mergeCell ref="JJ6:JK6"/>
    <mergeCell ref="CX54:CY54"/>
    <mergeCell ref="CZ54:DA54"/>
    <mergeCell ref="CR54:CS54"/>
    <mergeCell ref="AP53:AQ53"/>
    <mergeCell ref="HH55:HI55"/>
    <mergeCell ref="HJ55:HK55"/>
    <mergeCell ref="GT54:GU54"/>
    <mergeCell ref="GV54:GW54"/>
    <mergeCell ref="GT4:GU4"/>
    <mergeCell ref="IT53:IU53"/>
    <mergeCell ref="AN5:AO5"/>
    <mergeCell ref="IV53:IW53"/>
    <mergeCell ref="AP5:AQ5"/>
    <mergeCell ref="ER5:ES5"/>
    <mergeCell ref="J53:K53"/>
    <mergeCell ref="IF54:IG54"/>
    <mergeCell ref="JD4:JE4"/>
    <mergeCell ref="IH54:II54"/>
    <mergeCell ref="IF4:IG4"/>
    <mergeCell ref="CV5:CW5"/>
    <mergeCell ref="R55:S55"/>
    <mergeCell ref="CT53:CU53"/>
    <mergeCell ref="BL4:BM4"/>
    <mergeCell ref="BN4:BO4"/>
    <mergeCell ref="GD5:GE5"/>
    <mergeCell ref="DR55:DS55"/>
    <mergeCell ref="AV53:AW53"/>
    <mergeCell ref="CT55:CU55"/>
    <mergeCell ref="AX53:AY53"/>
    <mergeCell ref="EF5:EG5"/>
    <mergeCell ref="EH5:EI5"/>
    <mergeCell ref="FB53:FC53"/>
    <mergeCell ref="FD53:FE53"/>
    <mergeCell ref="BF55:BG55"/>
    <mergeCell ref="DV4:DW4"/>
    <mergeCell ref="AX55:AY55"/>
    <mergeCell ref="AR54:AS54"/>
    <mergeCell ref="AH54:AI54"/>
    <mergeCell ref="CX4:CY4"/>
    <mergeCell ref="IN5:IO5"/>
    <mergeCell ref="AJ54:AK54"/>
    <mergeCell ref="AL54:AM54"/>
    <mergeCell ref="EZ55:FA55"/>
    <mergeCell ref="HP5:HQ5"/>
    <mergeCell ref="FB55:FC55"/>
    <mergeCell ref="CH53:CI53"/>
    <mergeCell ref="GL53:GM53"/>
    <mergeCell ref="FT5:FU5"/>
    <mergeCell ref="GN53:GO53"/>
    <mergeCell ref="FD4:FE4"/>
    <mergeCell ref="FF4:FG4"/>
    <mergeCell ref="BJ1:BK1"/>
    <mergeCell ref="FH4:FI4"/>
    <mergeCell ref="BT54:BU54"/>
    <mergeCell ref="BV54:BW54"/>
    <mergeCell ref="T53:U53"/>
    <mergeCell ref="HH5:HI5"/>
    <mergeCell ref="GL55:GM55"/>
    <mergeCell ref="GN55:GO55"/>
    <mergeCell ref="KB3:KC6"/>
    <mergeCell ref="FZ54:GA54"/>
    <mergeCell ref="GB54:GC54"/>
    <mergeCell ref="T55:U55"/>
    <mergeCell ref="IZ54:JA54"/>
    <mergeCell ref="JB54:JC54"/>
    <mergeCell ref="BF53:BG53"/>
    <mergeCell ref="IT5:IU5"/>
    <mergeCell ref="IV5:IW5"/>
    <mergeCell ref="HJ54:HK54"/>
    <mergeCell ref="IH4:II4"/>
    <mergeCell ref="HL54:HM54"/>
    <mergeCell ref="HD54:HE54"/>
    <mergeCell ref="BZ5:CA5"/>
    <mergeCell ref="CB5:CC5"/>
    <mergeCell ref="H5:I5"/>
    <mergeCell ref="JZ4:KA6"/>
    <mergeCell ref="DL5:DM5"/>
    <mergeCell ref="EF53:EG53"/>
    <mergeCell ref="DN5:DO5"/>
    <mergeCell ref="DX53:DY53"/>
    <mergeCell ref="DF5:DG5"/>
    <mergeCell ref="Z55:AA55"/>
    <mergeCell ref="CP4:CQ4"/>
    <mergeCell ref="CZ4:DA4"/>
    <mergeCell ref="AB55:AC55"/>
    <mergeCell ref="CR4:CS4"/>
    <mergeCell ref="N54:O54"/>
    <mergeCell ref="HJ5:HK5"/>
    <mergeCell ref="CJ53:CK53"/>
    <mergeCell ref="EF55:EG55"/>
    <mergeCell ref="EH55:EI55"/>
    <mergeCell ref="FZ4:GA4"/>
    <mergeCell ref="AF4:AG4"/>
    <mergeCell ref="AH4:AI4"/>
    <mergeCell ref="ID55:IE55"/>
    <mergeCell ref="CJ55:CK55"/>
    <mergeCell ref="FJ53:FK53"/>
    <mergeCell ref="HF55:HG55"/>
    <mergeCell ref="FL53:FM53"/>
    <mergeCell ref="EB4:EC4"/>
    <mergeCell ref="G6:G7"/>
    <mergeCell ref="ED4:EE4"/>
    <mergeCell ref="AZ54:BA54"/>
    <mergeCell ref="JN53:JO53"/>
    <mergeCell ref="BB54:BC54"/>
    <mergeCell ref="JP53:JQ53"/>
    <mergeCell ref="FR55:FS55"/>
    <mergeCell ref="FH55:FI55"/>
    <mergeCell ref="FJ55:FK55"/>
    <mergeCell ref="FT55:FU55"/>
    <mergeCell ref="FD54:FE54"/>
    <mergeCell ref="EV54:EW54"/>
    <mergeCell ref="EX54:EY54"/>
    <mergeCell ref="JN55:JO55"/>
    <mergeCell ref="JP55:JQ55"/>
    <mergeCell ref="GT53:GU53"/>
    <mergeCell ref="GV53:GW53"/>
    <mergeCell ref="DH54:DI54"/>
    <mergeCell ref="FP4:FQ4"/>
    <mergeCell ref="AB53:AC53"/>
    <mergeCell ref="AD53:AE53"/>
    <mergeCell ref="HR5:HS5"/>
    <mergeCell ref="HD4:HE4"/>
    <mergeCell ref="GH54:GI54"/>
    <mergeCell ref="GJ54:GK54"/>
    <mergeCell ref="AV5:AW5"/>
    <mergeCell ref="BF5:BG5"/>
    <mergeCell ref="AX5:AY5"/>
    <mergeCell ref="D6:D7"/>
    <mergeCell ref="AD55:AE55"/>
    <mergeCell ref="JV4:JW5"/>
    <mergeCell ref="F6:F7"/>
    <mergeCell ref="JX4:JY5"/>
    <mergeCell ref="JN4:JO5"/>
    <mergeCell ref="P54:Q54"/>
    <mergeCell ref="JP4:JQ5"/>
    <mergeCell ref="F2:G5"/>
    <mergeCell ref="J5:K5"/>
    <mergeCell ref="IN4:IO4"/>
    <mergeCell ref="IP4:IQ4"/>
    <mergeCell ref="CH5:CI5"/>
    <mergeCell ref="DB53:DC53"/>
    <mergeCell ref="CJ5:CK5"/>
    <mergeCell ref="DD53:DE53"/>
    <mergeCell ref="DF53:DG53"/>
    <mergeCell ref="BV4:BW4"/>
    <mergeCell ref="JV55:JW55"/>
    <mergeCell ref="BX4:BY4"/>
    <mergeCell ref="GL5:GM5"/>
    <mergeCell ref="JH54:JI54"/>
    <mergeCell ref="GN5:GO5"/>
    <mergeCell ref="GP5:GQ5"/>
    <mergeCell ref="H6:AA6"/>
    <mergeCell ref="DB55:DC55"/>
    <mergeCell ref="BH53:BI53"/>
    <mergeCell ref="DD55:DE55"/>
    <mergeCell ref="CP54:CQ54"/>
    <mergeCell ref="DT5:DU5"/>
    <mergeCell ref="EN53:EO53"/>
    <mergeCell ref="EP53:EQ53"/>
    <mergeCell ref="DF4:DG4"/>
    <mergeCell ref="DH4:DI4"/>
    <mergeCell ref="AT54:AU54"/>
    <mergeCell ref="DJ4:DK4"/>
    <mergeCell ref="AD54:AE54"/>
    <mergeCell ref="V54:W54"/>
    <mergeCell ref="HZ5:IA5"/>
    <mergeCell ref="IJ53:IK53"/>
    <mergeCell ref="HL4:HM4"/>
    <mergeCell ref="EN55:EO55"/>
    <mergeCell ref="EP55:EQ55"/>
    <mergeCell ref="DZ54:EA54"/>
    <mergeCell ref="EB54:EC54"/>
    <mergeCell ref="ED54:EE54"/>
    <mergeCell ref="IR55:IS55"/>
    <mergeCell ref="AC6:AD6"/>
    <mergeCell ref="GX53:GY53"/>
    <mergeCell ref="FZ53:GA53"/>
    <mergeCell ref="ER4:ES4"/>
    <mergeCell ref="ET4:EU4"/>
    <mergeCell ref="GV55:GW55"/>
    <mergeCell ref="JV53:JW53"/>
    <mergeCell ref="H53:I53"/>
    <mergeCell ref="JX53:JY53"/>
    <mergeCell ref="IZ4:JA4"/>
    <mergeCell ref="FL54:FM54"/>
    <mergeCell ref="FN54:FO54"/>
    <mergeCell ref="AB5:AC5"/>
    <mergeCell ref="JN6:JY6"/>
    <mergeCell ref="AD5:AE5"/>
    <mergeCell ref="H55:I55"/>
    <mergeCell ref="JX55:JY55"/>
    <mergeCell ref="JJ54:JK54"/>
    <mergeCell ref="BP53:BQ53"/>
    <mergeCell ref="AV55:AW55"/>
    <mergeCell ref="HT54:HU54"/>
    <mergeCell ref="IF5:IG5"/>
    <mergeCell ref="HV54:HW54"/>
    <mergeCell ref="IH5:II5"/>
    <mergeCell ref="HT4:HU4"/>
    <mergeCell ref="HN4:HO4"/>
    <mergeCell ref="BN5:BO5"/>
    <mergeCell ref="BP5:BQ5"/>
    <mergeCell ref="IZ55:JA55"/>
    <mergeCell ref="AZ4:BA4"/>
    <mergeCell ref="BB4:BC4"/>
    <mergeCell ref="FR5:FS5"/>
    <mergeCell ref="FJ5:FK5"/>
    <mergeCell ref="FL5:FM5"/>
    <mergeCell ref="AJ53:AK53"/>
    <mergeCell ref="CH55:CI55"/>
    <mergeCell ref="DV5:DW5"/>
    <mergeCell ref="CX5:CY5"/>
    <mergeCell ref="AJ55:AK55"/>
    <mergeCell ref="AL55:AM55"/>
    <mergeCell ref="DT53:DU53"/>
    <mergeCell ref="DL53:DM53"/>
    <mergeCell ref="CL4:CM4"/>
    <mergeCell ref="X54:Y54"/>
    <mergeCell ref="DN53:DO53"/>
    <mergeCell ref="CN4:CO4"/>
    <mergeCell ref="CD4:CE4"/>
    <mergeCell ref="CF4:CG4"/>
    <mergeCell ref="JR54:JS54"/>
    <mergeCell ref="HP53:HQ53"/>
    <mergeCell ref="GV5:GW5"/>
    <mergeCell ref="GX5:GY5"/>
    <mergeCell ref="BV53:BW53"/>
    <mergeCell ref="GH4:GI4"/>
    <mergeCell ref="BX53:BY53"/>
    <mergeCell ref="HR53:HS53"/>
    <mergeCell ref="GJ4:GK4"/>
    <mergeCell ref="DT55:DU55"/>
    <mergeCell ref="DJ55:DK55"/>
    <mergeCell ref="AP4:AQ4"/>
    <mergeCell ref="FT53:FU53"/>
    <mergeCell ref="HP55:HQ55"/>
    <mergeCell ref="BV55:BW55"/>
    <mergeCell ref="HR55:HS55"/>
    <mergeCell ref="HB54:HC54"/>
    <mergeCell ref="BX55:BY55"/>
    <mergeCell ref="BH54:BI54"/>
    <mergeCell ref="BJ54:BK54"/>
    <mergeCell ref="JB53:JC53"/>
    <mergeCell ref="JD53:JE53"/>
    <mergeCell ref="HV4:HW4"/>
    <mergeCell ref="EJ54:EK54"/>
    <mergeCell ref="JB55:JC55"/>
    <mergeCell ref="JD55:JE55"/>
    <mergeCell ref="IN54:IO54"/>
    <mergeCell ref="H2:BC2"/>
    <mergeCell ref="JF6:JG6"/>
    <mergeCell ref="IP54:IQ54"/>
    <mergeCell ref="AL53:AM53"/>
    <mergeCell ref="AL3:AM3"/>
    <mergeCell ref="GR54:GS54"/>
    <mergeCell ref="GP4:GQ4"/>
    <mergeCell ref="AR5:AS5"/>
    <mergeCell ref="AJ5:AK5"/>
    <mergeCell ref="BD53:BE53"/>
    <mergeCell ref="AL5:AM5"/>
    <mergeCell ref="JZ54:KA54"/>
    <mergeCell ref="X4:Y4"/>
    <mergeCell ref="KB54:KC54"/>
    <mergeCell ref="Z4:AA4"/>
    <mergeCell ref="EN5:EO5"/>
    <mergeCell ref="EP5:EQ5"/>
    <mergeCell ref="BD55:BE55"/>
    <mergeCell ref="ID54:IE54"/>
    <mergeCell ref="N55:O55"/>
    <mergeCell ref="P55:Q55"/>
    <mergeCell ref="CP53:CQ53"/>
    <mergeCell ref="CR53:CS53"/>
    <mergeCell ref="BH4:BI4"/>
    <mergeCell ref="BJ4:BK4"/>
    <mergeCell ref="FZ5:GA5"/>
    <mergeCell ref="IV54:IW54"/>
    <mergeCell ref="DL55:DM55"/>
    <mergeCell ref="GB5:GC5"/>
    <mergeCell ref="FN4:FO4"/>
    <mergeCell ref="CB54:CC54"/>
    <mergeCell ref="CD54:CE54"/>
    <mergeCell ref="EV53:EW53"/>
    <mergeCell ref="EX53:EY53"/>
    <mergeCell ref="GT55:GU55"/>
    <mergeCell ref="EZ53:FA53"/>
    <mergeCell ref="DP4:DQ4"/>
    <mergeCell ref="DR4:DS4"/>
    <mergeCell ref="D2:E4"/>
    <mergeCell ref="AF54:AG54"/>
    <mergeCell ref="EV55:EW55"/>
    <mergeCell ref="EX55:EY55"/>
    <mergeCell ref="HX53:HY53"/>
    <mergeCell ref="HZ53:IA53"/>
    <mergeCell ref="GZ4:HA4"/>
    <mergeCell ref="EL54:EM54"/>
    <mergeCell ref="GR4:GS4"/>
    <mergeCell ref="DN54:DO54"/>
    <mergeCell ref="IT55:IU55"/>
    <mergeCell ref="GH53:GI53"/>
    <mergeCell ref="IF55:IG55"/>
    <mergeCell ref="GJ53:GK53"/>
    <mergeCell ref="JB5:JC5"/>
    <mergeCell ref="FB4:FC4"/>
    <mergeCell ref="P53:Q53"/>
    <mergeCell ref="R53:S53"/>
    <mergeCell ref="GH55:GI55"/>
    <mergeCell ref="GJ55:GK55"/>
    <mergeCell ref="FT54:FU54"/>
    <mergeCell ref="FV54:FW54"/>
    <mergeCell ref="FX54:FY54"/>
    <mergeCell ref="H3:AA3"/>
    <mergeCell ref="P5:Q5"/>
    <mergeCell ref="JT54:JU54"/>
    <mergeCell ref="R5:S5"/>
    <mergeCell ref="IR5:IS5"/>
    <mergeCell ref="IB4:IC4"/>
    <mergeCell ref="ID4:IE4"/>
    <mergeCell ref="BV5:BW5"/>
    <mergeCell ref="BX5:BY5"/>
    <mergeCell ref="AP54:AQ54"/>
    <mergeCell ref="AN4:AO4"/>
    <mergeCell ref="CP55:CQ55"/>
    <mergeCell ref="CR55:CS55"/>
    <mergeCell ref="EX5:EY5"/>
    <mergeCell ref="FR53:FS53"/>
    <mergeCell ref="X53:Y53"/>
    <mergeCell ref="EZ5:FA5"/>
    <mergeCell ref="EJ4:EK4"/>
    <mergeCell ref="E6:E7"/>
    <mergeCell ref="EL4:EM4"/>
    <mergeCell ref="DH5:DI5"/>
    <mergeCell ref="JD5:JE5"/>
    <mergeCell ref="EB53:EC53"/>
    <mergeCell ref="DJ5:DK5"/>
    <mergeCell ref="ED53:EE53"/>
    <mergeCell ref="CT4:CU4"/>
    <mergeCell ref="DV53:DW53"/>
    <mergeCell ref="CV4:CW4"/>
    <mergeCell ref="X55:Y55"/>
    <mergeCell ref="J54:K54"/>
    <mergeCell ref="L54:M54"/>
    <mergeCell ref="HF5:HG5"/>
    <mergeCell ref="EB55:EC55"/>
    <mergeCell ref="ED55:EE55"/>
    <mergeCell ref="DV55:DW55"/>
    <mergeCell ref="HD53:HE53"/>
    <mergeCell ref="DP54:DQ54"/>
    <mergeCell ref="DF54:DG54"/>
    <mergeCell ref="HF53:HG53"/>
    <mergeCell ref="FV4:FW4"/>
    <mergeCell ref="FX4:FY4"/>
    <mergeCell ref="HX55:HY55"/>
    <mergeCell ref="HZ55:IA55"/>
    <mergeCell ref="HX5:HY5"/>
    <mergeCell ref="FH53:FI53"/>
    <mergeCell ref="GP54:GQ54"/>
    <mergeCell ref="AV54:AW54"/>
    <mergeCell ref="JJ53:JK53"/>
    <mergeCell ref="AX54:AY54"/>
    <mergeCell ref="GH5:GI5"/>
    <mergeCell ref="JL53:JM53"/>
    <mergeCell ref="JJ3:JK3"/>
  </mergeCells>
  <pageMargins left="0.3937007874015748" right="0.1181102362204725" top="0.7874015748031497" bottom="0.1968503937007874" header="0.3149606299212598" footer="0.3149606299212598"/>
  <pageSetup orientation="landscape" paperSize="9" scale="66"/>
  <rowBreaks count="1" manualBreakCount="1">
    <brk id="34" min="0" max="288" man="1"/>
  </rowBreaks>
  <colBreaks count="7" manualBreakCount="7">
    <brk id="27" min="0" max="56" man="1"/>
    <brk id="35" min="0" max="59" man="1"/>
    <brk id="67" min="0" max="59" man="1"/>
    <brk id="95" min="0" max="59" man="1"/>
    <brk id="151" min="0" max="1048575" man="1"/>
    <brk id="179" min="0" max="59" man="1"/>
    <brk id="251" min="0" max="59" man="1"/>
  </col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O460"/>
  <sheetViews>
    <sheetView showGridLines="0" view="pageBreakPreview" zoomScale="80" zoomScaleNormal="80" zoomScaleSheetLayoutView="80" workbookViewId="0">
      <pane xSplit="7" ySplit="8" topLeftCell="H42" activePane="bottomRight" state="frozen"/>
      <selection pane="topRight" activeCell="H1" sqref="H1"/>
      <selection pane="bottomLeft" activeCell="A9" sqref="A9"/>
      <selection pane="bottomRight" activeCell="B13" sqref="B13"/>
    </sheetView>
  </sheetViews>
  <sheetFormatPr baseColWidth="8" defaultColWidth="9.109375" defaultRowHeight="12.75" customHeight="1"/>
  <cols>
    <col width="4.33203125" customWidth="1" style="279" min="1" max="1"/>
    <col width="21.88671875" customWidth="1" style="279" min="2" max="2"/>
    <col width="12.44140625" customWidth="1" style="279" min="3" max="3"/>
    <col width="7.109375" customWidth="1" style="279" min="4" max="4"/>
    <col width="6.88671875" customWidth="1" style="279" min="5" max="5"/>
    <col width="9.5546875" customWidth="1" style="279" min="6" max="6"/>
    <col width="9" customWidth="1" style="279" min="7" max="7"/>
    <col width="6.5546875" customWidth="1" style="279" min="8" max="9"/>
    <col width="6" customWidth="1" style="279" min="10" max="12"/>
    <col width="6" customWidth="1" style="2" min="13" max="13"/>
    <col width="6" customWidth="1" style="279" min="14" max="17"/>
    <col collapsed="1" width="6.33203125" customWidth="1" style="279" min="18" max="18"/>
    <col width="6.33203125" customWidth="1" style="279" min="19" max="19"/>
    <col width="7.33203125" customWidth="1" style="279" min="20" max="27"/>
    <col width="6.6640625" customWidth="1" style="279" min="28" max="29"/>
    <col width="6.88671875" customWidth="1" style="279" min="30" max="31"/>
    <col collapsed="1" width="6.44140625" customWidth="1" style="279" min="32" max="32"/>
    <col width="6.44140625" customWidth="1" style="279" min="33" max="33"/>
    <col width="6.88671875" customWidth="1" style="279" min="34" max="35"/>
    <col width="7" customWidth="1" style="279" min="36" max="36"/>
    <col width="6.33203125" customWidth="1" style="279" min="37" max="37"/>
    <col width="6.44140625" customWidth="1" style="279" min="38" max="40"/>
    <col width="7.33203125" customWidth="1" style="279" min="41" max="41"/>
    <col collapsed="1" width="7.33203125" customWidth="1" style="279" min="42" max="42"/>
    <col width="7.33203125" customWidth="1" style="279" min="43" max="45"/>
    <col width="6.88671875" customWidth="1" style="279" min="46" max="49"/>
    <col width="6.44140625" customWidth="1" style="279" min="50" max="51"/>
    <col width="6" customWidth="1" style="279" min="52" max="53"/>
    <col collapsed="1" width="6" customWidth="1" style="279" min="54" max="54"/>
    <col width="6" customWidth="1" style="279" min="55" max="55"/>
    <col width="6.88671875" customWidth="1" style="279" min="56" max="57"/>
    <col collapsed="1" width="6.88671875" customWidth="1" style="279" min="58" max="58"/>
    <col width="6.88671875" customWidth="1" style="279" min="59" max="61"/>
    <col width="6.44140625" customWidth="1" style="279" min="62" max="65"/>
    <col width="7.33203125" customWidth="1" style="279" min="66" max="69"/>
    <col width="6.6640625" customWidth="1" style="279" min="70" max="83"/>
    <col width="6.5546875" customWidth="1" style="279" min="84" max="93"/>
    <col width="7.33203125" customWidth="1" style="279" min="94" max="97"/>
    <col width="7.33203125" customWidth="1" style="3" min="98" max="99"/>
    <col width="7.33203125" customWidth="1" style="279" min="100" max="109"/>
    <col width="6.33203125" customWidth="1" style="279" min="110" max="110"/>
    <col width="6.88671875" customWidth="1" style="279" min="111" max="111"/>
    <col width="6.33203125" customWidth="1" style="279" min="112" max="117"/>
    <col collapsed="1" width="6.33203125" customWidth="1" style="279" min="118" max="118"/>
    <col width="6.33203125" customWidth="1" style="279" min="119" max="123"/>
    <col width="7.6640625" customWidth="1" style="279" min="124" max="125"/>
    <col width="6.33203125" customWidth="1" style="279" min="126" max="127"/>
    <col width="7.109375" customWidth="1" style="279" min="128" max="129"/>
    <col width="6.6640625" customWidth="1" style="279" min="130" max="133"/>
    <col collapsed="1" width="6.6640625" customWidth="1" style="279" min="134" max="134"/>
    <col width="6.6640625" customWidth="1" style="279" min="135" max="135"/>
    <col collapsed="1" width="7.33203125" customWidth="1" style="279" min="136" max="136"/>
    <col width="7.33203125" customWidth="1" style="279" min="137" max="139"/>
    <col width="6.6640625" customWidth="1" style="279" min="140" max="143"/>
    <col width="6.109375" customWidth="1" style="279" min="144" max="145"/>
    <col width="6.5546875" customWidth="1" style="279" min="146" max="147"/>
    <col collapsed="1" width="7.33203125" customWidth="1" style="279" min="148" max="148"/>
    <col width="6.33203125" customWidth="1" style="279" min="149" max="149"/>
    <col width="7.33203125" customWidth="1" style="279" min="150" max="165"/>
    <col collapsed="1" width="7.33203125" customWidth="1" style="279" min="166" max="166"/>
    <col width="7.33203125" customWidth="1" style="279" min="167" max="191"/>
    <col collapsed="1" width="7.33203125" customWidth="1" style="279" min="192" max="192"/>
    <col width="7.33203125" customWidth="1" style="279" min="193" max="195"/>
    <col collapsed="1" width="7.33203125" customWidth="1" style="279" min="196" max="196"/>
    <col width="7.33203125" customWidth="1" style="279" min="197" max="231"/>
    <col collapsed="1" width="7.33203125" customWidth="1" style="279" min="232" max="232"/>
    <col width="7.33203125" customWidth="1" style="279" min="233" max="241"/>
    <col collapsed="1" width="7.33203125" customWidth="1" style="279" min="242" max="242"/>
    <col width="7.33203125" customWidth="1" style="279" min="243" max="263"/>
    <col width="7" customWidth="1" style="279" min="264" max="264"/>
    <col width="7.33203125" customWidth="1" style="279" min="265" max="271"/>
    <col width="6.88671875" customWidth="1" style="279" min="272" max="272"/>
    <col width="6.44140625" customWidth="1" style="279" min="273" max="273"/>
    <col hidden="1" outlineLevel="1" width="6.44140625" customWidth="1" style="279" min="274" max="274"/>
    <col hidden="1" outlineLevel="1" width="6.88671875" customWidth="1" style="279" min="275" max="275"/>
    <col hidden="1" outlineLevel="1" width="7.109375" customWidth="1" style="279" min="276" max="276"/>
    <col hidden="1" outlineLevel="1" width="6.5546875" customWidth="1" style="279" min="277" max="277"/>
    <col hidden="1" outlineLevel="1" width="6.44140625" customWidth="1" style="279" min="278" max="279"/>
    <col hidden="1" outlineLevel="1" width="6" customWidth="1" style="279" min="280" max="280"/>
    <col hidden="1" outlineLevel="1" width="5.5546875" customWidth="1" style="279" min="281" max="281"/>
    <col hidden="1" outlineLevel="1" width="5.88671875" customWidth="1" style="279" min="282" max="282"/>
    <col hidden="1" outlineLevel="1" width="6.5546875" customWidth="1" style="279" min="283" max="283"/>
    <col hidden="1" outlineLevel="1" width="5.44140625" customWidth="1" style="279" min="284" max="284"/>
    <col hidden="1" outlineLevel="1" width="6" customWidth="1" style="279" min="285" max="285"/>
    <col hidden="1" outlineLevel="1" width="7.33203125" customWidth="1" style="279" min="286" max="286"/>
    <col hidden="1" outlineLevel="1" width="9.88671875" customWidth="1" style="279" min="287" max="287"/>
    <col collapsed="1" width="9.44140625" customWidth="1" style="279" min="288" max="288"/>
    <col width="9.44140625" customWidth="1" style="279" min="289" max="289"/>
    <col width="17.5546875" customWidth="1" style="279" min="290" max="290"/>
    <col width="11" customWidth="1" style="279" min="291" max="291"/>
    <col width="15.44140625" customWidth="1" style="279" min="292" max="292"/>
    <col width="9.109375" customWidth="1" style="279" min="293" max="293"/>
    <col width="9.109375" customWidth="1" style="279" min="294" max="16384"/>
  </cols>
  <sheetData>
    <row r="1" ht="17.25" customFormat="1" customHeight="1" s="288" thickBot="1">
      <c r="A1" s="265" t="inlineStr">
        <is>
          <t>Расшифровка зарплаты рабочих за Апрель 2024 г</t>
        </is>
      </c>
      <c r="B1" s="266" t="n"/>
      <c r="C1" s="266" t="n"/>
      <c r="D1" s="266" t="n"/>
      <c r="E1" s="266" t="n"/>
      <c r="F1" s="266" t="n"/>
      <c r="G1" s="266" t="n"/>
      <c r="M1" s="5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V1" s="39" t="n"/>
      <c r="AW1" s="39" t="n"/>
      <c r="BB1" s="37" t="n"/>
      <c r="BC1" s="37" t="n"/>
      <c r="BD1" s="37" t="n"/>
      <c r="BE1" s="37" t="n"/>
      <c r="BJ1" s="287" t="n"/>
      <c r="BP1" s="287" t="n"/>
      <c r="CD1" s="36" t="n"/>
      <c r="DM1" s="310" t="n"/>
      <c r="DQ1" s="41" t="n"/>
      <c r="DR1" s="37" t="n"/>
      <c r="DS1" s="37" t="n"/>
      <c r="DT1" s="37" t="n"/>
      <c r="DU1" s="37" t="n"/>
      <c r="DV1" s="37" t="n"/>
      <c r="DW1" s="37" t="n"/>
      <c r="DX1" s="37" t="n"/>
      <c r="DY1" s="37" t="n"/>
      <c r="ER1" s="36" t="n"/>
      <c r="ES1" s="36" t="n"/>
      <c r="GZ1" s="39" t="n"/>
      <c r="HA1" s="39" t="n"/>
      <c r="HD1" s="37" t="n"/>
      <c r="HE1" s="37" t="n"/>
      <c r="HK1" s="39" t="n"/>
      <c r="HL1" s="39" t="n"/>
      <c r="HM1" s="40" t="n"/>
      <c r="HN1" s="39" t="n"/>
      <c r="HO1" s="39" t="n"/>
      <c r="HP1" s="39" t="n"/>
      <c r="HQ1" s="40" t="n"/>
      <c r="IO1" s="37" t="n"/>
      <c r="IQ1" s="37" t="n"/>
    </row>
    <row r="2" ht="11.25" customHeight="1" thickBot="1">
      <c r="A2" s="283" t="inlineStr">
        <is>
          <t>№ П/П</t>
        </is>
      </c>
      <c r="B2" s="299" t="inlineStr">
        <is>
          <t>Работники</t>
        </is>
      </c>
      <c r="C2" s="285" t="n"/>
      <c r="D2" s="337" t="inlineStr">
        <is>
          <t>Отработано часов</t>
        </is>
      </c>
      <c r="E2" s="305" t="n"/>
      <c r="F2" s="285" t="inlineStr">
        <is>
          <t>Оклад с РК</t>
        </is>
      </c>
      <c r="G2" s="308" t="n"/>
      <c r="H2" s="335" t="inlineStr">
        <is>
          <t>Распределение по заказам</t>
        </is>
      </c>
      <c r="I2" s="255" t="n"/>
      <c r="J2" s="255" t="n"/>
      <c r="K2" s="255" t="n"/>
      <c r="L2" s="255" t="n"/>
      <c r="M2" s="255" t="n"/>
      <c r="N2" s="255" t="n"/>
      <c r="O2" s="255" t="n"/>
      <c r="P2" s="255" t="n"/>
      <c r="Q2" s="255" t="n"/>
      <c r="R2" s="255" t="n"/>
      <c r="S2" s="255" t="n"/>
      <c r="T2" s="255" t="n"/>
      <c r="U2" s="255" t="n"/>
      <c r="V2" s="255" t="n"/>
      <c r="W2" s="255" t="n"/>
      <c r="X2" s="255" t="n"/>
      <c r="Y2" s="255" t="n"/>
      <c r="Z2" s="255" t="n"/>
      <c r="AA2" s="255" t="n"/>
      <c r="AB2" s="255" t="n"/>
      <c r="AC2" s="255" t="n"/>
      <c r="AD2" s="255" t="n"/>
      <c r="AE2" s="255" t="n"/>
      <c r="AF2" s="255" t="n"/>
      <c r="AG2" s="255" t="n"/>
      <c r="AH2" s="255" t="n"/>
      <c r="AI2" s="255" t="n"/>
      <c r="AJ2" s="255" t="n"/>
      <c r="AK2" s="255" t="n"/>
      <c r="AL2" s="255" t="n"/>
      <c r="AM2" s="255" t="n"/>
      <c r="AN2" s="255" t="n"/>
      <c r="AO2" s="255" t="n"/>
      <c r="AP2" s="255" t="n"/>
      <c r="AQ2" s="255" t="n"/>
      <c r="AR2" s="255" t="n"/>
      <c r="AS2" s="255" t="n"/>
      <c r="AT2" s="255" t="n"/>
      <c r="AU2" s="255" t="n"/>
      <c r="AV2" s="255" t="n"/>
      <c r="AW2" s="255" t="n"/>
      <c r="AX2" s="255" t="n"/>
      <c r="AY2" s="255" t="n"/>
      <c r="AZ2" s="255" t="n"/>
      <c r="BA2" s="255" t="n"/>
      <c r="BB2" s="255" t="n"/>
      <c r="BC2" s="255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  <c r="BN2" s="47" t="n"/>
      <c r="BO2" s="47" t="n"/>
      <c r="BP2" s="47" t="n"/>
      <c r="BQ2" s="47" t="n"/>
      <c r="BR2" s="47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  <c r="CO2" s="47" t="n"/>
      <c r="CP2" s="47" t="n"/>
      <c r="CQ2" s="47" t="n"/>
      <c r="CR2" s="47" t="n"/>
      <c r="CS2" s="47" t="n"/>
      <c r="CT2" s="47" t="n"/>
      <c r="CU2" s="47" t="n"/>
      <c r="CV2" s="47" t="n"/>
      <c r="CW2" s="47" t="n"/>
      <c r="CX2" s="47" t="n"/>
      <c r="CY2" s="47" t="n"/>
      <c r="CZ2" s="47" t="n"/>
      <c r="DA2" s="47" t="n"/>
      <c r="DB2" s="47" t="n"/>
      <c r="DC2" s="47" t="n"/>
      <c r="DD2" s="47" t="n"/>
      <c r="DE2" s="47" t="n"/>
      <c r="DF2" s="47" t="n"/>
      <c r="DG2" s="47" t="n"/>
      <c r="DH2" s="47" t="n"/>
      <c r="DI2" s="47" t="n"/>
      <c r="DJ2" s="47" t="n"/>
      <c r="DK2" s="47" t="n"/>
      <c r="DL2" s="47" t="n"/>
      <c r="DM2" s="47" t="n"/>
      <c r="DN2" s="47" t="n"/>
      <c r="DO2" s="47" t="n"/>
      <c r="DP2" s="47" t="n"/>
      <c r="DQ2" s="47" t="n"/>
      <c r="DR2" s="47" t="n"/>
      <c r="DS2" s="47" t="n"/>
      <c r="DT2" s="47" t="n"/>
      <c r="DU2" s="47" t="n"/>
      <c r="DV2" s="47" t="n"/>
      <c r="DW2" s="47" t="n"/>
      <c r="DX2" s="47" t="n"/>
      <c r="DY2" s="47" t="n"/>
      <c r="DZ2" s="47" t="n"/>
      <c r="EA2" s="47" t="n"/>
      <c r="EB2" s="47" t="n"/>
      <c r="EC2" s="47" t="n"/>
      <c r="ED2" s="47" t="n"/>
      <c r="EE2" s="47" t="n"/>
      <c r="EF2" s="47" t="n"/>
      <c r="EG2" s="47" t="n"/>
      <c r="EH2" s="47" t="n"/>
      <c r="EI2" s="47" t="n"/>
      <c r="EJ2" s="47" t="n"/>
      <c r="EK2" s="47" t="n"/>
      <c r="EL2" s="47" t="n"/>
      <c r="EM2" s="47" t="n"/>
      <c r="EN2" s="47" t="n"/>
      <c r="EO2" s="47" t="n"/>
      <c r="EP2" s="47" t="n"/>
      <c r="EQ2" s="47" t="n"/>
      <c r="ER2" s="47" t="n"/>
      <c r="ES2" s="47" t="n"/>
      <c r="ET2" s="47" t="n"/>
      <c r="EU2" s="47" t="n"/>
      <c r="EV2" s="47" t="n"/>
      <c r="EW2" s="47" t="n"/>
      <c r="EX2" s="47" t="n"/>
      <c r="EY2" s="47" t="n"/>
      <c r="EZ2" s="47" t="n"/>
      <c r="FA2" s="47" t="n"/>
      <c r="FB2" s="47" t="n"/>
      <c r="FC2" s="47" t="n"/>
      <c r="FD2" s="47" t="n"/>
      <c r="FE2" s="47" t="n"/>
      <c r="FF2" s="47" t="n"/>
      <c r="FG2" s="47" t="n"/>
      <c r="FH2" s="47" t="n"/>
      <c r="FI2" s="47" t="n"/>
      <c r="FJ2" s="47" t="n"/>
      <c r="FK2" s="47" t="n"/>
      <c r="FL2" s="47" t="n"/>
      <c r="FM2" s="47" t="n"/>
      <c r="FN2" s="47" t="n"/>
      <c r="FO2" s="47" t="n"/>
      <c r="FP2" s="47" t="n"/>
      <c r="FQ2" s="47" t="n"/>
      <c r="FR2" s="47" t="n"/>
      <c r="FS2" s="47" t="n"/>
      <c r="FT2" s="47" t="n"/>
      <c r="FU2" s="47" t="n"/>
      <c r="FV2" s="47" t="n"/>
      <c r="FW2" s="47" t="n"/>
      <c r="FX2" s="47" t="n"/>
      <c r="FY2" s="47" t="n"/>
      <c r="FZ2" s="47" t="n"/>
      <c r="GA2" s="47" t="n"/>
      <c r="GB2" s="47" t="n"/>
      <c r="GC2" s="47" t="n"/>
      <c r="GD2" s="47" t="n"/>
      <c r="GE2" s="47" t="n"/>
      <c r="GF2" s="47" t="n"/>
      <c r="GG2" s="47" t="n"/>
      <c r="GH2" s="47" t="n"/>
      <c r="GI2" s="47" t="n"/>
      <c r="GJ2" s="47" t="n"/>
      <c r="GK2" s="47" t="n"/>
      <c r="GL2" s="47" t="n"/>
      <c r="GM2" s="47" t="n"/>
      <c r="GN2" s="47" t="n"/>
      <c r="GO2" s="47" t="n"/>
      <c r="GP2" s="47" t="n"/>
      <c r="GQ2" s="47" t="n"/>
      <c r="GR2" s="47" t="n"/>
      <c r="GS2" s="47" t="n"/>
      <c r="GT2" s="47" t="n"/>
      <c r="GU2" s="47" t="n"/>
      <c r="GV2" s="47" t="n"/>
      <c r="GW2" s="47" t="n"/>
      <c r="GX2" s="47" t="n"/>
      <c r="GY2" s="47" t="n"/>
      <c r="GZ2" s="47" t="n"/>
      <c r="HA2" s="47" t="n"/>
      <c r="HB2" s="47" t="n"/>
      <c r="HC2" s="47" t="n"/>
      <c r="HD2" s="47" t="n"/>
      <c r="HE2" s="47" t="n"/>
      <c r="HF2" s="47" t="n"/>
      <c r="HG2" s="47" t="n"/>
      <c r="HH2" s="47" t="n"/>
      <c r="HI2" s="47" t="n"/>
      <c r="HJ2" s="47" t="n"/>
      <c r="HK2" s="47" t="n"/>
      <c r="HL2" s="47" t="n"/>
      <c r="HM2" s="47" t="n"/>
      <c r="HN2" s="47" t="n"/>
      <c r="HO2" s="47" t="n"/>
      <c r="HP2" s="47" t="n"/>
      <c r="HQ2" s="47" t="n"/>
      <c r="HR2" s="47" t="n"/>
      <c r="HS2" s="47" t="n"/>
      <c r="HT2" s="47" t="n"/>
      <c r="HU2" s="47" t="n"/>
      <c r="HV2" s="47" t="n"/>
      <c r="HW2" s="47" t="n"/>
      <c r="HX2" s="47" t="n"/>
      <c r="HY2" s="47" t="n"/>
      <c r="HZ2" s="47" t="n"/>
      <c r="IA2" s="47" t="n"/>
      <c r="IB2" s="47" t="n"/>
      <c r="IC2" s="47" t="n"/>
      <c r="ID2" s="47" t="n"/>
      <c r="IE2" s="47" t="n"/>
      <c r="IF2" s="47" t="n"/>
      <c r="IG2" s="47" t="n"/>
      <c r="IH2" s="47" t="n"/>
      <c r="II2" s="47" t="n"/>
      <c r="IJ2" s="47" t="n"/>
      <c r="IK2" s="47" t="n"/>
      <c r="IL2" s="47" t="n"/>
      <c r="IM2" s="47" t="n"/>
      <c r="IN2" s="47" t="n"/>
      <c r="IO2" s="47" t="n"/>
      <c r="IP2" s="47" t="n"/>
      <c r="IQ2" s="47" t="n"/>
      <c r="IR2" s="47" t="n"/>
      <c r="IS2" s="47" t="n"/>
      <c r="IT2" s="47" t="n"/>
      <c r="IU2" s="47" t="n"/>
      <c r="IV2" s="47" t="n"/>
      <c r="IW2" s="47" t="n"/>
      <c r="IX2" s="47" t="n"/>
      <c r="IY2" s="47" t="n"/>
      <c r="IZ2" s="47" t="n"/>
      <c r="JA2" s="47" t="n"/>
      <c r="JB2" s="47" t="n"/>
      <c r="JC2" s="47" t="n"/>
      <c r="JD2" s="47" t="n"/>
      <c r="JE2" s="47" t="n"/>
      <c r="JF2" s="47" t="n"/>
      <c r="JG2" s="47" t="n"/>
      <c r="JH2" s="47" t="n"/>
      <c r="JI2" s="47" t="n"/>
      <c r="JJ2" s="47" t="n"/>
      <c r="JK2" s="47" t="n"/>
      <c r="JL2" s="47" t="n"/>
      <c r="JM2" s="47" t="n"/>
      <c r="JN2" s="47" t="n"/>
      <c r="JO2" s="47" t="n"/>
      <c r="JP2" s="47" t="n"/>
      <c r="JQ2" s="47" t="n"/>
      <c r="JR2" s="47" t="n"/>
      <c r="JS2" s="47" t="n"/>
      <c r="JT2" s="47" t="n"/>
      <c r="JU2" s="47" t="n"/>
      <c r="JV2" s="47" t="n"/>
      <c r="JW2" s="47" t="n"/>
      <c r="JX2" s="47" t="n"/>
      <c r="JY2" s="47" t="n"/>
      <c r="JZ2" s="47" t="n"/>
      <c r="KA2" s="47" t="n"/>
      <c r="KB2" s="47" t="n"/>
      <c r="KC2" s="48" t="n"/>
    </row>
    <row r="3" ht="14.25" customHeight="1">
      <c r="A3" s="284" t="n"/>
      <c r="B3" s="284" t="n"/>
      <c r="C3" s="286" t="n"/>
      <c r="D3" s="286" t="n"/>
      <c r="E3" s="306" t="n"/>
      <c r="F3" s="286" t="n"/>
      <c r="H3" s="339" t="inlineStr">
        <is>
          <t>ОСНАСТКА</t>
        </is>
      </c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0" t="n"/>
      <c r="S3" s="340" t="n"/>
      <c r="T3" s="340" t="n"/>
      <c r="U3" s="340" t="n"/>
      <c r="V3" s="340" t="n"/>
      <c r="W3" s="340" t="n"/>
      <c r="X3" s="340" t="n"/>
      <c r="Y3" s="340" t="n"/>
      <c r="Z3" s="340" t="n"/>
      <c r="AA3" s="248" t="n"/>
      <c r="AB3" s="68" t="n"/>
      <c r="AC3" s="68" t="n"/>
      <c r="AD3" s="68" t="n"/>
      <c r="AE3" s="68" t="n"/>
      <c r="AF3" s="68" t="n"/>
      <c r="AG3" s="68" t="n"/>
      <c r="AH3" s="68" t="n"/>
      <c r="AI3" s="144" t="n"/>
      <c r="AJ3" s="145" t="n"/>
      <c r="AK3" s="145" t="n"/>
      <c r="AL3" s="336" t="n"/>
      <c r="AM3" s="271" t="n"/>
      <c r="AN3" s="68" t="n"/>
      <c r="AO3" s="68" t="n"/>
      <c r="AP3" s="68" t="n"/>
      <c r="AQ3" s="68" t="n"/>
      <c r="AR3" s="68" t="n"/>
      <c r="AS3" s="68" t="n"/>
      <c r="AT3" s="68" t="n"/>
      <c r="AU3" s="68" t="n"/>
      <c r="AV3" s="68" t="n"/>
      <c r="AW3" s="68" t="n"/>
      <c r="AX3" s="69" t="n"/>
      <c r="AY3" s="68" t="n"/>
      <c r="AZ3" s="68" t="n"/>
      <c r="BA3" s="68" t="n"/>
      <c r="BB3" s="68" t="n"/>
      <c r="BC3" s="68" t="n"/>
      <c r="BD3" s="43" t="n"/>
      <c r="BE3" s="43" t="n"/>
      <c r="BF3" s="43" t="n"/>
      <c r="BG3" s="43" t="n"/>
      <c r="BH3" s="43" t="n"/>
      <c r="BI3" s="43" t="n"/>
      <c r="BJ3" s="43" t="n"/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  <c r="CO3" s="43" t="n"/>
      <c r="CP3" s="43" t="n"/>
      <c r="CQ3" s="43" t="n"/>
      <c r="CR3" s="43" t="n"/>
      <c r="CS3" s="43" t="n"/>
      <c r="CT3" s="43" t="n"/>
      <c r="CU3" s="43" t="n"/>
      <c r="CV3" s="43" t="n"/>
      <c r="CW3" s="43" t="n"/>
      <c r="CX3" s="43" t="n"/>
      <c r="CY3" s="43" t="n"/>
      <c r="CZ3" s="43" t="n"/>
      <c r="DA3" s="43" t="n"/>
      <c r="DB3" s="43" t="n"/>
      <c r="DC3" s="43" t="n"/>
      <c r="DD3" s="43" t="n"/>
      <c r="DE3" s="43" t="n"/>
      <c r="DF3" s="43" t="n"/>
      <c r="DG3" s="43" t="n"/>
      <c r="DH3" s="43" t="n"/>
      <c r="DI3" s="43" t="n"/>
      <c r="DJ3" s="43" t="n"/>
      <c r="DK3" s="43" t="n"/>
      <c r="DL3" s="43" t="n"/>
      <c r="DM3" s="43" t="n"/>
      <c r="DN3" s="43" t="n"/>
      <c r="DO3" s="43" t="n"/>
      <c r="DP3" s="43" t="n"/>
      <c r="DQ3" s="43" t="n"/>
      <c r="DR3" s="43" t="n"/>
      <c r="DS3" s="43" t="n"/>
      <c r="DT3" s="43" t="n"/>
      <c r="DU3" s="43" t="n"/>
      <c r="DV3" s="43" t="n"/>
      <c r="DW3" s="43" t="n"/>
      <c r="DX3" s="43" t="n"/>
      <c r="DY3" s="43" t="n"/>
      <c r="DZ3" s="43" t="n"/>
      <c r="EA3" s="43" t="n"/>
      <c r="EB3" s="43" t="n"/>
      <c r="EC3" s="43" t="n"/>
      <c r="ED3" s="43" t="n"/>
      <c r="EE3" s="43" t="n"/>
      <c r="EF3" s="43" t="n"/>
      <c r="EG3" s="43" t="n"/>
      <c r="EH3" s="43" t="n"/>
      <c r="EI3" s="43" t="n"/>
      <c r="EJ3" s="43" t="n"/>
      <c r="EK3" s="43" t="n"/>
      <c r="EL3" s="43" t="n"/>
      <c r="EM3" s="43" t="n"/>
      <c r="EN3" s="43" t="n"/>
      <c r="EO3" s="43" t="n"/>
      <c r="EP3" s="43" t="n"/>
      <c r="EQ3" s="43" t="n"/>
      <c r="ER3" s="43" t="n"/>
      <c r="ES3" s="43" t="n"/>
      <c r="ET3" s="43" t="n"/>
      <c r="EU3" s="43" t="n"/>
      <c r="EV3" s="43" t="n"/>
      <c r="EW3" s="43" t="n"/>
      <c r="EX3" s="43" t="n"/>
      <c r="EY3" s="43" t="n"/>
      <c r="EZ3" s="43" t="n"/>
      <c r="FA3" s="62" t="n"/>
      <c r="FB3" s="63" t="n"/>
      <c r="FC3" s="62" t="n"/>
      <c r="FD3" s="63" t="n"/>
      <c r="FE3" s="62" t="n"/>
      <c r="FF3" s="63" t="n"/>
      <c r="FG3" s="62" t="n"/>
      <c r="FH3" s="43" t="n"/>
      <c r="FI3" s="62" t="n"/>
      <c r="FJ3" s="43" t="n"/>
      <c r="FK3" s="43" t="n"/>
      <c r="FL3" s="43" t="n"/>
      <c r="FM3" s="43" t="n"/>
      <c r="FN3" s="43" t="n"/>
      <c r="FO3" s="43" t="n"/>
      <c r="FP3" s="43" t="n"/>
      <c r="FQ3" s="43" t="n"/>
      <c r="FR3" s="43" t="n"/>
      <c r="FS3" s="43" t="n"/>
      <c r="FT3" s="43" t="n"/>
      <c r="FU3" s="43" t="n"/>
      <c r="FV3" s="43" t="n"/>
      <c r="FW3" s="43" t="n"/>
      <c r="FX3" s="43" t="n"/>
      <c r="FY3" s="43" t="n"/>
      <c r="FZ3" s="43" t="n"/>
      <c r="GA3" s="43" t="n"/>
      <c r="GB3" s="43" t="n"/>
      <c r="GC3" s="43" t="n"/>
      <c r="GD3" s="43" t="n"/>
      <c r="GE3" s="43" t="n"/>
      <c r="GF3" s="43" t="n"/>
      <c r="GG3" s="43" t="n"/>
      <c r="GH3" s="43" t="n"/>
      <c r="GI3" s="54" t="n"/>
      <c r="GJ3" s="43" t="n"/>
      <c r="GK3" s="43" t="n"/>
      <c r="GL3" s="43" t="n"/>
      <c r="GM3" s="43" t="n"/>
      <c r="GN3" s="43" t="n"/>
      <c r="GO3" s="43" t="n"/>
      <c r="GP3" s="43" t="n"/>
      <c r="GQ3" s="43" t="n"/>
      <c r="GR3" s="43" t="n"/>
      <c r="GS3" s="43" t="n"/>
      <c r="GT3" s="43" t="n"/>
      <c r="GU3" s="43" t="n"/>
      <c r="GV3" s="50" t="n"/>
      <c r="GW3" s="50" t="n"/>
      <c r="GX3" s="50" t="n"/>
      <c r="GY3" s="50" t="n"/>
      <c r="GZ3" s="50" t="n"/>
      <c r="HA3" s="50" t="n"/>
      <c r="HB3" s="43" t="n"/>
      <c r="HC3" s="43" t="n"/>
      <c r="HD3" s="43" t="n"/>
      <c r="HE3" s="43" t="n"/>
      <c r="HF3" s="49" t="n"/>
      <c r="HG3" s="43" t="n"/>
      <c r="HH3" s="43" t="n"/>
      <c r="HI3" s="43" t="n"/>
      <c r="HJ3" s="43" t="n"/>
      <c r="HK3" s="43" t="n"/>
      <c r="HL3" s="43" t="n"/>
      <c r="HM3" s="43" t="n"/>
      <c r="HN3" s="43" t="n"/>
      <c r="HO3" s="43" t="n"/>
      <c r="HP3" s="43" t="n"/>
      <c r="HQ3" s="43" t="n"/>
      <c r="HR3" s="43" t="n"/>
      <c r="HS3" s="43" t="n"/>
      <c r="HT3" s="43" t="n"/>
      <c r="HU3" s="43" t="n"/>
      <c r="HV3" s="43" t="n"/>
      <c r="HW3" s="43" t="n"/>
      <c r="HX3" s="43" t="n"/>
      <c r="HY3" s="43" t="n"/>
      <c r="HZ3" s="43" t="n"/>
      <c r="IA3" s="43" t="n"/>
      <c r="IB3" s="43" t="n"/>
      <c r="IC3" s="43" t="n"/>
      <c r="ID3" s="43" t="n"/>
      <c r="IE3" s="43" t="n"/>
      <c r="IF3" s="43" t="n"/>
      <c r="IG3" s="43" t="n"/>
      <c r="IH3" s="43" t="n"/>
      <c r="II3" s="43" t="n"/>
      <c r="IJ3" s="43" t="n"/>
      <c r="IK3" s="43" t="n"/>
      <c r="IL3" s="43" t="n"/>
      <c r="IM3" s="43" t="n"/>
      <c r="IN3" s="43" t="n"/>
      <c r="IO3" s="43" t="n"/>
      <c r="IP3" s="43" t="n"/>
      <c r="IQ3" s="43" t="n"/>
      <c r="IR3" s="43" t="n"/>
      <c r="IS3" s="43" t="n"/>
      <c r="IT3" s="43" t="n"/>
      <c r="IU3" s="43" t="n"/>
      <c r="IV3" s="43" t="n"/>
      <c r="IW3" s="43" t="n"/>
      <c r="IX3" s="43" t="n"/>
      <c r="IY3" s="43" t="n"/>
      <c r="IZ3" s="50" t="n"/>
      <c r="JA3" s="50" t="n"/>
      <c r="JB3" s="50" t="n"/>
      <c r="JC3" s="50" t="n"/>
      <c r="JD3" s="50" t="n"/>
      <c r="JE3" s="50" t="n"/>
      <c r="JF3" s="42" t="n"/>
      <c r="JG3" s="42" t="n"/>
      <c r="JH3" s="42" t="n"/>
      <c r="JI3" s="42" t="n"/>
      <c r="JJ3" s="342" t="n"/>
      <c r="JK3" s="340" t="n"/>
      <c r="JL3" s="304" t="inlineStr">
        <is>
          <t>Работы с обслуживанием цеха и оборудования</t>
        </is>
      </c>
      <c r="JM3" s="305" t="n"/>
      <c r="JN3" s="270" t="inlineStr">
        <is>
          <t>Подготовительные работы по ОС</t>
        </is>
      </c>
      <c r="JO3" s="271" t="n"/>
      <c r="JP3" s="271" t="n"/>
      <c r="JQ3" s="271" t="n"/>
      <c r="JR3" s="271" t="n"/>
      <c r="JS3" s="271" t="n"/>
      <c r="JT3" s="271" t="n"/>
      <c r="JU3" s="271" t="n"/>
      <c r="JV3" s="271" t="n"/>
      <c r="JW3" s="271" t="n"/>
      <c r="JX3" s="271" t="n"/>
      <c r="JY3" s="271" t="n"/>
      <c r="JZ3" s="271" t="n"/>
      <c r="KA3" s="272" t="n"/>
      <c r="KB3" s="316" t="inlineStr">
        <is>
          <t>ВСЕГО</t>
        </is>
      </c>
      <c r="KC3" s="306" t="n"/>
    </row>
    <row r="4" ht="104.25" customHeight="1">
      <c r="A4" s="284" t="n"/>
      <c r="B4" s="284" t="n"/>
      <c r="C4" s="286" t="n"/>
      <c r="D4" s="338" t="n"/>
      <c r="E4" s="281" t="n"/>
      <c r="F4" s="286" t="n"/>
      <c r="H4" s="260" t="n"/>
      <c r="I4" s="248" t="n"/>
      <c r="J4" s="260" t="n"/>
      <c r="K4" s="248" t="n"/>
      <c r="L4" s="260" t="n"/>
      <c r="M4" s="248" t="n"/>
      <c r="N4" s="260" t="n"/>
      <c r="O4" s="248" t="n"/>
      <c r="P4" s="260" t="n"/>
      <c r="Q4" s="248" t="n"/>
      <c r="R4" s="260" t="n"/>
      <c r="S4" s="248" t="n"/>
      <c r="T4" s="260" t="n"/>
      <c r="U4" s="248" t="n"/>
      <c r="V4" s="260" t="n"/>
      <c r="W4" s="248" t="n"/>
      <c r="X4" s="260" t="n"/>
      <c r="Y4" s="248" t="n"/>
      <c r="Z4" s="260" t="n"/>
      <c r="AA4" s="248" t="n"/>
      <c r="AB4" s="260" t="n"/>
      <c r="AC4" s="248" t="n"/>
      <c r="AD4" s="260" t="n"/>
      <c r="AE4" s="248" t="n"/>
      <c r="AF4" s="260" t="n"/>
      <c r="AG4" s="248" t="n"/>
      <c r="AH4" s="260" t="n"/>
      <c r="AI4" s="248" t="n"/>
      <c r="AJ4" s="260" t="n"/>
      <c r="AK4" s="248" t="n"/>
      <c r="AL4" s="260" t="n"/>
      <c r="AM4" s="248" t="n"/>
      <c r="AN4" s="260" t="n"/>
      <c r="AO4" s="248" t="n"/>
      <c r="AP4" s="260" t="n"/>
      <c r="AQ4" s="248" t="n"/>
      <c r="AR4" s="260" t="n"/>
      <c r="AS4" s="248" t="n"/>
      <c r="AT4" s="260" t="n"/>
      <c r="AU4" s="248" t="n"/>
      <c r="AV4" s="260" t="n"/>
      <c r="AW4" s="248" t="n"/>
      <c r="AX4" s="260" t="n"/>
      <c r="AY4" s="248" t="n"/>
      <c r="AZ4" s="260" t="n"/>
      <c r="BA4" s="248" t="n"/>
      <c r="BB4" s="260" t="n"/>
      <c r="BC4" s="248" t="n"/>
      <c r="BD4" s="260" t="n"/>
      <c r="BE4" s="248" t="n"/>
      <c r="BF4" s="260" t="n"/>
      <c r="BG4" s="248" t="n"/>
      <c r="BH4" s="260" t="n"/>
      <c r="BI4" s="248" t="n"/>
      <c r="BJ4" s="260" t="n"/>
      <c r="BK4" s="248" t="n"/>
      <c r="BL4" s="260" t="n"/>
      <c r="BM4" s="248" t="n"/>
      <c r="BN4" s="260" t="n"/>
      <c r="BO4" s="248" t="n"/>
      <c r="BP4" s="260" t="n"/>
      <c r="BQ4" s="248" t="n"/>
      <c r="BR4" s="260" t="n"/>
      <c r="BS4" s="248" t="n"/>
      <c r="BT4" s="260" t="n"/>
      <c r="BU4" s="248" t="n"/>
      <c r="BV4" s="260" t="n"/>
      <c r="BW4" s="248" t="n"/>
      <c r="BX4" s="260" t="n"/>
      <c r="BY4" s="248" t="n"/>
      <c r="BZ4" s="260" t="n"/>
      <c r="CA4" s="248" t="n"/>
      <c r="CB4" s="260" t="n"/>
      <c r="CC4" s="248" t="n"/>
      <c r="CD4" s="260" t="n"/>
      <c r="CE4" s="248" t="n"/>
      <c r="CF4" s="260" t="n"/>
      <c r="CG4" s="248" t="n"/>
      <c r="CH4" s="260" t="n"/>
      <c r="CI4" s="248" t="n"/>
      <c r="CJ4" s="260" t="n"/>
      <c r="CK4" s="248" t="n"/>
      <c r="CL4" s="260" t="n"/>
      <c r="CM4" s="248" t="n"/>
      <c r="CN4" s="260" t="n"/>
      <c r="CO4" s="248" t="n"/>
      <c r="CP4" s="260" t="n"/>
      <c r="CQ4" s="248" t="n"/>
      <c r="CR4" s="260" t="n"/>
      <c r="CS4" s="248" t="n"/>
      <c r="CT4" s="260" t="n"/>
      <c r="CU4" s="248" t="n"/>
      <c r="CV4" s="260" t="n"/>
      <c r="CW4" s="248" t="n"/>
      <c r="CX4" s="260" t="n"/>
      <c r="CY4" s="248" t="n"/>
      <c r="CZ4" s="260" t="n"/>
      <c r="DA4" s="248" t="n"/>
      <c r="DB4" s="260" t="n"/>
      <c r="DC4" s="248" t="n"/>
      <c r="DD4" s="260" t="n"/>
      <c r="DE4" s="248" t="n"/>
      <c r="DF4" s="260" t="n"/>
      <c r="DG4" s="248" t="n"/>
      <c r="DH4" s="260" t="n"/>
      <c r="DI4" s="248" t="n"/>
      <c r="DJ4" s="260" t="n"/>
      <c r="DK4" s="248" t="n"/>
      <c r="DL4" s="260" t="n"/>
      <c r="DM4" s="248" t="n"/>
      <c r="DN4" s="260" t="n"/>
      <c r="DO4" s="248" t="n"/>
      <c r="DP4" s="260" t="n"/>
      <c r="DQ4" s="248" t="n"/>
      <c r="DR4" s="260" t="n"/>
      <c r="DS4" s="248" t="n"/>
      <c r="DT4" s="260" t="n"/>
      <c r="DU4" s="248" t="n"/>
      <c r="DV4" s="260" t="n"/>
      <c r="DW4" s="248" t="n"/>
      <c r="DX4" s="260" t="n"/>
      <c r="DY4" s="248" t="n"/>
      <c r="DZ4" s="260" t="n"/>
      <c r="EA4" s="248" t="n"/>
      <c r="EB4" s="260" t="n"/>
      <c r="EC4" s="248" t="n"/>
      <c r="ED4" s="260" t="n"/>
      <c r="EE4" s="248" t="n"/>
      <c r="EF4" s="260" t="n"/>
      <c r="EG4" s="248" t="n"/>
      <c r="EH4" s="260" t="n"/>
      <c r="EI4" s="248" t="n"/>
      <c r="EJ4" s="260" t="n"/>
      <c r="EK4" s="248" t="n"/>
      <c r="EL4" s="260" t="n"/>
      <c r="EM4" s="248" t="n"/>
      <c r="EN4" s="260" t="n"/>
      <c r="EO4" s="248" t="n"/>
      <c r="EP4" s="260" t="n"/>
      <c r="EQ4" s="248" t="n"/>
      <c r="ER4" s="260" t="n"/>
      <c r="ES4" s="248" t="n"/>
      <c r="ET4" s="260" t="n"/>
      <c r="EU4" s="248" t="n"/>
      <c r="EV4" s="260" t="n"/>
      <c r="EW4" s="248" t="n"/>
      <c r="EX4" s="260" t="n"/>
      <c r="EY4" s="248" t="n"/>
      <c r="EZ4" s="260" t="n"/>
      <c r="FA4" s="248" t="n"/>
      <c r="FB4" s="260" t="n"/>
      <c r="FC4" s="248" t="n"/>
      <c r="FD4" s="260" t="n"/>
      <c r="FE4" s="248" t="n"/>
      <c r="FF4" s="260" t="n"/>
      <c r="FG4" s="248" t="n"/>
      <c r="FH4" s="260" t="n"/>
      <c r="FI4" s="248" t="n"/>
      <c r="FJ4" s="260" t="n"/>
      <c r="FK4" s="248" t="n"/>
      <c r="FL4" s="260" t="n"/>
      <c r="FM4" s="248" t="n"/>
      <c r="FN4" s="260" t="n"/>
      <c r="FO4" s="248" t="n"/>
      <c r="FP4" s="260" t="n"/>
      <c r="FQ4" s="248" t="n"/>
      <c r="FR4" s="260" t="n"/>
      <c r="FS4" s="248" t="n"/>
      <c r="FT4" s="260" t="n"/>
      <c r="FU4" s="248" t="n"/>
      <c r="FV4" s="260" t="n"/>
      <c r="FW4" s="248" t="n"/>
      <c r="FX4" s="260" t="n"/>
      <c r="FY4" s="248" t="n"/>
      <c r="FZ4" s="260" t="n"/>
      <c r="GA4" s="248" t="n"/>
      <c r="GB4" s="260" t="n"/>
      <c r="GC4" s="248" t="n"/>
      <c r="GD4" s="260" t="n"/>
      <c r="GE4" s="248" t="n"/>
      <c r="GF4" s="260" t="n"/>
      <c r="GG4" s="248" t="n"/>
      <c r="GH4" s="260" t="n"/>
      <c r="GI4" s="248" t="n"/>
      <c r="GJ4" s="260" t="n"/>
      <c r="GK4" s="248" t="n"/>
      <c r="GL4" s="260" t="n"/>
      <c r="GM4" s="248" t="n"/>
      <c r="GN4" s="260" t="n"/>
      <c r="GO4" s="248" t="n"/>
      <c r="GP4" s="260" t="n"/>
      <c r="GQ4" s="248" t="n"/>
      <c r="GR4" s="260" t="n"/>
      <c r="GS4" s="248" t="n"/>
      <c r="GT4" s="260" t="n"/>
      <c r="GU4" s="248" t="n"/>
      <c r="GV4" s="260" t="n"/>
      <c r="GW4" s="248" t="n"/>
      <c r="GX4" s="260" t="n"/>
      <c r="GY4" s="248" t="n"/>
      <c r="GZ4" s="260" t="n"/>
      <c r="HA4" s="248" t="n"/>
      <c r="HB4" s="260" t="n"/>
      <c r="HC4" s="248" t="n"/>
      <c r="HD4" s="260" t="n"/>
      <c r="HE4" s="248" t="n"/>
      <c r="HF4" s="260" t="n"/>
      <c r="HG4" s="248" t="n"/>
      <c r="HH4" s="260" t="n"/>
      <c r="HI4" s="248" t="n"/>
      <c r="HJ4" s="260" t="n"/>
      <c r="HK4" s="248" t="n"/>
      <c r="HL4" s="260" t="n"/>
      <c r="HM4" s="248" t="n"/>
      <c r="HN4" s="260" t="n"/>
      <c r="HO4" s="248" t="n"/>
      <c r="HP4" s="260" t="n"/>
      <c r="HQ4" s="248" t="n"/>
      <c r="HR4" s="260" t="n"/>
      <c r="HS4" s="248" t="n"/>
      <c r="HT4" s="260" t="n"/>
      <c r="HU4" s="248" t="n"/>
      <c r="HV4" s="260" t="n"/>
      <c r="HW4" s="248" t="n"/>
      <c r="HX4" s="260" t="n"/>
      <c r="HY4" s="248" t="n"/>
      <c r="HZ4" s="260" t="n"/>
      <c r="IA4" s="248" t="n"/>
      <c r="IB4" s="260" t="n"/>
      <c r="IC4" s="248" t="n"/>
      <c r="ID4" s="260" t="n"/>
      <c r="IE4" s="248" t="n"/>
      <c r="IF4" s="260" t="n"/>
      <c r="IG4" s="248" t="n"/>
      <c r="IH4" s="260" t="n"/>
      <c r="II4" s="248" t="n"/>
      <c r="IJ4" s="260" t="n"/>
      <c r="IK4" s="248" t="n"/>
      <c r="IL4" s="260" t="n"/>
      <c r="IM4" s="248" t="n"/>
      <c r="IN4" s="260" t="n"/>
      <c r="IO4" s="248" t="n"/>
      <c r="IP4" s="260" t="n"/>
      <c r="IQ4" s="248" t="n"/>
      <c r="IR4" s="260" t="n"/>
      <c r="IS4" s="248" t="n"/>
      <c r="IT4" s="260" t="n"/>
      <c r="IU4" s="248" t="n"/>
      <c r="IV4" s="260" t="n"/>
      <c r="IW4" s="248" t="n"/>
      <c r="IX4" s="260" t="n"/>
      <c r="IY4" s="248" t="n"/>
      <c r="IZ4" s="260" t="n"/>
      <c r="JA4" s="248" t="n"/>
      <c r="JB4" s="260" t="n"/>
      <c r="JC4" s="248" t="n"/>
      <c r="JD4" s="260" t="n"/>
      <c r="JE4" s="248" t="n"/>
      <c r="JF4" s="260" t="n"/>
      <c r="JG4" s="248" t="n"/>
      <c r="JH4" s="260" t="n"/>
      <c r="JI4" s="248" t="n"/>
      <c r="JJ4" s="260" t="n"/>
      <c r="JK4" s="248" t="n"/>
      <c r="JL4" s="286" t="n"/>
      <c r="JM4" s="306" t="n"/>
      <c r="JN4" s="327" t="n"/>
      <c r="JO4" s="257" t="n"/>
      <c r="JP4" s="256" t="n"/>
      <c r="JQ4" s="257" t="n"/>
      <c r="JR4" s="256" t="n"/>
      <c r="JS4" s="257" t="n"/>
      <c r="JT4" s="256" t="n"/>
      <c r="JU4" s="257" t="n"/>
      <c r="JV4" s="256" t="n"/>
      <c r="JW4" s="257" t="n"/>
      <c r="JX4" s="256" t="n"/>
      <c r="JY4" s="257" t="n"/>
      <c r="JZ4" s="317" t="inlineStr">
        <is>
          <t>Итого сч. 08</t>
        </is>
      </c>
      <c r="KA4" s="268" t="n"/>
      <c r="KC4" s="306" t="n"/>
      <c r="KF4" s="6" t="n"/>
    </row>
    <row r="5" ht="30.75" customHeight="1">
      <c r="A5" s="284" t="n"/>
      <c r="B5" s="284" t="n"/>
      <c r="C5" s="286" t="n"/>
      <c r="D5" s="280" t="n">
        <v>168</v>
      </c>
      <c r="E5" s="281" t="n"/>
      <c r="F5" s="286" t="n"/>
      <c r="H5" s="247" t="n"/>
      <c r="I5" s="248" t="n"/>
      <c r="J5" s="247" t="n"/>
      <c r="K5" s="248" t="n"/>
      <c r="L5" s="247" t="n"/>
      <c r="M5" s="248" t="n"/>
      <c r="N5" s="247" t="n"/>
      <c r="O5" s="248" t="n"/>
      <c r="P5" s="247" t="n"/>
      <c r="Q5" s="248" t="n"/>
      <c r="R5" s="247" t="n"/>
      <c r="S5" s="248" t="n"/>
      <c r="T5" s="247" t="n"/>
      <c r="U5" s="248" t="n"/>
      <c r="V5" s="247" t="n"/>
      <c r="W5" s="248" t="n"/>
      <c r="X5" s="247" t="n"/>
      <c r="Y5" s="248" t="n"/>
      <c r="Z5" s="247" t="n"/>
      <c r="AA5" s="248" t="n"/>
      <c r="AB5" s="247" t="n"/>
      <c r="AC5" s="248" t="n"/>
      <c r="AD5" s="247" t="n"/>
      <c r="AE5" s="248" t="n"/>
      <c r="AF5" s="247" t="n"/>
      <c r="AG5" s="248" t="n"/>
      <c r="AH5" s="247" t="n"/>
      <c r="AI5" s="248" t="n"/>
      <c r="AJ5" s="247" t="n"/>
      <c r="AK5" s="248" t="n"/>
      <c r="AL5" s="247" t="n"/>
      <c r="AM5" s="248" t="n"/>
      <c r="AN5" s="247" t="n"/>
      <c r="AO5" s="248" t="n"/>
      <c r="AP5" s="247" t="n"/>
      <c r="AQ5" s="248" t="n"/>
      <c r="AR5" s="247" t="n"/>
      <c r="AS5" s="248" t="n"/>
      <c r="AT5" s="247" t="n"/>
      <c r="AU5" s="248" t="n"/>
      <c r="AV5" s="247" t="n"/>
      <c r="AW5" s="248" t="n"/>
      <c r="AX5" s="247" t="n"/>
      <c r="AY5" s="248" t="n"/>
      <c r="AZ5" s="247" t="n"/>
      <c r="BA5" s="248" t="n"/>
      <c r="BB5" s="247" t="n"/>
      <c r="BC5" s="248" t="n"/>
      <c r="BD5" s="247" t="n"/>
      <c r="BE5" s="248" t="n"/>
      <c r="BF5" s="247" t="n"/>
      <c r="BG5" s="248" t="n"/>
      <c r="BH5" s="247" t="n"/>
      <c r="BI5" s="248" t="n"/>
      <c r="BJ5" s="247" t="n"/>
      <c r="BK5" s="248" t="n"/>
      <c r="BL5" s="247" t="n"/>
      <c r="BM5" s="248" t="n"/>
      <c r="BN5" s="247" t="n"/>
      <c r="BO5" s="248" t="n"/>
      <c r="BP5" s="247" t="n"/>
      <c r="BQ5" s="248" t="n"/>
      <c r="BR5" s="247" t="n"/>
      <c r="BS5" s="248" t="n"/>
      <c r="BT5" s="247" t="n"/>
      <c r="BU5" s="248" t="n"/>
      <c r="BV5" s="247" t="n"/>
      <c r="BW5" s="248" t="n"/>
      <c r="BX5" s="247" t="n"/>
      <c r="BY5" s="248" t="n"/>
      <c r="BZ5" s="247" t="n"/>
      <c r="CA5" s="248" t="n"/>
      <c r="CB5" s="247" t="n"/>
      <c r="CC5" s="248" t="n"/>
      <c r="CD5" s="247" t="n"/>
      <c r="CE5" s="248" t="n"/>
      <c r="CF5" s="247" t="n"/>
      <c r="CG5" s="248" t="n"/>
      <c r="CH5" s="247" t="n"/>
      <c r="CI5" s="248" t="n"/>
      <c r="CJ5" s="247" t="n"/>
      <c r="CK5" s="248" t="n"/>
      <c r="CL5" s="247" t="n"/>
      <c r="CM5" s="248" t="n"/>
      <c r="CN5" s="247" t="n"/>
      <c r="CO5" s="248" t="n"/>
      <c r="CP5" s="247" t="n"/>
      <c r="CQ5" s="248" t="n"/>
      <c r="CR5" s="247" t="n"/>
      <c r="CS5" s="248" t="n"/>
      <c r="CT5" s="247" t="n"/>
      <c r="CU5" s="248" t="n"/>
      <c r="CV5" s="247" t="n"/>
      <c r="CW5" s="248" t="n"/>
      <c r="CX5" s="247" t="n"/>
      <c r="CY5" s="248" t="n"/>
      <c r="CZ5" s="247" t="n"/>
      <c r="DA5" s="248" t="n"/>
      <c r="DB5" s="247" t="n"/>
      <c r="DC5" s="248" t="n"/>
      <c r="DD5" s="247" t="n"/>
      <c r="DE5" s="248" t="n"/>
      <c r="DF5" s="247" t="n"/>
      <c r="DG5" s="248" t="n"/>
      <c r="DH5" s="247" t="n"/>
      <c r="DI5" s="248" t="n"/>
      <c r="DJ5" s="247" t="n"/>
      <c r="DK5" s="248" t="n"/>
      <c r="DL5" s="247" t="n"/>
      <c r="DM5" s="248" t="n"/>
      <c r="DN5" s="247" t="n"/>
      <c r="DO5" s="248" t="n"/>
      <c r="DP5" s="247" t="n"/>
      <c r="DQ5" s="248" t="n"/>
      <c r="DR5" s="247" t="n"/>
      <c r="DS5" s="248" t="n"/>
      <c r="DT5" s="247" t="n"/>
      <c r="DU5" s="248" t="n"/>
      <c r="DV5" s="247" t="n"/>
      <c r="DW5" s="248" t="n"/>
      <c r="DX5" s="247" t="n"/>
      <c r="DY5" s="248" t="n"/>
      <c r="DZ5" s="247" t="n"/>
      <c r="EA5" s="248" t="n"/>
      <c r="EB5" s="247" t="n"/>
      <c r="EC5" s="248" t="n"/>
      <c r="ED5" s="247" t="n"/>
      <c r="EE5" s="248" t="n"/>
      <c r="EF5" s="247" t="n"/>
      <c r="EG5" s="248" t="n"/>
      <c r="EH5" s="247" t="n"/>
      <c r="EI5" s="248" t="n"/>
      <c r="EJ5" s="247" t="n"/>
      <c r="EK5" s="248" t="n"/>
      <c r="EL5" s="247" t="n"/>
      <c r="EM5" s="248" t="n"/>
      <c r="EN5" s="247" t="n"/>
      <c r="EO5" s="248" t="n"/>
      <c r="EP5" s="247" t="n"/>
      <c r="EQ5" s="248" t="n"/>
      <c r="ER5" s="247" t="n"/>
      <c r="ES5" s="248" t="n"/>
      <c r="ET5" s="247" t="n"/>
      <c r="EU5" s="248" t="n"/>
      <c r="EV5" s="247" t="n"/>
      <c r="EW5" s="248" t="n"/>
      <c r="EX5" s="247" t="n"/>
      <c r="EY5" s="248" t="n"/>
      <c r="EZ5" s="247" t="n"/>
      <c r="FA5" s="248" t="n"/>
      <c r="FB5" s="247" t="n"/>
      <c r="FC5" s="248" t="n"/>
      <c r="FD5" s="247" t="n"/>
      <c r="FE5" s="248" t="n"/>
      <c r="FF5" s="247" t="n"/>
      <c r="FG5" s="248" t="n"/>
      <c r="FH5" s="247" t="n"/>
      <c r="FI5" s="248" t="n"/>
      <c r="FJ5" s="247" t="n"/>
      <c r="FK5" s="248" t="n"/>
      <c r="FL5" s="247" t="n"/>
      <c r="FM5" s="248" t="n"/>
      <c r="FN5" s="247" t="n"/>
      <c r="FO5" s="248" t="n"/>
      <c r="FP5" s="247" t="n"/>
      <c r="FQ5" s="248" t="n"/>
      <c r="FR5" s="247" t="n"/>
      <c r="FS5" s="248" t="n"/>
      <c r="FT5" s="247" t="n"/>
      <c r="FU5" s="248" t="n"/>
      <c r="FV5" s="247" t="n"/>
      <c r="FW5" s="248" t="n"/>
      <c r="FX5" s="247" t="n"/>
      <c r="FY5" s="248" t="n"/>
      <c r="FZ5" s="247" t="n"/>
      <c r="GA5" s="248" t="n"/>
      <c r="GB5" s="247" t="n"/>
      <c r="GC5" s="248" t="n"/>
      <c r="GD5" s="247" t="n"/>
      <c r="GE5" s="248" t="n"/>
      <c r="GF5" s="247" t="n"/>
      <c r="GG5" s="248" t="n"/>
      <c r="GH5" s="247" t="n"/>
      <c r="GI5" s="248" t="n"/>
      <c r="GJ5" s="247" t="n"/>
      <c r="GK5" s="248" t="n"/>
      <c r="GL5" s="247" t="n"/>
      <c r="GM5" s="248" t="n"/>
      <c r="GN5" s="247" t="n"/>
      <c r="GO5" s="248" t="n"/>
      <c r="GP5" s="247" t="n"/>
      <c r="GQ5" s="248" t="n"/>
      <c r="GR5" s="247" t="n"/>
      <c r="GS5" s="248" t="n"/>
      <c r="GT5" s="247" t="n"/>
      <c r="GU5" s="248" t="n"/>
      <c r="GV5" s="247" t="n"/>
      <c r="GW5" s="248" t="n"/>
      <c r="GX5" s="247" t="n"/>
      <c r="GY5" s="248" t="n"/>
      <c r="GZ5" s="247" t="n"/>
      <c r="HA5" s="248" t="n"/>
      <c r="HB5" s="247" t="n"/>
      <c r="HC5" s="248" t="n"/>
      <c r="HD5" s="247" t="n"/>
      <c r="HE5" s="248" t="n"/>
      <c r="HF5" s="247" t="n"/>
      <c r="HG5" s="248" t="n"/>
      <c r="HH5" s="247" t="n"/>
      <c r="HI5" s="248" t="n"/>
      <c r="HJ5" s="247" t="n"/>
      <c r="HK5" s="248" t="n"/>
      <c r="HL5" s="247" t="n"/>
      <c r="HM5" s="248" t="n"/>
      <c r="HN5" s="247" t="n"/>
      <c r="HO5" s="248" t="n"/>
      <c r="HP5" s="247" t="n"/>
      <c r="HQ5" s="248" t="n"/>
      <c r="HR5" s="247" t="n"/>
      <c r="HS5" s="248" t="n"/>
      <c r="HT5" s="247" t="n"/>
      <c r="HU5" s="248" t="n"/>
      <c r="HV5" s="247" t="n"/>
      <c r="HW5" s="248" t="n"/>
      <c r="HX5" s="247" t="n"/>
      <c r="HY5" s="248" t="n"/>
      <c r="HZ5" s="247" t="n"/>
      <c r="IA5" s="248" t="n"/>
      <c r="IB5" s="247" t="n"/>
      <c r="IC5" s="248" t="n"/>
      <c r="ID5" s="247" t="n"/>
      <c r="IE5" s="248" t="n"/>
      <c r="IF5" s="247" t="n"/>
      <c r="IG5" s="248" t="n"/>
      <c r="IH5" s="247" t="n"/>
      <c r="II5" s="248" t="n"/>
      <c r="IJ5" s="247" t="n"/>
      <c r="IK5" s="248" t="n"/>
      <c r="IL5" s="247" t="n"/>
      <c r="IM5" s="248" t="n"/>
      <c r="IN5" s="247" t="n"/>
      <c r="IO5" s="248" t="n"/>
      <c r="IP5" s="247" t="n"/>
      <c r="IQ5" s="248" t="n"/>
      <c r="IR5" s="247" t="n"/>
      <c r="IS5" s="248" t="n"/>
      <c r="IT5" s="247" t="n"/>
      <c r="IU5" s="248" t="n"/>
      <c r="IV5" s="247" t="n"/>
      <c r="IW5" s="248" t="n"/>
      <c r="IX5" s="247" t="n"/>
      <c r="IY5" s="248" t="n"/>
      <c r="IZ5" s="247" t="n"/>
      <c r="JA5" s="248" t="n"/>
      <c r="JB5" s="247" t="n"/>
      <c r="JC5" s="248" t="n"/>
      <c r="JD5" s="247" t="n"/>
      <c r="JE5" s="248" t="n"/>
      <c r="JF5" s="247" t="n"/>
      <c r="JG5" s="248" t="n"/>
      <c r="JH5" s="247" t="n"/>
      <c r="JI5" s="248" t="n"/>
      <c r="JJ5" s="247" t="n"/>
      <c r="JK5" s="248" t="n"/>
      <c r="JL5" s="173" t="n"/>
      <c r="JM5" s="109" t="n"/>
      <c r="JN5" s="328" t="n"/>
      <c r="JO5" s="259" t="n"/>
      <c r="JP5" s="258" t="n"/>
      <c r="JQ5" s="259" t="n"/>
      <c r="JR5" s="258" t="n"/>
      <c r="JS5" s="259" t="n"/>
      <c r="JT5" s="258" t="n"/>
      <c r="JU5" s="259" t="n"/>
      <c r="JV5" s="258" t="n"/>
      <c r="JW5" s="259" t="n"/>
      <c r="JX5" s="258" t="n"/>
      <c r="JY5" s="259" t="n"/>
      <c r="JZ5" s="318" t="n"/>
      <c r="KA5" s="306" t="n"/>
      <c r="KC5" s="306" t="n"/>
      <c r="KF5" s="7" t="n"/>
    </row>
    <row r="6" ht="17.25" customHeight="1" thickBot="1">
      <c r="A6" s="284" t="n"/>
      <c r="B6" s="284" t="n"/>
      <c r="C6" s="286" t="n"/>
      <c r="D6" s="324" t="inlineStr">
        <is>
          <t>План</t>
        </is>
      </c>
      <c r="E6" s="341" t="inlineStr">
        <is>
          <t>Факт</t>
        </is>
      </c>
      <c r="F6" s="326" t="inlineStr">
        <is>
          <t>Месяц</t>
        </is>
      </c>
      <c r="G6" s="321" t="inlineStr">
        <is>
          <t>Часовая ставка</t>
        </is>
      </c>
      <c r="H6" s="329" t="inlineStr">
        <is>
          <t>23 счет</t>
        </is>
      </c>
      <c r="I6" s="328" t="n"/>
      <c r="J6" s="328" t="n"/>
      <c r="K6" s="328" t="n"/>
      <c r="L6" s="328" t="n"/>
      <c r="M6" s="328" t="n"/>
      <c r="N6" s="328" t="n"/>
      <c r="O6" s="328" t="n"/>
      <c r="P6" s="328" t="n"/>
      <c r="Q6" s="328" t="n"/>
      <c r="R6" s="328" t="n"/>
      <c r="S6" s="328" t="n"/>
      <c r="T6" s="328" t="n"/>
      <c r="U6" s="328" t="n"/>
      <c r="V6" s="328" t="n"/>
      <c r="W6" s="328" t="n"/>
      <c r="X6" s="328" t="n"/>
      <c r="Y6" s="328" t="n"/>
      <c r="Z6" s="328" t="n"/>
      <c r="AA6" s="259" t="n"/>
      <c r="AB6" s="134" t="n"/>
      <c r="AC6" s="331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34" t="n"/>
      <c r="CC6" s="134" t="n"/>
      <c r="CD6" s="134" t="n"/>
      <c r="CE6" s="134" t="n"/>
      <c r="CF6" s="134" t="n"/>
      <c r="CG6" s="134" t="n"/>
      <c r="CH6" s="134" t="n"/>
      <c r="CI6" s="134" t="n"/>
      <c r="CJ6" s="134" t="n"/>
      <c r="CK6" s="134" t="n"/>
      <c r="CL6" s="134" t="n"/>
      <c r="CM6" s="134" t="n"/>
      <c r="CN6" s="134" t="n"/>
      <c r="CO6" s="134" t="n"/>
      <c r="CP6" s="134" t="n"/>
      <c r="CQ6" s="134" t="n"/>
      <c r="CR6" s="134" t="n"/>
      <c r="CS6" s="134" t="n"/>
      <c r="CT6" s="134" t="n"/>
      <c r="CU6" s="134" t="n"/>
      <c r="CV6" s="134" t="n"/>
      <c r="CW6" s="134" t="n"/>
      <c r="CX6" s="134" t="n"/>
      <c r="CY6" s="134" t="n"/>
      <c r="CZ6" s="134" t="n"/>
      <c r="DA6" s="134" t="n"/>
      <c r="DB6" s="134" t="n"/>
      <c r="DC6" s="134" t="n"/>
      <c r="DD6" s="134" t="n"/>
      <c r="DE6" s="134" t="n"/>
      <c r="DF6" s="134" t="n"/>
      <c r="DG6" s="134" t="n"/>
      <c r="DH6" s="134" t="n"/>
      <c r="DI6" s="134" t="n"/>
      <c r="DJ6" s="134" t="n"/>
      <c r="DK6" s="134" t="n"/>
      <c r="DL6" s="134" t="n"/>
      <c r="DM6" s="134" t="n"/>
      <c r="DN6" s="134" t="n"/>
      <c r="DO6" s="134" t="n"/>
      <c r="DP6" s="134" t="n"/>
      <c r="DQ6" s="134" t="n"/>
      <c r="DR6" s="134" t="n"/>
      <c r="DS6" s="134" t="n"/>
      <c r="DT6" s="134" t="n"/>
      <c r="DU6" s="134" t="n"/>
      <c r="DV6" s="134" t="n"/>
      <c r="DW6" s="134" t="n"/>
      <c r="DX6" s="134" t="n"/>
      <c r="DY6" s="134" t="n"/>
      <c r="DZ6" s="134" t="n"/>
      <c r="EA6" s="134" t="n"/>
      <c r="EB6" s="134" t="n"/>
      <c r="EC6" s="134" t="n"/>
      <c r="ED6" s="134" t="n"/>
      <c r="EE6" s="134" t="n"/>
      <c r="EF6" s="134" t="n"/>
      <c r="EG6" s="134" t="n"/>
      <c r="EH6" s="134" t="n"/>
      <c r="EI6" s="134" t="n"/>
      <c r="EJ6" s="134" t="n"/>
      <c r="EK6" s="134" t="n"/>
      <c r="EL6" s="134" t="n"/>
      <c r="EM6" s="134" t="n"/>
      <c r="EN6" s="134" t="n"/>
      <c r="EO6" s="134" t="n"/>
      <c r="EP6" s="134" t="n"/>
      <c r="EQ6" s="134" t="n"/>
      <c r="ER6" s="134" t="n"/>
      <c r="ES6" s="134" t="n"/>
      <c r="ET6" s="134" t="n"/>
      <c r="EU6" s="134" t="n"/>
      <c r="EV6" s="134" t="n"/>
      <c r="EW6" s="174" t="n"/>
      <c r="EX6" s="174" t="n"/>
      <c r="EY6" s="174" t="n"/>
      <c r="EZ6" s="174" t="n"/>
      <c r="FA6" s="174" t="n"/>
      <c r="FB6" s="174" t="n"/>
      <c r="FC6" s="174" t="n"/>
      <c r="FD6" s="134" t="n"/>
      <c r="FE6" s="134" t="n"/>
      <c r="FF6" s="134" t="n"/>
      <c r="FG6" s="134" t="n"/>
      <c r="FH6" s="134" t="n"/>
      <c r="FI6" s="134" t="n"/>
      <c r="FJ6" s="134" t="n"/>
      <c r="FK6" s="134" t="n"/>
      <c r="FL6" s="134" t="n"/>
      <c r="FM6" s="134" t="n"/>
      <c r="FN6" s="134" t="n"/>
      <c r="FO6" s="134" t="n"/>
      <c r="FP6" s="134" t="n"/>
      <c r="FQ6" s="134" t="n"/>
      <c r="FR6" s="134" t="n"/>
      <c r="FS6" s="134" t="n"/>
      <c r="FT6" s="134" t="n"/>
      <c r="FU6" s="134" t="n"/>
      <c r="FV6" s="134" t="n"/>
      <c r="FW6" s="134" t="n"/>
      <c r="FX6" s="134" t="n"/>
      <c r="FY6" s="134" t="n"/>
      <c r="FZ6" s="134" t="n"/>
      <c r="GA6" s="134" t="n"/>
      <c r="GB6" s="134" t="n"/>
      <c r="GC6" s="134" t="n"/>
      <c r="GD6" s="134" t="n"/>
      <c r="GE6" s="134" t="n"/>
      <c r="GF6" s="134" t="n"/>
      <c r="GG6" s="134" t="n"/>
      <c r="GH6" s="134" t="n"/>
      <c r="GI6" s="134" t="n"/>
      <c r="GJ6" s="134" t="n"/>
      <c r="GK6" s="134" t="n"/>
      <c r="GL6" s="134" t="n"/>
      <c r="GM6" s="134" t="n"/>
      <c r="GN6" s="134" t="n"/>
      <c r="GO6" s="134" t="n"/>
      <c r="GP6" s="134" t="n"/>
      <c r="GQ6" s="134" t="n"/>
      <c r="GR6" s="134" t="n"/>
      <c r="GS6" s="134" t="n"/>
      <c r="GT6" s="134" t="n"/>
      <c r="GU6" s="134" t="n"/>
      <c r="GV6" s="134" t="n"/>
      <c r="GW6" s="134" t="n"/>
      <c r="GX6" s="134" t="n"/>
      <c r="GY6" s="134" t="n"/>
      <c r="GZ6" s="134" t="n"/>
      <c r="HA6" s="134" t="n"/>
      <c r="HB6" s="134" t="n"/>
      <c r="HC6" s="134" t="n"/>
      <c r="HD6" s="134" t="n"/>
      <c r="HE6" s="134" t="n"/>
      <c r="HF6" s="134" t="n"/>
      <c r="HG6" s="134" t="n"/>
      <c r="HH6" s="134" t="n"/>
      <c r="HI6" s="134" t="n"/>
      <c r="HJ6" s="134" t="n"/>
      <c r="HK6" s="134" t="n"/>
      <c r="HL6" s="134" t="n"/>
      <c r="HM6" s="134" t="n"/>
      <c r="HN6" s="134" t="n"/>
      <c r="HO6" s="134" t="n"/>
      <c r="HP6" s="134" t="n"/>
      <c r="HQ6" s="134" t="n"/>
      <c r="HR6" s="134" t="n"/>
      <c r="HS6" s="134" t="n"/>
      <c r="HT6" s="134" t="n"/>
      <c r="HU6" s="134" t="n"/>
      <c r="HV6" s="134" t="n"/>
      <c r="HW6" s="134" t="n"/>
      <c r="HX6" s="134" t="n"/>
      <c r="HY6" s="134" t="n"/>
      <c r="HZ6" s="134" t="n"/>
      <c r="IA6" s="134" t="n"/>
      <c r="IB6" s="134" t="n"/>
      <c r="IC6" s="134" t="n"/>
      <c r="ID6" s="134" t="n"/>
      <c r="IE6" s="134" t="n"/>
      <c r="IF6" s="134" t="n"/>
      <c r="IG6" s="134" t="n"/>
      <c r="IH6" s="134" t="n"/>
      <c r="II6" s="134" t="n"/>
      <c r="IJ6" s="134" t="n"/>
      <c r="IK6" s="134" t="n"/>
      <c r="IL6" s="134" t="n"/>
      <c r="IM6" s="134" t="n"/>
      <c r="IN6" s="134" t="n"/>
      <c r="IO6" s="134" t="n"/>
      <c r="IP6" s="134" t="n"/>
      <c r="IQ6" s="134" t="n"/>
      <c r="IR6" s="134" t="n"/>
      <c r="IS6" s="134" t="n"/>
      <c r="IT6" s="134" t="n"/>
      <c r="IU6" s="134" t="n"/>
      <c r="IV6" s="134" t="n"/>
      <c r="IW6" s="134" t="n"/>
      <c r="IX6" s="134" t="n"/>
      <c r="IY6" s="134" t="n"/>
      <c r="IZ6" s="134" t="n"/>
      <c r="JA6" s="134" t="n"/>
      <c r="JB6" s="134" t="n"/>
      <c r="JC6" s="134" t="n"/>
      <c r="JD6" s="134" t="n"/>
      <c r="JE6" s="134" t="n"/>
      <c r="JF6" s="309" t="inlineStr">
        <is>
          <t>28 сч</t>
        </is>
      </c>
      <c r="JG6" s="263" t="n"/>
      <c r="JH6" s="309" t="inlineStr">
        <is>
          <t>28 сч</t>
        </is>
      </c>
      <c r="JI6" s="263" t="n"/>
      <c r="JJ6" s="312" t="n"/>
      <c r="JK6" s="306" t="n"/>
      <c r="JL6" s="267" t="inlineStr">
        <is>
          <t>25 счет</t>
        </is>
      </c>
      <c r="JM6" s="268" t="n"/>
      <c r="JN6" s="333" t="inlineStr">
        <is>
          <t>08 cч</t>
        </is>
      </c>
      <c r="JO6" s="334" t="n"/>
      <c r="JP6" s="334" t="n"/>
      <c r="JQ6" s="334" t="n"/>
      <c r="JR6" s="334" t="n"/>
      <c r="JS6" s="334" t="n"/>
      <c r="JT6" s="334" t="n"/>
      <c r="JU6" s="334" t="n"/>
      <c r="JV6" s="334" t="n"/>
      <c r="JW6" s="334" t="n"/>
      <c r="JX6" s="334" t="n"/>
      <c r="JY6" s="257" t="n"/>
      <c r="JZ6" s="319" t="n"/>
      <c r="KA6" s="263" t="n"/>
      <c r="KC6" s="306" t="n"/>
      <c r="KE6" s="2" t="n"/>
    </row>
    <row r="7" ht="18.75" customHeight="1" thickBot="1">
      <c r="A7" s="284" t="n"/>
      <c r="B7" s="284" t="n"/>
      <c r="C7" s="286" t="n"/>
      <c r="D7" s="325" t="n"/>
      <c r="E7" s="322" t="n"/>
      <c r="F7" s="325" t="n"/>
      <c r="G7" s="322" t="n"/>
      <c r="H7" s="149" t="inlineStr">
        <is>
          <t>часы</t>
        </is>
      </c>
      <c r="I7" s="150" t="inlineStr">
        <is>
          <t>доля</t>
        </is>
      </c>
      <c r="J7" s="149" t="inlineStr">
        <is>
          <t>часы</t>
        </is>
      </c>
      <c r="K7" s="150" t="inlineStr">
        <is>
          <t>доля</t>
        </is>
      </c>
      <c r="L7" s="149" t="inlineStr">
        <is>
          <t>часы</t>
        </is>
      </c>
      <c r="M7" s="151" t="inlineStr">
        <is>
          <t>доля</t>
        </is>
      </c>
      <c r="N7" s="152" t="inlineStr">
        <is>
          <t>часы</t>
        </is>
      </c>
      <c r="O7" s="151" t="inlineStr">
        <is>
          <t>доля</t>
        </is>
      </c>
      <c r="P7" s="153" t="inlineStr">
        <is>
          <t>часы</t>
        </is>
      </c>
      <c r="Q7" s="154" t="inlineStr">
        <is>
          <t>доля</t>
        </is>
      </c>
      <c r="R7" s="155" t="inlineStr">
        <is>
          <t>часы</t>
        </is>
      </c>
      <c r="S7" s="156" t="inlineStr">
        <is>
          <t>доля</t>
        </is>
      </c>
      <c r="T7" s="156" t="inlineStr">
        <is>
          <t>часы</t>
        </is>
      </c>
      <c r="U7" s="156" t="inlineStr">
        <is>
          <t>доля</t>
        </is>
      </c>
      <c r="V7" s="156" t="inlineStr">
        <is>
          <t>часы</t>
        </is>
      </c>
      <c r="W7" s="156" t="inlineStr">
        <is>
          <t>доля</t>
        </is>
      </c>
      <c r="X7" s="156" t="inlineStr">
        <is>
          <t>часы</t>
        </is>
      </c>
      <c r="Y7" s="156" t="inlineStr">
        <is>
          <t>доля</t>
        </is>
      </c>
      <c r="Z7" s="156" t="inlineStr">
        <is>
          <t>часы</t>
        </is>
      </c>
      <c r="AA7" s="157" t="inlineStr">
        <is>
          <t>доля</t>
        </is>
      </c>
      <c r="AB7" s="158" t="inlineStr">
        <is>
          <t>часы</t>
        </is>
      </c>
      <c r="AC7" s="154" t="inlineStr">
        <is>
          <t>доля</t>
        </is>
      </c>
      <c r="AD7" s="159" t="inlineStr">
        <is>
          <t>часы</t>
        </is>
      </c>
      <c r="AE7" s="160" t="inlineStr">
        <is>
          <t>доля</t>
        </is>
      </c>
      <c r="AF7" s="161" t="inlineStr">
        <is>
          <t>часы</t>
        </is>
      </c>
      <c r="AG7" s="162" t="inlineStr">
        <is>
          <t>доля</t>
        </is>
      </c>
      <c r="AH7" s="161" t="inlineStr">
        <is>
          <t>часы</t>
        </is>
      </c>
      <c r="AI7" s="162" t="inlineStr">
        <is>
          <t>доля</t>
        </is>
      </c>
      <c r="AJ7" s="161" t="inlineStr">
        <is>
          <t>часы</t>
        </is>
      </c>
      <c r="AK7" s="162" t="inlineStr">
        <is>
          <t>доля</t>
        </is>
      </c>
      <c r="AL7" s="161" t="inlineStr">
        <is>
          <t>часы</t>
        </is>
      </c>
      <c r="AM7" s="162" t="inlineStr">
        <is>
          <t>доля</t>
        </is>
      </c>
      <c r="AN7" s="161" t="inlineStr">
        <is>
          <t>часы</t>
        </is>
      </c>
      <c r="AO7" s="162" t="inlineStr">
        <is>
          <t>доля</t>
        </is>
      </c>
      <c r="AP7" s="161" t="inlineStr">
        <is>
          <t>часы</t>
        </is>
      </c>
      <c r="AQ7" s="162" t="inlineStr">
        <is>
          <t>доля</t>
        </is>
      </c>
      <c r="AR7" s="161" t="inlineStr">
        <is>
          <t>часы</t>
        </is>
      </c>
      <c r="AS7" s="162" t="inlineStr">
        <is>
          <t>доля</t>
        </is>
      </c>
      <c r="AT7" s="161" t="inlineStr">
        <is>
          <t>часы</t>
        </is>
      </c>
      <c r="AU7" s="162" t="inlineStr">
        <is>
          <t>доля</t>
        </is>
      </c>
      <c r="AV7" s="161" t="inlineStr">
        <is>
          <t>часы</t>
        </is>
      </c>
      <c r="AW7" s="162" t="inlineStr">
        <is>
          <t>доля</t>
        </is>
      </c>
      <c r="AX7" s="161" t="inlineStr">
        <is>
          <t>часы</t>
        </is>
      </c>
      <c r="AY7" s="162" t="inlineStr">
        <is>
          <t>доля</t>
        </is>
      </c>
      <c r="AZ7" s="161" t="inlineStr">
        <is>
          <t>часы</t>
        </is>
      </c>
      <c r="BA7" s="162" t="inlineStr">
        <is>
          <t>доля</t>
        </is>
      </c>
      <c r="BB7" s="161" t="inlineStr">
        <is>
          <t>часы</t>
        </is>
      </c>
      <c r="BC7" s="162" t="inlineStr">
        <is>
          <t>доля</t>
        </is>
      </c>
      <c r="BD7" s="161" t="inlineStr">
        <is>
          <t>часы</t>
        </is>
      </c>
      <c r="BE7" s="162" t="inlineStr">
        <is>
          <t>доля</t>
        </is>
      </c>
      <c r="BF7" s="161" t="inlineStr">
        <is>
          <t>часы</t>
        </is>
      </c>
      <c r="BG7" s="162" t="inlineStr">
        <is>
          <t>доля</t>
        </is>
      </c>
      <c r="BH7" s="161" t="inlineStr">
        <is>
          <t>часы</t>
        </is>
      </c>
      <c r="BI7" s="162" t="inlineStr">
        <is>
          <t>доля</t>
        </is>
      </c>
      <c r="BJ7" s="161" t="inlineStr">
        <is>
          <t>часы</t>
        </is>
      </c>
      <c r="BK7" s="162" t="inlineStr">
        <is>
          <t>доля</t>
        </is>
      </c>
      <c r="BL7" s="161" t="inlineStr">
        <is>
          <t>часы</t>
        </is>
      </c>
      <c r="BM7" s="163" t="inlineStr">
        <is>
          <t>доля</t>
        </is>
      </c>
      <c r="BN7" s="161" t="inlineStr">
        <is>
          <t>часы</t>
        </is>
      </c>
      <c r="BO7" s="163" t="inlineStr">
        <is>
          <t>доля</t>
        </is>
      </c>
      <c r="BP7" s="161" t="inlineStr">
        <is>
          <t>часы</t>
        </is>
      </c>
      <c r="BQ7" s="163" t="inlineStr">
        <is>
          <t>доля</t>
        </is>
      </c>
      <c r="BR7" s="161" t="inlineStr">
        <is>
          <t>часы</t>
        </is>
      </c>
      <c r="BS7" s="163" t="inlineStr">
        <is>
          <t>доля</t>
        </is>
      </c>
      <c r="BT7" s="161" t="inlineStr">
        <is>
          <t>часы</t>
        </is>
      </c>
      <c r="BU7" s="163" t="inlineStr">
        <is>
          <t>доля</t>
        </is>
      </c>
      <c r="BV7" s="161" t="inlineStr">
        <is>
          <t>часы</t>
        </is>
      </c>
      <c r="BW7" s="163" t="inlineStr">
        <is>
          <t>доля</t>
        </is>
      </c>
      <c r="BX7" s="161" t="inlineStr">
        <is>
          <t>часы</t>
        </is>
      </c>
      <c r="BY7" s="163" t="inlineStr">
        <is>
          <t>доля</t>
        </is>
      </c>
      <c r="BZ7" s="161" t="inlineStr">
        <is>
          <t>часы</t>
        </is>
      </c>
      <c r="CA7" s="163" t="inlineStr">
        <is>
          <t>доля</t>
        </is>
      </c>
      <c r="CB7" s="161" t="inlineStr">
        <is>
          <t>часы</t>
        </is>
      </c>
      <c r="CC7" s="162" t="inlineStr">
        <is>
          <t>доля</t>
        </is>
      </c>
      <c r="CD7" s="161" t="inlineStr">
        <is>
          <t>часы</t>
        </is>
      </c>
      <c r="CE7" s="162" t="inlineStr">
        <is>
          <t>доля</t>
        </is>
      </c>
      <c r="CF7" s="161" t="inlineStr">
        <is>
          <t>часы</t>
        </is>
      </c>
      <c r="CG7" s="163" t="inlineStr">
        <is>
          <t>доля</t>
        </is>
      </c>
      <c r="CH7" s="161" t="inlineStr">
        <is>
          <t>часы</t>
        </is>
      </c>
      <c r="CI7" s="163" t="inlineStr">
        <is>
          <t>доля</t>
        </is>
      </c>
      <c r="CJ7" s="161" t="inlineStr">
        <is>
          <t>часы</t>
        </is>
      </c>
      <c r="CK7" s="163" t="inlineStr">
        <is>
          <t>доля</t>
        </is>
      </c>
      <c r="CL7" s="161" t="inlineStr">
        <is>
          <t>часы</t>
        </is>
      </c>
      <c r="CM7" s="163" t="inlineStr">
        <is>
          <t>доля</t>
        </is>
      </c>
      <c r="CN7" s="153" t="inlineStr">
        <is>
          <t>часы</t>
        </is>
      </c>
      <c r="CO7" s="164" t="inlineStr">
        <is>
          <t>доля</t>
        </is>
      </c>
      <c r="CP7" s="165" t="inlineStr">
        <is>
          <t>часы</t>
        </is>
      </c>
      <c r="CQ7" s="166" t="inlineStr">
        <is>
          <t>доля</t>
        </is>
      </c>
      <c r="CR7" s="161" t="inlineStr">
        <is>
          <t>часы</t>
        </is>
      </c>
      <c r="CS7" s="163" t="inlineStr">
        <is>
          <t>доля</t>
        </is>
      </c>
      <c r="CT7" s="161" t="inlineStr">
        <is>
          <t>часы</t>
        </is>
      </c>
      <c r="CU7" s="163" t="inlineStr">
        <is>
          <t>доля</t>
        </is>
      </c>
      <c r="CV7" s="165" t="inlineStr">
        <is>
          <t>часы</t>
        </is>
      </c>
      <c r="CW7" s="166" t="inlineStr">
        <is>
          <t>доля</t>
        </is>
      </c>
      <c r="CX7" s="161" t="inlineStr">
        <is>
          <t>часы</t>
        </is>
      </c>
      <c r="CY7" s="163" t="inlineStr">
        <is>
          <t>доля</t>
        </is>
      </c>
      <c r="CZ7" s="161" t="inlineStr">
        <is>
          <t>часы</t>
        </is>
      </c>
      <c r="DA7" s="163" t="inlineStr">
        <is>
          <t>доля</t>
        </is>
      </c>
      <c r="DB7" s="165" t="inlineStr">
        <is>
          <t>часы</t>
        </is>
      </c>
      <c r="DC7" s="163" t="inlineStr">
        <is>
          <t>доля</t>
        </is>
      </c>
      <c r="DD7" s="161" t="inlineStr">
        <is>
          <t>часы</t>
        </is>
      </c>
      <c r="DE7" s="163" t="inlineStr">
        <is>
          <t>доля</t>
        </is>
      </c>
      <c r="DF7" s="161" t="inlineStr">
        <is>
          <t>часы</t>
        </is>
      </c>
      <c r="DG7" s="162" t="inlineStr">
        <is>
          <t>доля</t>
        </is>
      </c>
      <c r="DH7" s="161" t="inlineStr">
        <is>
          <t>часы</t>
        </is>
      </c>
      <c r="DI7" s="163" t="inlineStr">
        <is>
          <t>доля</t>
        </is>
      </c>
      <c r="DJ7" s="161" t="inlineStr">
        <is>
          <t>часы</t>
        </is>
      </c>
      <c r="DK7" s="163" t="inlineStr">
        <is>
          <t>доля</t>
        </is>
      </c>
      <c r="DL7" s="161" t="inlineStr">
        <is>
          <t>часы</t>
        </is>
      </c>
      <c r="DM7" s="162" t="inlineStr">
        <is>
          <t>доля</t>
        </is>
      </c>
      <c r="DN7" s="161" t="inlineStr">
        <is>
          <t>часы</t>
        </is>
      </c>
      <c r="DO7" s="166" t="inlineStr">
        <is>
          <t>доля</t>
        </is>
      </c>
      <c r="DP7" s="161" t="inlineStr">
        <is>
          <t>часы</t>
        </is>
      </c>
      <c r="DQ7" s="163" t="inlineStr">
        <is>
          <t>доля</t>
        </is>
      </c>
      <c r="DR7" s="161" t="inlineStr">
        <is>
          <t>доля</t>
        </is>
      </c>
      <c r="DS7" s="163" t="inlineStr">
        <is>
          <t>доля</t>
        </is>
      </c>
      <c r="DT7" s="161" t="inlineStr">
        <is>
          <t>часы</t>
        </is>
      </c>
      <c r="DU7" s="162" t="inlineStr">
        <is>
          <t>доля</t>
        </is>
      </c>
      <c r="DV7" s="161" t="inlineStr">
        <is>
          <t>часы</t>
        </is>
      </c>
      <c r="DW7" s="163" t="inlineStr">
        <is>
          <t>доля</t>
        </is>
      </c>
      <c r="DX7" s="153" t="inlineStr">
        <is>
          <t>часы</t>
        </is>
      </c>
      <c r="DY7" s="167" t="inlineStr">
        <is>
          <t>доля</t>
        </is>
      </c>
      <c r="DZ7" s="153" t="inlineStr">
        <is>
          <t>часы</t>
        </is>
      </c>
      <c r="EA7" s="167" t="inlineStr">
        <is>
          <t>доля</t>
        </is>
      </c>
      <c r="EB7" s="153" t="inlineStr">
        <is>
          <t>часы</t>
        </is>
      </c>
      <c r="EC7" s="167" t="inlineStr">
        <is>
          <t>доля</t>
        </is>
      </c>
      <c r="ED7" s="153" t="inlineStr">
        <is>
          <t>часы</t>
        </is>
      </c>
      <c r="EE7" s="167" t="inlineStr">
        <is>
          <t>доля</t>
        </is>
      </c>
      <c r="EF7" s="159" t="inlineStr">
        <is>
          <t>часы</t>
        </is>
      </c>
      <c r="EG7" s="168" t="inlineStr">
        <is>
          <t>доля</t>
        </is>
      </c>
      <c r="EH7" s="153" t="inlineStr">
        <is>
          <t>часы</t>
        </is>
      </c>
      <c r="EI7" s="167" t="inlineStr">
        <is>
          <t>доля</t>
        </is>
      </c>
      <c r="EJ7" s="153" t="inlineStr">
        <is>
          <t>часы</t>
        </is>
      </c>
      <c r="EK7" s="167" t="inlineStr">
        <is>
          <t>доля</t>
        </is>
      </c>
      <c r="EL7" s="153" t="inlineStr">
        <is>
          <t>часы</t>
        </is>
      </c>
      <c r="EM7" s="167" t="inlineStr">
        <is>
          <t>доля</t>
        </is>
      </c>
      <c r="EN7" s="153" t="inlineStr">
        <is>
          <t>часы</t>
        </is>
      </c>
      <c r="EO7" s="167" t="inlineStr">
        <is>
          <t>доля</t>
        </is>
      </c>
      <c r="EP7" s="153" t="inlineStr">
        <is>
          <t>часы</t>
        </is>
      </c>
      <c r="EQ7" s="167" t="inlineStr">
        <is>
          <t>доля</t>
        </is>
      </c>
      <c r="ER7" s="153" t="inlineStr">
        <is>
          <t>часы</t>
        </is>
      </c>
      <c r="ES7" s="167" t="inlineStr">
        <is>
          <t>доля</t>
        </is>
      </c>
      <c r="ET7" s="153" t="inlineStr">
        <is>
          <t>часы</t>
        </is>
      </c>
      <c r="EU7" s="167" t="inlineStr">
        <is>
          <t>доля</t>
        </is>
      </c>
      <c r="EV7" s="153" t="inlineStr">
        <is>
          <t>часы</t>
        </is>
      </c>
      <c r="EW7" s="167" t="inlineStr">
        <is>
          <t>доля</t>
        </is>
      </c>
      <c r="EX7" s="159" t="inlineStr">
        <is>
          <t>часы</t>
        </is>
      </c>
      <c r="EY7" s="169" t="inlineStr">
        <is>
          <t>доля</t>
        </is>
      </c>
      <c r="EZ7" s="153" t="inlineStr">
        <is>
          <t>часы</t>
        </is>
      </c>
      <c r="FA7" s="170" t="inlineStr">
        <is>
          <t>доля</t>
        </is>
      </c>
      <c r="FB7" s="153" t="inlineStr">
        <is>
          <t>часы</t>
        </is>
      </c>
      <c r="FC7" s="170" t="inlineStr">
        <is>
          <t>доля</t>
        </is>
      </c>
      <c r="FD7" s="153" t="inlineStr">
        <is>
          <t>часы</t>
        </is>
      </c>
      <c r="FE7" s="170" t="inlineStr">
        <is>
          <t>доля</t>
        </is>
      </c>
      <c r="FF7" s="153" t="inlineStr">
        <is>
          <t>часы</t>
        </is>
      </c>
      <c r="FG7" s="170" t="inlineStr">
        <is>
          <t>доля</t>
        </is>
      </c>
      <c r="FH7" s="153" t="inlineStr">
        <is>
          <t>часы</t>
        </is>
      </c>
      <c r="FI7" s="170" t="inlineStr">
        <is>
          <t>доля</t>
        </is>
      </c>
      <c r="FJ7" s="159" t="inlineStr">
        <is>
          <t>часы</t>
        </is>
      </c>
      <c r="FK7" s="171" t="inlineStr">
        <is>
          <t>доля</t>
        </is>
      </c>
      <c r="FL7" s="172" t="inlineStr">
        <is>
          <t>часы</t>
        </is>
      </c>
      <c r="FM7" s="170" t="inlineStr">
        <is>
          <t>доля</t>
        </is>
      </c>
      <c r="FN7" s="153" t="inlineStr">
        <is>
          <t>часы</t>
        </is>
      </c>
      <c r="FO7" s="167" t="inlineStr">
        <is>
          <t>доля</t>
        </is>
      </c>
      <c r="FP7" s="153" t="inlineStr">
        <is>
          <t>часы</t>
        </is>
      </c>
      <c r="FQ7" s="167" t="inlineStr">
        <is>
          <t>доля</t>
        </is>
      </c>
      <c r="FR7" s="153" t="inlineStr">
        <is>
          <t>часы</t>
        </is>
      </c>
      <c r="FS7" s="167" t="inlineStr">
        <is>
          <t>доля</t>
        </is>
      </c>
      <c r="FT7" s="153" t="inlineStr">
        <is>
          <t>часы</t>
        </is>
      </c>
      <c r="FU7" s="167" t="inlineStr">
        <is>
          <t>доля</t>
        </is>
      </c>
      <c r="FV7" s="153" t="inlineStr">
        <is>
          <t>часы</t>
        </is>
      </c>
      <c r="FW7" s="167" t="inlineStr">
        <is>
          <t>доля</t>
        </is>
      </c>
      <c r="FX7" s="153" t="inlineStr">
        <is>
          <t>часы</t>
        </is>
      </c>
      <c r="FY7" s="168" t="inlineStr">
        <is>
          <t>доля</t>
        </is>
      </c>
      <c r="FZ7" s="153" t="inlineStr">
        <is>
          <t>часы</t>
        </is>
      </c>
      <c r="GA7" s="168" t="inlineStr">
        <is>
          <t>доля</t>
        </is>
      </c>
      <c r="GB7" s="153" t="inlineStr">
        <is>
          <t>часы</t>
        </is>
      </c>
      <c r="GC7" s="168" t="inlineStr">
        <is>
          <t>доля</t>
        </is>
      </c>
      <c r="GD7" s="153" t="inlineStr">
        <is>
          <t>часы</t>
        </is>
      </c>
      <c r="GE7" s="168" t="inlineStr">
        <is>
          <t>доля</t>
        </is>
      </c>
      <c r="GF7" s="153" t="inlineStr">
        <is>
          <t>часы</t>
        </is>
      </c>
      <c r="GG7" s="167" t="inlineStr">
        <is>
          <t>доля</t>
        </is>
      </c>
      <c r="GH7" s="153" t="inlineStr">
        <is>
          <t>часы</t>
        </is>
      </c>
      <c r="GI7" s="170" t="inlineStr">
        <is>
          <t>доля</t>
        </is>
      </c>
      <c r="GJ7" s="153" t="inlineStr">
        <is>
          <t>часы</t>
        </is>
      </c>
      <c r="GK7" s="167" t="inlineStr">
        <is>
          <t>доля</t>
        </is>
      </c>
      <c r="GL7" s="153" t="inlineStr">
        <is>
          <t>часы</t>
        </is>
      </c>
      <c r="GM7" s="167" t="inlineStr">
        <is>
          <t>доля</t>
        </is>
      </c>
      <c r="GN7" s="153" t="inlineStr">
        <is>
          <t>часы</t>
        </is>
      </c>
      <c r="GO7" s="167" t="inlineStr">
        <is>
          <t>доля</t>
        </is>
      </c>
      <c r="GP7" s="153" t="inlineStr">
        <is>
          <t>часы</t>
        </is>
      </c>
      <c r="GQ7" s="167" t="inlineStr">
        <is>
          <t>доля</t>
        </is>
      </c>
      <c r="GR7" s="153" t="inlineStr">
        <is>
          <t>часы</t>
        </is>
      </c>
      <c r="GS7" s="167" t="inlineStr">
        <is>
          <t>доля</t>
        </is>
      </c>
      <c r="GT7" s="153" t="inlineStr">
        <is>
          <t>часы</t>
        </is>
      </c>
      <c r="GU7" s="167" t="inlineStr">
        <is>
          <t>доля</t>
        </is>
      </c>
      <c r="GV7" s="153" t="inlineStr">
        <is>
          <t>часы</t>
        </is>
      </c>
      <c r="GW7" s="167" t="inlineStr">
        <is>
          <t>доля</t>
        </is>
      </c>
      <c r="GX7" s="153" t="inlineStr">
        <is>
          <t>часы</t>
        </is>
      </c>
      <c r="GY7" s="167" t="inlineStr">
        <is>
          <t>доля</t>
        </is>
      </c>
      <c r="GZ7" s="153" t="inlineStr">
        <is>
          <t>часы</t>
        </is>
      </c>
      <c r="HA7" s="167" t="inlineStr">
        <is>
          <t>доля</t>
        </is>
      </c>
      <c r="HB7" s="153" t="inlineStr">
        <is>
          <t>часы</t>
        </is>
      </c>
      <c r="HC7" s="167" t="inlineStr">
        <is>
          <t>доля</t>
        </is>
      </c>
      <c r="HD7" s="153" t="inlineStr">
        <is>
          <t>часы</t>
        </is>
      </c>
      <c r="HE7" s="167" t="inlineStr">
        <is>
          <t>доля</t>
        </is>
      </c>
      <c r="HF7" s="153" t="inlineStr">
        <is>
          <t>часы</t>
        </is>
      </c>
      <c r="HG7" s="167" t="inlineStr">
        <is>
          <t>доля</t>
        </is>
      </c>
      <c r="HH7" s="153" t="inlineStr">
        <is>
          <t>часы</t>
        </is>
      </c>
      <c r="HI7" s="167" t="inlineStr">
        <is>
          <t>доля</t>
        </is>
      </c>
      <c r="HJ7" s="153" t="inlineStr">
        <is>
          <t>часы</t>
        </is>
      </c>
      <c r="HK7" s="167" t="inlineStr">
        <is>
          <t>доля</t>
        </is>
      </c>
      <c r="HL7" s="153" t="inlineStr">
        <is>
          <t>часы</t>
        </is>
      </c>
      <c r="HM7" s="167" t="inlineStr">
        <is>
          <t>доля</t>
        </is>
      </c>
      <c r="HN7" s="153" t="inlineStr">
        <is>
          <t>часы</t>
        </is>
      </c>
      <c r="HO7" s="167" t="inlineStr">
        <is>
          <t>доля</t>
        </is>
      </c>
      <c r="HP7" s="153" t="inlineStr">
        <is>
          <t>часы</t>
        </is>
      </c>
      <c r="HQ7" s="167" t="inlineStr">
        <is>
          <t>доля</t>
        </is>
      </c>
      <c r="HR7" s="153" t="inlineStr">
        <is>
          <t>часы</t>
        </is>
      </c>
      <c r="HS7" s="167" t="inlineStr">
        <is>
          <t>доля</t>
        </is>
      </c>
      <c r="HT7" s="153" t="inlineStr">
        <is>
          <t>часы</t>
        </is>
      </c>
      <c r="HU7" s="168" t="inlineStr">
        <is>
          <t>доля</t>
        </is>
      </c>
      <c r="HV7" s="153" t="inlineStr">
        <is>
          <t>часы</t>
        </is>
      </c>
      <c r="HW7" s="167" t="inlineStr">
        <is>
          <t>доля</t>
        </is>
      </c>
      <c r="HX7" s="153" t="inlineStr">
        <is>
          <t>часы</t>
        </is>
      </c>
      <c r="HY7" s="168" t="inlineStr">
        <is>
          <t>доля</t>
        </is>
      </c>
      <c r="HZ7" s="153" t="inlineStr">
        <is>
          <t>часы</t>
        </is>
      </c>
      <c r="IA7" s="168" t="inlineStr">
        <is>
          <t>доля</t>
        </is>
      </c>
      <c r="IB7" s="153" t="inlineStr">
        <is>
          <t>часы</t>
        </is>
      </c>
      <c r="IC7" s="167" t="inlineStr">
        <is>
          <t>доля</t>
        </is>
      </c>
      <c r="ID7" s="159" t="inlineStr">
        <is>
          <t>часы</t>
        </is>
      </c>
      <c r="IE7" s="167" t="inlineStr">
        <is>
          <t>доля</t>
        </is>
      </c>
      <c r="IF7" s="153" t="inlineStr">
        <is>
          <t>часы</t>
        </is>
      </c>
      <c r="IG7" s="167" t="inlineStr">
        <is>
          <t>доля</t>
        </is>
      </c>
      <c r="IH7" s="153" t="inlineStr">
        <is>
          <t>часы</t>
        </is>
      </c>
      <c r="II7" s="167" t="inlineStr">
        <is>
          <t>доля</t>
        </is>
      </c>
      <c r="IJ7" s="153" t="inlineStr">
        <is>
          <t>часы</t>
        </is>
      </c>
      <c r="IK7" s="167" t="inlineStr">
        <is>
          <t>доля</t>
        </is>
      </c>
      <c r="IL7" s="153" t="inlineStr">
        <is>
          <t>часы</t>
        </is>
      </c>
      <c r="IM7" s="167" t="inlineStr">
        <is>
          <t>доля</t>
        </is>
      </c>
      <c r="IN7" s="153" t="inlineStr">
        <is>
          <t>часы</t>
        </is>
      </c>
      <c r="IO7" s="167" t="inlineStr">
        <is>
          <t>доля</t>
        </is>
      </c>
      <c r="IP7" s="153" t="inlineStr">
        <is>
          <t>часы</t>
        </is>
      </c>
      <c r="IQ7" s="167" t="inlineStr">
        <is>
          <t>доля</t>
        </is>
      </c>
      <c r="IR7" s="153" t="inlineStr">
        <is>
          <t>часы</t>
        </is>
      </c>
      <c r="IS7" s="167" t="inlineStr">
        <is>
          <t>доля</t>
        </is>
      </c>
      <c r="IT7" s="153" t="inlineStr">
        <is>
          <t>часы</t>
        </is>
      </c>
      <c r="IU7" s="167" t="inlineStr">
        <is>
          <t>доля</t>
        </is>
      </c>
      <c r="IV7" s="153" t="inlineStr">
        <is>
          <t>часы</t>
        </is>
      </c>
      <c r="IW7" s="167" t="inlineStr">
        <is>
          <t>доля</t>
        </is>
      </c>
      <c r="IX7" s="153" t="inlineStr">
        <is>
          <t>часы</t>
        </is>
      </c>
      <c r="IY7" s="167" t="inlineStr">
        <is>
          <t>доля</t>
        </is>
      </c>
      <c r="IZ7" s="153" t="inlineStr">
        <is>
          <t>часы</t>
        </is>
      </c>
      <c r="JA7" s="167" t="inlineStr">
        <is>
          <t>доля</t>
        </is>
      </c>
      <c r="JB7" s="153" t="inlineStr">
        <is>
          <t>часы</t>
        </is>
      </c>
      <c r="JC7" s="167" t="inlineStr">
        <is>
          <t>доля</t>
        </is>
      </c>
      <c r="JD7" s="153" t="inlineStr">
        <is>
          <t>часы</t>
        </is>
      </c>
      <c r="JE7" s="167" t="inlineStr">
        <is>
          <t>доля</t>
        </is>
      </c>
      <c r="JF7" s="72" t="inlineStr">
        <is>
          <t>часы</t>
        </is>
      </c>
      <c r="JG7" s="146" t="inlineStr">
        <is>
          <t>доля</t>
        </is>
      </c>
      <c r="JH7" s="70" t="inlineStr">
        <is>
          <t>часы</t>
        </is>
      </c>
      <c r="JI7" s="147" t="inlineStr">
        <is>
          <t>доля</t>
        </is>
      </c>
      <c r="JJ7" s="72" t="inlineStr">
        <is>
          <t>часы</t>
        </is>
      </c>
      <c r="JK7" s="73" t="inlineStr">
        <is>
          <t>доля</t>
        </is>
      </c>
      <c r="JL7" s="72" t="inlineStr">
        <is>
          <t>часы</t>
        </is>
      </c>
      <c r="JM7" s="73" t="inlineStr">
        <is>
          <t>доля</t>
        </is>
      </c>
      <c r="JN7" s="72" t="inlineStr">
        <is>
          <t>часы</t>
        </is>
      </c>
      <c r="JO7" s="71" t="inlineStr">
        <is>
          <t>доля</t>
        </is>
      </c>
      <c r="JP7" s="71" t="inlineStr">
        <is>
          <t>часы</t>
        </is>
      </c>
      <c r="JQ7" s="71" t="inlineStr">
        <is>
          <t>доля</t>
        </is>
      </c>
      <c r="JR7" s="71" t="inlineStr">
        <is>
          <t>часы</t>
        </is>
      </c>
      <c r="JS7" s="71" t="inlineStr">
        <is>
          <t>доля</t>
        </is>
      </c>
      <c r="JT7" s="71" t="inlineStr">
        <is>
          <t>часы</t>
        </is>
      </c>
      <c r="JU7" s="71" t="inlineStr">
        <is>
          <t>доля</t>
        </is>
      </c>
      <c r="JV7" s="71" t="inlineStr">
        <is>
          <t>часы</t>
        </is>
      </c>
      <c r="JW7" s="71" t="inlineStr">
        <is>
          <t>доля</t>
        </is>
      </c>
      <c r="JX7" s="71" t="inlineStr">
        <is>
          <t>часы</t>
        </is>
      </c>
      <c r="JY7" s="73" t="inlineStr">
        <is>
          <t>доля</t>
        </is>
      </c>
      <c r="JZ7" s="72" t="inlineStr">
        <is>
          <t>часы</t>
        </is>
      </c>
      <c r="KA7" s="73" t="inlineStr">
        <is>
          <t>доля</t>
        </is>
      </c>
      <c r="KB7" s="74" t="inlineStr">
        <is>
          <t>часы</t>
        </is>
      </c>
      <c r="KC7" s="75" t="inlineStr">
        <is>
          <t>доля</t>
        </is>
      </c>
      <c r="KE7" s="279" t="inlineStr">
        <is>
          <t>проверка</t>
        </is>
      </c>
    </row>
    <row r="8" ht="16.5" customHeight="1" thickBot="1">
      <c r="A8" s="283" t="n"/>
      <c r="B8" s="299" t="n"/>
      <c r="C8" s="285" t="n"/>
      <c r="D8" s="127" t="n"/>
      <c r="E8" s="128" t="n"/>
      <c r="F8" s="80" t="n"/>
      <c r="G8" s="79" t="n"/>
      <c r="H8" s="56" t="n"/>
      <c r="I8" s="61" t="n"/>
      <c r="J8" s="56" t="n"/>
      <c r="K8" s="61" t="n"/>
      <c r="L8" s="56" t="n"/>
      <c r="M8" s="81" t="n"/>
      <c r="N8" s="8" t="n"/>
      <c r="O8" s="82" t="n"/>
      <c r="P8" s="8" t="n"/>
      <c r="Q8" s="85" t="n"/>
      <c r="R8" s="84" t="n"/>
      <c r="S8" s="83" t="n"/>
      <c r="T8" s="83" t="n"/>
      <c r="U8" s="83" t="n"/>
      <c r="V8" s="84" t="n"/>
      <c r="W8" s="83" t="n"/>
      <c r="X8" s="83" t="n"/>
      <c r="Y8" s="83" t="n"/>
      <c r="Z8" s="83" t="n"/>
      <c r="AA8" s="85" t="n"/>
      <c r="AB8" s="84" t="n"/>
      <c r="AC8" s="85" t="n"/>
      <c r="AD8" s="56" t="n"/>
      <c r="AE8" s="82" t="n"/>
      <c r="AF8" s="38" t="n"/>
      <c r="AG8" s="84" t="n"/>
      <c r="AH8" s="38" t="n"/>
      <c r="AI8" s="84" t="n"/>
      <c r="AJ8" s="38" t="n"/>
      <c r="AK8" s="84" t="n"/>
      <c r="AL8" s="38" t="n"/>
      <c r="AM8" s="84" t="n"/>
      <c r="AN8" s="38" t="n"/>
      <c r="AO8" s="84" t="n"/>
      <c r="AP8" s="38" t="n"/>
      <c r="AQ8" s="84" t="n"/>
      <c r="AR8" s="38" t="n"/>
      <c r="AS8" s="84" t="n"/>
      <c r="AT8" s="38" t="n"/>
      <c r="AU8" s="84" t="n"/>
      <c r="AV8" s="38" t="n"/>
      <c r="AW8" s="84" t="n"/>
      <c r="AX8" s="38" t="n"/>
      <c r="AY8" s="84" t="n"/>
      <c r="AZ8" s="38" t="n"/>
      <c r="BA8" s="84" t="n"/>
      <c r="BB8" s="38" t="n"/>
      <c r="BC8" s="84" t="n"/>
      <c r="BD8" s="38" t="n"/>
      <c r="BE8" s="84" t="n"/>
      <c r="BF8" s="38" t="n"/>
      <c r="BG8" s="84" t="n"/>
      <c r="BH8" s="38" t="n"/>
      <c r="BI8" s="84" t="n"/>
      <c r="BJ8" s="38" t="n"/>
      <c r="BK8" s="84" t="n"/>
      <c r="BL8" s="38" t="n"/>
      <c r="BM8" s="86" t="n"/>
      <c r="BN8" s="38" t="n"/>
      <c r="BO8" s="86" t="n"/>
      <c r="BP8" s="38" t="n"/>
      <c r="BQ8" s="86" t="n"/>
      <c r="BR8" s="38" t="n"/>
      <c r="BS8" s="86" t="n"/>
      <c r="BT8" s="38" t="n"/>
      <c r="BU8" s="58" t="n"/>
      <c r="BV8" s="38" t="n"/>
      <c r="BW8" s="86" t="n"/>
      <c r="BX8" s="38" t="n"/>
      <c r="BY8" s="86" t="n"/>
      <c r="BZ8" s="38" t="n"/>
      <c r="CA8" s="86" t="n"/>
      <c r="CB8" s="38" t="n"/>
      <c r="CC8" s="84" t="n"/>
      <c r="CD8" s="38" t="n"/>
      <c r="CE8" s="84" t="n"/>
      <c r="CF8" s="38" t="n"/>
      <c r="CG8" s="86" t="n"/>
      <c r="CH8" s="38" t="n"/>
      <c r="CI8" s="86" t="n"/>
      <c r="CJ8" s="136" t="n"/>
      <c r="CK8" s="86" t="n"/>
      <c r="CL8" s="136" t="n"/>
      <c r="CM8" s="86" t="n"/>
      <c r="CN8" s="8" t="n"/>
      <c r="CO8" s="86" t="n"/>
      <c r="CP8" s="60" t="n"/>
      <c r="CQ8" s="81" t="n"/>
      <c r="CR8" s="136" t="n"/>
      <c r="CS8" s="86" t="n"/>
      <c r="CT8" s="136" t="n"/>
      <c r="CU8" s="86" t="n"/>
      <c r="CV8" s="60" t="n"/>
      <c r="CW8" s="81" t="n"/>
      <c r="CX8" s="136" t="n"/>
      <c r="CY8" s="86" t="n"/>
      <c r="CZ8" s="38" t="n"/>
      <c r="DA8" s="86" t="n"/>
      <c r="DB8" s="59" t="n"/>
      <c r="DC8" s="81" t="n"/>
      <c r="DD8" s="38" t="n"/>
      <c r="DE8" s="86" t="n"/>
      <c r="DF8" s="38" t="n"/>
      <c r="DG8" s="84" t="n"/>
      <c r="DH8" s="38" t="n"/>
      <c r="DI8" s="86" t="n"/>
      <c r="DJ8" s="38" t="n"/>
      <c r="DK8" s="86" t="n"/>
      <c r="DL8" s="38" t="n"/>
      <c r="DM8" s="84" t="n"/>
      <c r="DN8" s="38" t="n"/>
      <c r="DO8" s="81" t="n"/>
      <c r="DP8" s="38" t="n"/>
      <c r="DQ8" s="58" t="n"/>
      <c r="DR8" s="136" t="n"/>
      <c r="DS8" s="86" t="n"/>
      <c r="DT8" s="38" t="n"/>
      <c r="DU8" s="57" t="n"/>
      <c r="DV8" s="38" t="n"/>
      <c r="DW8" s="58" t="n"/>
      <c r="DX8" s="136" t="n"/>
      <c r="DY8" s="60" t="n"/>
      <c r="DZ8" s="136" t="n"/>
      <c r="EA8" s="137" t="n"/>
      <c r="EB8" s="136" t="n"/>
      <c r="EC8" s="137" t="n"/>
      <c r="ED8" s="8" t="n"/>
      <c r="EE8" s="10" t="n"/>
      <c r="EF8" s="56" t="n"/>
      <c r="EG8" s="9" t="n"/>
      <c r="EH8" s="8" t="n"/>
      <c r="EI8" s="10" t="n"/>
      <c r="EJ8" s="8" t="n"/>
      <c r="EK8" s="10" t="n"/>
      <c r="EL8" s="8" t="n"/>
      <c r="EM8" s="10" t="n"/>
      <c r="EN8" s="136" t="n"/>
      <c r="EO8" s="137" t="n"/>
      <c r="EP8" s="136" t="n"/>
      <c r="EQ8" s="137" t="n"/>
      <c r="ER8" s="136" t="n"/>
      <c r="ES8" s="137" t="n"/>
      <c r="ET8" s="136" t="n"/>
      <c r="EU8" s="137" t="n"/>
      <c r="EV8" s="136" t="n"/>
      <c r="EW8" s="137" t="n"/>
      <c r="EX8" s="56" t="n"/>
      <c r="EY8" s="60" t="n"/>
      <c r="EZ8" s="8" t="n"/>
      <c r="FA8" s="137" t="n"/>
      <c r="FB8" s="8" t="n"/>
      <c r="FC8" s="137" t="n"/>
      <c r="FD8" s="8" t="n"/>
      <c r="FE8" s="137" t="n"/>
      <c r="FF8" s="8" t="n"/>
      <c r="FG8" s="137" t="n"/>
      <c r="FH8" s="8" t="n"/>
      <c r="FI8" s="137" t="n"/>
      <c r="FJ8" s="56" t="n"/>
      <c r="FK8" s="56" t="n"/>
      <c r="FL8" s="61" t="n"/>
      <c r="FM8" s="60" t="n"/>
      <c r="FN8" s="136" t="n"/>
      <c r="FO8" s="137" t="n"/>
      <c r="FP8" s="136" t="n"/>
      <c r="FQ8" s="137" t="n"/>
      <c r="FR8" s="136" t="n"/>
      <c r="FS8" s="137" t="n"/>
      <c r="FT8" s="136" t="n"/>
      <c r="FU8" s="137" t="n"/>
      <c r="FV8" s="136" t="n"/>
      <c r="FW8" s="137" t="n"/>
      <c r="FX8" s="136" t="n"/>
      <c r="FY8" s="60" t="n"/>
      <c r="FZ8" s="136" t="n"/>
      <c r="GA8" s="60" t="n"/>
      <c r="GB8" s="136" t="n"/>
      <c r="GC8" s="60" t="n"/>
      <c r="GD8" s="136" t="n"/>
      <c r="GE8" s="60" t="n"/>
      <c r="GF8" s="136" t="n"/>
      <c r="GG8" s="60" t="n"/>
      <c r="GH8" s="8" t="n"/>
      <c r="GI8" s="60" t="n"/>
      <c r="GJ8" s="8" t="n"/>
      <c r="GK8" s="60" t="n"/>
      <c r="GL8" s="136" t="n"/>
      <c r="GM8" s="60" t="n"/>
      <c r="GN8" s="136" t="n"/>
      <c r="GO8" s="137" t="n"/>
      <c r="GP8" s="136" t="n"/>
      <c r="GQ8" s="60" t="n"/>
      <c r="GR8" s="136" t="n"/>
      <c r="GS8" s="60" t="n"/>
      <c r="GT8" s="136" t="n"/>
      <c r="GU8" s="60" t="n"/>
      <c r="GV8" s="136" t="n"/>
      <c r="GW8" s="137" t="n"/>
      <c r="GX8" s="136" t="n"/>
      <c r="GY8" s="60" t="n"/>
      <c r="GZ8" s="136" t="n"/>
      <c r="HA8" s="60" t="n"/>
      <c r="HB8" s="136" t="n"/>
      <c r="HC8" s="60" t="n"/>
      <c r="HD8" s="136" t="n"/>
      <c r="HE8" s="60" t="n"/>
      <c r="HF8" s="136" t="n"/>
      <c r="HG8" s="60" t="n"/>
      <c r="HH8" s="136" t="n"/>
      <c r="HI8" s="60" t="n"/>
      <c r="HJ8" s="136" t="n"/>
      <c r="HK8" s="60" t="n"/>
      <c r="HL8" s="136" t="n"/>
      <c r="HM8" s="60" t="n"/>
      <c r="HN8" s="136" t="n"/>
      <c r="HO8" s="60" t="n"/>
      <c r="HP8" s="136" t="n"/>
      <c r="HQ8" s="60" t="n"/>
      <c r="HR8" s="136" t="n"/>
      <c r="HS8" s="60" t="n"/>
      <c r="HT8" s="136" t="n"/>
      <c r="HU8" s="60" t="n"/>
      <c r="HV8" s="8" t="n"/>
      <c r="HW8" s="137" t="n"/>
      <c r="HX8" s="136" t="n"/>
      <c r="HY8" s="60" t="n"/>
      <c r="HZ8" s="8" t="n"/>
      <c r="IA8" s="60" t="n"/>
      <c r="IB8" s="8" t="n"/>
      <c r="IC8" s="137" t="n"/>
      <c r="ID8" s="56" t="n"/>
      <c r="IE8" s="60" t="n"/>
      <c r="IF8" s="136" t="n"/>
      <c r="IG8" s="60" t="n"/>
      <c r="IH8" s="136" t="n"/>
      <c r="II8" s="60" t="n"/>
      <c r="IJ8" s="136" t="n"/>
      <c r="IK8" s="60" t="n"/>
      <c r="IL8" s="136" t="n"/>
      <c r="IM8" s="60" t="n"/>
      <c r="IN8" s="136" t="n"/>
      <c r="IO8" s="60" t="n"/>
      <c r="IP8" s="8" t="n"/>
      <c r="IQ8" s="137" t="n"/>
      <c r="IR8" s="8" t="n"/>
      <c r="IS8" s="60" t="n"/>
      <c r="IT8" s="136" t="n"/>
      <c r="IU8" s="137" t="n"/>
      <c r="IV8" s="136" t="n"/>
      <c r="IW8" s="137" t="n"/>
      <c r="IX8" s="8" t="n"/>
      <c r="IY8" s="137" t="n"/>
      <c r="IZ8" s="136" t="n"/>
      <c r="JA8" s="137" t="n"/>
      <c r="JB8" s="136" t="n"/>
      <c r="JC8" s="137" t="n"/>
      <c r="JD8" s="8" t="n"/>
      <c r="JE8" s="60" t="n"/>
      <c r="JF8" s="136" t="n"/>
      <c r="JG8" s="137" t="n"/>
      <c r="JH8" s="110" t="n"/>
      <c r="JI8" s="137" t="n"/>
      <c r="JJ8" s="8" t="n"/>
      <c r="JK8" s="10" t="n"/>
      <c r="JL8" s="136" t="n"/>
      <c r="JM8" s="137" t="n"/>
      <c r="JN8" s="136" t="n"/>
      <c r="JO8" s="61" t="n"/>
      <c r="JP8" s="61" t="n"/>
      <c r="JQ8" s="61" t="n"/>
      <c r="JR8" s="61" t="n"/>
      <c r="JS8" s="61" t="n"/>
      <c r="JT8" s="61" t="n"/>
      <c r="JU8" s="61" t="n"/>
      <c r="JV8" s="61" t="n"/>
      <c r="JW8" s="61" t="n"/>
      <c r="JX8" s="61" t="n"/>
      <c r="JY8" s="10" t="n"/>
      <c r="JZ8" s="8" t="n"/>
      <c r="KA8" s="10" t="n"/>
      <c r="KB8" s="65" t="n"/>
      <c r="KC8" s="87" t="n"/>
    </row>
    <row r="9" ht="21.75" customFormat="1" customHeight="1" s="11">
      <c r="A9" s="126" t="n">
        <v>1</v>
      </c>
      <c r="B9" s="175" t="inlineStr">
        <is>
          <t>Батурин А.Ю.</t>
        </is>
      </c>
      <c r="C9" s="176" t="inlineStr">
        <is>
          <t>термист</t>
        </is>
      </c>
      <c r="D9" s="177">
        <f>$D$5</f>
        <v/>
      </c>
      <c r="E9" s="202" t="n"/>
      <c r="F9" s="197" t="n">
        <v>68902.87</v>
      </c>
      <c r="G9" s="51">
        <f>F9/D9</f>
        <v/>
      </c>
      <c r="H9" s="124" t="n"/>
      <c r="I9" s="90">
        <f>H9*100/$E$9</f>
        <v/>
      </c>
      <c r="J9" s="117" t="n"/>
      <c r="K9" s="90">
        <f>J9*100/$E$9</f>
        <v/>
      </c>
      <c r="L9" s="117" t="n"/>
      <c r="M9" s="90">
        <f>L9*100/$E$9</f>
        <v/>
      </c>
      <c r="N9" s="117" t="n"/>
      <c r="O9" s="90">
        <f>N9*100/$E$9</f>
        <v/>
      </c>
      <c r="P9" s="117" t="n"/>
      <c r="Q9" s="121">
        <f>P9*100/$E$9</f>
        <v/>
      </c>
      <c r="R9" s="117" t="n"/>
      <c r="S9" s="120">
        <f>R9*100/$E$9</f>
        <v/>
      </c>
      <c r="T9" s="117" t="n"/>
      <c r="U9" s="90">
        <f>T9*100/$E$9</f>
        <v/>
      </c>
      <c r="V9" s="117" t="n"/>
      <c r="W9" s="90">
        <f>V9*100/$E$9</f>
        <v/>
      </c>
      <c r="X9" s="117" t="n"/>
      <c r="Y9" s="90">
        <f>X9*100/$E$9</f>
        <v/>
      </c>
      <c r="Z9" s="117" t="n"/>
      <c r="AA9" s="90">
        <f>Z9*100/$E$9</f>
        <v/>
      </c>
      <c r="AB9" s="117" t="n"/>
      <c r="AC9" s="90">
        <f>AB9*100/$E$9</f>
        <v/>
      </c>
      <c r="AD9" s="117" t="n"/>
      <c r="AE9" s="120">
        <f>AD9*100/$E$9</f>
        <v/>
      </c>
      <c r="AF9" s="117" t="n"/>
      <c r="AG9" s="120">
        <f>AF9*100/$E$9</f>
        <v/>
      </c>
      <c r="AH9" s="117" t="n"/>
      <c r="AI9" s="90">
        <f>AH9*100/$E$9</f>
        <v/>
      </c>
      <c r="AJ9" s="117" t="n"/>
      <c r="AK9" s="90">
        <f>AJ9*100/$E$9</f>
        <v/>
      </c>
      <c r="AL9" s="117" t="n"/>
      <c r="AM9" s="90">
        <f>AL9*100/$E$9</f>
        <v/>
      </c>
      <c r="AN9" s="117" t="n"/>
      <c r="AO9" s="90">
        <f>AN9*100/$E$9</f>
        <v/>
      </c>
      <c r="AP9" s="117" t="n"/>
      <c r="AQ9" s="90">
        <f>AP9*100/$E$9</f>
        <v/>
      </c>
      <c r="AR9" s="117" t="n"/>
      <c r="AS9" s="90">
        <f>AR9*100/$E$9</f>
        <v/>
      </c>
      <c r="AT9" s="117" t="n"/>
      <c r="AU9" s="90">
        <f>AT9*100/$E$9</f>
        <v/>
      </c>
      <c r="AV9" s="117" t="n"/>
      <c r="AW9" s="90">
        <f>AV9*100/$E$9</f>
        <v/>
      </c>
      <c r="AX9" s="117" t="n"/>
      <c r="AY9" s="90">
        <f>AX9*100/$E$9</f>
        <v/>
      </c>
      <c r="AZ9" s="117" t="n"/>
      <c r="BA9" s="90">
        <f>AZ9*100/$E$9</f>
        <v/>
      </c>
      <c r="BB9" s="117" t="n"/>
      <c r="BC9" s="90">
        <f>BB9*100/$E$9</f>
        <v/>
      </c>
      <c r="BD9" s="117" t="n"/>
      <c r="BE9" s="90">
        <f>BD9*100/$E$9</f>
        <v/>
      </c>
      <c r="BF9" s="117" t="n"/>
      <c r="BG9" s="90">
        <f>BF9*100/$E$9</f>
        <v/>
      </c>
      <c r="BH9" s="117" t="n"/>
      <c r="BI9" s="90">
        <f>BH9*100/$E$9</f>
        <v/>
      </c>
      <c r="BJ9" s="117" t="n"/>
      <c r="BK9" s="90">
        <f>BJ9*100/$E$9</f>
        <v/>
      </c>
      <c r="BL9" s="117" t="n"/>
      <c r="BM9" s="90">
        <f>BL9*100/$E$9</f>
        <v/>
      </c>
      <c r="BN9" s="117" t="n"/>
      <c r="BO9" s="90">
        <f>BN9*100/$E$9</f>
        <v/>
      </c>
      <c r="BP9" s="117" t="n"/>
      <c r="BQ9" s="90">
        <f>BP9*100/$E$9</f>
        <v/>
      </c>
      <c r="BR9" s="117" t="n"/>
      <c r="BS9" s="90">
        <f>BR9*100/$E$9</f>
        <v/>
      </c>
      <c r="BT9" s="117" t="n"/>
      <c r="BU9" s="90">
        <f>BT9*100/$E$9</f>
        <v/>
      </c>
      <c r="BV9" s="117" t="n"/>
      <c r="BW9" s="90">
        <f>BV9*100/$E$9</f>
        <v/>
      </c>
      <c r="BX9" s="117" t="n"/>
      <c r="BY9" s="90">
        <f>BX9*100/$E$9</f>
        <v/>
      </c>
      <c r="BZ9" s="117" t="n"/>
      <c r="CA9" s="90">
        <f>BZ9*100/$E$9</f>
        <v/>
      </c>
      <c r="CB9" s="117" t="n"/>
      <c r="CC9" s="90">
        <f>CB9*100/$E$9</f>
        <v/>
      </c>
      <c r="CD9" s="117" t="n"/>
      <c r="CE9" s="123">
        <f>CD9*100/$E$9</f>
        <v/>
      </c>
      <c r="CF9" s="117" t="n"/>
      <c r="CG9" s="90">
        <f>CF9*100/$E$9</f>
        <v/>
      </c>
      <c r="CH9" s="117" t="n"/>
      <c r="CI9" s="90">
        <f>CH9*100/$E$9</f>
        <v/>
      </c>
      <c r="CJ9" s="117" t="n"/>
      <c r="CK9" s="90">
        <f>CJ9*100/$E$9</f>
        <v/>
      </c>
      <c r="CL9" s="117" t="n"/>
      <c r="CM9" s="90">
        <f>CL9*100/$E$9</f>
        <v/>
      </c>
      <c r="CN9" s="117" t="n"/>
      <c r="CO9" s="122">
        <f>CN9*100/$E$9</f>
        <v/>
      </c>
      <c r="CP9" s="117" t="n"/>
      <c r="CQ9" s="90">
        <f>CP9*100/$E$9</f>
        <v/>
      </c>
      <c r="CR9" s="117" t="n"/>
      <c r="CS9" s="121">
        <f>CR9*100/$E$9</f>
        <v/>
      </c>
      <c r="CT9" s="117" t="n"/>
      <c r="CU9" s="121">
        <f>CT9*100/$E$9</f>
        <v/>
      </c>
      <c r="CV9" s="117" t="n"/>
      <c r="CW9" s="121">
        <f>CV9*100/$E$9</f>
        <v/>
      </c>
      <c r="CX9" s="117" t="n"/>
      <c r="CY9" s="121">
        <f>CX9*100/$E$9</f>
        <v/>
      </c>
      <c r="CZ9" s="117" t="n"/>
      <c r="DA9" s="121">
        <f>CZ9*100/$E$9</f>
        <v/>
      </c>
      <c r="DB9" s="117" t="n"/>
      <c r="DC9" s="121">
        <f>DB9*100/$E$9</f>
        <v/>
      </c>
      <c r="DD9" s="117" t="n"/>
      <c r="DE9" s="121">
        <f>DD9*100/$E$9</f>
        <v/>
      </c>
      <c r="DF9" s="117" t="n"/>
      <c r="DG9" s="121">
        <f>DF9*100/$E$9</f>
        <v/>
      </c>
      <c r="DH9" s="117" t="n"/>
      <c r="DI9" s="121">
        <f>DH9*100/$E$9</f>
        <v/>
      </c>
      <c r="DJ9" s="117" t="n"/>
      <c r="DK9" s="121">
        <f>DJ9*100/$E$9</f>
        <v/>
      </c>
      <c r="DL9" s="117" t="n"/>
      <c r="DM9" s="121">
        <f>DL9*100/$E$9</f>
        <v/>
      </c>
      <c r="DN9" s="117" t="n"/>
      <c r="DO9" s="121">
        <f>DN9*100/$E$9</f>
        <v/>
      </c>
      <c r="DP9" s="117" t="n"/>
      <c r="DQ9" s="121">
        <f>DP9*100/$E$9</f>
        <v/>
      </c>
      <c r="DR9" s="117" t="n"/>
      <c r="DS9" s="121">
        <f>DR9*100/$E$9</f>
        <v/>
      </c>
      <c r="DT9" s="117" t="n"/>
      <c r="DU9" s="121">
        <f>DT9*100/$E$9</f>
        <v/>
      </c>
      <c r="DV9" s="117" t="n"/>
      <c r="DW9" s="121">
        <f>DV9*100/$E$9</f>
        <v/>
      </c>
      <c r="DX9" s="117" t="n"/>
      <c r="DY9" s="121">
        <f>DX9*100/$E$9</f>
        <v/>
      </c>
      <c r="DZ9" s="117" t="n"/>
      <c r="EA9" s="121">
        <f>DZ9*100/$E$9</f>
        <v/>
      </c>
      <c r="EB9" s="117" t="n"/>
      <c r="EC9" s="121">
        <f>EB9*100/$E$9</f>
        <v/>
      </c>
      <c r="ED9" s="117" t="n"/>
      <c r="EE9" s="121">
        <f>ED9*100/$E$9</f>
        <v/>
      </c>
      <c r="EF9" s="117" t="n"/>
      <c r="EG9" s="121">
        <f>EF9*100/$E$9</f>
        <v/>
      </c>
      <c r="EH9" s="117" t="n"/>
      <c r="EI9" s="121">
        <f>EH9*100/$E$9</f>
        <v/>
      </c>
      <c r="EJ9" s="117" t="n"/>
      <c r="EK9" s="121">
        <f>EJ9*100/$E$9</f>
        <v/>
      </c>
      <c r="EL9" s="117" t="n"/>
      <c r="EM9" s="121">
        <f>EL9*100/$E$9</f>
        <v/>
      </c>
      <c r="EN9" s="117" t="n"/>
      <c r="EO9" s="121">
        <f>EN9*100/$E$9</f>
        <v/>
      </c>
      <c r="EP9" s="117" t="n"/>
      <c r="EQ9" s="121">
        <f>EP9*100/$E$9</f>
        <v/>
      </c>
      <c r="ER9" s="117" t="n"/>
      <c r="ES9" s="121">
        <f>ER9*100/$E$9</f>
        <v/>
      </c>
      <c r="ET9" s="117" t="n"/>
      <c r="EU9" s="121">
        <f>ET9*100/$E$9</f>
        <v/>
      </c>
      <c r="EV9" s="117" t="n"/>
      <c r="EW9" s="121">
        <f>EV9*100/$E$9</f>
        <v/>
      </c>
      <c r="EX9" s="117" t="n"/>
      <c r="EY9" s="121">
        <f>EX9*100/$E$9</f>
        <v/>
      </c>
      <c r="EZ9" s="117" t="n"/>
      <c r="FA9" s="121">
        <f>EZ9*100/$E$9</f>
        <v/>
      </c>
      <c r="FB9" s="117" t="n"/>
      <c r="FC9" s="121">
        <f>FB9*100/$E$9</f>
        <v/>
      </c>
      <c r="FD9" s="117" t="n"/>
      <c r="FE9" s="121">
        <f>FD9*100/$E$9</f>
        <v/>
      </c>
      <c r="FF9" s="117" t="n"/>
      <c r="FG9" s="121">
        <f>FF9*100/$E$9</f>
        <v/>
      </c>
      <c r="FH9" s="117" t="n"/>
      <c r="FI9" s="121">
        <f>FH9*100/$E$9</f>
        <v/>
      </c>
      <c r="FJ9" s="117" t="n"/>
      <c r="FK9" s="121">
        <f>FJ9*100/$E$9</f>
        <v/>
      </c>
      <c r="FL9" s="117" t="n"/>
      <c r="FM9" s="121">
        <f>FL9*100/$E$9</f>
        <v/>
      </c>
      <c r="FN9" s="117" t="n"/>
      <c r="FO9" s="121">
        <f>FN9*100/$E$9</f>
        <v/>
      </c>
      <c r="FP9" s="117" t="n"/>
      <c r="FQ9" s="121">
        <f>FP9*100/$E$9</f>
        <v/>
      </c>
      <c r="FR9" s="117" t="n"/>
      <c r="FS9" s="121">
        <f>FR9*100/$E$9</f>
        <v/>
      </c>
      <c r="FT9" s="117" t="n"/>
      <c r="FU9" s="121">
        <f>FT9*100/$E$9</f>
        <v/>
      </c>
      <c r="FV9" s="117" t="n"/>
      <c r="FW9" s="121">
        <f>FV9*100/$E$9</f>
        <v/>
      </c>
      <c r="FX9" s="117" t="n"/>
      <c r="FY9" s="90">
        <f>FX9*100/$E$9</f>
        <v/>
      </c>
      <c r="FZ9" s="117" t="n"/>
      <c r="GA9" s="90">
        <f>FZ9*100/$E$9</f>
        <v/>
      </c>
      <c r="GB9" s="117" t="n"/>
      <c r="GC9" s="90">
        <f>GB9*100/$E$9</f>
        <v/>
      </c>
      <c r="GD9" s="117" t="n"/>
      <c r="GE9" s="90">
        <f>GD9*100/$E$9</f>
        <v/>
      </c>
      <c r="GF9" s="117" t="n"/>
      <c r="GG9" s="90">
        <f>GF9*100/$E$9</f>
        <v/>
      </c>
      <c r="GH9" s="117" t="n"/>
      <c r="GI9" s="90">
        <f>GH9*100/$E$9</f>
        <v/>
      </c>
      <c r="GJ9" s="117" t="n"/>
      <c r="GK9" s="121">
        <f>GJ9*100/$E$9</f>
        <v/>
      </c>
      <c r="GL9" s="117" t="n"/>
      <c r="GM9" s="90">
        <f>GL9*100/$E$9</f>
        <v/>
      </c>
      <c r="GN9" s="117" t="n"/>
      <c r="GO9" s="121">
        <f>GN9*100/$E$9</f>
        <v/>
      </c>
      <c r="GP9" s="117" t="n"/>
      <c r="GQ9" s="90">
        <f>GP9*100/$E$9</f>
        <v/>
      </c>
      <c r="GR9" s="117" t="n"/>
      <c r="GS9" s="121">
        <f>GR9*100/$E$9</f>
        <v/>
      </c>
      <c r="GT9" s="117" t="n"/>
      <c r="GU9" s="121">
        <f>GT9*100/$E$9</f>
        <v/>
      </c>
      <c r="GV9" s="117" t="n"/>
      <c r="GW9" s="121">
        <f>GV9*100/$E$9</f>
        <v/>
      </c>
      <c r="GX9" s="117" t="n"/>
      <c r="GY9" s="90">
        <f>GX9*100/$E$9</f>
        <v/>
      </c>
      <c r="GZ9" s="117" t="n"/>
      <c r="HA9" s="90">
        <f>GZ9*100/$E$9</f>
        <v/>
      </c>
      <c r="HB9" s="117" t="n"/>
      <c r="HC9" s="90">
        <f>HB9*100/$E$9</f>
        <v/>
      </c>
      <c r="HD9" s="117" t="n"/>
      <c r="HE9" s="90">
        <f>HD9*100/$E$9</f>
        <v/>
      </c>
      <c r="HF9" s="117" t="n"/>
      <c r="HG9" s="90">
        <f>HF9*100/$E$9</f>
        <v/>
      </c>
      <c r="HH9" s="117" t="n"/>
      <c r="HI9" s="90">
        <f>HH9*100/$E$9</f>
        <v/>
      </c>
      <c r="HJ9" s="117" t="n"/>
      <c r="HK9" s="90">
        <f>HJ9*100/$E$9</f>
        <v/>
      </c>
      <c r="HL9" s="117" t="n"/>
      <c r="HM9" s="90">
        <f>HL9*100/$E$9</f>
        <v/>
      </c>
      <c r="HN9" s="117" t="n"/>
      <c r="HO9" s="90">
        <f>HN9*100/$E$9</f>
        <v/>
      </c>
      <c r="HP9" s="117" t="n"/>
      <c r="HQ9" s="90">
        <f>HP9*100/$E$9</f>
        <v/>
      </c>
      <c r="HR9" s="117" t="n"/>
      <c r="HS9" s="90">
        <f>HR9*100/$E$9</f>
        <v/>
      </c>
      <c r="HT9" s="117" t="n"/>
      <c r="HU9" s="90">
        <f>HT9*100/$E$9</f>
        <v/>
      </c>
      <c r="HV9" s="117" t="n"/>
      <c r="HW9" s="90">
        <f>HV9*100/$E$9</f>
        <v/>
      </c>
      <c r="HX9" s="117" t="n"/>
      <c r="HY9" s="90">
        <f>HX9*100/$E$9</f>
        <v/>
      </c>
      <c r="HZ9" s="117" t="n"/>
      <c r="IA9" s="121">
        <f>HZ9*100/$E$9</f>
        <v/>
      </c>
      <c r="IB9" s="117" t="n"/>
      <c r="IC9" s="121">
        <f>IB9*100/$E$9</f>
        <v/>
      </c>
      <c r="ID9" s="117" t="n"/>
      <c r="IE9" s="121">
        <f>ID9*100/$E$9</f>
        <v/>
      </c>
      <c r="IF9" s="117" t="n"/>
      <c r="IG9" s="121">
        <f>IF9*100/$E$9</f>
        <v/>
      </c>
      <c r="IH9" s="117" t="n"/>
      <c r="II9" s="121">
        <f>IH9*100/$E$9</f>
        <v/>
      </c>
      <c r="IJ9" s="117" t="n"/>
      <c r="IK9" s="121">
        <f>IJ9*100/$E$9</f>
        <v/>
      </c>
      <c r="IL9" s="117" t="n"/>
      <c r="IM9" s="90">
        <f>IL9*100/$E$9</f>
        <v/>
      </c>
      <c r="IN9" s="117" t="n"/>
      <c r="IO9" s="90">
        <f>IN9*100/$E$9</f>
        <v/>
      </c>
      <c r="IP9" s="117" t="n"/>
      <c r="IQ9" s="121">
        <f>IP9*100/$E$9</f>
        <v/>
      </c>
      <c r="IR9" s="117" t="n"/>
      <c r="IS9" s="121">
        <f>IR9*100/$E$9</f>
        <v/>
      </c>
      <c r="IT9" s="117" t="n"/>
      <c r="IU9" s="121">
        <f>IT9*100/$E$9</f>
        <v/>
      </c>
      <c r="IV9" s="117" t="n"/>
      <c r="IW9" s="121">
        <f>IV9*100/$E$9</f>
        <v/>
      </c>
      <c r="IX9" s="117" t="n"/>
      <c r="IY9" s="121">
        <f>IX9*100/$E$9</f>
        <v/>
      </c>
      <c r="IZ9" s="117" t="n"/>
      <c r="JA9" s="121">
        <f>IZ9*100/$E$9</f>
        <v/>
      </c>
      <c r="JB9" s="117" t="n"/>
      <c r="JC9" s="121">
        <f>JB9*100/$E$9</f>
        <v/>
      </c>
      <c r="JD9" s="117" t="n"/>
      <c r="JE9" s="121">
        <f>JD9*100/$E$9</f>
        <v/>
      </c>
      <c r="JF9" s="119" t="n"/>
      <c r="JG9" s="121">
        <f>JF9*100/$E$9</f>
        <v/>
      </c>
      <c r="JH9" s="117" t="n"/>
      <c r="JI9" s="121">
        <f>JH9*100/$E$9</f>
        <v/>
      </c>
      <c r="JJ9" s="117" t="n"/>
      <c r="JK9" s="121">
        <f>JJ9*100/$E$9</f>
        <v/>
      </c>
      <c r="JL9" s="117" t="n"/>
      <c r="JM9" s="121">
        <f>JL9*100/$E$9</f>
        <v/>
      </c>
      <c r="JN9" s="117" t="n"/>
      <c r="JO9" s="122">
        <f>JN9*100/$E$9</f>
        <v/>
      </c>
      <c r="JP9" s="117" t="n"/>
      <c r="JQ9" s="122">
        <f>JP9*100/$E$9</f>
        <v/>
      </c>
      <c r="JR9" s="117" t="n"/>
      <c r="JS9" s="122">
        <f>JR9*100/$E$9</f>
        <v/>
      </c>
      <c r="JT9" s="117" t="n"/>
      <c r="JU9" s="122">
        <f>JT9*100/$E$9</f>
        <v/>
      </c>
      <c r="JV9" s="108" t="n"/>
      <c r="JW9" s="122">
        <f>JV9*100/$E$9</f>
        <v/>
      </c>
      <c r="JX9" s="108" t="n"/>
      <c r="JY9" s="122">
        <f>JX9*100/$E$9</f>
        <v/>
      </c>
      <c r="JZ9" s="55">
        <f>JN9+JP9+JR9+JT9+JV9+JX9</f>
        <v/>
      </c>
      <c r="KA9" s="53">
        <f>JO9+JQ9+JS9+JU9+JW9+JY9</f>
        <v/>
      </c>
      <c r="KB9" s="64">
        <f>H9+J9+L9+N9+P9+R9+T9+V9+X9+Z9+AB9+AD9+AF9+AH9+AJ9+AL9+AN9+AP9+AR9+AT9+AV9+AX9+AZ9+BB9+BD9+BF9+BH9+BJ9+BL9+BN9+BP9+BR9+BT9+BV9+BX9+BZ9+CB9+CD9+CF9+CH9+CZ9+DB9+DD9+DF9+DH9+DJ9+DL9+DN9+DP9+DR9+DT9+DV9+DX9+DZ9+EB9+ED9+EF9+EH9+EJ9+EL9+EN9+EP9+ER9+ET9+EV9+FN9+FP9+FR9+FT9+FV9+FX9+FZ9+GB9+GD9+GF9+GH9+GJ9+GL9+GN9+GP9+GR9+GT9+GV9+GX9+GZ9+HB9+HD9+HF9+HH9+HJ9+HL9+HN9+HP9+HR9+HT9+HV9+HX9+HZ9+IB9+ID9+IF9+IH9+IJ9+IL9+IN9+IP9+IR9+IT9+IV9+IX9+IZ9+JB9+JD9+JF9+JH9+JJ9+JL9+JZ9+CJ9+CL9+CN9+CP9+CR9+CT9+CV9+CX9+EX9+EZ9+FB9+FD9+FF9+FH9+FJ9+FL9</f>
        <v/>
      </c>
      <c r="KC9" s="66">
        <f>I9+K9+M9+O9+Q9+S9+U9+W9+Y9+AA9+AC9+AE9+AG9+AI9+AK9+AM9+AO9+AQ9+AS9+AU9+AW9+AY9+BA9+BC9+BE9+BG9+BI9+BK9+BM9+BO9+BQ9+BS9+BU9+BW9+BY9+CA9+CC9+CE9+CG9+CI9+DA9+DC9+DE9+DG9+DI9+DK9+DM9+DO9+DQ9+DS9+DU9+DW9+DY9+EA9+EC9+EE9+EG9+EI9+EK9+EM9+EO9+EQ9+ES9+EU9+EW9+FO9+FS9+FU9+FW9+FQ9+FY9+GA9+GC9+GE9+GG9+GI9+GK9+GM9+GO9+GQ9+GS9+GU9+GW9+GY9+HA9+HC9+HE9+HG9+HI9+HK9+HM9+HO9+HQ9+HS9+HU9+HW9+HY9+IA9+IC9+IE9+IG9+II9+IK9+IM9+IO9+IQ9+IS9+IU9+IW9+IY9+JA9+JC9+JE9+JG9+JI9+JK9+JM9+KA9+CK9+CM9+CO9+CQ9+CS9+CU9+CW9+CY9+EY9+FA9+FC9+FE9+FG9+FI9+FK9+FM9</f>
        <v/>
      </c>
      <c r="KD9" s="44">
        <f>JO9+JQ9+JS9+JU9+JW9+JY9</f>
        <v/>
      </c>
      <c r="KE9" s="45">
        <f>KB9=E9</f>
        <v/>
      </c>
      <c r="KF9" s="101">
        <f>E9-KB9</f>
        <v/>
      </c>
    </row>
    <row r="10" ht="21.75" customFormat="1" customHeight="1" s="12">
      <c r="A10" s="126">
        <f>A9+1</f>
        <v/>
      </c>
      <c r="B10" s="175" t="inlineStr">
        <is>
          <t>Бецких А. В.</t>
        </is>
      </c>
      <c r="C10" s="176" t="inlineStr">
        <is>
          <t>слесарь МСР</t>
        </is>
      </c>
      <c r="D10" s="177">
        <f>$D$5</f>
        <v/>
      </c>
      <c r="E10" s="202" t="n"/>
      <c r="F10" s="178" t="n">
        <v>49335</v>
      </c>
      <c r="G10" s="52">
        <f>F10/D10</f>
        <v/>
      </c>
      <c r="H10" s="125" t="n"/>
      <c r="I10" s="90">
        <f>H10*100/$E$10</f>
        <v/>
      </c>
      <c r="J10" s="108" t="n"/>
      <c r="K10" s="90">
        <f>J10*100/$E$10</f>
        <v/>
      </c>
      <c r="L10" s="108" t="n"/>
      <c r="M10" s="90">
        <f>L10*100/$E$10</f>
        <v/>
      </c>
      <c r="N10" s="108" t="n"/>
      <c r="O10" s="90">
        <f>N10*100/$E$10</f>
        <v/>
      </c>
      <c r="P10" s="108" t="n"/>
      <c r="Q10" s="121">
        <f>P10*100/$E$10</f>
        <v/>
      </c>
      <c r="R10" s="108" t="n"/>
      <c r="S10" s="121">
        <f>R10*100/$E$10</f>
        <v/>
      </c>
      <c r="T10" s="108" t="n"/>
      <c r="U10" s="90">
        <f>T10*100/$E$10</f>
        <v/>
      </c>
      <c r="V10" s="108" t="n"/>
      <c r="W10" s="90">
        <f>V10*100/$E$10</f>
        <v/>
      </c>
      <c r="X10" s="108" t="n"/>
      <c r="Y10" s="90">
        <f>X10*100/$E$10</f>
        <v/>
      </c>
      <c r="Z10" s="108" t="n"/>
      <c r="AA10" s="90">
        <f>Z10*100/$E$10</f>
        <v/>
      </c>
      <c r="AB10" s="108" t="n"/>
      <c r="AC10" s="90">
        <f>AB10*100/$E$10</f>
        <v/>
      </c>
      <c r="AD10" s="108" t="n"/>
      <c r="AE10" s="121">
        <f>AD10*100/$E$10</f>
        <v/>
      </c>
      <c r="AF10" s="108" t="n"/>
      <c r="AG10" s="121">
        <f>AF10*100/$E$10</f>
        <v/>
      </c>
      <c r="AH10" s="108" t="n"/>
      <c r="AI10" s="90">
        <f>AH10*100/$E$10</f>
        <v/>
      </c>
      <c r="AJ10" s="108" t="n"/>
      <c r="AK10" s="90">
        <f>AJ10*100/$E$10</f>
        <v/>
      </c>
      <c r="AL10" s="108" t="n"/>
      <c r="AM10" s="90">
        <f>AL10*100/$E$10</f>
        <v/>
      </c>
      <c r="AN10" s="108" t="n"/>
      <c r="AO10" s="90">
        <f>AN10*100/$E$10</f>
        <v/>
      </c>
      <c r="AP10" s="108" t="n"/>
      <c r="AQ10" s="90">
        <f>AP10*100/$E$10</f>
        <v/>
      </c>
      <c r="AR10" s="108" t="n"/>
      <c r="AS10" s="90">
        <f>AR10*100/$E$10</f>
        <v/>
      </c>
      <c r="AT10" s="108" t="n"/>
      <c r="AU10" s="90">
        <f>AT10*100/$E$10</f>
        <v/>
      </c>
      <c r="AV10" s="108" t="n"/>
      <c r="AW10" s="90">
        <f>AV10*100/$E$10</f>
        <v/>
      </c>
      <c r="AX10" s="108" t="n"/>
      <c r="AY10" s="90">
        <f>AX10*100/$E$10</f>
        <v/>
      </c>
      <c r="AZ10" s="108" t="n"/>
      <c r="BA10" s="90">
        <f>AZ10*100/$E$10</f>
        <v/>
      </c>
      <c r="BB10" s="108" t="n"/>
      <c r="BC10" s="90">
        <f>BB10*100/$E$10</f>
        <v/>
      </c>
      <c r="BD10" s="108" t="n"/>
      <c r="BE10" s="90">
        <f>BD10*100/$E$10</f>
        <v/>
      </c>
      <c r="BF10" s="108" t="n"/>
      <c r="BG10" s="90">
        <f>BF10*100/$E$10</f>
        <v/>
      </c>
      <c r="BH10" s="108" t="n"/>
      <c r="BI10" s="90">
        <f>BH10*100/$E$10</f>
        <v/>
      </c>
      <c r="BJ10" s="108" t="n"/>
      <c r="BK10" s="90">
        <f>BJ10*100/$E$10</f>
        <v/>
      </c>
      <c r="BL10" s="108" t="n"/>
      <c r="BM10" s="90">
        <f>BL10*100/$E$10</f>
        <v/>
      </c>
      <c r="BN10" s="108" t="n"/>
      <c r="BO10" s="90">
        <f>BN10*100/$E$10</f>
        <v/>
      </c>
      <c r="BP10" s="108" t="n"/>
      <c r="BQ10" s="90">
        <f>BP10*100/$E$10</f>
        <v/>
      </c>
      <c r="BR10" s="108" t="n"/>
      <c r="BS10" s="90">
        <f>BR10*100/$E$10</f>
        <v/>
      </c>
      <c r="BT10" s="108" t="n"/>
      <c r="BU10" s="90">
        <f>BT10*100/$E$10</f>
        <v/>
      </c>
      <c r="BV10" s="108" t="n"/>
      <c r="BW10" s="90">
        <f>BV10*100/$E$10</f>
        <v/>
      </c>
      <c r="BX10" s="108" t="n"/>
      <c r="BY10" s="90">
        <f>BX10*100/$E$10</f>
        <v/>
      </c>
      <c r="BZ10" s="108" t="n"/>
      <c r="CA10" s="90">
        <f>BZ10*100/$E$10</f>
        <v/>
      </c>
      <c r="CB10" s="108" t="n"/>
      <c r="CC10" s="90">
        <f>CB10*100/$E$10</f>
        <v/>
      </c>
      <c r="CD10" s="108" t="n"/>
      <c r="CE10" s="90">
        <f>CD10*100/$E$10</f>
        <v/>
      </c>
      <c r="CF10" s="108" t="n"/>
      <c r="CG10" s="90">
        <f>CF10*100/$E$10</f>
        <v/>
      </c>
      <c r="CH10" s="108" t="n"/>
      <c r="CI10" s="90">
        <f>CH10*100/$E$10</f>
        <v/>
      </c>
      <c r="CJ10" s="108" t="n"/>
      <c r="CK10" s="90">
        <f>CJ10*100/$E$10</f>
        <v/>
      </c>
      <c r="CL10" s="108" t="n"/>
      <c r="CM10" s="90">
        <f>CL10*100/$E$10</f>
        <v/>
      </c>
      <c r="CN10" s="108" t="n"/>
      <c r="CO10" s="122">
        <f>CN10*100/$E$10</f>
        <v/>
      </c>
      <c r="CP10" s="108" t="n"/>
      <c r="CQ10" s="90">
        <f>CP10*100/$E$10</f>
        <v/>
      </c>
      <c r="CR10" s="108" t="n"/>
      <c r="CS10" s="121">
        <f>CR10*100/$E$10</f>
        <v/>
      </c>
      <c r="CT10" s="108" t="n"/>
      <c r="CU10" s="121">
        <f>CT10*100/$E$10</f>
        <v/>
      </c>
      <c r="CV10" s="108" t="n"/>
      <c r="CW10" s="121">
        <f>CV10*100/$E$10</f>
        <v/>
      </c>
      <c r="CX10" s="108" t="n"/>
      <c r="CY10" s="121">
        <f>CX10*100/$E$10</f>
        <v/>
      </c>
      <c r="CZ10" s="108" t="n"/>
      <c r="DA10" s="121">
        <f>CZ10*100/$E$10</f>
        <v/>
      </c>
      <c r="DB10" s="108" t="n"/>
      <c r="DC10" s="121">
        <f>DB10*100/$E$10</f>
        <v/>
      </c>
      <c r="DD10" s="108" t="n"/>
      <c r="DE10" s="121">
        <f>DD10*100/$E$10</f>
        <v/>
      </c>
      <c r="DF10" s="108" t="n"/>
      <c r="DG10" s="121">
        <f>DF10*100/$E$10</f>
        <v/>
      </c>
      <c r="DH10" s="108" t="n"/>
      <c r="DI10" s="121">
        <f>DH10*100/$E$10</f>
        <v/>
      </c>
      <c r="DJ10" s="108" t="n"/>
      <c r="DK10" s="121">
        <f>DJ10*100/$E$10</f>
        <v/>
      </c>
      <c r="DL10" s="108" t="n"/>
      <c r="DM10" s="121">
        <f>DL10*100/$E$10</f>
        <v/>
      </c>
      <c r="DN10" s="108" t="n"/>
      <c r="DO10" s="121">
        <f>DN10*100/$E$10</f>
        <v/>
      </c>
      <c r="DP10" s="108" t="n"/>
      <c r="DQ10" s="121">
        <f>DP10*100/$E$10</f>
        <v/>
      </c>
      <c r="DR10" s="108" t="n"/>
      <c r="DS10" s="121">
        <f>DR10*100/$E$10</f>
        <v/>
      </c>
      <c r="DT10" s="108" t="n"/>
      <c r="DU10" s="121">
        <f>DT10*100/$E$10</f>
        <v/>
      </c>
      <c r="DV10" s="108" t="n"/>
      <c r="DW10" s="121">
        <f>DV10*100/$E$10</f>
        <v/>
      </c>
      <c r="DX10" s="108" t="n"/>
      <c r="DY10" s="121">
        <f>DX10*100/$E$10</f>
        <v/>
      </c>
      <c r="DZ10" s="108" t="n"/>
      <c r="EA10" s="121">
        <f>DZ10*100/$E$10</f>
        <v/>
      </c>
      <c r="EB10" s="108" t="n"/>
      <c r="EC10" s="121">
        <f>EB10*100/$E$10</f>
        <v/>
      </c>
      <c r="ED10" s="108" t="n"/>
      <c r="EE10" s="121">
        <f>ED10*100/$E$10</f>
        <v/>
      </c>
      <c r="EF10" s="108" t="n"/>
      <c r="EG10" s="121">
        <f>EF10*100/$E$10</f>
        <v/>
      </c>
      <c r="EH10" s="108" t="n"/>
      <c r="EI10" s="121">
        <f>EH10*100/$E$10</f>
        <v/>
      </c>
      <c r="EJ10" s="108" t="n"/>
      <c r="EK10" s="121">
        <f>EJ10*100/$E$10</f>
        <v/>
      </c>
      <c r="EL10" s="108" t="n"/>
      <c r="EM10" s="121">
        <f>EL10*100/$E$10</f>
        <v/>
      </c>
      <c r="EN10" s="108" t="n"/>
      <c r="EO10" s="121">
        <f>EN10*100/$E$10</f>
        <v/>
      </c>
      <c r="EP10" s="108" t="n"/>
      <c r="EQ10" s="121">
        <f>EP10*100/$E$10</f>
        <v/>
      </c>
      <c r="ER10" s="108" t="n"/>
      <c r="ES10" s="121">
        <f>ER10*100/$E$10</f>
        <v/>
      </c>
      <c r="ET10" s="108" t="n"/>
      <c r="EU10" s="121">
        <f>ET10*100/$E$10</f>
        <v/>
      </c>
      <c r="EV10" s="108" t="n"/>
      <c r="EW10" s="121">
        <f>EV10*100/$E$10</f>
        <v/>
      </c>
      <c r="EX10" s="108" t="n"/>
      <c r="EY10" s="121">
        <f>EX10*100/$E$10</f>
        <v/>
      </c>
      <c r="EZ10" s="108" t="n"/>
      <c r="FA10" s="121">
        <f>EZ10*100/$E$10</f>
        <v/>
      </c>
      <c r="FB10" s="108" t="n"/>
      <c r="FC10" s="121">
        <f>FB10*100/$E$10</f>
        <v/>
      </c>
      <c r="FD10" s="108" t="n"/>
      <c r="FE10" s="121">
        <f>FD10*100/$E$10</f>
        <v/>
      </c>
      <c r="FF10" s="108" t="n"/>
      <c r="FG10" s="121">
        <f>FF10*100/$E$10</f>
        <v/>
      </c>
      <c r="FH10" s="108" t="n"/>
      <c r="FI10" s="121">
        <f>FH10*100/$E$10</f>
        <v/>
      </c>
      <c r="FJ10" s="108" t="n"/>
      <c r="FK10" s="121">
        <f>FJ10*100/$E$10</f>
        <v/>
      </c>
      <c r="FL10" s="108" t="n"/>
      <c r="FM10" s="121">
        <f>FL10*100/$E$10</f>
        <v/>
      </c>
      <c r="FN10" s="108" t="n"/>
      <c r="FO10" s="121">
        <f>FN10*100/$E$10</f>
        <v/>
      </c>
      <c r="FP10" s="108" t="n"/>
      <c r="FQ10" s="121">
        <f>FP10*100/$E$10</f>
        <v/>
      </c>
      <c r="FR10" s="108" t="n"/>
      <c r="FS10" s="121">
        <f>FR10*100/$E$10</f>
        <v/>
      </c>
      <c r="FT10" s="108" t="n"/>
      <c r="FU10" s="121">
        <f>FT10*100/$E$10</f>
        <v/>
      </c>
      <c r="FV10" s="108" t="n"/>
      <c r="FW10" s="121">
        <f>FV10*100/$E$10</f>
        <v/>
      </c>
      <c r="FX10" s="108" t="n"/>
      <c r="FY10" s="90">
        <f>FX10*100/$E$10</f>
        <v/>
      </c>
      <c r="FZ10" s="108" t="n"/>
      <c r="GA10" s="90">
        <f>FZ10*100/$E$10</f>
        <v/>
      </c>
      <c r="GB10" s="108" t="n"/>
      <c r="GC10" s="90">
        <f>GB10*100/$E$10</f>
        <v/>
      </c>
      <c r="GD10" s="108" t="n"/>
      <c r="GE10" s="90">
        <f>GD10*100/$E$10</f>
        <v/>
      </c>
      <c r="GF10" s="108" t="n"/>
      <c r="GG10" s="90">
        <f>GF10*100/$E$10</f>
        <v/>
      </c>
      <c r="GH10" s="108" t="n"/>
      <c r="GI10" s="90">
        <f>GH10*100/$E$10</f>
        <v/>
      </c>
      <c r="GJ10" s="108" t="n"/>
      <c r="GK10" s="121">
        <f>GJ10*100/$E$10</f>
        <v/>
      </c>
      <c r="GL10" s="108" t="n"/>
      <c r="GM10" s="90">
        <f>GL10*100/$E$10</f>
        <v/>
      </c>
      <c r="GN10" s="108" t="n"/>
      <c r="GO10" s="121">
        <f>GN10*100/$E$10</f>
        <v/>
      </c>
      <c r="GP10" s="108" t="n"/>
      <c r="GQ10" s="90">
        <f>GP10*100/$E$10</f>
        <v/>
      </c>
      <c r="GR10" s="108" t="n"/>
      <c r="GS10" s="121">
        <f>GR10*100/$E$10</f>
        <v/>
      </c>
      <c r="GT10" s="108" t="n"/>
      <c r="GU10" s="121">
        <f>GT10*100/$E$10</f>
        <v/>
      </c>
      <c r="GV10" s="108" t="n"/>
      <c r="GW10" s="121">
        <f>GV10*100/$E$10</f>
        <v/>
      </c>
      <c r="GX10" s="108" t="n"/>
      <c r="GY10" s="90">
        <f>GX10*100/$E$10</f>
        <v/>
      </c>
      <c r="GZ10" s="108" t="n"/>
      <c r="HA10" s="90">
        <f>GZ10*100/$E$10</f>
        <v/>
      </c>
      <c r="HB10" s="108" t="n"/>
      <c r="HC10" s="90">
        <f>HB10*100/$E$10</f>
        <v/>
      </c>
      <c r="HD10" s="108" t="n"/>
      <c r="HE10" s="90">
        <f>HD10*100/$E$10</f>
        <v/>
      </c>
      <c r="HF10" s="108" t="n"/>
      <c r="HG10" s="90">
        <f>HF10*100/$E$10</f>
        <v/>
      </c>
      <c r="HH10" s="108" t="n"/>
      <c r="HI10" s="90">
        <f>HH10*100/$E$10</f>
        <v/>
      </c>
      <c r="HJ10" s="108" t="n"/>
      <c r="HK10" s="90">
        <f>HJ10*100/$E$10</f>
        <v/>
      </c>
      <c r="HL10" s="108" t="n"/>
      <c r="HM10" s="90">
        <f>HL10*100/$E$10</f>
        <v/>
      </c>
      <c r="HN10" s="108" t="n"/>
      <c r="HO10" s="90">
        <f>HN10*100/$E$10</f>
        <v/>
      </c>
      <c r="HP10" s="108" t="n"/>
      <c r="HQ10" s="90">
        <f>HP10*100/$E$10</f>
        <v/>
      </c>
      <c r="HR10" s="108" t="n"/>
      <c r="HS10" s="90">
        <f>HR10*100/$E$10</f>
        <v/>
      </c>
      <c r="HT10" s="108" t="n"/>
      <c r="HU10" s="90">
        <f>HT10*100/$E$10</f>
        <v/>
      </c>
      <c r="HV10" s="108" t="n"/>
      <c r="HW10" s="90">
        <f>HV10*100/$E$10</f>
        <v/>
      </c>
      <c r="HX10" s="108" t="n"/>
      <c r="HY10" s="90">
        <f>HX10*100/$E$10</f>
        <v/>
      </c>
      <c r="HZ10" s="108" t="n"/>
      <c r="IA10" s="121">
        <f>HZ10*100/$E$10</f>
        <v/>
      </c>
      <c r="IB10" s="108" t="n"/>
      <c r="IC10" s="121">
        <f>IB10*100/$E$10</f>
        <v/>
      </c>
      <c r="ID10" s="108" t="n"/>
      <c r="IE10" s="121">
        <f>ID10*100/$E$10</f>
        <v/>
      </c>
      <c r="IF10" s="108" t="n"/>
      <c r="IG10" s="121">
        <f>IF10*100/$E$10</f>
        <v/>
      </c>
      <c r="IH10" s="108" t="n"/>
      <c r="II10" s="121">
        <f>IH10*100/$E$10</f>
        <v/>
      </c>
      <c r="IJ10" s="108" t="n"/>
      <c r="IK10" s="121">
        <f>IJ10*100/$E$10</f>
        <v/>
      </c>
      <c r="IL10" s="108" t="n"/>
      <c r="IM10" s="90">
        <f>IL10*100/$E$10</f>
        <v/>
      </c>
      <c r="IN10" s="108" t="n"/>
      <c r="IO10" s="90">
        <f>IN10*100/$E$10</f>
        <v/>
      </c>
      <c r="IP10" s="108" t="n"/>
      <c r="IQ10" s="121">
        <f>IP10*100/$E$10</f>
        <v/>
      </c>
      <c r="IR10" s="108" t="n"/>
      <c r="IS10" s="121">
        <f>IR10*100/$E$10</f>
        <v/>
      </c>
      <c r="IT10" s="108" t="n"/>
      <c r="IU10" s="121">
        <f>IT10*100/$E$10</f>
        <v/>
      </c>
      <c r="IV10" s="108" t="n"/>
      <c r="IW10" s="121">
        <f>IV10*100/$E$10</f>
        <v/>
      </c>
      <c r="IX10" s="108" t="n"/>
      <c r="IY10" s="121">
        <f>IX10*100/$E$10</f>
        <v/>
      </c>
      <c r="IZ10" s="108" t="n"/>
      <c r="JA10" s="121">
        <f>IZ10*100/$E$10</f>
        <v/>
      </c>
      <c r="JB10" s="108" t="n"/>
      <c r="JC10" s="121">
        <f>JB10*100/$E$10</f>
        <v/>
      </c>
      <c r="JD10" s="108" t="n"/>
      <c r="JE10" s="121">
        <f>JD10*100/$E$10</f>
        <v/>
      </c>
      <c r="JF10" s="108" t="n"/>
      <c r="JG10" s="121">
        <f>JF10*100/$E$10</f>
        <v/>
      </c>
      <c r="JH10" s="108" t="n"/>
      <c r="JI10" s="121">
        <f>JH10*100/$E$10</f>
        <v/>
      </c>
      <c r="JJ10" s="108" t="n"/>
      <c r="JK10" s="121">
        <f>JJ10*100/$E$10</f>
        <v/>
      </c>
      <c r="JL10" s="108" t="n"/>
      <c r="JM10" s="121">
        <f>JL10*100/$E$10</f>
        <v/>
      </c>
      <c r="JN10" s="108" t="n"/>
      <c r="JO10" s="122">
        <f>JN10*100/$E$10</f>
        <v/>
      </c>
      <c r="JP10" s="108" t="n"/>
      <c r="JQ10" s="122">
        <f>JP10*100/$E$10</f>
        <v/>
      </c>
      <c r="JR10" s="108" t="n"/>
      <c r="JS10" s="122">
        <f>JR10*100/$E$10</f>
        <v/>
      </c>
      <c r="JT10" s="108" t="n"/>
      <c r="JU10" s="122">
        <f>JT10*100/$E$10</f>
        <v/>
      </c>
      <c r="JV10" s="108" t="n"/>
      <c r="JW10" s="122">
        <f>JV10*100/$E$10</f>
        <v/>
      </c>
      <c r="JX10" s="108" t="n"/>
      <c r="JY10" s="122">
        <f>JX10*100/$E$10</f>
        <v/>
      </c>
      <c r="JZ10" s="55">
        <f>JN10+JP10+JR10+JT10+JV10+JX10</f>
        <v/>
      </c>
      <c r="KA10" s="53">
        <f>JO10+JQ10+JS10+JU10+JW10+JY10</f>
        <v/>
      </c>
      <c r="KB10" s="64">
        <f>H10+J10+L10+N10+P10+R10+T10+V10+X10+Z10+AB10+AD10+AF10+AH10+AJ10+AL10+AN10+AP10+AR10+AT10+AV10+AX10+AZ10+BB10+BD10+BF10+BH10+BJ10+BL10+BN10+BP10+BR10+BT10+BV10+BX10+BZ10+CB10+CD10+CF10+CH10+CZ10+DB10+DD10+DF10+DH10+DJ10+DL10+DN10+DP10+DR10+DT10+DV10+DX10+DZ10+EB10+ED10+EF10+EH10+EJ10+EL10+EN10+EP10+ER10+ET10+EV10+FN10+FP10+FR10+FT10+FV10+FX10+FZ10+GB10+GD10+GF10+GH10+GJ10+GL10+GN10+GP10+GR10+GT10+GV10+GX10+GZ10+HB10+HD10+HF10+HH10+HJ10+HL10+HN10+HP10+HR10+HT10+HV10+HX10+HZ10+IB10+ID10+IF10+IH10+IJ10+IL10+IN10+IP10+IR10+IT10+IV10+IX10+IZ10+JB10+JD10+JF10+JH10+JJ10+JL10+JZ10+CJ10+CL10+CN10+CP10+CR10+CT10+CV10+CX10+EX10+EZ10+FB10+FD10+FF10+FH10+FJ10+FL10</f>
        <v/>
      </c>
      <c r="KC10" s="66">
        <f>I10+K10+M10+O10+Q10+S10+U10+W10+Y10+AA10+AC10+AE10+AG10+AI10+AK10+AM10+AO10+AQ10+AS10+AU10+AW10+AY10+BA10+BC10+BE10+BG10+BI10+BK10+BM10+BO10+BQ10+BS10+BU10+BW10+BY10+CA10+CC10+CE10+CG10+CI10+DA10+DC10+DE10+DG10+DI10+DK10+DM10+DO10+DQ10+DS10+DU10+DW10+DY10+EA10+EC10+EE10+EG10+EI10+EK10+EM10+EO10+EQ10+ES10+EU10+EW10+FO10+FS10+FU10+FW10+FQ10+FY10+GA10+GC10+GE10+GG10+GI10+GK10+GM10+GO10+GQ10+GS10+GU10+GW10+GY10+HA10+HC10+HE10+HG10+HI10+HK10+HM10+HO10+HQ10+HS10+HU10+HW10+HY10+IA10+IC10+IE10+IG10+II10+IK10+IM10+IO10+IQ10+IS10+IU10+IW10+IY10+JA10+JC10+JE10+JG10+JI10+JK10+JM10+KA10+CK10+CM10+CO10+CQ10+CS10+CU10+CW10+CY10+EY10+FA10+FC10+FE10+FG10+FI10+FK10+FM10</f>
        <v/>
      </c>
      <c r="KD10" s="44">
        <f>JO10+JQ10+JS10+JU10+JW10+JY10</f>
        <v/>
      </c>
      <c r="KE10" s="45">
        <f>KB10=E10</f>
        <v/>
      </c>
      <c r="KF10" s="101">
        <f>E10-KB10</f>
        <v/>
      </c>
    </row>
    <row r="11" ht="21.75" customFormat="1" customHeight="1" s="17">
      <c r="A11" s="126">
        <f>A10+1</f>
        <v/>
      </c>
      <c r="B11" s="175" t="inlineStr">
        <is>
          <t>Блощинский С.В.</t>
        </is>
      </c>
      <c r="C11" s="176" t="inlineStr">
        <is>
          <t>слесарь</t>
        </is>
      </c>
      <c r="D11" s="177">
        <f>$D$5</f>
        <v/>
      </c>
      <c r="E11" s="202" t="n"/>
      <c r="F11" s="178" t="n">
        <v>68902.87</v>
      </c>
      <c r="G11" s="52">
        <f>F11/D11</f>
        <v/>
      </c>
      <c r="H11" s="125" t="n"/>
      <c r="I11" s="90">
        <f>H11*100/$E$11</f>
        <v/>
      </c>
      <c r="J11" s="108" t="n"/>
      <c r="K11" s="90">
        <f>J11*100/$E$10</f>
        <v/>
      </c>
      <c r="L11" s="108" t="n"/>
      <c r="M11" s="90">
        <f>L11*100/$E$10</f>
        <v/>
      </c>
      <c r="N11" s="108" t="n"/>
      <c r="O11" s="90">
        <f>N11*100/$E$10</f>
        <v/>
      </c>
      <c r="P11" s="108" t="n"/>
      <c r="Q11" s="121">
        <f>P11*100/$E$10</f>
        <v/>
      </c>
      <c r="R11" s="108" t="n"/>
      <c r="S11" s="121">
        <f>R11*100/$E$10</f>
        <v/>
      </c>
      <c r="T11" s="108" t="n"/>
      <c r="U11" s="90">
        <f>T11*100/$E$11</f>
        <v/>
      </c>
      <c r="V11" s="108" t="n"/>
      <c r="W11" s="90">
        <f>V11*100/$E$10</f>
        <v/>
      </c>
      <c r="X11" s="108" t="n"/>
      <c r="Y11" s="90">
        <f>X11*100/$E$11</f>
        <v/>
      </c>
      <c r="Z11" s="108" t="n"/>
      <c r="AA11" s="90">
        <f>Z11*100/$E$11</f>
        <v/>
      </c>
      <c r="AB11" s="108" t="n"/>
      <c r="AC11" s="90">
        <f>AB11*100/$E$11</f>
        <v/>
      </c>
      <c r="AD11" s="108" t="n"/>
      <c r="AE11" s="121">
        <f>AD11*100/$E$11</f>
        <v/>
      </c>
      <c r="AF11" s="108" t="n"/>
      <c r="AG11" s="121">
        <f>AF11*100/$E$11</f>
        <v/>
      </c>
      <c r="AH11" s="108" t="n"/>
      <c r="AI11" s="90">
        <f>AH11*100/$E$11</f>
        <v/>
      </c>
      <c r="AJ11" s="108" t="n"/>
      <c r="AK11" s="90">
        <f>AJ11*100/$E$11</f>
        <v/>
      </c>
      <c r="AL11" s="108" t="n"/>
      <c r="AM11" s="90">
        <f>AL11*100/$E$11</f>
        <v/>
      </c>
      <c r="AN11" s="108" t="n"/>
      <c r="AO11" s="90">
        <f>AN11*100/$E$11</f>
        <v/>
      </c>
      <c r="AP11" s="108" t="n"/>
      <c r="AQ11" s="90">
        <f>AP11*100/$E$11</f>
        <v/>
      </c>
      <c r="AR11" s="108" t="n"/>
      <c r="AS11" s="90">
        <f>AR11*100/$E$11</f>
        <v/>
      </c>
      <c r="AT11" s="108" t="n"/>
      <c r="AU11" s="90">
        <f>AT11*100/$E$11</f>
        <v/>
      </c>
      <c r="AV11" s="108" t="n"/>
      <c r="AW11" s="90">
        <f>AV11*100/$E$11</f>
        <v/>
      </c>
      <c r="AX11" s="108" t="n"/>
      <c r="AY11" s="90">
        <f>AX11*100/$E$11</f>
        <v/>
      </c>
      <c r="AZ11" s="108" t="n"/>
      <c r="BA11" s="90">
        <f>AZ11*100/$E$11</f>
        <v/>
      </c>
      <c r="BB11" s="108" t="n"/>
      <c r="BC11" s="90">
        <f>BB11*100/$E$11</f>
        <v/>
      </c>
      <c r="BD11" s="108" t="n"/>
      <c r="BE11" s="90">
        <f>BD11*100/$E$11</f>
        <v/>
      </c>
      <c r="BF11" s="108" t="n"/>
      <c r="BG11" s="90">
        <f>BF11*100/$E$11</f>
        <v/>
      </c>
      <c r="BH11" s="108" t="n"/>
      <c r="BI11" s="90">
        <f>BH11*100/$E$11</f>
        <v/>
      </c>
      <c r="BJ11" s="108" t="n"/>
      <c r="BK11" s="90">
        <f>BJ11*100/$E$11</f>
        <v/>
      </c>
      <c r="BL11" s="108" t="n"/>
      <c r="BM11" s="90">
        <f>BL11*100/$E$11</f>
        <v/>
      </c>
      <c r="BN11" s="108" t="n"/>
      <c r="BO11" s="90">
        <f>BN11*100/$E$11</f>
        <v/>
      </c>
      <c r="BP11" s="108" t="n"/>
      <c r="BQ11" s="90">
        <f>BP11*100/$E$11</f>
        <v/>
      </c>
      <c r="BR11" s="108" t="n"/>
      <c r="BS11" s="90">
        <f>BR11*100/$E$11</f>
        <v/>
      </c>
      <c r="BT11" s="108" t="n"/>
      <c r="BU11" s="90">
        <f>BT11*100/$E$11</f>
        <v/>
      </c>
      <c r="BV11" s="108" t="n"/>
      <c r="BW11" s="90">
        <f>BV11*100/$E$11</f>
        <v/>
      </c>
      <c r="BX11" s="108" t="n"/>
      <c r="BY11" s="90">
        <f>BX11*100/$E$11</f>
        <v/>
      </c>
      <c r="BZ11" s="108" t="n"/>
      <c r="CA11" s="90">
        <f>BZ11*100/$E$11</f>
        <v/>
      </c>
      <c r="CB11" s="108" t="n"/>
      <c r="CC11" s="90">
        <f>CB11*100/$E$11</f>
        <v/>
      </c>
      <c r="CD11" s="108" t="n"/>
      <c r="CE11" s="90">
        <f>CD11*100/$E$10</f>
        <v/>
      </c>
      <c r="CF11" s="108" t="n"/>
      <c r="CG11" s="90">
        <f>CF11*100/$E$11</f>
        <v/>
      </c>
      <c r="CH11" s="108" t="n"/>
      <c r="CI11" s="90">
        <f>CH11*100/$E$11</f>
        <v/>
      </c>
      <c r="CJ11" s="108" t="n"/>
      <c r="CK11" s="90">
        <f>CJ11*100/$E$11</f>
        <v/>
      </c>
      <c r="CL11" s="108" t="n"/>
      <c r="CM11" s="90">
        <f>CL11*100/$E$11</f>
        <v/>
      </c>
      <c r="CN11" s="108" t="n"/>
      <c r="CO11" s="122">
        <f>CN11*100/$E$11</f>
        <v/>
      </c>
      <c r="CP11" s="108" t="n"/>
      <c r="CQ11" s="90">
        <f>CP11*100/$E$11</f>
        <v/>
      </c>
      <c r="CR11" s="108" t="n"/>
      <c r="CS11" s="121">
        <f>CR11*100/$E$11</f>
        <v/>
      </c>
      <c r="CT11" s="108" t="n"/>
      <c r="CU11" s="121">
        <f>CT11*100/$E$11</f>
        <v/>
      </c>
      <c r="CV11" s="108" t="n"/>
      <c r="CW11" s="121">
        <f>CV11*100/$E$11</f>
        <v/>
      </c>
      <c r="CX11" s="108" t="n"/>
      <c r="CY11" s="121">
        <f>CX11*100/$E$11</f>
        <v/>
      </c>
      <c r="CZ11" s="108" t="n"/>
      <c r="DA11" s="121">
        <f>CZ11*100/$E$11</f>
        <v/>
      </c>
      <c r="DB11" s="108" t="n"/>
      <c r="DC11" s="121">
        <f>DB11*100/$E$11</f>
        <v/>
      </c>
      <c r="DD11" s="108" t="n"/>
      <c r="DE11" s="121">
        <f>DD11*100/$E$11</f>
        <v/>
      </c>
      <c r="DF11" s="108" t="n"/>
      <c r="DG11" s="121">
        <f>DF11*100/$E$11</f>
        <v/>
      </c>
      <c r="DH11" s="108" t="n"/>
      <c r="DI11" s="121">
        <f>DH11*100/$E$11</f>
        <v/>
      </c>
      <c r="DJ11" s="108" t="n"/>
      <c r="DK11" s="121">
        <f>DJ11*100/$E$11</f>
        <v/>
      </c>
      <c r="DL11" s="108" t="n"/>
      <c r="DM11" s="121">
        <f>DL11*100/$E$11</f>
        <v/>
      </c>
      <c r="DN11" s="108" t="n"/>
      <c r="DO11" s="121">
        <f>DN11*100/$E$11</f>
        <v/>
      </c>
      <c r="DP11" s="108" t="n"/>
      <c r="DQ11" s="121">
        <f>DP11*100/$E$11</f>
        <v/>
      </c>
      <c r="DR11" s="108" t="n"/>
      <c r="DS11" s="121">
        <f>DR11*100/$E$11</f>
        <v/>
      </c>
      <c r="DT11" s="108" t="n"/>
      <c r="DU11" s="121">
        <f>DT11*100/$E$11</f>
        <v/>
      </c>
      <c r="DV11" s="108" t="n"/>
      <c r="DW11" s="121">
        <f>DV11*100/$E$11</f>
        <v/>
      </c>
      <c r="DX11" s="108" t="n"/>
      <c r="DY11" s="121">
        <f>DX11*100/$E$11</f>
        <v/>
      </c>
      <c r="DZ11" s="108" t="n"/>
      <c r="EA11" s="121">
        <f>DZ11*100/$E$11</f>
        <v/>
      </c>
      <c r="EB11" s="108" t="n"/>
      <c r="EC11" s="121">
        <f>EB11*100/$E$11</f>
        <v/>
      </c>
      <c r="ED11" s="108" t="n"/>
      <c r="EE11" s="121">
        <f>ED11*100/$E$11</f>
        <v/>
      </c>
      <c r="EF11" s="108" t="n"/>
      <c r="EG11" s="121">
        <f>EF11*100/$E$11</f>
        <v/>
      </c>
      <c r="EH11" s="108" t="n"/>
      <c r="EI11" s="121">
        <f>EH11*100/$E$11</f>
        <v/>
      </c>
      <c r="EJ11" s="108" t="n"/>
      <c r="EK11" s="121">
        <f>EJ11*100/$E$10</f>
        <v/>
      </c>
      <c r="EL11" s="108" t="n"/>
      <c r="EM11" s="121">
        <f>EL11*100/$E$11</f>
        <v/>
      </c>
      <c r="EN11" s="108" t="n"/>
      <c r="EO11" s="121">
        <f>EN11*100/$E$11</f>
        <v/>
      </c>
      <c r="EP11" s="108" t="n"/>
      <c r="EQ11" s="121">
        <f>EP11*100/$E$11</f>
        <v/>
      </c>
      <c r="ER11" s="108" t="n"/>
      <c r="ES11" s="121">
        <f>ER11*100/$E$11</f>
        <v/>
      </c>
      <c r="ET11" s="108" t="n"/>
      <c r="EU11" s="121">
        <f>ET11*100/$E$11</f>
        <v/>
      </c>
      <c r="EV11" s="108" t="n"/>
      <c r="EW11" s="121">
        <f>EV11*100/$E$11</f>
        <v/>
      </c>
      <c r="EX11" s="108" t="n"/>
      <c r="EY11" s="121">
        <f>EX11*100/$E$11</f>
        <v/>
      </c>
      <c r="EZ11" s="108" t="n"/>
      <c r="FA11" s="121">
        <f>EZ11*100/$E$11</f>
        <v/>
      </c>
      <c r="FB11" s="108" t="n"/>
      <c r="FC11" s="121">
        <f>FB11*100/$E$11</f>
        <v/>
      </c>
      <c r="FD11" s="108" t="n"/>
      <c r="FE11" s="121">
        <f>FD11*100/$E$11</f>
        <v/>
      </c>
      <c r="FF11" s="108" t="n"/>
      <c r="FG11" s="121">
        <f>FF11*100/$E$11</f>
        <v/>
      </c>
      <c r="FH11" s="108" t="n"/>
      <c r="FI11" s="121">
        <f>FH11*100/$E$11</f>
        <v/>
      </c>
      <c r="FJ11" s="108" t="n"/>
      <c r="FK11" s="121">
        <f>FJ11*100/$E$11</f>
        <v/>
      </c>
      <c r="FL11" s="108" t="n"/>
      <c r="FM11" s="121">
        <f>FL11*100/$E$11</f>
        <v/>
      </c>
      <c r="FN11" s="108" t="n"/>
      <c r="FO11" s="121">
        <f>FN11*100/$E$11</f>
        <v/>
      </c>
      <c r="FP11" s="108" t="n"/>
      <c r="FQ11" s="121">
        <f>FP11*100/$E$11</f>
        <v/>
      </c>
      <c r="FR11" s="108" t="n"/>
      <c r="FS11" s="121">
        <f>FR11*100/$E$11</f>
        <v/>
      </c>
      <c r="FT11" s="108" t="n"/>
      <c r="FU11" s="121">
        <f>FT11*100/$E$11</f>
        <v/>
      </c>
      <c r="FV11" s="108" t="n"/>
      <c r="FW11" s="121">
        <f>FV11*100/$E$11</f>
        <v/>
      </c>
      <c r="FX11" s="108" t="n"/>
      <c r="FY11" s="121">
        <f>FX11*100/$E$11</f>
        <v/>
      </c>
      <c r="FZ11" s="108" t="n"/>
      <c r="GA11" s="121">
        <f>FZ11*100/$E$11</f>
        <v/>
      </c>
      <c r="GB11" s="108" t="n"/>
      <c r="GC11" s="121">
        <f>GB11*100/$E$11</f>
        <v/>
      </c>
      <c r="GD11" s="108" t="n"/>
      <c r="GE11" s="121">
        <f>GD11*100/$E$11</f>
        <v/>
      </c>
      <c r="GF11" s="108" t="n"/>
      <c r="GG11" s="121">
        <f>GF11*100/$E$11</f>
        <v/>
      </c>
      <c r="GH11" s="108" t="n"/>
      <c r="GI11" s="121">
        <f>GH11*100/$E$11</f>
        <v/>
      </c>
      <c r="GJ11" s="108" t="n"/>
      <c r="GK11" s="121">
        <f>GJ11*100/$E$11</f>
        <v/>
      </c>
      <c r="GL11" s="108" t="n"/>
      <c r="GM11" s="121">
        <f>GL11*100/$E$11</f>
        <v/>
      </c>
      <c r="GN11" s="108" t="n"/>
      <c r="GO11" s="121">
        <f>GN11*100/$E$11</f>
        <v/>
      </c>
      <c r="GP11" s="108" t="n"/>
      <c r="GQ11" s="121">
        <f>GP11*100/$E$11</f>
        <v/>
      </c>
      <c r="GR11" s="108" t="n"/>
      <c r="GS11" s="121">
        <f>GR11*100/$E$11</f>
        <v/>
      </c>
      <c r="GT11" s="108" t="n"/>
      <c r="GU11" s="121">
        <f>GT11*100/$E$11</f>
        <v/>
      </c>
      <c r="GV11" s="108" t="n"/>
      <c r="GW11" s="121">
        <f>GV11*100/$E$11</f>
        <v/>
      </c>
      <c r="GX11" s="108" t="n"/>
      <c r="GY11" s="121">
        <f>GX11*100/$E$11</f>
        <v/>
      </c>
      <c r="GZ11" s="108" t="n"/>
      <c r="HA11" s="121">
        <f>GZ11*100/$E$11</f>
        <v/>
      </c>
      <c r="HB11" s="108" t="n"/>
      <c r="HC11" s="121">
        <f>HB11*100/$E$11</f>
        <v/>
      </c>
      <c r="HD11" s="108" t="n"/>
      <c r="HE11" s="121">
        <f>HD11*100/$E$11</f>
        <v/>
      </c>
      <c r="HF11" s="108" t="n"/>
      <c r="HG11" s="121">
        <f>HF11*100/$E$11</f>
        <v/>
      </c>
      <c r="HH11" s="108" t="n"/>
      <c r="HI11" s="121">
        <f>HH11*100/$E$11</f>
        <v/>
      </c>
      <c r="HJ11" s="108" t="n"/>
      <c r="HK11" s="121">
        <f>HJ11*100/$E$11</f>
        <v/>
      </c>
      <c r="HL11" s="108" t="n"/>
      <c r="HM11" s="121">
        <f>HL11*100/$E$11</f>
        <v/>
      </c>
      <c r="HN11" s="108" t="n"/>
      <c r="HO11" s="121">
        <f>HN11*100/$E$11</f>
        <v/>
      </c>
      <c r="HP11" s="108" t="n"/>
      <c r="HQ11" s="121">
        <f>HP11*100/$E$11</f>
        <v/>
      </c>
      <c r="HR11" s="108" t="n"/>
      <c r="HS11" s="121">
        <f>HR11*100/$E$11</f>
        <v/>
      </c>
      <c r="HT11" s="108" t="n"/>
      <c r="HU11" s="121">
        <f>HT11*100/$E$11</f>
        <v/>
      </c>
      <c r="HV11" s="108" t="n"/>
      <c r="HW11" s="121">
        <f>HV11*100/$E$11</f>
        <v/>
      </c>
      <c r="HX11" s="108" t="n"/>
      <c r="HY11" s="121">
        <f>HX11*100/$E$11</f>
        <v/>
      </c>
      <c r="HZ11" s="108" t="n"/>
      <c r="IA11" s="121">
        <f>HZ11*100/$E$11</f>
        <v/>
      </c>
      <c r="IB11" s="108" t="n"/>
      <c r="IC11" s="121">
        <f>IB11*100/$E$11</f>
        <v/>
      </c>
      <c r="ID11" s="108" t="n"/>
      <c r="IE11" s="121">
        <f>ID11*100/$E$11</f>
        <v/>
      </c>
      <c r="IF11" s="108" t="n"/>
      <c r="IG11" s="121">
        <f>IF11*100/$E$11</f>
        <v/>
      </c>
      <c r="IH11" s="108" t="n"/>
      <c r="II11" s="121">
        <f>IH11*100/$E$11</f>
        <v/>
      </c>
      <c r="IJ11" s="108" t="n"/>
      <c r="IK11" s="121">
        <f>IJ11*100/$E$11</f>
        <v/>
      </c>
      <c r="IL11" s="108" t="n"/>
      <c r="IM11" s="121">
        <f>IL11*100/$E$11</f>
        <v/>
      </c>
      <c r="IN11" s="108" t="n"/>
      <c r="IO11" s="121">
        <f>IN11*100/$E$11</f>
        <v/>
      </c>
      <c r="IP11" s="108" t="n"/>
      <c r="IQ11" s="121">
        <f>IP11*100/$E$11</f>
        <v/>
      </c>
      <c r="IR11" s="108" t="n"/>
      <c r="IS11" s="121">
        <f>IR11*100/$E$11</f>
        <v/>
      </c>
      <c r="IT11" s="108" t="n"/>
      <c r="IU11" s="121">
        <f>IT11*100/$E$11</f>
        <v/>
      </c>
      <c r="IV11" s="108" t="n"/>
      <c r="IW11" s="121">
        <f>IV11*100/$E$11</f>
        <v/>
      </c>
      <c r="IX11" s="108" t="n"/>
      <c r="IY11" s="121">
        <f>IX11*100/$E$11</f>
        <v/>
      </c>
      <c r="IZ11" s="108" t="n"/>
      <c r="JA11" s="121">
        <f>IZ11*100/$E$11</f>
        <v/>
      </c>
      <c r="JB11" s="108" t="n"/>
      <c r="JC11" s="121">
        <f>JB11*100/$E$11</f>
        <v/>
      </c>
      <c r="JD11" s="108" t="n"/>
      <c r="JE11" s="121">
        <f>JD11*100/$E$11</f>
        <v/>
      </c>
      <c r="JF11" s="108" t="n"/>
      <c r="JG11" s="121">
        <f>JF11*100/$E$11</f>
        <v/>
      </c>
      <c r="JH11" s="108" t="n"/>
      <c r="JI11" s="121">
        <f>JH11*100/$E$11</f>
        <v/>
      </c>
      <c r="JJ11" s="108" t="n"/>
      <c r="JK11" s="121">
        <f>JJ11*100/$E$11</f>
        <v/>
      </c>
      <c r="JL11" s="108" t="n"/>
      <c r="JM11" s="121">
        <f>JL11*100/$E$11</f>
        <v/>
      </c>
      <c r="JN11" s="108" t="n"/>
      <c r="JO11" s="122">
        <f>JN11*100/$E$11</f>
        <v/>
      </c>
      <c r="JP11" s="108" t="n"/>
      <c r="JQ11" s="122">
        <f>JP11*100/$E$11</f>
        <v/>
      </c>
      <c r="JR11" s="108" t="n"/>
      <c r="JS11" s="122">
        <f>JR11*100/$E$11</f>
        <v/>
      </c>
      <c r="JT11" s="108" t="n"/>
      <c r="JU11" s="122">
        <f>JT11*100/$E$11</f>
        <v/>
      </c>
      <c r="JV11" s="108" t="n"/>
      <c r="JW11" s="122">
        <f>JV11*100/$E$11</f>
        <v/>
      </c>
      <c r="JX11" s="108" t="n"/>
      <c r="JY11" s="122">
        <f>JX11*100/$E$11</f>
        <v/>
      </c>
      <c r="JZ11" s="55">
        <f>JN11+JP11+JR11+JT11+JV11+JX11</f>
        <v/>
      </c>
      <c r="KA11" s="53">
        <f>JO11+JQ11+JS11+JU11+JW11+JY11</f>
        <v/>
      </c>
      <c r="KB11" s="64">
        <f>H11+J11+L11+N11+P11+R11+T11+V11+X11+Z11+AB11+AD11+AF11+AH11+AJ11+AL11+AN11+AP11+AR11+AT11+AV11+AX11+AZ11+BB11+BD11+BF11+BH11+BJ11+BL11+BN11+BP11+BR11+BT11+BV11+BX11+BZ11+CB11+CD11+CF11+CH11+CZ11+DB11+DD11+DF11+DH11+DJ11+DL11+DN11+DP11+DR11+DT11+DV11+DX11+DZ11+EB11+ED11+EF11+EH11+EJ11+EL11+EN11+EP11+ER11+ET11+EV11+FN11+FP11+FR11+FT11+FV11+FX11+FZ11+GB11+GD11+GF11+GH11+GJ11+GL11+GN11+GP11+GR11+GT11+GV11+GX11+GZ11+HB11+HD11+HF11+HH11+HJ11+HL11+HN11+HP11+HR11+HT11+HV11+HX11+HZ11+IB11+ID11+IF11+IH11+IJ11+IL11+IN11+IP11+IR11+IT11+IV11+IX11+IZ11+JB11+JD11+JF11+JH11+JJ11+JL11+JZ11+CJ11+CL11+CN11+CP11+CR11+CT11+CV11+CX11+EX11+EZ11+FB11+FD11+FF11+FH11+FJ11+FL11</f>
        <v/>
      </c>
      <c r="KC11" s="66">
        <f>I11+K11+M11+O11+Q11+S11+U11+W11+Y11+AA11+AC11+AE11+AG11+AI11+AK11+AM11+AO11+AQ11+AS11+AU11+AW11+AY11+BA11+BC11+BE11+BG11+BI11+BK11+BM11+BO11+BQ11+BS11+BU11+BW11+BY11+CA11+CC11+CE11+CG11+CI11+DA11+DC11+DE11+DG11+DI11+DK11+DM11+DO11+DQ11+DS11+DU11+DW11+DY11+EA11+EC11+EE11+EG11+EI11+EK11+EM11+EO11+EQ11+ES11+EU11+EW11+FO11+FS11+FU11+FW11+FQ11+FY11+GA11+GC11+GE11+GG11+GI11+GK11+GM11+GO11+GQ11+GS11+GU11+GW11+GY11+HA11+HC11+HE11+HG11+HI11+HK11+HM11+HO11+HQ11+HS11+HU11+HW11+HY11+IA11+IC11+IE11+IG11+II11+IK11+IM11+IO11+IQ11+IS11+IU11+IW11+IY11+JA11+JC11+JE11+JG11+JI11+JK11+JM11+KA11+CK11+CM11+CO11+CQ11+CS11+CU11+CW11+CY11+EY11+FA11+FC11+FE11+FG11+FI11+FK11+FM11</f>
        <v/>
      </c>
      <c r="KD11" s="44">
        <f>JO11+JQ11+JS11+JU11+JW11+JY11</f>
        <v/>
      </c>
      <c r="KE11" s="45">
        <f>KB11=E11</f>
        <v/>
      </c>
      <c r="KF11" s="101">
        <f>E11-KB11</f>
        <v/>
      </c>
    </row>
    <row r="12" ht="21.75" customFormat="1" customHeight="1" s="11">
      <c r="A12" s="126">
        <f>A11+1</f>
        <v/>
      </c>
      <c r="B12" s="175" t="inlineStr">
        <is>
          <t>Бреев И.И.</t>
        </is>
      </c>
      <c r="C12" s="194" t="inlineStr">
        <is>
          <t>токарь</t>
        </is>
      </c>
      <c r="D12" s="177">
        <f>$D$5</f>
        <v/>
      </c>
      <c r="E12" s="202" t="n"/>
      <c r="F12" s="191" t="n">
        <v>101150.45</v>
      </c>
      <c r="G12" s="52">
        <f>F12/D12</f>
        <v/>
      </c>
      <c r="H12" s="125" t="n"/>
      <c r="I12" s="90">
        <f>H12*100/$E$12</f>
        <v/>
      </c>
      <c r="J12" s="108" t="n"/>
      <c r="K12" s="90">
        <f>J12*100/$E$12</f>
        <v/>
      </c>
      <c r="L12" s="108" t="n"/>
      <c r="M12" s="90">
        <f>L12*100/$E$12</f>
        <v/>
      </c>
      <c r="N12" s="108" t="n"/>
      <c r="O12" s="90">
        <f>N12*100/$E$12</f>
        <v/>
      </c>
      <c r="P12" s="108" t="n"/>
      <c r="Q12" s="121">
        <f>P12*100/$E$12</f>
        <v/>
      </c>
      <c r="R12" s="108" t="n"/>
      <c r="S12" s="121">
        <f>R12*100/$E$12</f>
        <v/>
      </c>
      <c r="T12" s="108" t="n"/>
      <c r="U12" s="90">
        <f>T12*100/$E$12</f>
        <v/>
      </c>
      <c r="V12" s="108" t="n"/>
      <c r="W12" s="90">
        <f>V12*100/$E$12</f>
        <v/>
      </c>
      <c r="X12" s="108" t="n"/>
      <c r="Y12" s="90">
        <f>X12*100/$E$12</f>
        <v/>
      </c>
      <c r="Z12" s="108" t="n"/>
      <c r="AA12" s="90">
        <f>Z12*100/$E$12</f>
        <v/>
      </c>
      <c r="AB12" s="108" t="n"/>
      <c r="AC12" s="90">
        <f>AB12*100/$E$12</f>
        <v/>
      </c>
      <c r="AD12" s="108" t="n"/>
      <c r="AE12" s="121">
        <f>AD12*100/$E$12</f>
        <v/>
      </c>
      <c r="AF12" s="108" t="n"/>
      <c r="AG12" s="121">
        <f>AF12*100/$E$12</f>
        <v/>
      </c>
      <c r="AH12" s="108" t="n"/>
      <c r="AI12" s="90">
        <f>AH12*100/$E$12</f>
        <v/>
      </c>
      <c r="AJ12" s="108" t="n"/>
      <c r="AK12" s="90">
        <f>AJ12*100/$E$12</f>
        <v/>
      </c>
      <c r="AL12" s="108" t="n"/>
      <c r="AM12" s="90">
        <f>AL12*100/$E$12</f>
        <v/>
      </c>
      <c r="AN12" s="108" t="n"/>
      <c r="AO12" s="90">
        <f>AN12*100/$E$12</f>
        <v/>
      </c>
      <c r="AP12" s="108" t="n"/>
      <c r="AQ12" s="90">
        <f>AP12*100/$E$12</f>
        <v/>
      </c>
      <c r="AR12" s="108" t="n"/>
      <c r="AS12" s="90">
        <f>AR12*100/$E$12</f>
        <v/>
      </c>
      <c r="AT12" s="108" t="n"/>
      <c r="AU12" s="90">
        <f>AT12*100/$E$12</f>
        <v/>
      </c>
      <c r="AV12" s="108" t="n"/>
      <c r="AW12" s="90">
        <f>AV12*100/$E$12</f>
        <v/>
      </c>
      <c r="AX12" s="108" t="n"/>
      <c r="AY12" s="90">
        <f>AX12*100/$E$12</f>
        <v/>
      </c>
      <c r="AZ12" s="108" t="n"/>
      <c r="BA12" s="90">
        <f>AZ12*100/$E$12</f>
        <v/>
      </c>
      <c r="BB12" s="108" t="n"/>
      <c r="BC12" s="90">
        <f>BB12*100/$E$12</f>
        <v/>
      </c>
      <c r="BD12" s="108" t="n"/>
      <c r="BE12" s="90">
        <f>BD12*100/$E$12</f>
        <v/>
      </c>
      <c r="BF12" s="108" t="n"/>
      <c r="BG12" s="90">
        <f>BF12*100/$E$12</f>
        <v/>
      </c>
      <c r="BH12" s="108" t="n"/>
      <c r="BI12" s="90">
        <f>BH12*100/$E$12</f>
        <v/>
      </c>
      <c r="BJ12" s="108" t="n"/>
      <c r="BK12" s="90">
        <f>BJ12*100/$E$12</f>
        <v/>
      </c>
      <c r="BL12" s="108" t="n"/>
      <c r="BM12" s="90">
        <f>BL12*100/$E$12</f>
        <v/>
      </c>
      <c r="BN12" s="108" t="n"/>
      <c r="BO12" s="90">
        <f>BN12*100/$E$12</f>
        <v/>
      </c>
      <c r="BP12" s="108" t="n"/>
      <c r="BQ12" s="90">
        <f>BP12*100/$E$12</f>
        <v/>
      </c>
      <c r="BR12" s="108" t="n"/>
      <c r="BS12" s="90">
        <f>BR12*100/$E$12</f>
        <v/>
      </c>
      <c r="BT12" s="108" t="n"/>
      <c r="BU12" s="90">
        <f>BT12*100/$E$12</f>
        <v/>
      </c>
      <c r="BV12" s="108" t="n"/>
      <c r="BW12" s="90">
        <f>BV12*100/$E$12</f>
        <v/>
      </c>
      <c r="BX12" s="108" t="n"/>
      <c r="BY12" s="90">
        <f>BX12*100/$E$12</f>
        <v/>
      </c>
      <c r="BZ12" s="108" t="n"/>
      <c r="CA12" s="90">
        <f>BZ12*100/$E$12</f>
        <v/>
      </c>
      <c r="CB12" s="108" t="n"/>
      <c r="CC12" s="90">
        <f>CB12*100/$E$12</f>
        <v/>
      </c>
      <c r="CD12" s="108" t="n"/>
      <c r="CE12" s="90">
        <f>CD12*100/$E$12</f>
        <v/>
      </c>
      <c r="CF12" s="108" t="n"/>
      <c r="CG12" s="90">
        <f>CF12*100/$E$12</f>
        <v/>
      </c>
      <c r="CH12" s="108" t="n"/>
      <c r="CI12" s="90">
        <f>CH12*100/$E$12</f>
        <v/>
      </c>
      <c r="CJ12" s="108" t="n"/>
      <c r="CK12" s="90">
        <f>CJ12*100/$E$12</f>
        <v/>
      </c>
      <c r="CL12" s="108" t="n"/>
      <c r="CM12" s="90">
        <f>CL12*100/$E$12</f>
        <v/>
      </c>
      <c r="CN12" s="108" t="n"/>
      <c r="CO12" s="122">
        <f>CN12*100/$E$12</f>
        <v/>
      </c>
      <c r="CP12" s="108" t="n"/>
      <c r="CQ12" s="90">
        <f>CP12*100/$E$12</f>
        <v/>
      </c>
      <c r="CR12" s="108" t="n"/>
      <c r="CS12" s="121">
        <f>CR12*100/$E$12</f>
        <v/>
      </c>
      <c r="CT12" s="108" t="n"/>
      <c r="CU12" s="121">
        <f>CT12*100/$E$12</f>
        <v/>
      </c>
      <c r="CV12" s="108" t="n"/>
      <c r="CW12" s="121">
        <f>CV12*100/$E$12</f>
        <v/>
      </c>
      <c r="CX12" s="108" t="n"/>
      <c r="CY12" s="121">
        <f>CX12*100/$E$12</f>
        <v/>
      </c>
      <c r="CZ12" s="108" t="n"/>
      <c r="DA12" s="121">
        <f>CZ12*100/$E$12</f>
        <v/>
      </c>
      <c r="DB12" s="108" t="n"/>
      <c r="DC12" s="121">
        <f>DB12*100/$E$12</f>
        <v/>
      </c>
      <c r="DD12" s="108" t="n"/>
      <c r="DE12" s="121">
        <f>DD12*100/$E$12</f>
        <v/>
      </c>
      <c r="DF12" s="108" t="n"/>
      <c r="DG12" s="121">
        <f>DF12*100/$E$12</f>
        <v/>
      </c>
      <c r="DH12" s="108" t="n"/>
      <c r="DI12" s="121">
        <f>DH12*100/$E$12</f>
        <v/>
      </c>
      <c r="DJ12" s="108" t="n"/>
      <c r="DK12" s="121">
        <f>DJ12*100/$E$12</f>
        <v/>
      </c>
      <c r="DL12" s="108" t="n"/>
      <c r="DM12" s="121">
        <f>DL12*100/$E$12</f>
        <v/>
      </c>
      <c r="DN12" s="108" t="n"/>
      <c r="DO12" s="121">
        <f>DN12*100/$E$12</f>
        <v/>
      </c>
      <c r="DP12" s="108" t="n"/>
      <c r="DQ12" s="121">
        <f>DP12*100/$E$12</f>
        <v/>
      </c>
      <c r="DR12" s="108" t="n"/>
      <c r="DS12" s="121">
        <f>DR12*100/$E$12</f>
        <v/>
      </c>
      <c r="DT12" s="108" t="n"/>
      <c r="DU12" s="121">
        <f>DT12*100/$E$12</f>
        <v/>
      </c>
      <c r="DV12" s="108" t="n"/>
      <c r="DW12" s="121">
        <f>DV12*100/$E$12</f>
        <v/>
      </c>
      <c r="DX12" s="108" t="n"/>
      <c r="DY12" s="121">
        <f>DX12*100/$E$12</f>
        <v/>
      </c>
      <c r="DZ12" s="108" t="n"/>
      <c r="EA12" s="121">
        <f>DZ12*100/$E$12</f>
        <v/>
      </c>
      <c r="EB12" s="108" t="n"/>
      <c r="EC12" s="121">
        <f>EB12*100/$E$12</f>
        <v/>
      </c>
      <c r="ED12" s="108" t="n"/>
      <c r="EE12" s="121">
        <f>ED12*100/$E$12</f>
        <v/>
      </c>
      <c r="EF12" s="108" t="n"/>
      <c r="EG12" s="121">
        <f>EF12*100/$E$12</f>
        <v/>
      </c>
      <c r="EH12" s="108" t="n"/>
      <c r="EI12" s="121">
        <f>EH12*100/$E$12</f>
        <v/>
      </c>
      <c r="EJ12" s="108" t="n"/>
      <c r="EK12" s="121">
        <f>EJ12*100/$E$12</f>
        <v/>
      </c>
      <c r="EL12" s="108" t="n"/>
      <c r="EM12" s="121">
        <f>EL12*100/$E$12</f>
        <v/>
      </c>
      <c r="EN12" s="108" t="n"/>
      <c r="EO12" s="121">
        <f>EN12*100/$E$12</f>
        <v/>
      </c>
      <c r="EP12" s="108" t="n"/>
      <c r="EQ12" s="121">
        <f>EP12*100/$E$12</f>
        <v/>
      </c>
      <c r="ER12" s="108" t="n"/>
      <c r="ES12" s="121">
        <f>ER12*100/$E$12</f>
        <v/>
      </c>
      <c r="ET12" s="108" t="n"/>
      <c r="EU12" s="121">
        <f>ET12*100/$E$12</f>
        <v/>
      </c>
      <c r="EV12" s="108" t="n"/>
      <c r="EW12" s="121">
        <f>EV12*100/$E$12</f>
        <v/>
      </c>
      <c r="EX12" s="108" t="n"/>
      <c r="EY12" s="121">
        <f>EX12*100/$E$12</f>
        <v/>
      </c>
      <c r="EZ12" s="108" t="n"/>
      <c r="FA12" s="121">
        <f>EZ12*100/$E$12</f>
        <v/>
      </c>
      <c r="FB12" s="108" t="n"/>
      <c r="FC12" s="121">
        <f>FB12*100/$E$12</f>
        <v/>
      </c>
      <c r="FD12" s="108" t="n"/>
      <c r="FE12" s="121">
        <f>FD12*100/$E$12</f>
        <v/>
      </c>
      <c r="FF12" s="108" t="n"/>
      <c r="FG12" s="121">
        <f>FF12*100/$E$12</f>
        <v/>
      </c>
      <c r="FH12" s="108" t="n"/>
      <c r="FI12" s="121">
        <f>FH12*100/$E$12</f>
        <v/>
      </c>
      <c r="FJ12" s="108" t="n"/>
      <c r="FK12" s="121">
        <f>FJ12*100/$E$12</f>
        <v/>
      </c>
      <c r="FL12" s="108" t="n"/>
      <c r="FM12" s="121">
        <f>FL12*100/$E$12</f>
        <v/>
      </c>
      <c r="FN12" s="108" t="n"/>
      <c r="FO12" s="121">
        <f>FN12*100/$E$12</f>
        <v/>
      </c>
      <c r="FP12" s="108" t="n"/>
      <c r="FQ12" s="121">
        <f>FP12*100/$E$12</f>
        <v/>
      </c>
      <c r="FR12" s="108" t="n"/>
      <c r="FS12" s="121">
        <f>FR12*100/$E$12</f>
        <v/>
      </c>
      <c r="FT12" s="108" t="n"/>
      <c r="FU12" s="121">
        <f>FT12*100/$E$12</f>
        <v/>
      </c>
      <c r="FV12" s="108" t="n"/>
      <c r="FW12" s="121">
        <f>FV12*100/$E$12</f>
        <v/>
      </c>
      <c r="FX12" s="108" t="n"/>
      <c r="FY12" s="90">
        <f>FX12*100/$E$12</f>
        <v/>
      </c>
      <c r="FZ12" s="108" t="n"/>
      <c r="GA12" s="90">
        <f>FZ12*100/$E$12</f>
        <v/>
      </c>
      <c r="GB12" s="108" t="n"/>
      <c r="GC12" s="90">
        <f>GB12*100/$E$12</f>
        <v/>
      </c>
      <c r="GD12" s="108" t="n"/>
      <c r="GE12" s="90">
        <f>GD12*100/$E$12</f>
        <v/>
      </c>
      <c r="GF12" s="108" t="n"/>
      <c r="GG12" s="90">
        <f>GF12*100/$E$12</f>
        <v/>
      </c>
      <c r="GH12" s="108" t="n"/>
      <c r="GI12" s="90">
        <f>GH12*100/$E$12</f>
        <v/>
      </c>
      <c r="GJ12" s="108" t="n"/>
      <c r="GK12" s="121">
        <f>GJ12*100/$E$12</f>
        <v/>
      </c>
      <c r="GL12" s="108" t="n"/>
      <c r="GM12" s="90">
        <f>GL12*100/$E$12</f>
        <v/>
      </c>
      <c r="GN12" s="108" t="n"/>
      <c r="GO12" s="121">
        <f>GN12*100/$E$12</f>
        <v/>
      </c>
      <c r="GP12" s="108" t="n"/>
      <c r="GQ12" s="90">
        <f>GP12*100/$E$12</f>
        <v/>
      </c>
      <c r="GR12" s="108" t="n"/>
      <c r="GS12" s="121">
        <f>GR12*100/$E$12</f>
        <v/>
      </c>
      <c r="GT12" s="108" t="n"/>
      <c r="GU12" s="121">
        <f>GT12*100/$E$12</f>
        <v/>
      </c>
      <c r="GV12" s="108" t="n"/>
      <c r="GW12" s="121">
        <f>GV12*100/$E$12</f>
        <v/>
      </c>
      <c r="GX12" s="108" t="n"/>
      <c r="GY12" s="90">
        <f>GX12*100/$E$12</f>
        <v/>
      </c>
      <c r="GZ12" s="108" t="n"/>
      <c r="HA12" s="90">
        <f>GZ12*100/$E$12</f>
        <v/>
      </c>
      <c r="HB12" s="108" t="n"/>
      <c r="HC12" s="90">
        <f>HB12*100/$E$12</f>
        <v/>
      </c>
      <c r="HD12" s="108" t="n"/>
      <c r="HE12" s="90">
        <f>HD12*100/$E$12</f>
        <v/>
      </c>
      <c r="HF12" s="108" t="n"/>
      <c r="HG12" s="90">
        <f>HF12*100/$E$12</f>
        <v/>
      </c>
      <c r="HH12" s="108" t="n"/>
      <c r="HI12" s="90">
        <f>HH12*100/$E$12</f>
        <v/>
      </c>
      <c r="HJ12" s="108" t="n"/>
      <c r="HK12" s="90">
        <f>HJ12*100/$E$12</f>
        <v/>
      </c>
      <c r="HL12" s="108" t="n"/>
      <c r="HM12" s="90">
        <f>HL12*100/$E$12</f>
        <v/>
      </c>
      <c r="HN12" s="108" t="n"/>
      <c r="HO12" s="90">
        <f>HN12*100/$E$12</f>
        <v/>
      </c>
      <c r="HP12" s="108" t="n"/>
      <c r="HQ12" s="90">
        <f>HP12*100/$E$12</f>
        <v/>
      </c>
      <c r="HR12" s="108" t="n"/>
      <c r="HS12" s="90">
        <f>HR12*100/$E$12</f>
        <v/>
      </c>
      <c r="HT12" s="108" t="n"/>
      <c r="HU12" s="90">
        <f>HT12*100/$E$12</f>
        <v/>
      </c>
      <c r="HV12" s="108" t="n"/>
      <c r="HW12" s="90">
        <f>HV12*100/$E$12</f>
        <v/>
      </c>
      <c r="HX12" s="108" t="n"/>
      <c r="HY12" s="90">
        <f>HX12*100/$E$12</f>
        <v/>
      </c>
      <c r="HZ12" s="108" t="n"/>
      <c r="IA12" s="121">
        <f>HZ12*100/$E$12</f>
        <v/>
      </c>
      <c r="IB12" s="108" t="n"/>
      <c r="IC12" s="121">
        <f>IB12*100/$E$12</f>
        <v/>
      </c>
      <c r="ID12" s="108" t="n"/>
      <c r="IE12" s="121">
        <f>ID12*100/$E$12</f>
        <v/>
      </c>
      <c r="IF12" s="108" t="n"/>
      <c r="IG12" s="121">
        <f>IF12*100/$E$12</f>
        <v/>
      </c>
      <c r="IH12" s="108" t="n"/>
      <c r="II12" s="121">
        <f>IH12*100/$E$12</f>
        <v/>
      </c>
      <c r="IJ12" s="108" t="n"/>
      <c r="IK12" s="121">
        <f>IJ12*100/$E$12</f>
        <v/>
      </c>
      <c r="IL12" s="108" t="n"/>
      <c r="IM12" s="90">
        <f>IL12*100/$E$12</f>
        <v/>
      </c>
      <c r="IN12" s="108" t="n"/>
      <c r="IO12" s="90">
        <f>IN12*100/$E$12</f>
        <v/>
      </c>
      <c r="IP12" s="108" t="n"/>
      <c r="IQ12" s="121">
        <f>IP12*100/$E$12</f>
        <v/>
      </c>
      <c r="IR12" s="108" t="n"/>
      <c r="IS12" s="121">
        <f>IR12*100/$E$12</f>
        <v/>
      </c>
      <c r="IT12" s="108" t="n"/>
      <c r="IU12" s="121">
        <f>IT12*100/$E$12</f>
        <v/>
      </c>
      <c r="IV12" s="108" t="n"/>
      <c r="IW12" s="121">
        <f>IV12*100/$E$12</f>
        <v/>
      </c>
      <c r="IX12" s="108" t="n"/>
      <c r="IY12" s="121">
        <f>IX12*100/$E$12</f>
        <v/>
      </c>
      <c r="IZ12" s="108" t="n"/>
      <c r="JA12" s="121">
        <f>IZ12*100/$E$12</f>
        <v/>
      </c>
      <c r="JB12" s="108" t="n"/>
      <c r="JC12" s="121">
        <f>JB12*100/$E$12</f>
        <v/>
      </c>
      <c r="JD12" s="108" t="n"/>
      <c r="JE12" s="121">
        <f>JD12*100/$E$12</f>
        <v/>
      </c>
      <c r="JF12" s="108" t="n"/>
      <c r="JG12" s="121">
        <f>JF12*100/$E$12</f>
        <v/>
      </c>
      <c r="JH12" s="108" t="n"/>
      <c r="JI12" s="121">
        <f>JH12*100/$E$12</f>
        <v/>
      </c>
      <c r="JJ12" s="108" t="n"/>
      <c r="JK12" s="121">
        <f>JJ12*100/$E$12</f>
        <v/>
      </c>
      <c r="JL12" s="108" t="n"/>
      <c r="JM12" s="121">
        <f>JL12*100/$E$12</f>
        <v/>
      </c>
      <c r="JN12" s="108" t="n"/>
      <c r="JO12" s="122">
        <f>JN12*100/$E$12</f>
        <v/>
      </c>
      <c r="JP12" s="108" t="n"/>
      <c r="JQ12" s="122">
        <f>JP12*100/$E$12</f>
        <v/>
      </c>
      <c r="JR12" s="108" t="n"/>
      <c r="JS12" s="122">
        <f>JR12*100/$E$12</f>
        <v/>
      </c>
      <c r="JT12" s="108" t="n"/>
      <c r="JU12" s="122">
        <f>JT12*100/$E$12</f>
        <v/>
      </c>
      <c r="JV12" s="108" t="n"/>
      <c r="JW12" s="122">
        <f>JV12*100/$E$12</f>
        <v/>
      </c>
      <c r="JX12" s="108" t="n"/>
      <c r="JY12" s="122">
        <f>JX12*100/$E$12</f>
        <v/>
      </c>
      <c r="JZ12" s="55">
        <f>JN12+JP12+JR12+JT12+JV12+JX12</f>
        <v/>
      </c>
      <c r="KA12" s="53">
        <f>JO12+JQ12+JS12+JU12+JW12+JY12</f>
        <v/>
      </c>
      <c r="KB12" s="64">
        <f>H12+J12+L12+N12+P12+R12+T12+V12+X12+Z12+AB12+AD12+AF12+AH12+AJ12+AL12+AN12+AP12+AR12+AT12+AV12+AX12+AZ12+BB12+BD12+BF12+BH12+BJ12+BL12+BN12+BP12+BR12+BT12+BV12+BX12+BZ12+CB12+CD12+CF12+CH12+CZ12+DB12+DD12+DF12+DH12+DJ12+DL12+DN12+DP12+DR12+DT12+DV12+DX12+DZ12+EB12+ED12+EF12+EH12+EJ12+EL12+EN12+EP12+ER12+ET12+EV12+FN12+FP12+FR12+FT12+FV12+FX12+FZ12+GB12+GD12+GF12+GH12+GJ12+GL12+GN12+GP12+GR12+GT12+GV12+GX12+GZ12+HB12+HD12+HF12+HH12+HJ12+HL12+HN12+HP12+HR12+HT12+HV12+HX12+HZ12+IB12+ID12+IF12+IH12+IJ12+IL12+IN12+IP12+IR12+IT12+IV12+IX12+IZ12+JB12+JD12+JF12+JH12+JJ12+JL12+JZ12+CJ12+CL12+CN12+CP12+CR12+CT12+CV12+CX12+EX12+EZ12+FB12+FD12+FF12+FH12+FJ12+FL12</f>
        <v/>
      </c>
      <c r="KC12" s="66">
        <f>I12+K12+M12+O12+Q12+S12+U12+W12+Y12+AA12+AC12+AE12+AG12+AI12+AK12+AM12+AO12+AQ12+AS12+AU12+AW12+AY12+BA12+BC12+BE12+BG12+BI12+BK12+BM12+BO12+BQ12+BS12+BU12+BW12+BY12+CA12+CC12+CE12+CG12+CI12+DA12+DC12+DE12+DG12+DI12+DK12+DM12+DO12+DQ12+DS12+DU12+DW12+DY12+EA12+EC12+EE12+EG12+EI12+EK12+EM12+EO12+EQ12+ES12+EU12+EW12+FO12+FS12+FU12+FW12+FQ12+FY12+GA12+GC12+GE12+GG12+GI12+GK12+GM12+GO12+GQ12+GS12+GU12+GW12+GY12+HA12+HC12+HE12+HG12+HI12+HK12+HM12+HO12+HQ12+HS12+HU12+HW12+HY12+IA12+IC12+IE12+IG12+II12+IK12+IM12+IO12+IQ12+IS12+IU12+IW12+IY12+JA12+JC12+JE12+JG12+JI12+JK12+JM12+KA12+CK12+CM12+CO12+CQ12+CS12+CU12+CW12+CY12+EY12+FA12+FC12+FE12+FG12+FI12+FK12+FM12</f>
        <v/>
      </c>
      <c r="KD12" s="44">
        <f>JO12+JQ12+JS12+JU12+JW12+JY12</f>
        <v/>
      </c>
      <c r="KE12" s="45">
        <f>KB12=E12</f>
        <v/>
      </c>
      <c r="KF12" s="101">
        <f>E12-KB12</f>
        <v/>
      </c>
    </row>
    <row r="13" ht="21.75" customFormat="1" customHeight="1" s="13">
      <c r="A13" s="126">
        <f>A12+1</f>
        <v/>
      </c>
      <c r="B13" s="175" t="inlineStr">
        <is>
          <t>Будников К.С.</t>
        </is>
      </c>
      <c r="C13" s="194" t="inlineStr">
        <is>
          <t>токарь</t>
        </is>
      </c>
      <c r="D13" s="177">
        <f>$D$5</f>
        <v/>
      </c>
      <c r="E13" s="202" t="n"/>
      <c r="F13" s="178" t="n">
        <v>101150.45</v>
      </c>
      <c r="G13" s="52">
        <f>F13/D13</f>
        <v/>
      </c>
      <c r="H13" s="125" t="n"/>
      <c r="I13" s="107">
        <f>H13*100/$E$13</f>
        <v/>
      </c>
      <c r="J13" s="108" t="n"/>
      <c r="K13" s="107">
        <f>J13*100/$E$13</f>
        <v/>
      </c>
      <c r="L13" s="108" t="n"/>
      <c r="M13" s="107">
        <f>L13*100/$E$13</f>
        <v/>
      </c>
      <c r="N13" s="108" t="n"/>
      <c r="O13" s="107">
        <f>N13*100/$E$13</f>
        <v/>
      </c>
      <c r="P13" s="108" t="n"/>
      <c r="Q13" s="122">
        <f>P13*100/$E$13</f>
        <v/>
      </c>
      <c r="R13" s="108" t="n"/>
      <c r="S13" s="122">
        <f>R13*100/$E$13</f>
        <v/>
      </c>
      <c r="T13" s="108" t="n"/>
      <c r="U13" s="107">
        <f>T13*100/$E$13</f>
        <v/>
      </c>
      <c r="V13" s="108" t="n"/>
      <c r="W13" s="107">
        <f>V13*100/$E$13</f>
        <v/>
      </c>
      <c r="X13" s="108" t="n"/>
      <c r="Y13" s="107">
        <f>X13*100/$E$13</f>
        <v/>
      </c>
      <c r="Z13" s="108" t="n"/>
      <c r="AA13" s="107">
        <f>Z13*100/$E$13</f>
        <v/>
      </c>
      <c r="AB13" s="108" t="n"/>
      <c r="AC13" s="107">
        <f>AB13*100/$E$13</f>
        <v/>
      </c>
      <c r="AD13" s="108" t="n"/>
      <c r="AE13" s="122">
        <f>AD13*100/$E$13</f>
        <v/>
      </c>
      <c r="AF13" s="108" t="n"/>
      <c r="AG13" s="122">
        <f>AF13*100/$E$13</f>
        <v/>
      </c>
      <c r="AH13" s="108" t="n"/>
      <c r="AI13" s="107">
        <f>AH13*100/$E$13</f>
        <v/>
      </c>
      <c r="AJ13" s="108" t="n"/>
      <c r="AK13" s="107">
        <f>AJ13*100/$E$13</f>
        <v/>
      </c>
      <c r="AL13" s="108" t="n"/>
      <c r="AM13" s="107">
        <f>AL13*100/$E$13</f>
        <v/>
      </c>
      <c r="AN13" s="108" t="n"/>
      <c r="AO13" s="107">
        <f>AN13*100/$E$13</f>
        <v/>
      </c>
      <c r="AP13" s="108" t="n"/>
      <c r="AQ13" s="107">
        <f>AP13*100/$E$13</f>
        <v/>
      </c>
      <c r="AR13" s="108" t="n"/>
      <c r="AS13" s="107">
        <f>AR13*100/$E$13</f>
        <v/>
      </c>
      <c r="AT13" s="108" t="n"/>
      <c r="AU13" s="90">
        <f>AT13*100/$E$13</f>
        <v/>
      </c>
      <c r="AV13" s="108" t="n"/>
      <c r="AW13" s="107">
        <f>AV13*100/$E$13</f>
        <v/>
      </c>
      <c r="AX13" s="108" t="n"/>
      <c r="AY13" s="107">
        <f>AX13*100/$E$13</f>
        <v/>
      </c>
      <c r="AZ13" s="108" t="n"/>
      <c r="BA13" s="107">
        <f>AZ13*100/$E$13</f>
        <v/>
      </c>
      <c r="BB13" s="108" t="n"/>
      <c r="BC13" s="107">
        <f>BB13*100/$E$13</f>
        <v/>
      </c>
      <c r="BD13" s="108" t="n"/>
      <c r="BE13" s="107">
        <f>BD13*100/$E$13</f>
        <v/>
      </c>
      <c r="BF13" s="108" t="n"/>
      <c r="BG13" s="107">
        <f>BF13*100/$E$13</f>
        <v/>
      </c>
      <c r="BH13" s="108" t="n"/>
      <c r="BI13" s="107">
        <f>BH13*100/$E$13</f>
        <v/>
      </c>
      <c r="BJ13" s="108" t="n"/>
      <c r="BK13" s="107">
        <f>BJ13*100/$E$13</f>
        <v/>
      </c>
      <c r="BL13" s="108" t="n"/>
      <c r="BM13" s="107">
        <f>BL13*100/$E$13</f>
        <v/>
      </c>
      <c r="BN13" s="108" t="n"/>
      <c r="BO13" s="107">
        <f>BN13*100/$E$13</f>
        <v/>
      </c>
      <c r="BP13" s="108" t="n"/>
      <c r="BQ13" s="107">
        <f>BP13*100/$E$13</f>
        <v/>
      </c>
      <c r="BR13" s="108" t="n"/>
      <c r="BS13" s="107">
        <f>BR13*100/$E$13</f>
        <v/>
      </c>
      <c r="BT13" s="108" t="n"/>
      <c r="BU13" s="107">
        <f>BT13*100/$E$13</f>
        <v/>
      </c>
      <c r="BV13" s="108" t="n"/>
      <c r="BW13" s="107">
        <f>BV13*100/$E$13</f>
        <v/>
      </c>
      <c r="BX13" s="108" t="n"/>
      <c r="BY13" s="107">
        <f>BX13*100/$E$13</f>
        <v/>
      </c>
      <c r="BZ13" s="108" t="n"/>
      <c r="CA13" s="107">
        <f>BZ13*100/$E$13</f>
        <v/>
      </c>
      <c r="CB13" s="108" t="n"/>
      <c r="CC13" s="107">
        <f>CB13*100/$E$13</f>
        <v/>
      </c>
      <c r="CD13" s="108" t="n"/>
      <c r="CE13" s="107">
        <f>CD13*100/$E$13</f>
        <v/>
      </c>
      <c r="CF13" s="108" t="n"/>
      <c r="CG13" s="107">
        <f>CF13*100/$E$13</f>
        <v/>
      </c>
      <c r="CH13" s="108" t="n"/>
      <c r="CI13" s="107">
        <f>CH13*100/$E$13</f>
        <v/>
      </c>
      <c r="CJ13" s="108" t="n"/>
      <c r="CK13" s="107">
        <f>CJ13*100/$E$13</f>
        <v/>
      </c>
      <c r="CL13" s="108" t="n"/>
      <c r="CM13" s="107">
        <f>CL13*100/$E$13</f>
        <v/>
      </c>
      <c r="CN13" s="108" t="n"/>
      <c r="CO13" s="122">
        <f>CN13*100/$E$13</f>
        <v/>
      </c>
      <c r="CP13" s="108" t="n"/>
      <c r="CQ13" s="107">
        <f>CP13*100/$E$13</f>
        <v/>
      </c>
      <c r="CR13" s="108" t="n"/>
      <c r="CS13" s="122">
        <f>CR13*100/$E$13</f>
        <v/>
      </c>
      <c r="CT13" s="108" t="n"/>
      <c r="CU13" s="122">
        <f>CT13*100/$E$13</f>
        <v/>
      </c>
      <c r="CV13" s="108" t="n"/>
      <c r="CW13" s="122">
        <f>CV13*100/$E$13</f>
        <v/>
      </c>
      <c r="CX13" s="108" t="n"/>
      <c r="CY13" s="122">
        <f>CX13*100/$E$13</f>
        <v/>
      </c>
      <c r="CZ13" s="108" t="n"/>
      <c r="DA13" s="122">
        <f>CZ13*100/$E$13</f>
        <v/>
      </c>
      <c r="DB13" s="108" t="n"/>
      <c r="DC13" s="122">
        <f>DB13*100/$E$13</f>
        <v/>
      </c>
      <c r="DD13" s="108" t="n"/>
      <c r="DE13" s="122">
        <f>DD13*100/$E$13</f>
        <v/>
      </c>
      <c r="DF13" s="108" t="n"/>
      <c r="DG13" s="122">
        <f>DF13*100/$E$13</f>
        <v/>
      </c>
      <c r="DH13" s="108" t="n"/>
      <c r="DI13" s="122">
        <f>DH13*100/$E$13</f>
        <v/>
      </c>
      <c r="DJ13" s="108" t="n"/>
      <c r="DK13" s="122">
        <f>DJ13*100/$E$13</f>
        <v/>
      </c>
      <c r="DL13" s="108" t="n"/>
      <c r="DM13" s="122">
        <f>DL13*100/$E$13</f>
        <v/>
      </c>
      <c r="DN13" s="108" t="n"/>
      <c r="DO13" s="122">
        <f>DN13*100/$E$13</f>
        <v/>
      </c>
      <c r="DP13" s="108" t="n"/>
      <c r="DQ13" s="122">
        <f>DP13*100/$E$13</f>
        <v/>
      </c>
      <c r="DR13" s="108" t="n"/>
      <c r="DS13" s="122">
        <f>DR13*100/$E$13</f>
        <v/>
      </c>
      <c r="DT13" s="108" t="n"/>
      <c r="DU13" s="122">
        <f>DT13*100/$E$13</f>
        <v/>
      </c>
      <c r="DV13" s="108" t="n"/>
      <c r="DW13" s="122">
        <f>DV13*100/$E$13</f>
        <v/>
      </c>
      <c r="DX13" s="108" t="n"/>
      <c r="DY13" s="122">
        <f>DX13*100/$E$13</f>
        <v/>
      </c>
      <c r="DZ13" s="108" t="n"/>
      <c r="EA13" s="122">
        <f>DZ13*100/$E$13</f>
        <v/>
      </c>
      <c r="EB13" s="108" t="n"/>
      <c r="EC13" s="122">
        <f>EB13*100/$E$13</f>
        <v/>
      </c>
      <c r="ED13" s="108" t="n"/>
      <c r="EE13" s="122">
        <f>ED13*100/$E$13</f>
        <v/>
      </c>
      <c r="EF13" s="108" t="n"/>
      <c r="EG13" s="122">
        <f>EF13*100/$E$13</f>
        <v/>
      </c>
      <c r="EH13" s="108" t="n"/>
      <c r="EI13" s="122">
        <f>EH13*100/$E$13</f>
        <v/>
      </c>
      <c r="EJ13" s="108" t="n"/>
      <c r="EK13" s="122">
        <f>EJ13*100/$E$13</f>
        <v/>
      </c>
      <c r="EL13" s="108" t="n"/>
      <c r="EM13" s="122">
        <f>EL13*100/$E$13</f>
        <v/>
      </c>
      <c r="EN13" s="108" t="n"/>
      <c r="EO13" s="122">
        <f>EN13*100/$E$13</f>
        <v/>
      </c>
      <c r="EP13" s="108" t="n"/>
      <c r="EQ13" s="122">
        <f>EP13*100/$E$13</f>
        <v/>
      </c>
      <c r="ER13" s="108" t="n"/>
      <c r="ES13" s="122">
        <f>ER13*100/$E$13</f>
        <v/>
      </c>
      <c r="ET13" s="108" t="n"/>
      <c r="EU13" s="122">
        <f>ET13*100/$E$13</f>
        <v/>
      </c>
      <c r="EV13" s="108" t="n"/>
      <c r="EW13" s="122">
        <f>EV13*100/$E$13</f>
        <v/>
      </c>
      <c r="EX13" s="108" t="n"/>
      <c r="EY13" s="122">
        <f>EX13*100/$E$13</f>
        <v/>
      </c>
      <c r="EZ13" s="108" t="n"/>
      <c r="FA13" s="122">
        <f>EZ13*100/$E$13</f>
        <v/>
      </c>
      <c r="FB13" s="108" t="n"/>
      <c r="FC13" s="122">
        <f>FB13*100/$E$13</f>
        <v/>
      </c>
      <c r="FD13" s="108" t="n"/>
      <c r="FE13" s="122">
        <f>FD13*100/$E$13</f>
        <v/>
      </c>
      <c r="FF13" s="108" t="n"/>
      <c r="FG13" s="122">
        <f>FF13*100/$E$13</f>
        <v/>
      </c>
      <c r="FH13" s="108" t="n"/>
      <c r="FI13" s="122">
        <f>FH13*100/$E$13</f>
        <v/>
      </c>
      <c r="FJ13" s="108" t="n"/>
      <c r="FK13" s="122">
        <f>FJ13*100/$E$13</f>
        <v/>
      </c>
      <c r="FL13" s="108" t="n"/>
      <c r="FM13" s="122">
        <f>FL13*100/$E$13</f>
        <v/>
      </c>
      <c r="FN13" s="108" t="n"/>
      <c r="FO13" s="122">
        <f>FN13*100/$E$13</f>
        <v/>
      </c>
      <c r="FP13" s="108" t="n"/>
      <c r="FQ13" s="122">
        <f>FP13*100/$E$13</f>
        <v/>
      </c>
      <c r="FR13" s="108" t="n"/>
      <c r="FS13" s="122">
        <f>FR13*100/$E$13</f>
        <v/>
      </c>
      <c r="FT13" s="108" t="n"/>
      <c r="FU13" s="122">
        <f>FT13*100/$E$13</f>
        <v/>
      </c>
      <c r="FV13" s="108" t="n"/>
      <c r="FW13" s="122">
        <f>FV13*100/$E$13</f>
        <v/>
      </c>
      <c r="FX13" s="108" t="n"/>
      <c r="FY13" s="107">
        <f>FX13*100/$E$13</f>
        <v/>
      </c>
      <c r="FZ13" s="108" t="n"/>
      <c r="GA13" s="107">
        <f>FZ13*100/$E$13</f>
        <v/>
      </c>
      <c r="GB13" s="108" t="n"/>
      <c r="GC13" s="107">
        <f>GB13*100/$E$13</f>
        <v/>
      </c>
      <c r="GD13" s="108" t="n"/>
      <c r="GE13" s="107">
        <f>GD13*100/$E$13</f>
        <v/>
      </c>
      <c r="GF13" s="108" t="n"/>
      <c r="GG13" s="107">
        <f>GF13*100/$E$13</f>
        <v/>
      </c>
      <c r="GH13" s="108" t="n"/>
      <c r="GI13" s="107">
        <f>GH13*100/$E$13</f>
        <v/>
      </c>
      <c r="GJ13" s="108" t="n"/>
      <c r="GK13" s="122">
        <f>GJ13*100/$E$13</f>
        <v/>
      </c>
      <c r="GL13" s="108" t="n"/>
      <c r="GM13" s="107">
        <f>GL13*100/$E$13</f>
        <v/>
      </c>
      <c r="GN13" s="108" t="n"/>
      <c r="GO13" s="122">
        <f>GN13*100/$E$13</f>
        <v/>
      </c>
      <c r="GP13" s="108" t="n"/>
      <c r="GQ13" s="107">
        <f>GP13*100/$E$13</f>
        <v/>
      </c>
      <c r="GR13" s="108" t="n"/>
      <c r="GS13" s="122">
        <f>GR13*100/$E$13</f>
        <v/>
      </c>
      <c r="GT13" s="108" t="n"/>
      <c r="GU13" s="122">
        <f>GT13*100/$E$13</f>
        <v/>
      </c>
      <c r="GV13" s="108" t="n"/>
      <c r="GW13" s="122">
        <f>GV13*100/$E$13</f>
        <v/>
      </c>
      <c r="GX13" s="108" t="n"/>
      <c r="GY13" s="107">
        <f>GX13*100/$E$13</f>
        <v/>
      </c>
      <c r="GZ13" s="108" t="n"/>
      <c r="HA13" s="107">
        <f>GZ13*100/$E$13</f>
        <v/>
      </c>
      <c r="HB13" s="108" t="n"/>
      <c r="HC13" s="107">
        <f>HB13*100/$E$13</f>
        <v/>
      </c>
      <c r="HD13" s="108" t="n"/>
      <c r="HE13" s="107">
        <f>HD13*100/$E$13</f>
        <v/>
      </c>
      <c r="HF13" s="108" t="n"/>
      <c r="HG13" s="107">
        <f>HF13*100/$E$13</f>
        <v/>
      </c>
      <c r="HH13" s="108" t="n"/>
      <c r="HI13" s="107">
        <f>HH13*100/$E$13</f>
        <v/>
      </c>
      <c r="HJ13" s="108" t="n"/>
      <c r="HK13" s="107">
        <f>HJ13*100/$E$13</f>
        <v/>
      </c>
      <c r="HL13" s="108" t="n"/>
      <c r="HM13" s="107">
        <f>HL13*100/$E$13</f>
        <v/>
      </c>
      <c r="HN13" s="108" t="n"/>
      <c r="HO13" s="107">
        <f>HN13*100/$E$13</f>
        <v/>
      </c>
      <c r="HP13" s="108" t="n"/>
      <c r="HQ13" s="107">
        <f>HP13*100/$E$13</f>
        <v/>
      </c>
      <c r="HR13" s="108" t="n"/>
      <c r="HS13" s="107">
        <f>HR13*100/$E$13</f>
        <v/>
      </c>
      <c r="HT13" s="108" t="n"/>
      <c r="HU13" s="107">
        <f>HT13*100/$E$13</f>
        <v/>
      </c>
      <c r="HV13" s="108" t="n"/>
      <c r="HW13" s="107">
        <f>HV13*100/$E$13</f>
        <v/>
      </c>
      <c r="HX13" s="108" t="n"/>
      <c r="HY13" s="107">
        <f>HX13*100/$E$13</f>
        <v/>
      </c>
      <c r="HZ13" s="108" t="n"/>
      <c r="IA13" s="122">
        <f>HZ13*100/$E$13</f>
        <v/>
      </c>
      <c r="IB13" s="108" t="n"/>
      <c r="IC13" s="122">
        <f>IB13*100/$E$13</f>
        <v/>
      </c>
      <c r="ID13" s="108" t="n"/>
      <c r="IE13" s="122">
        <f>ID13*100/$E$13</f>
        <v/>
      </c>
      <c r="IF13" s="108" t="n"/>
      <c r="IG13" s="122">
        <f>IF13*100/$E$13</f>
        <v/>
      </c>
      <c r="IH13" s="108" t="n"/>
      <c r="II13" s="122">
        <f>IH13*100/$E$13</f>
        <v/>
      </c>
      <c r="IJ13" s="108" t="n"/>
      <c r="IK13" s="122">
        <f>IJ13*100/$E$13</f>
        <v/>
      </c>
      <c r="IL13" s="108" t="n"/>
      <c r="IM13" s="107">
        <f>IL13*100/$E$13</f>
        <v/>
      </c>
      <c r="IN13" s="108" t="n"/>
      <c r="IO13" s="107">
        <f>IN13*100/$E$13</f>
        <v/>
      </c>
      <c r="IP13" s="108" t="n"/>
      <c r="IQ13" s="122">
        <f>IP13*100/$E$13</f>
        <v/>
      </c>
      <c r="IR13" s="108" t="n"/>
      <c r="IS13" s="122">
        <f>IR13*100/$E$13</f>
        <v/>
      </c>
      <c r="IT13" s="108" t="n"/>
      <c r="IU13" s="122">
        <f>IT13*100/$E$13</f>
        <v/>
      </c>
      <c r="IV13" s="108" t="n"/>
      <c r="IW13" s="122">
        <f>IV13*100/$E$13</f>
        <v/>
      </c>
      <c r="IX13" s="108" t="n"/>
      <c r="IY13" s="122">
        <f>IX13*100/$E$13</f>
        <v/>
      </c>
      <c r="IZ13" s="108" t="n"/>
      <c r="JA13" s="122">
        <f>IZ13*100/$E$13</f>
        <v/>
      </c>
      <c r="JB13" s="108" t="n"/>
      <c r="JC13" s="122">
        <f>JB13*100/$E$13</f>
        <v/>
      </c>
      <c r="JD13" s="108" t="n"/>
      <c r="JE13" s="122">
        <f>JD13*100/$E$13</f>
        <v/>
      </c>
      <c r="JF13" s="108" t="n"/>
      <c r="JG13" s="122">
        <f>JF13*100/$E$13</f>
        <v/>
      </c>
      <c r="JH13" s="108" t="n"/>
      <c r="JI13" s="122">
        <f>JH13*100/$E$13</f>
        <v/>
      </c>
      <c r="JJ13" s="108" t="n"/>
      <c r="JK13" s="122">
        <f>JJ13*100/$E$13</f>
        <v/>
      </c>
      <c r="JL13" s="108" t="n"/>
      <c r="JM13" s="122">
        <f>JL13*100/$E$13</f>
        <v/>
      </c>
      <c r="JN13" s="108" t="n"/>
      <c r="JO13" s="122">
        <f>JN13*100/$E$13</f>
        <v/>
      </c>
      <c r="JP13" s="108" t="n"/>
      <c r="JQ13" s="122">
        <f>JP13*100/$E$13</f>
        <v/>
      </c>
      <c r="JR13" s="108" t="n"/>
      <c r="JS13" s="122">
        <f>JR13*100/$E$13</f>
        <v/>
      </c>
      <c r="JT13" s="108" t="n"/>
      <c r="JU13" s="122">
        <f>JT13*100/$E$13</f>
        <v/>
      </c>
      <c r="JV13" s="108" t="n"/>
      <c r="JW13" s="122">
        <f>JV13*100/$E$13</f>
        <v/>
      </c>
      <c r="JX13" s="108" t="n"/>
      <c r="JY13" s="122">
        <f>JX13*100/$E$13</f>
        <v/>
      </c>
      <c r="JZ13" s="55">
        <f>JN13+JP13+JR13+JT13+JV13+JX13</f>
        <v/>
      </c>
      <c r="KA13" s="53">
        <f>JO13+JQ13+JS13+JU13+JW13+JY13</f>
        <v/>
      </c>
      <c r="KB13" s="64">
        <f>H13+J13+L13+N13+P13+R13+T13+V13+X13+Z13+AB13+AD13+AF13+AH13+AJ13+AL13+AN13+AP13+AR13+AT13+AV13+AX13+AZ13+BB13+BD13+BF13+BH13+BJ13+BL13+BN13+BP13+BR13+BT13+BV13+BX13+BZ13+CB13+CD13+CF13+CH13+CZ13+DB13+DD13+DF13+DH13+DJ13+DL13+DN13+DP13+DR13+DT13+DV13+DX13+DZ13+EB13+ED13+EF13+EH13+EJ13+EL13+EN13+EP13+ER13+ET13+EV13+FN13+FP13+FR13+FT13+FV13+FX13+FZ13+GB13+GD13+GF13+GH13+GJ13+GL13+GN13+GP13+GR13+GT13+GV13+GX13+GZ13+HB13+HD13+HF13+HH13+HJ13+HL13+HN13+HP13+HR13+HT13+HV13+HX13+HZ13+IB13+ID13+IF13+IH13+IJ13+IL13+IN13+IP13+IR13+IT13+IV13+IX13+IZ13+JB13+JD13+JF13+JH13+JJ13+JL13+JZ13+CJ13+CL13+CN13+CP13+CR13+CT13+CV13+CX13+EX13+EZ13+FB13+FD13+FF13+FH13+FJ13+FL13</f>
        <v/>
      </c>
      <c r="KC13" s="66">
        <f>I13+K13+M13+O13+Q13+S13+U13+W13+Y13+AA13+AC13+AE13+AG13+AI13+AK13+AM13+AO13+AQ13+AS13+AU13+AW13+AY13+BA13+BC13+BE13+BG13+BI13+BK13+BM13+BO13+BQ13+BS13+BU13+BW13+BY13+CA13+CC13+CE13+CG13+CI13+DA13+DC13+DE13+DG13+DI13+DK13+DM13+DO13+DQ13+DS13+DU13+DW13+DY13+EA13+EC13+EE13+EG13+EI13+EK13+EM13+EO13+EQ13+ES13+EU13+EW13+FO13+FS13+FU13+FW13+FQ13+FY13+GA13+GC13+GE13+GG13+GI13+GK13+GM13+GO13+GQ13+GS13+GU13+GW13+GY13+HA13+HC13+HE13+HG13+HI13+HK13+HM13+HO13+HQ13+HS13+HU13+HW13+HY13+IA13+IC13+IE13+IG13+II13+IK13+IM13+IO13+IQ13+IS13+IU13+IW13+IY13+JA13+JC13+JE13+JG13+JI13+JK13+JM13+KA13+CK13+CM13+CO13+CQ13+CS13+CU13+CW13+CY13+EY13+FA13+FC13+FE13+FG13+FI13+FK13+FM13</f>
        <v/>
      </c>
      <c r="KD13" s="44">
        <f>JO13+JQ13+JS13+JU13+JW13+JY13</f>
        <v/>
      </c>
      <c r="KE13" s="45">
        <f>KB13=E13</f>
        <v/>
      </c>
      <c r="KF13" s="101">
        <f>E13-KB13</f>
        <v/>
      </c>
      <c r="KG13" s="12" t="n"/>
      <c r="KH13" s="23" t="n"/>
      <c r="KI13" s="23" t="n"/>
      <c r="KJ13" s="23" t="n"/>
      <c r="KK13" s="23" t="n"/>
      <c r="KL13" s="23" t="n"/>
      <c r="KM13" s="23" t="n"/>
      <c r="KN13" s="23" t="n"/>
      <c r="KO13" s="23" t="n"/>
    </row>
    <row r="14" ht="21.75" customFormat="1" customHeight="1" s="23">
      <c r="A14" s="126">
        <f>A13+1</f>
        <v/>
      </c>
      <c r="B14" s="175" t="inlineStr">
        <is>
          <t>Войко А.Л.</t>
        </is>
      </c>
      <c r="C14" s="194" t="inlineStr">
        <is>
          <t>Фрезеровщик</t>
        </is>
      </c>
      <c r="D14" s="177">
        <f>$D$5</f>
        <v/>
      </c>
      <c r="E14" s="202" t="n"/>
      <c r="F14" s="191" t="n">
        <v>101150.05</v>
      </c>
      <c r="G14" s="52">
        <f>F14/D14</f>
        <v/>
      </c>
      <c r="H14" s="125" t="n"/>
      <c r="I14" s="107">
        <f>H14*100/$E$14</f>
        <v/>
      </c>
      <c r="J14" s="108" t="n"/>
      <c r="K14" s="107">
        <f>J14*100/$E$14</f>
        <v/>
      </c>
      <c r="L14" s="108" t="n"/>
      <c r="M14" s="107">
        <f>L14*100/$E$14</f>
        <v/>
      </c>
      <c r="N14" s="108" t="n"/>
      <c r="O14" s="107">
        <f>N14*100/$E$14</f>
        <v/>
      </c>
      <c r="P14" s="108" t="n"/>
      <c r="Q14" s="122">
        <f>P14*100/$E$14</f>
        <v/>
      </c>
      <c r="R14" s="108" t="n"/>
      <c r="S14" s="107">
        <f>R14*100/$E$14</f>
        <v/>
      </c>
      <c r="T14" s="108" t="n"/>
      <c r="U14" s="107">
        <f>T14*100/$E$14</f>
        <v/>
      </c>
      <c r="V14" s="108" t="n"/>
      <c r="W14" s="107">
        <f>V14*100/$E$14</f>
        <v/>
      </c>
      <c r="X14" s="108" t="n"/>
      <c r="Y14" s="107">
        <f>X14*100/$E$14</f>
        <v/>
      </c>
      <c r="Z14" s="108" t="n"/>
      <c r="AA14" s="107">
        <f>Z14*100/$E$14</f>
        <v/>
      </c>
      <c r="AB14" s="108" t="n"/>
      <c r="AC14" s="107">
        <f>AB14*100/$E$14</f>
        <v/>
      </c>
      <c r="AD14" s="108" t="n"/>
      <c r="AE14" s="107">
        <f>AD14*100/$E$14</f>
        <v/>
      </c>
      <c r="AF14" s="108" t="n"/>
      <c r="AG14" s="107">
        <f>AF14*100/$E$14</f>
        <v/>
      </c>
      <c r="AH14" s="108" t="n"/>
      <c r="AI14" s="107">
        <f>AH14*100/$E$14</f>
        <v/>
      </c>
      <c r="AJ14" s="108" t="n"/>
      <c r="AK14" s="107">
        <f>AJ14*100/$E$14</f>
        <v/>
      </c>
      <c r="AL14" s="108" t="n"/>
      <c r="AM14" s="107">
        <f>AL14*100/$E$14</f>
        <v/>
      </c>
      <c r="AN14" s="108" t="n"/>
      <c r="AO14" s="107">
        <f>AN14*100/$E$14</f>
        <v/>
      </c>
      <c r="AP14" s="108" t="n"/>
      <c r="AQ14" s="107">
        <f>AP14*100/$E$14</f>
        <v/>
      </c>
      <c r="AR14" s="108" t="n"/>
      <c r="AS14" s="107">
        <f>AR14*100/$E$14</f>
        <v/>
      </c>
      <c r="AT14" s="108" t="n"/>
      <c r="AU14" s="90">
        <f>AT14*100/$E$14</f>
        <v/>
      </c>
      <c r="AV14" s="108" t="n"/>
      <c r="AW14" s="107">
        <f>AV14*100/$E$14</f>
        <v/>
      </c>
      <c r="AX14" s="108" t="n"/>
      <c r="AY14" s="107">
        <f>AX14*100/$E$14</f>
        <v/>
      </c>
      <c r="AZ14" s="108" t="n"/>
      <c r="BA14" s="107">
        <f>AZ14*100/$E$14</f>
        <v/>
      </c>
      <c r="BB14" s="108" t="n"/>
      <c r="BC14" s="107">
        <f>BB14*100/$E$14</f>
        <v/>
      </c>
      <c r="BD14" s="108" t="n"/>
      <c r="BE14" s="107">
        <f>BD14*100/$E$14</f>
        <v/>
      </c>
      <c r="BF14" s="108" t="n"/>
      <c r="BG14" s="107">
        <f>BF14*100/$E$14</f>
        <v/>
      </c>
      <c r="BH14" s="108" t="n"/>
      <c r="BI14" s="107">
        <f>BH14*100/$E$14</f>
        <v/>
      </c>
      <c r="BJ14" s="108" t="n"/>
      <c r="BK14" s="107">
        <f>BJ14*100/$E$14</f>
        <v/>
      </c>
      <c r="BL14" s="108" t="n"/>
      <c r="BM14" s="107">
        <f>BL14*100/$E$14</f>
        <v/>
      </c>
      <c r="BN14" s="108" t="n"/>
      <c r="BO14" s="107">
        <f>BN14*100/$E$14</f>
        <v/>
      </c>
      <c r="BP14" s="108" t="n"/>
      <c r="BQ14" s="107">
        <f>BP14*100/$E$14</f>
        <v/>
      </c>
      <c r="BR14" s="108" t="n"/>
      <c r="BS14" s="107">
        <f>BR14*100/$E$14</f>
        <v/>
      </c>
      <c r="BT14" s="108" t="n"/>
      <c r="BU14" s="107">
        <f>BT14*100/$E$14</f>
        <v/>
      </c>
      <c r="BV14" s="108" t="n"/>
      <c r="BW14" s="107">
        <f>BV14*100/$E$14</f>
        <v/>
      </c>
      <c r="BX14" s="108" t="n"/>
      <c r="BY14" s="107">
        <f>BX14*100/$E$14</f>
        <v/>
      </c>
      <c r="BZ14" s="108" t="n"/>
      <c r="CA14" s="107">
        <f>BZ14*100/$E$14</f>
        <v/>
      </c>
      <c r="CB14" s="108" t="n"/>
      <c r="CC14" s="107">
        <f>CB14*100/$E$14</f>
        <v/>
      </c>
      <c r="CD14" s="108" t="n"/>
      <c r="CE14" s="107">
        <f>CD14*100/$E$14</f>
        <v/>
      </c>
      <c r="CF14" s="108" t="n"/>
      <c r="CG14" s="107">
        <f>CF14*100/$E$14</f>
        <v/>
      </c>
      <c r="CH14" s="108" t="n"/>
      <c r="CI14" s="107">
        <f>CH14*100/$E$14</f>
        <v/>
      </c>
      <c r="CJ14" s="108" t="n"/>
      <c r="CK14" s="107">
        <f>CJ14*100/$E$14</f>
        <v/>
      </c>
      <c r="CL14" s="108" t="n"/>
      <c r="CM14" s="107">
        <f>CL14*100/$E$14</f>
        <v/>
      </c>
      <c r="CN14" s="108" t="n"/>
      <c r="CO14" s="122">
        <f>CN14*100/$E$14</f>
        <v/>
      </c>
      <c r="CP14" s="108" t="n"/>
      <c r="CQ14" s="107">
        <f>CP14*100/$E$14</f>
        <v/>
      </c>
      <c r="CR14" s="108" t="n"/>
      <c r="CS14" s="122">
        <f>CR14*100/$E$14</f>
        <v/>
      </c>
      <c r="CT14" s="108" t="n"/>
      <c r="CU14" s="122">
        <f>CT14*100/$E$14</f>
        <v/>
      </c>
      <c r="CV14" s="108" t="n"/>
      <c r="CW14" s="122">
        <f>CV14*100/$E$14</f>
        <v/>
      </c>
      <c r="CX14" s="108" t="n"/>
      <c r="CY14" s="122">
        <f>CX14*100/$E$14</f>
        <v/>
      </c>
      <c r="CZ14" s="108" t="n"/>
      <c r="DA14" s="122">
        <f>CZ14*100/$E$14</f>
        <v/>
      </c>
      <c r="DB14" s="108" t="n"/>
      <c r="DC14" s="122">
        <f>DB14*100/$E$14</f>
        <v/>
      </c>
      <c r="DD14" s="108" t="n"/>
      <c r="DE14" s="122">
        <f>DD14*100/$E$14</f>
        <v/>
      </c>
      <c r="DF14" s="108" t="n"/>
      <c r="DG14" s="122">
        <f>DF14*100/$E$14</f>
        <v/>
      </c>
      <c r="DH14" s="108" t="n"/>
      <c r="DI14" s="122">
        <f>DH14*100/$E$14</f>
        <v/>
      </c>
      <c r="DJ14" s="108" t="n"/>
      <c r="DK14" s="122">
        <f>DJ14*100/$E$14</f>
        <v/>
      </c>
      <c r="DL14" s="108" t="n"/>
      <c r="DM14" s="122">
        <f>DL14*100/$E$14</f>
        <v/>
      </c>
      <c r="DN14" s="108" t="n"/>
      <c r="DO14" s="122">
        <f>DN14*100/$E$14</f>
        <v/>
      </c>
      <c r="DP14" s="108" t="n"/>
      <c r="DQ14" s="122">
        <f>DP14*100/$E$14</f>
        <v/>
      </c>
      <c r="DR14" s="108" t="n"/>
      <c r="DS14" s="107">
        <f>DR14*100/$E$14</f>
        <v/>
      </c>
      <c r="DT14" s="108" t="n"/>
      <c r="DU14" s="122">
        <f>DT14*100/$E$14</f>
        <v/>
      </c>
      <c r="DV14" s="108" t="n"/>
      <c r="DW14" s="122">
        <f>DV14*100/$E$14</f>
        <v/>
      </c>
      <c r="DX14" s="108" t="n"/>
      <c r="DY14" s="122">
        <f>DX14*100/$E$14</f>
        <v/>
      </c>
      <c r="DZ14" s="108" t="n"/>
      <c r="EA14" s="122">
        <f>DZ14*100/$E$14</f>
        <v/>
      </c>
      <c r="EB14" s="108" t="n"/>
      <c r="EC14" s="122">
        <f>EB14*100/$E$14</f>
        <v/>
      </c>
      <c r="ED14" s="108" t="n"/>
      <c r="EE14" s="122">
        <f>ED14*100/$E$14</f>
        <v/>
      </c>
      <c r="EF14" s="108" t="n"/>
      <c r="EG14" s="122">
        <f>EF14*100/$E$14</f>
        <v/>
      </c>
      <c r="EH14" s="108" t="n"/>
      <c r="EI14" s="107">
        <f>EH14*100/$E$14</f>
        <v/>
      </c>
      <c r="EJ14" s="108" t="n"/>
      <c r="EK14" s="107">
        <f>EJ14*100/$E$14</f>
        <v/>
      </c>
      <c r="EL14" s="108" t="n"/>
      <c r="EM14" s="107">
        <f>EL14*100/$E$14</f>
        <v/>
      </c>
      <c r="EN14" s="108" t="n"/>
      <c r="EO14" s="107">
        <f>EN14*100/$E$14</f>
        <v/>
      </c>
      <c r="EP14" s="108" t="n"/>
      <c r="EQ14" s="107">
        <f>EP14*100/$E$14</f>
        <v/>
      </c>
      <c r="ER14" s="108" t="n"/>
      <c r="ES14" s="107">
        <f>ER14*100/$E$14</f>
        <v/>
      </c>
      <c r="ET14" s="108" t="n"/>
      <c r="EU14" s="107">
        <f>ET14*100/$E$14</f>
        <v/>
      </c>
      <c r="EV14" s="108" t="n"/>
      <c r="EW14" s="122">
        <f>EV14*100/$E$14</f>
        <v/>
      </c>
      <c r="EX14" s="108" t="n"/>
      <c r="EY14" s="122">
        <f>EX14*100/$E$14</f>
        <v/>
      </c>
      <c r="EZ14" s="108" t="n"/>
      <c r="FA14" s="122">
        <f>EZ14*100/$E$14</f>
        <v/>
      </c>
      <c r="FB14" s="108" t="n"/>
      <c r="FC14" s="122">
        <f>FB14*100/$E$14</f>
        <v/>
      </c>
      <c r="FD14" s="108" t="n"/>
      <c r="FE14" s="122">
        <f>FD14*100/$E$14</f>
        <v/>
      </c>
      <c r="FF14" s="108" t="n"/>
      <c r="FG14" s="122">
        <f>FF14*100/$E$14</f>
        <v/>
      </c>
      <c r="FH14" s="108" t="n"/>
      <c r="FI14" s="122">
        <f>FH14*100/$E$14</f>
        <v/>
      </c>
      <c r="FJ14" s="108" t="n"/>
      <c r="FK14" s="122">
        <f>FJ14*100/$E$14</f>
        <v/>
      </c>
      <c r="FL14" s="108" t="n"/>
      <c r="FM14" s="122">
        <f>FL14*100/$E$14</f>
        <v/>
      </c>
      <c r="FN14" s="108" t="n"/>
      <c r="FO14" s="122">
        <f>FN14*100/$E$14</f>
        <v/>
      </c>
      <c r="FP14" s="108" t="n"/>
      <c r="FQ14" s="107">
        <f>FP14*100/$E$14</f>
        <v/>
      </c>
      <c r="FR14" s="108" t="n"/>
      <c r="FS14" s="107">
        <f>FR14*100/$E$14</f>
        <v/>
      </c>
      <c r="FT14" s="108" t="n"/>
      <c r="FU14" s="107">
        <f>FT14*100/$E$14</f>
        <v/>
      </c>
      <c r="FV14" s="108" t="n"/>
      <c r="FW14" s="107">
        <f>FV14*100/$E$14</f>
        <v/>
      </c>
      <c r="FX14" s="108" t="n"/>
      <c r="FY14" s="107">
        <f>FX14*100/$E$14</f>
        <v/>
      </c>
      <c r="FZ14" s="108" t="n"/>
      <c r="GA14" s="107">
        <f>FZ14*100/$E$14</f>
        <v/>
      </c>
      <c r="GB14" s="108" t="n"/>
      <c r="GC14" s="107">
        <f>GB14*100/$E$14</f>
        <v/>
      </c>
      <c r="GD14" s="108" t="n"/>
      <c r="GE14" s="107">
        <f>GD14*100/$E$14</f>
        <v/>
      </c>
      <c r="GF14" s="108" t="n"/>
      <c r="GG14" s="107">
        <f>GF14*100/$E$14</f>
        <v/>
      </c>
      <c r="GH14" s="108" t="n"/>
      <c r="GI14" s="107">
        <f>GH14*100/$E$14</f>
        <v/>
      </c>
      <c r="GJ14" s="108" t="n"/>
      <c r="GK14" s="122">
        <f>GJ14*100/$E$14</f>
        <v/>
      </c>
      <c r="GL14" s="108" t="n"/>
      <c r="GM14" s="107">
        <f>GL14*100/$E$14</f>
        <v/>
      </c>
      <c r="GN14" s="108" t="n"/>
      <c r="GO14" s="122">
        <f>GN14*100/$E$14</f>
        <v/>
      </c>
      <c r="GP14" s="108" t="n"/>
      <c r="GQ14" s="107">
        <f>GP14*100/$E$14</f>
        <v/>
      </c>
      <c r="GR14" s="108" t="n"/>
      <c r="GS14" s="122">
        <f>GR14*100/$E$14</f>
        <v/>
      </c>
      <c r="GT14" s="108" t="n"/>
      <c r="GU14" s="122">
        <f>GT14*100/$E$14</f>
        <v/>
      </c>
      <c r="GV14" s="108" t="n"/>
      <c r="GW14" s="107">
        <f>GV14*100/$E$14</f>
        <v/>
      </c>
      <c r="GX14" s="108" t="n"/>
      <c r="GY14" s="107">
        <f>GX14*100/$E$14</f>
        <v/>
      </c>
      <c r="GZ14" s="108" t="n"/>
      <c r="HA14" s="107">
        <f>GZ14*100/$E$14</f>
        <v/>
      </c>
      <c r="HB14" s="108" t="n"/>
      <c r="HC14" s="107">
        <f>HB14*100/$E$14</f>
        <v/>
      </c>
      <c r="HD14" s="108" t="n"/>
      <c r="HE14" s="107">
        <f>HD14*100/$E$14</f>
        <v/>
      </c>
      <c r="HF14" s="108" t="n"/>
      <c r="HG14" s="107">
        <f>HF14*100/$E$14</f>
        <v/>
      </c>
      <c r="HH14" s="108" t="n"/>
      <c r="HI14" s="107">
        <f>HH14*100/$E$14</f>
        <v/>
      </c>
      <c r="HJ14" s="108" t="n"/>
      <c r="HK14" s="107">
        <f>HJ14*100/$E$14</f>
        <v/>
      </c>
      <c r="HL14" s="108" t="n"/>
      <c r="HM14" s="107">
        <f>HL14*100/$E$14</f>
        <v/>
      </c>
      <c r="HN14" s="108" t="n"/>
      <c r="HO14" s="107">
        <f>HN14*100/$E$14</f>
        <v/>
      </c>
      <c r="HP14" s="108" t="n"/>
      <c r="HQ14" s="107">
        <f>HP14*100/$E$14</f>
        <v/>
      </c>
      <c r="HR14" s="108" t="n"/>
      <c r="HS14" s="107">
        <f>HR14*100/$E$14</f>
        <v/>
      </c>
      <c r="HT14" s="108" t="n"/>
      <c r="HU14" s="107">
        <f>HT14*100/$E$14</f>
        <v/>
      </c>
      <c r="HV14" s="108" t="n"/>
      <c r="HW14" s="107">
        <f>HV14*100/$E$14</f>
        <v/>
      </c>
      <c r="HX14" s="108" t="n"/>
      <c r="HY14" s="107">
        <f>HX14*100/$E$14</f>
        <v/>
      </c>
      <c r="HZ14" s="108" t="n"/>
      <c r="IA14" s="122">
        <f>HZ14*100/$E$14</f>
        <v/>
      </c>
      <c r="IB14" s="108" t="n"/>
      <c r="IC14" s="122">
        <f>IB14*100/$E$14</f>
        <v/>
      </c>
      <c r="ID14" s="108" t="n"/>
      <c r="IE14" s="122">
        <f>ID14*100/$E$14</f>
        <v/>
      </c>
      <c r="IF14" s="108" t="n"/>
      <c r="IG14" s="122">
        <f>IF14*100/$E$14</f>
        <v/>
      </c>
      <c r="IH14" s="108" t="n"/>
      <c r="II14" s="122">
        <f>IH14*100/$E$14</f>
        <v/>
      </c>
      <c r="IJ14" s="108" t="n"/>
      <c r="IK14" s="122">
        <f>IJ14*100/$E$14</f>
        <v/>
      </c>
      <c r="IL14" s="108" t="n"/>
      <c r="IM14" s="107">
        <f>IL14*100/$E$14</f>
        <v/>
      </c>
      <c r="IN14" s="108" t="n"/>
      <c r="IO14" s="107">
        <f>IN14*100/$E$14</f>
        <v/>
      </c>
      <c r="IP14" s="108" t="n"/>
      <c r="IQ14" s="122">
        <f>IP14*100/$E$14</f>
        <v/>
      </c>
      <c r="IR14" s="108" t="n"/>
      <c r="IS14" s="122">
        <f>IR14*100/$E$14</f>
        <v/>
      </c>
      <c r="IT14" s="108" t="n"/>
      <c r="IU14" s="122">
        <f>IT14*100/$E$14</f>
        <v/>
      </c>
      <c r="IV14" s="108" t="n"/>
      <c r="IW14" s="122">
        <f>IV14*100/$E$14</f>
        <v/>
      </c>
      <c r="IX14" s="108" t="n"/>
      <c r="IY14" s="122">
        <f>IX14*100/$E$14</f>
        <v/>
      </c>
      <c r="IZ14" s="108" t="n"/>
      <c r="JA14" s="122">
        <f>IZ14*100/$E$14</f>
        <v/>
      </c>
      <c r="JB14" s="108" t="n"/>
      <c r="JC14" s="122">
        <f>JB14*100/$E$14</f>
        <v/>
      </c>
      <c r="JD14" s="108" t="n"/>
      <c r="JE14" s="122">
        <f>JD14*100/$E$14</f>
        <v/>
      </c>
      <c r="JF14" s="108" t="n"/>
      <c r="JG14" s="107">
        <f>JF14*100/$E$14</f>
        <v/>
      </c>
      <c r="JH14" s="108" t="n"/>
      <c r="JI14" s="122">
        <f>JH14*100/$E$14</f>
        <v/>
      </c>
      <c r="JJ14" s="108" t="n"/>
      <c r="JK14" s="107">
        <f>JJ14*100/$E$14</f>
        <v/>
      </c>
      <c r="JL14" s="108" t="n"/>
      <c r="JM14" s="122">
        <f>JL14*100/$E$14</f>
        <v/>
      </c>
      <c r="JN14" s="108" t="n"/>
      <c r="JO14" s="122">
        <f>JN14*100/$E$14</f>
        <v/>
      </c>
      <c r="JP14" s="108" t="n"/>
      <c r="JQ14" s="122">
        <f>JP14*100/$E$14</f>
        <v/>
      </c>
      <c r="JR14" s="108" t="n"/>
      <c r="JS14" s="122">
        <f>JR14*100/$E$14</f>
        <v/>
      </c>
      <c r="JT14" s="108" t="n"/>
      <c r="JU14" s="122">
        <f>JT14*100/$E$14</f>
        <v/>
      </c>
      <c r="JV14" s="108" t="n"/>
      <c r="JW14" s="122">
        <f>JV14*100/$E$14</f>
        <v/>
      </c>
      <c r="JX14" s="108" t="n"/>
      <c r="JY14" s="122">
        <f>JX14*100/$E$14</f>
        <v/>
      </c>
      <c r="JZ14" s="55">
        <f>JN14+JP14+JR14+JT14+JV14+JX14</f>
        <v/>
      </c>
      <c r="KA14" s="53">
        <f>JO14+JQ14+JS14+JU14+JW14+JY14</f>
        <v/>
      </c>
      <c r="KB14" s="64">
        <f>H14+J14+L14+N14+P14+R14+T14+V14+X14+Z14+AB14+AD14+AF14+AH14+AJ14+AL14+AN14+AP14+AR14+AT14+AV14+AX14+AZ14+BB14+BD14+BF14+BH14+BJ14+BL14+BN14+BP14+BR14+BT14+BV14+BX14+BZ14+CB14+CD14+CF14+CH14+CZ14+DB14+DD14+DF14+DH14+DJ14+DL14+DN14+DP14+DR14+DT14+DV14+DX14+DZ14+EB14+ED14+EF14+EH14+EJ14+EL14+EN14+EP14+ER14+ET14+EV14+FN14+FP14+FR14+FT14+FV14+FX14+FZ14+GB14+GD14+GF14+GH14+GJ14+GL14+GN14+GP14+GR14+GT14+GV14+GX14+GZ14+HB14+HD14+HF14+HH14+HJ14+HL14+HN14+HP14+HR14+HT14+HV14+HX14+HZ14+IB14+ID14+IF14+IH14+IJ14+IL14+IN14+IP14+IR14+IT14+IV14+IX14+IZ14+JB14+JD14+JF14+JH14+JJ14+JL14+JZ14+CJ14+CL14+CN14+CP14+CR14+CT14+CV14+CX14+EX14+EZ14+FB14+FD14+FF14+FH14+FJ14+FL14</f>
        <v/>
      </c>
      <c r="KC14" s="66">
        <f>I14+K14+M14+O14+Q14+S14+U14+W14+Y14+AA14+AC14+AE14+AG14+AI14+AK14+AM14+AO14+AQ14+AS14+AU14+AW14+AY14+BA14+BC14+BE14+BG14+BI14+BK14+BM14+BO14+BQ14+BS14+BU14+BW14+BY14+CA14+CC14+CE14+CG14+CI14+DA14+DC14+DE14+DG14+DI14+DK14+DM14+DO14+DQ14+DS14+DU14+DW14+DY14+EA14+EC14+EE14+EG14+EI14+EK14+EM14+EO14+EQ14+ES14+EU14+EW14+FO14+FS14+FU14+FW14+FQ14+FY14+GA14+GC14+GE14+GG14+GI14+GK14+GM14+GO14+GQ14+GS14+GU14+GW14+GY14+HA14+HC14+HE14+HG14+HI14+HK14+HM14+HO14+HQ14+HS14+HU14+HW14+HY14+IA14+IC14+IE14+IG14+II14+IK14+IM14+IO14+IQ14+IS14+IU14+IW14+IY14+JA14+JC14+JE14+JG14+JI14+JK14+JM14+KA14+CK14+CM14+CO14+CQ14+CS14+CU14+CW14+CY14+EY14+FA14+FC14+FE14+FG14+FI14+FK14+FM14</f>
        <v/>
      </c>
      <c r="KD14" s="44">
        <f>JO14+JQ14+JS14+JU14+JW14+JY14</f>
        <v/>
      </c>
      <c r="KE14" s="45">
        <f>KB14=E14</f>
        <v/>
      </c>
      <c r="KF14" s="101">
        <f>E14-KB14</f>
        <v/>
      </c>
      <c r="KG14" s="12" t="n"/>
    </row>
    <row r="15" ht="21.75" customFormat="1" customHeight="1" s="12">
      <c r="A15" s="126">
        <f>A14+1</f>
        <v/>
      </c>
      <c r="B15" s="175" t="inlineStr">
        <is>
          <t>Войтехо М. Н.</t>
        </is>
      </c>
      <c r="C15" s="194" t="inlineStr">
        <is>
          <t>Слесарь МСР</t>
        </is>
      </c>
      <c r="D15" s="177">
        <f>$D$5</f>
        <v/>
      </c>
      <c r="E15" s="202" t="n"/>
      <c r="F15" s="190" t="n">
        <v>68902.87</v>
      </c>
      <c r="G15" s="52">
        <f>F15/D15</f>
        <v/>
      </c>
      <c r="H15" s="125" t="n"/>
      <c r="I15" s="107">
        <f>H15*100/$E$15</f>
        <v/>
      </c>
      <c r="J15" s="108" t="n"/>
      <c r="K15" s="107">
        <f>J15*100/$E$15</f>
        <v/>
      </c>
      <c r="L15" s="108" t="n"/>
      <c r="M15" s="107">
        <f>L15*100/$E$15</f>
        <v/>
      </c>
      <c r="N15" s="108" t="n"/>
      <c r="O15" s="107">
        <f>N15*100/$E$15</f>
        <v/>
      </c>
      <c r="P15" s="108" t="n"/>
      <c r="Q15" s="122">
        <f>P15*100/$E$15</f>
        <v/>
      </c>
      <c r="R15" s="108" t="n"/>
      <c r="S15" s="122">
        <f>R15*100/$E$15</f>
        <v/>
      </c>
      <c r="T15" s="108" t="n"/>
      <c r="U15" s="107">
        <f>T15*100/$E$15</f>
        <v/>
      </c>
      <c r="V15" s="108" t="n"/>
      <c r="W15" s="107">
        <f>V15*100/$E$15</f>
        <v/>
      </c>
      <c r="X15" s="108" t="n"/>
      <c r="Y15" s="107">
        <f>X15*100/$E$15</f>
        <v/>
      </c>
      <c r="Z15" s="108" t="n"/>
      <c r="AA15" s="107">
        <f>Z15*100/$E$15</f>
        <v/>
      </c>
      <c r="AB15" s="108" t="n"/>
      <c r="AC15" s="107">
        <f>AB15*100/$E$15</f>
        <v/>
      </c>
      <c r="AD15" s="108" t="n"/>
      <c r="AE15" s="122">
        <f>AD15*100/$E$15</f>
        <v/>
      </c>
      <c r="AF15" s="108" t="n"/>
      <c r="AG15" s="122">
        <f>AF15*100/$E$15</f>
        <v/>
      </c>
      <c r="AH15" s="108" t="n"/>
      <c r="AI15" s="107">
        <f>AH15*100/$E$15</f>
        <v/>
      </c>
      <c r="AJ15" s="108" t="n"/>
      <c r="AK15" s="107">
        <f>AJ15*100/$E$15</f>
        <v/>
      </c>
      <c r="AL15" s="108" t="n"/>
      <c r="AM15" s="107">
        <f>AL15*100/$E$15</f>
        <v/>
      </c>
      <c r="AN15" s="108" t="n"/>
      <c r="AO15" s="107">
        <f>AN15*100/$E$15</f>
        <v/>
      </c>
      <c r="AP15" s="108" t="n"/>
      <c r="AQ15" s="107">
        <f>AP15*100/$E$15</f>
        <v/>
      </c>
      <c r="AR15" s="108" t="n"/>
      <c r="AS15" s="107">
        <f>AR15*100/$E$15</f>
        <v/>
      </c>
      <c r="AT15" s="108" t="n"/>
      <c r="AU15" s="90">
        <f>AT15*100/$E$15</f>
        <v/>
      </c>
      <c r="AV15" s="108" t="n"/>
      <c r="AW15" s="107">
        <f>AV15*100/$E$15</f>
        <v/>
      </c>
      <c r="AX15" s="108" t="n"/>
      <c r="AY15" s="107">
        <f>AX15*100/$E$15</f>
        <v/>
      </c>
      <c r="AZ15" s="108" t="n"/>
      <c r="BA15" s="107">
        <f>AZ15*100/$E$15</f>
        <v/>
      </c>
      <c r="BB15" s="108" t="n"/>
      <c r="BC15" s="107">
        <f>BB15*100/$E$15</f>
        <v/>
      </c>
      <c r="BD15" s="108" t="n"/>
      <c r="BE15" s="107">
        <f>BD15*100/$E$15</f>
        <v/>
      </c>
      <c r="BF15" s="108" t="n"/>
      <c r="BG15" s="107">
        <f>BF15*100/$E$15</f>
        <v/>
      </c>
      <c r="BH15" s="108" t="n"/>
      <c r="BI15" s="107">
        <f>BH15*100/$E$15</f>
        <v/>
      </c>
      <c r="BJ15" s="108" t="n"/>
      <c r="BK15" s="107">
        <f>BJ15*100/$E$15</f>
        <v/>
      </c>
      <c r="BL15" s="108" t="n"/>
      <c r="BM15" s="107">
        <f>BL15*100/$E$15</f>
        <v/>
      </c>
      <c r="BN15" s="108" t="n"/>
      <c r="BO15" s="107">
        <f>BN15*100/$E$15</f>
        <v/>
      </c>
      <c r="BP15" s="108" t="n"/>
      <c r="BQ15" s="107">
        <f>BP15*100/$E$15</f>
        <v/>
      </c>
      <c r="BR15" s="108" t="n"/>
      <c r="BS15" s="107">
        <f>BR15*100/$E$15</f>
        <v/>
      </c>
      <c r="BT15" s="108" t="n"/>
      <c r="BU15" s="107">
        <f>BT15*100/$E$15</f>
        <v/>
      </c>
      <c r="BV15" s="108" t="n"/>
      <c r="BW15" s="107">
        <f>BV15*100/$E$15</f>
        <v/>
      </c>
      <c r="BX15" s="108" t="n"/>
      <c r="BY15" s="107">
        <f>BX15*100/$E$15</f>
        <v/>
      </c>
      <c r="BZ15" s="108" t="n"/>
      <c r="CA15" s="107">
        <f>BZ15*100/$E$15</f>
        <v/>
      </c>
      <c r="CB15" s="108" t="n"/>
      <c r="CC15" s="107">
        <f>CB15*100/$E$15</f>
        <v/>
      </c>
      <c r="CD15" s="108" t="n"/>
      <c r="CE15" s="107">
        <f>CD15*100/$E$15</f>
        <v/>
      </c>
      <c r="CF15" s="108" t="n"/>
      <c r="CG15" s="107">
        <f>CF15*100/$E$15</f>
        <v/>
      </c>
      <c r="CH15" s="108" t="n"/>
      <c r="CI15" s="107">
        <f>CH15*100/$E$15</f>
        <v/>
      </c>
      <c r="CJ15" s="108" t="n"/>
      <c r="CK15" s="107">
        <f>CJ15*100/$E$15</f>
        <v/>
      </c>
      <c r="CL15" s="108" t="n"/>
      <c r="CM15" s="107">
        <f>CL15*100/$E$15</f>
        <v/>
      </c>
      <c r="CN15" s="108" t="n"/>
      <c r="CO15" s="122">
        <f>CN15*100/$E$15</f>
        <v/>
      </c>
      <c r="CP15" s="108" t="n"/>
      <c r="CQ15" s="107">
        <f>CP15*100/$E$15</f>
        <v/>
      </c>
      <c r="CR15" s="108" t="n"/>
      <c r="CS15" s="122">
        <f>CR15*100/$E$15</f>
        <v/>
      </c>
      <c r="CT15" s="108" t="n"/>
      <c r="CU15" s="122">
        <f>CT15*100/$E$15</f>
        <v/>
      </c>
      <c r="CV15" s="108" t="n"/>
      <c r="CW15" s="122">
        <f>CV15*100/$E$15</f>
        <v/>
      </c>
      <c r="CX15" s="108" t="n"/>
      <c r="CY15" s="122">
        <f>CX15*100/$E$15</f>
        <v/>
      </c>
      <c r="CZ15" s="108" t="n"/>
      <c r="DA15" s="122">
        <f>CZ15*100/$E$15</f>
        <v/>
      </c>
      <c r="DB15" s="108" t="n"/>
      <c r="DC15" s="122">
        <f>DB15*100/$E$15</f>
        <v/>
      </c>
      <c r="DD15" s="108" t="n"/>
      <c r="DE15" s="122">
        <f>DD15*100/$E$15</f>
        <v/>
      </c>
      <c r="DF15" s="108" t="n"/>
      <c r="DG15" s="122">
        <f>DF15*100/$E$15</f>
        <v/>
      </c>
      <c r="DH15" s="108" t="n"/>
      <c r="DI15" s="122">
        <f>DH15*100/$E$15</f>
        <v/>
      </c>
      <c r="DJ15" s="108" t="n"/>
      <c r="DK15" s="122">
        <f>DJ15*100/$E$15</f>
        <v/>
      </c>
      <c r="DL15" s="108" t="n"/>
      <c r="DM15" s="122">
        <f>DL15*100/$E$15</f>
        <v/>
      </c>
      <c r="DN15" s="108" t="n"/>
      <c r="DO15" s="122">
        <f>DN15*100/$E$15</f>
        <v/>
      </c>
      <c r="DP15" s="108" t="n"/>
      <c r="DQ15" s="122">
        <f>DP15*100/$E$15</f>
        <v/>
      </c>
      <c r="DR15" s="108" t="n"/>
      <c r="DS15" s="122">
        <f>DR15*100/$E$15</f>
        <v/>
      </c>
      <c r="DT15" s="108" t="n"/>
      <c r="DU15" s="122">
        <f>DT15*100/$E$15</f>
        <v/>
      </c>
      <c r="DV15" s="108" t="n"/>
      <c r="DW15" s="122">
        <f>DV15*100/$E$15</f>
        <v/>
      </c>
      <c r="DX15" s="108" t="n"/>
      <c r="DY15" s="122">
        <f>DX15*100/$E$15</f>
        <v/>
      </c>
      <c r="DZ15" s="108" t="n"/>
      <c r="EA15" s="122">
        <f>DZ15*100/$E$15</f>
        <v/>
      </c>
      <c r="EB15" s="108" t="n"/>
      <c r="EC15" s="122">
        <f>EB15*100/$E$15</f>
        <v/>
      </c>
      <c r="ED15" s="108" t="n"/>
      <c r="EE15" s="122">
        <f>ED15*100/$E$15</f>
        <v/>
      </c>
      <c r="EF15" s="108" t="n"/>
      <c r="EG15" s="122">
        <f>EF15*100/$E$15</f>
        <v/>
      </c>
      <c r="EH15" s="108" t="n"/>
      <c r="EI15" s="122">
        <f>EH15*100/$E$15</f>
        <v/>
      </c>
      <c r="EJ15" s="108" t="n"/>
      <c r="EK15" s="122">
        <f>EJ15*100/$E$15</f>
        <v/>
      </c>
      <c r="EL15" s="108" t="n"/>
      <c r="EM15" s="122">
        <f>EL15*100/$E$15</f>
        <v/>
      </c>
      <c r="EN15" s="108" t="n"/>
      <c r="EO15" s="122">
        <f>EN15*100/$E$15</f>
        <v/>
      </c>
      <c r="EP15" s="108" t="n"/>
      <c r="EQ15" s="122">
        <f>EP15*100/$E$15</f>
        <v/>
      </c>
      <c r="ER15" s="108" t="n"/>
      <c r="ES15" s="122">
        <f>ER15*100/$E$15</f>
        <v/>
      </c>
      <c r="ET15" s="108" t="n"/>
      <c r="EU15" s="122">
        <f>ET15*100/$E$15</f>
        <v/>
      </c>
      <c r="EV15" s="108" t="n"/>
      <c r="EW15" s="122">
        <f>EV15*100/$E$15</f>
        <v/>
      </c>
      <c r="EX15" s="108" t="n"/>
      <c r="EY15" s="122">
        <f>EX15*100/$E$15</f>
        <v/>
      </c>
      <c r="EZ15" s="108" t="n"/>
      <c r="FA15" s="122">
        <f>EZ15*100/$E$15</f>
        <v/>
      </c>
      <c r="FB15" s="108" t="n"/>
      <c r="FC15" s="122">
        <f>FB15*100/$E$15</f>
        <v/>
      </c>
      <c r="FD15" s="108" t="n"/>
      <c r="FE15" s="122">
        <f>FD15*100/$E$15</f>
        <v/>
      </c>
      <c r="FF15" s="108" t="n"/>
      <c r="FG15" s="122">
        <f>FF15*100/$E$15</f>
        <v/>
      </c>
      <c r="FH15" s="108" t="n"/>
      <c r="FI15" s="122">
        <f>FH15*100/$E$15</f>
        <v/>
      </c>
      <c r="FJ15" s="108" t="n"/>
      <c r="FK15" s="122">
        <f>FJ15*100/$E$15</f>
        <v/>
      </c>
      <c r="FL15" s="108" t="n"/>
      <c r="FM15" s="122">
        <f>FL15*100/$E$15</f>
        <v/>
      </c>
      <c r="FN15" s="108" t="n"/>
      <c r="FO15" s="122">
        <f>FN15*100/$E$15</f>
        <v/>
      </c>
      <c r="FP15" s="108" t="n"/>
      <c r="FQ15" s="122">
        <f>FP15*100/$E$15</f>
        <v/>
      </c>
      <c r="FR15" s="108" t="n"/>
      <c r="FS15" s="122">
        <f>FR15*100/$E$15</f>
        <v/>
      </c>
      <c r="FT15" s="108" t="n"/>
      <c r="FU15" s="122">
        <f>FT15*100/$E$15</f>
        <v/>
      </c>
      <c r="FV15" s="108" t="n"/>
      <c r="FW15" s="122">
        <f>FV15*100/$E$15</f>
        <v/>
      </c>
      <c r="FX15" s="108" t="n"/>
      <c r="FY15" s="107">
        <f>FX15*100/$E$15</f>
        <v/>
      </c>
      <c r="FZ15" s="108" t="n"/>
      <c r="GA15" s="107">
        <f>FZ15*100/$E$15</f>
        <v/>
      </c>
      <c r="GB15" s="108" t="n"/>
      <c r="GC15" s="107">
        <f>GB15*100/$E$15</f>
        <v/>
      </c>
      <c r="GD15" s="108" t="n"/>
      <c r="GE15" s="107">
        <f>GD15*100/$E$15</f>
        <v/>
      </c>
      <c r="GF15" s="108" t="n"/>
      <c r="GG15" s="107">
        <f>GF15*100/$E$15</f>
        <v/>
      </c>
      <c r="GH15" s="108" t="n"/>
      <c r="GI15" s="107">
        <f>GH15*100/$E$15</f>
        <v/>
      </c>
      <c r="GJ15" s="108" t="n"/>
      <c r="GK15" s="122">
        <f>GJ15*100/$E$15</f>
        <v/>
      </c>
      <c r="GL15" s="108" t="n"/>
      <c r="GM15" s="107">
        <f>GL15*100/$E$15</f>
        <v/>
      </c>
      <c r="GN15" s="108" t="n"/>
      <c r="GO15" s="122">
        <f>GN15*100/$E$15</f>
        <v/>
      </c>
      <c r="GP15" s="108" t="n"/>
      <c r="GQ15" s="107">
        <f>GP15*100/$E$15</f>
        <v/>
      </c>
      <c r="GR15" s="108" t="n"/>
      <c r="GS15" s="122">
        <f>GR15*100/$E$15</f>
        <v/>
      </c>
      <c r="GT15" s="108" t="n"/>
      <c r="GU15" s="122">
        <f>GT15*100/$E$15</f>
        <v/>
      </c>
      <c r="GV15" s="108" t="n"/>
      <c r="GW15" s="122">
        <f>GV15*100/$E$15</f>
        <v/>
      </c>
      <c r="GX15" s="108" t="n"/>
      <c r="GY15" s="107">
        <f>GX15*100/$E$15</f>
        <v/>
      </c>
      <c r="GZ15" s="108" t="n"/>
      <c r="HA15" s="107">
        <f>GZ15*100/$E$15</f>
        <v/>
      </c>
      <c r="HB15" s="108" t="n"/>
      <c r="HC15" s="107">
        <f>HB15*100/$E$15</f>
        <v/>
      </c>
      <c r="HD15" s="108" t="n"/>
      <c r="HE15" s="107">
        <f>HD15*100/$E$15</f>
        <v/>
      </c>
      <c r="HF15" s="108" t="n"/>
      <c r="HG15" s="107">
        <f>HF15*100/$E$15</f>
        <v/>
      </c>
      <c r="HH15" s="108" t="n"/>
      <c r="HI15" s="107">
        <f>HH15*100/$E$15</f>
        <v/>
      </c>
      <c r="HJ15" s="108" t="n"/>
      <c r="HK15" s="107">
        <f>HJ15*100/$E$15</f>
        <v/>
      </c>
      <c r="HL15" s="108" t="n"/>
      <c r="HM15" s="107">
        <f>HL15*100/$E$15</f>
        <v/>
      </c>
      <c r="HN15" s="108" t="n"/>
      <c r="HO15" s="107">
        <f>HN15*100/$E$15</f>
        <v/>
      </c>
      <c r="HP15" s="108" t="n"/>
      <c r="HQ15" s="107">
        <f>HP15*100/$E$15</f>
        <v/>
      </c>
      <c r="HR15" s="108" t="n"/>
      <c r="HS15" s="107">
        <f>HR15*100/$E$15</f>
        <v/>
      </c>
      <c r="HT15" s="108" t="n"/>
      <c r="HU15" s="107">
        <f>HT15*100/$E$15</f>
        <v/>
      </c>
      <c r="HV15" s="108" t="n"/>
      <c r="HW15" s="107">
        <f>HV15*100/$E$15</f>
        <v/>
      </c>
      <c r="HX15" s="108" t="n"/>
      <c r="HY15" s="107">
        <f>HX15*100/$E$15</f>
        <v/>
      </c>
      <c r="HZ15" s="108" t="n"/>
      <c r="IA15" s="122">
        <f>HZ15*100/$E$15</f>
        <v/>
      </c>
      <c r="IB15" s="108" t="n"/>
      <c r="IC15" s="122">
        <f>IB15*100/$E$15</f>
        <v/>
      </c>
      <c r="ID15" s="108" t="n"/>
      <c r="IE15" s="122">
        <f>ID15*100/$E$15</f>
        <v/>
      </c>
      <c r="IF15" s="108" t="n"/>
      <c r="IG15" s="122">
        <f>IF15*100/$E$15</f>
        <v/>
      </c>
      <c r="IH15" s="108" t="n"/>
      <c r="II15" s="122">
        <f>IH15*100/$E$15</f>
        <v/>
      </c>
      <c r="IJ15" s="108" t="n"/>
      <c r="IK15" s="122">
        <f>IJ15*100/$E$15</f>
        <v/>
      </c>
      <c r="IL15" s="108" t="n"/>
      <c r="IM15" s="107">
        <f>IL15*100/$E$15</f>
        <v/>
      </c>
      <c r="IN15" s="108" t="n"/>
      <c r="IO15" s="107">
        <f>IN15*100/$E$15</f>
        <v/>
      </c>
      <c r="IP15" s="108" t="n"/>
      <c r="IQ15" s="122">
        <f>IP15*100/$E$15</f>
        <v/>
      </c>
      <c r="IR15" s="108" t="n"/>
      <c r="IS15" s="122">
        <f>IR15*100/$E$15</f>
        <v/>
      </c>
      <c r="IT15" s="108" t="n"/>
      <c r="IU15" s="122">
        <f>IT15*100/$E$15</f>
        <v/>
      </c>
      <c r="IV15" s="108" t="n"/>
      <c r="IW15" s="122">
        <f>IV15*100/$E$15</f>
        <v/>
      </c>
      <c r="IX15" s="108" t="n"/>
      <c r="IY15" s="122">
        <f>IX15*100/$E$15</f>
        <v/>
      </c>
      <c r="IZ15" s="108" t="n"/>
      <c r="JA15" s="122">
        <f>IZ15*100/$E$15</f>
        <v/>
      </c>
      <c r="JB15" s="108" t="n"/>
      <c r="JC15" s="122">
        <f>JB15*100/$E$15</f>
        <v/>
      </c>
      <c r="JD15" s="108" t="n"/>
      <c r="JE15" s="122">
        <f>JD15*100/$E$15</f>
        <v/>
      </c>
      <c r="JF15" s="108" t="n"/>
      <c r="JG15" s="122">
        <f>JF15*100/$E$15</f>
        <v/>
      </c>
      <c r="JH15" s="108" t="n"/>
      <c r="JI15" s="122">
        <f>JH15*100/$E$15</f>
        <v/>
      </c>
      <c r="JJ15" s="108" t="n"/>
      <c r="JK15" s="122">
        <f>JJ15*100/$E$15</f>
        <v/>
      </c>
      <c r="JL15" s="108" t="n"/>
      <c r="JM15" s="122">
        <f>JL15*100/$E$15</f>
        <v/>
      </c>
      <c r="JN15" s="108" t="n"/>
      <c r="JO15" s="122">
        <f>JN15*100/$E$15</f>
        <v/>
      </c>
      <c r="JP15" s="108" t="n"/>
      <c r="JQ15" s="122">
        <f>JP15*100/$E$15</f>
        <v/>
      </c>
      <c r="JR15" s="108" t="n"/>
      <c r="JS15" s="122">
        <f>JR15*100/$E$15</f>
        <v/>
      </c>
      <c r="JT15" s="108" t="n"/>
      <c r="JU15" s="122">
        <f>JT15*100/$E$15</f>
        <v/>
      </c>
      <c r="JV15" s="132" t="n"/>
      <c r="JW15" s="122">
        <f>JV15*100/$E$15</f>
        <v/>
      </c>
      <c r="JX15" s="132" t="n"/>
      <c r="JY15" s="122">
        <f>JX15*100/$E$15</f>
        <v/>
      </c>
      <c r="JZ15" s="55">
        <f>JN15+JP15+JR15+JT15+JV15+JX15</f>
        <v/>
      </c>
      <c r="KA15" s="53">
        <f>JO15+JQ15+JS15+JU15+JW15+JY15</f>
        <v/>
      </c>
      <c r="KB15" s="64">
        <f>H15+J15+L15+N15+P15+R15+T15+V15+X15+Z15+AB15+AD15+AF15+AH15+AJ15+AL15+AN15+AP15+AR15+AT15+AV15+AX15+AZ15+BB15+BD15+BF15+BH15+BJ15+BL15+BN15+BP15+BR15+BT15+BV15+BX15+BZ15+CB15+CD15+CF15+CH15+CZ15+DB15+DD15+DF15+DH15+DJ15+DL15+DN15+DP15+DR15+DT15+DV15+DX15+DZ15+EB15+ED15+EF15+EH15+EJ15+EL15+EN15+EP15+ER15+ET15+EV15+FN15+FP15+FR15+FT15+FV15+FX15+FZ15+GB15+GD15+GF15+GH15+GJ15+GL15+GN15+GP15+GR15+GT15+GV15+GX15+GZ15+HB15+HD15+HF15+HH15+HJ15+HL15+HN15+HP15+HR15+HT15+HV15+HX15+HZ15+IB15+ID15+IF15+IH15+IJ15+IL15+IN15+IP15+IR15+IT15+IV15+IX15+IZ15+JB15+JD15+JF15+JH15+JJ15+JL15+JZ15+CJ15+CL15+CN15+CP15+CR15+CT15+CV15+CX15+EX15+EZ15+FB15+FD15+FF15+FH15+FJ15+FL15</f>
        <v/>
      </c>
      <c r="KC15" s="66">
        <f>I15+K15+M15+O15+Q15+S15+U15+W15+Y15+AA15+AC15+AE15+AG15+AI15+AK15+AM15+AO15+AQ15+AS15+AU15+AW15+AY15+BA15+BC15+BE15+BG15+BI15+BK15+BM15+BO15+BQ15+BS15+BU15+BW15+BY15+CA15+CC15+CE15+CG15+CI15+DA15+DC15+DE15+DG15+DI15+DK15+DM15+DO15+DQ15+DS15+DU15+DW15+DY15+EA15+EC15+EE15+EG15+EI15+EK15+EM15+EO15+EQ15+ES15+EU15+EW15+FO15+FS15+FU15+FW15+FQ15+FY15+GA15+GC15+GE15+GG15+GI15+GK15+GM15+GO15+GQ15+GS15+GU15+GW15+GY15+HA15+HC15+HE15+HG15+HI15+HK15+HM15+HO15+HQ15+HS15+HU15+HW15+HY15+IA15+IC15+IE15+IG15+II15+IK15+IM15+IO15+IQ15+IS15+IU15+IW15+IY15+JA15+JC15+JE15+JG15+JI15+JK15+JM15+KA15+CK15+CM15+CO15+CQ15+CS15+CU15+CW15+CY15+EY15+FA15+FC15+FE15+FG15+FI15+FK15+FM15</f>
        <v/>
      </c>
      <c r="KD15" s="44">
        <f>JO15+JQ15+JS15+JU15+JW15+JY15</f>
        <v/>
      </c>
      <c r="KE15" s="45">
        <f>KB15=E15</f>
        <v/>
      </c>
      <c r="KF15" s="101">
        <f>E15-KB15</f>
        <v/>
      </c>
      <c r="KG15" s="14" t="n"/>
    </row>
    <row r="16" ht="21.75" customFormat="1" customHeight="1" s="12">
      <c r="A16" s="126">
        <f>A15+1</f>
        <v/>
      </c>
      <c r="B16" s="175" t="inlineStr">
        <is>
          <t>Волков М. А.</t>
        </is>
      </c>
      <c r="C16" s="176" t="inlineStr">
        <is>
          <t>Эл.сварщик</t>
        </is>
      </c>
      <c r="D16" s="177">
        <f>$D$5</f>
        <v/>
      </c>
      <c r="E16" s="202" t="n"/>
      <c r="F16" s="190" t="n">
        <v>55770</v>
      </c>
      <c r="G16" s="52">
        <f>F16/D16</f>
        <v/>
      </c>
      <c r="H16" s="125" t="n"/>
      <c r="I16" s="107">
        <f>H16*100/$E$16</f>
        <v/>
      </c>
      <c r="J16" s="108" t="n"/>
      <c r="K16" s="107">
        <f>J16*100/$E$16</f>
        <v/>
      </c>
      <c r="L16" s="108" t="n"/>
      <c r="M16" s="107">
        <f>L16*100/$E$16</f>
        <v/>
      </c>
      <c r="N16" s="108" t="n"/>
      <c r="O16" s="107">
        <f>N16*100/$E$16</f>
        <v/>
      </c>
      <c r="P16" s="108" t="n"/>
      <c r="Q16" s="122">
        <f>P16*100/$E$16</f>
        <v/>
      </c>
      <c r="R16" s="108" t="n"/>
      <c r="S16" s="107">
        <f>R16*100/$E$16</f>
        <v/>
      </c>
      <c r="T16" s="108" t="n"/>
      <c r="U16" s="107">
        <f>T16*100/$E$16</f>
        <v/>
      </c>
      <c r="V16" s="108" t="n"/>
      <c r="W16" s="107">
        <f>V16*100/$E$16</f>
        <v/>
      </c>
      <c r="X16" s="108" t="n"/>
      <c r="Y16" s="107">
        <f>X16*100/$E$16</f>
        <v/>
      </c>
      <c r="Z16" s="108" t="n"/>
      <c r="AA16" s="107">
        <f>Z16*100/$E$16</f>
        <v/>
      </c>
      <c r="AB16" s="108" t="n"/>
      <c r="AC16" s="107">
        <f>AB16*100/$E$16</f>
        <v/>
      </c>
      <c r="AD16" s="108" t="n"/>
      <c r="AE16" s="107">
        <f>AD16*100/$E$16</f>
        <v/>
      </c>
      <c r="AF16" s="108" t="n"/>
      <c r="AG16" s="107">
        <f>AF16*100/$E$16</f>
        <v/>
      </c>
      <c r="AH16" s="108" t="n"/>
      <c r="AI16" s="107">
        <f>AH16*100/$E$16</f>
        <v/>
      </c>
      <c r="AJ16" s="108" t="n"/>
      <c r="AK16" s="107">
        <f>AJ16*100/$E$16</f>
        <v/>
      </c>
      <c r="AL16" s="108" t="n"/>
      <c r="AM16" s="107">
        <f>AL16*100/$E$16</f>
        <v/>
      </c>
      <c r="AN16" s="108" t="n"/>
      <c r="AO16" s="107">
        <f>AN16*100/$E$16</f>
        <v/>
      </c>
      <c r="AP16" s="108" t="n"/>
      <c r="AQ16" s="107">
        <f>AP16*100/$E$16</f>
        <v/>
      </c>
      <c r="AR16" s="108" t="n"/>
      <c r="AS16" s="107">
        <f>AR16*100/$E$16</f>
        <v/>
      </c>
      <c r="AT16" s="108" t="n"/>
      <c r="AU16" s="90">
        <f>AT16*100/$E$16</f>
        <v/>
      </c>
      <c r="AV16" s="108" t="n"/>
      <c r="AW16" s="107">
        <f>AV16*100/$E$16</f>
        <v/>
      </c>
      <c r="AX16" s="108" t="n"/>
      <c r="AY16" s="107">
        <f>AX16*100/$E$16</f>
        <v/>
      </c>
      <c r="AZ16" s="108" t="n"/>
      <c r="BA16" s="107">
        <f>AZ16*100/$E$16</f>
        <v/>
      </c>
      <c r="BB16" s="108" t="n"/>
      <c r="BC16" s="107">
        <f>BB16*100/$E$16</f>
        <v/>
      </c>
      <c r="BD16" s="108" t="n"/>
      <c r="BE16" s="107">
        <f>BD16*100/$E$16</f>
        <v/>
      </c>
      <c r="BF16" s="108" t="n"/>
      <c r="BG16" s="107">
        <f>BF16*100/$E$16</f>
        <v/>
      </c>
      <c r="BH16" s="108" t="n"/>
      <c r="BI16" s="107">
        <f>BH16*100/$E$16</f>
        <v/>
      </c>
      <c r="BJ16" s="108" t="n"/>
      <c r="BK16" s="107">
        <f>BJ16*100/$E$16</f>
        <v/>
      </c>
      <c r="BL16" s="108" t="n"/>
      <c r="BM16" s="107">
        <f>BL16*100/$E$16</f>
        <v/>
      </c>
      <c r="BN16" s="108" t="n"/>
      <c r="BO16" s="107">
        <f>BN16*100/$E$16</f>
        <v/>
      </c>
      <c r="BP16" s="108" t="n"/>
      <c r="BQ16" s="107">
        <f>BP16*100/$E$16</f>
        <v/>
      </c>
      <c r="BR16" s="108" t="n"/>
      <c r="BS16" s="107">
        <f>BR16*100/$E$16</f>
        <v/>
      </c>
      <c r="BT16" s="108" t="n"/>
      <c r="BU16" s="107">
        <f>BT16*100/$E$16</f>
        <v/>
      </c>
      <c r="BV16" s="108" t="n"/>
      <c r="BW16" s="107">
        <f>BV16*100/$E$16</f>
        <v/>
      </c>
      <c r="BX16" s="108" t="n"/>
      <c r="BY16" s="107">
        <f>BX16*100/$E$16</f>
        <v/>
      </c>
      <c r="BZ16" s="108" t="n"/>
      <c r="CA16" s="107">
        <f>BZ16*100/$E$16</f>
        <v/>
      </c>
      <c r="CB16" s="108" t="n"/>
      <c r="CC16" s="107">
        <f>CB16*100/$E$16</f>
        <v/>
      </c>
      <c r="CD16" s="108" t="n"/>
      <c r="CE16" s="107">
        <f>CD16*100/$E$16</f>
        <v/>
      </c>
      <c r="CF16" s="108" t="n"/>
      <c r="CG16" s="107">
        <f>CF16*100/$E$16</f>
        <v/>
      </c>
      <c r="CH16" s="108" t="n"/>
      <c r="CI16" s="107">
        <f>CH16*100/$E$16</f>
        <v/>
      </c>
      <c r="CJ16" s="108" t="n"/>
      <c r="CK16" s="107">
        <f>CJ16*100/$E$16</f>
        <v/>
      </c>
      <c r="CL16" s="108" t="n"/>
      <c r="CM16" s="107">
        <f>CL16*100/$E$16</f>
        <v/>
      </c>
      <c r="CN16" s="108" t="n"/>
      <c r="CO16" s="122">
        <f>CN16*100/$E$16</f>
        <v/>
      </c>
      <c r="CP16" s="108" t="n"/>
      <c r="CQ16" s="107">
        <f>CP16*100/$E$16</f>
        <v/>
      </c>
      <c r="CR16" s="108" t="n"/>
      <c r="CS16" s="122">
        <f>CR16*100/$E$16</f>
        <v/>
      </c>
      <c r="CT16" s="108" t="n"/>
      <c r="CU16" s="122">
        <f>CT16*100/$E$16</f>
        <v/>
      </c>
      <c r="CV16" s="108" t="n"/>
      <c r="CW16" s="122">
        <f>CV16*100/$E$16</f>
        <v/>
      </c>
      <c r="CX16" s="108" t="n"/>
      <c r="CY16" s="122">
        <f>CX16*100/$E$16</f>
        <v/>
      </c>
      <c r="CZ16" s="108" t="n"/>
      <c r="DA16" s="122">
        <f>CZ16*100/$E$16</f>
        <v/>
      </c>
      <c r="DB16" s="108" t="n"/>
      <c r="DC16" s="122">
        <f>DB16*100/$E$16</f>
        <v/>
      </c>
      <c r="DD16" s="108" t="n"/>
      <c r="DE16" s="122">
        <f>DD16*100/$E$16</f>
        <v/>
      </c>
      <c r="DF16" s="108" t="n"/>
      <c r="DG16" s="122">
        <f>DF16*100/$E$16</f>
        <v/>
      </c>
      <c r="DH16" s="108" t="n"/>
      <c r="DI16" s="122">
        <f>DH16*100/$E$16</f>
        <v/>
      </c>
      <c r="DJ16" s="108" t="n"/>
      <c r="DK16" s="122">
        <f>DJ16*100/$E$16</f>
        <v/>
      </c>
      <c r="DL16" s="108" t="n"/>
      <c r="DM16" s="122">
        <f>DL16*100/$E$16</f>
        <v/>
      </c>
      <c r="DN16" s="108" t="n"/>
      <c r="DO16" s="122">
        <f>DN16*100/$E$16</f>
        <v/>
      </c>
      <c r="DP16" s="108" t="n"/>
      <c r="DQ16" s="122">
        <f>DP16*100/$E$16</f>
        <v/>
      </c>
      <c r="DR16" s="108" t="n"/>
      <c r="DS16" s="107">
        <f>DR16*100/$E$16</f>
        <v/>
      </c>
      <c r="DT16" s="108" t="n"/>
      <c r="DU16" s="122">
        <f>DT16*100/$E$16</f>
        <v/>
      </c>
      <c r="DV16" s="108" t="n"/>
      <c r="DW16" s="122">
        <f>DV16*100/$E$16</f>
        <v/>
      </c>
      <c r="DX16" s="108" t="n"/>
      <c r="DY16" s="122">
        <f>DX16*100/$E$16</f>
        <v/>
      </c>
      <c r="DZ16" s="108" t="n"/>
      <c r="EA16" s="122">
        <f>DZ16*100/$E$16</f>
        <v/>
      </c>
      <c r="EB16" s="108" t="n"/>
      <c r="EC16" s="122">
        <f>EB16*100/$E$16</f>
        <v/>
      </c>
      <c r="ED16" s="108" t="n"/>
      <c r="EE16" s="122">
        <f>ED16*100/$E$16</f>
        <v/>
      </c>
      <c r="EF16" s="108" t="n"/>
      <c r="EG16" s="122">
        <f>EF16*100/$E$16</f>
        <v/>
      </c>
      <c r="EH16" s="108" t="n"/>
      <c r="EI16" s="107">
        <f>EH16*100/$E$16</f>
        <v/>
      </c>
      <c r="EJ16" s="108" t="n"/>
      <c r="EK16" s="107">
        <f>EJ16*100/$E$16</f>
        <v/>
      </c>
      <c r="EL16" s="108" t="n"/>
      <c r="EM16" s="107">
        <f>EL16*100/$E$16</f>
        <v/>
      </c>
      <c r="EN16" s="108" t="n"/>
      <c r="EO16" s="107">
        <f>EN16*100/$E$16</f>
        <v/>
      </c>
      <c r="EP16" s="108" t="n"/>
      <c r="EQ16" s="107">
        <f>EP16*100/$E$16</f>
        <v/>
      </c>
      <c r="ER16" s="108" t="n"/>
      <c r="ES16" s="107">
        <f>ER16*100/$E$16</f>
        <v/>
      </c>
      <c r="ET16" s="108" t="n"/>
      <c r="EU16" s="107">
        <f>ET16*100/$E$16</f>
        <v/>
      </c>
      <c r="EV16" s="108" t="n"/>
      <c r="EW16" s="122">
        <f>EV16*100/$E$16</f>
        <v/>
      </c>
      <c r="EX16" s="108" t="n"/>
      <c r="EY16" s="122">
        <f>EX16*100/$E$16</f>
        <v/>
      </c>
      <c r="EZ16" s="108" t="n"/>
      <c r="FA16" s="122">
        <f>EZ16*100/$E$16</f>
        <v/>
      </c>
      <c r="FB16" s="108" t="n"/>
      <c r="FC16" s="122">
        <f>FB16*100/$E$16</f>
        <v/>
      </c>
      <c r="FD16" s="108" t="n"/>
      <c r="FE16" s="122">
        <f>FD16*100/$E$16</f>
        <v/>
      </c>
      <c r="FF16" s="108" t="n"/>
      <c r="FG16" s="122">
        <f>FF16*100/$E$16</f>
        <v/>
      </c>
      <c r="FH16" s="108" t="n"/>
      <c r="FI16" s="122">
        <f>FH16*100/$E$16</f>
        <v/>
      </c>
      <c r="FJ16" s="108" t="n"/>
      <c r="FK16" s="122">
        <f>FJ16*100/$E$16</f>
        <v/>
      </c>
      <c r="FL16" s="108" t="n"/>
      <c r="FM16" s="122">
        <f>FL16*100/$E$16</f>
        <v/>
      </c>
      <c r="FN16" s="108" t="n"/>
      <c r="FO16" s="122">
        <f>FN16*100/$E$16</f>
        <v/>
      </c>
      <c r="FP16" s="108" t="n"/>
      <c r="FQ16" s="107">
        <f>FP16*100/$E$16</f>
        <v/>
      </c>
      <c r="FR16" s="108" t="n"/>
      <c r="FS16" s="107">
        <f>FR16*100/$E$16</f>
        <v/>
      </c>
      <c r="FT16" s="108" t="n"/>
      <c r="FU16" s="107">
        <f>FT16*100/$E$16</f>
        <v/>
      </c>
      <c r="FV16" s="108" t="n"/>
      <c r="FW16" s="107">
        <f>FV16*100/$E$16</f>
        <v/>
      </c>
      <c r="FX16" s="108" t="n"/>
      <c r="FY16" s="107">
        <f>FX16*100/$E$16</f>
        <v/>
      </c>
      <c r="FZ16" s="108" t="n"/>
      <c r="GA16" s="107">
        <f>FZ16*100/$E$16</f>
        <v/>
      </c>
      <c r="GB16" s="108" t="n"/>
      <c r="GC16" s="107">
        <f>GB16*100/$E$16</f>
        <v/>
      </c>
      <c r="GD16" s="108" t="n"/>
      <c r="GE16" s="107">
        <f>GD16*100/$E$16</f>
        <v/>
      </c>
      <c r="GF16" s="108" t="n"/>
      <c r="GG16" s="107">
        <f>GF16*100/$E$16</f>
        <v/>
      </c>
      <c r="GH16" s="108" t="n"/>
      <c r="GI16" s="107">
        <f>GH16*100/$E$16</f>
        <v/>
      </c>
      <c r="GJ16" s="108" t="n"/>
      <c r="GK16" s="122">
        <f>GJ16*100/$E$16</f>
        <v/>
      </c>
      <c r="GL16" s="108" t="n"/>
      <c r="GM16" s="107">
        <f>GL16*100/$E$16</f>
        <v/>
      </c>
      <c r="GN16" s="108" t="n"/>
      <c r="GO16" s="122">
        <f>GN16*100/$E$16</f>
        <v/>
      </c>
      <c r="GP16" s="108" t="n"/>
      <c r="GQ16" s="107">
        <f>GP16*100/$E$16</f>
        <v/>
      </c>
      <c r="GR16" s="108" t="n"/>
      <c r="GS16" s="122">
        <f>GR16*100/$E$16</f>
        <v/>
      </c>
      <c r="GT16" s="108" t="n"/>
      <c r="GU16" s="122">
        <f>GT16*100/$E$16</f>
        <v/>
      </c>
      <c r="GV16" s="108" t="n"/>
      <c r="GW16" s="122">
        <f>GV16*100/$E$16</f>
        <v/>
      </c>
      <c r="GX16" s="108" t="n"/>
      <c r="GY16" s="107">
        <f>GX16*100/$E$16</f>
        <v/>
      </c>
      <c r="GZ16" s="108" t="n"/>
      <c r="HA16" s="107">
        <f>GZ16*100/$E$16</f>
        <v/>
      </c>
      <c r="HB16" s="108" t="n"/>
      <c r="HC16" s="107">
        <f>HB16*100/$E$16</f>
        <v/>
      </c>
      <c r="HD16" s="108" t="n"/>
      <c r="HE16" s="107">
        <f>HD16*100/$E$16</f>
        <v/>
      </c>
      <c r="HF16" s="108" t="n"/>
      <c r="HG16" s="107">
        <f>HF16*100/$E$16</f>
        <v/>
      </c>
      <c r="HH16" s="108" t="n"/>
      <c r="HI16" s="107">
        <f>HH16*100/$E$16</f>
        <v/>
      </c>
      <c r="HJ16" s="108" t="n"/>
      <c r="HK16" s="107">
        <f>HJ16*100/$E$16</f>
        <v/>
      </c>
      <c r="HL16" s="108" t="n"/>
      <c r="HM16" s="107">
        <f>HL16*100/$E$16</f>
        <v/>
      </c>
      <c r="HN16" s="108" t="n"/>
      <c r="HO16" s="107">
        <f>HN16*100/$E$16</f>
        <v/>
      </c>
      <c r="HP16" s="108" t="n"/>
      <c r="HQ16" s="107">
        <f>HP16*100/$E$16</f>
        <v/>
      </c>
      <c r="HR16" s="108" t="n"/>
      <c r="HS16" s="107">
        <f>HR16*100/$E$16</f>
        <v/>
      </c>
      <c r="HT16" s="108" t="n"/>
      <c r="HU16" s="107">
        <f>HT16*100/$E$16</f>
        <v/>
      </c>
      <c r="HV16" s="108" t="n"/>
      <c r="HW16" s="107">
        <f>HV16*100/$E$16</f>
        <v/>
      </c>
      <c r="HX16" s="108" t="n"/>
      <c r="HY16" s="107">
        <f>HX16*100/$E$16</f>
        <v/>
      </c>
      <c r="HZ16" s="108" t="n"/>
      <c r="IA16" s="122">
        <f>HZ16*100/$E$16</f>
        <v/>
      </c>
      <c r="IB16" s="108" t="n"/>
      <c r="IC16" s="122">
        <f>IB16*100/$E$16</f>
        <v/>
      </c>
      <c r="ID16" s="108" t="n"/>
      <c r="IE16" s="122">
        <f>ID16*100/$E$16</f>
        <v/>
      </c>
      <c r="IF16" s="108" t="n"/>
      <c r="IG16" s="122">
        <f>IF16*100/$E$16</f>
        <v/>
      </c>
      <c r="IH16" s="108" t="n"/>
      <c r="II16" s="122">
        <f>IH16*100/$E$16</f>
        <v/>
      </c>
      <c r="IJ16" s="108" t="n"/>
      <c r="IK16" s="122">
        <f>IJ16*100/$E$16</f>
        <v/>
      </c>
      <c r="IL16" s="108" t="n"/>
      <c r="IM16" s="107">
        <f>IL16*100/$E$16</f>
        <v/>
      </c>
      <c r="IN16" s="108" t="n"/>
      <c r="IO16" s="107">
        <f>IN16*100/$E$16</f>
        <v/>
      </c>
      <c r="IP16" s="108" t="n"/>
      <c r="IQ16" s="122">
        <f>IP16*100/$E$16</f>
        <v/>
      </c>
      <c r="IR16" s="108" t="n"/>
      <c r="IS16" s="122">
        <f>IR16*100/$E$16</f>
        <v/>
      </c>
      <c r="IT16" s="108" t="n"/>
      <c r="IU16" s="122">
        <f>IT16*100/$E$16</f>
        <v/>
      </c>
      <c r="IV16" s="108" t="n"/>
      <c r="IW16" s="122">
        <f>IV16*100/$E$16</f>
        <v/>
      </c>
      <c r="IX16" s="108" t="n"/>
      <c r="IY16" s="122">
        <f>IX16*100/$E$16</f>
        <v/>
      </c>
      <c r="IZ16" s="108" t="n"/>
      <c r="JA16" s="122">
        <f>IZ16*100/$E$16</f>
        <v/>
      </c>
      <c r="JB16" s="108" t="n"/>
      <c r="JC16" s="122">
        <f>JB16*100/$E$16</f>
        <v/>
      </c>
      <c r="JD16" s="108" t="n"/>
      <c r="JE16" s="122">
        <f>JD16*100/$E$16</f>
        <v/>
      </c>
      <c r="JF16" s="108" t="n"/>
      <c r="JG16" s="122">
        <f>JF16*100/$E$16</f>
        <v/>
      </c>
      <c r="JH16" s="108" t="n"/>
      <c r="JI16" s="122">
        <f>JH16*100/$E$16</f>
        <v/>
      </c>
      <c r="JJ16" s="108" t="n"/>
      <c r="JK16" s="122">
        <f>JJ16*100/$E$16</f>
        <v/>
      </c>
      <c r="JL16" s="108" t="n"/>
      <c r="JM16" s="122">
        <f>JL16*100/$E$16</f>
        <v/>
      </c>
      <c r="JN16" s="108" t="n"/>
      <c r="JO16" s="121">
        <f>JN16*100/$E$16</f>
        <v/>
      </c>
      <c r="JP16" s="108" t="n"/>
      <c r="JQ16" s="121">
        <f>JP16*100/$E$16</f>
        <v/>
      </c>
      <c r="JR16" s="108" t="n"/>
      <c r="JS16" s="121">
        <f>JR16*100/$E$16</f>
        <v/>
      </c>
      <c r="JT16" s="108" t="n"/>
      <c r="JU16" s="121">
        <f>JT16*100/$E$16</f>
        <v/>
      </c>
      <c r="JV16" s="108" t="n"/>
      <c r="JW16" s="121">
        <f>JV16*100/$E$16</f>
        <v/>
      </c>
      <c r="JX16" s="108" t="n"/>
      <c r="JY16" s="121">
        <f>JX16*100/$E$16</f>
        <v/>
      </c>
      <c r="JZ16" s="55">
        <f>JN16+JP16+JR16+JT16+JV16+JX16</f>
        <v/>
      </c>
      <c r="KA16" s="53">
        <f>JO16+JQ16+JS16+JU16+JW16+JY16</f>
        <v/>
      </c>
      <c r="KB16" s="64">
        <f>H16+J16+L16+N16+P16+R16+T16+V16+X16+Z16+AB16+AD16+AF16+AH16+AJ16+AL16+AN16+AP16+AR16+AT16+AV16+AX16+AZ16+BB16+BD16+BF16+BH16+BJ16+BL16+BN16+BP16+BR16+BT16+BV16+BX16+BZ16+CB16+CD16+CF16+CH16+CZ16+DB16+DD16+DF16+DH16+DJ16+DL16+DN16+DP16+DR16+DT16+DV16+DX16+DZ16+EB16+ED16+EF16+EH16+EJ16+EL16+EN16+EP16+ER16+ET16+EV16+FN16+FP16+FR16+FT16+FV16+FX16+FZ16+GB16+GD16+GF16+GH16+GJ16+GL16+GN16+GP16+GR16+GT16+GV16+GX16+GZ16+HB16+HD16+HF16+HH16+HJ16+HL16+HN16+HP16+HR16+HT16+HV16+HX16+HZ16+IB16+ID16+IF16+IH16+IJ16+IL16+IN16+IP16+IR16+IT16+IV16+IX16+IZ16+JB16+JD16+JF16+JH16+JJ16+JL16+JZ16+CJ16+CL16+CN16+CP16+CR16+CT16+CV16+CX16+EX16+EZ16+FB16+FD16+FF16+FH16+FJ16+FL16</f>
        <v/>
      </c>
      <c r="KC16" s="66">
        <f>I16+K16+M16+O16+Q16+S16+U16+W16+Y16+AA16+AC16+AE16+AG16+AI16+AK16+AM16+AO16+AQ16+AS16+AU16+AW16+AY16+BA16+BC16+BE16+BG16+BI16+BK16+BM16+BO16+BQ16+BS16+BU16+BW16+BY16+CA16+CC16+CE16+CG16+CI16+DA16+DC16+DE16+DG16+DI16+DK16+DM16+DO16+DQ16+DS16+DU16+DW16+DY16+EA16+EC16+EE16+EG16+EI16+EK16+EM16+EO16+EQ16+ES16+EU16+EW16+FO16+FS16+FU16+FW16+FQ16+FY16+GA16+GC16+GE16+GG16+GI16+GK16+GM16+GO16+GQ16+GS16+GU16+GW16+GY16+HA16+HC16+HE16+HG16+HI16+HK16+HM16+HO16+HQ16+HS16+HU16+HW16+HY16+IA16+IC16+IE16+IG16+II16+IK16+IM16+IO16+IQ16+IS16+IU16+IW16+IY16+JA16+JC16+JE16+JG16+JI16+JK16+JM16+KA16+CK16+CM16+CO16+CQ16+CS16+CU16+CW16+CY16+EY16+FA16+FC16+FE16+FG16+FI16+FK16+FM16</f>
        <v/>
      </c>
      <c r="KD16" s="44">
        <f>JO16+JQ16+JS16+JU16+JW16+JY16</f>
        <v/>
      </c>
      <c r="KE16" s="45">
        <f>KB16=E16</f>
        <v/>
      </c>
      <c r="KF16" s="101">
        <f>E16-KB16</f>
        <v/>
      </c>
      <c r="KG16" s="67" t="n"/>
    </row>
    <row r="17" ht="21.75" customFormat="1" customHeight="1" s="14">
      <c r="A17" s="126">
        <f>A16+1</f>
        <v/>
      </c>
      <c r="B17" s="175" t="inlineStr">
        <is>
          <t>Гринев В.Н.</t>
        </is>
      </c>
      <c r="C17" s="176" t="inlineStr">
        <is>
          <t>сварщик</t>
        </is>
      </c>
      <c r="D17" s="177">
        <f>$D$5</f>
        <v/>
      </c>
      <c r="E17" s="202" t="n"/>
      <c r="F17" s="190" t="n">
        <v>61252.7</v>
      </c>
      <c r="G17" s="52">
        <f>F17/D17</f>
        <v/>
      </c>
      <c r="H17" s="125" t="n"/>
      <c r="I17" s="107">
        <f>H17*100/$E$17</f>
        <v/>
      </c>
      <c r="J17" s="108" t="n"/>
      <c r="K17" s="107">
        <f>J17*100/$E$17</f>
        <v/>
      </c>
      <c r="L17" s="108" t="n"/>
      <c r="M17" s="107">
        <f>L17*100/$E$17</f>
        <v/>
      </c>
      <c r="N17" s="108" t="n"/>
      <c r="O17" s="107">
        <f>N17*100/$E$17</f>
        <v/>
      </c>
      <c r="P17" s="108" t="n"/>
      <c r="Q17" s="122">
        <f>P17*100/$E$17</f>
        <v/>
      </c>
      <c r="R17" s="108" t="n"/>
      <c r="S17" s="122">
        <f>R17*100/$E$17</f>
        <v/>
      </c>
      <c r="T17" s="108" t="n"/>
      <c r="U17" s="107">
        <f>T17*100/$E$17</f>
        <v/>
      </c>
      <c r="V17" s="108" t="n"/>
      <c r="W17" s="107">
        <f>V17*100/$E$17</f>
        <v/>
      </c>
      <c r="X17" s="108" t="n"/>
      <c r="Y17" s="107">
        <f>X17*100/$E$17</f>
        <v/>
      </c>
      <c r="Z17" s="108" t="n"/>
      <c r="AA17" s="107">
        <f>Z17*100/$E$17</f>
        <v/>
      </c>
      <c r="AB17" s="108" t="n"/>
      <c r="AC17" s="107">
        <f>AB17*100/$E$17</f>
        <v/>
      </c>
      <c r="AD17" s="108" t="n"/>
      <c r="AE17" s="122">
        <f>AD17*100/$E$17</f>
        <v/>
      </c>
      <c r="AF17" s="108" t="n"/>
      <c r="AG17" s="122">
        <f>AF17*100/$E$17</f>
        <v/>
      </c>
      <c r="AH17" s="108" t="n"/>
      <c r="AI17" s="107">
        <f>AH17*100/$E$17</f>
        <v/>
      </c>
      <c r="AJ17" s="108" t="n"/>
      <c r="AK17" s="107">
        <f>AJ17*100/$E$17</f>
        <v/>
      </c>
      <c r="AL17" s="108" t="n"/>
      <c r="AM17" s="107">
        <f>AL17*100/$E$17</f>
        <v/>
      </c>
      <c r="AN17" s="108" t="n"/>
      <c r="AO17" s="107">
        <f>AN17*100/$E$17</f>
        <v/>
      </c>
      <c r="AP17" s="108" t="n"/>
      <c r="AQ17" s="107">
        <f>AP17*100/$E$17</f>
        <v/>
      </c>
      <c r="AR17" s="108" t="n"/>
      <c r="AS17" s="107">
        <f>AR17*100/$E$17</f>
        <v/>
      </c>
      <c r="AT17" s="108" t="n"/>
      <c r="AU17" s="90">
        <f>AT17*100/$E$17</f>
        <v/>
      </c>
      <c r="AV17" s="108" t="n"/>
      <c r="AW17" s="107">
        <f>AV17*100/$E$17</f>
        <v/>
      </c>
      <c r="AX17" s="108" t="n"/>
      <c r="AY17" s="107">
        <f>AX17*100/$E$17</f>
        <v/>
      </c>
      <c r="AZ17" s="108" t="n"/>
      <c r="BA17" s="107">
        <f>AZ17*100/$E$17</f>
        <v/>
      </c>
      <c r="BB17" s="108" t="n"/>
      <c r="BC17" s="107">
        <f>BB17*100/$E$17</f>
        <v/>
      </c>
      <c r="BD17" s="108" t="n"/>
      <c r="BE17" s="107">
        <f>BD17*100/$E$17</f>
        <v/>
      </c>
      <c r="BF17" s="108" t="n"/>
      <c r="BG17" s="107">
        <f>BF17*100/$E$17</f>
        <v/>
      </c>
      <c r="BH17" s="108" t="n"/>
      <c r="BI17" s="107">
        <f>BH17*100/$E$17</f>
        <v/>
      </c>
      <c r="BJ17" s="108" t="n"/>
      <c r="BK17" s="107">
        <f>BJ17*100/$E$17</f>
        <v/>
      </c>
      <c r="BL17" s="108" t="n"/>
      <c r="BM17" s="107">
        <f>BL17*100/$E$17</f>
        <v/>
      </c>
      <c r="BN17" s="108" t="n"/>
      <c r="BO17" s="107">
        <f>BN17*100/$E$17</f>
        <v/>
      </c>
      <c r="BP17" s="108" t="n"/>
      <c r="BQ17" s="107">
        <f>BP17*100/$E$17</f>
        <v/>
      </c>
      <c r="BR17" s="108" t="n"/>
      <c r="BS17" s="107">
        <f>BR17*100/$E$17</f>
        <v/>
      </c>
      <c r="BT17" s="108" t="n"/>
      <c r="BU17" s="107">
        <f>BT17*100/$E$17</f>
        <v/>
      </c>
      <c r="BV17" s="108" t="n"/>
      <c r="BW17" s="107">
        <f>BV17*100/$E$17</f>
        <v/>
      </c>
      <c r="BX17" s="108" t="n"/>
      <c r="BY17" s="107">
        <f>BX17*100/$E$17</f>
        <v/>
      </c>
      <c r="BZ17" s="108" t="n"/>
      <c r="CA17" s="107">
        <f>BZ17*100/$E$17</f>
        <v/>
      </c>
      <c r="CB17" s="108" t="n"/>
      <c r="CC17" s="107">
        <f>CB17*100/$E$17</f>
        <v/>
      </c>
      <c r="CD17" s="108" t="n"/>
      <c r="CE17" s="107">
        <f>CD17*100/$E$17</f>
        <v/>
      </c>
      <c r="CF17" s="108" t="n"/>
      <c r="CG17" s="107">
        <f>CF17*100/$E$17</f>
        <v/>
      </c>
      <c r="CH17" s="108" t="n"/>
      <c r="CI17" s="107">
        <f>CH17*100/$E$17</f>
        <v/>
      </c>
      <c r="CJ17" s="108" t="n"/>
      <c r="CK17" s="107">
        <f>CJ17*100/$E$17</f>
        <v/>
      </c>
      <c r="CL17" s="108" t="n"/>
      <c r="CM17" s="107">
        <f>CL17*100/$E$17</f>
        <v/>
      </c>
      <c r="CN17" s="108" t="n"/>
      <c r="CO17" s="122">
        <f>CN17*100/$E$17</f>
        <v/>
      </c>
      <c r="CP17" s="108" t="n"/>
      <c r="CQ17" s="107">
        <f>CP17*100/$E$17</f>
        <v/>
      </c>
      <c r="CR17" s="108" t="n"/>
      <c r="CS17" s="122">
        <f>CR17*100/$E$17</f>
        <v/>
      </c>
      <c r="CT17" s="108" t="n"/>
      <c r="CU17" s="122">
        <f>CT17*100/$E$17</f>
        <v/>
      </c>
      <c r="CV17" s="108" t="n"/>
      <c r="CW17" s="122">
        <f>CV17*100/$E$17</f>
        <v/>
      </c>
      <c r="CX17" s="108" t="n"/>
      <c r="CY17" s="122">
        <f>CX17*100/$E$17</f>
        <v/>
      </c>
      <c r="CZ17" s="108" t="n"/>
      <c r="DA17" s="122">
        <f>CZ17*100/$E$17</f>
        <v/>
      </c>
      <c r="DB17" s="108" t="n"/>
      <c r="DC17" s="122">
        <f>DB17*100/$E$17</f>
        <v/>
      </c>
      <c r="DD17" s="108" t="n"/>
      <c r="DE17" s="122">
        <f>DD17*100/$E$17</f>
        <v/>
      </c>
      <c r="DF17" s="108" t="n"/>
      <c r="DG17" s="122">
        <f>DF17*100/$E$17</f>
        <v/>
      </c>
      <c r="DH17" s="108" t="n"/>
      <c r="DI17" s="122">
        <f>DH17*100/$E$17</f>
        <v/>
      </c>
      <c r="DJ17" s="108" t="n"/>
      <c r="DK17" s="122">
        <f>DJ17*100/$E$17</f>
        <v/>
      </c>
      <c r="DL17" s="108" t="n"/>
      <c r="DM17" s="122">
        <f>DL17*100/$E$17</f>
        <v/>
      </c>
      <c r="DN17" s="108" t="n"/>
      <c r="DO17" s="122">
        <f>DN17*100/$E$17</f>
        <v/>
      </c>
      <c r="DP17" s="108" t="n"/>
      <c r="DQ17" s="122">
        <f>DP17*100/$E$17</f>
        <v/>
      </c>
      <c r="DR17" s="108" t="n"/>
      <c r="DS17" s="122">
        <f>DR17*100/$E$17</f>
        <v/>
      </c>
      <c r="DT17" s="108" t="n"/>
      <c r="DU17" s="122">
        <f>DT17*100/$E$17</f>
        <v/>
      </c>
      <c r="DV17" s="108" t="n"/>
      <c r="DW17" s="122">
        <f>DV17*100/$E$17</f>
        <v/>
      </c>
      <c r="DX17" s="108" t="n"/>
      <c r="DY17" s="122">
        <f>DX17*100/$E$17</f>
        <v/>
      </c>
      <c r="DZ17" s="108" t="n"/>
      <c r="EA17" s="122">
        <f>DZ17*100/$E$17</f>
        <v/>
      </c>
      <c r="EB17" s="108" t="n"/>
      <c r="EC17" s="122">
        <f>EB17*100/$E$17</f>
        <v/>
      </c>
      <c r="ED17" s="108" t="n"/>
      <c r="EE17" s="122">
        <f>ED17*100/$E$17</f>
        <v/>
      </c>
      <c r="EF17" s="108" t="n"/>
      <c r="EG17" s="122">
        <f>EF17*100/$E$17</f>
        <v/>
      </c>
      <c r="EH17" s="108" t="n"/>
      <c r="EI17" s="122">
        <f>EH17*100/$E$17</f>
        <v/>
      </c>
      <c r="EJ17" s="108" t="n"/>
      <c r="EK17" s="122">
        <f>EJ17*100/$E$17</f>
        <v/>
      </c>
      <c r="EL17" s="108" t="n"/>
      <c r="EM17" s="122">
        <f>EL17*100/$E$17</f>
        <v/>
      </c>
      <c r="EN17" s="108" t="n"/>
      <c r="EO17" s="122">
        <f>EN17*100/$E$17</f>
        <v/>
      </c>
      <c r="EP17" s="108" t="n"/>
      <c r="EQ17" s="122">
        <f>EP17*100/$E$17</f>
        <v/>
      </c>
      <c r="ER17" s="108" t="n"/>
      <c r="ES17" s="122">
        <f>ER17*100/$E$17</f>
        <v/>
      </c>
      <c r="ET17" s="108" t="n"/>
      <c r="EU17" s="122">
        <f>ET17*100/$E$17</f>
        <v/>
      </c>
      <c r="EV17" s="108" t="n"/>
      <c r="EW17" s="122">
        <f>EV17*100/$E$17</f>
        <v/>
      </c>
      <c r="EX17" s="108" t="n"/>
      <c r="EY17" s="122">
        <f>EX17*100/$E$17</f>
        <v/>
      </c>
      <c r="EZ17" s="108" t="n"/>
      <c r="FA17" s="122">
        <f>EZ17*100/$E$17</f>
        <v/>
      </c>
      <c r="FB17" s="108" t="n"/>
      <c r="FC17" s="122">
        <f>FB17*100/$E$17</f>
        <v/>
      </c>
      <c r="FD17" s="108" t="n"/>
      <c r="FE17" s="122">
        <f>FD17*100/$E$17</f>
        <v/>
      </c>
      <c r="FF17" s="108" t="n"/>
      <c r="FG17" s="122">
        <f>FF17*100/$E$17</f>
        <v/>
      </c>
      <c r="FH17" s="108" t="n"/>
      <c r="FI17" s="122">
        <f>FH17*100/$E$17</f>
        <v/>
      </c>
      <c r="FJ17" s="108" t="n"/>
      <c r="FK17" s="122">
        <f>FJ17*100/$E$17</f>
        <v/>
      </c>
      <c r="FL17" s="108" t="n"/>
      <c r="FM17" s="122">
        <f>FL17*100/$E$17</f>
        <v/>
      </c>
      <c r="FN17" s="108" t="n"/>
      <c r="FO17" s="122">
        <f>FN17*100/$E$17</f>
        <v/>
      </c>
      <c r="FP17" s="108" t="n"/>
      <c r="FQ17" s="122">
        <f>FP17*100/$E$17</f>
        <v/>
      </c>
      <c r="FR17" s="108" t="n"/>
      <c r="FS17" s="122">
        <f>FR17*100/$E$17</f>
        <v/>
      </c>
      <c r="FT17" s="108" t="n"/>
      <c r="FU17" s="122">
        <f>FT17*100/$E$17</f>
        <v/>
      </c>
      <c r="FV17" s="108" t="n"/>
      <c r="FW17" s="122">
        <f>FV17*100/$E$17</f>
        <v/>
      </c>
      <c r="FX17" s="108" t="n"/>
      <c r="FY17" s="107">
        <f>FX17*100/$E$17</f>
        <v/>
      </c>
      <c r="FZ17" s="108" t="n"/>
      <c r="GA17" s="107">
        <f>FZ17*100/$E$17</f>
        <v/>
      </c>
      <c r="GB17" s="108" t="n"/>
      <c r="GC17" s="107">
        <f>GB17*100/$E$17</f>
        <v/>
      </c>
      <c r="GD17" s="108" t="n"/>
      <c r="GE17" s="107">
        <f>GD17*100/$E$17</f>
        <v/>
      </c>
      <c r="GF17" s="108" t="n"/>
      <c r="GG17" s="107">
        <f>GF17*100/$E$17</f>
        <v/>
      </c>
      <c r="GH17" s="108" t="n"/>
      <c r="GI17" s="107">
        <f>GH17*100/$E$17</f>
        <v/>
      </c>
      <c r="GJ17" s="108" t="n"/>
      <c r="GK17" s="122">
        <f>GJ17*100/$E$17</f>
        <v/>
      </c>
      <c r="GL17" s="108" t="n"/>
      <c r="GM17" s="107">
        <f>GL17*100/$E$17</f>
        <v/>
      </c>
      <c r="GN17" s="108" t="n"/>
      <c r="GO17" s="122">
        <f>GN17*100/$E$17</f>
        <v/>
      </c>
      <c r="GP17" s="108" t="n"/>
      <c r="GQ17" s="107">
        <f>GP17*100/$E$17</f>
        <v/>
      </c>
      <c r="GR17" s="108" t="n"/>
      <c r="GS17" s="122">
        <f>GR17*100/$E$17</f>
        <v/>
      </c>
      <c r="GT17" s="108" t="n"/>
      <c r="GU17" s="122">
        <f>GT17*100/$E$17</f>
        <v/>
      </c>
      <c r="GV17" s="108" t="n"/>
      <c r="GW17" s="122">
        <f>GV17*100/$E$17</f>
        <v/>
      </c>
      <c r="GX17" s="108" t="n"/>
      <c r="GY17" s="107">
        <f>GX17*100/$E$17</f>
        <v/>
      </c>
      <c r="GZ17" s="108" t="n"/>
      <c r="HA17" s="107">
        <f>GZ17*100/$E$17</f>
        <v/>
      </c>
      <c r="HB17" s="108" t="n"/>
      <c r="HC17" s="107">
        <f>HB17*100/$E$17</f>
        <v/>
      </c>
      <c r="HD17" s="108" t="n"/>
      <c r="HE17" s="107">
        <f>HD17*100/$E$17</f>
        <v/>
      </c>
      <c r="HF17" s="108" t="n"/>
      <c r="HG17" s="107">
        <f>HF17*100/$E$17</f>
        <v/>
      </c>
      <c r="HH17" s="108" t="n"/>
      <c r="HI17" s="107">
        <f>HH17*100/$E$17</f>
        <v/>
      </c>
      <c r="HJ17" s="108" t="n"/>
      <c r="HK17" s="107">
        <f>HJ17*100/$E$17</f>
        <v/>
      </c>
      <c r="HL17" s="108" t="n"/>
      <c r="HM17" s="107">
        <f>HL17*100/$E$17</f>
        <v/>
      </c>
      <c r="HN17" s="108" t="n"/>
      <c r="HO17" s="107">
        <f>HN17*100/$E$17</f>
        <v/>
      </c>
      <c r="HP17" s="108" t="n"/>
      <c r="HQ17" s="107">
        <f>HP17*100/$E$17</f>
        <v/>
      </c>
      <c r="HR17" s="108" t="n"/>
      <c r="HS17" s="107">
        <f>HR17*100/$E$17</f>
        <v/>
      </c>
      <c r="HT17" s="108" t="n"/>
      <c r="HU17" s="107">
        <f>HT17*100/$E$17</f>
        <v/>
      </c>
      <c r="HV17" s="108" t="n"/>
      <c r="HW17" s="107">
        <f>HV17*100/$E$17</f>
        <v/>
      </c>
      <c r="HX17" s="108" t="n"/>
      <c r="HY17" s="107">
        <f>HX17*100/$E$17</f>
        <v/>
      </c>
      <c r="HZ17" s="108" t="n"/>
      <c r="IA17" s="122">
        <f>HZ17*100/$E$17</f>
        <v/>
      </c>
      <c r="IB17" s="108" t="n"/>
      <c r="IC17" s="122">
        <f>IB17*100/$E$17</f>
        <v/>
      </c>
      <c r="ID17" s="108" t="n"/>
      <c r="IE17" s="122">
        <f>ID17*100/$E$17</f>
        <v/>
      </c>
      <c r="IF17" s="108" t="n"/>
      <c r="IG17" s="122">
        <f>IF17*100/$E$17</f>
        <v/>
      </c>
      <c r="IH17" s="108" t="n"/>
      <c r="II17" s="122">
        <f>IH17*100/$E$17</f>
        <v/>
      </c>
      <c r="IJ17" s="108" t="n"/>
      <c r="IK17" s="122">
        <f>IJ17*100/$E$17</f>
        <v/>
      </c>
      <c r="IL17" s="108" t="n"/>
      <c r="IM17" s="107">
        <f>IL17*100/E17</f>
        <v/>
      </c>
      <c r="IN17" s="108" t="n"/>
      <c r="IO17" s="107">
        <f>IN17*100/$E$17</f>
        <v/>
      </c>
      <c r="IP17" s="108" t="n"/>
      <c r="IQ17" s="122">
        <f>IP17*100/$E$17</f>
        <v/>
      </c>
      <c r="IR17" s="108" t="n"/>
      <c r="IS17" s="122">
        <f>IR17*100/$E$17</f>
        <v/>
      </c>
      <c r="IT17" s="108" t="n"/>
      <c r="IU17" s="122">
        <f>IT17*100/$E$17</f>
        <v/>
      </c>
      <c r="IV17" s="108" t="n"/>
      <c r="IW17" s="122">
        <f>IV17*100/$E$17</f>
        <v/>
      </c>
      <c r="IX17" s="108" t="n"/>
      <c r="IY17" s="122">
        <f>IX17*100/$E$17</f>
        <v/>
      </c>
      <c r="IZ17" s="108" t="n"/>
      <c r="JA17" s="122">
        <f>IZ17*100/$E$17</f>
        <v/>
      </c>
      <c r="JB17" s="108" t="n"/>
      <c r="JC17" s="122">
        <f>JB17*100/$E$17</f>
        <v/>
      </c>
      <c r="JD17" s="108" t="n"/>
      <c r="JE17" s="122">
        <f>JD17*100/$E$17</f>
        <v/>
      </c>
      <c r="JF17" s="108" t="n"/>
      <c r="JG17" s="122">
        <f>JF17*100/$E$17</f>
        <v/>
      </c>
      <c r="JH17" s="108" t="n"/>
      <c r="JI17" s="122">
        <f>JH17*100/$E$17</f>
        <v/>
      </c>
      <c r="JJ17" s="108" t="n"/>
      <c r="JK17" s="122">
        <f>JJ17*100/$E$17</f>
        <v/>
      </c>
      <c r="JL17" s="108" t="n"/>
      <c r="JM17" s="122">
        <f>JL17*100/$E$17</f>
        <v/>
      </c>
      <c r="JN17" s="108" t="n"/>
      <c r="JO17" s="121">
        <f>JN17*100/$E$17</f>
        <v/>
      </c>
      <c r="JP17" s="108" t="n"/>
      <c r="JQ17" s="121">
        <f>JP17*100/$E$17</f>
        <v/>
      </c>
      <c r="JR17" s="108" t="n"/>
      <c r="JS17" s="121">
        <f>JR17*100/$E$17</f>
        <v/>
      </c>
      <c r="JT17" s="108" t="n"/>
      <c r="JU17" s="121">
        <f>JT17*100/$E$17</f>
        <v/>
      </c>
      <c r="JV17" s="108" t="n"/>
      <c r="JW17" s="121">
        <f>JV17*100/$E$17</f>
        <v/>
      </c>
      <c r="JX17" s="108" t="n"/>
      <c r="JY17" s="121">
        <f>JX17*100/$E$17</f>
        <v/>
      </c>
      <c r="JZ17" s="55">
        <f>JN17+JP17+JR17+JT17+JV17+JX17</f>
        <v/>
      </c>
      <c r="KA17" s="53">
        <f>JO17+JQ17+JS17+JU17+JW17+JY17</f>
        <v/>
      </c>
      <c r="KB17" s="64">
        <f>H17+J17+L17+N17+P17+R17+T17+V17+X17+Z17+AB17+AD17+AF17+AH17+AJ17+AL17+AN17+AP17+AR17+AT17+AV17+AX17+AZ17+BB17+BD17+BF17+BH17+BJ17+BL17+BN17+BP17+BR17+BT17+BV17+BX17+BZ17+CB17+CD17+CF17+CH17+CZ17+DB17+DD17+DF17+DH17+DJ17+DL17+DN17+DP17+DR17+DT17+DV17+DX17+DZ17+EB17+ED17+EF17+EH17+EJ17+EL17+EN17+EP17+ER17+ET17+EV17+FN17+FP17+FR17+FT17+FV17+FX17+FZ17+GB17+GD17+GF17+GH17+GJ17+GL17+GN17+GP17+GR17+GT17+GV17+GX17+GZ17+HB17+HD17+HF17+HH17+HJ17+HL17+HN17+HP17+HR17+HT17+HV17+HX17+HZ17+IB17+ID17+IF17+IH17+IJ17+IL17+IN17+IP17+IR17+IT17+IV17+IX17+IZ17+JB17+JD17+JF17+JH17+JJ17+JL17+JZ17+CJ17+CL17+CN17+CP17+CR17+CT17+CV17+CX17+EX17+EZ17+FB17+FD17+FF17+FH17+FJ17+FL17</f>
        <v/>
      </c>
      <c r="KC17" s="66">
        <f>I17+K17+M17+O17+Q17+S17+U17+W17+Y17+AA17+AC17+AE17+AG17+AI17+AK17+AM17+AO17+AQ17+AS17+AU17+AW17+AY17+BA17+BC17+BE17+BG17+BI17+BK17+BM17+BO17+BQ17+BS17+BU17+BW17+BY17+CA17+CC17+CE17+CG17+CI17+DA17+DC17+DE17+DG17+DI17+DK17+DM17+DO17+DQ17+DS17+DU17+DW17+DY17+EA17+EC17+EE17+EG17+EI17+EK17+EM17+EO17+EQ17+ES17+EU17+EW17+FO17+FS17+FU17+FW17+FQ17+FY17+GA17+GC17+GE17+GG17+GI17+GK17+GM17+GO17+GQ17+GS17+GU17+GW17+GY17+HA17+HC17+HE17+HG17+HI17+HK17+HM17+HO17+HQ17+HS17+HU17+HW17+HY17+IA17+IC17+IE17+IG17+II17+IK17+IM17+IO17+IQ17+IS17+IU17+IW17+IY17+JA17+JC17+JE17+JG17+JI17+JK17+JM17+KA17+CK17+CM17+CO17+CQ17+CS17+CU17+CW17+CY17+EY17+FA17+FC17+FE17+FG17+FI17+FK17+FM17</f>
        <v/>
      </c>
      <c r="KD17" s="44">
        <f>JO17+JQ17+JS17+JU17+JW17+JY17</f>
        <v/>
      </c>
      <c r="KE17" s="45">
        <f>KB17=E17</f>
        <v/>
      </c>
      <c r="KF17" s="101">
        <f>E17-KB17</f>
        <v/>
      </c>
      <c r="KG17" s="15" t="n"/>
    </row>
    <row r="18" ht="21.75" customFormat="1" customHeight="1" s="15">
      <c r="A18" s="126">
        <f>A17+1</f>
        <v/>
      </c>
      <c r="B18" s="175" t="inlineStr">
        <is>
          <t>Гулиев Б.Н</t>
        </is>
      </c>
      <c r="C18" s="176" t="inlineStr">
        <is>
          <t>сварщик</t>
        </is>
      </c>
      <c r="D18" s="177">
        <f>$D$5</f>
        <v/>
      </c>
      <c r="E18" s="202" t="n"/>
      <c r="F18" s="190" t="n">
        <v>61252.7</v>
      </c>
      <c r="G18" s="52">
        <f>F18/D18</f>
        <v/>
      </c>
      <c r="H18" s="125" t="n"/>
      <c r="I18" s="107">
        <f>H18*100/$E$18</f>
        <v/>
      </c>
      <c r="J18" s="108" t="n"/>
      <c r="K18" s="107">
        <f>J18*100/$E$18</f>
        <v/>
      </c>
      <c r="L18" s="108" t="n"/>
      <c r="M18" s="107">
        <f>L18*100/$E$18</f>
        <v/>
      </c>
      <c r="N18" s="108" t="n"/>
      <c r="O18" s="107">
        <f>N18*100/$E$18</f>
        <v/>
      </c>
      <c r="P18" s="108" t="n"/>
      <c r="Q18" s="122">
        <f>P18*100/$E$18</f>
        <v/>
      </c>
      <c r="R18" s="108" t="n"/>
      <c r="S18" s="122">
        <f>R18*100/$E$18</f>
        <v/>
      </c>
      <c r="T18" s="108" t="n"/>
      <c r="U18" s="107">
        <f>T18*100/$E$18</f>
        <v/>
      </c>
      <c r="V18" s="108" t="n"/>
      <c r="W18" s="107">
        <f>V18*100/$E$18</f>
        <v/>
      </c>
      <c r="X18" s="108" t="n"/>
      <c r="Y18" s="107">
        <f>X18*100/$E$18</f>
        <v/>
      </c>
      <c r="Z18" s="108" t="n"/>
      <c r="AA18" s="107">
        <f>Z18*100/$E$18</f>
        <v/>
      </c>
      <c r="AB18" s="108" t="n"/>
      <c r="AC18" s="107">
        <f>AB18*100/$E$18</f>
        <v/>
      </c>
      <c r="AD18" s="108" t="n"/>
      <c r="AE18" s="122">
        <f>AD18*100/$E$18</f>
        <v/>
      </c>
      <c r="AF18" s="108" t="n"/>
      <c r="AG18" s="122">
        <f>AF18*100/$E$18</f>
        <v/>
      </c>
      <c r="AH18" s="108" t="n"/>
      <c r="AI18" s="107">
        <f>AH18*100/$E$18</f>
        <v/>
      </c>
      <c r="AJ18" s="108" t="n"/>
      <c r="AK18" s="107">
        <f>AJ18*100/$E$18</f>
        <v/>
      </c>
      <c r="AL18" s="108" t="n"/>
      <c r="AM18" s="107">
        <f>AL18*100/$E$18</f>
        <v/>
      </c>
      <c r="AN18" s="108" t="n"/>
      <c r="AO18" s="107">
        <f>AN18*100/$E$18</f>
        <v/>
      </c>
      <c r="AP18" s="108" t="n"/>
      <c r="AQ18" s="107">
        <f>AP18*100/$E$18</f>
        <v/>
      </c>
      <c r="AR18" s="108" t="n"/>
      <c r="AS18" s="107">
        <f>AR18*100/$E$18</f>
        <v/>
      </c>
      <c r="AT18" s="108" t="n"/>
      <c r="AU18" s="90">
        <f>AT18*100/$E$18</f>
        <v/>
      </c>
      <c r="AV18" s="108" t="n"/>
      <c r="AW18" s="107">
        <f>AV18*100/$E$18</f>
        <v/>
      </c>
      <c r="AX18" s="108" t="n"/>
      <c r="AY18" s="107">
        <f>AX18*100/$E$18</f>
        <v/>
      </c>
      <c r="AZ18" s="108" t="n"/>
      <c r="BA18" s="107">
        <f>AZ18*100/$E$18</f>
        <v/>
      </c>
      <c r="BB18" s="108" t="n"/>
      <c r="BC18" s="107">
        <f>BB18*100/$E$18</f>
        <v/>
      </c>
      <c r="BD18" s="108" t="n"/>
      <c r="BE18" s="107">
        <f>BD18*100/$E$18</f>
        <v/>
      </c>
      <c r="BF18" s="108" t="n"/>
      <c r="BG18" s="107">
        <f>BF18*100/$E$18</f>
        <v/>
      </c>
      <c r="BH18" s="108" t="n"/>
      <c r="BI18" s="107">
        <f>BH18*100/$E$18</f>
        <v/>
      </c>
      <c r="BJ18" s="108" t="n"/>
      <c r="BK18" s="107">
        <f>BJ18*100/$E$18</f>
        <v/>
      </c>
      <c r="BL18" s="108" t="n"/>
      <c r="BM18" s="107">
        <f>BL18*100/$E$18</f>
        <v/>
      </c>
      <c r="BN18" s="108" t="n"/>
      <c r="BO18" s="107">
        <f>BN18*100/$E$18</f>
        <v/>
      </c>
      <c r="BP18" s="108" t="n"/>
      <c r="BQ18" s="107">
        <f>BP18*100/$E$18</f>
        <v/>
      </c>
      <c r="BR18" s="108" t="n"/>
      <c r="BS18" s="107">
        <f>BR18*100/$E$18</f>
        <v/>
      </c>
      <c r="BT18" s="108" t="n"/>
      <c r="BU18" s="107">
        <f>BT18*100/$E$18</f>
        <v/>
      </c>
      <c r="BV18" s="108" t="n"/>
      <c r="BW18" s="107">
        <f>BV18*100/$E$18</f>
        <v/>
      </c>
      <c r="BX18" s="108" t="n"/>
      <c r="BY18" s="107">
        <f>BX18*100/$E$18</f>
        <v/>
      </c>
      <c r="BZ18" s="108" t="n"/>
      <c r="CA18" s="107">
        <f>BZ18*100/$E$18</f>
        <v/>
      </c>
      <c r="CB18" s="108" t="n"/>
      <c r="CC18" s="107">
        <f>CB18*100/$E$18</f>
        <v/>
      </c>
      <c r="CD18" s="108" t="n"/>
      <c r="CE18" s="107">
        <f>CD18*100/$E$18</f>
        <v/>
      </c>
      <c r="CF18" s="108" t="n"/>
      <c r="CG18" s="107">
        <f>CF18*100/$E$18</f>
        <v/>
      </c>
      <c r="CH18" s="108" t="n"/>
      <c r="CI18" s="107">
        <f>CH18*100/$E$18</f>
        <v/>
      </c>
      <c r="CJ18" s="108" t="n"/>
      <c r="CK18" s="107">
        <f>CJ18*100/$E$18</f>
        <v/>
      </c>
      <c r="CL18" s="108" t="n"/>
      <c r="CM18" s="107">
        <f>CL18*100/$E$18</f>
        <v/>
      </c>
      <c r="CN18" s="108" t="n"/>
      <c r="CO18" s="122">
        <f>CN18*100/$E$18</f>
        <v/>
      </c>
      <c r="CP18" s="108" t="n"/>
      <c r="CQ18" s="107">
        <f>CP18*100/$E$18</f>
        <v/>
      </c>
      <c r="CR18" s="108" t="n"/>
      <c r="CS18" s="122">
        <f>CR18*100/$E$18</f>
        <v/>
      </c>
      <c r="CT18" s="108" t="n"/>
      <c r="CU18" s="122">
        <f>CT18*100/$E$18</f>
        <v/>
      </c>
      <c r="CV18" s="108" t="n"/>
      <c r="CW18" s="122">
        <f>CV18*100/$E$18</f>
        <v/>
      </c>
      <c r="CX18" s="108" t="n"/>
      <c r="CY18" s="122">
        <f>CX18*100/$E$18</f>
        <v/>
      </c>
      <c r="CZ18" s="108" t="n"/>
      <c r="DA18" s="122">
        <f>CZ18*100/$E$18</f>
        <v/>
      </c>
      <c r="DB18" s="108" t="n"/>
      <c r="DC18" s="122">
        <f>DB18*100/$E$18</f>
        <v/>
      </c>
      <c r="DD18" s="108" t="n"/>
      <c r="DE18" s="122">
        <f>DD18*100/$E$18</f>
        <v/>
      </c>
      <c r="DF18" s="108" t="n"/>
      <c r="DG18" s="122">
        <f>DF18*100/$E$18</f>
        <v/>
      </c>
      <c r="DH18" s="108" t="n"/>
      <c r="DI18" s="122">
        <f>DH18*100/$E$18</f>
        <v/>
      </c>
      <c r="DJ18" s="108" t="n"/>
      <c r="DK18" s="122">
        <f>DJ18*100/$E$18</f>
        <v/>
      </c>
      <c r="DL18" s="108" t="n"/>
      <c r="DM18" s="122">
        <f>DL18*100/$E$18</f>
        <v/>
      </c>
      <c r="DN18" s="108" t="n"/>
      <c r="DO18" s="122">
        <f>DN18*100/$E$18</f>
        <v/>
      </c>
      <c r="DP18" s="108" t="n"/>
      <c r="DQ18" s="122">
        <f>DP18*100/$E$18</f>
        <v/>
      </c>
      <c r="DR18" s="108" t="n"/>
      <c r="DS18" s="122">
        <f>DR18*100/$E$18</f>
        <v/>
      </c>
      <c r="DT18" s="108" t="n"/>
      <c r="DU18" s="122">
        <f>DT18*100/$E$18</f>
        <v/>
      </c>
      <c r="DV18" s="108" t="n"/>
      <c r="DW18" s="122">
        <f>DV18*100/$E$18</f>
        <v/>
      </c>
      <c r="DX18" s="108" t="n"/>
      <c r="DY18" s="122">
        <f>DX18*100/$E$18</f>
        <v/>
      </c>
      <c r="DZ18" s="108" t="n"/>
      <c r="EA18" s="122">
        <f>DZ18*100/$E$18</f>
        <v/>
      </c>
      <c r="EB18" s="108" t="n"/>
      <c r="EC18" s="122">
        <f>EB18*100/$E$18</f>
        <v/>
      </c>
      <c r="ED18" s="108" t="n"/>
      <c r="EE18" s="122">
        <f>ED18*100/$E$18</f>
        <v/>
      </c>
      <c r="EF18" s="108" t="n"/>
      <c r="EG18" s="122">
        <f>EF18*100/$E$18</f>
        <v/>
      </c>
      <c r="EH18" s="108" t="n"/>
      <c r="EI18" s="122">
        <f>EH18*100/$E$18</f>
        <v/>
      </c>
      <c r="EJ18" s="108" t="n"/>
      <c r="EK18" s="122">
        <f>EJ18*100/$E$18</f>
        <v/>
      </c>
      <c r="EL18" s="108" t="n"/>
      <c r="EM18" s="122">
        <f>EL18*100/$E$18</f>
        <v/>
      </c>
      <c r="EN18" s="108" t="n"/>
      <c r="EO18" s="122">
        <f>EN18*100/$E$18</f>
        <v/>
      </c>
      <c r="EP18" s="108" t="n"/>
      <c r="EQ18" s="122">
        <f>EP18*100/$E$18</f>
        <v/>
      </c>
      <c r="ER18" s="108" t="n"/>
      <c r="ES18" s="122">
        <f>ER18*100/$E$18</f>
        <v/>
      </c>
      <c r="ET18" s="108" t="n"/>
      <c r="EU18" s="122">
        <f>ET18*100/$E$18</f>
        <v/>
      </c>
      <c r="EV18" s="108" t="n"/>
      <c r="EW18" s="122">
        <f>EV18*100/$E$18</f>
        <v/>
      </c>
      <c r="EX18" s="108" t="n"/>
      <c r="EY18" s="122">
        <f>EX18*100/$E$18</f>
        <v/>
      </c>
      <c r="EZ18" s="108" t="n"/>
      <c r="FA18" s="122">
        <f>EZ18*100/$E$18</f>
        <v/>
      </c>
      <c r="FB18" s="108" t="n"/>
      <c r="FC18" s="122">
        <f>FB18*100/$E$18</f>
        <v/>
      </c>
      <c r="FD18" s="108" t="n"/>
      <c r="FE18" s="122">
        <f>FD18*100/$E$18</f>
        <v/>
      </c>
      <c r="FF18" s="108" t="n"/>
      <c r="FG18" s="122">
        <f>FF18*100/$E$18</f>
        <v/>
      </c>
      <c r="FH18" s="108" t="n"/>
      <c r="FI18" s="122">
        <f>FH18*100/$E$18</f>
        <v/>
      </c>
      <c r="FJ18" s="108" t="n"/>
      <c r="FK18" s="122">
        <f>FJ18*100/$E$18</f>
        <v/>
      </c>
      <c r="FL18" s="108" t="n"/>
      <c r="FM18" s="122">
        <f>FL18*100/$E$18</f>
        <v/>
      </c>
      <c r="FN18" s="108" t="n"/>
      <c r="FO18" s="122">
        <f>FN18*100/$E$18</f>
        <v/>
      </c>
      <c r="FP18" s="108" t="n"/>
      <c r="FQ18" s="122">
        <f>FP18*100/$E$18</f>
        <v/>
      </c>
      <c r="FR18" s="108" t="n"/>
      <c r="FS18" s="122">
        <f>FR18*100/$E$18</f>
        <v/>
      </c>
      <c r="FT18" s="108" t="n"/>
      <c r="FU18" s="122">
        <f>FT18*100/$E$18</f>
        <v/>
      </c>
      <c r="FV18" s="108" t="n"/>
      <c r="FW18" s="122">
        <f>FV18*100/$E$18</f>
        <v/>
      </c>
      <c r="FX18" s="108" t="n"/>
      <c r="FY18" s="107">
        <f>FX18*100/$E$18</f>
        <v/>
      </c>
      <c r="FZ18" s="108" t="n"/>
      <c r="GA18" s="107">
        <f>FZ18*100/$E$18</f>
        <v/>
      </c>
      <c r="GB18" s="108" t="n"/>
      <c r="GC18" s="107">
        <f>GB18*100/$E$18</f>
        <v/>
      </c>
      <c r="GD18" s="108" t="n"/>
      <c r="GE18" s="107">
        <f>GD18*100/$E$18</f>
        <v/>
      </c>
      <c r="GF18" s="108" t="n"/>
      <c r="GG18" s="107">
        <f>GF18*100/$E$18</f>
        <v/>
      </c>
      <c r="GH18" s="108" t="n"/>
      <c r="GI18" s="107">
        <f>GH18*100/$E$18</f>
        <v/>
      </c>
      <c r="GJ18" s="108" t="n"/>
      <c r="GK18" s="122">
        <f>GJ18*100/$E$18</f>
        <v/>
      </c>
      <c r="GL18" s="108" t="n"/>
      <c r="GM18" s="107">
        <f>GL18*100/$E$18</f>
        <v/>
      </c>
      <c r="GN18" s="108" t="n"/>
      <c r="GO18" s="122">
        <f>GN18*100/$E$18</f>
        <v/>
      </c>
      <c r="GP18" s="108" t="n"/>
      <c r="GQ18" s="107">
        <f>GP18*100/$E$18</f>
        <v/>
      </c>
      <c r="GR18" s="108" t="n"/>
      <c r="GS18" s="122">
        <f>GR18*100/$E$18</f>
        <v/>
      </c>
      <c r="GT18" s="108" t="n"/>
      <c r="GU18" s="122">
        <f>GT18*100/$E$18</f>
        <v/>
      </c>
      <c r="GV18" s="108" t="n"/>
      <c r="GW18" s="122">
        <f>GV18*100/$E$18</f>
        <v/>
      </c>
      <c r="GX18" s="108" t="n"/>
      <c r="GY18" s="107">
        <f>GX18*100/$E$18</f>
        <v/>
      </c>
      <c r="GZ18" s="108" t="n"/>
      <c r="HA18" s="107">
        <f>GZ18*100/$E$18</f>
        <v/>
      </c>
      <c r="HB18" s="108" t="n"/>
      <c r="HC18" s="107">
        <f>HB18*100/$E$18</f>
        <v/>
      </c>
      <c r="HD18" s="108" t="n"/>
      <c r="HE18" s="107">
        <f>HD18*100/$E$18</f>
        <v/>
      </c>
      <c r="HF18" s="108" t="n"/>
      <c r="HG18" s="107">
        <f>HF18*100/$E$18</f>
        <v/>
      </c>
      <c r="HH18" s="108" t="n"/>
      <c r="HI18" s="107">
        <f>HH18*100/$E$18</f>
        <v/>
      </c>
      <c r="HJ18" s="108" t="n"/>
      <c r="HK18" s="107">
        <f>HJ18*100/$E$18</f>
        <v/>
      </c>
      <c r="HL18" s="108" t="n"/>
      <c r="HM18" s="107">
        <f>HL18*100/$E$18</f>
        <v/>
      </c>
      <c r="HN18" s="108" t="n"/>
      <c r="HO18" s="107">
        <f>HN18*100/$E$18</f>
        <v/>
      </c>
      <c r="HP18" s="108" t="n"/>
      <c r="HQ18" s="107">
        <f>HP18*100/$E$18</f>
        <v/>
      </c>
      <c r="HR18" s="108" t="n"/>
      <c r="HS18" s="107">
        <f>HR18*100/$E$18</f>
        <v/>
      </c>
      <c r="HT18" s="108" t="n"/>
      <c r="HU18" s="107">
        <f>HT18*100/$E$18</f>
        <v/>
      </c>
      <c r="HV18" s="108" t="n"/>
      <c r="HW18" s="107">
        <f>HV18*100/$E$18</f>
        <v/>
      </c>
      <c r="HX18" s="108" t="n"/>
      <c r="HY18" s="107">
        <f>HX18*100/$E$18</f>
        <v/>
      </c>
      <c r="HZ18" s="108" t="n"/>
      <c r="IA18" s="122">
        <f>HZ18*100/$E$18</f>
        <v/>
      </c>
      <c r="IB18" s="108" t="n"/>
      <c r="IC18" s="122">
        <f>IB18*100/$E$18</f>
        <v/>
      </c>
      <c r="ID18" s="108" t="n"/>
      <c r="IE18" s="122">
        <f>ID18*100/$E$18</f>
        <v/>
      </c>
      <c r="IF18" s="108" t="n"/>
      <c r="IG18" s="122">
        <f>IF18*100/$E$18</f>
        <v/>
      </c>
      <c r="IH18" s="108" t="n"/>
      <c r="II18" s="122">
        <f>IH18*100/$E$18</f>
        <v/>
      </c>
      <c r="IJ18" s="108" t="n"/>
      <c r="IK18" s="122">
        <f>IJ18*100/$E$18</f>
        <v/>
      </c>
      <c r="IL18" s="108" t="n"/>
      <c r="IM18" s="107">
        <f>IL18*100/E18</f>
        <v/>
      </c>
      <c r="IN18" s="108" t="n"/>
      <c r="IO18" s="107">
        <f>IN18*100/$E$18</f>
        <v/>
      </c>
      <c r="IP18" s="108" t="n"/>
      <c r="IQ18" s="122">
        <f>IP18*100/$E$18</f>
        <v/>
      </c>
      <c r="IR18" s="108" t="n"/>
      <c r="IS18" s="122">
        <f>IR18*100/$E$18</f>
        <v/>
      </c>
      <c r="IT18" s="108" t="n"/>
      <c r="IU18" s="122">
        <f>IT18*100/$E$18</f>
        <v/>
      </c>
      <c r="IV18" s="108" t="n"/>
      <c r="IW18" s="122">
        <f>IV18*100/$E$18</f>
        <v/>
      </c>
      <c r="IX18" s="108" t="n"/>
      <c r="IY18" s="122">
        <f>IX18*100/$E$18</f>
        <v/>
      </c>
      <c r="IZ18" s="108" t="n"/>
      <c r="JA18" s="122">
        <f>IZ18*100/$E$18</f>
        <v/>
      </c>
      <c r="JB18" s="108" t="n"/>
      <c r="JC18" s="122">
        <f>JB18*100/$E$18</f>
        <v/>
      </c>
      <c r="JD18" s="108" t="n"/>
      <c r="JE18" s="122">
        <f>JD18*100/$E$18</f>
        <v/>
      </c>
      <c r="JF18" s="108" t="n"/>
      <c r="JG18" s="122">
        <f>JF18*100/$E$18</f>
        <v/>
      </c>
      <c r="JH18" s="108" t="n"/>
      <c r="JI18" s="122">
        <f>JH18*100/$E$18</f>
        <v/>
      </c>
      <c r="JJ18" s="108" t="n"/>
      <c r="JK18" s="122">
        <f>JJ18*100/$E$18</f>
        <v/>
      </c>
      <c r="JL18" s="108" t="n"/>
      <c r="JM18" s="122">
        <f>JL18*100/$E$18</f>
        <v/>
      </c>
      <c r="JN18" s="108" t="n"/>
      <c r="JO18" s="122">
        <f>JN18*100/$E$18</f>
        <v/>
      </c>
      <c r="JP18" s="108" t="n"/>
      <c r="JQ18" s="122">
        <f>JP18*100/$E$18</f>
        <v/>
      </c>
      <c r="JR18" s="108" t="n"/>
      <c r="JS18" s="122">
        <f>JR18*100/$E$18</f>
        <v/>
      </c>
      <c r="JT18" s="108" t="n"/>
      <c r="JU18" s="122">
        <f>JT18*100/$E$18</f>
        <v/>
      </c>
      <c r="JV18" s="108" t="n"/>
      <c r="JW18" s="122">
        <f>JV18*100/$E$18</f>
        <v/>
      </c>
      <c r="JX18" s="108" t="n"/>
      <c r="JY18" s="122">
        <f>JX18*100/$E$18</f>
        <v/>
      </c>
      <c r="JZ18" s="55">
        <f>JN18+JP18+JR18+JT18+JV18+JX18</f>
        <v/>
      </c>
      <c r="KA18" s="53">
        <f>JO18+JQ18+JS18+JU18+JW18+JY18</f>
        <v/>
      </c>
      <c r="KB18" s="64">
        <f>H18+J18+L18+N18+P18+R18+T18+V18+X18+Z18+AB18+AD18+AF18+AH18+AJ18+AL18+AN18+AP18+AR18+AT18+AV18+AX18+AZ18+BB18+BD18+BF18+BH18+BJ18+BL18+BN18+BP18+BR18+BT18+BV18+BX18+BZ18+CB18+CD18+CF18+CH18+CZ18+DB18+DD18+DF18+DH18+DJ18+DL18+DN18+DP18+DR18+DT18+DV18+DX18+DZ18+EB18+ED18+EF18+EH18+EJ18+EL18+EN18+EP18+ER18+ET18+EV18+FN18+FP18+FR18+FT18+FV18+FX18+FZ18+GB18+GD18+GF18+GH18+GJ18+GL18+GN18+GP18+GR18+GT18+GV18+GX18+GZ18+HB18+HD18+HF18+HH18+HJ18+HL18+HN18+HP18+HR18+HT18+HV18+HX18+HZ18+IB18+ID18+IF18+IH18+IJ18+IL18+IN18+IP18+IR18+IT18+IV18+IX18+IZ18+JB18+JD18+JF18+JH18+JJ18+JL18+JZ18+CJ18+CL18+CN18+CP18+CR18+CT18+CV18+CX18+EX18+EZ18+FB18+FD18+FF18+FH18+FJ18+FL18</f>
        <v/>
      </c>
      <c r="KC18" s="66">
        <f>I18+K18+M18+O18+Q18+S18+U18+W18+Y18+AA18+AC18+AE18+AG18+AI18+AK18+AM18+AO18+AQ18+AS18+AU18+AW18+AY18+BA18+BC18+BE18+BG18+BI18+BK18+BM18+BO18+BQ18+BS18+BU18+BW18+BY18+CA18+CC18+CE18+CG18+CI18+DA18+DC18+DE18+DG18+DI18+DK18+DM18+DO18+DQ18+DS18+DU18+DW18+DY18+EA18+EC18+EE18+EG18+EI18+EK18+EM18+EO18+EQ18+ES18+EU18+EW18+FO18+FS18+FU18+FW18+FQ18+FY18+GA18+GC18+GE18+GG18+GI18+GK18+GM18+GO18+GQ18+GS18+GU18+GW18+GY18+HA18+HC18+HE18+HG18+HI18+HK18+HM18+HO18+HQ18+HS18+HU18+HW18+HY18+IA18+IC18+IE18+IG18+II18+IK18+IM18+IO18+IQ18+IS18+IU18+IW18+IY18+JA18+JC18+JE18+JG18+JI18+JK18+JM18+KA18+CK18+CM18+CO18+CQ18+CS18+CU18+CW18+CY18+EY18+FA18+FC18+FE18+FG18+FI18+FK18+FM18</f>
        <v/>
      </c>
      <c r="KD18" s="44">
        <f>JO18+JQ18+JS18+JU18+JW18+JY18</f>
        <v/>
      </c>
      <c r="KE18" s="45">
        <f>KB18=E18</f>
        <v/>
      </c>
      <c r="KF18" s="101">
        <f>E18-KB18</f>
        <v/>
      </c>
      <c r="KG18" s="14" t="n"/>
    </row>
    <row r="19" ht="21.75" customFormat="1" customHeight="1" s="16">
      <c r="A19" s="126">
        <f>A18+1</f>
        <v/>
      </c>
      <c r="B19" s="175" t="inlineStr">
        <is>
          <t>Демин С.С.</t>
        </is>
      </c>
      <c r="C19" s="176" t="inlineStr">
        <is>
          <t>слесарь МСР</t>
        </is>
      </c>
      <c r="D19" s="177">
        <f>$D$5</f>
        <v/>
      </c>
      <c r="E19" s="202" t="n"/>
      <c r="F19" s="190" t="n">
        <v>61252.7</v>
      </c>
      <c r="G19" s="52">
        <f>F19/D19</f>
        <v/>
      </c>
      <c r="H19" s="125" t="n"/>
      <c r="I19" s="107">
        <f>H19*100/$E$19</f>
        <v/>
      </c>
      <c r="J19" s="108" t="n"/>
      <c r="K19" s="107">
        <f>J19*100/$E$19</f>
        <v/>
      </c>
      <c r="L19" s="108" t="n"/>
      <c r="M19" s="107">
        <f>L19*100/$E$19</f>
        <v/>
      </c>
      <c r="N19" s="108" t="n"/>
      <c r="O19" s="107">
        <f>N19*100/$E$19</f>
        <v/>
      </c>
      <c r="P19" s="108" t="n"/>
      <c r="Q19" s="122">
        <f>P19*100/$E$19</f>
        <v/>
      </c>
      <c r="R19" s="108" t="n"/>
      <c r="S19" s="122">
        <f>R19*100/$E$19</f>
        <v/>
      </c>
      <c r="T19" s="108" t="n"/>
      <c r="U19" s="107">
        <f>T19*100/$E$19</f>
        <v/>
      </c>
      <c r="V19" s="108" t="n"/>
      <c r="W19" s="107">
        <f>V19*100/$E$19</f>
        <v/>
      </c>
      <c r="X19" s="108" t="n"/>
      <c r="Y19" s="107">
        <f>X19*100/$E$19</f>
        <v/>
      </c>
      <c r="Z19" s="108" t="n"/>
      <c r="AA19" s="107">
        <f>Z19*100/$E$19</f>
        <v/>
      </c>
      <c r="AB19" s="108" t="n"/>
      <c r="AC19" s="107">
        <f>AB19*100/$E$19</f>
        <v/>
      </c>
      <c r="AD19" s="108" t="n"/>
      <c r="AE19" s="122">
        <f>AD19*100/$E$19</f>
        <v/>
      </c>
      <c r="AF19" s="108" t="n"/>
      <c r="AG19" s="122">
        <f>AF19*100/$E$19</f>
        <v/>
      </c>
      <c r="AH19" s="108" t="n"/>
      <c r="AI19" s="107">
        <f>AH19*100/$E$19</f>
        <v/>
      </c>
      <c r="AJ19" s="108" t="n"/>
      <c r="AK19" s="107">
        <f>AJ19*100/$E$19</f>
        <v/>
      </c>
      <c r="AL19" s="108" t="n"/>
      <c r="AM19" s="122">
        <f>AL19*100/$E$19</f>
        <v/>
      </c>
      <c r="AN19" s="108" t="n"/>
      <c r="AO19" s="107">
        <f>AN19*100/$E$19</f>
        <v/>
      </c>
      <c r="AP19" s="108" t="n"/>
      <c r="AQ19" s="107">
        <f>AP19*100/$E$19</f>
        <v/>
      </c>
      <c r="AR19" s="108" t="n"/>
      <c r="AS19" s="107">
        <f>AR19*100/$E$19</f>
        <v/>
      </c>
      <c r="AT19" s="108" t="n"/>
      <c r="AU19" s="90">
        <f>AT19*100/$E$19</f>
        <v/>
      </c>
      <c r="AV19" s="108" t="n"/>
      <c r="AW19" s="107">
        <f>AV19*100/$E$19</f>
        <v/>
      </c>
      <c r="AX19" s="108" t="n"/>
      <c r="AY19" s="107">
        <f>AX19*100/$E$19</f>
        <v/>
      </c>
      <c r="AZ19" s="108" t="n"/>
      <c r="BA19" s="107">
        <f>AZ19*100/$E$19</f>
        <v/>
      </c>
      <c r="BB19" s="108" t="n"/>
      <c r="BC19" s="107">
        <f>BB19*100/$E$19</f>
        <v/>
      </c>
      <c r="BD19" s="108" t="n"/>
      <c r="BE19" s="107">
        <f>BD19*100/$E$19</f>
        <v/>
      </c>
      <c r="BF19" s="108" t="n"/>
      <c r="BG19" s="107">
        <f>BF19*100/$E$19</f>
        <v/>
      </c>
      <c r="BH19" s="108" t="n"/>
      <c r="BI19" s="107">
        <f>BH19*100/$E$19</f>
        <v/>
      </c>
      <c r="BJ19" s="108" t="n"/>
      <c r="BK19" s="107">
        <f>BJ19*100/$E$19</f>
        <v/>
      </c>
      <c r="BL19" s="108" t="n"/>
      <c r="BM19" s="107">
        <f>BL19*100/$E$19</f>
        <v/>
      </c>
      <c r="BN19" s="108" t="n"/>
      <c r="BO19" s="107">
        <f>BN19*100/$E$19</f>
        <v/>
      </c>
      <c r="BP19" s="108" t="n"/>
      <c r="BQ19" s="107">
        <f>BP19*100/$E$19</f>
        <v/>
      </c>
      <c r="BR19" s="108" t="n"/>
      <c r="BS19" s="107">
        <f>BR19*100/$E$19</f>
        <v/>
      </c>
      <c r="BT19" s="108" t="n"/>
      <c r="BU19" s="107">
        <f>BT19*100/$E$19</f>
        <v/>
      </c>
      <c r="BV19" s="108" t="n"/>
      <c r="BW19" s="107">
        <f>BV19*100/$E$19</f>
        <v/>
      </c>
      <c r="BX19" s="108" t="n"/>
      <c r="BY19" s="107">
        <f>BX19*100/$E$19</f>
        <v/>
      </c>
      <c r="BZ19" s="108" t="n"/>
      <c r="CA19" s="107">
        <f>BZ19*100/$E$19</f>
        <v/>
      </c>
      <c r="CB19" s="108" t="n"/>
      <c r="CC19" s="107">
        <f>CB19*100/$E$19</f>
        <v/>
      </c>
      <c r="CD19" s="108" t="n"/>
      <c r="CE19" s="107">
        <f>CD19*100/$E$19</f>
        <v/>
      </c>
      <c r="CF19" s="108" t="n"/>
      <c r="CG19" s="107">
        <f>CF19*100/$E$19</f>
        <v/>
      </c>
      <c r="CH19" s="108" t="n"/>
      <c r="CI19" s="107">
        <f>CH19*100/$E$19</f>
        <v/>
      </c>
      <c r="CJ19" s="108" t="n"/>
      <c r="CK19" s="107">
        <f>CJ19*100/$E$19</f>
        <v/>
      </c>
      <c r="CL19" s="108" t="n"/>
      <c r="CM19" s="107">
        <f>CL19*100/$E$19</f>
        <v/>
      </c>
      <c r="CN19" s="108" t="n"/>
      <c r="CO19" s="122">
        <f>CN19*100/$E$19</f>
        <v/>
      </c>
      <c r="CP19" s="108" t="n"/>
      <c r="CQ19" s="107">
        <f>CP19*100/$E$19</f>
        <v/>
      </c>
      <c r="CR19" s="108" t="n"/>
      <c r="CS19" s="122">
        <f>CR19*100/$E$19</f>
        <v/>
      </c>
      <c r="CT19" s="108" t="n"/>
      <c r="CU19" s="122">
        <f>CT19*100/$E$19</f>
        <v/>
      </c>
      <c r="CV19" s="108" t="n"/>
      <c r="CW19" s="122">
        <f>CV19*100/$E$19</f>
        <v/>
      </c>
      <c r="CX19" s="108" t="n"/>
      <c r="CY19" s="122">
        <f>CX19*100/$E$19</f>
        <v/>
      </c>
      <c r="CZ19" s="108" t="n"/>
      <c r="DA19" s="122">
        <f>CZ19*100/$E$19</f>
        <v/>
      </c>
      <c r="DB19" s="108" t="n"/>
      <c r="DC19" s="122">
        <f>DB19*100/$E$19</f>
        <v/>
      </c>
      <c r="DD19" s="108" t="n"/>
      <c r="DE19" s="122">
        <f>DD19*100/$E$19</f>
        <v/>
      </c>
      <c r="DF19" s="108" t="n"/>
      <c r="DG19" s="122">
        <f>DF19*100/$E$19</f>
        <v/>
      </c>
      <c r="DH19" s="108" t="n"/>
      <c r="DI19" s="122">
        <f>DH19*100/$E$19</f>
        <v/>
      </c>
      <c r="DJ19" s="108" t="n"/>
      <c r="DK19" s="122">
        <f>DJ19*100/$E$19</f>
        <v/>
      </c>
      <c r="DL19" s="108" t="n"/>
      <c r="DM19" s="122">
        <f>DL19*100/$E$19</f>
        <v/>
      </c>
      <c r="DN19" s="108" t="n"/>
      <c r="DO19" s="122">
        <f>DN19*100/$E$19</f>
        <v/>
      </c>
      <c r="DP19" s="108" t="n"/>
      <c r="DQ19" s="122">
        <f>DP19*100/$E$19</f>
        <v/>
      </c>
      <c r="DR19" s="108" t="n"/>
      <c r="DS19" s="122">
        <f>DR19*100/$E$19</f>
        <v/>
      </c>
      <c r="DT19" s="108" t="n"/>
      <c r="DU19" s="122">
        <f>DT19*100/$E$19</f>
        <v/>
      </c>
      <c r="DV19" s="108" t="n"/>
      <c r="DW19" s="122">
        <f>DV19*100/$E$19</f>
        <v/>
      </c>
      <c r="DX19" s="108" t="n"/>
      <c r="DY19" s="122">
        <f>DX19*100/$E$19</f>
        <v/>
      </c>
      <c r="DZ19" s="108" t="n"/>
      <c r="EA19" s="122">
        <f>DZ19*100/$E$19</f>
        <v/>
      </c>
      <c r="EB19" s="108" t="n"/>
      <c r="EC19" s="122">
        <f>EB19*100/$E$19</f>
        <v/>
      </c>
      <c r="ED19" s="108" t="n"/>
      <c r="EE19" s="122">
        <f>ED19*100/$E$19</f>
        <v/>
      </c>
      <c r="EF19" s="108" t="n"/>
      <c r="EG19" s="122">
        <f>EF19*100/$E$19</f>
        <v/>
      </c>
      <c r="EH19" s="108" t="n"/>
      <c r="EI19" s="122">
        <f>EH19*100/$E$19</f>
        <v/>
      </c>
      <c r="EJ19" s="108" t="n"/>
      <c r="EK19" s="122">
        <f>EJ19*100/$E$19</f>
        <v/>
      </c>
      <c r="EL19" s="108" t="n"/>
      <c r="EM19" s="122">
        <f>EL19*100/$E$19</f>
        <v/>
      </c>
      <c r="EN19" s="108" t="n"/>
      <c r="EO19" s="122">
        <f>EN19*100/$E$19</f>
        <v/>
      </c>
      <c r="EP19" s="108" t="n"/>
      <c r="EQ19" s="122">
        <f>EP19*100/$E$19</f>
        <v/>
      </c>
      <c r="ER19" s="108" t="n"/>
      <c r="ES19" s="122">
        <f>ER19*100/$E$19</f>
        <v/>
      </c>
      <c r="ET19" s="108" t="n"/>
      <c r="EU19" s="122">
        <f>ET19*100/$E$19</f>
        <v/>
      </c>
      <c r="EV19" s="108" t="n"/>
      <c r="EW19" s="122">
        <f>EV19*100/$E$19</f>
        <v/>
      </c>
      <c r="EX19" s="108" t="n"/>
      <c r="EY19" s="122">
        <f>EX19*100/$E$19</f>
        <v/>
      </c>
      <c r="EZ19" s="108" t="n"/>
      <c r="FA19" s="122">
        <f>EZ19*100/$E$19</f>
        <v/>
      </c>
      <c r="FB19" s="108" t="n"/>
      <c r="FC19" s="122">
        <f>FB19*100/$E$19</f>
        <v/>
      </c>
      <c r="FD19" s="108" t="n"/>
      <c r="FE19" s="122">
        <f>FD19*100/$E$19</f>
        <v/>
      </c>
      <c r="FF19" s="108" t="n"/>
      <c r="FG19" s="122">
        <f>FF19*100/$E$19</f>
        <v/>
      </c>
      <c r="FH19" s="108" t="n"/>
      <c r="FI19" s="122">
        <f>FH19*100/$E$19</f>
        <v/>
      </c>
      <c r="FJ19" s="108" t="n"/>
      <c r="FK19" s="122">
        <f>FJ19*100/$E$19</f>
        <v/>
      </c>
      <c r="FL19" s="108" t="n"/>
      <c r="FM19" s="122">
        <f>FL19*100/$E$19</f>
        <v/>
      </c>
      <c r="FN19" s="108" t="n"/>
      <c r="FO19" s="122">
        <f>FN19*100/$E$19</f>
        <v/>
      </c>
      <c r="FP19" s="108" t="n"/>
      <c r="FQ19" s="122">
        <f>FP19*100/$E$19</f>
        <v/>
      </c>
      <c r="FR19" s="108" t="n"/>
      <c r="FS19" s="122">
        <f>FR19*100/$E$19</f>
        <v/>
      </c>
      <c r="FT19" s="108" t="n"/>
      <c r="FU19" s="122">
        <f>FT19*100/$E$19</f>
        <v/>
      </c>
      <c r="FV19" s="108" t="n"/>
      <c r="FW19" s="122">
        <f>FV19*100/$E$19</f>
        <v/>
      </c>
      <c r="FX19" s="108" t="n"/>
      <c r="FY19" s="107">
        <f>FX19*100/$E$19</f>
        <v/>
      </c>
      <c r="FZ19" s="108" t="n"/>
      <c r="GA19" s="107">
        <f>FZ19*100/$E$19</f>
        <v/>
      </c>
      <c r="GB19" s="108" t="n"/>
      <c r="GC19" s="107">
        <f>GB19*100/$E$19</f>
        <v/>
      </c>
      <c r="GD19" s="108" t="n"/>
      <c r="GE19" s="107">
        <f>GD19*100/$E$19</f>
        <v/>
      </c>
      <c r="GF19" s="108" t="n"/>
      <c r="GG19" s="107">
        <f>GF19*100/$E$19</f>
        <v/>
      </c>
      <c r="GH19" s="108" t="n"/>
      <c r="GI19" s="107">
        <f>GH19*100/$E$19</f>
        <v/>
      </c>
      <c r="GJ19" s="108" t="n"/>
      <c r="GK19" s="122">
        <f>GJ19*100/$E$19</f>
        <v/>
      </c>
      <c r="GL19" s="108" t="n"/>
      <c r="GM19" s="107">
        <f>GL19*100/$E$19</f>
        <v/>
      </c>
      <c r="GN19" s="108" t="n"/>
      <c r="GO19" s="122">
        <f>GN19*100/$E$19</f>
        <v/>
      </c>
      <c r="GP19" s="108" t="n"/>
      <c r="GQ19" s="107">
        <f>GP19*100/$E$19</f>
        <v/>
      </c>
      <c r="GR19" s="108" t="n"/>
      <c r="GS19" s="122">
        <f>GR19*100/$E$19</f>
        <v/>
      </c>
      <c r="GT19" s="108" t="n"/>
      <c r="GU19" s="122">
        <f>GT19*100/$E$19</f>
        <v/>
      </c>
      <c r="GV19" s="108" t="n"/>
      <c r="GW19" s="122">
        <f>GV19*100/$E$19</f>
        <v/>
      </c>
      <c r="GX19" s="108" t="n"/>
      <c r="GY19" s="107">
        <f>GX19*100/$E$19</f>
        <v/>
      </c>
      <c r="GZ19" s="108" t="n"/>
      <c r="HA19" s="107">
        <f>GZ19*100/$E$19</f>
        <v/>
      </c>
      <c r="HB19" s="108" t="n"/>
      <c r="HC19" s="107">
        <f>HB19*100/$E$19</f>
        <v/>
      </c>
      <c r="HD19" s="108" t="n"/>
      <c r="HE19" s="107">
        <f>HD19*100/$E$19</f>
        <v/>
      </c>
      <c r="HF19" s="108" t="n"/>
      <c r="HG19" s="107">
        <f>HF19*100/$E$19</f>
        <v/>
      </c>
      <c r="HH19" s="108" t="n"/>
      <c r="HI19" s="107">
        <f>HH19*100/$E$19</f>
        <v/>
      </c>
      <c r="HJ19" s="108" t="n"/>
      <c r="HK19" s="107">
        <f>HJ19*100/$E$19</f>
        <v/>
      </c>
      <c r="HL19" s="108" t="n"/>
      <c r="HM19" s="107">
        <f>HL19*100/$E$19</f>
        <v/>
      </c>
      <c r="HN19" s="108" t="n"/>
      <c r="HO19" s="107">
        <f>HN19*100/$E$19</f>
        <v/>
      </c>
      <c r="HP19" s="108" t="n"/>
      <c r="HQ19" s="107">
        <f>HP19*100/$E$19</f>
        <v/>
      </c>
      <c r="HR19" s="108" t="n"/>
      <c r="HS19" s="107">
        <f>HR19*100/$E$19</f>
        <v/>
      </c>
      <c r="HT19" s="108" t="n"/>
      <c r="HU19" s="107">
        <f>HT19*100/$E$19</f>
        <v/>
      </c>
      <c r="HV19" s="108" t="n"/>
      <c r="HW19" s="107">
        <f>HV19*100/$E$19</f>
        <v/>
      </c>
      <c r="HX19" s="108" t="n"/>
      <c r="HY19" s="107">
        <f>HX19*100/$E$19</f>
        <v/>
      </c>
      <c r="HZ19" s="108" t="n"/>
      <c r="IA19" s="122">
        <f>HZ19*100/$E$19</f>
        <v/>
      </c>
      <c r="IB19" s="108" t="n"/>
      <c r="IC19" s="122">
        <f>IB19*100/$E$19</f>
        <v/>
      </c>
      <c r="ID19" s="108" t="n"/>
      <c r="IE19" s="122">
        <f>ID19*100/$E$19</f>
        <v/>
      </c>
      <c r="IF19" s="108" t="n"/>
      <c r="IG19" s="122">
        <f>IF19*100/$E$19</f>
        <v/>
      </c>
      <c r="IH19" s="108" t="n"/>
      <c r="II19" s="122">
        <f>IH19*100/$E$19</f>
        <v/>
      </c>
      <c r="IJ19" s="108" t="n"/>
      <c r="IK19" s="122">
        <f>IJ19*100/$E$19</f>
        <v/>
      </c>
      <c r="IL19" s="108" t="n"/>
      <c r="IM19" s="107">
        <f>IL19*100/$E$19</f>
        <v/>
      </c>
      <c r="IN19" s="108" t="n"/>
      <c r="IO19" s="107">
        <f>IN19*100/$E$19</f>
        <v/>
      </c>
      <c r="IP19" s="108" t="n"/>
      <c r="IQ19" s="122">
        <f>IP19*100/$E$19</f>
        <v/>
      </c>
      <c r="IR19" s="108" t="n"/>
      <c r="IS19" s="122">
        <f>IR19*100/$E$19</f>
        <v/>
      </c>
      <c r="IT19" s="108" t="n"/>
      <c r="IU19" s="122">
        <f>IT19*100/$E$19</f>
        <v/>
      </c>
      <c r="IV19" s="108" t="n"/>
      <c r="IW19" s="122">
        <f>IV19*100/$E$19</f>
        <v/>
      </c>
      <c r="IX19" s="108" t="n"/>
      <c r="IY19" s="122">
        <f>IX19*100/$E$19</f>
        <v/>
      </c>
      <c r="IZ19" s="108" t="n"/>
      <c r="JA19" s="122">
        <f>IZ19*100/$E$19</f>
        <v/>
      </c>
      <c r="JB19" s="108" t="n"/>
      <c r="JC19" s="122">
        <f>JB19*100/$E$19</f>
        <v/>
      </c>
      <c r="JD19" s="108" t="n"/>
      <c r="JE19" s="122">
        <f>JD19*100/$E$19</f>
        <v/>
      </c>
      <c r="JF19" s="108" t="n"/>
      <c r="JG19" s="122">
        <f>JF19*100/$E$19</f>
        <v/>
      </c>
      <c r="JH19" s="108" t="n"/>
      <c r="JI19" s="122">
        <f>JH19*100/$E$19</f>
        <v/>
      </c>
      <c r="JJ19" s="108" t="n"/>
      <c r="JK19" s="122">
        <f>JJ19*100/$E$19</f>
        <v/>
      </c>
      <c r="JL19" s="108" t="n"/>
      <c r="JM19" s="122">
        <f>JL19*100/$E$19</f>
        <v/>
      </c>
      <c r="JN19" s="108" t="n"/>
      <c r="JO19" s="122">
        <f>JN19*100/$E$19</f>
        <v/>
      </c>
      <c r="JP19" s="108" t="n"/>
      <c r="JQ19" s="122">
        <f>JP19*100/$E$19</f>
        <v/>
      </c>
      <c r="JR19" s="108" t="n"/>
      <c r="JS19" s="122">
        <f>JR19*100/$E$19</f>
        <v/>
      </c>
      <c r="JT19" s="108" t="n"/>
      <c r="JU19" s="122">
        <f>JT19*100/$E$19</f>
        <v/>
      </c>
      <c r="JV19" s="108" t="n"/>
      <c r="JW19" s="122">
        <f>JV19*100/$E$19</f>
        <v/>
      </c>
      <c r="JX19" s="108" t="n"/>
      <c r="JY19" s="122">
        <f>JX19*100/$E$19</f>
        <v/>
      </c>
      <c r="JZ19" s="55">
        <f>JN19+JP19+JR19+JT19+JV19+JX19</f>
        <v/>
      </c>
      <c r="KA19" s="53">
        <f>JO19+JQ19+JS19+JU19+JW19+JY19</f>
        <v/>
      </c>
      <c r="KB19" s="64">
        <f>H19+J19+L19+N19+P19+R19+T19+V19+X19+Z19+AB19+AD19+AF19+AH19+AJ19+AL19+AN19+AP19+AR19+AT19+AV19+AX19+AZ19+BB19+BD19+BF19+BH19+BJ19+BL19+BN19+BP19+BR19+BT19+BV19+BX19+BZ19+CB19+CD19+CF19+CH19+CZ19+DB19+DD19+DF19+DH19+DJ19+DL19+DN19+DP19+DR19+DT19+DV19+DX19+DZ19+EB19+ED19+EF19+EH19+EJ19+EL19+EN19+EP19+ER19+ET19+EV19+FN19+FP19+FR19+FT19+FV19+FX19+FZ19+GB19+GD19+GF19+GH19+GJ19+GL19+GN19+GP19+GR19+GT19+GV19+GX19+GZ19+HB19+HD19+HF19+HH19+HJ19+HL19+HN19+HP19+HR19+HT19+HV19+HX19+HZ19+IB19+ID19+IF19+IH19+IJ19+IL19+IN19+IP19+IR19+IT19+IV19+IX19+IZ19+JB19+JD19+JF19+JH19+JJ19+JL19+JZ19+CJ19+CL19+CN19+CP19+CR19+CT19+CV19+CX19+EX19+EZ19+FB19+FD19+FF19+FH19+FJ19+FL19</f>
        <v/>
      </c>
      <c r="KC19" s="66">
        <f>I19+K19+M19+O19+Q19+S19+U19+W19+Y19+AA19+AC19+AE19+AG19+AI19+AK19+AM19+AO19+AQ19+AS19+AU19+AW19+AY19+BA19+BC19+BE19+BG19+BI19+BK19+BM19+BO19+BQ19+BS19+BU19+BW19+BY19+CA19+CC19+CE19+CG19+CI19+DA19+DC19+DE19+DG19+DI19+DK19+DM19+DO19+DQ19+DS19+DU19+DW19+DY19+EA19+EC19+EE19+EG19+EI19+EK19+EM19+EO19+EQ19+ES19+EU19+EW19+FO19+FS19+FU19+FW19+FQ19+FY19+GA19+GC19+GE19+GG19+GI19+GK19+GM19+GO19+GQ19+GS19+GU19+GW19+GY19+HA19+HC19+HE19+HG19+HI19+HK19+HM19+HO19+HQ19+HS19+HU19+HW19+HY19+IA19+IC19+IE19+IG19+II19+IK19+IM19+IO19+IQ19+IS19+IU19+IW19+IY19+JA19+JC19+JE19+JG19+JI19+JK19+JM19+KA19+CK19+CM19+CO19+CQ19+CS19+CU19+CW19+CY19+EY19+FA19+FC19+FE19+FG19+FI19+FK19+FM19</f>
        <v/>
      </c>
      <c r="KD19" s="44">
        <f>JO19+JQ19+JS19+JU19+JW19+JY19</f>
        <v/>
      </c>
      <c r="KE19" s="45">
        <f>KB19=E19</f>
        <v/>
      </c>
      <c r="KF19" s="101">
        <f>E19-KB19</f>
        <v/>
      </c>
      <c r="KG19" s="14" t="n"/>
    </row>
    <row r="20" ht="21.75" customFormat="1" customHeight="1" s="14">
      <c r="A20" s="126">
        <f>A19+1</f>
        <v/>
      </c>
      <c r="B20" s="175" t="inlineStr">
        <is>
          <t>Евстратов Е.В.</t>
        </is>
      </c>
      <c r="C20" s="176" t="inlineStr">
        <is>
          <t>слесарь</t>
        </is>
      </c>
      <c r="D20" s="177">
        <f>$D$5</f>
        <v/>
      </c>
      <c r="E20" s="202" t="n"/>
      <c r="F20" s="190" t="n">
        <v>68902.87</v>
      </c>
      <c r="G20" s="52">
        <f>F20/D20</f>
        <v/>
      </c>
      <c r="H20" s="125" t="n"/>
      <c r="I20" s="107">
        <f>H20*100/$E$20</f>
        <v/>
      </c>
      <c r="J20" s="108" t="n"/>
      <c r="K20" s="107">
        <f>J20*100/$E$20</f>
        <v/>
      </c>
      <c r="L20" s="108" t="n"/>
      <c r="M20" s="107">
        <f>L20*100/$E$20</f>
        <v/>
      </c>
      <c r="N20" s="108" t="n"/>
      <c r="O20" s="107">
        <f>N20*100/$E$20</f>
        <v/>
      </c>
      <c r="P20" s="108" t="n"/>
      <c r="Q20" s="122">
        <f>P20*100/$E$20</f>
        <v/>
      </c>
      <c r="R20" s="108" t="n"/>
      <c r="S20" s="122">
        <f>R20*100/$E$20</f>
        <v/>
      </c>
      <c r="T20" s="108" t="n"/>
      <c r="U20" s="107">
        <f>T20*100/$E$20</f>
        <v/>
      </c>
      <c r="V20" s="108" t="n"/>
      <c r="W20" s="107">
        <f>V20*100/$E$20</f>
        <v/>
      </c>
      <c r="X20" s="108" t="n"/>
      <c r="Y20" s="107">
        <f>X20*100/$E$20</f>
        <v/>
      </c>
      <c r="Z20" s="108" t="n"/>
      <c r="AA20" s="107">
        <f>Z20*100/$E$20</f>
        <v/>
      </c>
      <c r="AB20" s="108" t="n"/>
      <c r="AC20" s="107">
        <f>AB20*100/$E$20</f>
        <v/>
      </c>
      <c r="AD20" s="108" t="n"/>
      <c r="AE20" s="122">
        <f>AD20*100/$E$20</f>
        <v/>
      </c>
      <c r="AF20" s="108" t="n"/>
      <c r="AG20" s="122">
        <f>AF20*100/$E$20</f>
        <v/>
      </c>
      <c r="AH20" s="108" t="n"/>
      <c r="AI20" s="107">
        <f>AH20*100/$E$20</f>
        <v/>
      </c>
      <c r="AJ20" s="108" t="n"/>
      <c r="AK20" s="107">
        <f>AJ20*100/$E$20</f>
        <v/>
      </c>
      <c r="AL20" s="108" t="n"/>
      <c r="AM20" s="107">
        <f>AL20*100/$E$20</f>
        <v/>
      </c>
      <c r="AN20" s="108" t="n"/>
      <c r="AO20" s="107">
        <f>AN20*100/$E$20</f>
        <v/>
      </c>
      <c r="AP20" s="108" t="n"/>
      <c r="AQ20" s="107">
        <f>AP20*100/$E$20</f>
        <v/>
      </c>
      <c r="AR20" s="108" t="n"/>
      <c r="AS20" s="107">
        <f>AR20*100/$E$20</f>
        <v/>
      </c>
      <c r="AT20" s="108" t="n"/>
      <c r="AU20" s="90">
        <f>AT20*100/$E$20</f>
        <v/>
      </c>
      <c r="AV20" s="108" t="n"/>
      <c r="AW20" s="107">
        <f>AV20*100/$E$20</f>
        <v/>
      </c>
      <c r="AX20" s="108" t="n"/>
      <c r="AY20" s="107">
        <f>AX20*100/$E$20</f>
        <v/>
      </c>
      <c r="AZ20" s="108" t="n"/>
      <c r="BA20" s="107">
        <f>AZ20*100/$E$20</f>
        <v/>
      </c>
      <c r="BB20" s="108" t="n"/>
      <c r="BC20" s="107">
        <f>BB20*100/$E$20</f>
        <v/>
      </c>
      <c r="BD20" s="108" t="n"/>
      <c r="BE20" s="107">
        <f>BD20*100/$E$20</f>
        <v/>
      </c>
      <c r="BF20" s="108" t="n"/>
      <c r="BG20" s="107">
        <f>BF20*100/$E$20</f>
        <v/>
      </c>
      <c r="BH20" s="108" t="n"/>
      <c r="BI20" s="107">
        <f>BH20*100/$E$20</f>
        <v/>
      </c>
      <c r="BJ20" s="108" t="n"/>
      <c r="BK20" s="107">
        <f>BJ20*100/$E$20</f>
        <v/>
      </c>
      <c r="BL20" s="108" t="n"/>
      <c r="BM20" s="107">
        <f>BL20*100/$E$20</f>
        <v/>
      </c>
      <c r="BN20" s="108" t="n"/>
      <c r="BO20" s="107">
        <f>BN20*100/$E$20</f>
        <v/>
      </c>
      <c r="BP20" s="108" t="n"/>
      <c r="BQ20" s="107">
        <f>BP20*100/$E$20</f>
        <v/>
      </c>
      <c r="BR20" s="108" t="n"/>
      <c r="BS20" s="107">
        <f>BR20*100/$E$20</f>
        <v/>
      </c>
      <c r="BT20" s="108" t="n"/>
      <c r="BU20" s="107">
        <f>BT20*100/$E$20</f>
        <v/>
      </c>
      <c r="BV20" s="108" t="n"/>
      <c r="BW20" s="107">
        <f>BV20*100/$E$20</f>
        <v/>
      </c>
      <c r="BX20" s="108" t="n"/>
      <c r="BY20" s="107">
        <f>BX20*100/$E$20</f>
        <v/>
      </c>
      <c r="BZ20" s="108" t="n"/>
      <c r="CA20" s="107">
        <f>BZ20*100/$E$20</f>
        <v/>
      </c>
      <c r="CB20" s="108" t="n"/>
      <c r="CC20" s="107">
        <f>CB20*100/$E$20</f>
        <v/>
      </c>
      <c r="CD20" s="108" t="n"/>
      <c r="CE20" s="107">
        <f>CD20*100/$E$20</f>
        <v/>
      </c>
      <c r="CF20" s="108" t="n"/>
      <c r="CG20" s="107">
        <f>CF20*100/$E$20</f>
        <v/>
      </c>
      <c r="CH20" s="108" t="n"/>
      <c r="CI20" s="107">
        <f>CH20*100/$E$20</f>
        <v/>
      </c>
      <c r="CJ20" s="108" t="n"/>
      <c r="CK20" s="107">
        <f>CJ20*100/$E$20</f>
        <v/>
      </c>
      <c r="CL20" s="108" t="n"/>
      <c r="CM20" s="107">
        <f>CL20*100/$E$20</f>
        <v/>
      </c>
      <c r="CN20" s="108" t="n"/>
      <c r="CO20" s="122">
        <f>CN20*100/$E$20</f>
        <v/>
      </c>
      <c r="CP20" s="108" t="n"/>
      <c r="CQ20" s="107">
        <f>CP20*100/$E$20</f>
        <v/>
      </c>
      <c r="CR20" s="108" t="n"/>
      <c r="CS20" s="122">
        <f>CR20*100/$E$20</f>
        <v/>
      </c>
      <c r="CT20" s="108" t="n"/>
      <c r="CU20" s="122">
        <f>CT20*100/$E$20</f>
        <v/>
      </c>
      <c r="CV20" s="108" t="n"/>
      <c r="CW20" s="122">
        <f>CV20*100/$E$20</f>
        <v/>
      </c>
      <c r="CX20" s="108" t="n"/>
      <c r="CY20" s="122">
        <f>CX20*100/$E$20</f>
        <v/>
      </c>
      <c r="CZ20" s="108" t="n"/>
      <c r="DA20" s="122">
        <f>CZ20*100/$E$20</f>
        <v/>
      </c>
      <c r="DB20" s="108" t="n"/>
      <c r="DC20" s="122">
        <f>DB20*100/$E$20</f>
        <v/>
      </c>
      <c r="DD20" s="108" t="n"/>
      <c r="DE20" s="122">
        <f>DD20*100/$E$20</f>
        <v/>
      </c>
      <c r="DF20" s="108" t="n"/>
      <c r="DG20" s="122">
        <f>DF20*100/$E$20</f>
        <v/>
      </c>
      <c r="DH20" s="108" t="n"/>
      <c r="DI20" s="122">
        <f>DH20*100/$E$20</f>
        <v/>
      </c>
      <c r="DJ20" s="108" t="n"/>
      <c r="DK20" s="122">
        <f>DJ20*100/$E$20</f>
        <v/>
      </c>
      <c r="DL20" s="108" t="n"/>
      <c r="DM20" s="122">
        <f>DL20*100/$E$20</f>
        <v/>
      </c>
      <c r="DN20" s="108" t="n"/>
      <c r="DO20" s="122">
        <f>DN20*100/$E$20</f>
        <v/>
      </c>
      <c r="DP20" s="108" t="n"/>
      <c r="DQ20" s="122">
        <f>DP20*100/$E$20</f>
        <v/>
      </c>
      <c r="DR20" s="108" t="n"/>
      <c r="DS20" s="122">
        <f>DR20*100/$E$20</f>
        <v/>
      </c>
      <c r="DT20" s="108" t="n"/>
      <c r="DU20" s="122">
        <f>DT20*100/$E$20</f>
        <v/>
      </c>
      <c r="DV20" s="108" t="n"/>
      <c r="DW20" s="122">
        <f>DV20*100/$E$20</f>
        <v/>
      </c>
      <c r="DX20" s="108" t="n"/>
      <c r="DY20" s="122">
        <f>DX20*100/$E$20</f>
        <v/>
      </c>
      <c r="DZ20" s="108" t="n"/>
      <c r="EA20" s="122">
        <f>DZ20*100/$E$20</f>
        <v/>
      </c>
      <c r="EB20" s="108" t="n"/>
      <c r="EC20" s="122">
        <f>EB20*100/$E$20</f>
        <v/>
      </c>
      <c r="ED20" s="108" t="n"/>
      <c r="EE20" s="122">
        <f>ED20*100/$E$20</f>
        <v/>
      </c>
      <c r="EF20" s="108" t="n"/>
      <c r="EG20" s="122">
        <f>EF20*100/$E$20</f>
        <v/>
      </c>
      <c r="EH20" s="108" t="n"/>
      <c r="EI20" s="122">
        <f>EH20*100/$E$20</f>
        <v/>
      </c>
      <c r="EJ20" s="108" t="n"/>
      <c r="EK20" s="122">
        <f>EJ20*100/$E$20</f>
        <v/>
      </c>
      <c r="EL20" s="108" t="n"/>
      <c r="EM20" s="122">
        <f>EL20*100/$E$20</f>
        <v/>
      </c>
      <c r="EN20" s="108" t="n"/>
      <c r="EO20" s="122">
        <f>EN20*100/$E$20</f>
        <v/>
      </c>
      <c r="EP20" s="108" t="n"/>
      <c r="EQ20" s="122">
        <f>EP20*100/$E$20</f>
        <v/>
      </c>
      <c r="ER20" s="108" t="n"/>
      <c r="ES20" s="122">
        <f>ER20*100/$E$20</f>
        <v/>
      </c>
      <c r="ET20" s="108" t="n"/>
      <c r="EU20" s="122">
        <f>ET20*100/$E$20</f>
        <v/>
      </c>
      <c r="EV20" s="108" t="n"/>
      <c r="EW20" s="122">
        <f>EV20*100/$E$20</f>
        <v/>
      </c>
      <c r="EX20" s="108" t="n"/>
      <c r="EY20" s="122">
        <f>EX20*100/$E$20</f>
        <v/>
      </c>
      <c r="EZ20" s="108" t="n"/>
      <c r="FA20" s="122">
        <f>EZ20*100/$E$20</f>
        <v/>
      </c>
      <c r="FB20" s="108" t="n"/>
      <c r="FC20" s="122">
        <f>FB20*100/$E$20</f>
        <v/>
      </c>
      <c r="FD20" s="108" t="n"/>
      <c r="FE20" s="122">
        <f>FD20*100/$E$20</f>
        <v/>
      </c>
      <c r="FF20" s="108" t="n"/>
      <c r="FG20" s="122">
        <f>FF20*100/$E$20</f>
        <v/>
      </c>
      <c r="FH20" s="108" t="n"/>
      <c r="FI20" s="122">
        <f>FH20*100/$E$20</f>
        <v/>
      </c>
      <c r="FJ20" s="108" t="n"/>
      <c r="FK20" s="122">
        <f>FJ20*100/$E$20</f>
        <v/>
      </c>
      <c r="FL20" s="108" t="n"/>
      <c r="FM20" s="122">
        <f>FL20*100/$E$20</f>
        <v/>
      </c>
      <c r="FN20" s="108" t="n"/>
      <c r="FO20" s="122">
        <f>FN20*100/$E$20</f>
        <v/>
      </c>
      <c r="FP20" s="108" t="n"/>
      <c r="FQ20" s="122">
        <f>FP20*100/$E$20</f>
        <v/>
      </c>
      <c r="FR20" s="108" t="n"/>
      <c r="FS20" s="122">
        <f>FR20*100/$E$20</f>
        <v/>
      </c>
      <c r="FT20" s="108" t="n"/>
      <c r="FU20" s="122">
        <f>FT20*100/$E$20</f>
        <v/>
      </c>
      <c r="FV20" s="108" t="n"/>
      <c r="FW20" s="122">
        <f>FV20*100/$E$20</f>
        <v/>
      </c>
      <c r="FX20" s="108" t="n"/>
      <c r="FY20" s="107">
        <f>FX20*100/$E$20</f>
        <v/>
      </c>
      <c r="FZ20" s="108" t="n"/>
      <c r="GA20" s="107">
        <f>FZ20*100/$E$20</f>
        <v/>
      </c>
      <c r="GB20" s="108" t="n"/>
      <c r="GC20" s="107">
        <f>GB20*100/$E$20</f>
        <v/>
      </c>
      <c r="GD20" s="108" t="n"/>
      <c r="GE20" s="107">
        <f>GD20*100/$E$20</f>
        <v/>
      </c>
      <c r="GF20" s="108" t="n"/>
      <c r="GG20" s="107">
        <f>GF20*100/$E$20</f>
        <v/>
      </c>
      <c r="GH20" s="108" t="n"/>
      <c r="GI20" s="107">
        <f>GH20*100/$E$20</f>
        <v/>
      </c>
      <c r="GJ20" s="108" t="n"/>
      <c r="GK20" s="122">
        <f>GJ20*100/$E$20</f>
        <v/>
      </c>
      <c r="GL20" s="108" t="n"/>
      <c r="GM20" s="107">
        <f>GL20*100/$E$20</f>
        <v/>
      </c>
      <c r="GN20" s="108" t="n"/>
      <c r="GO20" s="122">
        <f>GN20*100/$E$20</f>
        <v/>
      </c>
      <c r="GP20" s="108" t="n"/>
      <c r="GQ20" s="107">
        <f>GP20*100/$E$20</f>
        <v/>
      </c>
      <c r="GR20" s="108" t="n"/>
      <c r="GS20" s="122">
        <f>GR20*100/$E$20</f>
        <v/>
      </c>
      <c r="GT20" s="108" t="n"/>
      <c r="GU20" s="122">
        <f>GT20*100/$E$20</f>
        <v/>
      </c>
      <c r="GV20" s="108" t="n"/>
      <c r="GW20" s="122">
        <f>GV20*100/$E$20</f>
        <v/>
      </c>
      <c r="GX20" s="108" t="n"/>
      <c r="GY20" s="107">
        <f>GX20*100/$E$20</f>
        <v/>
      </c>
      <c r="GZ20" s="108" t="n"/>
      <c r="HA20" s="107">
        <f>GZ20*100/$E$20</f>
        <v/>
      </c>
      <c r="HB20" s="108" t="n"/>
      <c r="HC20" s="107">
        <f>HB20*100/$E$20</f>
        <v/>
      </c>
      <c r="HD20" s="108" t="n"/>
      <c r="HE20" s="107">
        <f>HD20*100/$E$20</f>
        <v/>
      </c>
      <c r="HF20" s="108" t="n"/>
      <c r="HG20" s="107">
        <f>HF20*100/$E$20</f>
        <v/>
      </c>
      <c r="HH20" s="108" t="n"/>
      <c r="HI20" s="107">
        <f>HH20*100/$E$20</f>
        <v/>
      </c>
      <c r="HJ20" s="108" t="n"/>
      <c r="HK20" s="107">
        <f>HJ20*100/$E$20</f>
        <v/>
      </c>
      <c r="HL20" s="108" t="n"/>
      <c r="HM20" s="107">
        <f>HL20*100/$E$20</f>
        <v/>
      </c>
      <c r="HN20" s="108" t="n"/>
      <c r="HO20" s="107">
        <f>HN20*100/$E$20</f>
        <v/>
      </c>
      <c r="HP20" s="108" t="n"/>
      <c r="HQ20" s="107">
        <f>HP20*100/$E$20</f>
        <v/>
      </c>
      <c r="HR20" s="108" t="n"/>
      <c r="HS20" s="107">
        <f>HR20*100/$E$20</f>
        <v/>
      </c>
      <c r="HT20" s="108" t="n"/>
      <c r="HU20" s="107">
        <f>HT20*100/$E$20</f>
        <v/>
      </c>
      <c r="HV20" s="108" t="n"/>
      <c r="HW20" s="107">
        <f>HV20*100/$E$20</f>
        <v/>
      </c>
      <c r="HX20" s="108" t="n"/>
      <c r="HY20" s="107">
        <f>HX20*100/$E$20</f>
        <v/>
      </c>
      <c r="HZ20" s="108" t="n"/>
      <c r="IA20" s="122">
        <f>HZ20*100/$E$20</f>
        <v/>
      </c>
      <c r="IB20" s="108" t="n"/>
      <c r="IC20" s="122">
        <f>IB20*100/$E$20</f>
        <v/>
      </c>
      <c r="ID20" s="108" t="n"/>
      <c r="IE20" s="122">
        <f>ID20*100/$E$20</f>
        <v/>
      </c>
      <c r="IF20" s="108" t="n"/>
      <c r="IG20" s="122">
        <f>IF20*100/$E$20</f>
        <v/>
      </c>
      <c r="IH20" s="108" t="n"/>
      <c r="II20" s="122">
        <f>IH20*100/$E$20</f>
        <v/>
      </c>
      <c r="IJ20" s="108" t="n"/>
      <c r="IK20" s="122">
        <f>IJ20*100/$E$20</f>
        <v/>
      </c>
      <c r="IL20" s="108" t="n"/>
      <c r="IM20" s="107">
        <f>IL20*100/$E$20</f>
        <v/>
      </c>
      <c r="IN20" s="108" t="n"/>
      <c r="IO20" s="107">
        <f>IN20*100/$E$20</f>
        <v/>
      </c>
      <c r="IP20" s="108" t="n"/>
      <c r="IQ20" s="122">
        <f>IP20*100/$E$20</f>
        <v/>
      </c>
      <c r="IR20" s="108" t="n"/>
      <c r="IS20" s="122">
        <f>IR20*100/$E$20</f>
        <v/>
      </c>
      <c r="IT20" s="108" t="n"/>
      <c r="IU20" s="122">
        <f>IT20*100/$E$20</f>
        <v/>
      </c>
      <c r="IV20" s="108" t="n"/>
      <c r="IW20" s="122">
        <f>IV20*100/$E$20</f>
        <v/>
      </c>
      <c r="IX20" s="108" t="n"/>
      <c r="IY20" s="122">
        <f>IX20*100/$E$20</f>
        <v/>
      </c>
      <c r="IZ20" s="108" t="n"/>
      <c r="JA20" s="122">
        <f>IZ20*100/$E$20</f>
        <v/>
      </c>
      <c r="JB20" s="108" t="n"/>
      <c r="JC20" s="122">
        <f>JB20*100/$E$20</f>
        <v/>
      </c>
      <c r="JD20" s="108" t="n"/>
      <c r="JE20" s="122">
        <f>JD20*100/$E$20</f>
        <v/>
      </c>
      <c r="JF20" s="108" t="n"/>
      <c r="JG20" s="122">
        <f>JF20*100/$E$20</f>
        <v/>
      </c>
      <c r="JH20" s="108" t="n"/>
      <c r="JI20" s="122">
        <f>JH20*100/$E$20</f>
        <v/>
      </c>
      <c r="JJ20" s="108" t="n"/>
      <c r="JK20" s="122">
        <f>JJ20*100/$E$20</f>
        <v/>
      </c>
      <c r="JL20" s="108" t="n"/>
      <c r="JM20" s="122">
        <f>JL20*100/$E$20</f>
        <v/>
      </c>
      <c r="JN20" s="108" t="n"/>
      <c r="JO20" s="122">
        <f>JN20*100/$E$20</f>
        <v/>
      </c>
      <c r="JP20" s="108" t="n"/>
      <c r="JQ20" s="122">
        <f>JP20*100/$E$20</f>
        <v/>
      </c>
      <c r="JR20" s="108" t="n"/>
      <c r="JS20" s="122">
        <f>JR20*100/$E$20</f>
        <v/>
      </c>
      <c r="JT20" s="108" t="n"/>
      <c r="JU20" s="122">
        <f>JT20*100/$E$20</f>
        <v/>
      </c>
      <c r="JV20" s="108" t="n"/>
      <c r="JW20" s="122">
        <f>JV20*100/$E$20</f>
        <v/>
      </c>
      <c r="JX20" s="108" t="n"/>
      <c r="JY20" s="122">
        <f>JX20*100/$E$20</f>
        <v/>
      </c>
      <c r="JZ20" s="55">
        <f>JN20+JP20+JR20+JT20+JV20+JX20</f>
        <v/>
      </c>
      <c r="KA20" s="53">
        <f>JO20+JQ20+JS20+JU20+JW20+JY20</f>
        <v/>
      </c>
      <c r="KB20" s="64">
        <f>H20+J20+L20+N20+P20+R20+T20+V20+X20+Z20+AB20+AD20+AF20+AH20+AJ20+AL20+AN20+AP20+AR20+AT20+AV20+AX20+AZ20+BB20+BD20+BF20+BH20+BJ20+BL20+BN20+BP20+BR20+BT20+BV20+BX20+BZ20+CB20+CD20+CF20+CH20+CZ20+DB20+DD20+DF20+DH20+DJ20+DL20+DN20+DP20+DR20+DT20+DV20+DX20+DZ20+EB20+ED20+EF20+EH20+EJ20+EL20+EN20+EP20+ER20+ET20+EV20+FN20+FP20+FR20+FT20+FV20+FX20+FZ20+GB20+GD20+GF20+GH20+GJ20+GL20+GN20+GP20+GR20+GT20+GV20+GX20+GZ20+HB20+HD20+HF20+HH20+HJ20+HL20+HN20+HP20+HR20+HT20+HV20+HX20+HZ20+IB20+ID20+IF20+IH20+IJ20+IL20+IN20+IP20+IR20+IT20+IV20+IX20+IZ20+JB20+JD20+JF20+JH20+JJ20+JL20+JZ20+CJ20+CL20+CN20+CP20+CR20+CT20+CV20+CX20+EX20+EZ20+FB20+FD20+FF20+FH20+FJ20+FL20</f>
        <v/>
      </c>
      <c r="KC20" s="66">
        <f>I20+K20+M20+O20+Q20+S20+U20+W20+Y20+AA20+AC20+AE20+AG20+AI20+AK20+AM20+AO20+AQ20+AS20+AU20+AW20+AY20+BA20+BC20+BE20+BG20+BI20+BK20+BM20+BO20+BQ20+BS20+BU20+BW20+BY20+CA20+CC20+CE20+CG20+CI20+DA20+DC20+DE20+DG20+DI20+DK20+DM20+DO20+DQ20+DS20+DU20+DW20+DY20+EA20+EC20+EE20+EG20+EI20+EK20+EM20+EO20+EQ20+ES20+EU20+EW20+FO20+FS20+FU20+FW20+FQ20+FY20+GA20+GC20+GE20+GG20+GI20+GK20+GM20+GO20+GQ20+GS20+GU20+GW20+GY20+HA20+HC20+HE20+HG20+HI20+HK20+HM20+HO20+HQ20+HS20+HU20+HW20+HY20+IA20+IC20+IE20+IG20+II20+IK20+IM20+IO20+IQ20+IS20+IU20+IW20+IY20+JA20+JC20+JE20+JG20+JI20+JK20+JM20+KA20+CK20+CM20+CO20+CQ20+CS20+CU20+CW20+CY20+EY20+FA20+FC20+FE20+FG20+FI20+FK20+FM20</f>
        <v/>
      </c>
      <c r="KD20" s="44">
        <f>JO20+JQ20+JS20+JU20+JW20+JY20</f>
        <v/>
      </c>
      <c r="KE20" s="45">
        <f>KB20=E20</f>
        <v/>
      </c>
      <c r="KF20" s="101">
        <f>E20-KB20</f>
        <v/>
      </c>
      <c r="KG20" s="17" t="n"/>
    </row>
    <row r="21" ht="21.75" customFormat="1" customHeight="1" s="67">
      <c r="A21" s="130">
        <f>A20+1</f>
        <v/>
      </c>
      <c r="B21" s="175" t="inlineStr">
        <is>
          <t>Еналов А.Д.</t>
        </is>
      </c>
      <c r="C21" s="176" t="inlineStr">
        <is>
          <t>слесарь</t>
        </is>
      </c>
      <c r="D21" s="177">
        <f>$D$5</f>
        <v/>
      </c>
      <c r="E21" s="202" t="n"/>
      <c r="F21" s="191" t="n">
        <v>68902.87</v>
      </c>
      <c r="G21" s="52">
        <f>F21/D21</f>
        <v/>
      </c>
      <c r="H21" s="125" t="n"/>
      <c r="I21" s="107">
        <f>H21*100/$E$21</f>
        <v/>
      </c>
      <c r="J21" s="108" t="n"/>
      <c r="K21" s="107">
        <f>J21*100/$E$21</f>
        <v/>
      </c>
      <c r="L21" s="108" t="n"/>
      <c r="M21" s="107">
        <f>L21*100/$E$21</f>
        <v/>
      </c>
      <c r="N21" s="108" t="n"/>
      <c r="O21" s="107">
        <f>N21*100/$E$21</f>
        <v/>
      </c>
      <c r="P21" s="108" t="n"/>
      <c r="Q21" s="122">
        <f>P21*100/$E$21</f>
        <v/>
      </c>
      <c r="R21" s="108" t="n"/>
      <c r="S21" s="122">
        <f>R21*100/$E$21</f>
        <v/>
      </c>
      <c r="T21" s="108" t="n"/>
      <c r="U21" s="122">
        <f>T21*100/$E$21</f>
        <v/>
      </c>
      <c r="V21" s="108" t="n"/>
      <c r="W21" s="122">
        <f>V21*100/$E$21</f>
        <v/>
      </c>
      <c r="X21" s="108" t="n"/>
      <c r="Y21" s="122">
        <f>X21*100/$E$21</f>
        <v/>
      </c>
      <c r="Z21" s="108" t="n"/>
      <c r="AA21" s="122">
        <f>Z21*100/$E$21</f>
        <v/>
      </c>
      <c r="AB21" s="108" t="n"/>
      <c r="AC21" s="122">
        <f>AB21*100/$E$21</f>
        <v/>
      </c>
      <c r="AD21" s="108" t="n"/>
      <c r="AE21" s="122">
        <f>AD21*100/$E$21</f>
        <v/>
      </c>
      <c r="AF21" s="108" t="n"/>
      <c r="AG21" s="122">
        <f>AF21*100/$E$21</f>
        <v/>
      </c>
      <c r="AH21" s="108" t="n"/>
      <c r="AI21" s="122">
        <f>AH21*100/$E$21</f>
        <v/>
      </c>
      <c r="AJ21" s="108" t="n"/>
      <c r="AK21" s="122">
        <f>AJ21*100/$E$21</f>
        <v/>
      </c>
      <c r="AL21" s="108" t="n"/>
      <c r="AM21" s="122">
        <f>AL21*100/$E$21</f>
        <v/>
      </c>
      <c r="AN21" s="108" t="n"/>
      <c r="AO21" s="122">
        <f>AN21*100/$E$21</f>
        <v/>
      </c>
      <c r="AP21" s="108" t="n"/>
      <c r="AQ21" s="122">
        <f>AP21*100/$E$21</f>
        <v/>
      </c>
      <c r="AR21" s="108" t="n"/>
      <c r="AS21" s="122">
        <f>AR21*100/$E$21</f>
        <v/>
      </c>
      <c r="AT21" s="108" t="n"/>
      <c r="AU21" s="90">
        <f>AT21*100/$E$21</f>
        <v/>
      </c>
      <c r="AV21" s="108" t="n"/>
      <c r="AW21" s="122">
        <f>AV21*100/$E$21</f>
        <v/>
      </c>
      <c r="AX21" s="108" t="n"/>
      <c r="AY21" s="122">
        <f>AX21*100/$E$21</f>
        <v/>
      </c>
      <c r="AZ21" s="108" t="n"/>
      <c r="BA21" s="122">
        <f>AZ21*100/$E$21</f>
        <v/>
      </c>
      <c r="BB21" s="108" t="n"/>
      <c r="BC21" s="122">
        <f>BB21*100/$E$21</f>
        <v/>
      </c>
      <c r="BD21" s="108" t="n"/>
      <c r="BE21" s="122">
        <f>BD21*100/$E$21</f>
        <v/>
      </c>
      <c r="BF21" s="108" t="n"/>
      <c r="BG21" s="122">
        <f>BF21*100/$E$21</f>
        <v/>
      </c>
      <c r="BH21" s="108" t="n"/>
      <c r="BI21" s="122">
        <f>BH21*100/$E$21</f>
        <v/>
      </c>
      <c r="BJ21" s="108" t="n"/>
      <c r="BK21" s="122">
        <f>BJ21*100/$E$21</f>
        <v/>
      </c>
      <c r="BL21" s="108" t="n"/>
      <c r="BM21" s="122">
        <f>BL21*100/$E$21</f>
        <v/>
      </c>
      <c r="BN21" s="108" t="n"/>
      <c r="BO21" s="122">
        <f>BN21*100/$E$21</f>
        <v/>
      </c>
      <c r="BP21" s="108" t="n"/>
      <c r="BQ21" s="122">
        <f>BP21*100/$E$21</f>
        <v/>
      </c>
      <c r="BR21" s="108" t="n"/>
      <c r="BS21" s="122">
        <f>BR21*100/$E$21</f>
        <v/>
      </c>
      <c r="BT21" s="108" t="n"/>
      <c r="BU21" s="122">
        <f>BT21*100/$E$21</f>
        <v/>
      </c>
      <c r="BV21" s="108" t="n"/>
      <c r="BW21" s="122">
        <f>BV21*100/$E$21</f>
        <v/>
      </c>
      <c r="BX21" s="108" t="n"/>
      <c r="BY21" s="122">
        <f>BX21*100/$E$21</f>
        <v/>
      </c>
      <c r="BZ21" s="108" t="n"/>
      <c r="CA21" s="122">
        <f>BZ21*100/$E$21</f>
        <v/>
      </c>
      <c r="CB21" s="108" t="n"/>
      <c r="CC21" s="122">
        <f>CB21*100/$E$21</f>
        <v/>
      </c>
      <c r="CD21" s="108" t="n"/>
      <c r="CE21" s="122">
        <f>CD21*100/$E$21</f>
        <v/>
      </c>
      <c r="CF21" s="108" t="n"/>
      <c r="CG21" s="122">
        <f>CF21*100/$E$21</f>
        <v/>
      </c>
      <c r="CH21" s="108" t="n"/>
      <c r="CI21" s="122">
        <f>CH21*100/$E$21</f>
        <v/>
      </c>
      <c r="CJ21" s="108" t="n"/>
      <c r="CK21" s="122">
        <f>CJ21*100/$E$21</f>
        <v/>
      </c>
      <c r="CL21" s="108" t="n"/>
      <c r="CM21" s="122">
        <f>CL21*100/$E$21</f>
        <v/>
      </c>
      <c r="CN21" s="108" t="n"/>
      <c r="CO21" s="122">
        <f>CN21*100/$E$21</f>
        <v/>
      </c>
      <c r="CP21" s="108" t="n"/>
      <c r="CQ21" s="122">
        <f>CP21*100/$E$21</f>
        <v/>
      </c>
      <c r="CR21" s="108" t="n"/>
      <c r="CS21" s="122">
        <f>CR21*100/$E$21</f>
        <v/>
      </c>
      <c r="CT21" s="108" t="n"/>
      <c r="CU21" s="122">
        <f>CT21*100/$E$21</f>
        <v/>
      </c>
      <c r="CV21" s="108" t="n"/>
      <c r="CW21" s="122">
        <f>CV21*100/$E$21</f>
        <v/>
      </c>
      <c r="CX21" s="108" t="n"/>
      <c r="CY21" s="122">
        <f>CX21*100/$E$21</f>
        <v/>
      </c>
      <c r="CZ21" s="108" t="n"/>
      <c r="DA21" s="122">
        <f>CZ21*100/$E$21</f>
        <v/>
      </c>
      <c r="DB21" s="108" t="n"/>
      <c r="DC21" s="122">
        <f>DB21*100/$E$21</f>
        <v/>
      </c>
      <c r="DD21" s="108" t="n"/>
      <c r="DE21" s="122">
        <f>DD21*100/$E$21</f>
        <v/>
      </c>
      <c r="DF21" s="108" t="n"/>
      <c r="DG21" s="122">
        <f>DF21*100/$E$21</f>
        <v/>
      </c>
      <c r="DH21" s="108" t="n"/>
      <c r="DI21" s="122">
        <f>DH21*100/$E$21</f>
        <v/>
      </c>
      <c r="DJ21" s="108" t="n"/>
      <c r="DK21" s="122">
        <f>DJ21*100/$E$21</f>
        <v/>
      </c>
      <c r="DL21" s="108" t="n"/>
      <c r="DM21" s="122">
        <f>DL21*100/$E$21</f>
        <v/>
      </c>
      <c r="DN21" s="108" t="n"/>
      <c r="DO21" s="122">
        <f>DN21*100/$E$21</f>
        <v/>
      </c>
      <c r="DP21" s="108" t="n"/>
      <c r="DQ21" s="122">
        <f>DP21*100/$E$21</f>
        <v/>
      </c>
      <c r="DR21" s="108" t="n"/>
      <c r="DS21" s="122">
        <f>DR21*100/$E$21</f>
        <v/>
      </c>
      <c r="DT21" s="108" t="n"/>
      <c r="DU21" s="122">
        <f>DT21*100/$E$21</f>
        <v/>
      </c>
      <c r="DV21" s="108" t="n"/>
      <c r="DW21" s="122">
        <f>DV21*100/$E$21</f>
        <v/>
      </c>
      <c r="DX21" s="108" t="n"/>
      <c r="DY21" s="122">
        <f>DX21*100/$E$21</f>
        <v/>
      </c>
      <c r="DZ21" s="108" t="n"/>
      <c r="EA21" s="122">
        <f>DZ21*100/$E$21</f>
        <v/>
      </c>
      <c r="EB21" s="108" t="n"/>
      <c r="EC21" s="122">
        <f>EB21*100/$E$21</f>
        <v/>
      </c>
      <c r="ED21" s="108" t="n"/>
      <c r="EE21" s="122">
        <f>ED21*100/$E$21</f>
        <v/>
      </c>
      <c r="EF21" s="108" t="n"/>
      <c r="EG21" s="122">
        <f>EF21*100/$E$21</f>
        <v/>
      </c>
      <c r="EH21" s="108" t="n"/>
      <c r="EI21" s="122">
        <f>EH21*100/$E$21</f>
        <v/>
      </c>
      <c r="EJ21" s="108" t="n"/>
      <c r="EK21" s="122">
        <f>EJ21*100/$E$21</f>
        <v/>
      </c>
      <c r="EL21" s="108" t="n"/>
      <c r="EM21" s="122">
        <f>EL21*100/$E$21</f>
        <v/>
      </c>
      <c r="EN21" s="108" t="n"/>
      <c r="EO21" s="122">
        <f>EN21*100/$E$21</f>
        <v/>
      </c>
      <c r="EP21" s="108" t="n"/>
      <c r="EQ21" s="122">
        <f>EP21*100/$E$21</f>
        <v/>
      </c>
      <c r="ER21" s="108" t="n"/>
      <c r="ES21" s="122">
        <f>ER21*100/$E$21</f>
        <v/>
      </c>
      <c r="ET21" s="108" t="n"/>
      <c r="EU21" s="122">
        <f>ET21*100/$E$21</f>
        <v/>
      </c>
      <c r="EV21" s="108" t="n"/>
      <c r="EW21" s="122">
        <f>EV21*100/$E$21</f>
        <v/>
      </c>
      <c r="EX21" s="108" t="n"/>
      <c r="EY21" s="122">
        <f>EX21*100/$E$21</f>
        <v/>
      </c>
      <c r="EZ21" s="108" t="n"/>
      <c r="FA21" s="122">
        <f>EZ21*100/$E$21</f>
        <v/>
      </c>
      <c r="FB21" s="108" t="n"/>
      <c r="FC21" s="122">
        <f>FB21*100/$E$21</f>
        <v/>
      </c>
      <c r="FD21" s="108" t="n"/>
      <c r="FE21" s="122">
        <f>FD21*100/$E$21</f>
        <v/>
      </c>
      <c r="FF21" s="108" t="n"/>
      <c r="FG21" s="122">
        <f>FF21*100/$E$21</f>
        <v/>
      </c>
      <c r="FH21" s="108" t="n"/>
      <c r="FI21" s="122">
        <f>FH21*100/$E$21</f>
        <v/>
      </c>
      <c r="FJ21" s="108" t="n"/>
      <c r="FK21" s="122">
        <f>FJ21*100/$E$21</f>
        <v/>
      </c>
      <c r="FL21" s="108" t="n"/>
      <c r="FM21" s="122">
        <f>FL21*100/$E$21</f>
        <v/>
      </c>
      <c r="FN21" s="108" t="n"/>
      <c r="FO21" s="122">
        <f>FN21*100/$E$21</f>
        <v/>
      </c>
      <c r="FP21" s="108" t="n"/>
      <c r="FQ21" s="122">
        <f>FP21*100/$E$21</f>
        <v/>
      </c>
      <c r="FR21" s="108" t="n"/>
      <c r="FS21" s="122">
        <f>FR21*100/$E$21</f>
        <v/>
      </c>
      <c r="FT21" s="108" t="n"/>
      <c r="FU21" s="122">
        <f>FT21*100/$E$21</f>
        <v/>
      </c>
      <c r="FV21" s="108" t="n"/>
      <c r="FW21" s="122">
        <f>FV21*100/$E$21</f>
        <v/>
      </c>
      <c r="FX21" s="108" t="n"/>
      <c r="FY21" s="122">
        <f>FX21*100/$E$21</f>
        <v/>
      </c>
      <c r="FZ21" s="108" t="n"/>
      <c r="GA21" s="122">
        <f>FZ21*100/$E$21</f>
        <v/>
      </c>
      <c r="GB21" s="108" t="n"/>
      <c r="GC21" s="122">
        <f>GB21*100/$E$21</f>
        <v/>
      </c>
      <c r="GD21" s="108" t="n"/>
      <c r="GE21" s="122">
        <f>GD21*100/$E$21</f>
        <v/>
      </c>
      <c r="GF21" s="108" t="n"/>
      <c r="GG21" s="122">
        <f>GF21*100/$E$21</f>
        <v/>
      </c>
      <c r="GH21" s="108" t="n"/>
      <c r="GI21" s="122">
        <f>GH21*100/$E$21</f>
        <v/>
      </c>
      <c r="GJ21" s="108" t="n"/>
      <c r="GK21" s="122">
        <f>GJ21*100/$E$21</f>
        <v/>
      </c>
      <c r="GL21" s="108" t="n"/>
      <c r="GM21" s="122">
        <f>GL21*100/$E$21</f>
        <v/>
      </c>
      <c r="GN21" s="108" t="n"/>
      <c r="GO21" s="122">
        <f>GN21*100/$E$21</f>
        <v/>
      </c>
      <c r="GP21" s="108" t="n"/>
      <c r="GQ21" s="122">
        <f>GP21*100/$E$21</f>
        <v/>
      </c>
      <c r="GR21" s="108" t="n"/>
      <c r="GS21" s="122">
        <f>GR21*100/$E$21</f>
        <v/>
      </c>
      <c r="GT21" s="108" t="n"/>
      <c r="GU21" s="122">
        <f>GT21*100/$E$21</f>
        <v/>
      </c>
      <c r="GV21" s="108" t="n"/>
      <c r="GW21" s="122">
        <f>GV21*100/$E$21</f>
        <v/>
      </c>
      <c r="GX21" s="108" t="n"/>
      <c r="GY21" s="122">
        <f>GX21*100/$E$21</f>
        <v/>
      </c>
      <c r="GZ21" s="108" t="n"/>
      <c r="HA21" s="122">
        <f>GZ21*100/$E$21</f>
        <v/>
      </c>
      <c r="HB21" s="108" t="n"/>
      <c r="HC21" s="122">
        <f>HB21*100/$E$21</f>
        <v/>
      </c>
      <c r="HD21" s="108" t="n"/>
      <c r="HE21" s="122">
        <f>HD21*100/$E$21</f>
        <v/>
      </c>
      <c r="HF21" s="108" t="n"/>
      <c r="HG21" s="122">
        <f>HF21*100/$E$21</f>
        <v/>
      </c>
      <c r="HH21" s="108" t="n"/>
      <c r="HI21" s="122">
        <f>HH21*100/$E$21</f>
        <v/>
      </c>
      <c r="HJ21" s="108" t="n"/>
      <c r="HK21" s="122">
        <f>HJ21*100/$E$21</f>
        <v/>
      </c>
      <c r="HL21" s="108" t="n"/>
      <c r="HM21" s="122">
        <f>HL21*100/$E$21</f>
        <v/>
      </c>
      <c r="HN21" s="108" t="n"/>
      <c r="HO21" s="122">
        <f>HN21*100/$E$21</f>
        <v/>
      </c>
      <c r="HP21" s="108" t="n"/>
      <c r="HQ21" s="122">
        <f>HP21*100/$E$21</f>
        <v/>
      </c>
      <c r="HR21" s="108" t="n"/>
      <c r="HS21" s="122">
        <f>HR21*100/$E$21</f>
        <v/>
      </c>
      <c r="HT21" s="108" t="n"/>
      <c r="HU21" s="122">
        <f>HT21*100/$E$21</f>
        <v/>
      </c>
      <c r="HV21" s="108" t="n"/>
      <c r="HW21" s="122">
        <f>HV21*100/$E$21</f>
        <v/>
      </c>
      <c r="HX21" s="108" t="n"/>
      <c r="HY21" s="122">
        <f>HX21*100/$E$21</f>
        <v/>
      </c>
      <c r="HZ21" s="108" t="n"/>
      <c r="IA21" s="122">
        <f>HZ21*100/$E$21</f>
        <v/>
      </c>
      <c r="IB21" s="108" t="n"/>
      <c r="IC21" s="122">
        <f>IB21*100/$E$21</f>
        <v/>
      </c>
      <c r="ID21" s="108" t="n"/>
      <c r="IE21" s="122">
        <f>ID21*100/$E$21</f>
        <v/>
      </c>
      <c r="IF21" s="108" t="n"/>
      <c r="IG21" s="122">
        <f>IF21*100/$E$21</f>
        <v/>
      </c>
      <c r="IH21" s="108" t="n"/>
      <c r="II21" s="122">
        <f>IH21*100/$E$21</f>
        <v/>
      </c>
      <c r="IJ21" s="108" t="n"/>
      <c r="IK21" s="122">
        <f>IJ21*100/$E$21</f>
        <v/>
      </c>
      <c r="IL21" s="108" t="n"/>
      <c r="IM21" s="122">
        <f>IL21*100/$E$21</f>
        <v/>
      </c>
      <c r="IN21" s="108" t="n"/>
      <c r="IO21" s="122">
        <f>IN21*100/$E$21</f>
        <v/>
      </c>
      <c r="IP21" s="108" t="n"/>
      <c r="IQ21" s="122">
        <f>IP21*100/$E$21</f>
        <v/>
      </c>
      <c r="IR21" s="108" t="n"/>
      <c r="IS21" s="122">
        <f>IR21*100/$E$21</f>
        <v/>
      </c>
      <c r="IT21" s="108" t="n"/>
      <c r="IU21" s="122">
        <f>IT21*100/$E$21</f>
        <v/>
      </c>
      <c r="IV21" s="108" t="n"/>
      <c r="IW21" s="122">
        <f>IV21*100/$E$21</f>
        <v/>
      </c>
      <c r="IX21" s="108" t="n"/>
      <c r="IY21" s="122">
        <f>IX21*100/$E$21</f>
        <v/>
      </c>
      <c r="IZ21" s="108" t="n"/>
      <c r="JA21" s="122">
        <f>IZ21*100/$E$21</f>
        <v/>
      </c>
      <c r="JB21" s="108" t="n"/>
      <c r="JC21" s="122">
        <f>JB21*100/$E$21</f>
        <v/>
      </c>
      <c r="JD21" s="108" t="n"/>
      <c r="JE21" s="122">
        <f>JD21*100/$E$21</f>
        <v/>
      </c>
      <c r="JF21" s="108" t="n"/>
      <c r="JG21" s="122">
        <f>JF21*100/$E$21</f>
        <v/>
      </c>
      <c r="JH21" s="108" t="n"/>
      <c r="JI21" s="122">
        <f>JH21*100/$E$21</f>
        <v/>
      </c>
      <c r="JJ21" s="108" t="n"/>
      <c r="JK21" s="122">
        <f>JJ21*100/$E$21</f>
        <v/>
      </c>
      <c r="JL21" s="108" t="n"/>
      <c r="JM21" s="122">
        <f>JL21*100/$E$21</f>
        <v/>
      </c>
      <c r="JN21" s="108" t="n"/>
      <c r="JO21" s="122">
        <f>JN21*100/$E$21</f>
        <v/>
      </c>
      <c r="JP21" s="108" t="n"/>
      <c r="JQ21" s="122">
        <f>JP21*100/$E$21</f>
        <v/>
      </c>
      <c r="JR21" s="108" t="n"/>
      <c r="JS21" s="122">
        <f>JR21*100/$E$21</f>
        <v/>
      </c>
      <c r="JT21" s="108" t="n"/>
      <c r="JU21" s="122">
        <f>JT21*100/$E$21</f>
        <v/>
      </c>
      <c r="JV21" s="108" t="n"/>
      <c r="JW21" s="122">
        <f>JV21*100/$E$21</f>
        <v/>
      </c>
      <c r="JX21" s="108" t="n"/>
      <c r="JY21" s="122">
        <f>JX21*100/$E$21</f>
        <v/>
      </c>
      <c r="JZ21" s="55">
        <f>JN21+JP21+JR21+JT21+JV21+JX21</f>
        <v/>
      </c>
      <c r="KA21" s="53">
        <f>JO21+JQ21+JS21+JU21+JW21+JY21</f>
        <v/>
      </c>
      <c r="KB21" s="64">
        <f>H21+J21+L21+N21+P21+R21+T21+V21+X21+Z21+AB21+AD21+AF21+AH21+AJ21+AL21+AN21+AP21+AR21+AT21+AV21+AX21+AZ21+BB21+BD21+BF21+BH21+BJ21+BL21+BN21+BP21+BR21+BT21+BV21+BX21+BZ21+CB21+CD21+CF21+CH21+CZ21+DB21+DD21+DF21+DH21+DJ21+DL21+DN21+DP21+DR21+DT21+DV21+DX21+DZ21+EB21+ED21+EF21+EH21+EJ21+EL21+EN21+EP21+ER21+ET21+EV21+FN21+FP21+FR21+FT21+FV21+FX21+FZ21+GB21+GD21+GF21+GH21+GJ21+GL21+GN21+GP21+GR21+GT21+GV21+GX21+GZ21+HB21+HD21+HF21+HH21+HJ21+HL21+HN21+HP21+HR21+HT21+HV21+HX21+HZ21+IB21+ID21+IF21+IH21+IJ21+IL21+IN21+IP21+IR21+IT21+IV21+IX21+IZ21+JB21+JD21+JF21+JH21+JJ21+JL21+JZ21+CJ21+CL21+CN21+CP21+CR21+CT21+CV21+CX21+EX21+EZ21+FB21+FD21+FF21+FH21+FJ21+FL21</f>
        <v/>
      </c>
      <c r="KC21" s="66">
        <f>I21+K21+M21+O21+Q21+S21+U21+W21+Y21+AA21+AC21+AE21+AG21+AI21+AK21+AM21+AO21+AQ21+AS21+AU21+AW21+AY21+BA21+BC21+BE21+BG21+BI21+BK21+BM21+BO21+BQ21+BS21+BU21+BW21+BY21+CA21+CC21+CE21+CG21+CI21+DA21+DC21+DE21+DG21+DI21+DK21+DM21+DO21+DQ21+DS21+DU21+DW21+DY21+EA21+EC21+EE21+EG21+EI21+EK21+EM21+EO21+EQ21+ES21+EU21+EW21+FO21+FS21+FU21+FW21+FQ21+FY21+GA21+GC21+GE21+GG21+GI21+GK21+GM21+GO21+GQ21+GS21+GU21+GW21+GY21+HA21+HC21+HE21+HG21+HI21+HK21+HM21+HO21+HQ21+HS21+HU21+HW21+HY21+IA21+IC21+IE21+IG21+II21+IK21+IM21+IO21+IQ21+IS21+IU21+IW21+IY21+JA21+JC21+JE21+JG21+JI21+JK21+JM21+KA21+CK21+CM21+CO21+CQ21+CS21+CU21+CW21+CY21+EY21+FA21+FC21+FE21+FG21+FI21+FK21+FM21</f>
        <v/>
      </c>
      <c r="KD21" s="44">
        <f>JO21+JQ21+JS21+JU21+JW21+JY21</f>
        <v/>
      </c>
      <c r="KE21" s="45">
        <f>KB21=E21</f>
        <v/>
      </c>
      <c r="KF21" s="101">
        <f>E21-KB21</f>
        <v/>
      </c>
      <c r="KG21" s="17" t="n"/>
    </row>
    <row r="22" ht="21.75" customFormat="1" customHeight="1" s="67">
      <c r="A22" s="130">
        <f>A21+1</f>
        <v/>
      </c>
      <c r="B22" s="175" t="inlineStr">
        <is>
          <t>Еналов Д.А.</t>
        </is>
      </c>
      <c r="C22" s="176" t="inlineStr">
        <is>
          <t>слесарь</t>
        </is>
      </c>
      <c r="D22" s="177">
        <f>$D$5</f>
        <v/>
      </c>
      <c r="E22" s="202" t="n"/>
      <c r="F22" s="191" t="n">
        <v>97702.28</v>
      </c>
      <c r="G22" s="52">
        <f>F22/D22</f>
        <v/>
      </c>
      <c r="H22" s="125" t="n"/>
      <c r="I22" s="107">
        <f>H22*100/$E$22</f>
        <v/>
      </c>
      <c r="J22" s="108" t="n"/>
      <c r="K22" s="107">
        <f>J22*100/$E$22</f>
        <v/>
      </c>
      <c r="L22" s="108" t="n"/>
      <c r="M22" s="107">
        <f>L22*100/$E$22</f>
        <v/>
      </c>
      <c r="N22" s="108" t="n"/>
      <c r="O22" s="107">
        <f>N22*100/$E$22</f>
        <v/>
      </c>
      <c r="P22" s="108" t="n"/>
      <c r="Q22" s="122">
        <f>P22*100/$E$22</f>
        <v/>
      </c>
      <c r="R22" s="108" t="n"/>
      <c r="S22" s="107">
        <f>R22*100/$E$22</f>
        <v/>
      </c>
      <c r="T22" s="108" t="n"/>
      <c r="U22" s="107">
        <f>T22*100/$E$22</f>
        <v/>
      </c>
      <c r="V22" s="108" t="n"/>
      <c r="W22" s="107">
        <f>V22*100/$E$22</f>
        <v/>
      </c>
      <c r="X22" s="108" t="n"/>
      <c r="Y22" s="107">
        <f>X22*100/$E$22</f>
        <v/>
      </c>
      <c r="Z22" s="108" t="n"/>
      <c r="AA22" s="107">
        <f>Z22*100/$E$22</f>
        <v/>
      </c>
      <c r="AB22" s="108" t="n"/>
      <c r="AC22" s="107">
        <f>AB22*100/$E$22</f>
        <v/>
      </c>
      <c r="AD22" s="108" t="n"/>
      <c r="AE22" s="107">
        <f>AD22*100/$E$22</f>
        <v/>
      </c>
      <c r="AF22" s="108" t="n"/>
      <c r="AG22" s="107">
        <f>AF22*100/$E$22</f>
        <v/>
      </c>
      <c r="AH22" s="108" t="n"/>
      <c r="AI22" s="107">
        <f>AH22*100/$E$22</f>
        <v/>
      </c>
      <c r="AJ22" s="108" t="n"/>
      <c r="AK22" s="107">
        <f>AJ22*100/$E$22</f>
        <v/>
      </c>
      <c r="AL22" s="108" t="n"/>
      <c r="AM22" s="107">
        <f>AL22*100/$E$22</f>
        <v/>
      </c>
      <c r="AN22" s="108" t="n"/>
      <c r="AO22" s="107">
        <f>AN22*100/$E$22</f>
        <v/>
      </c>
      <c r="AP22" s="108" t="n"/>
      <c r="AQ22" s="107">
        <f>AP22*100/$E$22</f>
        <v/>
      </c>
      <c r="AR22" s="108" t="n"/>
      <c r="AS22" s="107">
        <f>AR22*100/$E$22</f>
        <v/>
      </c>
      <c r="AT22" s="108" t="n"/>
      <c r="AU22" s="90">
        <f>AT22*100/$E$22</f>
        <v/>
      </c>
      <c r="AV22" s="108" t="n"/>
      <c r="AW22" s="107">
        <f>AV22*100/$E$22</f>
        <v/>
      </c>
      <c r="AX22" s="108" t="n"/>
      <c r="AY22" s="107">
        <f>AX22*100/$E$22</f>
        <v/>
      </c>
      <c r="AZ22" s="108" t="n"/>
      <c r="BA22" s="107">
        <f>AZ22*100/$E$22</f>
        <v/>
      </c>
      <c r="BB22" s="108" t="n"/>
      <c r="BC22" s="107">
        <f>BB22*100/$E$22</f>
        <v/>
      </c>
      <c r="BD22" s="108" t="n"/>
      <c r="BE22" s="107">
        <f>BD22*100/$E$22</f>
        <v/>
      </c>
      <c r="BF22" s="108" t="n"/>
      <c r="BG22" s="107">
        <f>BF22*100/$E$22</f>
        <v/>
      </c>
      <c r="BH22" s="108" t="n"/>
      <c r="BI22" s="107">
        <f>BH22*100/$E$22</f>
        <v/>
      </c>
      <c r="BJ22" s="108" t="n"/>
      <c r="BK22" s="107">
        <f>BJ22*100/$E$22</f>
        <v/>
      </c>
      <c r="BL22" s="108" t="n"/>
      <c r="BM22" s="107">
        <f>BL22*100/$E$22</f>
        <v/>
      </c>
      <c r="BN22" s="108" t="n"/>
      <c r="BO22" s="107">
        <f>BN22*100/$E$22</f>
        <v/>
      </c>
      <c r="BP22" s="108" t="n"/>
      <c r="BQ22" s="107">
        <f>BP22*100/$E$22</f>
        <v/>
      </c>
      <c r="BR22" s="108" t="n"/>
      <c r="BS22" s="107">
        <f>BR22*100/$E$22</f>
        <v/>
      </c>
      <c r="BT22" s="108" t="n"/>
      <c r="BU22" s="107">
        <f>BT22*100/$E$22</f>
        <v/>
      </c>
      <c r="BV22" s="108" t="n"/>
      <c r="BW22" s="107">
        <f>BV22*100/$E$22</f>
        <v/>
      </c>
      <c r="BX22" s="108" t="n"/>
      <c r="BY22" s="107">
        <f>BX22*100/$E$22</f>
        <v/>
      </c>
      <c r="BZ22" s="108" t="n"/>
      <c r="CA22" s="107">
        <f>BZ22*100/$E$22</f>
        <v/>
      </c>
      <c r="CB22" s="108" t="n"/>
      <c r="CC22" s="107">
        <f>CB22*100/$E$22</f>
        <v/>
      </c>
      <c r="CD22" s="108" t="n"/>
      <c r="CE22" s="107">
        <f>CD22*100/$E$22</f>
        <v/>
      </c>
      <c r="CF22" s="108" t="n"/>
      <c r="CG22" s="107">
        <f>CF22*100/$E$22</f>
        <v/>
      </c>
      <c r="CH22" s="108" t="n"/>
      <c r="CI22" s="107">
        <f>CH22*100/$E$22</f>
        <v/>
      </c>
      <c r="CJ22" s="108" t="n"/>
      <c r="CK22" s="107">
        <f>CJ22*100/$E$22</f>
        <v/>
      </c>
      <c r="CL22" s="108" t="n"/>
      <c r="CM22" s="107">
        <f>CL22*100/$E$22</f>
        <v/>
      </c>
      <c r="CN22" s="108" t="n"/>
      <c r="CO22" s="122">
        <f>CN22*100/$E$22</f>
        <v/>
      </c>
      <c r="CP22" s="108" t="n"/>
      <c r="CQ22" s="107">
        <f>CP22*100/$E$22</f>
        <v/>
      </c>
      <c r="CR22" s="108" t="n"/>
      <c r="CS22" s="122">
        <f>CR22*100/$E$22</f>
        <v/>
      </c>
      <c r="CT22" s="108" t="n"/>
      <c r="CU22" s="122">
        <f>CT22*100/$E$22</f>
        <v/>
      </c>
      <c r="CV22" s="108" t="n"/>
      <c r="CW22" s="122">
        <f>CV22*100/$E$22</f>
        <v/>
      </c>
      <c r="CX22" s="108" t="n"/>
      <c r="CY22" s="122">
        <f>CX22*100/$E$22</f>
        <v/>
      </c>
      <c r="CZ22" s="108" t="n"/>
      <c r="DA22" s="122">
        <f>CZ22*100/$E$22</f>
        <v/>
      </c>
      <c r="DB22" s="108" t="n"/>
      <c r="DC22" s="122">
        <f>DB22*100/$E$22</f>
        <v/>
      </c>
      <c r="DD22" s="108" t="n"/>
      <c r="DE22" s="122">
        <f>DD22*100/$E$22</f>
        <v/>
      </c>
      <c r="DF22" s="108" t="n"/>
      <c r="DG22" s="122">
        <f>DF22*100/$E$22</f>
        <v/>
      </c>
      <c r="DH22" s="108" t="n"/>
      <c r="DI22" s="122">
        <f>DH22*100/$E$22</f>
        <v/>
      </c>
      <c r="DJ22" s="108" t="n"/>
      <c r="DK22" s="122">
        <f>DJ22*100/$E$22</f>
        <v/>
      </c>
      <c r="DL22" s="108" t="n"/>
      <c r="DM22" s="122">
        <f>DL22*100/$E$22</f>
        <v/>
      </c>
      <c r="DN22" s="108" t="n"/>
      <c r="DO22" s="122">
        <f>DN22*100/$E$22</f>
        <v/>
      </c>
      <c r="DP22" s="108" t="n"/>
      <c r="DQ22" s="122">
        <f>DP22*100/$E$22</f>
        <v/>
      </c>
      <c r="DR22" s="108" t="n"/>
      <c r="DS22" s="107">
        <f>DR22*100/$E$22</f>
        <v/>
      </c>
      <c r="DT22" s="108" t="n"/>
      <c r="DU22" s="122">
        <f>DT22*100/$E$22</f>
        <v/>
      </c>
      <c r="DV22" s="108" t="n"/>
      <c r="DW22" s="122">
        <f>DV22*100/$E$22</f>
        <v/>
      </c>
      <c r="DX22" s="108" t="n"/>
      <c r="DY22" s="122">
        <f>DX22*100/$E$22</f>
        <v/>
      </c>
      <c r="DZ22" s="108" t="n"/>
      <c r="EA22" s="122">
        <f>DZ22*100/$E$22</f>
        <v/>
      </c>
      <c r="EB22" s="108" t="n"/>
      <c r="EC22" s="122">
        <f>EB22*100/$E$22</f>
        <v/>
      </c>
      <c r="ED22" s="108" t="n"/>
      <c r="EE22" s="122">
        <f>ED22*100/$E$22</f>
        <v/>
      </c>
      <c r="EF22" s="108" t="n"/>
      <c r="EG22" s="122">
        <f>EF22*100/$E$22</f>
        <v/>
      </c>
      <c r="EH22" s="108" t="n"/>
      <c r="EI22" s="107">
        <f>EH22*100/$E$22</f>
        <v/>
      </c>
      <c r="EJ22" s="108" t="n"/>
      <c r="EK22" s="107">
        <f>EJ22*100/$E$22</f>
        <v/>
      </c>
      <c r="EL22" s="108" t="n"/>
      <c r="EM22" s="107">
        <f>EL22*100/$E$22</f>
        <v/>
      </c>
      <c r="EN22" s="108" t="n"/>
      <c r="EO22" s="107">
        <f>EN22*100/$E$22</f>
        <v/>
      </c>
      <c r="EP22" s="108" t="n"/>
      <c r="EQ22" s="107">
        <f>EP22*100/$E$22</f>
        <v/>
      </c>
      <c r="ER22" s="108" t="n"/>
      <c r="ES22" s="107">
        <f>ER22*100/$E$22</f>
        <v/>
      </c>
      <c r="ET22" s="108" t="n"/>
      <c r="EU22" s="107">
        <f>ET22*100/$E$22</f>
        <v/>
      </c>
      <c r="EV22" s="108" t="n"/>
      <c r="EW22" s="122">
        <f>EV22*100/$E$22</f>
        <v/>
      </c>
      <c r="EX22" s="108" t="n"/>
      <c r="EY22" s="122">
        <f>EX22*100/$E$22</f>
        <v/>
      </c>
      <c r="EZ22" s="108" t="n"/>
      <c r="FA22" s="122">
        <f>EZ22*100/$E$22</f>
        <v/>
      </c>
      <c r="FB22" s="108" t="n"/>
      <c r="FC22" s="122">
        <f>FB22*100/$E$22</f>
        <v/>
      </c>
      <c r="FD22" s="108" t="n"/>
      <c r="FE22" s="122">
        <f>FD22*100/$E$22</f>
        <v/>
      </c>
      <c r="FF22" s="108" t="n"/>
      <c r="FG22" s="122">
        <f>FF22*100/$E$22</f>
        <v/>
      </c>
      <c r="FH22" s="108" t="n"/>
      <c r="FI22" s="122">
        <f>FH22*100/$E$22</f>
        <v/>
      </c>
      <c r="FJ22" s="108" t="n"/>
      <c r="FK22" s="122">
        <f>FJ22*100/$E$22</f>
        <v/>
      </c>
      <c r="FL22" s="108" t="n"/>
      <c r="FM22" s="122">
        <f>FL22*100/$E$22</f>
        <v/>
      </c>
      <c r="FN22" s="108" t="n"/>
      <c r="FO22" s="122">
        <f>FN22*100/$E$22</f>
        <v/>
      </c>
      <c r="FP22" s="108" t="n"/>
      <c r="FQ22" s="107">
        <f>FP22*100/$E$22</f>
        <v/>
      </c>
      <c r="FR22" s="108" t="n"/>
      <c r="FS22" s="107">
        <f>FR22*100/$E$22</f>
        <v/>
      </c>
      <c r="FT22" s="108" t="n"/>
      <c r="FU22" s="107">
        <f>FT22*100/$E$22</f>
        <v/>
      </c>
      <c r="FV22" s="108" t="n"/>
      <c r="FW22" s="107">
        <f>FV22*100/$E$22</f>
        <v/>
      </c>
      <c r="FX22" s="108" t="n"/>
      <c r="FY22" s="107">
        <f>FX22*100/$E$22</f>
        <v/>
      </c>
      <c r="FZ22" s="108" t="n"/>
      <c r="GA22" s="107">
        <f>FZ22*100/$E$22</f>
        <v/>
      </c>
      <c r="GB22" s="108" t="n"/>
      <c r="GC22" s="107">
        <f>GB22*100/$E$22</f>
        <v/>
      </c>
      <c r="GD22" s="108" t="n"/>
      <c r="GE22" s="107">
        <f>GD22*100/$E$22</f>
        <v/>
      </c>
      <c r="GF22" s="108" t="n"/>
      <c r="GG22" s="107">
        <f>GF22*100/$E$22</f>
        <v/>
      </c>
      <c r="GH22" s="108" t="n"/>
      <c r="GI22" s="107">
        <f>GH22*100/$E$22</f>
        <v/>
      </c>
      <c r="GJ22" s="108" t="n"/>
      <c r="GK22" s="122">
        <f>GJ22*100/$E$22</f>
        <v/>
      </c>
      <c r="GL22" s="108" t="n"/>
      <c r="GM22" s="107">
        <f>GL22*100/$E$22</f>
        <v/>
      </c>
      <c r="GN22" s="108" t="n"/>
      <c r="GO22" s="122">
        <f>GN22*100/$E$22</f>
        <v/>
      </c>
      <c r="GP22" s="108" t="n"/>
      <c r="GQ22" s="107">
        <f>GP22*100/$E$22</f>
        <v/>
      </c>
      <c r="GR22" s="108" t="n"/>
      <c r="GS22" s="122">
        <f>GR22*100/$E$22</f>
        <v/>
      </c>
      <c r="GT22" s="108" t="n"/>
      <c r="GU22" s="122">
        <f>GT22*100/$E$22</f>
        <v/>
      </c>
      <c r="GV22" s="108" t="n"/>
      <c r="GW22" s="107">
        <f>GV22*100/$E$22</f>
        <v/>
      </c>
      <c r="GX22" s="108" t="n"/>
      <c r="GY22" s="107">
        <f>GX22*100/$E$22</f>
        <v/>
      </c>
      <c r="GZ22" s="108" t="n"/>
      <c r="HA22" s="107">
        <f>GZ22*100/$E$22</f>
        <v/>
      </c>
      <c r="HB22" s="108" t="n"/>
      <c r="HC22" s="107">
        <f>HB22*100/$E$22</f>
        <v/>
      </c>
      <c r="HD22" s="108" t="n"/>
      <c r="HE22" s="107">
        <f>HD22*100/$E$22</f>
        <v/>
      </c>
      <c r="HF22" s="108" t="n"/>
      <c r="HG22" s="107">
        <f>HF22*100/$E$22</f>
        <v/>
      </c>
      <c r="HH22" s="108" t="n"/>
      <c r="HI22" s="107">
        <f>HH22*100/$E$22</f>
        <v/>
      </c>
      <c r="HJ22" s="108" t="n"/>
      <c r="HK22" s="107">
        <f>HJ22*100/$E$22</f>
        <v/>
      </c>
      <c r="HL22" s="108" t="n"/>
      <c r="HM22" s="107">
        <f>HL22*100/$E$22</f>
        <v/>
      </c>
      <c r="HN22" s="108" t="n"/>
      <c r="HO22" s="107">
        <f>HN22*100/$E$22</f>
        <v/>
      </c>
      <c r="HP22" s="108" t="n"/>
      <c r="HQ22" s="107">
        <f>HP22*100/$E$22</f>
        <v/>
      </c>
      <c r="HR22" s="108" t="n"/>
      <c r="HS22" s="107">
        <f>HR22*100/$E$22</f>
        <v/>
      </c>
      <c r="HT22" s="108" t="n"/>
      <c r="HU22" s="107">
        <f>HT22*100/$E$22</f>
        <v/>
      </c>
      <c r="HV22" s="108" t="n"/>
      <c r="HW22" s="107">
        <f>HV22*100/$E$22</f>
        <v/>
      </c>
      <c r="HX22" s="108" t="n"/>
      <c r="HY22" s="107">
        <f>HX22*100/$E$22</f>
        <v/>
      </c>
      <c r="HZ22" s="108" t="n"/>
      <c r="IA22" s="122">
        <f>HZ22*100/$E$22</f>
        <v/>
      </c>
      <c r="IB22" s="108" t="n"/>
      <c r="IC22" s="122">
        <f>IB22*100/$E$22</f>
        <v/>
      </c>
      <c r="ID22" s="108" t="n"/>
      <c r="IE22" s="122">
        <f>ID22*100/$E$22</f>
        <v/>
      </c>
      <c r="IF22" s="108" t="n"/>
      <c r="IG22" s="122">
        <f>IF22*100/$E$22</f>
        <v/>
      </c>
      <c r="IH22" s="108" t="n"/>
      <c r="II22" s="122">
        <f>IH22*100/$E$22</f>
        <v/>
      </c>
      <c r="IJ22" s="108" t="n"/>
      <c r="IK22" s="122">
        <f>IJ22*100/$E$22</f>
        <v/>
      </c>
      <c r="IL22" s="108" t="n"/>
      <c r="IM22" s="107">
        <f>IL22*100/$E$22</f>
        <v/>
      </c>
      <c r="IN22" s="108" t="n"/>
      <c r="IO22" s="107">
        <f>IN22*100/$E$22</f>
        <v/>
      </c>
      <c r="IP22" s="108" t="n"/>
      <c r="IQ22" s="122">
        <f>IP22*100/$E$22</f>
        <v/>
      </c>
      <c r="IR22" s="108" t="n"/>
      <c r="IS22" s="122">
        <f>IR22*100/$E$22</f>
        <v/>
      </c>
      <c r="IT22" s="108" t="n"/>
      <c r="IU22" s="122">
        <f>IT22*100/$E$22</f>
        <v/>
      </c>
      <c r="IV22" s="108" t="n"/>
      <c r="IW22" s="122">
        <f>IV22*100/$E$22</f>
        <v/>
      </c>
      <c r="IX22" s="108" t="n"/>
      <c r="IY22" s="122">
        <f>IX22*100/$E$22</f>
        <v/>
      </c>
      <c r="IZ22" s="108" t="n"/>
      <c r="JA22" s="122">
        <f>IZ22*100/$E$22</f>
        <v/>
      </c>
      <c r="JB22" s="108" t="n"/>
      <c r="JC22" s="122">
        <f>JB22*100/$E$22</f>
        <v/>
      </c>
      <c r="JD22" s="108" t="n"/>
      <c r="JE22" s="122">
        <f>JD22*100/$E$22</f>
        <v/>
      </c>
      <c r="JF22" s="108" t="n"/>
      <c r="JG22" s="107">
        <f>JF22*100/$E$22</f>
        <v/>
      </c>
      <c r="JH22" s="108" t="n"/>
      <c r="JI22" s="122">
        <f>JH22*100/$E$22</f>
        <v/>
      </c>
      <c r="JJ22" s="108" t="n"/>
      <c r="JK22" s="107">
        <f>JJ22*100/$E$22</f>
        <v/>
      </c>
      <c r="JL22" s="108" t="n"/>
      <c r="JM22" s="122">
        <f>JL22*100/$E$22</f>
        <v/>
      </c>
      <c r="JN22" s="108" t="n"/>
      <c r="JO22" s="107">
        <f>JN22*100/$E$22</f>
        <v/>
      </c>
      <c r="JP22" s="108" t="n"/>
      <c r="JQ22" s="107">
        <f>JP22*100/$E$22</f>
        <v/>
      </c>
      <c r="JR22" s="108" t="n"/>
      <c r="JS22" s="107">
        <f>JR22*100/$E$22</f>
        <v/>
      </c>
      <c r="JT22" s="108" t="n"/>
      <c r="JU22" s="107">
        <f>JT22*100/$E$22</f>
        <v/>
      </c>
      <c r="JV22" s="108" t="n"/>
      <c r="JW22" s="107">
        <f>JV22*100/$E$22</f>
        <v/>
      </c>
      <c r="JX22" s="108" t="n"/>
      <c r="JY22" s="107">
        <f>JX22*100/$E$22</f>
        <v/>
      </c>
      <c r="JZ22" s="55">
        <f>JN22+JP22+JR22+JT22+JV22+JX22</f>
        <v/>
      </c>
      <c r="KA22" s="53">
        <f>JO22+JQ22+JS22+JU22+JW22+JY22</f>
        <v/>
      </c>
      <c r="KB22" s="64">
        <f>H22+J22+L22+N22+P22+R22+T22+V22+X22+Z22+AB22+AD22+AF22+AH22+AJ22+AL22+AN22+AP22+AR22+AT22+AV22+AX22+AZ22+BB22+BD22+BF22+BH22+BJ22+BL22+BN22+BP22+BR22+BT22+BV22+BX22+BZ22+CB22+CD22+CF22+CH22+CZ22+DB22+DD22+DF22+DH22+DJ22+DL22+DN22+DP22+DR22+DT22+DV22+DX22+DZ22+EB22+ED22+EF22+EH22+EJ22+EL22+EN22+EP22+ER22+ET22+EV22+FN22+FP22+FR22+FT22+FV22+FX22+FZ22+GB22+GD22+GF22+GH22+GJ22+GL22+GN22+GP22+GR22+GT22+GV22+GX22+GZ22+HB22+HD22+HF22+HH22+HJ22+HL22+HN22+HP22+HR22+HT22+HV22+HX22+HZ22+IB22+ID22+IF22+IH22+IJ22+IL22+IN22+IP22+IR22+IT22+IV22+IX22+IZ22+JB22+JD22+JF22+JH22+JJ22+JL22+JZ22+CJ22+CL22+CN22+CP22+CR22+CT22+CV22+CX22+EX22+EZ22+FB22+FD22+FF22+FH22+FJ22+FL22</f>
        <v/>
      </c>
      <c r="KC22" s="66">
        <f>I22+K22+M22+O22+Q22+S22+U22+W22+Y22+AA22+AC22+AE22+AG22+AI22+AK22+AM22+AO22+AQ22+AS22+AU22+AW22+AY22+BA22+BC22+BE22+BG22+BI22+BK22+BM22+BO22+BQ22+BS22+BU22+BW22+BY22+CA22+CC22+CE22+CG22+CI22+DA22+DC22+DE22+DG22+DI22+DK22+DM22+DO22+DQ22+DS22+DU22+DW22+DY22+EA22+EC22+EE22+EG22+EI22+EK22+EM22+EO22+EQ22+ES22+EU22+EW22+FO22+FS22+FU22+FW22+FQ22+FY22+GA22+GC22+GE22+GG22+GI22+GK22+GM22+GO22+GQ22+GS22+GU22+GW22+GY22+HA22+HC22+HE22+HG22+HI22+HK22+HM22+HO22+HQ22+HS22+HU22+HW22+HY22+IA22+IC22+IE22+IG22+II22+IK22+IM22+IO22+IQ22+IS22+IU22+IW22+IY22+JA22+JC22+JE22+JG22+JI22+JK22+JM22+KA22+CK22+CM22+CO22+CQ22+CS22+CU22+CW22+CY22+EY22+FA22+FC22+FE22+FG22+FI22+FK22+FM22</f>
        <v/>
      </c>
      <c r="KD22" s="44">
        <f>JO22+JQ22+JS22+JU22+JW22+JY22</f>
        <v/>
      </c>
      <c r="KE22" s="45">
        <f>KB22=E22</f>
        <v/>
      </c>
      <c r="KF22" s="101">
        <f>E22-KB22</f>
        <v/>
      </c>
      <c r="KG22" s="17" t="n"/>
    </row>
    <row r="23" ht="21.75" customFormat="1" customHeight="1" s="17">
      <c r="A23" s="130">
        <f>A22+1</f>
        <v/>
      </c>
      <c r="B23" s="199" t="inlineStr">
        <is>
          <t>Енин К.С.</t>
        </is>
      </c>
      <c r="C23" s="200" t="inlineStr">
        <is>
          <t>токарь</t>
        </is>
      </c>
      <c r="D23" s="177">
        <f>$D$5</f>
        <v/>
      </c>
      <c r="E23" s="203" t="n"/>
      <c r="F23" s="178" t="n">
        <v>101150.45</v>
      </c>
      <c r="G23" s="52">
        <f>F23/D23</f>
        <v/>
      </c>
      <c r="H23" s="125" t="n"/>
      <c r="I23" s="107">
        <f>H23*100/$E$23</f>
        <v/>
      </c>
      <c r="J23" s="108" t="n"/>
      <c r="K23" s="107">
        <f>J23*100/$E$23</f>
        <v/>
      </c>
      <c r="L23" s="108" t="n"/>
      <c r="M23" s="107">
        <f>L23*100/$E$23</f>
        <v/>
      </c>
      <c r="N23" s="108" t="n"/>
      <c r="O23" s="107">
        <f>N23*100/$E$23</f>
        <v/>
      </c>
      <c r="P23" s="108" t="n"/>
      <c r="Q23" s="122">
        <f>P23*100/$E$23</f>
        <v/>
      </c>
      <c r="R23" s="108" t="n"/>
      <c r="S23" s="122">
        <f>R23*100/$E$23</f>
        <v/>
      </c>
      <c r="T23" s="108" t="n"/>
      <c r="U23" s="107">
        <f>T23*100/$E$23</f>
        <v/>
      </c>
      <c r="V23" s="108" t="n"/>
      <c r="W23" s="107">
        <f>V23*100/$E$23</f>
        <v/>
      </c>
      <c r="X23" s="108" t="n"/>
      <c r="Y23" s="107">
        <f>X23*100/$E$23</f>
        <v/>
      </c>
      <c r="Z23" s="108" t="n"/>
      <c r="AA23" s="107">
        <f>Z23*100/$E$23</f>
        <v/>
      </c>
      <c r="AB23" s="108" t="n"/>
      <c r="AC23" s="107">
        <f>AB23*100/$E$23</f>
        <v/>
      </c>
      <c r="AD23" s="108" t="n"/>
      <c r="AE23" s="122">
        <f>AD23*100/$E$23</f>
        <v/>
      </c>
      <c r="AF23" s="108" t="n"/>
      <c r="AG23" s="122">
        <f>AF23*100/$E$23</f>
        <v/>
      </c>
      <c r="AH23" s="108" t="n"/>
      <c r="AI23" s="107">
        <f>AH23*100/$E$23</f>
        <v/>
      </c>
      <c r="AJ23" s="108" t="n"/>
      <c r="AK23" s="107">
        <f>AJ23*100/$E$23</f>
        <v/>
      </c>
      <c r="AL23" s="108" t="n"/>
      <c r="AM23" s="107">
        <f>AL23*100/$E$23</f>
        <v/>
      </c>
      <c r="AN23" s="108" t="n"/>
      <c r="AO23" s="107">
        <f>AN23*100/$E$23</f>
        <v/>
      </c>
      <c r="AP23" s="108" t="n"/>
      <c r="AQ23" s="107">
        <f>AP23*100/$E$23</f>
        <v/>
      </c>
      <c r="AR23" s="108" t="n"/>
      <c r="AS23" s="107">
        <f>AR23*100/$E$23</f>
        <v/>
      </c>
      <c r="AT23" s="108" t="n"/>
      <c r="AU23" s="90">
        <f>AT23*100/$E$23</f>
        <v/>
      </c>
      <c r="AV23" s="108" t="n"/>
      <c r="AW23" s="107">
        <f>AV23*100/$E$23</f>
        <v/>
      </c>
      <c r="AX23" s="108" t="n"/>
      <c r="AY23" s="107">
        <f>AX23*100/$E$23</f>
        <v/>
      </c>
      <c r="AZ23" s="108" t="n"/>
      <c r="BA23" s="107">
        <f>AZ23*100/$E$23</f>
        <v/>
      </c>
      <c r="BB23" s="108" t="n"/>
      <c r="BC23" s="107">
        <f>BB23*100/$E$23</f>
        <v/>
      </c>
      <c r="BD23" s="108" t="n"/>
      <c r="BE23" s="107">
        <f>BD23*100/$E$23</f>
        <v/>
      </c>
      <c r="BF23" s="108" t="n"/>
      <c r="BG23" s="107">
        <f>BF23*100/$E$23</f>
        <v/>
      </c>
      <c r="BH23" s="108" t="n"/>
      <c r="BI23" s="107">
        <f>BH23*100/$E$23</f>
        <v/>
      </c>
      <c r="BJ23" s="108" t="n"/>
      <c r="BK23" s="107">
        <f>BJ23*100/$E$23</f>
        <v/>
      </c>
      <c r="BL23" s="108" t="n"/>
      <c r="BM23" s="107">
        <f>BL23*100/$E$23</f>
        <v/>
      </c>
      <c r="BN23" s="108" t="n"/>
      <c r="BO23" s="107">
        <f>BN23*100/$E$23</f>
        <v/>
      </c>
      <c r="BP23" s="108" t="n"/>
      <c r="BQ23" s="107">
        <f>BP23*100/$E$23</f>
        <v/>
      </c>
      <c r="BR23" s="108" t="n"/>
      <c r="BS23" s="107">
        <f>BR23*100/$E$23</f>
        <v/>
      </c>
      <c r="BT23" s="108" t="n"/>
      <c r="BU23" s="107">
        <f>BT23*100/$E$23</f>
        <v/>
      </c>
      <c r="BV23" s="108" t="n"/>
      <c r="BW23" s="107">
        <f>BV23*100/$E$23</f>
        <v/>
      </c>
      <c r="BX23" s="108" t="n"/>
      <c r="BY23" s="107">
        <f>BX23*100/$E$23</f>
        <v/>
      </c>
      <c r="BZ23" s="108" t="n"/>
      <c r="CA23" s="107">
        <f>BZ23*100/$E$23</f>
        <v/>
      </c>
      <c r="CB23" s="108" t="n"/>
      <c r="CC23" s="107">
        <f>CB23*100/$E$23</f>
        <v/>
      </c>
      <c r="CD23" s="108" t="n"/>
      <c r="CE23" s="107">
        <f>CD23*100/$E$23</f>
        <v/>
      </c>
      <c r="CF23" s="108" t="n"/>
      <c r="CG23" s="107">
        <f>CF23*100/$E$23</f>
        <v/>
      </c>
      <c r="CH23" s="108" t="n"/>
      <c r="CI23" s="107">
        <f>CH23*100/$E$23</f>
        <v/>
      </c>
      <c r="CJ23" s="108" t="n"/>
      <c r="CK23" s="107">
        <f>CJ23*100/$E$23</f>
        <v/>
      </c>
      <c r="CL23" s="108" t="n"/>
      <c r="CM23" s="107">
        <f>CL23*100/$E$23</f>
        <v/>
      </c>
      <c r="CN23" s="108" t="n"/>
      <c r="CO23" s="122">
        <f>CN23*100/$E$23</f>
        <v/>
      </c>
      <c r="CP23" s="108" t="n"/>
      <c r="CQ23" s="107">
        <f>CP23*100/$E$23</f>
        <v/>
      </c>
      <c r="CR23" s="108" t="n"/>
      <c r="CS23" s="122">
        <f>CR23*100/$E$23</f>
        <v/>
      </c>
      <c r="CT23" s="108" t="n"/>
      <c r="CU23" s="122">
        <f>CT23*100/$E$23</f>
        <v/>
      </c>
      <c r="CV23" s="108" t="n"/>
      <c r="CW23" s="122">
        <f>CV23*100/$E$23</f>
        <v/>
      </c>
      <c r="CX23" s="108" t="n"/>
      <c r="CY23" s="122">
        <f>CX23*100/$E$23</f>
        <v/>
      </c>
      <c r="CZ23" s="108" t="n"/>
      <c r="DA23" s="122">
        <f>CZ23*100/$E$23</f>
        <v/>
      </c>
      <c r="DB23" s="108" t="n"/>
      <c r="DC23" s="122">
        <f>DB23*100/$E$23</f>
        <v/>
      </c>
      <c r="DD23" s="108" t="n"/>
      <c r="DE23" s="122">
        <f>DD23*100/$E$23</f>
        <v/>
      </c>
      <c r="DF23" s="108" t="n"/>
      <c r="DG23" s="122">
        <f>DF23*100/$E$23</f>
        <v/>
      </c>
      <c r="DH23" s="108" t="n"/>
      <c r="DI23" s="122">
        <f>DH23*100/$E$23</f>
        <v/>
      </c>
      <c r="DJ23" s="108" t="n"/>
      <c r="DK23" s="122">
        <f>DJ23*100/$E$23</f>
        <v/>
      </c>
      <c r="DL23" s="108" t="n"/>
      <c r="DM23" s="122">
        <f>DL23*100/$E$23</f>
        <v/>
      </c>
      <c r="DN23" s="108" t="n"/>
      <c r="DO23" s="122">
        <f>DN23*100/$E$23</f>
        <v/>
      </c>
      <c r="DP23" s="108" t="n"/>
      <c r="DQ23" s="122">
        <f>DP23*100/$E$23</f>
        <v/>
      </c>
      <c r="DR23" s="108" t="n"/>
      <c r="DS23" s="122">
        <f>DR23*100/$E$23</f>
        <v/>
      </c>
      <c r="DT23" s="108" t="n"/>
      <c r="DU23" s="122">
        <f>DT23*100/$E$23</f>
        <v/>
      </c>
      <c r="DV23" s="108" t="n"/>
      <c r="DW23" s="122">
        <f>DV23*100/$E$23</f>
        <v/>
      </c>
      <c r="DX23" s="108" t="n"/>
      <c r="DY23" s="122">
        <f>DX23*100/$E$23</f>
        <v/>
      </c>
      <c r="DZ23" s="108" t="n"/>
      <c r="EA23" s="122">
        <f>DZ23*100/$E$23</f>
        <v/>
      </c>
      <c r="EB23" s="108" t="n"/>
      <c r="EC23" s="122">
        <f>EB23*100/$E$23</f>
        <v/>
      </c>
      <c r="ED23" s="108" t="n"/>
      <c r="EE23" s="122">
        <f>ED23*100/$E$23</f>
        <v/>
      </c>
      <c r="EF23" s="108" t="n"/>
      <c r="EG23" s="122">
        <f>EF23*100/$E$23</f>
        <v/>
      </c>
      <c r="EH23" s="108" t="n"/>
      <c r="EI23" s="122">
        <f>EH23*100/$E$23</f>
        <v/>
      </c>
      <c r="EJ23" s="108" t="n"/>
      <c r="EK23" s="122">
        <f>EJ23*100/$E$23</f>
        <v/>
      </c>
      <c r="EL23" s="108" t="n"/>
      <c r="EM23" s="122">
        <f>EL23*100/$E$23</f>
        <v/>
      </c>
      <c r="EN23" s="108" t="n"/>
      <c r="EO23" s="122">
        <f>EN23*100/$E$23</f>
        <v/>
      </c>
      <c r="EP23" s="108" t="n"/>
      <c r="EQ23" s="122">
        <f>EP23*100/$E$23</f>
        <v/>
      </c>
      <c r="ER23" s="108" t="n"/>
      <c r="ES23" s="122">
        <f>ER23*100/$E$23</f>
        <v/>
      </c>
      <c r="ET23" s="108" t="n"/>
      <c r="EU23" s="122">
        <f>ET23*100/$E$23</f>
        <v/>
      </c>
      <c r="EV23" s="108" t="n"/>
      <c r="EW23" s="122">
        <f>EV23*100/$E$23</f>
        <v/>
      </c>
      <c r="EX23" s="108" t="n"/>
      <c r="EY23" s="122">
        <f>EX23*100/$E$23</f>
        <v/>
      </c>
      <c r="EZ23" s="108" t="n"/>
      <c r="FA23" s="122">
        <f>EZ23*100/$E$23</f>
        <v/>
      </c>
      <c r="FB23" s="108" t="n"/>
      <c r="FC23" s="122">
        <f>FB23*100/$E$23</f>
        <v/>
      </c>
      <c r="FD23" s="108" t="n"/>
      <c r="FE23" s="122">
        <f>FD23*100/$E$23</f>
        <v/>
      </c>
      <c r="FF23" s="108" t="n"/>
      <c r="FG23" s="122">
        <f>FF23*100/$E$23</f>
        <v/>
      </c>
      <c r="FH23" s="108" t="n"/>
      <c r="FI23" s="122">
        <f>FH23*100/$E$23</f>
        <v/>
      </c>
      <c r="FJ23" s="108" t="n"/>
      <c r="FK23" s="122">
        <f>FJ23*100/$E$23</f>
        <v/>
      </c>
      <c r="FL23" s="108" t="n"/>
      <c r="FM23" s="122">
        <f>FL23*100/$E$23</f>
        <v/>
      </c>
      <c r="FN23" s="108" t="n"/>
      <c r="FO23" s="122">
        <f>FN23*100/$E$23</f>
        <v/>
      </c>
      <c r="FP23" s="108" t="n"/>
      <c r="FQ23" s="122">
        <f>FP23*100/$E$23</f>
        <v/>
      </c>
      <c r="FR23" s="108" t="n"/>
      <c r="FS23" s="122">
        <f>FR23*100/$E$23</f>
        <v/>
      </c>
      <c r="FT23" s="108" t="n"/>
      <c r="FU23" s="122">
        <f>FT23*100/$E$23</f>
        <v/>
      </c>
      <c r="FV23" s="108" t="n"/>
      <c r="FW23" s="122">
        <f>FV23*100/$E$23</f>
        <v/>
      </c>
      <c r="FX23" s="108" t="n"/>
      <c r="FY23" s="107">
        <f>FX23*100/$E$23</f>
        <v/>
      </c>
      <c r="FZ23" s="108" t="n"/>
      <c r="GA23" s="107">
        <f>FZ23*100/$E$23</f>
        <v/>
      </c>
      <c r="GB23" s="108" t="n"/>
      <c r="GC23" s="107">
        <f>GB23*100/$E$23</f>
        <v/>
      </c>
      <c r="GD23" s="108" t="n"/>
      <c r="GE23" s="107">
        <f>GD23*100/$E$23</f>
        <v/>
      </c>
      <c r="GF23" s="108" t="n"/>
      <c r="GG23" s="107">
        <f>GF23*100/$E$23</f>
        <v/>
      </c>
      <c r="GH23" s="108" t="n"/>
      <c r="GI23" s="107">
        <f>GH23*100/$E$23</f>
        <v/>
      </c>
      <c r="GJ23" s="108" t="n"/>
      <c r="GK23" s="122">
        <f>GJ23*100/$E$23</f>
        <v/>
      </c>
      <c r="GL23" s="108" t="n"/>
      <c r="GM23" s="107">
        <f>GL23*100/$E$23</f>
        <v/>
      </c>
      <c r="GN23" s="108" t="n"/>
      <c r="GO23" s="122">
        <f>GN23*100/$E$23</f>
        <v/>
      </c>
      <c r="GP23" s="108" t="n"/>
      <c r="GQ23" s="107">
        <f>GP23*100/$E$23</f>
        <v/>
      </c>
      <c r="GR23" s="108" t="n"/>
      <c r="GS23" s="122">
        <f>GR23*100/$E$23</f>
        <v/>
      </c>
      <c r="GT23" s="108" t="n"/>
      <c r="GU23" s="122">
        <f>GT23*100/$E$23</f>
        <v/>
      </c>
      <c r="GV23" s="108" t="n"/>
      <c r="GW23" s="122">
        <f>GV23*100/$E$23</f>
        <v/>
      </c>
      <c r="GX23" s="108" t="n"/>
      <c r="GY23" s="107">
        <f>GX23*100/$E$23</f>
        <v/>
      </c>
      <c r="GZ23" s="108" t="n"/>
      <c r="HA23" s="107">
        <f>GZ23*100/$E$23</f>
        <v/>
      </c>
      <c r="HB23" s="108" t="n"/>
      <c r="HC23" s="107">
        <f>HB23*100/$E$23</f>
        <v/>
      </c>
      <c r="HD23" s="108" t="n"/>
      <c r="HE23" s="107">
        <f>HD23*100/$E$23</f>
        <v/>
      </c>
      <c r="HF23" s="108" t="n"/>
      <c r="HG23" s="107">
        <f>HF23*100/$E$23</f>
        <v/>
      </c>
      <c r="HH23" s="108" t="n"/>
      <c r="HI23" s="107">
        <f>HH23*100/$E$23</f>
        <v/>
      </c>
      <c r="HJ23" s="108" t="n"/>
      <c r="HK23" s="107">
        <f>HJ23*100/$E$23</f>
        <v/>
      </c>
      <c r="HL23" s="108" t="n"/>
      <c r="HM23" s="107">
        <f>HL23*100/$E$23</f>
        <v/>
      </c>
      <c r="HN23" s="108" t="n"/>
      <c r="HO23" s="107">
        <f>HN23*100/$E$23</f>
        <v/>
      </c>
      <c r="HP23" s="108" t="n"/>
      <c r="HQ23" s="107">
        <f>HP23*100/$E$23</f>
        <v/>
      </c>
      <c r="HR23" s="108" t="n"/>
      <c r="HS23" s="107">
        <f>HR23*100/$E$23</f>
        <v/>
      </c>
      <c r="HT23" s="108" t="n"/>
      <c r="HU23" s="107">
        <f>HT23*100/$E$23</f>
        <v/>
      </c>
      <c r="HV23" s="108" t="n"/>
      <c r="HW23" s="107">
        <f>HV23*100/$E$23</f>
        <v/>
      </c>
      <c r="HX23" s="108" t="n"/>
      <c r="HY23" s="107">
        <f>HX23*100/$E$23</f>
        <v/>
      </c>
      <c r="HZ23" s="108" t="n"/>
      <c r="IA23" s="122">
        <f>HZ23*100/$E$23</f>
        <v/>
      </c>
      <c r="IB23" s="108" t="n"/>
      <c r="IC23" s="122">
        <f>IB23*100/$E$23</f>
        <v/>
      </c>
      <c r="ID23" s="108" t="n"/>
      <c r="IE23" s="122">
        <f>ID23*100/$E$23</f>
        <v/>
      </c>
      <c r="IF23" s="108" t="n"/>
      <c r="IG23" s="122">
        <f>IF23*100/$E$23</f>
        <v/>
      </c>
      <c r="IH23" s="108" t="n"/>
      <c r="II23" s="122">
        <f>IH23*100/$E$23</f>
        <v/>
      </c>
      <c r="IJ23" s="108" t="n"/>
      <c r="IK23" s="122">
        <f>IJ23*100/$E$23</f>
        <v/>
      </c>
      <c r="IL23" s="108" t="n"/>
      <c r="IM23" s="107">
        <f>IL23*100/$E$23</f>
        <v/>
      </c>
      <c r="IN23" s="108" t="n"/>
      <c r="IO23" s="107">
        <f>IN23*100/$E$23</f>
        <v/>
      </c>
      <c r="IP23" s="108" t="n"/>
      <c r="IQ23" s="122">
        <f>IP23*100/$E$23</f>
        <v/>
      </c>
      <c r="IR23" s="108" t="n"/>
      <c r="IS23" s="122">
        <f>IR23*100/$E$23</f>
        <v/>
      </c>
      <c r="IT23" s="108" t="n"/>
      <c r="IU23" s="122">
        <f>IT23*100/$E$23</f>
        <v/>
      </c>
      <c r="IV23" s="108" t="n"/>
      <c r="IW23" s="122">
        <f>IV23*100/$E$23</f>
        <v/>
      </c>
      <c r="IX23" s="108" t="n"/>
      <c r="IY23" s="122">
        <f>IX23*100/$E$23</f>
        <v/>
      </c>
      <c r="IZ23" s="108" t="n"/>
      <c r="JA23" s="122">
        <f>IZ23*100/$E$23</f>
        <v/>
      </c>
      <c r="JB23" s="108" t="n"/>
      <c r="JC23" s="122">
        <f>JB23*100/$E$23</f>
        <v/>
      </c>
      <c r="JD23" s="108" t="n"/>
      <c r="JE23" s="122">
        <f>JD23*100/$E$23</f>
        <v/>
      </c>
      <c r="JF23" s="108" t="n"/>
      <c r="JG23" s="122">
        <f>JF23*100/$E$23</f>
        <v/>
      </c>
      <c r="JH23" s="108" t="n"/>
      <c r="JI23" s="122">
        <f>JH23*100/$E$23</f>
        <v/>
      </c>
      <c r="JJ23" s="108" t="n"/>
      <c r="JK23" s="122">
        <f>JJ23*100/$E$23</f>
        <v/>
      </c>
      <c r="JL23" s="108" t="n"/>
      <c r="JM23" s="122">
        <f>JL23*100/$E$23</f>
        <v/>
      </c>
      <c r="JN23" s="108" t="n"/>
      <c r="JO23" s="122">
        <f>JN23*100/$E$23</f>
        <v/>
      </c>
      <c r="JP23" s="108" t="n"/>
      <c r="JQ23" s="122">
        <f>JP23*100/$E$23</f>
        <v/>
      </c>
      <c r="JR23" s="108" t="n"/>
      <c r="JS23" s="122">
        <f>JR23*100/$E$23</f>
        <v/>
      </c>
      <c r="JT23" s="108" t="n"/>
      <c r="JU23" s="122">
        <f>JT23*100/$E$23</f>
        <v/>
      </c>
      <c r="JV23" s="108" t="n"/>
      <c r="JW23" s="122">
        <f>JV23*100/$E$23</f>
        <v/>
      </c>
      <c r="JX23" s="108" t="n"/>
      <c r="JY23" s="122">
        <f>JX23*100/$E$23</f>
        <v/>
      </c>
      <c r="JZ23" s="55">
        <f>JN23+JP23+JR23+JT23+JV23+JX23</f>
        <v/>
      </c>
      <c r="KA23" s="53">
        <f>JO23+JQ23+JS23+JU23+JW23+JY23</f>
        <v/>
      </c>
      <c r="KB23" s="64">
        <f>H23+J23+L23+N23+P23+R23+T23+V23+X23+Z23+AB23+AD23+AF23+AH23+AJ23+AL23+AN23+AP23+AR23+AT23+AV23+AX23+AZ23+BB23+BD23+BF23+BH23+BJ23+BL23+BN23+BP23+BR23+BT23+BV23+BX23+BZ23+CB23+CD23+CF23+CH23+CZ23+DB23+DD23+DF23+DH23+DJ23+DL23+DN23+DP23+DR23+DT23+DV23+DX23+DZ23+EB23+ED23+EF23+EH23+EJ23+EL23+EN23+EP23+ER23+ET23+EV23+FN23+FP23+FR23+FT23+FV23+FX23+FZ23+GB23+GD23+GF23+GH23+GJ23+GL23+GN23+GP23+GR23+GT23+GV23+GX23+GZ23+HB23+HD23+HF23+HH23+HJ23+HL23+HN23+HP23+HR23+HT23+HV23+HX23+HZ23+IB23+ID23+IF23+IH23+IJ23+IL23+IN23+IP23+IR23+IT23+IV23+IX23+IZ23+JB23+JD23+JF23+JH23+JJ23+JL23+JZ23+CJ23+CL23+CN23+CP23+CR23+CT23+CV23+CX23+EX23+EZ23+FB23+FD23+FF23+FH23+FJ23+FL23</f>
        <v/>
      </c>
      <c r="KC23" s="66">
        <f>I23+K23+M23+O23+Q23+S23+U23+W23+Y23+AA23+AC23+AE23+AG23+AI23+AK23+AM23+AO23+AQ23+AS23+AU23+AW23+AY23+BA23+BC23+BE23+BG23+BI23+BK23+BM23+BO23+BQ23+BS23+BU23+BW23+BY23+CA23+CC23+CE23+CG23+CI23+DA23+DC23+DE23+DG23+DI23+DK23+DM23+DO23+DQ23+DS23+DU23+DW23+DY23+EA23+EC23+EE23+EG23+EI23+EK23+EM23+EO23+EQ23+ES23+EU23+EW23+FO23+FS23+FU23+FW23+FQ23+FY23+GA23+GC23+GE23+GG23+GI23+GK23+GM23+GO23+GQ23+GS23+GU23+GW23+GY23+HA23+HC23+HE23+HG23+HI23+HK23+HM23+HO23+HQ23+HS23+HU23+HW23+HY23+IA23+IC23+IE23+IG23+II23+IK23+IM23+IO23+IQ23+IS23+IU23+IW23+IY23+JA23+JC23+JE23+JG23+JI23+JK23+JM23+KA23+CK23+CM23+CO23+CQ23+CS23+CU23+CW23+CY23+EY23+FA23+FC23+FE23+FG23+FI23+FK23+FM23</f>
        <v/>
      </c>
      <c r="KD23" s="44">
        <f>JO23+JQ23+JS23+JU23+JW23+JY23</f>
        <v/>
      </c>
      <c r="KE23" s="45">
        <f>KB23=E23</f>
        <v/>
      </c>
      <c r="KF23" s="101">
        <f>E23-KB23</f>
        <v/>
      </c>
      <c r="KG23" s="14" t="n"/>
    </row>
    <row r="24" ht="21.75" customFormat="1" customHeight="1" s="17">
      <c r="A24" s="130">
        <f>A23+1</f>
        <v/>
      </c>
      <c r="B24" s="199" t="inlineStr">
        <is>
          <t>Иванов А.И.</t>
        </is>
      </c>
      <c r="C24" s="200" t="inlineStr">
        <is>
          <t>токарь</t>
        </is>
      </c>
      <c r="D24" s="177">
        <f>$D$5</f>
        <v/>
      </c>
      <c r="E24" s="203" t="n"/>
      <c r="F24" s="178" t="n">
        <v>101150.45</v>
      </c>
      <c r="G24" s="52">
        <f>F24/D24</f>
        <v/>
      </c>
      <c r="H24" s="125" t="n"/>
      <c r="I24" s="122">
        <f>H24*100/$E$24</f>
        <v/>
      </c>
      <c r="J24" s="108" t="n"/>
      <c r="K24" s="122">
        <f>J24*100/$E$24</f>
        <v/>
      </c>
      <c r="L24" s="108" t="n"/>
      <c r="M24" s="122">
        <f>L24*100/$E$24</f>
        <v/>
      </c>
      <c r="N24" s="108" t="n"/>
      <c r="O24" s="122">
        <f>N24*100/$E$24</f>
        <v/>
      </c>
      <c r="P24" s="108" t="n"/>
      <c r="Q24" s="122">
        <f>P24*100/$E$24</f>
        <v/>
      </c>
      <c r="R24" s="108" t="n"/>
      <c r="S24" s="122">
        <f>R24*100/$E$24</f>
        <v/>
      </c>
      <c r="T24" s="108" t="n"/>
      <c r="U24" s="122">
        <f>T24*100/$E$24</f>
        <v/>
      </c>
      <c r="V24" s="108" t="n"/>
      <c r="W24" s="122">
        <f>V24*100/$E$24</f>
        <v/>
      </c>
      <c r="X24" s="108" t="n"/>
      <c r="Y24" s="122">
        <f>X24*100/$E$24</f>
        <v/>
      </c>
      <c r="Z24" s="108" t="n"/>
      <c r="AA24" s="122">
        <f>Z24*100/$E$24</f>
        <v/>
      </c>
      <c r="AB24" s="108" t="n"/>
      <c r="AC24" s="122">
        <f>AB24*100/$E$24</f>
        <v/>
      </c>
      <c r="AD24" s="108" t="n"/>
      <c r="AE24" s="122">
        <f>AD24*100/$E$24</f>
        <v/>
      </c>
      <c r="AF24" s="108" t="n"/>
      <c r="AG24" s="122">
        <f>AF24*100/$E$24</f>
        <v/>
      </c>
      <c r="AH24" s="108" t="n"/>
      <c r="AI24" s="122">
        <f>AH24*100/$E$24</f>
        <v/>
      </c>
      <c r="AJ24" s="108" t="n"/>
      <c r="AK24" s="122">
        <f>AJ24*100/$E$24</f>
        <v/>
      </c>
      <c r="AL24" s="108" t="n"/>
      <c r="AM24" s="122">
        <f>AL24*100/$E$24</f>
        <v/>
      </c>
      <c r="AN24" s="108" t="n"/>
      <c r="AO24" s="122">
        <f>AN24*100/$E$24</f>
        <v/>
      </c>
      <c r="AP24" s="108" t="n"/>
      <c r="AQ24" s="122">
        <f>AP24*100/$E$24</f>
        <v/>
      </c>
      <c r="AR24" s="108" t="n"/>
      <c r="AS24" s="122">
        <f>AR24*100/$E$24</f>
        <v/>
      </c>
      <c r="AT24" s="108" t="n"/>
      <c r="AU24" s="90">
        <f>AT24*100/$E$24</f>
        <v/>
      </c>
      <c r="AV24" s="108" t="n"/>
      <c r="AW24" s="122">
        <f>AV24*100/$E$24</f>
        <v/>
      </c>
      <c r="AX24" s="108" t="n"/>
      <c r="AY24" s="122">
        <f>AX24*100/$E$24</f>
        <v/>
      </c>
      <c r="AZ24" s="108" t="n"/>
      <c r="BA24" s="122">
        <f>AZ24*100/$E$24</f>
        <v/>
      </c>
      <c r="BB24" s="108" t="n"/>
      <c r="BC24" s="122">
        <f>BB24*100/$E$24</f>
        <v/>
      </c>
      <c r="BD24" s="108" t="n"/>
      <c r="BE24" s="122">
        <f>BD24*100/$E$24</f>
        <v/>
      </c>
      <c r="BF24" s="108" t="n"/>
      <c r="BG24" s="122">
        <f>BF24*100/$E$24</f>
        <v/>
      </c>
      <c r="BH24" s="108" t="n"/>
      <c r="BI24" s="122">
        <f>BH24*100/$E$24</f>
        <v/>
      </c>
      <c r="BJ24" s="108" t="n"/>
      <c r="BK24" s="122">
        <f>BJ24*100/$E$24</f>
        <v/>
      </c>
      <c r="BL24" s="108" t="n"/>
      <c r="BM24" s="122">
        <f>BL24*100/$E$24</f>
        <v/>
      </c>
      <c r="BN24" s="108" t="n"/>
      <c r="BO24" s="122">
        <f>BN24*100/$E$24</f>
        <v/>
      </c>
      <c r="BP24" s="108" t="n"/>
      <c r="BQ24" s="122">
        <f>BP24*100/$E$24</f>
        <v/>
      </c>
      <c r="BR24" s="108" t="n"/>
      <c r="BS24" s="122">
        <f>BR24*100/$E$24</f>
        <v/>
      </c>
      <c r="BT24" s="108" t="n"/>
      <c r="BU24" s="122">
        <f>BT24*100/$E$24</f>
        <v/>
      </c>
      <c r="BV24" s="108" t="n"/>
      <c r="BW24" s="122">
        <f>BV24*100/$E$24</f>
        <v/>
      </c>
      <c r="BX24" s="108" t="n"/>
      <c r="BY24" s="122">
        <f>BX24*100/$E$24</f>
        <v/>
      </c>
      <c r="BZ24" s="108" t="n"/>
      <c r="CA24" s="122">
        <f>BZ24*100/$E$24</f>
        <v/>
      </c>
      <c r="CB24" s="108" t="n"/>
      <c r="CC24" s="122">
        <f>CB24*100/$E$24</f>
        <v/>
      </c>
      <c r="CD24" s="108" t="n"/>
      <c r="CE24" s="122">
        <f>CD24*100/$E$24</f>
        <v/>
      </c>
      <c r="CF24" s="108" t="n"/>
      <c r="CG24" s="122">
        <f>CF24*100/$E$24</f>
        <v/>
      </c>
      <c r="CH24" s="108" t="n"/>
      <c r="CI24" s="122">
        <f>CH24*100/$E$24</f>
        <v/>
      </c>
      <c r="CJ24" s="108" t="n"/>
      <c r="CK24" s="122">
        <f>CJ24*100/$E$24</f>
        <v/>
      </c>
      <c r="CL24" s="108" t="n"/>
      <c r="CM24" s="122">
        <f>CL24*100/$E$24</f>
        <v/>
      </c>
      <c r="CN24" s="108" t="n"/>
      <c r="CO24" s="122">
        <f>CN24*100/$E$24</f>
        <v/>
      </c>
      <c r="CP24" s="108" t="n"/>
      <c r="CQ24" s="122">
        <f>CP24*100/$E$24</f>
        <v/>
      </c>
      <c r="CR24" s="108" t="n"/>
      <c r="CS24" s="122">
        <f>CR24*100/$E$24</f>
        <v/>
      </c>
      <c r="CT24" s="108" t="n"/>
      <c r="CU24" s="122">
        <f>CT24*100/$E$24</f>
        <v/>
      </c>
      <c r="CV24" s="108" t="n"/>
      <c r="CW24" s="122">
        <f>CV24*100/$E$24</f>
        <v/>
      </c>
      <c r="CX24" s="108" t="n"/>
      <c r="CY24" s="122">
        <f>CX24*100/$E$24</f>
        <v/>
      </c>
      <c r="CZ24" s="108" t="n"/>
      <c r="DA24" s="122">
        <f>CZ24*100/$E$24</f>
        <v/>
      </c>
      <c r="DB24" s="108" t="n"/>
      <c r="DC24" s="122">
        <f>DB24*100/$E$24</f>
        <v/>
      </c>
      <c r="DD24" s="108" t="n"/>
      <c r="DE24" s="122">
        <f>DD24*100/$E$24</f>
        <v/>
      </c>
      <c r="DF24" s="108" t="n"/>
      <c r="DG24" s="122">
        <f>DF24*100/$E$24</f>
        <v/>
      </c>
      <c r="DH24" s="108" t="n"/>
      <c r="DI24" s="122">
        <f>DH24*100/$E$24</f>
        <v/>
      </c>
      <c r="DJ24" s="108" t="n"/>
      <c r="DK24" s="122">
        <f>DJ24*100/$E$24</f>
        <v/>
      </c>
      <c r="DL24" s="108" t="n"/>
      <c r="DM24" s="122">
        <f>DL24*100/$E$24</f>
        <v/>
      </c>
      <c r="DN24" s="108" t="n"/>
      <c r="DO24" s="122">
        <f>DN24*100/$E$24</f>
        <v/>
      </c>
      <c r="DP24" s="108" t="n"/>
      <c r="DQ24" s="122">
        <f>DP24*100/$E$24</f>
        <v/>
      </c>
      <c r="DR24" s="108" t="n"/>
      <c r="DS24" s="122">
        <f>DR24*100/$E$24</f>
        <v/>
      </c>
      <c r="DT24" s="108" t="n"/>
      <c r="DU24" s="122">
        <f>DT24*100/$E$24</f>
        <v/>
      </c>
      <c r="DV24" s="108" t="n"/>
      <c r="DW24" s="122">
        <f>DV24*100/$E$24</f>
        <v/>
      </c>
      <c r="DX24" s="108" t="n"/>
      <c r="DY24" s="122">
        <f>DX24*100/$E$24</f>
        <v/>
      </c>
      <c r="DZ24" s="108" t="n"/>
      <c r="EA24" s="122">
        <f>DZ24*100/$E$24</f>
        <v/>
      </c>
      <c r="EB24" s="108" t="n"/>
      <c r="EC24" s="122">
        <f>EB24*100/$E$24</f>
        <v/>
      </c>
      <c r="ED24" s="108" t="n"/>
      <c r="EE24" s="122">
        <f>ED24*100/$E$24</f>
        <v/>
      </c>
      <c r="EF24" s="108" t="n"/>
      <c r="EG24" s="122">
        <f>EF24*100/$E$24</f>
        <v/>
      </c>
      <c r="EH24" s="108" t="n"/>
      <c r="EI24" s="122">
        <f>EH24*100/$E$24</f>
        <v/>
      </c>
      <c r="EJ24" s="108" t="n"/>
      <c r="EK24" s="122">
        <f>EJ24*100/$E$24</f>
        <v/>
      </c>
      <c r="EL24" s="108" t="n"/>
      <c r="EM24" s="122">
        <f>EL24*100/$E$24</f>
        <v/>
      </c>
      <c r="EN24" s="108" t="n"/>
      <c r="EO24" s="122">
        <f>EN24*100/$E$24</f>
        <v/>
      </c>
      <c r="EP24" s="108" t="n"/>
      <c r="EQ24" s="122">
        <f>EP24*100/$E$24</f>
        <v/>
      </c>
      <c r="ER24" s="108" t="n"/>
      <c r="ES24" s="122">
        <f>ER24*100/$E$24</f>
        <v/>
      </c>
      <c r="ET24" s="108" t="n"/>
      <c r="EU24" s="122">
        <f>ET24*100/$E$24</f>
        <v/>
      </c>
      <c r="EV24" s="108" t="n"/>
      <c r="EW24" s="122">
        <f>EV24*100/$E$24</f>
        <v/>
      </c>
      <c r="EX24" s="108" t="n"/>
      <c r="EY24" s="122">
        <f>EX24*100/$E$24</f>
        <v/>
      </c>
      <c r="EZ24" s="108" t="n"/>
      <c r="FA24" s="122">
        <f>EZ24*100/$E$24</f>
        <v/>
      </c>
      <c r="FB24" s="108" t="n"/>
      <c r="FC24" s="122">
        <f>FB24*100/$E$24</f>
        <v/>
      </c>
      <c r="FD24" s="108" t="n"/>
      <c r="FE24" s="122">
        <f>FD24*100/$E$24</f>
        <v/>
      </c>
      <c r="FF24" s="108" t="n"/>
      <c r="FG24" s="122">
        <f>FF24*100/$E$24</f>
        <v/>
      </c>
      <c r="FH24" s="108" t="n"/>
      <c r="FI24" s="122">
        <f>FH24*100/$E$24</f>
        <v/>
      </c>
      <c r="FJ24" s="108" t="n"/>
      <c r="FK24" s="122">
        <f>FJ24*100/$E$24</f>
        <v/>
      </c>
      <c r="FL24" s="108" t="n"/>
      <c r="FM24" s="122">
        <f>FL24*100/$E$24</f>
        <v/>
      </c>
      <c r="FN24" s="108" t="n"/>
      <c r="FO24" s="122">
        <f>FN24*100/$E$24</f>
        <v/>
      </c>
      <c r="FP24" s="108" t="n"/>
      <c r="FQ24" s="122">
        <f>FP24*100/$E$24</f>
        <v/>
      </c>
      <c r="FR24" s="108" t="n"/>
      <c r="FS24" s="122">
        <f>FR24*100/$E$24</f>
        <v/>
      </c>
      <c r="FT24" s="108" t="n"/>
      <c r="FU24" s="122">
        <f>FT24*100/$E$24</f>
        <v/>
      </c>
      <c r="FV24" s="108" t="n"/>
      <c r="FW24" s="122">
        <f>FV24*100/$E$24</f>
        <v/>
      </c>
      <c r="FX24" s="108" t="n"/>
      <c r="FY24" s="122">
        <f>FX24*100/$E$24</f>
        <v/>
      </c>
      <c r="FZ24" s="108" t="n"/>
      <c r="GA24" s="122">
        <f>FZ24*100/$E$24</f>
        <v/>
      </c>
      <c r="GB24" s="108" t="n"/>
      <c r="GC24" s="122">
        <f>GB24*100/$E$24</f>
        <v/>
      </c>
      <c r="GD24" s="108" t="n"/>
      <c r="GE24" s="122">
        <f>GD24*100/$E$24</f>
        <v/>
      </c>
      <c r="GF24" s="108" t="n"/>
      <c r="GG24" s="122">
        <f>GF24*100/$E$24</f>
        <v/>
      </c>
      <c r="GH24" s="108" t="n"/>
      <c r="GI24" s="122">
        <f>GH24*100/$E$24</f>
        <v/>
      </c>
      <c r="GJ24" s="108" t="n"/>
      <c r="GK24" s="122">
        <f>GJ24*100/$E$24</f>
        <v/>
      </c>
      <c r="GL24" s="108" t="n"/>
      <c r="GM24" s="122">
        <f>GL24*100/$E$24</f>
        <v/>
      </c>
      <c r="GN24" s="108" t="n"/>
      <c r="GO24" s="122">
        <f>GN24*100/$E$24</f>
        <v/>
      </c>
      <c r="GP24" s="108" t="n"/>
      <c r="GQ24" s="122">
        <f>GP24*100/$E$24</f>
        <v/>
      </c>
      <c r="GR24" s="108" t="n"/>
      <c r="GS24" s="122">
        <f>GR24*100/$E$24</f>
        <v/>
      </c>
      <c r="GT24" s="108" t="n"/>
      <c r="GU24" s="122">
        <f>GT24*100/$E$24</f>
        <v/>
      </c>
      <c r="GV24" s="108" t="n"/>
      <c r="GW24" s="122">
        <f>GV24*100/$E$24</f>
        <v/>
      </c>
      <c r="GX24" s="108" t="n"/>
      <c r="GY24" s="122">
        <f>GX24*100/$E$24</f>
        <v/>
      </c>
      <c r="GZ24" s="108" t="n"/>
      <c r="HA24" s="122">
        <f>GZ24*100/$E$24</f>
        <v/>
      </c>
      <c r="HB24" s="108" t="n"/>
      <c r="HC24" s="122">
        <f>HB24*100/$E$24</f>
        <v/>
      </c>
      <c r="HD24" s="108" t="n"/>
      <c r="HE24" s="122">
        <f>HD24*100/$E$24</f>
        <v/>
      </c>
      <c r="HF24" s="108" t="n"/>
      <c r="HG24" s="122">
        <f>HF24*100/$E$24</f>
        <v/>
      </c>
      <c r="HH24" s="108" t="n"/>
      <c r="HI24" s="122">
        <f>HH24*100/$E$24</f>
        <v/>
      </c>
      <c r="HJ24" s="108" t="n"/>
      <c r="HK24" s="122">
        <f>HJ24*100/$E$24</f>
        <v/>
      </c>
      <c r="HL24" s="108" t="n"/>
      <c r="HM24" s="122">
        <f>HL24*100/$E$24</f>
        <v/>
      </c>
      <c r="HN24" s="108" t="n"/>
      <c r="HO24" s="122">
        <f>HN24*100/$E$24</f>
        <v/>
      </c>
      <c r="HP24" s="108" t="n"/>
      <c r="HQ24" s="122">
        <f>HP24*100/$E$24</f>
        <v/>
      </c>
      <c r="HR24" s="108" t="n"/>
      <c r="HS24" s="122">
        <f>HR24*100/$E$24</f>
        <v/>
      </c>
      <c r="HT24" s="108" t="n"/>
      <c r="HU24" s="122">
        <f>HT24*100/$E$24</f>
        <v/>
      </c>
      <c r="HV24" s="108" t="n"/>
      <c r="HW24" s="122">
        <f>HV24*100/$E$24</f>
        <v/>
      </c>
      <c r="HX24" s="108" t="n"/>
      <c r="HY24" s="122">
        <f>HX24*100/$E$24</f>
        <v/>
      </c>
      <c r="HZ24" s="108" t="n"/>
      <c r="IA24" s="122">
        <f>HZ24*100/$E$24</f>
        <v/>
      </c>
      <c r="IB24" s="108" t="n"/>
      <c r="IC24" s="122">
        <f>IB24*100/$E$24</f>
        <v/>
      </c>
      <c r="ID24" s="108" t="n"/>
      <c r="IE24" s="122">
        <f>ID24*100/$E$24</f>
        <v/>
      </c>
      <c r="IF24" s="108" t="n"/>
      <c r="IG24" s="122">
        <f>IF24*100/$E$24</f>
        <v/>
      </c>
      <c r="IH24" s="108" t="n"/>
      <c r="II24" s="122">
        <f>IH24*100/$E$24</f>
        <v/>
      </c>
      <c r="IJ24" s="108" t="n"/>
      <c r="IK24" s="122">
        <f>IJ24*100/$E$24</f>
        <v/>
      </c>
      <c r="IL24" s="108" t="n"/>
      <c r="IM24" s="122">
        <f>IL24*100/$E$24</f>
        <v/>
      </c>
      <c r="IN24" s="108" t="n"/>
      <c r="IO24" s="122">
        <f>IN24*100/$E$24</f>
        <v/>
      </c>
      <c r="IP24" s="108" t="n"/>
      <c r="IQ24" s="122">
        <f>IP24*100/$E$24</f>
        <v/>
      </c>
      <c r="IR24" s="108" t="n"/>
      <c r="IS24" s="122">
        <f>IR24*100/$E$24</f>
        <v/>
      </c>
      <c r="IT24" s="108" t="n"/>
      <c r="IU24" s="122">
        <f>IT24*100/$E$24</f>
        <v/>
      </c>
      <c r="IV24" s="108" t="n"/>
      <c r="IW24" s="122">
        <f>IV24*100/$E$24</f>
        <v/>
      </c>
      <c r="IX24" s="108" t="n"/>
      <c r="IY24" s="122">
        <f>IX24*100/$E$24</f>
        <v/>
      </c>
      <c r="IZ24" s="108" t="n"/>
      <c r="JA24" s="122">
        <f>IZ24*100/$E$24</f>
        <v/>
      </c>
      <c r="JB24" s="108" t="n"/>
      <c r="JC24" s="122">
        <f>JB24*100/$E$24</f>
        <v/>
      </c>
      <c r="JD24" s="108" t="n"/>
      <c r="JE24" s="122">
        <f>JD24*100/$E$24</f>
        <v/>
      </c>
      <c r="JF24" s="108" t="n"/>
      <c r="JG24" s="122">
        <f>JF24*100/$E$24</f>
        <v/>
      </c>
      <c r="JH24" s="108" t="n"/>
      <c r="JI24" s="122">
        <f>JH24*100/$E$24</f>
        <v/>
      </c>
      <c r="JJ24" s="108" t="n"/>
      <c r="JK24" s="122">
        <f>JJ24*100/$E$24</f>
        <v/>
      </c>
      <c r="JL24" s="108" t="n"/>
      <c r="JM24" s="122">
        <f>JL24*100/$E$24</f>
        <v/>
      </c>
      <c r="JN24" s="108" t="n"/>
      <c r="JO24" s="122">
        <f>JN24*100/$E$24</f>
        <v/>
      </c>
      <c r="JP24" s="108" t="n"/>
      <c r="JQ24" s="122">
        <f>JP24*100/$E$24</f>
        <v/>
      </c>
      <c r="JR24" s="108" t="n"/>
      <c r="JS24" s="122">
        <f>JR24*100/$E$24</f>
        <v/>
      </c>
      <c r="JT24" s="108" t="n"/>
      <c r="JU24" s="122">
        <f>JT24*100/$E$24</f>
        <v/>
      </c>
      <c r="JV24" s="108" t="n"/>
      <c r="JW24" s="122">
        <f>JV24*100/$E$24</f>
        <v/>
      </c>
      <c r="JX24" s="108" t="n"/>
      <c r="JY24" s="122">
        <f>JX24*100/$E$24</f>
        <v/>
      </c>
      <c r="JZ24" s="55">
        <f>JN24+JP24+JR24+JT24+JV24+JX24</f>
        <v/>
      </c>
      <c r="KA24" s="53">
        <f>JO24+JQ24+JS24+JU24+JW24+JY24</f>
        <v/>
      </c>
      <c r="KB24" s="64">
        <f>H24+J24+L24+N24+P24+R24+T24+V24+X24+Z24+AB24+AD24+AF24+AH24+AJ24+AL24+AN24+AP24+AR24+AT24+AV24+AX24+AZ24+BB24+BD24+BF24+BH24+BJ24+BL24+BN24+BP24+BR24+BT24+BV24+BX24+BZ24+CB24+CD24+CF24+CH24+CZ24+DB24+DD24+DF24+DH24+DJ24+DL24+DN24+DP24+DR24+DT24+DV24+DX24+DZ24+EB24+ED24+EF24+EH24+EJ24+EL24+EN24+EP24+ER24+ET24+EV24+FN24+FP24+FR24+FT24+FV24+FX24+FZ24+GB24+GD24+GF24+GH24+GJ24+GL24+GN24+GP24+GR24+GT24+GV24+GX24+GZ24+HB24+HD24+HF24+HH24+HJ24+HL24+HN24+HP24+HR24+HT24+HV24+HX24+HZ24+IB24+ID24+IF24+IH24+IJ24+IL24+IN24+IP24+IR24+IT24+IV24+IX24+IZ24+JB24+JD24+JF24+JH24+JJ24+JL24+JZ24+CJ24+CL24+CN24+CP24+CR24+CT24+CV24+CX24+EX24+EZ24+FB24+FD24+FF24+FH24+FJ24+FL24</f>
        <v/>
      </c>
      <c r="KC24" s="66">
        <f>I24+K24+M24+O24+Q24+S24+U24+W24+Y24+AA24+AC24+AE24+AG24+AI24+AK24+AM24+AO24+AQ24+AS24+AU24+AW24+AY24+BA24+BC24+BE24+BG24+BI24+BK24+BM24+BO24+BQ24+BS24+BU24+BW24+BY24+CA24+CC24+CE24+CG24+CI24+DA24+DC24+DE24+DG24+DI24+DK24+DM24+DO24+DQ24+DS24+DU24+DW24+DY24+EA24+EC24+EE24+EG24+EI24+EK24+EM24+EO24+EQ24+ES24+EU24+EW24+FO24+FS24+FU24+FW24+FQ24+FY24+GA24+GC24+GE24+GG24+GI24+GK24+GM24+GO24+GQ24+GS24+GU24+GW24+GY24+HA24+HC24+HE24+HG24+HI24+HK24+HM24+HO24+HQ24+HS24+HU24+HW24+HY24+IA24+IC24+IE24+IG24+II24+IK24+IM24+IO24+IQ24+IS24+IU24+IW24+IY24+JA24+JC24+JE24+JG24+JI24+JK24+JM24+KA24+CK24+CM24+CO24+CQ24+CS24+CU24+CW24+CY24+EY24+FA24+FC24+FE24+FG24+FI24+FK24+FM24</f>
        <v/>
      </c>
      <c r="KD24" s="44">
        <f>JO24+JQ24+JS24+JU24+JW24+JY24</f>
        <v/>
      </c>
      <c r="KE24" s="45">
        <f>KB24=E24</f>
        <v/>
      </c>
      <c r="KF24" s="101">
        <f>E24-KB24</f>
        <v/>
      </c>
      <c r="KG24" s="67" t="n"/>
    </row>
    <row r="25" ht="21.75" customFormat="1" customHeight="1" s="18">
      <c r="A25" s="130">
        <f>A24+1</f>
        <v/>
      </c>
      <c r="B25" s="199" t="inlineStr">
        <is>
          <t>Ившин К.С.</t>
        </is>
      </c>
      <c r="C25" s="176" t="inlineStr">
        <is>
          <t>сварщик</t>
        </is>
      </c>
      <c r="D25" s="177">
        <f>$D$5</f>
        <v/>
      </c>
      <c r="E25" s="202" t="n"/>
      <c r="F25" s="178" t="n">
        <v>61252.7</v>
      </c>
      <c r="G25" s="52">
        <f>F25/D25</f>
        <v/>
      </c>
      <c r="H25" s="125" t="n"/>
      <c r="I25" s="107">
        <f>H25*100/$E$25</f>
        <v/>
      </c>
      <c r="J25" s="108" t="n"/>
      <c r="K25" s="107">
        <f>J25*100/$E$25</f>
        <v/>
      </c>
      <c r="L25" s="108" t="n"/>
      <c r="M25" s="107">
        <f>L25*100/$E$25</f>
        <v/>
      </c>
      <c r="N25" s="108" t="n"/>
      <c r="O25" s="107">
        <f>N25*100/$E$25</f>
        <v/>
      </c>
      <c r="P25" s="108" t="n"/>
      <c r="Q25" s="122">
        <f>P25*100/$E$25</f>
        <v/>
      </c>
      <c r="R25" s="108" t="n"/>
      <c r="S25" s="122">
        <f>R25*100/$E$25</f>
        <v/>
      </c>
      <c r="T25" s="108" t="n"/>
      <c r="U25" s="107">
        <f>T25*100/$E$25</f>
        <v/>
      </c>
      <c r="V25" s="108" t="n"/>
      <c r="W25" s="107">
        <f>V25*100/$E$25</f>
        <v/>
      </c>
      <c r="X25" s="108" t="n"/>
      <c r="Y25" s="107">
        <f>X25*100/$E$25</f>
        <v/>
      </c>
      <c r="Z25" s="108" t="n"/>
      <c r="AA25" s="107">
        <f>Z25*100/$E$25</f>
        <v/>
      </c>
      <c r="AB25" s="108" t="n"/>
      <c r="AC25" s="107">
        <f>AB25*100/$E$25</f>
        <v/>
      </c>
      <c r="AD25" s="108" t="n"/>
      <c r="AE25" s="122">
        <f>AD25*100/$E$25</f>
        <v/>
      </c>
      <c r="AF25" s="108" t="n"/>
      <c r="AG25" s="122">
        <f>AF25*100/$E$25</f>
        <v/>
      </c>
      <c r="AH25" s="108" t="n"/>
      <c r="AI25" s="107">
        <f>AH25*100/$E$25</f>
        <v/>
      </c>
      <c r="AJ25" s="108" t="n"/>
      <c r="AK25" s="107">
        <f>AJ25*100/$E$25</f>
        <v/>
      </c>
      <c r="AL25" s="108" t="n"/>
      <c r="AM25" s="107">
        <f>AL25*100/$E$25</f>
        <v/>
      </c>
      <c r="AN25" s="108" t="n"/>
      <c r="AO25" s="107">
        <f>AN25*100/$E$25</f>
        <v/>
      </c>
      <c r="AP25" s="108" t="n"/>
      <c r="AQ25" s="107">
        <f>AP25*100/$E$25</f>
        <v/>
      </c>
      <c r="AR25" s="108" t="n"/>
      <c r="AS25" s="107">
        <f>AR25*100/$E$25</f>
        <v/>
      </c>
      <c r="AT25" s="108" t="n"/>
      <c r="AU25" s="90">
        <f>AT25*100/$E$25</f>
        <v/>
      </c>
      <c r="AV25" s="108" t="n"/>
      <c r="AW25" s="107">
        <f>AV25*100/$E$25</f>
        <v/>
      </c>
      <c r="AX25" s="108" t="n"/>
      <c r="AY25" s="107">
        <f>AX25*100/$E$25</f>
        <v/>
      </c>
      <c r="AZ25" s="108" t="n"/>
      <c r="BA25" s="107">
        <f>AZ25*100/$E$25</f>
        <v/>
      </c>
      <c r="BB25" s="108" t="n"/>
      <c r="BC25" s="107">
        <f>BB25*100/$E$25</f>
        <v/>
      </c>
      <c r="BD25" s="108" t="n"/>
      <c r="BE25" s="107">
        <f>BD25*100/$E$25</f>
        <v/>
      </c>
      <c r="BF25" s="108" t="n"/>
      <c r="BG25" s="107">
        <f>BF25*100/$E$25</f>
        <v/>
      </c>
      <c r="BH25" s="108" t="n"/>
      <c r="BI25" s="107">
        <f>BH25*100/$E$25</f>
        <v/>
      </c>
      <c r="BJ25" s="108" t="n"/>
      <c r="BK25" s="107">
        <f>BJ25*100/$E$25</f>
        <v/>
      </c>
      <c r="BL25" s="108" t="n"/>
      <c r="BM25" s="107">
        <f>BL25*100/$E$25</f>
        <v/>
      </c>
      <c r="BN25" s="108" t="n"/>
      <c r="BO25" s="107">
        <f>BN25*100/$E$25</f>
        <v/>
      </c>
      <c r="BP25" s="108" t="n"/>
      <c r="BQ25" s="107">
        <f>BP25*100/$E$25</f>
        <v/>
      </c>
      <c r="BR25" s="108" t="n"/>
      <c r="BS25" s="107">
        <f>BR25*100/$E$25</f>
        <v/>
      </c>
      <c r="BT25" s="108" t="n"/>
      <c r="BU25" s="107">
        <f>BT25*100/$E$25</f>
        <v/>
      </c>
      <c r="BV25" s="108" t="n"/>
      <c r="BW25" s="107">
        <f>BV25*100/$E$25</f>
        <v/>
      </c>
      <c r="BX25" s="108" t="n"/>
      <c r="BY25" s="107">
        <f>BX25*100/$E$25</f>
        <v/>
      </c>
      <c r="BZ25" s="108" t="n"/>
      <c r="CA25" s="107">
        <f>BZ25*100/$E$25</f>
        <v/>
      </c>
      <c r="CB25" s="108" t="n"/>
      <c r="CC25" s="107">
        <f>CB25*100/$E$25</f>
        <v/>
      </c>
      <c r="CD25" s="108" t="n"/>
      <c r="CE25" s="107">
        <f>CD25*100/$E$25</f>
        <v/>
      </c>
      <c r="CF25" s="108" t="n"/>
      <c r="CG25" s="107">
        <f>CF25*100/$E$25</f>
        <v/>
      </c>
      <c r="CH25" s="108" t="n"/>
      <c r="CI25" s="107">
        <f>CH25*100/$E$25</f>
        <v/>
      </c>
      <c r="CJ25" s="108" t="n"/>
      <c r="CK25" s="107">
        <f>CJ25*100/$E$25</f>
        <v/>
      </c>
      <c r="CL25" s="108" t="n"/>
      <c r="CM25" s="107">
        <f>CL25*100/$E$25</f>
        <v/>
      </c>
      <c r="CN25" s="108" t="n"/>
      <c r="CO25" s="122">
        <f>CN25*100/$E$25</f>
        <v/>
      </c>
      <c r="CP25" s="108" t="n"/>
      <c r="CQ25" s="107">
        <f>CP25*100/$E$25</f>
        <v/>
      </c>
      <c r="CR25" s="108" t="n"/>
      <c r="CS25" s="122">
        <f>CR25*100/$E$25</f>
        <v/>
      </c>
      <c r="CT25" s="108" t="n"/>
      <c r="CU25" s="122">
        <f>CT25*100/$E$25</f>
        <v/>
      </c>
      <c r="CV25" s="108" t="n"/>
      <c r="CW25" s="122">
        <f>CV25*100/$E$25</f>
        <v/>
      </c>
      <c r="CX25" s="108" t="n"/>
      <c r="CY25" s="122">
        <f>CX25*100/$E$25</f>
        <v/>
      </c>
      <c r="CZ25" s="108" t="n"/>
      <c r="DA25" s="122">
        <f>CZ25*100/$E$25</f>
        <v/>
      </c>
      <c r="DB25" s="108" t="n"/>
      <c r="DC25" s="122">
        <f>DB25*100/$E$25</f>
        <v/>
      </c>
      <c r="DD25" s="108" t="n"/>
      <c r="DE25" s="122">
        <f>DD25*100/$E$25</f>
        <v/>
      </c>
      <c r="DF25" s="108" t="n"/>
      <c r="DG25" s="122">
        <f>DF25*100/$E$25</f>
        <v/>
      </c>
      <c r="DH25" s="108" t="n"/>
      <c r="DI25" s="122">
        <f>DH25*100/$E$25</f>
        <v/>
      </c>
      <c r="DJ25" s="108" t="n"/>
      <c r="DK25" s="122">
        <f>DJ25*100/$E$25</f>
        <v/>
      </c>
      <c r="DL25" s="108" t="n"/>
      <c r="DM25" s="122">
        <f>DL25*100/$E$25</f>
        <v/>
      </c>
      <c r="DN25" s="108" t="n"/>
      <c r="DO25" s="122">
        <f>DN25*100/$E$25</f>
        <v/>
      </c>
      <c r="DP25" s="108" t="n"/>
      <c r="DQ25" s="122">
        <f>DP25*100/$E$25</f>
        <v/>
      </c>
      <c r="DR25" s="108" t="n"/>
      <c r="DS25" s="122">
        <f>DR25*100/$E$25</f>
        <v/>
      </c>
      <c r="DT25" s="108" t="n"/>
      <c r="DU25" s="122">
        <f>DT25*100/$E$25</f>
        <v/>
      </c>
      <c r="DV25" s="108" t="n"/>
      <c r="DW25" s="122">
        <f>DV25*100/$E$25</f>
        <v/>
      </c>
      <c r="DX25" s="108" t="n"/>
      <c r="DY25" s="122">
        <f>DX25*100/$E$25</f>
        <v/>
      </c>
      <c r="DZ25" s="108" t="n"/>
      <c r="EA25" s="122">
        <f>DZ25*100/$E$25</f>
        <v/>
      </c>
      <c r="EB25" s="108" t="n"/>
      <c r="EC25" s="122">
        <f>EB25*100/$E$25</f>
        <v/>
      </c>
      <c r="ED25" s="108" t="n"/>
      <c r="EE25" s="122">
        <f>ED25*100/$E$25</f>
        <v/>
      </c>
      <c r="EF25" s="108" t="n"/>
      <c r="EG25" s="122">
        <f>EF25*100/$E$25</f>
        <v/>
      </c>
      <c r="EH25" s="108" t="n"/>
      <c r="EI25" s="122">
        <f>EH25*100/$E$25</f>
        <v/>
      </c>
      <c r="EJ25" s="108" t="n"/>
      <c r="EK25" s="122">
        <f>EJ25*100/$E$25</f>
        <v/>
      </c>
      <c r="EL25" s="108" t="n"/>
      <c r="EM25" s="122">
        <f>EL25*100/$E$25</f>
        <v/>
      </c>
      <c r="EN25" s="108" t="n"/>
      <c r="EO25" s="122">
        <f>EN25*100/$E$25</f>
        <v/>
      </c>
      <c r="EP25" s="108" t="n"/>
      <c r="EQ25" s="122">
        <f>EP25*100/$E$25</f>
        <v/>
      </c>
      <c r="ER25" s="108" t="n"/>
      <c r="ES25" s="122">
        <f>ER25*100/$E$25</f>
        <v/>
      </c>
      <c r="ET25" s="108" t="n"/>
      <c r="EU25" s="122">
        <f>ET25*100/$E$25</f>
        <v/>
      </c>
      <c r="EV25" s="108" t="n"/>
      <c r="EW25" s="122">
        <f>EV25*100/$E$25</f>
        <v/>
      </c>
      <c r="EX25" s="108" t="n"/>
      <c r="EY25" s="122">
        <f>EX25*100/$E$25</f>
        <v/>
      </c>
      <c r="EZ25" s="108" t="n"/>
      <c r="FA25" s="122">
        <f>EZ25*100/$E$25</f>
        <v/>
      </c>
      <c r="FB25" s="108" t="n"/>
      <c r="FC25" s="122">
        <f>FB25*100/$E$25</f>
        <v/>
      </c>
      <c r="FD25" s="108" t="n"/>
      <c r="FE25" s="122">
        <f>FD25*100/$E$25</f>
        <v/>
      </c>
      <c r="FF25" s="108" t="n"/>
      <c r="FG25" s="122">
        <f>FF25*100/$E$25</f>
        <v/>
      </c>
      <c r="FH25" s="108" t="n"/>
      <c r="FI25" s="122">
        <f>FH25*100/$E$25</f>
        <v/>
      </c>
      <c r="FJ25" s="108" t="n"/>
      <c r="FK25" s="122">
        <f>FJ25*100/$E$25</f>
        <v/>
      </c>
      <c r="FL25" s="108" t="n"/>
      <c r="FM25" s="122">
        <f>FL25*100/$E$25</f>
        <v/>
      </c>
      <c r="FN25" s="108" t="n"/>
      <c r="FO25" s="122">
        <f>FN25*100/$E$25</f>
        <v/>
      </c>
      <c r="FP25" s="108" t="n"/>
      <c r="FQ25" s="122">
        <f>FP25*100/$E$25</f>
        <v/>
      </c>
      <c r="FR25" s="108" t="n"/>
      <c r="FS25" s="122">
        <f>FR25*100/$E$25</f>
        <v/>
      </c>
      <c r="FT25" s="108" t="n"/>
      <c r="FU25" s="122">
        <f>FT25*100/$E$25</f>
        <v/>
      </c>
      <c r="FV25" s="108" t="n"/>
      <c r="FW25" s="122">
        <f>FV25*100/$E$25</f>
        <v/>
      </c>
      <c r="FX25" s="108" t="n"/>
      <c r="FY25" s="107">
        <f>FX25*100/$E$25</f>
        <v/>
      </c>
      <c r="FZ25" s="108" t="n"/>
      <c r="GA25" s="107">
        <f>FZ25*100/$E$25</f>
        <v/>
      </c>
      <c r="GB25" s="108" t="n"/>
      <c r="GC25" s="107">
        <f>GB25*100/$E$25</f>
        <v/>
      </c>
      <c r="GD25" s="108" t="n"/>
      <c r="GE25" s="107">
        <f>GD25*100/$E$25</f>
        <v/>
      </c>
      <c r="GF25" s="108" t="n"/>
      <c r="GG25" s="107">
        <f>GF25*100/$E$25</f>
        <v/>
      </c>
      <c r="GH25" s="108" t="n"/>
      <c r="GI25" s="107">
        <f>GH25*100/$E$25</f>
        <v/>
      </c>
      <c r="GJ25" s="108" t="n"/>
      <c r="GK25" s="122">
        <f>GJ25*100/$E$25</f>
        <v/>
      </c>
      <c r="GL25" s="108" t="n"/>
      <c r="GM25" s="107">
        <f>GL25*100/$E$25</f>
        <v/>
      </c>
      <c r="GN25" s="108" t="n"/>
      <c r="GO25" s="122">
        <f>GN25*100/$E$25</f>
        <v/>
      </c>
      <c r="GP25" s="108" t="n"/>
      <c r="GQ25" s="107">
        <f>GP25*100/$E$25</f>
        <v/>
      </c>
      <c r="GR25" s="108" t="n"/>
      <c r="GS25" s="122">
        <f>GR25*100/$E$25</f>
        <v/>
      </c>
      <c r="GT25" s="108" t="n"/>
      <c r="GU25" s="122">
        <f>GT25*100/$E$25</f>
        <v/>
      </c>
      <c r="GV25" s="108" t="n"/>
      <c r="GW25" s="122">
        <f>GV25*100/$E$25</f>
        <v/>
      </c>
      <c r="GX25" s="108" t="n"/>
      <c r="GY25" s="107">
        <f>GX25*100/$E$25</f>
        <v/>
      </c>
      <c r="GZ25" s="108" t="n"/>
      <c r="HA25" s="107">
        <f>GZ25*100/$E$25</f>
        <v/>
      </c>
      <c r="HB25" s="108" t="n"/>
      <c r="HC25" s="107">
        <f>HB25*100/$E$25</f>
        <v/>
      </c>
      <c r="HD25" s="108" t="n"/>
      <c r="HE25" s="107">
        <f>HD25*100/$E$25</f>
        <v/>
      </c>
      <c r="HF25" s="108" t="n"/>
      <c r="HG25" s="107">
        <f>HF25*100/$E$25</f>
        <v/>
      </c>
      <c r="HH25" s="108" t="n"/>
      <c r="HI25" s="107">
        <f>HH25*100/$E$25</f>
        <v/>
      </c>
      <c r="HJ25" s="108" t="n"/>
      <c r="HK25" s="107">
        <f>HJ25*100/$E$25</f>
        <v/>
      </c>
      <c r="HL25" s="108" t="n"/>
      <c r="HM25" s="107">
        <f>HL25*100/$E$25</f>
        <v/>
      </c>
      <c r="HN25" s="108" t="n"/>
      <c r="HO25" s="107">
        <f>HN25*100/$E$25</f>
        <v/>
      </c>
      <c r="HP25" s="108" t="n"/>
      <c r="HQ25" s="107">
        <f>HP25*100/$E$25</f>
        <v/>
      </c>
      <c r="HR25" s="108" t="n"/>
      <c r="HS25" s="107">
        <f>HR25*100/$E$25</f>
        <v/>
      </c>
      <c r="HT25" s="108" t="n"/>
      <c r="HU25" s="107">
        <f>HT25*100/$E$25</f>
        <v/>
      </c>
      <c r="HV25" s="108" t="n"/>
      <c r="HW25" s="107">
        <f>HV25*100/$E$25</f>
        <v/>
      </c>
      <c r="HX25" s="108" t="n"/>
      <c r="HY25" s="107">
        <f>HX25*100/$E$25</f>
        <v/>
      </c>
      <c r="HZ25" s="108" t="n"/>
      <c r="IA25" s="122">
        <f>HZ25*100/$E$25</f>
        <v/>
      </c>
      <c r="IB25" s="108" t="n"/>
      <c r="IC25" s="122">
        <f>IB25*100/$E$25</f>
        <v/>
      </c>
      <c r="ID25" s="108" t="n"/>
      <c r="IE25" s="122">
        <f>ID25*100/$E$25</f>
        <v/>
      </c>
      <c r="IF25" s="108" t="n"/>
      <c r="IG25" s="122">
        <f>IF25*100/$E$25</f>
        <v/>
      </c>
      <c r="IH25" s="108" t="n"/>
      <c r="II25" s="122">
        <f>IH25*100/$E$25</f>
        <v/>
      </c>
      <c r="IJ25" s="108" t="n"/>
      <c r="IK25" s="122">
        <f>IJ25*100/$E$25</f>
        <v/>
      </c>
      <c r="IL25" s="108" t="n"/>
      <c r="IM25" s="107">
        <f>IL25*100/$E$25</f>
        <v/>
      </c>
      <c r="IN25" s="108" t="n"/>
      <c r="IO25" s="107">
        <f>IN25*100/$E$25</f>
        <v/>
      </c>
      <c r="IP25" s="108" t="n"/>
      <c r="IQ25" s="122">
        <f>IP25*100/$E$25</f>
        <v/>
      </c>
      <c r="IR25" s="108" t="n"/>
      <c r="IS25" s="122">
        <f>IR25*100/$E$25</f>
        <v/>
      </c>
      <c r="IT25" s="108" t="n"/>
      <c r="IU25" s="122">
        <f>IT25*100/$E$25</f>
        <v/>
      </c>
      <c r="IV25" s="108" t="n"/>
      <c r="IW25" s="122">
        <f>IV25*100/$E$25</f>
        <v/>
      </c>
      <c r="IX25" s="108" t="n"/>
      <c r="IY25" s="122">
        <f>IX25*100/$E$25</f>
        <v/>
      </c>
      <c r="IZ25" s="108" t="n"/>
      <c r="JA25" s="122">
        <f>IZ25*100/$E$25</f>
        <v/>
      </c>
      <c r="JB25" s="108" t="n"/>
      <c r="JC25" s="122">
        <f>JB25*100/$E$25</f>
        <v/>
      </c>
      <c r="JD25" s="108" t="n"/>
      <c r="JE25" s="122">
        <f>JD25*100/$E$25</f>
        <v/>
      </c>
      <c r="JF25" s="108" t="n"/>
      <c r="JG25" s="122">
        <f>JF25*100/$E$25</f>
        <v/>
      </c>
      <c r="JH25" s="108" t="n"/>
      <c r="JI25" s="122">
        <f>JH25*100/$E$25</f>
        <v/>
      </c>
      <c r="JJ25" s="108" t="n"/>
      <c r="JK25" s="122">
        <f>JJ25*100/$E$25</f>
        <v/>
      </c>
      <c r="JL25" s="108" t="n"/>
      <c r="JM25" s="122">
        <f>JL25*100/$E$25</f>
        <v/>
      </c>
      <c r="JN25" s="108" t="n"/>
      <c r="JO25" s="122">
        <f>JN25*100/$E$25</f>
        <v/>
      </c>
      <c r="JP25" s="108" t="n"/>
      <c r="JQ25" s="122">
        <f>JP25*100/$E$25</f>
        <v/>
      </c>
      <c r="JR25" s="108" t="n"/>
      <c r="JS25" s="122">
        <f>JR25*100/$E$25</f>
        <v/>
      </c>
      <c r="JT25" s="108" t="n"/>
      <c r="JU25" s="122">
        <f>JT25*100/$E$25</f>
        <v/>
      </c>
      <c r="JV25" s="108" t="n"/>
      <c r="JW25" s="122">
        <f>JV25*100/$E$25</f>
        <v/>
      </c>
      <c r="JX25" s="108" t="n"/>
      <c r="JY25" s="122">
        <f>JX25*100/$E$25</f>
        <v/>
      </c>
      <c r="JZ25" s="55">
        <f>JN25+JP25+JR25+JT25+JV25+JX25</f>
        <v/>
      </c>
      <c r="KA25" s="53">
        <f>JO25+JQ25+JS25+JU25+JW25+JY25</f>
        <v/>
      </c>
      <c r="KB25" s="64">
        <f>H25+J25+L25+N25+P25+R25+T25+V25+X25+Z25+AB25+AD25+AF25+AH25+AJ25+AL25+AN25+AP25+AR25+AT25+AV25+AX25+AZ25+BB25+BD25+BF25+BH25+BJ25+BL25+BN25+BP25+BR25+BT25+BV25+BX25+BZ25+CB25+CD25+CF25+CH25+CZ25+DB25+DD25+DF25+DH25+DJ25+DL25+DN25+DP25+DR25+DT25+DV25+DX25+DZ25+EB25+ED25+EF25+EH25+EJ25+EL25+EN25+EP25+ER25+ET25+EV25+FN25+FP25+FR25+FT25+FV25+FX25+FZ25+GB25+GD25+GF25+GH25+GJ25+GL25+GN25+GP25+GR25+GT25+GV25+GX25+GZ25+HB25+HD25+HF25+HH25+HJ25+HL25+HN25+HP25+HR25+HT25+HV25+HX25+HZ25+IB25+ID25+IF25+IH25+IJ25+IL25+IN25+IP25+IR25+IT25+IV25+IX25+IZ25+JB25+JD25+JF25+JH25+JJ25+JL25+JZ25+CJ25+CL25+CN25+CP25+CR25+CT25+CV25+CX25+EX25+EZ25+FB25+FD25+FF25+FH25+FJ25+FL25</f>
        <v/>
      </c>
      <c r="KC25" s="66">
        <f>I25+K25+M25+O25+Q25+S25+U25+W25+Y25+AA25+AC25+AE25+AG25+AI25+AK25+AM25+AO25+AQ25+AS25+AU25+AW25+AY25+BA25+BC25+BE25+BG25+BI25+BK25+BM25+BO25+BQ25+BS25+BU25+BW25+BY25+CA25+CC25+CE25+CG25+CI25+DA25+DC25+DE25+DG25+DI25+DK25+DM25+DO25+DQ25+DS25+DU25+DW25+DY25+EA25+EC25+EE25+EG25+EI25+EK25+EM25+EO25+EQ25+ES25+EU25+EW25+FO25+FS25+FU25+FW25+FQ25+FY25+GA25+GC25+GE25+GG25+GI25+GK25+GM25+GO25+GQ25+GS25+GU25+GW25+GY25+HA25+HC25+HE25+HG25+HI25+HK25+HM25+HO25+HQ25+HS25+HU25+HW25+HY25+IA25+IC25+IE25+IG25+II25+IK25+IM25+IO25+IQ25+IS25+IU25+IW25+IY25+JA25+JC25+JE25+JG25+JI25+JK25+JM25+KA25+CK25+CM25+CO25+CQ25+CS25+CU25+CW25+CY25+EY25+FA25+FC25+FE25+FG25+FI25+FK25+FM25</f>
        <v/>
      </c>
      <c r="KD25" s="44">
        <f>JO25+JQ25+JS25+JU25+JW25+JY25</f>
        <v/>
      </c>
      <c r="KE25" s="46">
        <f>KB25=E25</f>
        <v/>
      </c>
      <c r="KF25" s="101">
        <f>E25-KB25</f>
        <v/>
      </c>
      <c r="KG25" s="19" t="n"/>
      <c r="KH25" s="11" t="n"/>
      <c r="KI25" s="11" t="n"/>
      <c r="KJ25" s="11" t="n"/>
      <c r="KK25" s="11" t="n"/>
      <c r="KL25" s="11" t="n"/>
      <c r="KM25" s="11" t="n"/>
      <c r="KN25" s="11" t="n"/>
      <c r="KO25" s="11" t="n"/>
    </row>
    <row r="26" ht="21.75" customFormat="1" customHeight="1" s="19">
      <c r="A26" s="126">
        <f>A25+1</f>
        <v/>
      </c>
      <c r="B26" s="192" t="inlineStr">
        <is>
          <t>Капичников А.С.</t>
        </is>
      </c>
      <c r="C26" s="176" t="inlineStr">
        <is>
          <t>слесарь</t>
        </is>
      </c>
      <c r="D26" s="177">
        <f>$D$5</f>
        <v/>
      </c>
      <c r="E26" s="202" t="n"/>
      <c r="F26" s="178" t="n">
        <v>68902.87</v>
      </c>
      <c r="G26" s="52">
        <f>F26/D26</f>
        <v/>
      </c>
      <c r="H26" s="125" t="n"/>
      <c r="I26" s="107">
        <f>H26*100/$E$26</f>
        <v/>
      </c>
      <c r="J26" s="108" t="n"/>
      <c r="K26" s="107">
        <f>J26*100/$E$26</f>
        <v/>
      </c>
      <c r="L26" s="108" t="n"/>
      <c r="M26" s="107">
        <f>L26*100/$E$26</f>
        <v/>
      </c>
      <c r="N26" s="108" t="n"/>
      <c r="O26" s="107">
        <f>N26*100/$E$26</f>
        <v/>
      </c>
      <c r="P26" s="108" t="n"/>
      <c r="Q26" s="122">
        <f>P26*100/$E$26</f>
        <v/>
      </c>
      <c r="R26" s="108" t="n"/>
      <c r="S26" s="122">
        <f>R26*100/$E$26</f>
        <v/>
      </c>
      <c r="T26" s="108" t="n"/>
      <c r="U26" s="107">
        <f>T26*100/$E$26</f>
        <v/>
      </c>
      <c r="V26" s="108" t="n"/>
      <c r="W26" s="107">
        <f>V26*100/$E$26</f>
        <v/>
      </c>
      <c r="X26" s="108" t="n"/>
      <c r="Y26" s="107">
        <f>X26*100/$E$26</f>
        <v/>
      </c>
      <c r="Z26" s="108" t="n"/>
      <c r="AA26" s="107">
        <f>Z26*100/$E$26</f>
        <v/>
      </c>
      <c r="AB26" s="108" t="n"/>
      <c r="AC26" s="107">
        <f>AB26*100/$E$26</f>
        <v/>
      </c>
      <c r="AD26" s="108" t="n"/>
      <c r="AE26" s="122">
        <f>AD26*100/$E$26</f>
        <v/>
      </c>
      <c r="AF26" s="108" t="n"/>
      <c r="AG26" s="122">
        <f>AF26*100/$E$26</f>
        <v/>
      </c>
      <c r="AH26" s="108" t="n"/>
      <c r="AI26" s="107">
        <f>AH26*100/$E$26</f>
        <v/>
      </c>
      <c r="AJ26" s="108" t="n"/>
      <c r="AK26" s="107">
        <f>AJ26*100/$E$26</f>
        <v/>
      </c>
      <c r="AL26" s="108" t="n"/>
      <c r="AM26" s="107">
        <f>AL26*100/$E$26</f>
        <v/>
      </c>
      <c r="AN26" s="108" t="n"/>
      <c r="AO26" s="107">
        <f>AN26*100/$E$26</f>
        <v/>
      </c>
      <c r="AP26" s="108" t="n"/>
      <c r="AQ26" s="107">
        <f>AP26*100/$E$26</f>
        <v/>
      </c>
      <c r="AR26" s="108" t="n"/>
      <c r="AS26" s="107">
        <f>AR26*100/$E$26</f>
        <v/>
      </c>
      <c r="AT26" s="108" t="n"/>
      <c r="AU26" s="90">
        <f>AT26*100/$E$26</f>
        <v/>
      </c>
      <c r="AV26" s="108" t="n"/>
      <c r="AW26" s="107">
        <f>AV26*100/$E$26</f>
        <v/>
      </c>
      <c r="AX26" s="108" t="n"/>
      <c r="AY26" s="107">
        <f>AX26*100/$E$26</f>
        <v/>
      </c>
      <c r="AZ26" s="108" t="n"/>
      <c r="BA26" s="107">
        <f>AZ26*100/$E$26</f>
        <v/>
      </c>
      <c r="BB26" s="108" t="n"/>
      <c r="BC26" s="107">
        <f>BB26*100/$E$26</f>
        <v/>
      </c>
      <c r="BD26" s="108" t="n"/>
      <c r="BE26" s="107">
        <f>BD26*100/$E$26</f>
        <v/>
      </c>
      <c r="BF26" s="108" t="n"/>
      <c r="BG26" s="107">
        <f>BF26*100/$E$26</f>
        <v/>
      </c>
      <c r="BH26" s="108" t="n"/>
      <c r="BI26" s="107">
        <f>BH26*100/$E$26</f>
        <v/>
      </c>
      <c r="BJ26" s="108" t="n"/>
      <c r="BK26" s="107">
        <f>BJ26*100/$E$26</f>
        <v/>
      </c>
      <c r="BL26" s="108" t="n"/>
      <c r="BM26" s="107">
        <f>BL26*100/$E$26</f>
        <v/>
      </c>
      <c r="BN26" s="108" t="n"/>
      <c r="BO26" s="107">
        <f>BN26*100/$E$26</f>
        <v/>
      </c>
      <c r="BP26" s="108" t="n"/>
      <c r="BQ26" s="107">
        <f>BP26*100/$E$26</f>
        <v/>
      </c>
      <c r="BR26" s="108" t="n"/>
      <c r="BS26" s="107">
        <f>BR26*100/$E$26</f>
        <v/>
      </c>
      <c r="BT26" s="108" t="n"/>
      <c r="BU26" s="107">
        <f>BT26*100/$E$26</f>
        <v/>
      </c>
      <c r="BV26" s="108" t="n"/>
      <c r="BW26" s="107">
        <f>BV26*100/$E$26</f>
        <v/>
      </c>
      <c r="BX26" s="108" t="n"/>
      <c r="BY26" s="107">
        <f>BX26*100/$E$26</f>
        <v/>
      </c>
      <c r="BZ26" s="108" t="n"/>
      <c r="CA26" s="107">
        <f>BZ26*100/$E$26</f>
        <v/>
      </c>
      <c r="CB26" s="108" t="n"/>
      <c r="CC26" s="107">
        <f>CB26*100/$E$26</f>
        <v/>
      </c>
      <c r="CD26" s="108" t="n"/>
      <c r="CE26" s="107">
        <f>CD26*100/$E$26</f>
        <v/>
      </c>
      <c r="CF26" s="108" t="n"/>
      <c r="CG26" s="107">
        <f>CF26*100/$E$26</f>
        <v/>
      </c>
      <c r="CH26" s="108" t="n"/>
      <c r="CI26" s="107">
        <f>CH26*100/$E$26</f>
        <v/>
      </c>
      <c r="CJ26" s="108" t="n"/>
      <c r="CK26" s="107">
        <f>CJ26*100/$E$26</f>
        <v/>
      </c>
      <c r="CL26" s="108" t="n"/>
      <c r="CM26" s="107">
        <f>CL26*100/$E$26</f>
        <v/>
      </c>
      <c r="CN26" s="108" t="n"/>
      <c r="CO26" s="122">
        <f>CN26*100/$E$26</f>
        <v/>
      </c>
      <c r="CP26" s="108" t="n"/>
      <c r="CQ26" s="107">
        <f>CP26*100/$E$26</f>
        <v/>
      </c>
      <c r="CR26" s="108" t="n"/>
      <c r="CS26" s="122">
        <f>CR26*100/$E$26</f>
        <v/>
      </c>
      <c r="CT26" s="108" t="n"/>
      <c r="CU26" s="122">
        <f>CT26*100/$E$26</f>
        <v/>
      </c>
      <c r="CV26" s="108" t="n"/>
      <c r="CW26" s="122">
        <f>CV26*100/$E$26</f>
        <v/>
      </c>
      <c r="CX26" s="108" t="n"/>
      <c r="CY26" s="122">
        <f>CX26*100/$E$26</f>
        <v/>
      </c>
      <c r="CZ26" s="108" t="n"/>
      <c r="DA26" s="122">
        <f>CZ26*100/$E$26</f>
        <v/>
      </c>
      <c r="DB26" s="108" t="n"/>
      <c r="DC26" s="122">
        <f>DB26*100/$E$26</f>
        <v/>
      </c>
      <c r="DD26" s="108" t="n"/>
      <c r="DE26" s="122">
        <f>DD26*100/$E$26</f>
        <v/>
      </c>
      <c r="DF26" s="108" t="n"/>
      <c r="DG26" s="122">
        <f>DF26*100/$E$26</f>
        <v/>
      </c>
      <c r="DH26" s="108" t="n"/>
      <c r="DI26" s="122">
        <f>DH26*100/$E$26</f>
        <v/>
      </c>
      <c r="DJ26" s="108" t="n"/>
      <c r="DK26" s="122">
        <f>DJ26*100/$E$26</f>
        <v/>
      </c>
      <c r="DL26" s="108" t="n"/>
      <c r="DM26" s="122">
        <f>DL26*100/$E$26</f>
        <v/>
      </c>
      <c r="DN26" s="108" t="n"/>
      <c r="DO26" s="122">
        <f>DN26*100/$E$26</f>
        <v/>
      </c>
      <c r="DP26" s="108" t="n"/>
      <c r="DQ26" s="122">
        <f>DP26*100/$E$26</f>
        <v/>
      </c>
      <c r="DR26" s="108" t="n"/>
      <c r="DS26" s="122">
        <f>DR26*100/$E$26</f>
        <v/>
      </c>
      <c r="DT26" s="108" t="n"/>
      <c r="DU26" s="122">
        <f>DT26*100/$E$26</f>
        <v/>
      </c>
      <c r="DV26" s="108" t="n"/>
      <c r="DW26" s="122">
        <f>DV26*100/$E$26</f>
        <v/>
      </c>
      <c r="DX26" s="108" t="n"/>
      <c r="DY26" s="122">
        <f>DX26*100/$E$26</f>
        <v/>
      </c>
      <c r="DZ26" s="108" t="n"/>
      <c r="EA26" s="122">
        <f>DZ26*100/$E$26</f>
        <v/>
      </c>
      <c r="EB26" s="108" t="n"/>
      <c r="EC26" s="122">
        <f>EB26*100/$E$26</f>
        <v/>
      </c>
      <c r="ED26" s="108" t="n"/>
      <c r="EE26" s="122">
        <f>ED26*100/$E$26</f>
        <v/>
      </c>
      <c r="EF26" s="108" t="n"/>
      <c r="EG26" s="122">
        <f>EF26*100/$E$26</f>
        <v/>
      </c>
      <c r="EH26" s="108" t="n"/>
      <c r="EI26" s="122">
        <f>EH26*100/$E$26</f>
        <v/>
      </c>
      <c r="EJ26" s="108" t="n"/>
      <c r="EK26" s="122">
        <f>EJ26*100/$E$26</f>
        <v/>
      </c>
      <c r="EL26" s="108" t="n"/>
      <c r="EM26" s="122">
        <f>EL26*100/$E$26</f>
        <v/>
      </c>
      <c r="EN26" s="108" t="n"/>
      <c r="EO26" s="122">
        <f>EN26*100/$E$26</f>
        <v/>
      </c>
      <c r="EP26" s="108" t="n"/>
      <c r="EQ26" s="122">
        <f>EP26*100/$E$26</f>
        <v/>
      </c>
      <c r="ER26" s="108" t="n"/>
      <c r="ES26" s="122">
        <f>ER26*100/$E$26</f>
        <v/>
      </c>
      <c r="ET26" s="108" t="n"/>
      <c r="EU26" s="122">
        <f>ET26*100/$E$26</f>
        <v/>
      </c>
      <c r="EV26" s="108" t="n"/>
      <c r="EW26" s="122">
        <f>EV26*100/$E$26</f>
        <v/>
      </c>
      <c r="EX26" s="108" t="n"/>
      <c r="EY26" s="122">
        <f>EX26*100/$E$26</f>
        <v/>
      </c>
      <c r="EZ26" s="108" t="n"/>
      <c r="FA26" s="122">
        <f>EZ26*100/$E$26</f>
        <v/>
      </c>
      <c r="FB26" s="108" t="n"/>
      <c r="FC26" s="122">
        <f>FB26*100/$E$26</f>
        <v/>
      </c>
      <c r="FD26" s="108" t="n"/>
      <c r="FE26" s="122">
        <f>FD26*100/$E$26</f>
        <v/>
      </c>
      <c r="FF26" s="108" t="n"/>
      <c r="FG26" s="122">
        <f>FF26*100/$E$26</f>
        <v/>
      </c>
      <c r="FH26" s="108" t="n"/>
      <c r="FI26" s="122">
        <f>FH26*100/$E$26</f>
        <v/>
      </c>
      <c r="FJ26" s="108" t="n"/>
      <c r="FK26" s="122">
        <f>FJ26*100/$E$26</f>
        <v/>
      </c>
      <c r="FL26" s="108" t="n"/>
      <c r="FM26" s="122">
        <f>FL26*100/$E$26</f>
        <v/>
      </c>
      <c r="FN26" s="108" t="n"/>
      <c r="FO26" s="122">
        <f>FN26*100/$E$26</f>
        <v/>
      </c>
      <c r="FP26" s="108" t="n"/>
      <c r="FQ26" s="122">
        <f>FP26*100/$E$26</f>
        <v/>
      </c>
      <c r="FR26" s="108" t="n"/>
      <c r="FS26" s="122">
        <f>FR26*100/$E$26</f>
        <v/>
      </c>
      <c r="FT26" s="108" t="n"/>
      <c r="FU26" s="122">
        <f>FT26*100/$E$26</f>
        <v/>
      </c>
      <c r="FV26" s="108" t="n"/>
      <c r="FW26" s="122">
        <f>FV26*100/$E$26</f>
        <v/>
      </c>
      <c r="FX26" s="108" t="n"/>
      <c r="FY26" s="107">
        <f>FX26*100/$E$26</f>
        <v/>
      </c>
      <c r="FZ26" s="108" t="n"/>
      <c r="GA26" s="107">
        <f>FZ26*100/$E$26</f>
        <v/>
      </c>
      <c r="GB26" s="108" t="n"/>
      <c r="GC26" s="107">
        <f>GB26*100/$E$26</f>
        <v/>
      </c>
      <c r="GD26" s="108" t="n"/>
      <c r="GE26" s="107">
        <f>GD26*100/$E$26</f>
        <v/>
      </c>
      <c r="GF26" s="108" t="n"/>
      <c r="GG26" s="107">
        <f>GF26*100/$E$26</f>
        <v/>
      </c>
      <c r="GH26" s="108" t="n"/>
      <c r="GI26" s="107">
        <f>GH26*100/$E$26</f>
        <v/>
      </c>
      <c r="GJ26" s="108" t="n"/>
      <c r="GK26" s="122">
        <f>GJ26*100/$E$26</f>
        <v/>
      </c>
      <c r="GL26" s="108" t="n"/>
      <c r="GM26" s="107">
        <f>GL26*100/$E$26</f>
        <v/>
      </c>
      <c r="GN26" s="108" t="n"/>
      <c r="GO26" s="122">
        <f>GN26*100/$E$26</f>
        <v/>
      </c>
      <c r="GP26" s="108" t="n"/>
      <c r="GQ26" s="107">
        <f>GP26*100/$E$26</f>
        <v/>
      </c>
      <c r="GR26" s="108" t="n"/>
      <c r="GS26" s="122">
        <f>GR26*100/$E$26</f>
        <v/>
      </c>
      <c r="GT26" s="108" t="n"/>
      <c r="GU26" s="122">
        <f>GT26*100/$E$26</f>
        <v/>
      </c>
      <c r="GV26" s="108" t="n"/>
      <c r="GW26" s="122">
        <f>GV26*100/$E$26</f>
        <v/>
      </c>
      <c r="GX26" s="108" t="n"/>
      <c r="GY26" s="107">
        <f>GX26*100/$E$26</f>
        <v/>
      </c>
      <c r="GZ26" s="108" t="n"/>
      <c r="HA26" s="107">
        <f>GZ26*100/$E$26</f>
        <v/>
      </c>
      <c r="HB26" s="108" t="n"/>
      <c r="HC26" s="107">
        <f>HB26*100/$E$26</f>
        <v/>
      </c>
      <c r="HD26" s="108" t="n"/>
      <c r="HE26" s="107">
        <f>HD26*100/$E$26</f>
        <v/>
      </c>
      <c r="HF26" s="108" t="n"/>
      <c r="HG26" s="107">
        <f>HF26*100/$E$26</f>
        <v/>
      </c>
      <c r="HH26" s="108" t="n"/>
      <c r="HI26" s="107">
        <f>HH26*100/$E$26</f>
        <v/>
      </c>
      <c r="HJ26" s="108" t="n"/>
      <c r="HK26" s="107">
        <f>HJ26*100/$E$26</f>
        <v/>
      </c>
      <c r="HL26" s="108" t="n"/>
      <c r="HM26" s="107">
        <f>HL26*100/$E$26</f>
        <v/>
      </c>
      <c r="HN26" s="108" t="n"/>
      <c r="HO26" s="107">
        <f>HN26*100/$E$26</f>
        <v/>
      </c>
      <c r="HP26" s="108" t="n"/>
      <c r="HQ26" s="107">
        <f>HP26*100/$E$26</f>
        <v/>
      </c>
      <c r="HR26" s="108" t="n"/>
      <c r="HS26" s="107">
        <f>HR26*100/$E$26</f>
        <v/>
      </c>
      <c r="HT26" s="108" t="n"/>
      <c r="HU26" s="107">
        <f>HT26*100/$E$26</f>
        <v/>
      </c>
      <c r="HV26" s="108" t="n"/>
      <c r="HW26" s="107">
        <f>HV26*100/$E$26</f>
        <v/>
      </c>
      <c r="HX26" s="108" t="n"/>
      <c r="HY26" s="107">
        <f>HX26*100/$E$26</f>
        <v/>
      </c>
      <c r="HZ26" s="108" t="n"/>
      <c r="IA26" s="122">
        <f>HZ26*100/$E$26</f>
        <v/>
      </c>
      <c r="IB26" s="108" t="n"/>
      <c r="IC26" s="122">
        <f>IB26*100/$E$26</f>
        <v/>
      </c>
      <c r="ID26" s="108" t="n"/>
      <c r="IE26" s="122">
        <f>ID26*100/$E$26</f>
        <v/>
      </c>
      <c r="IF26" s="108" t="n"/>
      <c r="IG26" s="122">
        <f>IF26*100/$E$26</f>
        <v/>
      </c>
      <c r="IH26" s="108" t="n"/>
      <c r="II26" s="122">
        <f>IH26*100/$E$26</f>
        <v/>
      </c>
      <c r="IJ26" s="108" t="n"/>
      <c r="IK26" s="122">
        <f>IJ26*100/$E$26</f>
        <v/>
      </c>
      <c r="IL26" s="108" t="n"/>
      <c r="IM26" s="107">
        <f>IL26*100/$E$26</f>
        <v/>
      </c>
      <c r="IN26" s="108" t="n"/>
      <c r="IO26" s="107">
        <f>IN26*100/$E$26</f>
        <v/>
      </c>
      <c r="IP26" s="108" t="n"/>
      <c r="IQ26" s="122">
        <f>IP26*100/$E$26</f>
        <v/>
      </c>
      <c r="IR26" s="108" t="n"/>
      <c r="IS26" s="122">
        <f>IR26*100/$E$26</f>
        <v/>
      </c>
      <c r="IT26" s="108" t="n"/>
      <c r="IU26" s="122">
        <f>IT26*100/$E$26</f>
        <v/>
      </c>
      <c r="IV26" s="108" t="n"/>
      <c r="IW26" s="122">
        <f>IV26*100/$E$26</f>
        <v/>
      </c>
      <c r="IX26" s="108" t="n"/>
      <c r="IY26" s="122">
        <f>IX26*100/$E$26</f>
        <v/>
      </c>
      <c r="IZ26" s="108" t="n"/>
      <c r="JA26" s="122">
        <f>IZ26*100/$E$26</f>
        <v/>
      </c>
      <c r="JB26" s="108" t="n"/>
      <c r="JC26" s="122">
        <f>JB26*100/$E$26</f>
        <v/>
      </c>
      <c r="JD26" s="108" t="n"/>
      <c r="JE26" s="122">
        <f>JD26*100/$E$26</f>
        <v/>
      </c>
      <c r="JF26" s="108" t="n"/>
      <c r="JG26" s="122">
        <f>JF26*100/$E$26</f>
        <v/>
      </c>
      <c r="JH26" s="108" t="n"/>
      <c r="JI26" s="122">
        <f>JH26*100/$E$26</f>
        <v/>
      </c>
      <c r="JJ26" s="108" t="n"/>
      <c r="JK26" s="122">
        <f>JJ26*100/$E$26</f>
        <v/>
      </c>
      <c r="JL26" s="108" t="n"/>
      <c r="JM26" s="122">
        <f>JL26*100/$E$26</f>
        <v/>
      </c>
      <c r="JN26" s="108" t="n"/>
      <c r="JO26" s="122">
        <f>JN26*100/$E$26</f>
        <v/>
      </c>
      <c r="JP26" s="108" t="n"/>
      <c r="JQ26" s="122">
        <f>JP26*100/$E$26</f>
        <v/>
      </c>
      <c r="JR26" s="108" t="n"/>
      <c r="JS26" s="122">
        <f>JR26*100/$E$26</f>
        <v/>
      </c>
      <c r="JT26" s="108" t="n"/>
      <c r="JU26" s="122">
        <f>JT26*100/$E$26</f>
        <v/>
      </c>
      <c r="JV26" s="132" t="n"/>
      <c r="JW26" s="122">
        <f>JV26*100/$E$26</f>
        <v/>
      </c>
      <c r="JX26" s="132" t="n"/>
      <c r="JY26" s="122">
        <f>JX26*100/$E$26</f>
        <v/>
      </c>
      <c r="JZ26" s="55">
        <f>JN26+JP26+JR26+JT26+JV26+JX26</f>
        <v/>
      </c>
      <c r="KA26" s="53">
        <f>JO26+JQ26+JS26+JU26+JW26+JY26</f>
        <v/>
      </c>
      <c r="KB26" s="64">
        <f>H26+J26+L26+N26+P26+R26+T26+V26+X26+Z26+AB26+AD26+AF26+AH26+AJ26+AL26+AN26+AP26+AR26+AT26+AV26+AX26+AZ26+BB26+BD26+BF26+BH26+BJ26+BL26+BN26+BP26+BR26+BT26+BV26+BX26+BZ26+CB26+CD26+CF26+CH26+CZ26+DB26+DD26+DF26+DH26+DJ26+DL26+DN26+DP26+DR26+DT26+DV26+DX26+DZ26+EB26+ED26+EF26+EH26+EJ26+EL26+EN26+EP26+ER26+ET26+EV26+FN26+FP26+FR26+FT26+FV26+FX26+FZ26+GB26+GD26+GF26+GH26+GJ26+GL26+GN26+GP26+GR26+GT26+GV26+GX26+GZ26+HB26+HD26+HF26+HH26+HJ26+HL26+HN26+HP26+HR26+HT26+HV26+HX26+HZ26+IB26+ID26+IF26+IH26+IJ26+IL26+IN26+IP26+IR26+IT26+IV26+IX26+IZ26+JB26+JD26+JF26+JH26+JJ26+JL26+JZ26+CJ26+CL26+CN26+CP26+CR26+CT26+CV26+CX26+EX26+EZ26+FB26+FD26+FF26+FH26+FJ26+FL26</f>
        <v/>
      </c>
      <c r="KC26" s="66">
        <f>I26+K26+M26+O26+Q26+S26+U26+W26+Y26+AA26+AC26+AE26+AG26+AI26+AK26+AM26+AO26+AQ26+AS26+AU26+AW26+AY26+BA26+BC26+BE26+BG26+BI26+BK26+BM26+BO26+BQ26+BS26+BU26+BW26+BY26+CA26+CC26+CE26+CG26+CI26+DA26+DC26+DE26+DG26+DI26+DK26+DM26+DO26+DQ26+DS26+DU26+DW26+DY26+EA26+EC26+EE26+EG26+EI26+EK26+EM26+EO26+EQ26+ES26+EU26+EW26+FO26+FS26+FU26+FW26+FQ26+FY26+GA26+GC26+GE26+GG26+GI26+GK26+GM26+GO26+GQ26+GS26+GU26+GW26+GY26+HA26+HC26+HE26+HG26+HI26+HK26+HM26+HO26+HQ26+HS26+HU26+HW26+HY26+IA26+IC26+IE26+IG26+II26+IK26+IM26+IO26+IQ26+IS26+IU26+IW26+IY26+JA26+JC26+JE26+JG26+JI26+JK26+JM26+KA26+CK26+CM26+CO26+CQ26+CS26+CU26+CW26+CY26+EY26+FA26+FC26+FE26+FG26+FI26+FK26+FM26</f>
        <v/>
      </c>
      <c r="KD26" s="44">
        <f>JO26+JQ26+JS26+JU26+JW26+JY26</f>
        <v/>
      </c>
      <c r="KE26" s="46">
        <f>KB26=E26</f>
        <v/>
      </c>
      <c r="KF26" s="101">
        <f>E26-KB26</f>
        <v/>
      </c>
      <c r="KG26" s="20" t="n"/>
    </row>
    <row r="27" ht="21.75" customFormat="1" customHeight="1" s="19">
      <c r="A27" s="126">
        <f>A26+1</f>
        <v/>
      </c>
      <c r="B27" s="192" t="inlineStr">
        <is>
          <t>Кожемякин Е.А.</t>
        </is>
      </c>
      <c r="C27" s="176" t="inlineStr">
        <is>
          <t>сварщик</t>
        </is>
      </c>
      <c r="D27" s="177">
        <f>$D$5</f>
        <v/>
      </c>
      <c r="E27" s="202" t="n"/>
      <c r="F27" s="193" t="n">
        <v>61252.7</v>
      </c>
      <c r="G27" s="52">
        <f>F27/D27</f>
        <v/>
      </c>
      <c r="H27" s="125" t="n"/>
      <c r="I27" s="107">
        <f>H27*100/$E$27</f>
        <v/>
      </c>
      <c r="J27" s="108" t="n"/>
      <c r="K27" s="122">
        <f>J27*100/$E$27</f>
        <v/>
      </c>
      <c r="L27" s="108" t="n"/>
      <c r="M27" s="122">
        <f>L27*100/$E$27</f>
        <v/>
      </c>
      <c r="N27" s="108" t="n"/>
      <c r="O27" s="122">
        <f>N27*100/$E$27</f>
        <v/>
      </c>
      <c r="P27" s="108" t="n"/>
      <c r="Q27" s="122">
        <f>P27*100/$E$27</f>
        <v/>
      </c>
      <c r="R27" s="108" t="n"/>
      <c r="S27" s="122">
        <f>R27*100/$E$27</f>
        <v/>
      </c>
      <c r="T27" s="108" t="n"/>
      <c r="U27" s="122">
        <f>T27*100/$E$27</f>
        <v/>
      </c>
      <c r="V27" s="108" t="n"/>
      <c r="W27" s="107">
        <f>V27*100/$E$27</f>
        <v/>
      </c>
      <c r="X27" s="108" t="n"/>
      <c r="Y27" s="107">
        <f>X27*100/$E$27</f>
        <v/>
      </c>
      <c r="Z27" s="108" t="n"/>
      <c r="AA27" s="122">
        <f>Z27*100/$E$27</f>
        <v/>
      </c>
      <c r="AB27" s="108" t="n"/>
      <c r="AC27" s="107">
        <f>AB27*100/$E$27</f>
        <v/>
      </c>
      <c r="AD27" s="108" t="n"/>
      <c r="AE27" s="122">
        <f>AD27*100/$E$27</f>
        <v/>
      </c>
      <c r="AF27" s="108" t="n"/>
      <c r="AG27" s="107">
        <f>AF27*100/$E$27</f>
        <v/>
      </c>
      <c r="AH27" s="108" t="n"/>
      <c r="AI27" s="107">
        <f>AH27*100/$E$27</f>
        <v/>
      </c>
      <c r="AJ27" s="108" t="n"/>
      <c r="AK27" s="107">
        <f>AJ27*100/$E$27</f>
        <v/>
      </c>
      <c r="AL27" s="108" t="n"/>
      <c r="AM27" s="107">
        <f>AL27*100/$E$27</f>
        <v/>
      </c>
      <c r="AN27" s="108" t="n"/>
      <c r="AO27" s="107">
        <f>AN27*100/$E$27</f>
        <v/>
      </c>
      <c r="AP27" s="108" t="n"/>
      <c r="AQ27" s="107">
        <f>AP27*100/$E$27</f>
        <v/>
      </c>
      <c r="AR27" s="108" t="n"/>
      <c r="AS27" s="107">
        <f>AR27*100/$E$27</f>
        <v/>
      </c>
      <c r="AT27" s="108" t="n"/>
      <c r="AU27" s="90">
        <f>AT27*100/$E$27</f>
        <v/>
      </c>
      <c r="AV27" s="108" t="n"/>
      <c r="AW27" s="107">
        <f>AV27*100/$E$27</f>
        <v/>
      </c>
      <c r="AX27" s="108" t="n"/>
      <c r="AY27" s="107">
        <f>AX27*100/$E$27</f>
        <v/>
      </c>
      <c r="AZ27" s="108" t="n"/>
      <c r="BA27" s="107">
        <f>AZ27*100/$E$27</f>
        <v/>
      </c>
      <c r="BB27" s="108" t="n"/>
      <c r="BC27" s="107">
        <f>BB27*100/$E$27</f>
        <v/>
      </c>
      <c r="BD27" s="108" t="n"/>
      <c r="BE27" s="107">
        <f>BD27*100/$E$27</f>
        <v/>
      </c>
      <c r="BF27" s="108" t="n"/>
      <c r="BG27" s="139">
        <f>BF27*100/$E$27</f>
        <v/>
      </c>
      <c r="BH27" s="108" t="n"/>
      <c r="BI27" s="107">
        <f>BH27*100/$E$27</f>
        <v/>
      </c>
      <c r="BJ27" s="108" t="n"/>
      <c r="BK27" s="107">
        <f>BJ27*100/$E$27</f>
        <v/>
      </c>
      <c r="BL27" s="108" t="n"/>
      <c r="BM27" s="107">
        <f>BL27*100/$E$27</f>
        <v/>
      </c>
      <c r="BN27" s="108" t="n"/>
      <c r="BO27" s="107">
        <f>BN27*100/$E$27</f>
        <v/>
      </c>
      <c r="BP27" s="108" t="n"/>
      <c r="BQ27" s="107">
        <f>BP27*100/$E$27</f>
        <v/>
      </c>
      <c r="BR27" s="108" t="n"/>
      <c r="BS27" s="107">
        <f>BR27*100/$E$27</f>
        <v/>
      </c>
      <c r="BT27" s="108" t="n"/>
      <c r="BU27" s="107">
        <f>BT27*100/$E$27</f>
        <v/>
      </c>
      <c r="BV27" s="108" t="n"/>
      <c r="BW27" s="107">
        <f>BV27*100/$E$27</f>
        <v/>
      </c>
      <c r="BX27" s="108" t="n"/>
      <c r="BY27" s="107">
        <f>BX27*100/$E$27</f>
        <v/>
      </c>
      <c r="BZ27" s="108" t="n"/>
      <c r="CA27" s="107">
        <f>BZ27*100/$E$27</f>
        <v/>
      </c>
      <c r="CB27" s="108" t="n"/>
      <c r="CC27" s="107">
        <f>CB27*100/$E$27</f>
        <v/>
      </c>
      <c r="CD27" s="108" t="n"/>
      <c r="CE27" s="139">
        <f>CD27*100/$E$27</f>
        <v/>
      </c>
      <c r="CF27" s="108" t="n"/>
      <c r="CG27" s="107">
        <f>CF27*100/$E$27</f>
        <v/>
      </c>
      <c r="CH27" s="108" t="n"/>
      <c r="CI27" s="107">
        <f>CH27*100/$E$27</f>
        <v/>
      </c>
      <c r="CJ27" s="108" t="n"/>
      <c r="CK27" s="107">
        <f>CJ27*100/$E$27</f>
        <v/>
      </c>
      <c r="CL27" s="108" t="n"/>
      <c r="CM27" s="107">
        <f>CL27*100/$E$27</f>
        <v/>
      </c>
      <c r="CN27" s="108" t="n"/>
      <c r="CO27" s="122">
        <f>CN27*100/$E$27</f>
        <v/>
      </c>
      <c r="CP27" s="108" t="n"/>
      <c r="CQ27" s="107">
        <f>CP27*100/$E$27</f>
        <v/>
      </c>
      <c r="CR27" s="108" t="n"/>
      <c r="CS27" s="122">
        <f>CR27*100/$E$27</f>
        <v/>
      </c>
      <c r="CT27" s="108" t="n"/>
      <c r="CU27" s="122">
        <f>CT27*100/$E$27</f>
        <v/>
      </c>
      <c r="CV27" s="108" t="n"/>
      <c r="CW27" s="122">
        <f>CV27*100/$E$27</f>
        <v/>
      </c>
      <c r="CX27" s="108" t="n"/>
      <c r="CY27" s="122">
        <f>CX27*100/$E$27</f>
        <v/>
      </c>
      <c r="CZ27" s="108" t="n"/>
      <c r="DA27" s="122">
        <f>CZ27*100/$E$27</f>
        <v/>
      </c>
      <c r="DB27" s="108" t="n"/>
      <c r="DC27" s="122">
        <f>DB27*100/$E$27</f>
        <v/>
      </c>
      <c r="DD27" s="108" t="n"/>
      <c r="DE27" s="122">
        <f>DD27*100/$E$27</f>
        <v/>
      </c>
      <c r="DF27" s="108" t="n"/>
      <c r="DG27" s="122">
        <f>DF27*100/$E$27</f>
        <v/>
      </c>
      <c r="DH27" s="108" t="n"/>
      <c r="DI27" s="122">
        <f>DH27*100/$E$27</f>
        <v/>
      </c>
      <c r="DJ27" s="108" t="n"/>
      <c r="DK27" s="122">
        <f>DJ27*100/$E$27</f>
        <v/>
      </c>
      <c r="DL27" s="108" t="n"/>
      <c r="DM27" s="122">
        <f>DL27*100/$E$27</f>
        <v/>
      </c>
      <c r="DN27" s="108" t="n"/>
      <c r="DO27" s="122">
        <f>DN27*100/$E$27</f>
        <v/>
      </c>
      <c r="DP27" s="108" t="n"/>
      <c r="DQ27" s="122">
        <f>DP27*100/$E$27</f>
        <v/>
      </c>
      <c r="DR27" s="108" t="n"/>
      <c r="DS27" s="139">
        <f>DR27*100/$E$27</f>
        <v/>
      </c>
      <c r="DT27" s="108" t="n"/>
      <c r="DU27" s="122">
        <f>DT27*100/$E$27</f>
        <v/>
      </c>
      <c r="DV27" s="108" t="n"/>
      <c r="DW27" s="122">
        <f>DV27*100/$E$27</f>
        <v/>
      </c>
      <c r="DX27" s="108" t="n"/>
      <c r="DY27" s="122">
        <f>DX27*100/$E$27</f>
        <v/>
      </c>
      <c r="DZ27" s="108" t="n"/>
      <c r="EA27" s="122">
        <f>DZ27*100/$E$27</f>
        <v/>
      </c>
      <c r="EB27" s="108" t="n"/>
      <c r="EC27" s="122">
        <f>EB27*100/$E$27</f>
        <v/>
      </c>
      <c r="ED27" s="108" t="n"/>
      <c r="EE27" s="122">
        <f>ED27*100/$E$27</f>
        <v/>
      </c>
      <c r="EF27" s="108" t="n"/>
      <c r="EG27" s="122">
        <f>EF27*100/$E$27</f>
        <v/>
      </c>
      <c r="EH27" s="108" t="n"/>
      <c r="EI27" s="139">
        <f>EH27*100/$E$27</f>
        <v/>
      </c>
      <c r="EJ27" s="108" t="n"/>
      <c r="EK27" s="139">
        <f>EJ27*100/$E$27</f>
        <v/>
      </c>
      <c r="EL27" s="108" t="n"/>
      <c r="EM27" s="139">
        <f>EL27*100/$E$27</f>
        <v/>
      </c>
      <c r="EN27" s="108" t="n"/>
      <c r="EO27" s="139">
        <f>EN27*100/$E$27</f>
        <v/>
      </c>
      <c r="EP27" s="108" t="n"/>
      <c r="EQ27" s="139">
        <f>EP27*100/$E$27</f>
        <v/>
      </c>
      <c r="ER27" s="108" t="n"/>
      <c r="ES27" s="139">
        <f>ER27*100/$E$27</f>
        <v/>
      </c>
      <c r="ET27" s="108" t="n"/>
      <c r="EU27" s="140">
        <f>ET27*100/$E$27</f>
        <v/>
      </c>
      <c r="EV27" s="108" t="n"/>
      <c r="EW27" s="122">
        <f>EV27*100/$E$27</f>
        <v/>
      </c>
      <c r="EX27" s="108" t="n"/>
      <c r="EY27" s="122">
        <f>EX27*100/$E$27</f>
        <v/>
      </c>
      <c r="EZ27" s="108" t="n"/>
      <c r="FA27" s="122">
        <f>EZ27*100/$E$27</f>
        <v/>
      </c>
      <c r="FB27" s="108" t="n"/>
      <c r="FC27" s="122">
        <f>FB27*100/$E$27</f>
        <v/>
      </c>
      <c r="FD27" s="108" t="n"/>
      <c r="FE27" s="122">
        <f>FD27*100/$E$27</f>
        <v/>
      </c>
      <c r="FF27" s="108" t="n"/>
      <c r="FG27" s="122">
        <f>FF27*100/$E$27</f>
        <v/>
      </c>
      <c r="FH27" s="108" t="n"/>
      <c r="FI27" s="122">
        <f>FH27*100/$E$27</f>
        <v/>
      </c>
      <c r="FJ27" s="108" t="n"/>
      <c r="FK27" s="122">
        <f>FJ27*100/$E$27</f>
        <v/>
      </c>
      <c r="FL27" s="108" t="n"/>
      <c r="FM27" s="122">
        <f>FL27*100/$E$27</f>
        <v/>
      </c>
      <c r="FN27" s="108" t="n"/>
      <c r="FO27" s="122">
        <f>FN27*100/$E$27</f>
        <v/>
      </c>
      <c r="FP27" s="108" t="n"/>
      <c r="FQ27" s="139">
        <f>FP27*100/$E$27</f>
        <v/>
      </c>
      <c r="FR27" s="108" t="n"/>
      <c r="FS27" s="139">
        <f>FR27*100/$E$27</f>
        <v/>
      </c>
      <c r="FT27" s="108" t="n"/>
      <c r="FU27" s="139">
        <f>FT27*100/$E$27</f>
        <v/>
      </c>
      <c r="FV27" s="108" t="n"/>
      <c r="FW27" s="139">
        <f>FV27*100/$E$27</f>
        <v/>
      </c>
      <c r="FX27" s="108" t="n"/>
      <c r="FY27" s="139">
        <f>FX27*100/$E$27</f>
        <v/>
      </c>
      <c r="FZ27" s="108" t="n"/>
      <c r="GA27" s="140">
        <f>FZ27*100/$E$27</f>
        <v/>
      </c>
      <c r="GB27" s="108" t="n"/>
      <c r="GC27" s="140">
        <f>GB27*100/$E$27</f>
        <v/>
      </c>
      <c r="GD27" s="108" t="n"/>
      <c r="GE27" s="139">
        <f>GD27*100/$E$27</f>
        <v/>
      </c>
      <c r="GF27" s="108" t="n"/>
      <c r="GG27" s="140">
        <f>GF27*100/$E$27</f>
        <v/>
      </c>
      <c r="GH27" s="108" t="n"/>
      <c r="GI27" s="139">
        <f>GH27*100/$E$27</f>
        <v/>
      </c>
      <c r="GJ27" s="108" t="n"/>
      <c r="GK27" s="122">
        <f>GJ27*100/$E$27</f>
        <v/>
      </c>
      <c r="GL27" s="108" t="n"/>
      <c r="GM27" s="139">
        <f>GL27*100/$E$27</f>
        <v/>
      </c>
      <c r="GN27" s="133" t="n"/>
      <c r="GO27" s="122">
        <f>GN27*100/$E$27</f>
        <v/>
      </c>
      <c r="GP27" s="133" t="n"/>
      <c r="GQ27" s="139">
        <f>GP27*100/$E$27</f>
        <v/>
      </c>
      <c r="GR27" s="133" t="n"/>
      <c r="GS27" s="122">
        <f>GR27*100/$E$27</f>
        <v/>
      </c>
      <c r="GT27" s="133" t="n"/>
      <c r="GU27" s="122">
        <f>GT27*100/$E$27</f>
        <v/>
      </c>
      <c r="GV27" s="133" t="n"/>
      <c r="GW27" s="139">
        <f>GV27*100/$E$27</f>
        <v/>
      </c>
      <c r="GX27" s="133" t="n"/>
      <c r="GY27" s="139">
        <f>GX27*100/$E$27</f>
        <v/>
      </c>
      <c r="GZ27" s="133" t="n"/>
      <c r="HA27" s="139">
        <f>GZ27*100/$E$27</f>
        <v/>
      </c>
      <c r="HB27" s="133" t="n"/>
      <c r="HC27" s="139">
        <f>HB27*100/$E$27</f>
        <v/>
      </c>
      <c r="HD27" s="133" t="n"/>
      <c r="HE27" s="139">
        <f>HD27*100/$E$27</f>
        <v/>
      </c>
      <c r="HF27" s="133" t="n"/>
      <c r="HG27" s="140">
        <f>HF27*100/$E$27</f>
        <v/>
      </c>
      <c r="HH27" s="133" t="n"/>
      <c r="HI27" s="140">
        <f>HH27*100/$E$27</f>
        <v/>
      </c>
      <c r="HJ27" s="133" t="n"/>
      <c r="HK27" s="139">
        <f>HJ27*100/$E$27</f>
        <v/>
      </c>
      <c r="HL27" s="133" t="n"/>
      <c r="HM27" s="140">
        <f>HL27*100/$E$27</f>
        <v/>
      </c>
      <c r="HN27" s="133" t="n"/>
      <c r="HO27" s="139">
        <f>HN27*100/$E$27</f>
        <v/>
      </c>
      <c r="HP27" s="133" t="n"/>
      <c r="HQ27" s="140">
        <f>HP27*100/$E$27</f>
        <v/>
      </c>
      <c r="HR27" s="133" t="n"/>
      <c r="HS27" s="139">
        <f>HR27*100/$E$27</f>
        <v/>
      </c>
      <c r="HT27" s="133" t="n"/>
      <c r="HU27" s="140">
        <f>HT27*100/$E$27</f>
        <v/>
      </c>
      <c r="HV27" s="133" t="n"/>
      <c r="HW27" s="139">
        <f>HV27*100/$E$27</f>
        <v/>
      </c>
      <c r="HX27" s="108" t="n"/>
      <c r="HY27" s="140">
        <f>HX27*100/$E$27</f>
        <v/>
      </c>
      <c r="HZ27" s="108" t="n"/>
      <c r="IA27" s="122">
        <f>HZ27*100/$E$27</f>
        <v/>
      </c>
      <c r="IB27" s="108" t="n"/>
      <c r="IC27" s="122">
        <f>IB27*100/$E$27</f>
        <v/>
      </c>
      <c r="ID27" s="133" t="n"/>
      <c r="IE27" s="122">
        <f>ID27*100/$E$27</f>
        <v/>
      </c>
      <c r="IF27" s="108" t="n"/>
      <c r="IG27" s="122">
        <f>IF27*100/$E$27</f>
        <v/>
      </c>
      <c r="IH27" s="108" t="n"/>
      <c r="II27" s="122">
        <f>IH27*100/$E$27</f>
        <v/>
      </c>
      <c r="IJ27" s="108" t="n"/>
      <c r="IK27" s="122">
        <f>IJ27*100/$E$27</f>
        <v/>
      </c>
      <c r="IL27" s="108" t="n"/>
      <c r="IM27" s="140">
        <f>IL27*100/$E$27</f>
        <v/>
      </c>
      <c r="IN27" s="108" t="n"/>
      <c r="IO27" s="140">
        <f>IN27*100/$E$27</f>
        <v/>
      </c>
      <c r="IP27" s="108" t="n"/>
      <c r="IQ27" s="122">
        <f>IP27*100/$E$27</f>
        <v/>
      </c>
      <c r="IR27" s="108" t="n"/>
      <c r="IS27" s="122">
        <f>IR27*100/$E$27</f>
        <v/>
      </c>
      <c r="IT27" s="108" t="n"/>
      <c r="IU27" s="122">
        <f>IT27*100/$E$27</f>
        <v/>
      </c>
      <c r="IV27" s="133" t="n"/>
      <c r="IW27" s="122">
        <f>IV27*100/$E$27</f>
        <v/>
      </c>
      <c r="IX27" s="133" t="n"/>
      <c r="IY27" s="122">
        <f>IX27*100/$E$27</f>
        <v/>
      </c>
      <c r="IZ27" s="133" t="n"/>
      <c r="JA27" s="122">
        <f>IZ27*100/$E$27</f>
        <v/>
      </c>
      <c r="JB27" s="108" t="n"/>
      <c r="JC27" s="122">
        <f>JB27*100/$E$27</f>
        <v/>
      </c>
      <c r="JD27" s="108" t="n"/>
      <c r="JE27" s="122">
        <f>JD27*100/$E$27</f>
        <v/>
      </c>
      <c r="JF27" s="133" t="n"/>
      <c r="JG27" s="139">
        <f>JF27*100/$E$27</f>
        <v/>
      </c>
      <c r="JH27" s="133" t="n"/>
      <c r="JI27" s="122">
        <f>JH27*100/$E$27</f>
        <v/>
      </c>
      <c r="JJ27" s="133" t="n"/>
      <c r="JK27" s="139">
        <f>JJ27*100/$E$27</f>
        <v/>
      </c>
      <c r="JL27" s="108" t="n"/>
      <c r="JM27" s="122">
        <f>JL27*100/$E$27</f>
        <v/>
      </c>
      <c r="JN27" s="108" t="n"/>
      <c r="JO27" s="122">
        <f>JN27*100/$E$27</f>
        <v/>
      </c>
      <c r="JP27" s="108" t="n"/>
      <c r="JQ27" s="122">
        <f>JP27*100/$E$27</f>
        <v/>
      </c>
      <c r="JR27" s="108" t="n"/>
      <c r="JS27" s="122">
        <f>JR27*100/$E$27</f>
        <v/>
      </c>
      <c r="JT27" s="108" t="n"/>
      <c r="JU27" s="122">
        <f>JT27*100/$E$27</f>
        <v/>
      </c>
      <c r="JV27" s="108" t="n"/>
      <c r="JW27" s="122">
        <f>JV27*100/$E$27</f>
        <v/>
      </c>
      <c r="JX27" s="108" t="n"/>
      <c r="JY27" s="122">
        <f>JX27*100/$E$27</f>
        <v/>
      </c>
      <c r="JZ27" s="55">
        <f>JN27+JP27+JR27+JT27+JV27+JX27</f>
        <v/>
      </c>
      <c r="KA27" s="53">
        <f>JO27+JQ27+JS27+JU27+JW27+JY27</f>
        <v/>
      </c>
      <c r="KB27" s="64">
        <f>H27+J27+L27+N27+P27+R27+T27+V27+X27+Z27+AB27+AD27+AF27+AH27+AJ27+AL27+AN27+AP27+AR27+AT27+AV27+AX27+AZ27+BB27+BD27+BF27+BH27+BJ27+BL27+BN27+BP27+BR27+BT27+BV27+BX27+BZ27+CB27+CD27+CF27+CH27+CZ27+DB27+DD27+DF27+DH27+DJ27+DL27+DN27+DP27+DR27+DT27+DV27+DX27+DZ27+EB27+ED27+EF27+EH27+EJ27+EL27+EN27+EP27+ER27+ET27+EV27+FN27+FP27+FR27+FT27+FV27+FX27+FZ27+GB27+GD27+GF27+GH27+GJ27+GL27+GN27+GP27+GR27+GT27+GV27+GX27+GZ27+HB27+HD27+HF27+HH27+HJ27+HL27+HN27+HP27+HR27+HT27+HV27+HX27+HZ27+IB27+ID27+IF27+IH27+IJ27+IL27+IN27+IP27+IR27+IT27+IV27+IX27+IZ27+JB27+JD27+JF27+JH27+JJ27+JL27+JZ27+CJ27+CL27+CN27+CP27+CR27+CT27+CV27+CX27+EX27+EZ27+FB27+FD27+FF27+FH27+FJ27+FL27</f>
        <v/>
      </c>
      <c r="KC27" s="66">
        <f>I27+K27+M27+O27+Q27+S27+U27+W27+Y27+AA27+AC27+AE27+AG27+AI27+AK27+AM27+AO27+AQ27+AS27+AU27+AW27+AY27+BA27+BC27+BE27+BG27+BI27+BK27+BM27+BO27+BQ27+BS27+BU27+BW27+BY27+CA27+CC27+CE27+CG27+CI27+DA27+DC27+DE27+DG27+DI27+DK27+DM27+DO27+DQ27+DS27+DU27+DW27+DY27+EA27+EC27+EE27+EG27+EI27+EK27+EM27+EO27+EQ27+ES27+EU27+EW27+FO27+FS27+FU27+FW27+FQ27+FY27+GA27+GC27+GE27+GG27+GI27+GK27+GM27+GO27+GQ27+GS27+GU27+GW27+GY27+HA27+HC27+HE27+HG27+HI27+HK27+HM27+HO27+HQ27+HS27+HU27+HW27+HY27+IA27+IC27+IE27+IG27+II27+IK27+IM27+IO27+IQ27+IS27+IU27+IW27+IY27+JA27+JC27+JE27+JG27+JI27+JK27+JM27+KA27+CK27+CM27+CO27+CQ27+CS27+CU27+CW27+CY27+EY27+FA27+FC27+FE27+FG27+FI27+FK27+FM27</f>
        <v/>
      </c>
      <c r="KD27" s="44">
        <f>JO27+JQ27+JS27+JU27+JW27+JY27</f>
        <v/>
      </c>
      <c r="KE27" s="46">
        <f>KB27=E27</f>
        <v/>
      </c>
      <c r="KF27" s="101">
        <f>E27-KB27</f>
        <v/>
      </c>
      <c r="KG27" s="138" t="n"/>
    </row>
    <row r="28" ht="21.75" customFormat="1" customHeight="1" s="15">
      <c r="A28" s="126">
        <f>A27+1</f>
        <v/>
      </c>
      <c r="B28" s="175" t="inlineStr">
        <is>
          <t>Корюков А.А.</t>
        </is>
      </c>
      <c r="C28" s="176" t="inlineStr">
        <is>
          <t>токарь</t>
        </is>
      </c>
      <c r="D28" s="177">
        <f>$D$5</f>
        <v/>
      </c>
      <c r="E28" s="202" t="n"/>
      <c r="F28" s="193" t="n">
        <v>126438.55</v>
      </c>
      <c r="G28" s="52">
        <f>F28/D28</f>
        <v/>
      </c>
      <c r="H28" s="125" t="n"/>
      <c r="I28" s="107">
        <f>H28*100/$E$28</f>
        <v/>
      </c>
      <c r="J28" s="108" t="n"/>
      <c r="K28" s="107">
        <f>J28*100/$E$28</f>
        <v/>
      </c>
      <c r="L28" s="108" t="n"/>
      <c r="M28" s="107">
        <f>L28*100/$E$28</f>
        <v/>
      </c>
      <c r="N28" s="108" t="n"/>
      <c r="O28" s="107">
        <f>N28*100/$E$28</f>
        <v/>
      </c>
      <c r="P28" s="108" t="n"/>
      <c r="Q28" s="122">
        <f>P28*100/$E$28</f>
        <v/>
      </c>
      <c r="R28" s="108" t="n"/>
      <c r="S28" s="122">
        <f>R28*100/$E$28</f>
        <v/>
      </c>
      <c r="T28" s="108" t="n"/>
      <c r="U28" s="107">
        <f>T28*100/$E$28</f>
        <v/>
      </c>
      <c r="V28" s="108" t="n"/>
      <c r="W28" s="107">
        <f>V28*100/$E$28</f>
        <v/>
      </c>
      <c r="X28" s="108" t="n"/>
      <c r="Y28" s="107">
        <f>X28*100/$E$28</f>
        <v/>
      </c>
      <c r="Z28" s="108" t="n"/>
      <c r="AA28" s="107">
        <f>Z28*100/$E$28</f>
        <v/>
      </c>
      <c r="AB28" s="108" t="n"/>
      <c r="AC28" s="107">
        <f>AB28*100/$E$28</f>
        <v/>
      </c>
      <c r="AD28" s="108" t="n"/>
      <c r="AE28" s="122">
        <f>AD28*100/$E$28</f>
        <v/>
      </c>
      <c r="AF28" s="108" t="n"/>
      <c r="AG28" s="122">
        <f>AF28*100/$E$28</f>
        <v/>
      </c>
      <c r="AH28" s="108" t="n"/>
      <c r="AI28" s="107">
        <f>AH28*100/$E$28</f>
        <v/>
      </c>
      <c r="AJ28" s="108" t="n"/>
      <c r="AK28" s="107">
        <f>AJ28*100/$E$28</f>
        <v/>
      </c>
      <c r="AL28" s="108" t="n"/>
      <c r="AM28" s="107">
        <f>AL28*100/$E$28</f>
        <v/>
      </c>
      <c r="AN28" s="108" t="n"/>
      <c r="AO28" s="107">
        <f>AN28*100/$E$28</f>
        <v/>
      </c>
      <c r="AP28" s="108" t="n"/>
      <c r="AQ28" s="107">
        <f>AP28*100/$E$28</f>
        <v/>
      </c>
      <c r="AR28" s="108" t="n"/>
      <c r="AS28" s="107">
        <f>AR28*100/$E$28</f>
        <v/>
      </c>
      <c r="AT28" s="108" t="n"/>
      <c r="AU28" s="90">
        <f>AT28*100/$E$28</f>
        <v/>
      </c>
      <c r="AV28" s="108" t="n"/>
      <c r="AW28" s="107">
        <f>AV28*100/$E$28</f>
        <v/>
      </c>
      <c r="AX28" s="108" t="n"/>
      <c r="AY28" s="107">
        <f>AX28*100/$E$28</f>
        <v/>
      </c>
      <c r="AZ28" s="108" t="n"/>
      <c r="BA28" s="107">
        <f>AZ28*100/$E$28</f>
        <v/>
      </c>
      <c r="BB28" s="108" t="n"/>
      <c r="BC28" s="107">
        <f>BB28*100/$E$28</f>
        <v/>
      </c>
      <c r="BD28" s="108" t="n"/>
      <c r="BE28" s="107">
        <f>BD28*100/$E$28</f>
        <v/>
      </c>
      <c r="BF28" s="108" t="n"/>
      <c r="BG28" s="107">
        <f>BF28*100/$E$28</f>
        <v/>
      </c>
      <c r="BH28" s="108" t="n"/>
      <c r="BI28" s="107">
        <f>BH28*100/$E$28</f>
        <v/>
      </c>
      <c r="BJ28" s="108" t="n"/>
      <c r="BK28" s="107">
        <f>BJ28*100/$E$28</f>
        <v/>
      </c>
      <c r="BL28" s="108" t="n"/>
      <c r="BM28" s="107">
        <f>BL28*100/$E$28</f>
        <v/>
      </c>
      <c r="BN28" s="108" t="n"/>
      <c r="BO28" s="107">
        <f>BN28*100/$E$28</f>
        <v/>
      </c>
      <c r="BP28" s="108" t="n"/>
      <c r="BQ28" s="107">
        <f>BP28*100/$E$28</f>
        <v/>
      </c>
      <c r="BR28" s="108" t="n"/>
      <c r="BS28" s="107">
        <f>BR28*100/$E$28</f>
        <v/>
      </c>
      <c r="BT28" s="108" t="n"/>
      <c r="BU28" s="107">
        <f>BT28*100/$E$28</f>
        <v/>
      </c>
      <c r="BV28" s="108" t="n"/>
      <c r="BW28" s="107">
        <f>BV28*100/$E$28</f>
        <v/>
      </c>
      <c r="BX28" s="108" t="n"/>
      <c r="BY28" s="107">
        <f>BX28*100/$E$28</f>
        <v/>
      </c>
      <c r="BZ28" s="108" t="n"/>
      <c r="CA28" s="107">
        <f>BZ28*100/$E$28</f>
        <v/>
      </c>
      <c r="CB28" s="108" t="n"/>
      <c r="CC28" s="107">
        <f>CB28*100/$E$28</f>
        <v/>
      </c>
      <c r="CD28" s="108" t="n"/>
      <c r="CE28" s="107">
        <f>CD28*100/$E$28</f>
        <v/>
      </c>
      <c r="CF28" s="108" t="n"/>
      <c r="CG28" s="107">
        <f>CF28*100/$E$28</f>
        <v/>
      </c>
      <c r="CH28" s="108" t="n"/>
      <c r="CI28" s="107">
        <f>CH28*100/$E$28</f>
        <v/>
      </c>
      <c r="CJ28" s="108" t="n"/>
      <c r="CK28" s="107">
        <f>CJ28*100/$E$28</f>
        <v/>
      </c>
      <c r="CL28" s="108" t="n"/>
      <c r="CM28" s="107">
        <f>CL28*100/$E$28</f>
        <v/>
      </c>
      <c r="CN28" s="108" t="n"/>
      <c r="CO28" s="122">
        <f>CN28*100/$E$28</f>
        <v/>
      </c>
      <c r="CP28" s="108" t="n"/>
      <c r="CQ28" s="107">
        <f>CP28*100/$E$28</f>
        <v/>
      </c>
      <c r="CR28" s="108" t="n"/>
      <c r="CS28" s="122">
        <f>CR28*100/$E$28</f>
        <v/>
      </c>
      <c r="CT28" s="108" t="n"/>
      <c r="CU28" s="122">
        <f>CT28*100/$E$28</f>
        <v/>
      </c>
      <c r="CV28" s="108" t="n"/>
      <c r="CW28" s="122">
        <f>CV28*100/$E$28</f>
        <v/>
      </c>
      <c r="CX28" s="108" t="n"/>
      <c r="CY28" s="122">
        <f>CX28*100/$E$28</f>
        <v/>
      </c>
      <c r="CZ28" s="108" t="n"/>
      <c r="DA28" s="122">
        <f>CZ28*100/$E$28</f>
        <v/>
      </c>
      <c r="DB28" s="108" t="n"/>
      <c r="DC28" s="122">
        <f>DB28*100/$E$28</f>
        <v/>
      </c>
      <c r="DD28" s="108" t="n"/>
      <c r="DE28" s="122">
        <f>DD28*100/$E$28</f>
        <v/>
      </c>
      <c r="DF28" s="108" t="n"/>
      <c r="DG28" s="122">
        <f>DF28*100/$E$28</f>
        <v/>
      </c>
      <c r="DH28" s="108" t="n"/>
      <c r="DI28" s="122">
        <f>DH28*100/$E$28</f>
        <v/>
      </c>
      <c r="DJ28" s="108" t="n"/>
      <c r="DK28" s="122">
        <f>DJ28*100/$E$28</f>
        <v/>
      </c>
      <c r="DL28" s="108" t="n"/>
      <c r="DM28" s="122">
        <f>DL28*100/$E$28</f>
        <v/>
      </c>
      <c r="DN28" s="108" t="n"/>
      <c r="DO28" s="122">
        <f>DN28*100/$E$28</f>
        <v/>
      </c>
      <c r="DP28" s="108" t="n"/>
      <c r="DQ28" s="122">
        <f>DP28*100/$E$28</f>
        <v/>
      </c>
      <c r="DR28" s="108" t="n"/>
      <c r="DS28" s="122">
        <f>DR28*100/$E$28</f>
        <v/>
      </c>
      <c r="DT28" s="108" t="n"/>
      <c r="DU28" s="122">
        <f>DT28*100/$E$28</f>
        <v/>
      </c>
      <c r="DV28" s="108" t="n"/>
      <c r="DW28" s="122">
        <f>DV28*100/$E$28</f>
        <v/>
      </c>
      <c r="DX28" s="108" t="n"/>
      <c r="DY28" s="122">
        <f>DX28*100/$E$28</f>
        <v/>
      </c>
      <c r="DZ28" s="108" t="n"/>
      <c r="EA28" s="122">
        <f>DZ28*100/$E$28</f>
        <v/>
      </c>
      <c r="EB28" s="108" t="n"/>
      <c r="EC28" s="122">
        <f>EB28*100/$E$28</f>
        <v/>
      </c>
      <c r="ED28" s="108" t="n"/>
      <c r="EE28" s="122">
        <f>ED28*100/$E$28</f>
        <v/>
      </c>
      <c r="EF28" s="108" t="n"/>
      <c r="EG28" s="122">
        <f>EF28*100/$E$28</f>
        <v/>
      </c>
      <c r="EH28" s="108" t="n"/>
      <c r="EI28" s="122">
        <f>EH28*100/$E$28</f>
        <v/>
      </c>
      <c r="EJ28" s="108" t="n"/>
      <c r="EK28" s="122">
        <f>EJ28*100/$E$28</f>
        <v/>
      </c>
      <c r="EL28" s="108" t="n"/>
      <c r="EM28" s="122">
        <f>EL28*100/$E$28</f>
        <v/>
      </c>
      <c r="EN28" s="108" t="n"/>
      <c r="EO28" s="122">
        <f>EN28*100/$E$28</f>
        <v/>
      </c>
      <c r="EP28" s="108" t="n"/>
      <c r="EQ28" s="122">
        <f>EP28*100/$E$28</f>
        <v/>
      </c>
      <c r="ER28" s="108" t="n"/>
      <c r="ES28" s="122">
        <f>ER28*100/$E$28</f>
        <v/>
      </c>
      <c r="ET28" s="108" t="n"/>
      <c r="EU28" s="122">
        <f>ET28*100/$E$28</f>
        <v/>
      </c>
      <c r="EV28" s="108" t="n"/>
      <c r="EW28" s="122">
        <f>EV28*100/$E$28</f>
        <v/>
      </c>
      <c r="EX28" s="108" t="n"/>
      <c r="EY28" s="122">
        <f>EX28*100/$E$28</f>
        <v/>
      </c>
      <c r="EZ28" s="108" t="n"/>
      <c r="FA28" s="122">
        <f>EZ28*100/$E$28</f>
        <v/>
      </c>
      <c r="FB28" s="108" t="n"/>
      <c r="FC28" s="122">
        <f>FB28*100/$E$28</f>
        <v/>
      </c>
      <c r="FD28" s="108" t="n"/>
      <c r="FE28" s="122">
        <f>FD28*100/$E$28</f>
        <v/>
      </c>
      <c r="FF28" s="108" t="n"/>
      <c r="FG28" s="122">
        <f>FF28*100/$E$28</f>
        <v/>
      </c>
      <c r="FH28" s="108" t="n"/>
      <c r="FI28" s="122">
        <f>FH28*100/$E$28</f>
        <v/>
      </c>
      <c r="FJ28" s="108" t="n"/>
      <c r="FK28" s="122">
        <f>FJ28*100/$E$28</f>
        <v/>
      </c>
      <c r="FL28" s="108" t="n"/>
      <c r="FM28" s="122">
        <f>FL28*100/$E$28</f>
        <v/>
      </c>
      <c r="FN28" s="108" t="n"/>
      <c r="FO28" s="122">
        <f>FN28*100/$E$28</f>
        <v/>
      </c>
      <c r="FP28" s="108" t="n"/>
      <c r="FQ28" s="122">
        <f>FP28*100/$E$28</f>
        <v/>
      </c>
      <c r="FR28" s="108" t="n"/>
      <c r="FS28" s="122">
        <f>FR28*100/$E$28</f>
        <v/>
      </c>
      <c r="FT28" s="108" t="n"/>
      <c r="FU28" s="122">
        <f>FT28*100/$E$28</f>
        <v/>
      </c>
      <c r="FV28" s="108" t="n"/>
      <c r="FW28" s="122">
        <f>FV28*100/$E$28</f>
        <v/>
      </c>
      <c r="FX28" s="108" t="n"/>
      <c r="FY28" s="107">
        <f>FX28*100/$E$28</f>
        <v/>
      </c>
      <c r="FZ28" s="108" t="n"/>
      <c r="GA28" s="107">
        <f>FZ28*100/$E$28</f>
        <v/>
      </c>
      <c r="GB28" s="108" t="n"/>
      <c r="GC28" s="107">
        <f>GB28*100/$E$28</f>
        <v/>
      </c>
      <c r="GD28" s="108" t="n"/>
      <c r="GE28" s="107">
        <f>GD28*100/$E$28</f>
        <v/>
      </c>
      <c r="GF28" s="108" t="n"/>
      <c r="GG28" s="107">
        <f>GF28*100/$E$28</f>
        <v/>
      </c>
      <c r="GH28" s="108" t="n"/>
      <c r="GI28" s="107">
        <f>GH28*100/$E$28</f>
        <v/>
      </c>
      <c r="GJ28" s="108" t="n"/>
      <c r="GK28" s="122">
        <f>GJ28*100/$E$28</f>
        <v/>
      </c>
      <c r="GL28" s="108" t="n"/>
      <c r="GM28" s="107">
        <f>GL28*100/$E$28</f>
        <v/>
      </c>
      <c r="GN28" s="108" t="n"/>
      <c r="GO28" s="122">
        <f>GN28*100/$E$28</f>
        <v/>
      </c>
      <c r="GP28" s="108" t="n"/>
      <c r="GQ28" s="107">
        <f>GP28*100/$E$28</f>
        <v/>
      </c>
      <c r="GR28" s="108" t="n"/>
      <c r="GS28" s="122">
        <f>GR28*100/$E$28</f>
        <v/>
      </c>
      <c r="GT28" s="108" t="n"/>
      <c r="GU28" s="122">
        <f>GT28*100/$E$28</f>
        <v/>
      </c>
      <c r="GV28" s="108" t="n"/>
      <c r="GW28" s="122">
        <f>GV28*100/$E$28</f>
        <v/>
      </c>
      <c r="GX28" s="108" t="n"/>
      <c r="GY28" s="107">
        <f>GX28*100/$E$28</f>
        <v/>
      </c>
      <c r="GZ28" s="108" t="n"/>
      <c r="HA28" s="107">
        <f>GZ28*100/$E$28</f>
        <v/>
      </c>
      <c r="HB28" s="108" t="n"/>
      <c r="HC28" s="107">
        <f>HB28*100/$E$28</f>
        <v/>
      </c>
      <c r="HD28" s="108" t="n"/>
      <c r="HE28" s="107">
        <f>HD28*100/$E$28</f>
        <v/>
      </c>
      <c r="HF28" s="108" t="n"/>
      <c r="HG28" s="107">
        <f>HF28*100/$E$28</f>
        <v/>
      </c>
      <c r="HH28" s="108" t="n"/>
      <c r="HI28" s="107">
        <f>HH28*100/$E$28</f>
        <v/>
      </c>
      <c r="HJ28" s="108" t="n"/>
      <c r="HK28" s="107">
        <f>HJ28*100/$E$28</f>
        <v/>
      </c>
      <c r="HL28" s="108" t="n"/>
      <c r="HM28" s="107">
        <f>HL28*100/$E$28</f>
        <v/>
      </c>
      <c r="HN28" s="108" t="n"/>
      <c r="HO28" s="107">
        <f>HN28*100/$E$28</f>
        <v/>
      </c>
      <c r="HP28" s="108" t="n"/>
      <c r="HQ28" s="107">
        <f>HP28*100/$E$28</f>
        <v/>
      </c>
      <c r="HR28" s="108" t="n"/>
      <c r="HS28" s="107">
        <f>HR28*100/$E$28</f>
        <v/>
      </c>
      <c r="HT28" s="108" t="n"/>
      <c r="HU28" s="107">
        <f>HT28*100/$E$28</f>
        <v/>
      </c>
      <c r="HV28" s="108" t="n"/>
      <c r="HW28" s="107">
        <f>HV28*100/$E$28</f>
        <v/>
      </c>
      <c r="HX28" s="108" t="n"/>
      <c r="HY28" s="107">
        <f>HX28*100/$E$28</f>
        <v/>
      </c>
      <c r="HZ28" s="108" t="n"/>
      <c r="IA28" s="122">
        <f>HZ28*100/$E$28</f>
        <v/>
      </c>
      <c r="IB28" s="108" t="n"/>
      <c r="IC28" s="122">
        <f>IB28*100/$E$28</f>
        <v/>
      </c>
      <c r="ID28" s="108" t="n"/>
      <c r="IE28" s="122">
        <f>ID28*100/$E$28</f>
        <v/>
      </c>
      <c r="IF28" s="108" t="n"/>
      <c r="IG28" s="122">
        <f>IF28*100/$E$28</f>
        <v/>
      </c>
      <c r="IH28" s="108" t="n"/>
      <c r="II28" s="122">
        <f>IH28*100/$E$28</f>
        <v/>
      </c>
      <c r="IJ28" s="108" t="n"/>
      <c r="IK28" s="122">
        <f>IJ28*100/$E$28</f>
        <v/>
      </c>
      <c r="IL28" s="108" t="n"/>
      <c r="IM28" s="107">
        <f>IL28*100/$E$28</f>
        <v/>
      </c>
      <c r="IN28" s="108" t="n"/>
      <c r="IO28" s="107">
        <f>IN28*100/$E$28</f>
        <v/>
      </c>
      <c r="IP28" s="108" t="n"/>
      <c r="IQ28" s="122">
        <f>IP28*100/$E$28</f>
        <v/>
      </c>
      <c r="IR28" s="108" t="n"/>
      <c r="IS28" s="122">
        <f>IR28*100/$E$28</f>
        <v/>
      </c>
      <c r="IT28" s="108" t="n"/>
      <c r="IU28" s="122">
        <f>IT28*100/$E$28</f>
        <v/>
      </c>
      <c r="IV28" s="108" t="n"/>
      <c r="IW28" s="122">
        <f>IV28*100/$E$28</f>
        <v/>
      </c>
      <c r="IX28" s="108" t="n"/>
      <c r="IY28" s="122">
        <f>IX28*100/$E$28</f>
        <v/>
      </c>
      <c r="IZ28" s="108" t="n"/>
      <c r="JA28" s="122">
        <f>IZ28*100/$E$28</f>
        <v/>
      </c>
      <c r="JB28" s="108" t="n"/>
      <c r="JC28" s="122">
        <f>JB28*100/$E$28</f>
        <v/>
      </c>
      <c r="JD28" s="108" t="n"/>
      <c r="JE28" s="122">
        <f>JD28*100/$E$28</f>
        <v/>
      </c>
      <c r="JF28" s="108" t="n"/>
      <c r="JG28" s="122">
        <f>JF28*100/$E$28</f>
        <v/>
      </c>
      <c r="JH28" s="108" t="n"/>
      <c r="JI28" s="122">
        <f>JH28*100/$E$28</f>
        <v/>
      </c>
      <c r="JJ28" s="108" t="n"/>
      <c r="JK28" s="122">
        <f>JJ28*100/$E$28</f>
        <v/>
      </c>
      <c r="JL28" s="108" t="n"/>
      <c r="JM28" s="122">
        <f>JL28*100/$E$28</f>
        <v/>
      </c>
      <c r="JN28" s="108" t="n"/>
      <c r="JO28" s="121">
        <f>JN28*100/$E$28</f>
        <v/>
      </c>
      <c r="JP28" s="108" t="n"/>
      <c r="JQ28" s="121">
        <f>JP28*100/$E$28</f>
        <v/>
      </c>
      <c r="JR28" s="108" t="n"/>
      <c r="JS28" s="121">
        <f>JR28*100/$E$28</f>
        <v/>
      </c>
      <c r="JT28" s="108" t="n"/>
      <c r="JU28" s="121">
        <f>JT28*100/$E$28</f>
        <v/>
      </c>
      <c r="JV28" s="108" t="n"/>
      <c r="JW28" s="121">
        <f>JV28*100/$E$28</f>
        <v/>
      </c>
      <c r="JX28" s="108" t="n"/>
      <c r="JY28" s="121">
        <f>JX28*100/$E$28</f>
        <v/>
      </c>
      <c r="JZ28" s="55">
        <f>JN28+JP28+JR28+JT28+JV28+JX28</f>
        <v/>
      </c>
      <c r="KA28" s="53">
        <f>JO28+JQ28+JS28+JU28+JW28+JY28</f>
        <v/>
      </c>
      <c r="KB28" s="64">
        <f>H28+J28+L28+N28+P28+R28+T28+V28+X28+Z28+AB28+AD28+AF28+AH28+AJ28+AL28+AN28+AP28+AR28+AT28+AV28+AX28+AZ28+BB28+BD28+BF28+BH28+BJ28+BL28+BN28+BP28+BR28+BT28+BV28+BX28+BZ28+CB28+CD28+CF28+CH28+CZ28+DB28+DD28+DF28+DH28+DJ28+DL28+DN28+DP28+DR28+DT28+DV28+DX28+DZ28+EB28+ED28+EF28+EH28+EJ28+EL28+EN28+EP28+ER28+ET28+EV28+FN28+FP28+FR28+FT28+FV28+FX28+FZ28+GB28+GD28+GF28+GH28+GJ28+GL28+GN28+GP28+GR28+GT28+GV28+GX28+GZ28+HB28+HD28+HF28+HH28+HJ28+HL28+HN28+HP28+HR28+HT28+HV28+HX28+HZ28+IB28+ID28+IF28+IH28+IJ28+IL28+IN28+IP28+IR28+IT28+IV28+IX28+IZ28+JB28+JD28+JF28+JH28+JJ28+JL28+JZ28+CJ28+CL28+CN28+CP28+CR28+CT28+CV28+CX28+EX28+EZ28+FB28+FD28+FF28+FH28+FJ28+FL28</f>
        <v/>
      </c>
      <c r="KC28" s="66">
        <f>I28+K28+M28+O28+Q28+S28+U28+W28+Y28+AA28+AC28+AE28+AG28+AI28+AK28+AM28+AO28+AQ28+AS28+AU28+AW28+AY28+BA28+BC28+BE28+BG28+BI28+BK28+BM28+BO28+BQ28+BS28+BU28+BW28+BY28+CA28+CC28+CE28+CG28+CI28+DA28+DC28+DE28+DG28+DI28+DK28+DM28+DO28+DQ28+DS28+DU28+DW28+DY28+EA28+EC28+EE28+EG28+EI28+EK28+EM28+EO28+EQ28+ES28+EU28+EW28+FO28+FS28+FU28+FW28+FQ28+FY28+GA28+GC28+GE28+GG28+GI28+GK28+GM28+GO28+GQ28+GS28+GU28+GW28+GY28+HA28+HC28+HE28+HG28+HI28+HK28+HM28+HO28+HQ28+HS28+HU28+HW28+HY28+IA28+IC28+IE28+IG28+II28+IK28+IM28+IO28+IQ28+IS28+IU28+IW28+IY28+JA28+JC28+JE28+JG28+JI28+JK28+JM28+KA28+CK28+CM28+CO28+CQ28+CS28+CU28+CW28+CY28+EY28+FA28+FC28+FE28+FG28+FI28+FK28+FM28</f>
        <v/>
      </c>
      <c r="KD28" s="44">
        <f>JO28+JQ28+JS28+JU28+JW28+JY28</f>
        <v/>
      </c>
      <c r="KE28" s="45">
        <f>KB28=E28</f>
        <v/>
      </c>
      <c r="KF28" s="101">
        <f>E28-KB28</f>
        <v/>
      </c>
      <c r="KG28" s="21" t="n"/>
    </row>
    <row r="29" ht="21.75" customFormat="1" customHeight="1" s="22">
      <c r="A29" s="126">
        <f>A28+1</f>
        <v/>
      </c>
      <c r="B29" s="175" t="inlineStr">
        <is>
          <t>Кузнецов И.Р.</t>
        </is>
      </c>
      <c r="C29" s="194" t="inlineStr">
        <is>
          <t>слесарь</t>
        </is>
      </c>
      <c r="D29" s="177">
        <f>$D$5</f>
        <v/>
      </c>
      <c r="E29" s="202" t="n"/>
      <c r="F29" s="193" t="n">
        <v>49335</v>
      </c>
      <c r="G29" s="52">
        <f>F29/D29</f>
        <v/>
      </c>
      <c r="H29" s="125" t="n"/>
      <c r="I29" s="107">
        <f>H29*100/$E$29</f>
        <v/>
      </c>
      <c r="J29" s="108" t="n"/>
      <c r="K29" s="107">
        <f>J29*100/$E$29</f>
        <v/>
      </c>
      <c r="L29" s="108" t="n"/>
      <c r="M29" s="107">
        <f>L29*100/$E$29</f>
        <v/>
      </c>
      <c r="N29" s="108" t="n"/>
      <c r="O29" s="107">
        <f>N29*100/$E$29</f>
        <v/>
      </c>
      <c r="P29" s="108" t="n"/>
      <c r="Q29" s="122">
        <f>P29*100/$E$29</f>
        <v/>
      </c>
      <c r="R29" s="108" t="n"/>
      <c r="S29" s="122">
        <f>R29*100/$E$29</f>
        <v/>
      </c>
      <c r="T29" s="108" t="n"/>
      <c r="U29" s="107">
        <f>T29*100/$E$29</f>
        <v/>
      </c>
      <c r="V29" s="108" t="n"/>
      <c r="W29" s="107">
        <f>V29*100/$E$29</f>
        <v/>
      </c>
      <c r="X29" s="108" t="n"/>
      <c r="Y29" s="107">
        <f>X29*100/$E$29</f>
        <v/>
      </c>
      <c r="Z29" s="108" t="n"/>
      <c r="AA29" s="107">
        <f>Z29*100/$E$29</f>
        <v/>
      </c>
      <c r="AB29" s="108" t="n"/>
      <c r="AC29" s="107">
        <f>AB29*100/$E$29</f>
        <v/>
      </c>
      <c r="AD29" s="108" t="n"/>
      <c r="AE29" s="122">
        <f>AD29*100/$E$29</f>
        <v/>
      </c>
      <c r="AF29" s="108" t="n"/>
      <c r="AG29" s="122">
        <f>AF29*100/$E$29</f>
        <v/>
      </c>
      <c r="AH29" s="108" t="n"/>
      <c r="AI29" s="107">
        <f>AH29*100/$E$29</f>
        <v/>
      </c>
      <c r="AJ29" s="108" t="n"/>
      <c r="AK29" s="107">
        <f>AJ29*100/$E$29</f>
        <v/>
      </c>
      <c r="AL29" s="108" t="n"/>
      <c r="AM29" s="107">
        <f>AL29*100/$E$29</f>
        <v/>
      </c>
      <c r="AN29" s="108" t="n"/>
      <c r="AO29" s="107">
        <f>AN29*100/$E$29</f>
        <v/>
      </c>
      <c r="AP29" s="108" t="n"/>
      <c r="AQ29" s="107">
        <f>AP29*100/$E$29</f>
        <v/>
      </c>
      <c r="AR29" s="108" t="n"/>
      <c r="AS29" s="107">
        <f>AR29*100/$E$29</f>
        <v/>
      </c>
      <c r="AT29" s="108" t="n"/>
      <c r="AU29" s="90">
        <f>AT29*100/$E$29</f>
        <v/>
      </c>
      <c r="AV29" s="108" t="n"/>
      <c r="AW29" s="107">
        <f>AV29*100/$E$29</f>
        <v/>
      </c>
      <c r="AX29" s="108" t="n"/>
      <c r="AY29" s="107">
        <f>AX29*100/$E$29</f>
        <v/>
      </c>
      <c r="AZ29" s="108" t="n"/>
      <c r="BA29" s="107">
        <f>AZ29*100/$E$29</f>
        <v/>
      </c>
      <c r="BB29" s="108" t="n"/>
      <c r="BC29" s="107">
        <f>BB29*100/$E$29</f>
        <v/>
      </c>
      <c r="BD29" s="108" t="n"/>
      <c r="BE29" s="107">
        <f>BD29*100/$E$29</f>
        <v/>
      </c>
      <c r="BF29" s="108" t="n"/>
      <c r="BG29" s="107">
        <f>BF29*100/$E$29</f>
        <v/>
      </c>
      <c r="BH29" s="108" t="n"/>
      <c r="BI29" s="107">
        <f>BH29*100/$E$29</f>
        <v/>
      </c>
      <c r="BJ29" s="108" t="n"/>
      <c r="BK29" s="107">
        <f>BJ29*100/$E$29</f>
        <v/>
      </c>
      <c r="BL29" s="108" t="n"/>
      <c r="BM29" s="107">
        <f>BL29*100/$E$29</f>
        <v/>
      </c>
      <c r="BN29" s="108" t="n"/>
      <c r="BO29" s="107">
        <f>BN29*100/$E$29</f>
        <v/>
      </c>
      <c r="BP29" s="108" t="n"/>
      <c r="BQ29" s="107">
        <f>BP29*100/$E$29</f>
        <v/>
      </c>
      <c r="BR29" s="108" t="n"/>
      <c r="BS29" s="107">
        <f>BR29*100/$E$29</f>
        <v/>
      </c>
      <c r="BT29" s="108" t="n"/>
      <c r="BU29" s="107">
        <f>BT29*100/$E$29</f>
        <v/>
      </c>
      <c r="BV29" s="108" t="n"/>
      <c r="BW29" s="107">
        <f>BV29*100/$E$29</f>
        <v/>
      </c>
      <c r="BX29" s="108" t="n"/>
      <c r="BY29" s="107">
        <f>BX29*100/$E$29</f>
        <v/>
      </c>
      <c r="BZ29" s="108" t="n"/>
      <c r="CA29" s="107">
        <f>BZ29*100/$E$29</f>
        <v/>
      </c>
      <c r="CB29" s="108" t="n"/>
      <c r="CC29" s="107">
        <f>CB29*100/$E$29</f>
        <v/>
      </c>
      <c r="CD29" s="108" t="n"/>
      <c r="CE29" s="107">
        <f>CD29*100/$E$29</f>
        <v/>
      </c>
      <c r="CF29" s="108" t="n"/>
      <c r="CG29" s="107">
        <f>CF29*100/$E$29</f>
        <v/>
      </c>
      <c r="CH29" s="108" t="n"/>
      <c r="CI29" s="107">
        <f>CH29*100/$E$29</f>
        <v/>
      </c>
      <c r="CJ29" s="108" t="n"/>
      <c r="CK29" s="107">
        <f>CJ29*100/$E$29</f>
        <v/>
      </c>
      <c r="CL29" s="108" t="n"/>
      <c r="CM29" s="107">
        <f>CL29*100/$E$29</f>
        <v/>
      </c>
      <c r="CN29" s="108" t="n"/>
      <c r="CO29" s="122">
        <f>CN29*100/$E$29</f>
        <v/>
      </c>
      <c r="CP29" s="108" t="n"/>
      <c r="CQ29" s="107">
        <f>CP29*100/$E$29</f>
        <v/>
      </c>
      <c r="CR29" s="108" t="n"/>
      <c r="CS29" s="122">
        <f>CR29*100/$E$29</f>
        <v/>
      </c>
      <c r="CT29" s="108" t="n"/>
      <c r="CU29" s="122">
        <f>CT29*100/$E$29</f>
        <v/>
      </c>
      <c r="CV29" s="108" t="n"/>
      <c r="CW29" s="122">
        <f>CV29*100/$E$29</f>
        <v/>
      </c>
      <c r="CX29" s="108" t="n"/>
      <c r="CY29" s="122">
        <f>CX29*100/$E$29</f>
        <v/>
      </c>
      <c r="CZ29" s="108" t="n"/>
      <c r="DA29" s="122">
        <f>CZ29*100/$E$29</f>
        <v/>
      </c>
      <c r="DB29" s="108" t="n"/>
      <c r="DC29" s="122">
        <f>DB29*100/$E$29</f>
        <v/>
      </c>
      <c r="DD29" s="108" t="n"/>
      <c r="DE29" s="122">
        <f>DD29*100/$E$29</f>
        <v/>
      </c>
      <c r="DF29" s="108" t="n"/>
      <c r="DG29" s="122">
        <f>DF29*100/$E$29</f>
        <v/>
      </c>
      <c r="DH29" s="108" t="n"/>
      <c r="DI29" s="122">
        <f>DH29*100/$E$29</f>
        <v/>
      </c>
      <c r="DJ29" s="108" t="n"/>
      <c r="DK29" s="122">
        <f>DJ29*100/$E$29</f>
        <v/>
      </c>
      <c r="DL29" s="108" t="n"/>
      <c r="DM29" s="122">
        <f>DL29*100/$E$29</f>
        <v/>
      </c>
      <c r="DN29" s="108" t="n"/>
      <c r="DO29" s="122">
        <f>DN29*100/$E$29</f>
        <v/>
      </c>
      <c r="DP29" s="108" t="n"/>
      <c r="DQ29" s="122">
        <f>DP29*100/$E$29</f>
        <v/>
      </c>
      <c r="DR29" s="108" t="n"/>
      <c r="DS29" s="122">
        <f>DR29*100/E29</f>
        <v/>
      </c>
      <c r="DT29" s="108" t="n"/>
      <c r="DU29" s="122">
        <f>DT29*100/$E$29</f>
        <v/>
      </c>
      <c r="DV29" s="108" t="n"/>
      <c r="DW29" s="122">
        <f>DV29*100/$E$29</f>
        <v/>
      </c>
      <c r="DX29" s="108" t="n"/>
      <c r="DY29" s="122">
        <f>DX29*100/$E$29</f>
        <v/>
      </c>
      <c r="DZ29" s="108" t="n"/>
      <c r="EA29" s="122">
        <f>DZ29*100/$E$29</f>
        <v/>
      </c>
      <c r="EB29" s="108" t="n"/>
      <c r="EC29" s="122">
        <f>EB29*100/$E$29</f>
        <v/>
      </c>
      <c r="ED29" s="108" t="n"/>
      <c r="EE29" s="122">
        <f>ED29*100/$E$29</f>
        <v/>
      </c>
      <c r="EF29" s="108" t="n"/>
      <c r="EG29" s="122">
        <f>EF29*100/$E$29</f>
        <v/>
      </c>
      <c r="EH29" s="108" t="n"/>
      <c r="EI29" s="122">
        <f>EH29*100/$E$29</f>
        <v/>
      </c>
      <c r="EJ29" s="108" t="n"/>
      <c r="EK29" s="122">
        <f>EJ29*100/$E$29</f>
        <v/>
      </c>
      <c r="EL29" s="108" t="n"/>
      <c r="EM29" s="122">
        <f>EL29*100/$E$29</f>
        <v/>
      </c>
      <c r="EN29" s="108" t="n"/>
      <c r="EO29" s="122">
        <f>EN29*100/$E$29</f>
        <v/>
      </c>
      <c r="EP29" s="108" t="n"/>
      <c r="EQ29" s="122">
        <f>EP29*100/$E$29</f>
        <v/>
      </c>
      <c r="ER29" s="108" t="n"/>
      <c r="ES29" s="122">
        <f>ER29*100/$E$29</f>
        <v/>
      </c>
      <c r="ET29" s="108" t="n"/>
      <c r="EU29" s="122">
        <f>ET29*100/$E$29</f>
        <v/>
      </c>
      <c r="EV29" s="108" t="n"/>
      <c r="EW29" s="122">
        <f>EV29*100/$E$29</f>
        <v/>
      </c>
      <c r="EX29" s="108" t="n"/>
      <c r="EY29" s="122">
        <f>EX29*100/$E$29</f>
        <v/>
      </c>
      <c r="EZ29" s="108" t="n"/>
      <c r="FA29" s="122">
        <f>EZ29*100/$E$29</f>
        <v/>
      </c>
      <c r="FB29" s="108" t="n"/>
      <c r="FC29" s="122">
        <f>FB29*100/$E$29</f>
        <v/>
      </c>
      <c r="FD29" s="108" t="n"/>
      <c r="FE29" s="122">
        <f>FD29*100/$E$29</f>
        <v/>
      </c>
      <c r="FF29" s="108" t="n"/>
      <c r="FG29" s="122">
        <f>FF29*100/$E$29</f>
        <v/>
      </c>
      <c r="FH29" s="108" t="n"/>
      <c r="FI29" s="122">
        <f>FH29*100/$E$29</f>
        <v/>
      </c>
      <c r="FJ29" s="108" t="n"/>
      <c r="FK29" s="122">
        <f>FJ29*100/$E$29</f>
        <v/>
      </c>
      <c r="FL29" s="108" t="n"/>
      <c r="FM29" s="122">
        <f>FL29*100/$E$29</f>
        <v/>
      </c>
      <c r="FN29" s="108" t="n"/>
      <c r="FO29" s="122">
        <f>FN29*100/$E$29</f>
        <v/>
      </c>
      <c r="FP29" s="108" t="n"/>
      <c r="FQ29" s="122">
        <f>FP29*100/$E$29</f>
        <v/>
      </c>
      <c r="FR29" s="108" t="n"/>
      <c r="FS29" s="122">
        <f>FR29*100/$E$29</f>
        <v/>
      </c>
      <c r="FT29" s="108" t="n"/>
      <c r="FU29" s="122">
        <f>FT29*100/$E$29</f>
        <v/>
      </c>
      <c r="FV29" s="108" t="n"/>
      <c r="FW29" s="122">
        <f>FV29*100/$E$29</f>
        <v/>
      </c>
      <c r="FX29" s="108" t="n"/>
      <c r="FY29" s="107">
        <f>FX29*100/$E$29</f>
        <v/>
      </c>
      <c r="FZ29" s="108" t="n"/>
      <c r="GA29" s="107">
        <f>FZ29*100/$E$29</f>
        <v/>
      </c>
      <c r="GB29" s="108" t="n"/>
      <c r="GC29" s="107">
        <f>GB29*100/$E$29</f>
        <v/>
      </c>
      <c r="GD29" s="108" t="n"/>
      <c r="GE29" s="107">
        <f>GD29*100/$E$29</f>
        <v/>
      </c>
      <c r="GF29" s="108" t="n"/>
      <c r="GG29" s="107">
        <f>GF29*100/$E$29</f>
        <v/>
      </c>
      <c r="GH29" s="108" t="n"/>
      <c r="GI29" s="107">
        <f>GH29*100/$E$29</f>
        <v/>
      </c>
      <c r="GJ29" s="108" t="n"/>
      <c r="GK29" s="122">
        <f>GJ29*100/$E$29</f>
        <v/>
      </c>
      <c r="GL29" s="108" t="n"/>
      <c r="GM29" s="107">
        <f>GL29*100/$E$29</f>
        <v/>
      </c>
      <c r="GN29" s="108" t="n"/>
      <c r="GO29" s="122">
        <f>GN29*100/$E$29</f>
        <v/>
      </c>
      <c r="GP29" s="108" t="n"/>
      <c r="GQ29" s="107">
        <f>GP29*100/$E$29</f>
        <v/>
      </c>
      <c r="GR29" s="108" t="n"/>
      <c r="GS29" s="122">
        <f>GR29*100/$E$29</f>
        <v/>
      </c>
      <c r="GT29" s="108" t="n"/>
      <c r="GU29" s="122">
        <f>GT29*100/$E$29</f>
        <v/>
      </c>
      <c r="GV29" s="108" t="n"/>
      <c r="GW29" s="122">
        <f>GV29*100/$E$29</f>
        <v/>
      </c>
      <c r="GX29" s="108" t="n"/>
      <c r="GY29" s="107">
        <f>GX29*100/$E$29</f>
        <v/>
      </c>
      <c r="GZ29" s="108" t="n"/>
      <c r="HA29" s="107">
        <f>GZ29*100/$E$29</f>
        <v/>
      </c>
      <c r="HB29" s="108" t="n"/>
      <c r="HC29" s="107">
        <f>HB29*100/$E$29</f>
        <v/>
      </c>
      <c r="HD29" s="108" t="n"/>
      <c r="HE29" s="107">
        <f>HD29*100/$E$29</f>
        <v/>
      </c>
      <c r="HF29" s="108" t="n"/>
      <c r="HG29" s="107">
        <f>HF29*100/$E$29</f>
        <v/>
      </c>
      <c r="HH29" s="108" t="n"/>
      <c r="HI29" s="107">
        <f>HH29*100/$E$29</f>
        <v/>
      </c>
      <c r="HJ29" s="108" t="n"/>
      <c r="HK29" s="107">
        <f>HJ29*100/$E$29</f>
        <v/>
      </c>
      <c r="HL29" s="108" t="n"/>
      <c r="HM29" s="107">
        <f>HL29*100/$E$29</f>
        <v/>
      </c>
      <c r="HN29" s="108" t="n"/>
      <c r="HO29" s="107">
        <f>HN29*100/$E$29</f>
        <v/>
      </c>
      <c r="HP29" s="108" t="n"/>
      <c r="HQ29" s="107">
        <f>HP29*100/$E$29</f>
        <v/>
      </c>
      <c r="HR29" s="108" t="n"/>
      <c r="HS29" s="107">
        <f>HR29*100/$E$29</f>
        <v/>
      </c>
      <c r="HT29" s="108" t="n"/>
      <c r="HU29" s="107">
        <f>HT29*100/$E$29</f>
        <v/>
      </c>
      <c r="HV29" s="108" t="n"/>
      <c r="HW29" s="107">
        <f>HV29*100/$E$29</f>
        <v/>
      </c>
      <c r="HX29" s="108" t="n"/>
      <c r="HY29" s="107">
        <f>HX29*100/$E$29</f>
        <v/>
      </c>
      <c r="HZ29" s="108" t="n"/>
      <c r="IA29" s="122">
        <f>HZ29*100/$E$29</f>
        <v/>
      </c>
      <c r="IB29" s="108" t="n"/>
      <c r="IC29" s="122">
        <f>IB29*100/$E$29</f>
        <v/>
      </c>
      <c r="ID29" s="108" t="n"/>
      <c r="IE29" s="122">
        <f>ID29*100/$E$29</f>
        <v/>
      </c>
      <c r="IF29" s="108" t="n"/>
      <c r="IG29" s="122">
        <f>IF29*100/$E$29</f>
        <v/>
      </c>
      <c r="IH29" s="108" t="n"/>
      <c r="II29" s="122">
        <f>IH29*100/$E$29</f>
        <v/>
      </c>
      <c r="IJ29" s="108" t="n"/>
      <c r="IK29" s="122">
        <f>IJ29*100/$E$29</f>
        <v/>
      </c>
      <c r="IL29" s="108" t="n"/>
      <c r="IM29" s="107">
        <f>IL29*100/$E$29</f>
        <v/>
      </c>
      <c r="IN29" s="108" t="n"/>
      <c r="IO29" s="107">
        <f>IN29*100/$E$29</f>
        <v/>
      </c>
      <c r="IP29" s="108" t="n"/>
      <c r="IQ29" s="122">
        <f>IP29*100/$E$29</f>
        <v/>
      </c>
      <c r="IR29" s="108" t="n"/>
      <c r="IS29" s="122">
        <f>IR29*100/$E$29</f>
        <v/>
      </c>
      <c r="IT29" s="108" t="n"/>
      <c r="IU29" s="122">
        <f>IT29*100/$E$29</f>
        <v/>
      </c>
      <c r="IV29" s="108" t="n"/>
      <c r="IW29" s="122">
        <f>IV29*100/$E$29</f>
        <v/>
      </c>
      <c r="IX29" s="108" t="n"/>
      <c r="IY29" s="122">
        <f>IX29*100/$E$29</f>
        <v/>
      </c>
      <c r="IZ29" s="108" t="n"/>
      <c r="JA29" s="122">
        <f>IZ29*100/$E$29</f>
        <v/>
      </c>
      <c r="JB29" s="108" t="n"/>
      <c r="JC29" s="122">
        <f>JB29*100/$E$29</f>
        <v/>
      </c>
      <c r="JD29" s="108" t="n"/>
      <c r="JE29" s="122">
        <f>JD29*100/$E$29</f>
        <v/>
      </c>
      <c r="JF29" s="108" t="n"/>
      <c r="JG29" s="122">
        <f>JF29*100/$E$29</f>
        <v/>
      </c>
      <c r="JH29" s="108" t="n"/>
      <c r="JI29" s="122">
        <f>JH29*100/$E$29</f>
        <v/>
      </c>
      <c r="JJ29" s="108" t="n"/>
      <c r="JK29" s="122">
        <f>JJ29*100/$E$29</f>
        <v/>
      </c>
      <c r="JL29" s="108" t="n"/>
      <c r="JM29" s="122">
        <f>JL29*100/$E$29</f>
        <v/>
      </c>
      <c r="JN29" s="108" t="n"/>
      <c r="JO29" s="121">
        <f>JN29*100/$E$29</f>
        <v/>
      </c>
      <c r="JP29" s="108" t="n"/>
      <c r="JQ29" s="121">
        <f>JP29*100/$E$29</f>
        <v/>
      </c>
      <c r="JR29" s="108" t="n"/>
      <c r="JS29" s="121">
        <f>JR29*100/$E$29</f>
        <v/>
      </c>
      <c r="JT29" s="108" t="n"/>
      <c r="JU29" s="121">
        <f>JT29*100/$E$29</f>
        <v/>
      </c>
      <c r="JV29" s="108" t="n"/>
      <c r="JW29" s="121">
        <f>JV29*100/$E$29</f>
        <v/>
      </c>
      <c r="JX29" s="108" t="n"/>
      <c r="JY29" s="121">
        <f>JX29*100/$E$29</f>
        <v/>
      </c>
      <c r="JZ29" s="55">
        <f>JN29+JP29+JR29+JT29+JV29+JX29</f>
        <v/>
      </c>
      <c r="KA29" s="53">
        <f>JO29+JQ29+JS29+JU29+JW29+JY29</f>
        <v/>
      </c>
      <c r="KB29" s="64">
        <f>H29+J29+L29+N29+P29+R29+T29+V29+X29+Z29+AB29+AD29+AF29+AH29+AJ29+AL29+AN29+AP29+AR29+AT29+AV29+AX29+AZ29+BB29+BD29+BF29+BH29+BJ29+BL29+BN29+BP29+BR29+BT29+BV29+BX29+BZ29+CB29+CD29+CF29+CH29+CZ29+DB29+DD29+DF29+DH29+DJ29+DL29+DN29+DP29+DR29+DT29+DV29+DX29+DZ29+EB29+ED29+EF29+EH29+EJ29+EL29+EN29+EP29+ER29+ET29+EV29+FN29+FP29+FR29+FT29+FV29+FX29+FZ29+GB29+GD29+GF29+GH29+GJ29+GL29+GN29+GP29+GR29+GT29+GV29+GX29+GZ29+HB29+HD29+HF29+HH29+HJ29+HL29+HN29+HP29+HR29+HT29+HV29+HX29+HZ29+IB29+ID29+IF29+IH29+IJ29+IL29+IN29+IP29+IR29+IT29+IV29+IX29+IZ29+JB29+JD29+JF29+JH29+JJ29+JL29+JZ29+CJ29+CL29+CN29+CP29+CR29+CT29+CV29+CX29+EX29+EZ29+FB29+FD29+FF29+FH29+FJ29+FL29</f>
        <v/>
      </c>
      <c r="KC29" s="66">
        <f>I29+K29+M29+O29+Q29+S29+U29+W29+Y29+AA29+AC29+AE29+AG29+AI29+AK29+AM29+AO29+AQ29+AS29+AU29+AW29+AY29+BA29+BC29+BE29+BG29+BI29+BK29+BM29+BO29+BQ29+BS29+BU29+BW29+BY29+CA29+CC29+CE29+CG29+CI29+DA29+DC29+DE29+DG29+DI29+DK29+DM29+DO29+DQ29+DS29+DU29+DW29+DY29+EA29+EC29+EE29+EG29+EI29+EK29+EM29+EO29+EQ29+ES29+EU29+EW29+FO29+FS29+FU29+FW29+FQ29+FY29+GA29+GC29+GE29+GG29+GI29+GK29+GM29+GO29+GQ29+GS29+GU29+GW29+GY29+HA29+HC29+HE29+HG29+HI29+HK29+HM29+HO29+HQ29+HS29+HU29+HW29+HY29+IA29+IC29+IE29+IG29+II29+IK29+IM29+IO29+IQ29+IS29+IU29+IW29+IY29+JA29+JC29+JE29+JG29+JI29+JK29+JM29+KA29+CK29+CM29+CO29+CQ29+CS29+CU29+CW29+CY29+EY29+FA29+FC29+FE29+FG29+FI29+FK29+FM29</f>
        <v/>
      </c>
      <c r="KD29" s="44">
        <f>JO29+JQ29+JS29+JU29+JW29+JY29</f>
        <v/>
      </c>
      <c r="KE29" s="45">
        <f>KB29=E29</f>
        <v/>
      </c>
      <c r="KF29" s="101">
        <f>E29-KB29</f>
        <v/>
      </c>
      <c r="KG29" s="21" t="n"/>
    </row>
    <row r="30" ht="21.75" customFormat="1" customHeight="1" s="22">
      <c r="A30" s="126">
        <f>A29+1</f>
        <v/>
      </c>
      <c r="B30" s="175" t="inlineStr">
        <is>
          <t>Кузнецов Р.А.</t>
        </is>
      </c>
      <c r="C30" s="176" t="inlineStr">
        <is>
          <t>сварщик</t>
        </is>
      </c>
      <c r="D30" s="177">
        <f>$D$5</f>
        <v/>
      </c>
      <c r="E30" s="202" t="n"/>
      <c r="F30" s="193" t="n">
        <v>84149.67999999999</v>
      </c>
      <c r="G30" s="52">
        <f>F30/D30</f>
        <v/>
      </c>
      <c r="H30" s="108" t="n"/>
      <c r="I30" s="122">
        <f>H30*100/$E$30</f>
        <v/>
      </c>
      <c r="J30" s="108" t="n"/>
      <c r="K30" s="122">
        <f>J30*100/$E$30</f>
        <v/>
      </c>
      <c r="L30" s="108" t="n"/>
      <c r="M30" s="122">
        <f>L30*100/$E$30</f>
        <v/>
      </c>
      <c r="N30" s="108" t="n"/>
      <c r="O30" s="122">
        <f>N30*100/$E$30</f>
        <v/>
      </c>
      <c r="P30" s="108" t="n"/>
      <c r="Q30" s="122">
        <f>P30*100/$E$30</f>
        <v/>
      </c>
      <c r="R30" s="108" t="n"/>
      <c r="S30" s="122">
        <f>R30*100/$E$30</f>
        <v/>
      </c>
      <c r="T30" s="108" t="n"/>
      <c r="U30" s="122">
        <f>T30*100/$E$30</f>
        <v/>
      </c>
      <c r="V30" s="108" t="n"/>
      <c r="W30" s="122">
        <f>V30*100/$E$30</f>
        <v/>
      </c>
      <c r="X30" s="108" t="n"/>
      <c r="Y30" s="122">
        <f>X30*100/$E$30</f>
        <v/>
      </c>
      <c r="Z30" s="108" t="n"/>
      <c r="AA30" s="122">
        <f>Z30*100/$E$30</f>
        <v/>
      </c>
      <c r="AB30" s="108" t="n"/>
      <c r="AC30" s="122">
        <f>AB30*100/$E$30</f>
        <v/>
      </c>
      <c r="AD30" s="108" t="n"/>
      <c r="AE30" s="122">
        <f>AD30*100/$E$30</f>
        <v/>
      </c>
      <c r="AF30" s="108" t="n"/>
      <c r="AG30" s="122">
        <f>AF30*100/$E$30</f>
        <v/>
      </c>
      <c r="AH30" s="108" t="n"/>
      <c r="AI30" s="122">
        <f>AH30*100/$E$30</f>
        <v/>
      </c>
      <c r="AJ30" s="108" t="n"/>
      <c r="AK30" s="122">
        <f>AJ30*100/$E$30</f>
        <v/>
      </c>
      <c r="AL30" s="108" t="n"/>
      <c r="AM30" s="122">
        <f>AL30*100/$E$30</f>
        <v/>
      </c>
      <c r="AN30" s="108" t="n"/>
      <c r="AO30" s="122">
        <f>AN30*100/$E$30</f>
        <v/>
      </c>
      <c r="AP30" s="108" t="n"/>
      <c r="AQ30" s="122">
        <f>AP30*100/$E$30</f>
        <v/>
      </c>
      <c r="AR30" s="108" t="n"/>
      <c r="AS30" s="122">
        <f>AR30*100/$E$30</f>
        <v/>
      </c>
      <c r="AT30" s="108" t="n"/>
      <c r="AU30" s="90">
        <f>AT30*100/$E$30</f>
        <v/>
      </c>
      <c r="AV30" s="108" t="n"/>
      <c r="AW30" s="122">
        <f>AV30*100/$E$30</f>
        <v/>
      </c>
      <c r="AX30" s="108" t="n"/>
      <c r="AY30" s="122">
        <f>AX30*100/$E$30</f>
        <v/>
      </c>
      <c r="AZ30" s="108" t="n"/>
      <c r="BA30" s="122">
        <f>AZ30*100/$E$30</f>
        <v/>
      </c>
      <c r="BB30" s="108" t="n"/>
      <c r="BC30" s="122">
        <f>BB30*100/$E$30</f>
        <v/>
      </c>
      <c r="BD30" s="108" t="n"/>
      <c r="BE30" s="122">
        <f>BD30*100/$E$30</f>
        <v/>
      </c>
      <c r="BF30" s="108" t="n"/>
      <c r="BG30" s="122">
        <f>BF30*100/$E$30</f>
        <v/>
      </c>
      <c r="BH30" s="108" t="n"/>
      <c r="BI30" s="122">
        <f>BH30*100/$E$30</f>
        <v/>
      </c>
      <c r="BJ30" s="108" t="n"/>
      <c r="BK30" s="122">
        <f>BJ30*100/$E$30</f>
        <v/>
      </c>
      <c r="BL30" s="108" t="n"/>
      <c r="BM30" s="122">
        <f>BL30*100/$E$30</f>
        <v/>
      </c>
      <c r="BN30" s="108" t="n"/>
      <c r="BO30" s="122">
        <f>BN30*100/$E$30</f>
        <v/>
      </c>
      <c r="BP30" s="108" t="n"/>
      <c r="BQ30" s="122">
        <f>BP30*100/$E$30</f>
        <v/>
      </c>
      <c r="BR30" s="108" t="n"/>
      <c r="BS30" s="122">
        <f>BR30*100/$E$30</f>
        <v/>
      </c>
      <c r="BT30" s="108" t="n"/>
      <c r="BU30" s="122">
        <f>BT30*100/$E$30</f>
        <v/>
      </c>
      <c r="BV30" s="108" t="n"/>
      <c r="BW30" s="122">
        <f>BV30*100/$E$30</f>
        <v/>
      </c>
      <c r="BX30" s="108" t="n"/>
      <c r="BY30" s="122">
        <f>BX30*100/$E$30</f>
        <v/>
      </c>
      <c r="BZ30" s="108" t="n"/>
      <c r="CA30" s="122">
        <f>BZ30*100/$E$30</f>
        <v/>
      </c>
      <c r="CB30" s="108" t="n"/>
      <c r="CC30" s="122">
        <f>CB30*100/$E$30</f>
        <v/>
      </c>
      <c r="CD30" s="108" t="n"/>
      <c r="CE30" s="122">
        <f>CD30*100/$E$30</f>
        <v/>
      </c>
      <c r="CF30" s="108" t="n"/>
      <c r="CG30" s="122">
        <f>CF30*100/$E$30</f>
        <v/>
      </c>
      <c r="CH30" s="108" t="n"/>
      <c r="CI30" s="122">
        <f>CH30*100/$E$30</f>
        <v/>
      </c>
      <c r="CJ30" s="108" t="n"/>
      <c r="CK30" s="122">
        <f>CJ30*100/$E$30</f>
        <v/>
      </c>
      <c r="CL30" s="108" t="n"/>
      <c r="CM30" s="122">
        <f>CL30*100/$E$30</f>
        <v/>
      </c>
      <c r="CN30" s="108" t="n"/>
      <c r="CO30" s="122">
        <f>CN30*100/$E$30</f>
        <v/>
      </c>
      <c r="CP30" s="108" t="n"/>
      <c r="CQ30" s="122">
        <f>CP30*100/$E$30</f>
        <v/>
      </c>
      <c r="CR30" s="108" t="n"/>
      <c r="CS30" s="122">
        <f>CR30*100/$E$30</f>
        <v/>
      </c>
      <c r="CT30" s="108" t="n"/>
      <c r="CU30" s="122">
        <f>CT30*100/$E$30</f>
        <v/>
      </c>
      <c r="CV30" s="108" t="n"/>
      <c r="CW30" s="122">
        <f>CV30*100/$E$30</f>
        <v/>
      </c>
      <c r="CX30" s="108" t="n"/>
      <c r="CY30" s="122">
        <f>CX30*100/$E$30</f>
        <v/>
      </c>
      <c r="CZ30" s="108" t="n"/>
      <c r="DA30" s="122">
        <f>CZ30*100/$E$30</f>
        <v/>
      </c>
      <c r="DB30" s="108" t="n"/>
      <c r="DC30" s="122">
        <f>DB30*100/$E$30</f>
        <v/>
      </c>
      <c r="DD30" s="108" t="n"/>
      <c r="DE30" s="122">
        <f>DD30*100/$E$30</f>
        <v/>
      </c>
      <c r="DF30" s="108" t="n"/>
      <c r="DG30" s="122">
        <f>DF30*100/$E$30</f>
        <v/>
      </c>
      <c r="DH30" s="108" t="n"/>
      <c r="DI30" s="122">
        <f>DH30*100/$E$30</f>
        <v/>
      </c>
      <c r="DJ30" s="108" t="n"/>
      <c r="DK30" s="122">
        <f>DJ30*100/$E$30</f>
        <v/>
      </c>
      <c r="DL30" s="108" t="n"/>
      <c r="DM30" s="122">
        <f>DL30*100/$E$30</f>
        <v/>
      </c>
      <c r="DN30" s="108" t="n"/>
      <c r="DO30" s="122">
        <f>DN30*100/$E$30</f>
        <v/>
      </c>
      <c r="DP30" s="108" t="n"/>
      <c r="DQ30" s="122">
        <f>DP30*100/$E$30</f>
        <v/>
      </c>
      <c r="DR30" s="108" t="n"/>
      <c r="DS30" s="122">
        <f>DR30*100/$E$30</f>
        <v/>
      </c>
      <c r="DT30" s="108" t="n"/>
      <c r="DU30" s="122">
        <f>DT30*100/$E$30</f>
        <v/>
      </c>
      <c r="DV30" s="108" t="n"/>
      <c r="DW30" s="122">
        <f>DV30*100/$E$30</f>
        <v/>
      </c>
      <c r="DX30" s="108" t="n"/>
      <c r="DY30" s="122">
        <f>DX30*100/$E$30</f>
        <v/>
      </c>
      <c r="DZ30" s="108" t="n"/>
      <c r="EA30" s="122">
        <f>DZ30*100/$E$30</f>
        <v/>
      </c>
      <c r="EB30" s="108" t="n"/>
      <c r="EC30" s="122">
        <f>EB30*100/$E$30</f>
        <v/>
      </c>
      <c r="ED30" s="108" t="n"/>
      <c r="EE30" s="122">
        <f>ED30*100/$E$30</f>
        <v/>
      </c>
      <c r="EF30" s="108" t="n"/>
      <c r="EG30" s="122">
        <f>EF30*100/$E$30</f>
        <v/>
      </c>
      <c r="EH30" s="108" t="n"/>
      <c r="EI30" s="122">
        <f>EH30*100/$E$30</f>
        <v/>
      </c>
      <c r="EJ30" s="108" t="n"/>
      <c r="EK30" s="122">
        <f>EJ30*100/$E$30</f>
        <v/>
      </c>
      <c r="EL30" s="108" t="n"/>
      <c r="EM30" s="122">
        <f>EL30*100/$E$30</f>
        <v/>
      </c>
      <c r="EN30" s="108" t="n"/>
      <c r="EO30" s="122">
        <f>EN30*100/$E$30</f>
        <v/>
      </c>
      <c r="EP30" s="108" t="n"/>
      <c r="EQ30" s="122">
        <f>EP30*100/$E$30</f>
        <v/>
      </c>
      <c r="ER30" s="108" t="n"/>
      <c r="ES30" s="122">
        <f>ER30*100/$E$30</f>
        <v/>
      </c>
      <c r="ET30" s="108" t="n"/>
      <c r="EU30" s="122">
        <f>ET30*100/$E$30</f>
        <v/>
      </c>
      <c r="EV30" s="108" t="n"/>
      <c r="EW30" s="122">
        <f>EV30*100/$E$30</f>
        <v/>
      </c>
      <c r="EX30" s="108" t="n"/>
      <c r="EY30" s="122">
        <f>EX30*100/$E$30</f>
        <v/>
      </c>
      <c r="EZ30" s="108" t="n"/>
      <c r="FA30" s="122">
        <f>EZ30*100/$E$30</f>
        <v/>
      </c>
      <c r="FB30" s="108" t="n"/>
      <c r="FC30" s="122">
        <f>FB30*100/$E$30</f>
        <v/>
      </c>
      <c r="FD30" s="108" t="n"/>
      <c r="FE30" s="122">
        <f>FD30*100/$E$30</f>
        <v/>
      </c>
      <c r="FF30" s="108" t="n"/>
      <c r="FG30" s="122">
        <f>FF30*100/$E$30</f>
        <v/>
      </c>
      <c r="FH30" s="108" t="n"/>
      <c r="FI30" s="122">
        <f>FH30*100/$E$30</f>
        <v/>
      </c>
      <c r="FJ30" s="108" t="n"/>
      <c r="FK30" s="122">
        <f>FJ30*100/$E$30</f>
        <v/>
      </c>
      <c r="FL30" s="108" t="n"/>
      <c r="FM30" s="122">
        <f>FL30*100/$E$30</f>
        <v/>
      </c>
      <c r="FN30" s="108" t="n"/>
      <c r="FO30" s="122">
        <f>FN30*100/$E$30</f>
        <v/>
      </c>
      <c r="FP30" s="108" t="n"/>
      <c r="FQ30" s="122">
        <f>FP30*100/$E$30</f>
        <v/>
      </c>
      <c r="FR30" s="108" t="n"/>
      <c r="FS30" s="122">
        <f>FR30*100/$E$30</f>
        <v/>
      </c>
      <c r="FT30" s="108" t="n"/>
      <c r="FU30" s="122">
        <f>FT30*100/$E$30</f>
        <v/>
      </c>
      <c r="FV30" s="108" t="n"/>
      <c r="FW30" s="122">
        <f>FV30*100/$E$30</f>
        <v/>
      </c>
      <c r="FX30" s="108" t="n"/>
      <c r="FY30" s="122">
        <f>FX30*100/$E$30</f>
        <v/>
      </c>
      <c r="FZ30" s="108" t="n"/>
      <c r="GA30" s="122">
        <f>FZ30*100/$E$30</f>
        <v/>
      </c>
      <c r="GB30" s="108" t="n"/>
      <c r="GC30" s="122">
        <f>GB30*100/$E$30</f>
        <v/>
      </c>
      <c r="GD30" s="108" t="n"/>
      <c r="GE30" s="122">
        <f>GD30*100/$E$30</f>
        <v/>
      </c>
      <c r="GF30" s="108" t="n"/>
      <c r="GG30" s="122">
        <f>GF30*100/$E$30</f>
        <v/>
      </c>
      <c r="GH30" s="108" t="n"/>
      <c r="GI30" s="122">
        <f>GH30*100/$E$30</f>
        <v/>
      </c>
      <c r="GJ30" s="108" t="n"/>
      <c r="GK30" s="122">
        <f>GJ30*100/$E$30</f>
        <v/>
      </c>
      <c r="GL30" s="108" t="n"/>
      <c r="GM30" s="122">
        <f>GL30*100/$E$30</f>
        <v/>
      </c>
      <c r="GN30" s="108" t="n"/>
      <c r="GO30" s="122">
        <f>GN30*100/$E$30</f>
        <v/>
      </c>
      <c r="GP30" s="108" t="n"/>
      <c r="GQ30" s="122">
        <f>GP30*100/$E$30</f>
        <v/>
      </c>
      <c r="GR30" s="108" t="n"/>
      <c r="GS30" s="122">
        <f>GR30*100/$E$30</f>
        <v/>
      </c>
      <c r="GT30" s="108" t="n"/>
      <c r="GU30" s="122">
        <f>GT30*100/$E$30</f>
        <v/>
      </c>
      <c r="GV30" s="108" t="n"/>
      <c r="GW30" s="122">
        <f>GV30*100/$E$30</f>
        <v/>
      </c>
      <c r="GX30" s="108" t="n"/>
      <c r="GY30" s="122">
        <f>GX30*100/$E$30</f>
        <v/>
      </c>
      <c r="GZ30" s="108" t="n"/>
      <c r="HA30" s="122">
        <f>GZ30*100/$E$30</f>
        <v/>
      </c>
      <c r="HB30" s="108" t="n"/>
      <c r="HC30" s="122">
        <f>HB30*100/$E$30</f>
        <v/>
      </c>
      <c r="HD30" s="108" t="n"/>
      <c r="HE30" s="122">
        <f>HD30*100/$E$30</f>
        <v/>
      </c>
      <c r="HF30" s="108" t="n"/>
      <c r="HG30" s="122">
        <f>HF30*100/$E$30</f>
        <v/>
      </c>
      <c r="HH30" s="108" t="n"/>
      <c r="HI30" s="122">
        <f>HH30*100/$E$30</f>
        <v/>
      </c>
      <c r="HJ30" s="108" t="n"/>
      <c r="HK30" s="122">
        <f>HJ30*100/$E$30</f>
        <v/>
      </c>
      <c r="HL30" s="108" t="n"/>
      <c r="HM30" s="122">
        <f>HL30*100/$E$30</f>
        <v/>
      </c>
      <c r="HN30" s="108" t="n"/>
      <c r="HO30" s="122">
        <f>HN30*100/$E$30</f>
        <v/>
      </c>
      <c r="HP30" s="108" t="n"/>
      <c r="HQ30" s="122">
        <f>HP30*100/$E$30</f>
        <v/>
      </c>
      <c r="HR30" s="108" t="n"/>
      <c r="HS30" s="122">
        <f>HR30*100/$E$30</f>
        <v/>
      </c>
      <c r="HT30" s="108" t="n"/>
      <c r="HU30" s="122">
        <f>HT30*100/$E$30</f>
        <v/>
      </c>
      <c r="HV30" s="108" t="n"/>
      <c r="HW30" s="122">
        <f>HV30*100/$E$30</f>
        <v/>
      </c>
      <c r="HX30" s="108" t="n"/>
      <c r="HY30" s="122">
        <f>HX30*100/$E$30</f>
        <v/>
      </c>
      <c r="HZ30" s="108" t="n"/>
      <c r="IA30" s="122">
        <f>HZ30*100/$E$30</f>
        <v/>
      </c>
      <c r="IB30" s="108" t="n"/>
      <c r="IC30" s="122">
        <f>IB30*100/$E$30</f>
        <v/>
      </c>
      <c r="ID30" s="108" t="n"/>
      <c r="IE30" s="122">
        <f>ID30*100/$E$30</f>
        <v/>
      </c>
      <c r="IF30" s="108" t="n"/>
      <c r="IG30" s="122">
        <f>IF30*100/$E$30</f>
        <v/>
      </c>
      <c r="IH30" s="108" t="n"/>
      <c r="II30" s="122">
        <f>IH30*100/$E$30</f>
        <v/>
      </c>
      <c r="IJ30" s="108" t="n"/>
      <c r="IK30" s="122">
        <f>IJ30*100/$E$30</f>
        <v/>
      </c>
      <c r="IL30" s="108" t="n"/>
      <c r="IM30" s="122">
        <f>IL30*100/$E$30</f>
        <v/>
      </c>
      <c r="IN30" s="108" t="n"/>
      <c r="IO30" s="122">
        <f>IN30*100/$E$30</f>
        <v/>
      </c>
      <c r="IP30" s="108" t="n"/>
      <c r="IQ30" s="122">
        <f>IP30*100/$E$30</f>
        <v/>
      </c>
      <c r="IR30" s="108" t="n"/>
      <c r="IS30" s="122">
        <f>IR30*100/$E$30</f>
        <v/>
      </c>
      <c r="IT30" s="108" t="n"/>
      <c r="IU30" s="122">
        <f>IT30*100/$E$30</f>
        <v/>
      </c>
      <c r="IV30" s="108" t="n"/>
      <c r="IW30" s="122">
        <f>IV30*100/$E$30</f>
        <v/>
      </c>
      <c r="IX30" s="108" t="n"/>
      <c r="IY30" s="122">
        <f>IX30*100/$E$30</f>
        <v/>
      </c>
      <c r="IZ30" s="108" t="n"/>
      <c r="JA30" s="122">
        <f>IZ30*100/$E$30</f>
        <v/>
      </c>
      <c r="JB30" s="108" t="n"/>
      <c r="JC30" s="122">
        <f>JB30*100/$E$30</f>
        <v/>
      </c>
      <c r="JD30" s="108" t="n"/>
      <c r="JE30" s="122">
        <f>JD30*100/$E$30</f>
        <v/>
      </c>
      <c r="JF30" s="108" t="n"/>
      <c r="JG30" s="122">
        <f>JF30*100/$E$30</f>
        <v/>
      </c>
      <c r="JH30" s="108" t="n"/>
      <c r="JI30" s="122">
        <f>JH30*100/$E$30</f>
        <v/>
      </c>
      <c r="JJ30" s="108" t="n"/>
      <c r="JK30" s="122">
        <f>JJ30*100/$E$30</f>
        <v/>
      </c>
      <c r="JL30" s="108" t="n"/>
      <c r="JM30" s="122">
        <f>JL30*100/$E$30</f>
        <v/>
      </c>
      <c r="JN30" s="108" t="n"/>
      <c r="JO30" s="122">
        <f>JN30*100/$E$30</f>
        <v/>
      </c>
      <c r="JP30" s="108" t="n"/>
      <c r="JQ30" s="122">
        <f>JP30*100/$E$30</f>
        <v/>
      </c>
      <c r="JR30" s="108" t="n"/>
      <c r="JS30" s="122">
        <f>JR30*100/$E$30</f>
        <v/>
      </c>
      <c r="JT30" s="108" t="n"/>
      <c r="JU30" s="122">
        <f>JT30*100/$E$30</f>
        <v/>
      </c>
      <c r="JV30" s="108" t="n"/>
      <c r="JW30" s="122">
        <f>JV30*100/$E$30</f>
        <v/>
      </c>
      <c r="JX30" s="108" t="n"/>
      <c r="JY30" s="122">
        <f>JX30*100/$E$30</f>
        <v/>
      </c>
      <c r="JZ30" s="55">
        <f>JN30+JP30+JR30+JT30+JV30+JX30</f>
        <v/>
      </c>
      <c r="KA30" s="53">
        <f>JO30+JQ30+JS30+JU30+JW30+JY30</f>
        <v/>
      </c>
      <c r="KB30" s="64">
        <f>H30+J30+L30+N30+P30+R30+T30+V30+X30+Z30+AB30+AD30+AF30+AH30+AJ30+AL30+AN30+AP30+AR30+AT30+AV30+AX30+AZ30+BB30+BD30+BF30+BH30+BJ30+BL30+BN30+BP30+BR30+BT30+BV30+BX30+BZ30+CB30+CD30+CF30+CH30+CZ30+DB30+DD30+DF30+DH30+DJ30+DL30+DN30+DP30+DR30+DT30+DV30+DX30+DZ30+EB30+ED30+EF30+EH30+EJ30+EL30+EN30+EP30+ER30+ET30+EV30+FN30+FP30+FR30+FT30+FV30+FX30+FZ30+GB30+GD30+GF30+GH30+GJ30+GL30+GN30+GP30+GR30+GT30+GV30+GX30+GZ30+HB30+HD30+HF30+HH30+HJ30+HL30+HN30+HP30+HR30+HT30+HV30+HX30+HZ30+IB30+ID30+IF30+IH30+IJ30+IL30+IN30+IP30+IR30+IT30+IV30+IX30+IZ30+JB30+JD30+JF30+JH30+JJ30+JL30+JZ30+CJ30+CL30+CN30+CP30+CR30+CT30+CV30+CX30+EX30+EZ30+FB30+FD30+FF30+FH30+FJ30+FL30</f>
        <v/>
      </c>
      <c r="KC30" s="66">
        <f>I30+K30+M30+O30+Q30+S30+U30+W30+Y30+AA30+AC30+AE30+AG30+AI30+AK30+AM30+AO30+AQ30+AS30+AU30+AW30+AY30+BA30+BC30+BE30+BG30+BI30+BK30+BM30+BO30+BQ30+BS30+BU30+BW30+BY30+CA30+CC30+CE30+CG30+CI30+DA30+DC30+DE30+DG30+DI30+DK30+DM30+DO30+DQ30+DS30+DU30+DW30+DY30+EA30+EC30+EE30+EG30+EI30+EK30+EM30+EO30+EQ30+ES30+EU30+EW30+FO30+FS30+FU30+FW30+FQ30+FY30+GA30+GC30+GE30+GG30+GI30+GK30+GM30+GO30+GQ30+GS30+GU30+GW30+GY30+HA30+HC30+HE30+HG30+HI30+HK30+HM30+HO30+HQ30+HS30+HU30+HW30+HY30+IA30+IC30+IE30+IG30+II30+IK30+IM30+IO30+IQ30+IS30+IU30+IW30+IY30+JA30+JC30+JE30+JG30+JI30+JK30+JM30+KA30+CK30+CM30+CO30+CQ30+CS30+CU30+CW30+CY30+EY30+FA30+FC30+FE30+FG30+FI30+FK30+FM30</f>
        <v/>
      </c>
      <c r="KD30" s="44">
        <f>JO30+JQ30+JS30+JU30+JW30+JY30</f>
        <v/>
      </c>
      <c r="KE30" s="45">
        <f>KB30=E30</f>
        <v/>
      </c>
      <c r="KF30" s="101">
        <f>E30-KB30</f>
        <v/>
      </c>
      <c r="KG30" s="21" t="n"/>
    </row>
    <row r="31" ht="29.25" customFormat="1" customHeight="1" s="21">
      <c r="A31" s="126">
        <f>A30+1</f>
        <v/>
      </c>
      <c r="B31" s="175" t="inlineStr">
        <is>
          <t>Ленинг И.Н.</t>
        </is>
      </c>
      <c r="C31" s="176" t="inlineStr">
        <is>
          <t xml:space="preserve">Оператор СПУ </t>
        </is>
      </c>
      <c r="D31" s="177">
        <f>$D$5</f>
        <v/>
      </c>
      <c r="E31" s="202" t="n"/>
      <c r="F31" s="193" t="n">
        <v>126855.63</v>
      </c>
      <c r="G31" s="52">
        <f>F31/D31</f>
        <v/>
      </c>
      <c r="H31" s="125" t="n"/>
      <c r="I31" s="107">
        <f>H31*100/$E$31</f>
        <v/>
      </c>
      <c r="J31" s="108" t="n"/>
      <c r="K31" s="107">
        <f>J31*100/$E$31</f>
        <v/>
      </c>
      <c r="L31" s="108" t="n"/>
      <c r="M31" s="107">
        <f>L31*100/$E$31</f>
        <v/>
      </c>
      <c r="N31" s="108" t="n"/>
      <c r="O31" s="107">
        <f>N31*100/$E$31</f>
        <v/>
      </c>
      <c r="P31" s="108" t="n"/>
      <c r="Q31" s="122">
        <f>P31*100/$E$31</f>
        <v/>
      </c>
      <c r="R31" s="108" t="n"/>
      <c r="S31" s="122">
        <f>R31*100/$E$31</f>
        <v/>
      </c>
      <c r="T31" s="108" t="n"/>
      <c r="U31" s="107">
        <f>T31*100/$E$31</f>
        <v/>
      </c>
      <c r="V31" s="108" t="n"/>
      <c r="W31" s="107">
        <f>V31*100/$E$31</f>
        <v/>
      </c>
      <c r="X31" s="108" t="n"/>
      <c r="Y31" s="107">
        <f>X31*100/$E$31</f>
        <v/>
      </c>
      <c r="Z31" s="108" t="n"/>
      <c r="AA31" s="107">
        <f>Z31*100/$E$31</f>
        <v/>
      </c>
      <c r="AB31" s="108" t="n"/>
      <c r="AC31" s="107">
        <f>AB31*100/$E$31</f>
        <v/>
      </c>
      <c r="AD31" s="108" t="n"/>
      <c r="AE31" s="122">
        <f>AD31*100/$E$31</f>
        <v/>
      </c>
      <c r="AF31" s="108" t="n"/>
      <c r="AG31" s="122">
        <f>AF31*100/$E$31</f>
        <v/>
      </c>
      <c r="AH31" s="108" t="n"/>
      <c r="AI31" s="107">
        <f>AH31*100/$E$31</f>
        <v/>
      </c>
      <c r="AJ31" s="108" t="n"/>
      <c r="AK31" s="107">
        <f>AJ31*100/$E$31</f>
        <v/>
      </c>
      <c r="AL31" s="108" t="n"/>
      <c r="AM31" s="107">
        <f>AL31*100/$E$31</f>
        <v/>
      </c>
      <c r="AN31" s="108" t="n"/>
      <c r="AO31" s="107">
        <f>AN31*100/$E$31</f>
        <v/>
      </c>
      <c r="AP31" s="108" t="n"/>
      <c r="AQ31" s="107">
        <f>AP31*100/$E$31</f>
        <v/>
      </c>
      <c r="AR31" s="108" t="n"/>
      <c r="AS31" s="107">
        <f>AR31*100/$E$31</f>
        <v/>
      </c>
      <c r="AT31" s="108" t="n"/>
      <c r="AU31" s="90">
        <f>AT31*100/$E$31</f>
        <v/>
      </c>
      <c r="AV31" s="108" t="n"/>
      <c r="AW31" s="107">
        <f>AV31*100/$E$31</f>
        <v/>
      </c>
      <c r="AX31" s="108" t="n"/>
      <c r="AY31" s="107">
        <f>AX31*100/$E$31</f>
        <v/>
      </c>
      <c r="AZ31" s="108" t="n"/>
      <c r="BA31" s="107">
        <f>AZ31*100/$E$31</f>
        <v/>
      </c>
      <c r="BB31" s="108" t="n"/>
      <c r="BC31" s="107">
        <f>BB31*100/$E$31</f>
        <v/>
      </c>
      <c r="BD31" s="108" t="n"/>
      <c r="BE31" s="107">
        <f>BD31*100/$E$31</f>
        <v/>
      </c>
      <c r="BF31" s="108" t="n"/>
      <c r="BG31" s="107">
        <f>BF31*100/$E$31</f>
        <v/>
      </c>
      <c r="BH31" s="108" t="n"/>
      <c r="BI31" s="107">
        <f>BH31*100/$E$31</f>
        <v/>
      </c>
      <c r="BJ31" s="108" t="n"/>
      <c r="BK31" s="107">
        <f>BJ31*100/$E$31</f>
        <v/>
      </c>
      <c r="BL31" s="108" t="n"/>
      <c r="BM31" s="107">
        <f>BL31*100/$E$31</f>
        <v/>
      </c>
      <c r="BN31" s="108" t="n"/>
      <c r="BO31" s="107">
        <f>BN31*100/$E$31</f>
        <v/>
      </c>
      <c r="BP31" s="108" t="n"/>
      <c r="BQ31" s="107">
        <f>BP31*100/$E$31</f>
        <v/>
      </c>
      <c r="BR31" s="108" t="n"/>
      <c r="BS31" s="107">
        <f>BR31*100/$E$31</f>
        <v/>
      </c>
      <c r="BT31" s="108" t="n"/>
      <c r="BU31" s="107">
        <f>BT31*100/$E$31</f>
        <v/>
      </c>
      <c r="BV31" s="108" t="n"/>
      <c r="BW31" s="107">
        <f>BV31*100/$E$31</f>
        <v/>
      </c>
      <c r="BX31" s="108" t="n"/>
      <c r="BY31" s="107">
        <f>BX31*100/$E$31</f>
        <v/>
      </c>
      <c r="BZ31" s="108" t="n"/>
      <c r="CA31" s="107">
        <f>BZ31*100/$E$31</f>
        <v/>
      </c>
      <c r="CB31" s="108" t="n"/>
      <c r="CC31" s="107">
        <f>CB31*100/$E$31</f>
        <v/>
      </c>
      <c r="CD31" s="108" t="n"/>
      <c r="CE31" s="107">
        <f>CD31*100/$E$31</f>
        <v/>
      </c>
      <c r="CF31" s="108" t="n"/>
      <c r="CG31" s="107">
        <f>CF31*100/$E$31</f>
        <v/>
      </c>
      <c r="CH31" s="108" t="n"/>
      <c r="CI31" s="107">
        <f>CH31*100/$E$31</f>
        <v/>
      </c>
      <c r="CJ31" s="108" t="n"/>
      <c r="CK31" s="107">
        <f>CJ31*100/$E$31</f>
        <v/>
      </c>
      <c r="CL31" s="108" t="n"/>
      <c r="CM31" s="107">
        <f>CL31*100/$E$31</f>
        <v/>
      </c>
      <c r="CN31" s="108" t="n"/>
      <c r="CO31" s="122">
        <f>CN31*100/$E$31</f>
        <v/>
      </c>
      <c r="CP31" s="108" t="n"/>
      <c r="CQ31" s="107">
        <f>CP31*100/$E$31</f>
        <v/>
      </c>
      <c r="CR31" s="108" t="n"/>
      <c r="CS31" s="122">
        <f>CR31*100/$E$31</f>
        <v/>
      </c>
      <c r="CT31" s="108" t="n"/>
      <c r="CU31" s="122">
        <f>CT31*100/$E$31</f>
        <v/>
      </c>
      <c r="CV31" s="108" t="n"/>
      <c r="CW31" s="122">
        <f>CV31*100/$E$31</f>
        <v/>
      </c>
      <c r="CX31" s="108" t="n"/>
      <c r="CY31" s="122">
        <f>CX31*100/$E$31</f>
        <v/>
      </c>
      <c r="CZ31" s="108" t="n"/>
      <c r="DA31" s="122">
        <f>CZ31*100/$E$31</f>
        <v/>
      </c>
      <c r="DB31" s="108" t="n"/>
      <c r="DC31" s="122">
        <f>DB31*100/$E$31</f>
        <v/>
      </c>
      <c r="DD31" s="108" t="n"/>
      <c r="DE31" s="122">
        <f>DD31*100/$E$31</f>
        <v/>
      </c>
      <c r="DF31" s="108" t="n"/>
      <c r="DG31" s="122">
        <f>DF31*100/$E$31</f>
        <v/>
      </c>
      <c r="DH31" s="108" t="n"/>
      <c r="DI31" s="122">
        <f>DH31*100/$E$31</f>
        <v/>
      </c>
      <c r="DJ31" s="108" t="n"/>
      <c r="DK31" s="122">
        <f>DJ31*100/$E$31</f>
        <v/>
      </c>
      <c r="DL31" s="108" t="n"/>
      <c r="DM31" s="122">
        <f>DL31*100/$E$31</f>
        <v/>
      </c>
      <c r="DN31" s="108" t="n"/>
      <c r="DO31" s="122">
        <f>DN31*100/$E$31</f>
        <v/>
      </c>
      <c r="DP31" s="108" t="n"/>
      <c r="DQ31" s="122">
        <f>DP31*100/$E$31</f>
        <v/>
      </c>
      <c r="DR31" s="108" t="n"/>
      <c r="DS31" s="122">
        <f>DR31*100/$E$31</f>
        <v/>
      </c>
      <c r="DT31" s="108" t="n"/>
      <c r="DU31" s="122">
        <f>DT31*100/$E$31</f>
        <v/>
      </c>
      <c r="DV31" s="108" t="n"/>
      <c r="DW31" s="122">
        <f>DV31*100/$E$31</f>
        <v/>
      </c>
      <c r="DX31" s="108" t="n"/>
      <c r="DY31" s="122">
        <f>DX31*100/$E$31</f>
        <v/>
      </c>
      <c r="DZ31" s="108" t="n"/>
      <c r="EA31" s="122">
        <f>DZ31*100/$E$31</f>
        <v/>
      </c>
      <c r="EB31" s="108" t="n"/>
      <c r="EC31" s="122">
        <f>EB31*100/$E$31</f>
        <v/>
      </c>
      <c r="ED31" s="108" t="n"/>
      <c r="EE31" s="122">
        <f>ED31*100/$E$31</f>
        <v/>
      </c>
      <c r="EF31" s="108" t="n"/>
      <c r="EG31" s="122">
        <f>EF31*100/$E$31</f>
        <v/>
      </c>
      <c r="EH31" s="108" t="n"/>
      <c r="EI31" s="122">
        <f>EH31*100/$E$31</f>
        <v/>
      </c>
      <c r="EJ31" s="108" t="n"/>
      <c r="EK31" s="122">
        <f>EJ31*100/$E$31</f>
        <v/>
      </c>
      <c r="EL31" s="108" t="n"/>
      <c r="EM31" s="122">
        <f>EL31*100/$E$31</f>
        <v/>
      </c>
      <c r="EN31" s="108" t="n"/>
      <c r="EO31" s="122">
        <f>EN31*100/$E$31</f>
        <v/>
      </c>
      <c r="EP31" s="108" t="n"/>
      <c r="EQ31" s="122">
        <f>EP31*100/$E$31</f>
        <v/>
      </c>
      <c r="ER31" s="108" t="n"/>
      <c r="ES31" s="122">
        <f>ER31*100/$E$31</f>
        <v/>
      </c>
      <c r="ET31" s="108" t="n"/>
      <c r="EU31" s="122">
        <f>ET31*100/$E$31</f>
        <v/>
      </c>
      <c r="EV31" s="108" t="n"/>
      <c r="EW31" s="122">
        <f>EV31*100/$E$31</f>
        <v/>
      </c>
      <c r="EX31" s="108" t="n"/>
      <c r="EY31" s="122">
        <f>EX31*100/$E$31</f>
        <v/>
      </c>
      <c r="EZ31" s="108" t="n"/>
      <c r="FA31" s="122">
        <f>EZ31*100/$E$31</f>
        <v/>
      </c>
      <c r="FB31" s="108" t="n"/>
      <c r="FC31" s="122">
        <f>FB31*100/$E$31</f>
        <v/>
      </c>
      <c r="FD31" s="108" t="n"/>
      <c r="FE31" s="122">
        <f>FD31*100/$E$31</f>
        <v/>
      </c>
      <c r="FF31" s="108" t="n"/>
      <c r="FG31" s="122">
        <f>FF31*100/$E$31</f>
        <v/>
      </c>
      <c r="FH31" s="108" t="n"/>
      <c r="FI31" s="122">
        <f>FH31*100/$E$31</f>
        <v/>
      </c>
      <c r="FJ31" s="108" t="n"/>
      <c r="FK31" s="122">
        <f>FJ31*100/$E$31</f>
        <v/>
      </c>
      <c r="FL31" s="108" t="n"/>
      <c r="FM31" s="122">
        <f>FL31*100/$E$31</f>
        <v/>
      </c>
      <c r="FN31" s="108" t="n"/>
      <c r="FO31" s="122">
        <f>FN31*100/$E$31</f>
        <v/>
      </c>
      <c r="FP31" s="108" t="n"/>
      <c r="FQ31" s="122">
        <f>FP31*100/$E$31</f>
        <v/>
      </c>
      <c r="FR31" s="108" t="n"/>
      <c r="FS31" s="122">
        <f>FR31*100/$E$31</f>
        <v/>
      </c>
      <c r="FT31" s="108" t="n"/>
      <c r="FU31" s="122">
        <f>FT31*100/$E$31</f>
        <v/>
      </c>
      <c r="FV31" s="108" t="n"/>
      <c r="FW31" s="122">
        <f>FV31*100/$E$31</f>
        <v/>
      </c>
      <c r="FX31" s="108" t="n"/>
      <c r="FY31" s="107">
        <f>FX31*100/$E$31</f>
        <v/>
      </c>
      <c r="FZ31" s="108" t="n"/>
      <c r="GA31" s="107">
        <f>FZ31*100/$E$31</f>
        <v/>
      </c>
      <c r="GB31" s="108" t="n"/>
      <c r="GC31" s="107">
        <f>GB31*100/$E$31</f>
        <v/>
      </c>
      <c r="GD31" s="108" t="n"/>
      <c r="GE31" s="107">
        <f>GD31*100/$E$31</f>
        <v/>
      </c>
      <c r="GF31" s="108" t="n"/>
      <c r="GG31" s="107">
        <f>GF31*100/$E$31</f>
        <v/>
      </c>
      <c r="GH31" s="108" t="n"/>
      <c r="GI31" s="107">
        <f>GH31*100/$E$31</f>
        <v/>
      </c>
      <c r="GJ31" s="108" t="n"/>
      <c r="GK31" s="122">
        <f>GJ31*100/$E$31</f>
        <v/>
      </c>
      <c r="GL31" s="108" t="n"/>
      <c r="GM31" s="107">
        <f>GL31*100/$E$31</f>
        <v/>
      </c>
      <c r="GN31" s="108" t="n"/>
      <c r="GO31" s="122">
        <f>GN31*100/$E$31</f>
        <v/>
      </c>
      <c r="GP31" s="108" t="n"/>
      <c r="GQ31" s="107">
        <f>GP31*100/$E$31</f>
        <v/>
      </c>
      <c r="GR31" s="108" t="n"/>
      <c r="GS31" s="122">
        <f>GR31*100/$E$31</f>
        <v/>
      </c>
      <c r="GT31" s="108" t="n"/>
      <c r="GU31" s="122">
        <f>GT31*100/$E$31</f>
        <v/>
      </c>
      <c r="GV31" s="108" t="n"/>
      <c r="GW31" s="122">
        <f>GV31*100/$E$31</f>
        <v/>
      </c>
      <c r="GX31" s="108" t="n"/>
      <c r="GY31" s="107">
        <f>GX31*100/$E$31</f>
        <v/>
      </c>
      <c r="GZ31" s="108" t="n"/>
      <c r="HA31" s="107">
        <f>GZ31*100/$E$31</f>
        <v/>
      </c>
      <c r="HB31" s="108" t="n"/>
      <c r="HC31" s="107">
        <f>HB31*100/$E$31</f>
        <v/>
      </c>
      <c r="HD31" s="108" t="n"/>
      <c r="HE31" s="107">
        <f>HD31*100/$E$31</f>
        <v/>
      </c>
      <c r="HF31" s="108" t="n"/>
      <c r="HG31" s="107">
        <f>HF31*100/$E$31</f>
        <v/>
      </c>
      <c r="HH31" s="108" t="n"/>
      <c r="HI31" s="107">
        <f>HH31*100/$E$31</f>
        <v/>
      </c>
      <c r="HJ31" s="108" t="n"/>
      <c r="HK31" s="107">
        <f>HJ31*100/$E$31</f>
        <v/>
      </c>
      <c r="HL31" s="108" t="n"/>
      <c r="HM31" s="107">
        <f>HL31*100/$E$31</f>
        <v/>
      </c>
      <c r="HN31" s="108" t="n"/>
      <c r="HO31" s="107">
        <f>HN31*100/$E$31</f>
        <v/>
      </c>
      <c r="HP31" s="108" t="n"/>
      <c r="HQ31" s="107">
        <f>HP31*100/$E$31</f>
        <v/>
      </c>
      <c r="HR31" s="108" t="n"/>
      <c r="HS31" s="107">
        <f>HR31*100/$E$31</f>
        <v/>
      </c>
      <c r="HT31" s="108" t="n"/>
      <c r="HU31" s="107">
        <f>HT31*100/$E$31</f>
        <v/>
      </c>
      <c r="HV31" s="108" t="n"/>
      <c r="HW31" s="107">
        <f>HV31*100/$E$31</f>
        <v/>
      </c>
      <c r="HX31" s="108" t="n"/>
      <c r="HY31" s="107">
        <f>HX31*100/$E$31</f>
        <v/>
      </c>
      <c r="HZ31" s="108" t="n"/>
      <c r="IA31" s="122">
        <f>HZ31*100/$E$31</f>
        <v/>
      </c>
      <c r="IB31" s="108" t="n"/>
      <c r="IC31" s="122">
        <f>IB31*100/$E$31</f>
        <v/>
      </c>
      <c r="ID31" s="108" t="n"/>
      <c r="IE31" s="122">
        <f>ID31*100/$E$31</f>
        <v/>
      </c>
      <c r="IF31" s="108" t="n"/>
      <c r="IG31" s="122">
        <f>IF31*100/$E$31</f>
        <v/>
      </c>
      <c r="IH31" s="108" t="n"/>
      <c r="II31" s="122">
        <f>IH31*100/$E$31</f>
        <v/>
      </c>
      <c r="IJ31" s="108" t="n"/>
      <c r="IK31" s="122">
        <f>IJ31*100/$E$31</f>
        <v/>
      </c>
      <c r="IL31" s="108" t="n"/>
      <c r="IM31" s="107">
        <f>IL31*100/$E$31</f>
        <v/>
      </c>
      <c r="IN31" s="108" t="n"/>
      <c r="IO31" s="107">
        <f>IN31*100/$E$31</f>
        <v/>
      </c>
      <c r="IP31" s="108" t="n"/>
      <c r="IQ31" s="122">
        <f>IP31*100/$E$31</f>
        <v/>
      </c>
      <c r="IR31" s="108" t="n"/>
      <c r="IS31" s="122">
        <f>IR31*100/$E$31</f>
        <v/>
      </c>
      <c r="IT31" s="108" t="n"/>
      <c r="IU31" s="122">
        <f>IT31*100/$E$31</f>
        <v/>
      </c>
      <c r="IV31" s="108" t="n"/>
      <c r="IW31" s="122">
        <f>IV31*100/$E$31</f>
        <v/>
      </c>
      <c r="IX31" s="108" t="n"/>
      <c r="IY31" s="122">
        <f>IX31*100/$E$31</f>
        <v/>
      </c>
      <c r="IZ31" s="108" t="n"/>
      <c r="JA31" s="122">
        <f>IZ31*100/$E$31</f>
        <v/>
      </c>
      <c r="JB31" s="108" t="n"/>
      <c r="JC31" s="122">
        <f>JB31*100/$E$31</f>
        <v/>
      </c>
      <c r="JD31" s="108" t="n"/>
      <c r="JE31" s="122">
        <f>JD31*100/$E$31</f>
        <v/>
      </c>
      <c r="JF31" s="108" t="n"/>
      <c r="JG31" s="122">
        <f>JF31*100/$E$31</f>
        <v/>
      </c>
      <c r="JH31" s="108" t="n"/>
      <c r="JI31" s="122">
        <f>JH31*100/$E$31</f>
        <v/>
      </c>
      <c r="JJ31" s="108" t="n"/>
      <c r="JK31" s="122">
        <f>JJ31*100/$E$31</f>
        <v/>
      </c>
      <c r="JL31" s="108" t="n"/>
      <c r="JM31" s="122">
        <f>JL31*100/$E$31</f>
        <v/>
      </c>
      <c r="JN31" s="132" t="n"/>
      <c r="JO31" s="121">
        <f>JN31*100/$E$31</f>
        <v/>
      </c>
      <c r="JP31" s="132" t="n"/>
      <c r="JQ31" s="121">
        <f>JP31*100/$E$31</f>
        <v/>
      </c>
      <c r="JR31" s="132" t="n"/>
      <c r="JS31" s="121">
        <f>JR31*100/$E$31</f>
        <v/>
      </c>
      <c r="JT31" s="132" t="n"/>
      <c r="JU31" s="121">
        <f>JT31*100/$E$31</f>
        <v/>
      </c>
      <c r="JV31" s="108" t="n"/>
      <c r="JW31" s="121">
        <f>JV31*100/$E$31</f>
        <v/>
      </c>
      <c r="JX31" s="108" t="n"/>
      <c r="JY31" s="121">
        <f>JX31*100/$E$31</f>
        <v/>
      </c>
      <c r="JZ31" s="55">
        <f>JN31+JP31+JR31+JT31+JV31+JX31</f>
        <v/>
      </c>
      <c r="KA31" s="53">
        <f>JO31+JQ31+JS31+JU31+JW31+JY31</f>
        <v/>
      </c>
      <c r="KB31" s="64">
        <f>H31+J31+L31+N31+P31+R31+T31+V31+X31+Z31+AB31+AD31+AF31+AH31+AJ31+AL31+AN31+AP31+AR31+AT31+AV31+AX31+AZ31+BB31+BD31+BF31+BH31+BJ31+BL31+BN31+BP31+BR31+BT31+BV31+BX31+BZ31+CB31+CD31+CF31+CH31+CZ31+DB31+DD31+DF31+DH31+DJ31+DL31+DN31+DP31+DR31+DT31+DV31+DX31+DZ31+EB31+ED31+EF31+EH31+EJ31+EL31+EN31+EP31+ER31+ET31+EV31+FN31+FP31+FR31+FT31+FV31+FX31+FZ31+GB31+GD31+GF31+GH31+GJ31+GL31+GN31+GP31+GR31+GT31+GV31+GX31+GZ31+HB31+HD31+HF31+HH31+HJ31+HL31+HN31+HP31+HR31+HT31+HV31+HX31+HZ31+IB31+ID31+IF31+IH31+IJ31+IL31+IN31+IP31+IR31+IT31+IV31+IX31+IZ31+JB31+JD31+JF31+JH31+JJ31+JL31+JZ31+CJ31+CL31+CN31+CP31+CR31+CT31+CV31+CX31+EX31+EZ31+FB31+FD31+FF31+FH31+FJ31+FL31</f>
        <v/>
      </c>
      <c r="KC31" s="66">
        <f>I31+K31+M31+O31+Q31+S31+U31+W31+Y31+AA31+AC31+AE31+AG31+AI31+AK31+AM31+AO31+AQ31+AS31+AU31+AW31+AY31+BA31+BC31+BE31+BG31+BI31+BK31+BM31+BO31+BQ31+BS31+BU31+BW31+BY31+CA31+CC31+CE31+CG31+CI31+DA31+DC31+DE31+DG31+DI31+DK31+DM31+DO31+DQ31+DS31+DU31+DW31+DY31+EA31+EC31+EE31+EG31+EI31+EK31+EM31+EO31+EQ31+ES31+EU31+EW31+FO31+FS31+FU31+FW31+FQ31+FY31+GA31+GC31+GE31+GG31+GI31+GK31+GM31+GO31+GQ31+GS31+GU31+GW31+GY31+HA31+HC31+HE31+HG31+HI31+HK31+HM31+HO31+HQ31+HS31+HU31+HW31+HY31+IA31+IC31+IE31+IG31+II31+IK31+IM31+IO31+IQ31+IS31+IU31+IW31+IY31+JA31+JC31+JE31+JG31+JI31+JK31+JM31+KA31+CK31+CM31+CO31+CQ31+CS31+CU31+CW31+CY31+EY31+FA31+FC31+FE31+FG31+FI31+FK31+FM31</f>
        <v/>
      </c>
      <c r="KD31" s="44">
        <f>JO31+JQ31+JS31+JU31+JW31+JY31</f>
        <v/>
      </c>
      <c r="KE31" s="45">
        <f>KB31=E31</f>
        <v/>
      </c>
      <c r="KF31" s="101">
        <f>E31-KB31</f>
        <v/>
      </c>
      <c r="KG31" s="23" t="n"/>
    </row>
    <row r="32" ht="21.75" customFormat="1" customHeight="1" s="21">
      <c r="A32" s="126">
        <f>A31+1</f>
        <v/>
      </c>
      <c r="B32" s="175" t="inlineStr">
        <is>
          <t>Маргиани Г.И.</t>
        </is>
      </c>
      <c r="C32" s="176" t="inlineStr">
        <is>
          <t xml:space="preserve">Оператор СПУ </t>
        </is>
      </c>
      <c r="D32" s="177">
        <f>$D$5</f>
        <v/>
      </c>
      <c r="E32" s="202" t="n"/>
      <c r="F32" s="193" t="n">
        <v>113793.54</v>
      </c>
      <c r="G32" s="52">
        <f>F32/D32</f>
        <v/>
      </c>
      <c r="H32" s="125" t="n"/>
      <c r="I32" s="107">
        <f>H32*100/$E$32</f>
        <v/>
      </c>
      <c r="J32" s="108" t="n"/>
      <c r="K32" s="107">
        <f>J32*100/$E$32</f>
        <v/>
      </c>
      <c r="L32" s="108" t="n"/>
      <c r="M32" s="107">
        <f>L32*100/$E$32</f>
        <v/>
      </c>
      <c r="N32" s="108" t="n"/>
      <c r="O32" s="107">
        <f>N32*100/$E$32</f>
        <v/>
      </c>
      <c r="P32" s="108" t="n"/>
      <c r="Q32" s="122">
        <f>P32*100/$E$32</f>
        <v/>
      </c>
      <c r="R32" s="108" t="n"/>
      <c r="S32" s="122">
        <f>R32*100/$E$32</f>
        <v/>
      </c>
      <c r="T32" s="108" t="n"/>
      <c r="U32" s="107">
        <f>T32*100/$E$32</f>
        <v/>
      </c>
      <c r="V32" s="108" t="n"/>
      <c r="W32" s="107">
        <f>V32*100/$E$32</f>
        <v/>
      </c>
      <c r="X32" s="108" t="n"/>
      <c r="Y32" s="107">
        <f>X32*100/$E$32</f>
        <v/>
      </c>
      <c r="Z32" s="108" t="n"/>
      <c r="AA32" s="107">
        <f>Z32*100/$E$32</f>
        <v/>
      </c>
      <c r="AB32" s="108" t="n"/>
      <c r="AC32" s="107">
        <f>AB32*100/$E$32</f>
        <v/>
      </c>
      <c r="AD32" s="108" t="n"/>
      <c r="AE32" s="122">
        <f>AD32*100/$E$32</f>
        <v/>
      </c>
      <c r="AF32" s="108" t="n"/>
      <c r="AG32" s="122">
        <f>AF32*100/$E$32</f>
        <v/>
      </c>
      <c r="AH32" s="108" t="n"/>
      <c r="AI32" s="107">
        <f>AH32*100/$E$32</f>
        <v/>
      </c>
      <c r="AJ32" s="108" t="n"/>
      <c r="AK32" s="107">
        <f>AJ32*100/$E$32</f>
        <v/>
      </c>
      <c r="AL32" s="108" t="n"/>
      <c r="AM32" s="107">
        <f>AL32*100/$E$32</f>
        <v/>
      </c>
      <c r="AN32" s="108" t="n"/>
      <c r="AO32" s="107">
        <f>AN32*100/$E$32</f>
        <v/>
      </c>
      <c r="AP32" s="108" t="n"/>
      <c r="AQ32" s="107">
        <f>AP32*100/$E$32</f>
        <v/>
      </c>
      <c r="AR32" s="108" t="n"/>
      <c r="AS32" s="107">
        <f>AR32*100/$E$32</f>
        <v/>
      </c>
      <c r="AT32" s="108" t="n"/>
      <c r="AU32" s="90">
        <f>AT32*100/$E$32</f>
        <v/>
      </c>
      <c r="AV32" s="108" t="n"/>
      <c r="AW32" s="107">
        <f>AV32*100/$E$32</f>
        <v/>
      </c>
      <c r="AX32" s="108" t="n"/>
      <c r="AY32" s="107">
        <f>AX32*100/$E$32</f>
        <v/>
      </c>
      <c r="AZ32" s="108" t="n"/>
      <c r="BA32" s="122">
        <f>AZ32*100/$E$32</f>
        <v/>
      </c>
      <c r="BB32" s="108" t="n"/>
      <c r="BC32" s="107">
        <f>BB32*100/$E$32</f>
        <v/>
      </c>
      <c r="BD32" s="108" t="n"/>
      <c r="BE32" s="107">
        <f>BD32*100/$E$32</f>
        <v/>
      </c>
      <c r="BF32" s="108" t="n"/>
      <c r="BG32" s="107">
        <f>BF32*100/$E$32</f>
        <v/>
      </c>
      <c r="BH32" s="108" t="n"/>
      <c r="BI32" s="107">
        <f>BH32*100/$E$32</f>
        <v/>
      </c>
      <c r="BJ32" s="108" t="n"/>
      <c r="BK32" s="107">
        <f>BJ32*100/$E$32</f>
        <v/>
      </c>
      <c r="BL32" s="108" t="n"/>
      <c r="BM32" s="107">
        <f>BL32*100/$E$32</f>
        <v/>
      </c>
      <c r="BN32" s="108" t="n"/>
      <c r="BO32" s="107">
        <f>BN32*100/$E$32</f>
        <v/>
      </c>
      <c r="BP32" s="108" t="n"/>
      <c r="BQ32" s="107">
        <f>BP32*100/$E$32</f>
        <v/>
      </c>
      <c r="BR32" s="108" t="n"/>
      <c r="BS32" s="107">
        <f>BR32*100/$E$32</f>
        <v/>
      </c>
      <c r="BT32" s="108" t="n"/>
      <c r="BU32" s="107">
        <f>BT32*100/$E$32</f>
        <v/>
      </c>
      <c r="BV32" s="108" t="n"/>
      <c r="BW32" s="107">
        <f>BV32*100/$E$32</f>
        <v/>
      </c>
      <c r="BX32" s="108" t="n"/>
      <c r="BY32" s="107">
        <f>BX32*100/$E$32</f>
        <v/>
      </c>
      <c r="BZ32" s="108" t="n"/>
      <c r="CA32" s="107">
        <f>BZ32*100/$E$32</f>
        <v/>
      </c>
      <c r="CB32" s="108" t="n"/>
      <c r="CC32" s="107">
        <f>CB32*100/$E$32</f>
        <v/>
      </c>
      <c r="CD32" s="108" t="n"/>
      <c r="CE32" s="107">
        <f>CD32*100/$E$32</f>
        <v/>
      </c>
      <c r="CF32" s="108" t="n"/>
      <c r="CG32" s="107">
        <f>CF32*100/$E$32</f>
        <v/>
      </c>
      <c r="CH32" s="108" t="n"/>
      <c r="CI32" s="107">
        <f>CH32*100/$E$32</f>
        <v/>
      </c>
      <c r="CJ32" s="108" t="n"/>
      <c r="CK32" s="107">
        <f>CJ32*100/$E$32</f>
        <v/>
      </c>
      <c r="CL32" s="108" t="n"/>
      <c r="CM32" s="107">
        <f>CL32*100/$E$32</f>
        <v/>
      </c>
      <c r="CN32" s="108" t="n"/>
      <c r="CO32" s="122">
        <f>CN32*100/$E$32</f>
        <v/>
      </c>
      <c r="CP32" s="108" t="n"/>
      <c r="CQ32" s="107">
        <f>CP32*100/$E$32</f>
        <v/>
      </c>
      <c r="CR32" s="108" t="n"/>
      <c r="CS32" s="122">
        <f>CR32*100/$E$32</f>
        <v/>
      </c>
      <c r="CT32" s="108" t="n"/>
      <c r="CU32" s="122">
        <f>CT32*100/$E$32</f>
        <v/>
      </c>
      <c r="CV32" s="108" t="n"/>
      <c r="CW32" s="122">
        <f>CV32*100/$E$32</f>
        <v/>
      </c>
      <c r="CX32" s="108" t="n"/>
      <c r="CY32" s="122">
        <f>CX32*100/$E$32</f>
        <v/>
      </c>
      <c r="CZ32" s="108" t="n"/>
      <c r="DA32" s="122">
        <f>CZ32*100/$E$32</f>
        <v/>
      </c>
      <c r="DB32" s="108" t="n"/>
      <c r="DC32" s="122">
        <f>DB32*100/$E$32</f>
        <v/>
      </c>
      <c r="DD32" s="108" t="n"/>
      <c r="DE32" s="122">
        <f>DD32*100/$E$32</f>
        <v/>
      </c>
      <c r="DF32" s="108" t="n"/>
      <c r="DG32" s="122">
        <f>DF32*100/$E$32</f>
        <v/>
      </c>
      <c r="DH32" s="108" t="n"/>
      <c r="DI32" s="122">
        <f>DH32*100/$E$32</f>
        <v/>
      </c>
      <c r="DJ32" s="108" t="n"/>
      <c r="DK32" s="122">
        <f>DJ32*100/$E$32</f>
        <v/>
      </c>
      <c r="DL32" s="108" t="n"/>
      <c r="DM32" s="122">
        <f>DL32*100/$E$32</f>
        <v/>
      </c>
      <c r="DN32" s="108" t="n"/>
      <c r="DO32" s="122">
        <f>DN32*100/$E$32</f>
        <v/>
      </c>
      <c r="DP32" s="108" t="n"/>
      <c r="DQ32" s="122">
        <f>DP32*100/$E$32</f>
        <v/>
      </c>
      <c r="DR32" s="108" t="n"/>
      <c r="DS32" s="107">
        <f>DR32*100/$E$32</f>
        <v/>
      </c>
      <c r="DT32" s="108" t="n"/>
      <c r="DU32" s="122">
        <f>DT32*100/$E$32</f>
        <v/>
      </c>
      <c r="DV32" s="108" t="n"/>
      <c r="DW32" s="122">
        <f>DV32*100/$E$32</f>
        <v/>
      </c>
      <c r="DX32" s="108" t="n"/>
      <c r="DY32" s="122">
        <f>DX32*100/$E$32</f>
        <v/>
      </c>
      <c r="DZ32" s="108" t="n"/>
      <c r="EA32" s="122">
        <f>DZ32*100/$E$32</f>
        <v/>
      </c>
      <c r="EB32" s="108" t="n"/>
      <c r="EC32" s="122">
        <f>EB32*100/$E$32</f>
        <v/>
      </c>
      <c r="ED32" s="108" t="n"/>
      <c r="EE32" s="122">
        <f>ED32*100/$E$32</f>
        <v/>
      </c>
      <c r="EF32" s="108" t="n"/>
      <c r="EG32" s="122">
        <f>EF32*100/$E$32</f>
        <v/>
      </c>
      <c r="EH32" s="108" t="n"/>
      <c r="EI32" s="122">
        <f>EH32*100/$E$32</f>
        <v/>
      </c>
      <c r="EJ32" s="108" t="n"/>
      <c r="EK32" s="122">
        <f>EJ32*100/$E$32</f>
        <v/>
      </c>
      <c r="EL32" s="108" t="n"/>
      <c r="EM32" s="122">
        <f>EL32*100/$E$32</f>
        <v/>
      </c>
      <c r="EN32" s="108" t="n"/>
      <c r="EO32" s="122">
        <f>EN32*100/$E$32</f>
        <v/>
      </c>
      <c r="EP32" s="108" t="n"/>
      <c r="EQ32" s="122">
        <f>EP32*100/$E$32</f>
        <v/>
      </c>
      <c r="ER32" s="108" t="n"/>
      <c r="ES32" s="107">
        <f>ER32*100/$E$32</f>
        <v/>
      </c>
      <c r="ET32" s="108" t="n"/>
      <c r="EU32" s="107">
        <f>ET32*100/$E$32</f>
        <v/>
      </c>
      <c r="EV32" s="108" t="n"/>
      <c r="EW32" s="122">
        <f>EV32*100/$E$32</f>
        <v/>
      </c>
      <c r="EX32" s="108" t="n"/>
      <c r="EY32" s="122">
        <f>EX32*100/$E$32</f>
        <v/>
      </c>
      <c r="EZ32" s="108" t="n"/>
      <c r="FA32" s="122">
        <f>EZ32*100/$E$32</f>
        <v/>
      </c>
      <c r="FB32" s="108" t="n"/>
      <c r="FC32" s="122">
        <f>FB32*100/$E$32</f>
        <v/>
      </c>
      <c r="FD32" s="108" t="n"/>
      <c r="FE32" s="122">
        <f>FD32*100/$E$32</f>
        <v/>
      </c>
      <c r="FF32" s="108" t="n"/>
      <c r="FG32" s="122">
        <f>FF32*100/$E$32</f>
        <v/>
      </c>
      <c r="FH32" s="108" t="n"/>
      <c r="FI32" s="122">
        <f>FH32*100/$E$32</f>
        <v/>
      </c>
      <c r="FJ32" s="108" t="n"/>
      <c r="FK32" s="122">
        <f>FJ32*100/$E$32</f>
        <v/>
      </c>
      <c r="FL32" s="108" t="n"/>
      <c r="FM32" s="122">
        <f>FL32*100/$E$32</f>
        <v/>
      </c>
      <c r="FN32" s="108" t="n"/>
      <c r="FO32" s="122">
        <f>FN32*100/$E$32</f>
        <v/>
      </c>
      <c r="FP32" s="108" t="n"/>
      <c r="FQ32" s="122">
        <f>FP32*100/$E$32</f>
        <v/>
      </c>
      <c r="FR32" s="108" t="n"/>
      <c r="FS32" s="122">
        <f>FR32*100/$E$32</f>
        <v/>
      </c>
      <c r="FT32" s="108" t="n"/>
      <c r="FU32" s="122">
        <f>FT32*100/$E$32</f>
        <v/>
      </c>
      <c r="FV32" s="108" t="n"/>
      <c r="FW32" s="122">
        <f>FV32*100/$E$32</f>
        <v/>
      </c>
      <c r="FX32" s="108" t="n"/>
      <c r="FY32" s="122">
        <f>FX32*100/$E$32</f>
        <v/>
      </c>
      <c r="FZ32" s="108" t="n"/>
      <c r="GA32" s="122">
        <f>FZ32*100/$E$32</f>
        <v/>
      </c>
      <c r="GB32" s="108" t="n"/>
      <c r="GC32" s="107">
        <f>GB32*100/$E$32</f>
        <v/>
      </c>
      <c r="GD32" s="108" t="n"/>
      <c r="GE32" s="107">
        <f>GD32*100/$E$32</f>
        <v/>
      </c>
      <c r="GF32" s="108" t="n"/>
      <c r="GG32" s="107">
        <f>GF32*100/$E$32</f>
        <v/>
      </c>
      <c r="GH32" s="108" t="n"/>
      <c r="GI32" s="107">
        <f>GH32*100/$E$32</f>
        <v/>
      </c>
      <c r="GJ32" s="108" t="n"/>
      <c r="GK32" s="122">
        <f>GJ32*100/$E$32</f>
        <v/>
      </c>
      <c r="GL32" s="108" t="n"/>
      <c r="GM32" s="107">
        <f>GL32*100/$E$32</f>
        <v/>
      </c>
      <c r="GN32" s="108" t="n"/>
      <c r="GO32" s="122">
        <f>GN32*100/$E$32</f>
        <v/>
      </c>
      <c r="GP32" s="125" t="n"/>
      <c r="GQ32" s="122">
        <f>GP32*100/$E$32</f>
        <v/>
      </c>
      <c r="GR32" s="108" t="n"/>
      <c r="GS32" s="122">
        <f>GR32*100/$E$32</f>
        <v/>
      </c>
      <c r="GT32" s="108" t="n"/>
      <c r="GU32" s="122">
        <f>GT32*100/$E$32</f>
        <v/>
      </c>
      <c r="GV32" s="108" t="n"/>
      <c r="GW32" s="107">
        <f>GV32*100/$E$32</f>
        <v/>
      </c>
      <c r="GX32" s="108" t="n"/>
      <c r="GY32" s="107">
        <f>GX32*100/$E$32</f>
        <v/>
      </c>
      <c r="GZ32" s="108" t="n"/>
      <c r="HA32" s="122">
        <f>GZ32*100/$E$32</f>
        <v/>
      </c>
      <c r="HB32" s="108" t="n"/>
      <c r="HC32" s="122">
        <f>HB32*100/$E$32</f>
        <v/>
      </c>
      <c r="HD32" s="108" t="n"/>
      <c r="HE32" s="122">
        <f>HD32*100/$E$32</f>
        <v/>
      </c>
      <c r="HF32" s="108" t="n"/>
      <c r="HG32" s="122">
        <f>HF32*100/$E$32</f>
        <v/>
      </c>
      <c r="HH32" s="108" t="n"/>
      <c r="HI32" s="122">
        <f>HH32*100/$E$32</f>
        <v/>
      </c>
      <c r="HJ32" s="108" t="n"/>
      <c r="HK32" s="122">
        <f>HJ32*100/$E$32</f>
        <v/>
      </c>
      <c r="HL32" s="108" t="n"/>
      <c r="HM32" s="107">
        <f>HL32*100/$E$32</f>
        <v/>
      </c>
      <c r="HN32" s="108" t="n"/>
      <c r="HO32" s="107">
        <f>HN32*100/$E$32</f>
        <v/>
      </c>
      <c r="HP32" s="108" t="n"/>
      <c r="HQ32" s="107">
        <f>HP32*100/$E$32</f>
        <v/>
      </c>
      <c r="HR32" s="108" t="n"/>
      <c r="HS32" s="107">
        <f>HR32*100/$E$32</f>
        <v/>
      </c>
      <c r="HT32" s="108" t="n"/>
      <c r="HU32" s="107">
        <f>HT32*100/$E$32</f>
        <v/>
      </c>
      <c r="HV32" s="108" t="n"/>
      <c r="HW32" s="107">
        <f>HV32*100/$E$32</f>
        <v/>
      </c>
      <c r="HX32" s="108" t="n"/>
      <c r="HY32" s="122">
        <f>HX32*100/$E$32</f>
        <v/>
      </c>
      <c r="HZ32" s="108" t="n"/>
      <c r="IA32" s="122">
        <f>HZ32*100/$E$32</f>
        <v/>
      </c>
      <c r="IB32" s="108" t="n"/>
      <c r="IC32" s="122">
        <f>IB32*100/$E$32</f>
        <v/>
      </c>
      <c r="ID32" s="108" t="n"/>
      <c r="IE32" s="122">
        <f>ID32*100/$E$32</f>
        <v/>
      </c>
      <c r="IF32" s="108" t="n"/>
      <c r="IG32" s="122">
        <f>IF32*100/$E$32</f>
        <v/>
      </c>
      <c r="IH32" s="108" t="n"/>
      <c r="II32" s="122">
        <f>IH32*100/$E$32</f>
        <v/>
      </c>
      <c r="IJ32" s="108" t="n"/>
      <c r="IK32" s="122">
        <f>IJ32*100/$E$32</f>
        <v/>
      </c>
      <c r="IL32" s="108" t="n"/>
      <c r="IM32" s="122">
        <f>IL32*100/$E$32</f>
        <v/>
      </c>
      <c r="IN32" s="108" t="n"/>
      <c r="IO32" s="122">
        <f>IN32*100/$E$32</f>
        <v/>
      </c>
      <c r="IP32" s="108" t="n"/>
      <c r="IQ32" s="122">
        <f>IP32*100/$E$32</f>
        <v/>
      </c>
      <c r="IR32" s="108" t="n"/>
      <c r="IS32" s="122">
        <f>IR32*100/$E$32</f>
        <v/>
      </c>
      <c r="IT32" s="108" t="n"/>
      <c r="IU32" s="122">
        <f>IT32*100/$E$32</f>
        <v/>
      </c>
      <c r="IV32" s="108" t="n"/>
      <c r="IW32" s="122">
        <f>IV32*100/$E$32</f>
        <v/>
      </c>
      <c r="IX32" s="108" t="n"/>
      <c r="IY32" s="122">
        <f>IX32*100/$E$32</f>
        <v/>
      </c>
      <c r="IZ32" s="108" t="n"/>
      <c r="JA32" s="122">
        <f>IZ32*100/$E$32</f>
        <v/>
      </c>
      <c r="JB32" s="108" t="n"/>
      <c r="JC32" s="122">
        <f>JB32*100/$E$32</f>
        <v/>
      </c>
      <c r="JD32" s="108" t="n"/>
      <c r="JE32" s="122">
        <f>JD32*100/$E$32</f>
        <v/>
      </c>
      <c r="JF32" s="108" t="n"/>
      <c r="JG32" s="107">
        <f>JF32*100/$E$32</f>
        <v/>
      </c>
      <c r="JH32" s="108" t="n"/>
      <c r="JI32" s="122">
        <f>JH32*100/$E$32</f>
        <v/>
      </c>
      <c r="JJ32" s="125" t="n"/>
      <c r="JK32" s="122">
        <f>JJ32*100/$E$32</f>
        <v/>
      </c>
      <c r="JL32" s="108" t="n"/>
      <c r="JM32" s="122">
        <f>JL32*100/$E$32</f>
        <v/>
      </c>
      <c r="JN32" s="108" t="n"/>
      <c r="JO32" s="107">
        <f>JN32*100/$E$32</f>
        <v/>
      </c>
      <c r="JP32" s="108" t="n"/>
      <c r="JQ32" s="107">
        <f>JP32*100/$E$32</f>
        <v/>
      </c>
      <c r="JR32" s="108" t="n"/>
      <c r="JS32" s="107">
        <f>JR32*100/$E$32</f>
        <v/>
      </c>
      <c r="JT32" s="108" t="n"/>
      <c r="JU32" s="122">
        <f>JT32*100/$E$32</f>
        <v/>
      </c>
      <c r="JV32" s="108" t="n"/>
      <c r="JW32" s="122">
        <f>JV32*100/$E$32</f>
        <v/>
      </c>
      <c r="JX32" s="108" t="n"/>
      <c r="JY32" s="122">
        <f>JX32*100/$E$32</f>
        <v/>
      </c>
      <c r="JZ32" s="55">
        <f>JN32+JP32+JR32+JT32+JV32+JX32</f>
        <v/>
      </c>
      <c r="KA32" s="53">
        <f>JO32+JQ32+JS32+JU32+JW32+JY32</f>
        <v/>
      </c>
      <c r="KB32" s="64">
        <f>H32+J32+L32+N32+P32+R32+T32+V32+X32+Z32+AB32+AD32+AF32+AH32+AJ32+AL32+AN32+AP32+AR32+AT32+AV32+AX32+AZ32+BB32+BD32+BF32+BH32+BJ32+BL32+BN32+BP32+BR32+BT32+BV32+BX32+BZ32+CB32+CD32+CF32+CH32+CZ32+DB32+DD32+DF32+DH32+DJ32+DL32+DN32+DP32+DR32+DT32+DV32+DX32+DZ32+EB32+ED32+EF32+EH32+EJ32+EL32+EN32+EP32+ER32+ET32+EV32+FN32+FP32+FR32+FT32+FV32+FX32+FZ32+GB32+GD32+GF32+GH32+GJ32+GL32+GN32+GP32+GR32+GT32+GV32+GX32+GZ32+HB32+HD32+HF32+HH32+HJ32+HL32+HN32+HP32+HR32+HT32+HV32+HX32+HZ32+IB32+ID32+IF32+IH32+IJ32+IL32+IN32+IP32+IR32+IT32+IV32+IX32+IZ32+JB32+JD32+JF32+JH32+JJ32+JL32+JZ32+CJ32+CL32+CN32+CP32+CR32+CT32+CV32+CX32+EX32+EZ32+FB32+FD32+FF32+FH32+FJ32+FL32</f>
        <v/>
      </c>
      <c r="KC32" s="66">
        <f>I32+K32+M32+O32+Q32+S32+U32+W32+Y32+AA32+AC32+AE32+AG32+AI32+AK32+AM32+AO32+AQ32+AS32+AU32+AW32+AY32+BA32+BC32+BE32+BG32+BI32+BK32+BM32+BO32+BQ32+BS32+BU32+BW32+BY32+CA32+CC32+CE32+CG32+CI32+DA32+DC32+DE32+DG32+DI32+DK32+DM32+DO32+DQ32+DS32+DU32+DW32+DY32+EA32+EC32+EE32+EG32+EI32+EK32+EM32+EO32+EQ32+ES32+EU32+EW32+FO32+FS32+FU32+FW32+FQ32+FY32+GA32+GC32+GE32+GG32+GI32+GK32+GM32+GO32+GQ32+GS32+GU32+GW32+GY32+HA32+HC32+HE32+HG32+HI32+HK32+HM32+HO32+HQ32+HS32+HU32+HW32+HY32+IA32+IC32+IE32+IG32+II32+IK32+IM32+IO32+IQ32+IS32+IU32+IW32+IY32+JA32+JC32+JE32+JG32+JI32+JK32+JM32+KA32+CK32+CM32+CO32+CQ32+CS32+CU32+CW32+CY32+EY32+FA32+FC32+FE32+FG32+FI32+FK32+FM32</f>
        <v/>
      </c>
      <c r="KD32" s="44">
        <f>JO32+JQ32+JS32+JU32+JW32+JY32</f>
        <v/>
      </c>
      <c r="KE32" s="45">
        <f>KB32=E32</f>
        <v/>
      </c>
      <c r="KF32" s="101">
        <f>E32-KB32</f>
        <v/>
      </c>
      <c r="KG32" s="23" t="n"/>
    </row>
    <row r="33" ht="21.75" customFormat="1" customHeight="1" s="23">
      <c r="A33" s="126">
        <f>A32+1</f>
        <v/>
      </c>
      <c r="B33" s="175" t="inlineStr">
        <is>
          <t>Михеев В.О.</t>
        </is>
      </c>
      <c r="C33" s="194" t="inlineStr">
        <is>
          <t>электрогазосварщик</t>
        </is>
      </c>
      <c r="D33" s="177">
        <f>$D$5</f>
        <v/>
      </c>
      <c r="E33" s="202" t="n"/>
      <c r="F33" s="193" t="n">
        <v>55633.55</v>
      </c>
      <c r="G33" s="52">
        <f>F33/D33</f>
        <v/>
      </c>
      <c r="H33" s="125" t="n"/>
      <c r="I33" s="107">
        <f>H33*100/$E$33</f>
        <v/>
      </c>
      <c r="J33" s="108" t="n"/>
      <c r="K33" s="107">
        <f>J33*100/$E$33</f>
        <v/>
      </c>
      <c r="L33" s="108" t="n"/>
      <c r="M33" s="107">
        <f>L33*100/$E$33</f>
        <v/>
      </c>
      <c r="N33" s="108" t="n"/>
      <c r="O33" s="107">
        <f>N33*100/$E$33</f>
        <v/>
      </c>
      <c r="P33" s="108" t="n"/>
      <c r="Q33" s="122">
        <f>P33*100/$E$33</f>
        <v/>
      </c>
      <c r="R33" s="108" t="n"/>
      <c r="S33" s="122">
        <f>R33*100/$E$33</f>
        <v/>
      </c>
      <c r="T33" s="108" t="n"/>
      <c r="U33" s="107">
        <f>T33*100/$E$33</f>
        <v/>
      </c>
      <c r="V33" s="108" t="n"/>
      <c r="W33" s="107">
        <f>V33*100/$E$33</f>
        <v/>
      </c>
      <c r="X33" s="108" t="n"/>
      <c r="Y33" s="107">
        <f>X33*100/$E$33</f>
        <v/>
      </c>
      <c r="Z33" s="108" t="n"/>
      <c r="AA33" s="107">
        <f>Z33*100/$E$33</f>
        <v/>
      </c>
      <c r="AB33" s="108" t="n"/>
      <c r="AC33" s="107">
        <f>AB33*100/$E$33</f>
        <v/>
      </c>
      <c r="AD33" s="108" t="n"/>
      <c r="AE33" s="122">
        <f>AD33*100/$E$33</f>
        <v/>
      </c>
      <c r="AF33" s="108" t="n"/>
      <c r="AG33" s="122">
        <f>AF33*100/$E$33</f>
        <v/>
      </c>
      <c r="AH33" s="108" t="n"/>
      <c r="AI33" s="107">
        <f>AH33*100/$E$33</f>
        <v/>
      </c>
      <c r="AJ33" s="108" t="n"/>
      <c r="AK33" s="107">
        <f>AJ33*100/$E$33</f>
        <v/>
      </c>
      <c r="AL33" s="108" t="n"/>
      <c r="AM33" s="107">
        <f>AL33*100/$E$33</f>
        <v/>
      </c>
      <c r="AN33" s="108" t="n"/>
      <c r="AO33" s="107">
        <f>AN33*100/$E$33</f>
        <v/>
      </c>
      <c r="AP33" s="108" t="n"/>
      <c r="AQ33" s="107">
        <f>AP33*100/$E$33</f>
        <v/>
      </c>
      <c r="AR33" s="108" t="n"/>
      <c r="AS33" s="107">
        <f>AR33*100/$E$33</f>
        <v/>
      </c>
      <c r="AT33" s="108" t="n"/>
      <c r="AU33" s="90">
        <f>AT33*100/$E$33</f>
        <v/>
      </c>
      <c r="AV33" s="108" t="n"/>
      <c r="AW33" s="107">
        <f>AV33*100/$E$33</f>
        <v/>
      </c>
      <c r="AX33" s="108" t="n"/>
      <c r="AY33" s="107">
        <f>AX33*100/$E$33</f>
        <v/>
      </c>
      <c r="AZ33" s="108" t="n"/>
      <c r="BA33" s="107">
        <f>AZ33*100/$E$33</f>
        <v/>
      </c>
      <c r="BB33" s="108" t="n"/>
      <c r="BC33" s="107">
        <f>BB33*100/$E$33</f>
        <v/>
      </c>
      <c r="BD33" s="108" t="n"/>
      <c r="BE33" s="107">
        <f>BD33*100/$E$33</f>
        <v/>
      </c>
      <c r="BF33" s="108" t="n"/>
      <c r="BG33" s="107">
        <f>BF33*100/$E$33</f>
        <v/>
      </c>
      <c r="BH33" s="108" t="n"/>
      <c r="BI33" s="107">
        <f>BH33*100/$E$33</f>
        <v/>
      </c>
      <c r="BJ33" s="108" t="n"/>
      <c r="BK33" s="107">
        <f>BJ33*100/$E$33</f>
        <v/>
      </c>
      <c r="BL33" s="108" t="n"/>
      <c r="BM33" s="107">
        <f>BL33*100/$E$33</f>
        <v/>
      </c>
      <c r="BN33" s="108" t="n"/>
      <c r="BO33" s="107">
        <f>BN33*100/$E$33</f>
        <v/>
      </c>
      <c r="BP33" s="108" t="n"/>
      <c r="BQ33" s="107">
        <f>BP33*100/$E$33</f>
        <v/>
      </c>
      <c r="BR33" s="108" t="n"/>
      <c r="BS33" s="107">
        <f>BR33*100/$E$33</f>
        <v/>
      </c>
      <c r="BT33" s="108" t="n"/>
      <c r="BU33" s="107">
        <f>BT33*100/$E$33</f>
        <v/>
      </c>
      <c r="BV33" s="108" t="n"/>
      <c r="BW33" s="107">
        <f>BV33*100/$E$33</f>
        <v/>
      </c>
      <c r="BX33" s="108" t="n"/>
      <c r="BY33" s="107">
        <f>BX33*100/$E$33</f>
        <v/>
      </c>
      <c r="BZ33" s="108" t="n"/>
      <c r="CA33" s="107">
        <f>BZ33*100/$E$33</f>
        <v/>
      </c>
      <c r="CB33" s="108" t="n"/>
      <c r="CC33" s="107">
        <f>CB33*100/$E$33</f>
        <v/>
      </c>
      <c r="CD33" s="108" t="n"/>
      <c r="CE33" s="107">
        <f>CD33*100/$E$33</f>
        <v/>
      </c>
      <c r="CF33" s="108" t="n"/>
      <c r="CG33" s="107">
        <f>CF33*100/$E$33</f>
        <v/>
      </c>
      <c r="CH33" s="108" t="n"/>
      <c r="CI33" s="107">
        <f>CH33*100/$E$33</f>
        <v/>
      </c>
      <c r="CJ33" s="108" t="n"/>
      <c r="CK33" s="107">
        <f>CJ33*100/$E$33</f>
        <v/>
      </c>
      <c r="CL33" s="108" t="n"/>
      <c r="CM33" s="107">
        <f>CL33*100/$E$33</f>
        <v/>
      </c>
      <c r="CN33" s="108" t="n"/>
      <c r="CO33" s="122">
        <f>CN33*100/$E$33</f>
        <v/>
      </c>
      <c r="CP33" s="108" t="n"/>
      <c r="CQ33" s="107">
        <f>CP33*100/$E$33</f>
        <v/>
      </c>
      <c r="CR33" s="108" t="n"/>
      <c r="CS33" s="122">
        <f>CR33*100/$E$33</f>
        <v/>
      </c>
      <c r="CT33" s="108" t="n"/>
      <c r="CU33" s="122">
        <f>CT33*100/$E$33</f>
        <v/>
      </c>
      <c r="CV33" s="108" t="n"/>
      <c r="CW33" s="122">
        <f>CV33*100/$E$33</f>
        <v/>
      </c>
      <c r="CX33" s="108" t="n"/>
      <c r="CY33" s="122">
        <f>CX33*100/$E$33</f>
        <v/>
      </c>
      <c r="CZ33" s="108" t="n"/>
      <c r="DA33" s="122">
        <f>CZ33*100/$E$33</f>
        <v/>
      </c>
      <c r="DB33" s="108" t="n"/>
      <c r="DC33" s="122">
        <f>DB33*100/$E$33</f>
        <v/>
      </c>
      <c r="DD33" s="108" t="n"/>
      <c r="DE33" s="122">
        <f>DD33*100/$E$33</f>
        <v/>
      </c>
      <c r="DF33" s="108" t="n"/>
      <c r="DG33" s="122">
        <f>DF33*100/$E$33</f>
        <v/>
      </c>
      <c r="DH33" s="108" t="n"/>
      <c r="DI33" s="122">
        <f>DH33*100/$E$33</f>
        <v/>
      </c>
      <c r="DJ33" s="108" t="n"/>
      <c r="DK33" s="122">
        <f>DJ33*100/$E$33</f>
        <v/>
      </c>
      <c r="DL33" s="108" t="n"/>
      <c r="DM33" s="122">
        <f>DL33*100/$E$33</f>
        <v/>
      </c>
      <c r="DN33" s="108" t="n"/>
      <c r="DO33" s="122">
        <f>DN33*100/$E$33</f>
        <v/>
      </c>
      <c r="DP33" s="108" t="n"/>
      <c r="DQ33" s="122">
        <f>DP33*100/$E$33</f>
        <v/>
      </c>
      <c r="DR33" s="108" t="n"/>
      <c r="DS33" s="122">
        <f>DR33*100/$E$33</f>
        <v/>
      </c>
      <c r="DT33" s="108" t="n"/>
      <c r="DU33" s="122">
        <f>DT33*100/$E$33</f>
        <v/>
      </c>
      <c r="DV33" s="108" t="n"/>
      <c r="DW33" s="122">
        <f>DV33*100/$E$33</f>
        <v/>
      </c>
      <c r="DX33" s="108" t="n"/>
      <c r="DY33" s="122">
        <f>DX33*100/$E$33</f>
        <v/>
      </c>
      <c r="DZ33" s="108" t="n"/>
      <c r="EA33" s="122">
        <f>DZ33*100/$E$33</f>
        <v/>
      </c>
      <c r="EB33" s="108" t="n"/>
      <c r="EC33" s="122">
        <f>EB33*100/$E$33</f>
        <v/>
      </c>
      <c r="ED33" s="108" t="n"/>
      <c r="EE33" s="122">
        <f>ED33*100/$E$33</f>
        <v/>
      </c>
      <c r="EF33" s="108" t="n"/>
      <c r="EG33" s="122">
        <f>EF33*100/$E$33</f>
        <v/>
      </c>
      <c r="EH33" s="108" t="n"/>
      <c r="EI33" s="122">
        <f>EH33*100/$E$33</f>
        <v/>
      </c>
      <c r="EJ33" s="108" t="n"/>
      <c r="EK33" s="122">
        <f>EJ33*100/$E$33</f>
        <v/>
      </c>
      <c r="EL33" s="108" t="n"/>
      <c r="EM33" s="122">
        <f>EL33*100/$E$33</f>
        <v/>
      </c>
      <c r="EN33" s="108" t="n"/>
      <c r="EO33" s="122">
        <f>EN33*100/$E$33</f>
        <v/>
      </c>
      <c r="EP33" s="108" t="n"/>
      <c r="EQ33" s="122">
        <f>EP33*100/$E$33</f>
        <v/>
      </c>
      <c r="ER33" s="108" t="n"/>
      <c r="ES33" s="122">
        <f>ER33*100/$E$33</f>
        <v/>
      </c>
      <c r="ET33" s="108" t="n"/>
      <c r="EU33" s="122">
        <f>ET33*100/$E$33</f>
        <v/>
      </c>
      <c r="EV33" s="108" t="n"/>
      <c r="EW33" s="122">
        <f>EV33*100/$E$33</f>
        <v/>
      </c>
      <c r="EX33" s="108" t="n"/>
      <c r="EY33" s="122">
        <f>EX33*100/$E$33</f>
        <v/>
      </c>
      <c r="EZ33" s="108" t="n"/>
      <c r="FA33" s="122">
        <f>EZ33*100/$E$33</f>
        <v/>
      </c>
      <c r="FB33" s="108" t="n"/>
      <c r="FC33" s="122">
        <f>FB33*100/$E$33</f>
        <v/>
      </c>
      <c r="FD33" s="108" t="n"/>
      <c r="FE33" s="122">
        <f>FD33*100/$E$33</f>
        <v/>
      </c>
      <c r="FF33" s="108" t="n"/>
      <c r="FG33" s="122">
        <f>FF33*100/$E$33</f>
        <v/>
      </c>
      <c r="FH33" s="108" t="n"/>
      <c r="FI33" s="122">
        <f>FH33*100/$E$33</f>
        <v/>
      </c>
      <c r="FJ33" s="108" t="n"/>
      <c r="FK33" s="122">
        <f>FJ33*100/$E$33</f>
        <v/>
      </c>
      <c r="FL33" s="108" t="n"/>
      <c r="FM33" s="122">
        <f>FL33*100/$E$33</f>
        <v/>
      </c>
      <c r="FN33" s="108" t="n"/>
      <c r="FO33" s="122">
        <f>FN33*100/$E$33</f>
        <v/>
      </c>
      <c r="FP33" s="108" t="n"/>
      <c r="FQ33" s="122">
        <f>FP33*100/$E$33</f>
        <v/>
      </c>
      <c r="FR33" s="108" t="n"/>
      <c r="FS33" s="122">
        <f>FR33*100/$E$33</f>
        <v/>
      </c>
      <c r="FT33" s="108" t="n"/>
      <c r="FU33" s="122">
        <f>FT33*100/$E$33</f>
        <v/>
      </c>
      <c r="FV33" s="108" t="n"/>
      <c r="FW33" s="122">
        <f>FV33*100/$E$33</f>
        <v/>
      </c>
      <c r="FX33" s="108" t="n"/>
      <c r="FY33" s="107">
        <f>FX33*100/$E$33</f>
        <v/>
      </c>
      <c r="FZ33" s="108" t="n"/>
      <c r="GA33" s="107">
        <f>FZ33*100/$E$33</f>
        <v/>
      </c>
      <c r="GB33" s="108" t="n"/>
      <c r="GC33" s="107">
        <f>GB33*100/$E$33</f>
        <v/>
      </c>
      <c r="GD33" s="108" t="n"/>
      <c r="GE33" s="107">
        <f>GD33*100/$E$33</f>
        <v/>
      </c>
      <c r="GF33" s="108" t="n"/>
      <c r="GG33" s="107">
        <f>GF33*100/$E$33</f>
        <v/>
      </c>
      <c r="GH33" s="108" t="n"/>
      <c r="GI33" s="107">
        <f>GH33*100/$E$33</f>
        <v/>
      </c>
      <c r="GJ33" s="108" t="n"/>
      <c r="GK33" s="122">
        <f>GJ33*100/$E$33</f>
        <v/>
      </c>
      <c r="GL33" s="108" t="n"/>
      <c r="GM33" s="107">
        <f>GL33*100/$E$33</f>
        <v/>
      </c>
      <c r="GN33" s="108" t="n"/>
      <c r="GO33" s="122">
        <f>GN33*100/$E$33</f>
        <v/>
      </c>
      <c r="GP33" s="108" t="n"/>
      <c r="GQ33" s="107">
        <f>GP33*100/$E$33</f>
        <v/>
      </c>
      <c r="GR33" s="108" t="n"/>
      <c r="GS33" s="122">
        <f>GR33*100/$E$33</f>
        <v/>
      </c>
      <c r="GT33" s="108" t="n"/>
      <c r="GU33" s="122">
        <f>GT33*100/$E$33</f>
        <v/>
      </c>
      <c r="GV33" s="108" t="n"/>
      <c r="GW33" s="122">
        <f>GV33*100/$E$33</f>
        <v/>
      </c>
      <c r="GX33" s="108" t="n"/>
      <c r="GY33" s="107">
        <f>GX33*100/$E$33</f>
        <v/>
      </c>
      <c r="GZ33" s="108" t="n"/>
      <c r="HA33" s="107">
        <f>GZ33*100/$E$33</f>
        <v/>
      </c>
      <c r="HB33" s="108" t="n"/>
      <c r="HC33" s="107">
        <f>HB33*100/$E$33</f>
        <v/>
      </c>
      <c r="HD33" s="108" t="n"/>
      <c r="HE33" s="107">
        <f>HD33*100/$E$33</f>
        <v/>
      </c>
      <c r="HF33" s="108" t="n"/>
      <c r="HG33" s="107">
        <f>HF33*100/$E$33</f>
        <v/>
      </c>
      <c r="HH33" s="108" t="n"/>
      <c r="HI33" s="107">
        <f>HH33*100/$E$33</f>
        <v/>
      </c>
      <c r="HJ33" s="108" t="n"/>
      <c r="HK33" s="107">
        <f>HJ33*100/$E$33</f>
        <v/>
      </c>
      <c r="HL33" s="108" t="n"/>
      <c r="HM33" s="107">
        <f>HL33*100/$E$33</f>
        <v/>
      </c>
      <c r="HN33" s="108" t="n"/>
      <c r="HO33" s="107">
        <f>HN33*100/$E$33</f>
        <v/>
      </c>
      <c r="HP33" s="108" t="n"/>
      <c r="HQ33" s="107">
        <f>HP33*100/$E$33</f>
        <v/>
      </c>
      <c r="HR33" s="108" t="n"/>
      <c r="HS33" s="107">
        <f>HR33*100/$E$33</f>
        <v/>
      </c>
      <c r="HT33" s="108" t="n"/>
      <c r="HU33" s="107">
        <f>HT33*100/$E$33</f>
        <v/>
      </c>
      <c r="HV33" s="108" t="n"/>
      <c r="HW33" s="107">
        <f>HV33*100/$E$33</f>
        <v/>
      </c>
      <c r="HX33" s="108" t="n"/>
      <c r="HY33" s="107">
        <f>HX33*100/$E$33</f>
        <v/>
      </c>
      <c r="HZ33" s="108" t="n"/>
      <c r="IA33" s="122">
        <f>HZ33*100/$E$33</f>
        <v/>
      </c>
      <c r="IB33" s="108" t="n"/>
      <c r="IC33" s="122">
        <f>IB33*100/$E$33</f>
        <v/>
      </c>
      <c r="ID33" s="108" t="n"/>
      <c r="IE33" s="122">
        <f>ID33*100/$E$33</f>
        <v/>
      </c>
      <c r="IF33" s="108" t="n"/>
      <c r="IG33" s="122">
        <f>IF33*100/$E$33</f>
        <v/>
      </c>
      <c r="IH33" s="108" t="n"/>
      <c r="II33" s="122">
        <f>IH33*100/$E$33</f>
        <v/>
      </c>
      <c r="IJ33" s="108" t="n"/>
      <c r="IK33" s="122">
        <f>IJ33*100/$E$33</f>
        <v/>
      </c>
      <c r="IL33" s="108" t="n"/>
      <c r="IM33" s="107">
        <f>IL33*100/$E$33</f>
        <v/>
      </c>
      <c r="IN33" s="108" t="n"/>
      <c r="IO33" s="107">
        <f>IN33*100/$E$33</f>
        <v/>
      </c>
      <c r="IP33" s="108" t="n"/>
      <c r="IQ33" s="122">
        <f>IP33*100/$E$33</f>
        <v/>
      </c>
      <c r="IR33" s="108" t="n"/>
      <c r="IS33" s="122">
        <f>IR33*100/$E$33</f>
        <v/>
      </c>
      <c r="IT33" s="108" t="n"/>
      <c r="IU33" s="122">
        <f>IT33*100/$E$33</f>
        <v/>
      </c>
      <c r="IV33" s="108" t="n"/>
      <c r="IW33" s="122">
        <f>IV33*100/$E$33</f>
        <v/>
      </c>
      <c r="IX33" s="108" t="n"/>
      <c r="IY33" s="122">
        <f>IX33*100/$E$33</f>
        <v/>
      </c>
      <c r="IZ33" s="108" t="n"/>
      <c r="JA33" s="122">
        <f>IZ33*100/$E$33</f>
        <v/>
      </c>
      <c r="JB33" s="108" t="n"/>
      <c r="JC33" s="122">
        <f>JB33*100/$E$33</f>
        <v/>
      </c>
      <c r="JD33" s="108" t="n"/>
      <c r="JE33" s="122">
        <f>JD33*100/$E$33</f>
        <v/>
      </c>
      <c r="JF33" s="108" t="n"/>
      <c r="JG33" s="122">
        <f>JF33*100/$E$33</f>
        <v/>
      </c>
      <c r="JH33" s="108" t="n"/>
      <c r="JI33" s="122">
        <f>JH33*100/$E$33</f>
        <v/>
      </c>
      <c r="JJ33" s="108" t="n"/>
      <c r="JK33" s="122">
        <f>JJ33*100/$E$33</f>
        <v/>
      </c>
      <c r="JL33" s="108" t="n"/>
      <c r="JM33" s="122">
        <f>JL33*100/$E$33</f>
        <v/>
      </c>
      <c r="JN33" s="108" t="n"/>
      <c r="JO33" s="121">
        <f>JN33*100/$E$33</f>
        <v/>
      </c>
      <c r="JP33" s="108" t="n"/>
      <c r="JQ33" s="121">
        <f>JP33*100/$E$33</f>
        <v/>
      </c>
      <c r="JR33" s="108" t="n"/>
      <c r="JS33" s="121">
        <f>JR33*100/$E$33</f>
        <v/>
      </c>
      <c r="JT33" s="108" t="n"/>
      <c r="JU33" s="121">
        <f>JT33*100/$E$33</f>
        <v/>
      </c>
      <c r="JV33" s="108" t="n"/>
      <c r="JW33" s="121">
        <f>JV33*100/$E$33</f>
        <v/>
      </c>
      <c r="JX33" s="108" t="n"/>
      <c r="JY33" s="121">
        <f>JX33*100/$E$33</f>
        <v/>
      </c>
      <c r="JZ33" s="55">
        <f>JN33+JP33+JR33+JT33+JV33+JX33</f>
        <v/>
      </c>
      <c r="KA33" s="53">
        <f>JO33+JQ33+JS33+JU33+JW33+JY33</f>
        <v/>
      </c>
      <c r="KB33" s="64">
        <f>H33+J33+L33+N33+P33+R33+T33+V33+X33+Z33+AB33+AD33+AF33+AH33+AJ33+AL33+AN33+AP33+AR33+AT33+AV33+AX33+AZ33+BB33+BD33+BF33+BH33+BJ33+BL33+BN33+BP33+BR33+BT33+BV33+BX33+BZ33+CB33+CD33+CF33+CH33+CZ33+DB33+DD33+DF33+DH33+DJ33+DL33+DN33+DP33+DR33+DT33+DV33+DX33+DZ33+EB33+ED33+EF33+EH33+EJ33+EL33+EN33+EP33+ER33+ET33+EV33+FN33+FP33+FR33+FT33+FV33+FX33+FZ33+GB33+GD33+GF33+GH33+GJ33+GL33+GN33+GP33+GR33+GT33+GV33+GX33+GZ33+HB33+HD33+HF33+HH33+HJ33+HL33+HN33+HP33+HR33+HT33+HV33+HX33+HZ33+IB33+ID33+IF33+IH33+IJ33+IL33+IN33+IP33+IR33+IT33+IV33+IX33+IZ33+JB33+JD33+JF33+JH33+JJ33+JL33+JZ33+CJ33+CL33+CN33+CP33+CR33+CT33+CV33+CX33+EX33+EZ33+FB33+FD33+FF33+FH33+FJ33+FL33</f>
        <v/>
      </c>
      <c r="KC33" s="66">
        <f>I33+K33+M33+O33+Q33+S33+U33+W33+Y33+AA33+AC33+AE33+AG33+AI33+AK33+AM33+AO33+AQ33+AS33+AU33+AW33+AY33+BA33+BC33+BE33+BG33+BI33+BK33+BM33+BO33+BQ33+BS33+BU33+BW33+BY33+CA33+CC33+CE33+CG33+CI33+DA33+DC33+DE33+DG33+DI33+DK33+DM33+DO33+DQ33+DS33+DU33+DW33+DY33+EA33+EC33+EE33+EG33+EI33+EK33+EM33+EO33+EQ33+ES33+EU33+EW33+FO33+FS33+FU33+FW33+FQ33+FY33+GA33+GC33+GE33+GG33+GI33+GK33+GM33+GO33+GQ33+GS33+GU33+GW33+GY33+HA33+HC33+HE33+HG33+HI33+HK33+HM33+HO33+HQ33+HS33+HU33+HW33+HY33+IA33+IC33+IE33+IG33+II33+IK33+IM33+IO33+IQ33+IS33+IU33+IW33+IY33+JA33+JC33+JE33+JG33+JI33+JK33+JM33+KA33+CK33+CM33+CO33+CQ33+CS33+CU33+CW33+CY33+EY33+FA33+FC33+FE33+FG33+FI33+FK33+FM33</f>
        <v/>
      </c>
      <c r="KD33" s="44">
        <f>JO33+JQ33+JS33+JU33+JW33+JY33</f>
        <v/>
      </c>
      <c r="KE33" s="45">
        <f>KB33=E33</f>
        <v/>
      </c>
      <c r="KF33" s="101">
        <f>E33-KB33</f>
        <v/>
      </c>
      <c r="KG33" s="11" t="n"/>
    </row>
    <row r="34" ht="21.75" customFormat="1" customHeight="1" s="11">
      <c r="A34" s="126">
        <f>A33+1</f>
        <v/>
      </c>
      <c r="B34" s="201" t="inlineStr">
        <is>
          <t>Неверов Г.А.</t>
        </is>
      </c>
      <c r="C34" s="194" t="inlineStr">
        <is>
          <t>слесарь</t>
        </is>
      </c>
      <c r="D34" s="177">
        <f>$D$5</f>
        <v/>
      </c>
      <c r="E34" s="202" t="n"/>
      <c r="F34" s="193" t="n">
        <v>68902.87</v>
      </c>
      <c r="G34" s="52">
        <f>F34/D34</f>
        <v/>
      </c>
      <c r="H34" s="125" t="n"/>
      <c r="I34" s="107">
        <f>H34*100/$E$34</f>
        <v/>
      </c>
      <c r="J34" s="108" t="n"/>
      <c r="K34" s="107">
        <f>J34*100/$E$34</f>
        <v/>
      </c>
      <c r="L34" s="108" t="n"/>
      <c r="M34" s="107">
        <f>L34*100/$E$34</f>
        <v/>
      </c>
      <c r="N34" s="108" t="n"/>
      <c r="O34" s="107">
        <f>N34*100/$E$34</f>
        <v/>
      </c>
      <c r="P34" s="108" t="n"/>
      <c r="Q34" s="122">
        <f>P34*100/$E$34</f>
        <v/>
      </c>
      <c r="R34" s="108" t="n"/>
      <c r="S34" s="122">
        <f>R34*100/$E$34</f>
        <v/>
      </c>
      <c r="T34" s="108" t="n"/>
      <c r="U34" s="107">
        <f>T34*100/$E$34</f>
        <v/>
      </c>
      <c r="V34" s="108" t="n"/>
      <c r="W34" s="107">
        <f>V34*100/$E$34</f>
        <v/>
      </c>
      <c r="X34" s="108" t="n"/>
      <c r="Y34" s="107">
        <f>X34*100/$E$34</f>
        <v/>
      </c>
      <c r="Z34" s="108" t="n"/>
      <c r="AA34" s="107">
        <f>Z34*100/$E$34</f>
        <v/>
      </c>
      <c r="AB34" s="108" t="n"/>
      <c r="AC34" s="107">
        <f>AB34*100/$E$34</f>
        <v/>
      </c>
      <c r="AD34" s="108" t="n"/>
      <c r="AE34" s="122">
        <f>AD34*100/$E$34</f>
        <v/>
      </c>
      <c r="AF34" s="108" t="n"/>
      <c r="AG34" s="122">
        <f>AF34*100/$E$34</f>
        <v/>
      </c>
      <c r="AH34" s="108" t="n"/>
      <c r="AI34" s="107">
        <f>AH34*100/$E$34</f>
        <v/>
      </c>
      <c r="AJ34" s="108" t="n"/>
      <c r="AK34" s="107">
        <f>AJ34*100/$E$34</f>
        <v/>
      </c>
      <c r="AL34" s="108" t="n"/>
      <c r="AM34" s="107">
        <f>AL34*100/$E$34</f>
        <v/>
      </c>
      <c r="AN34" s="108" t="n"/>
      <c r="AO34" s="107">
        <f>AN34*100/$E$34</f>
        <v/>
      </c>
      <c r="AP34" s="108" t="n"/>
      <c r="AQ34" s="107">
        <f>AP34*100/$E$34</f>
        <v/>
      </c>
      <c r="AR34" s="108" t="n"/>
      <c r="AS34" s="107">
        <f>AR34*100/$E$34</f>
        <v/>
      </c>
      <c r="AT34" s="108" t="n"/>
      <c r="AU34" s="90">
        <f>AT34*100/$E$34</f>
        <v/>
      </c>
      <c r="AV34" s="108" t="n"/>
      <c r="AW34" s="107">
        <f>AV34*100/$E$34</f>
        <v/>
      </c>
      <c r="AX34" s="108" t="n"/>
      <c r="AY34" s="107">
        <f>AX34*100/$E$34</f>
        <v/>
      </c>
      <c r="AZ34" s="108" t="n"/>
      <c r="BA34" s="107">
        <f>AZ34*100/$E$34</f>
        <v/>
      </c>
      <c r="BB34" s="108" t="n"/>
      <c r="BC34" s="107">
        <f>BB34*100/$E$34</f>
        <v/>
      </c>
      <c r="BD34" s="108" t="n"/>
      <c r="BE34" s="107">
        <f>BD34*100/$E$34</f>
        <v/>
      </c>
      <c r="BF34" s="108" t="n"/>
      <c r="BG34" s="107">
        <f>BF34*100/$E$34</f>
        <v/>
      </c>
      <c r="BH34" s="108" t="n"/>
      <c r="BI34" s="107">
        <f>BH34*100/$E$34</f>
        <v/>
      </c>
      <c r="BJ34" s="108" t="n"/>
      <c r="BK34" s="107">
        <f>BJ34*100/$E$34</f>
        <v/>
      </c>
      <c r="BL34" s="108" t="n"/>
      <c r="BM34" s="107">
        <f>BL34*100/$E$34</f>
        <v/>
      </c>
      <c r="BN34" s="108" t="n"/>
      <c r="BO34" s="107">
        <f>BN34*100/$E$34</f>
        <v/>
      </c>
      <c r="BP34" s="108" t="n"/>
      <c r="BQ34" s="107">
        <f>BP34*100/$E$34</f>
        <v/>
      </c>
      <c r="BR34" s="108" t="n"/>
      <c r="BS34" s="107">
        <f>BR34*100/$E$34</f>
        <v/>
      </c>
      <c r="BT34" s="108" t="n"/>
      <c r="BU34" s="107">
        <f>BT34*100/$E$34</f>
        <v/>
      </c>
      <c r="BV34" s="108" t="n"/>
      <c r="BW34" s="107">
        <f>BV34*100/$E$34</f>
        <v/>
      </c>
      <c r="BX34" s="108" t="n"/>
      <c r="BY34" s="107">
        <f>BX34*100/$E$34</f>
        <v/>
      </c>
      <c r="BZ34" s="108" t="n"/>
      <c r="CA34" s="107">
        <f>BZ34*100/$E$34</f>
        <v/>
      </c>
      <c r="CB34" s="108" t="n"/>
      <c r="CC34" s="107">
        <f>CB34*100/$E$34</f>
        <v/>
      </c>
      <c r="CD34" s="108" t="n"/>
      <c r="CE34" s="107">
        <f>CD34*100/$E$34</f>
        <v/>
      </c>
      <c r="CF34" s="108" t="n"/>
      <c r="CG34" s="107">
        <f>CF34*100/$E$34</f>
        <v/>
      </c>
      <c r="CH34" s="108" t="n"/>
      <c r="CI34" s="107">
        <f>CH34*100/$E$34</f>
        <v/>
      </c>
      <c r="CJ34" s="108" t="n"/>
      <c r="CK34" s="107">
        <f>CJ34*100/$E$34</f>
        <v/>
      </c>
      <c r="CL34" s="108" t="n"/>
      <c r="CM34" s="107">
        <f>CL34*100/$E$34</f>
        <v/>
      </c>
      <c r="CN34" s="108" t="n"/>
      <c r="CO34" s="122">
        <f>CN34*100/$E$34</f>
        <v/>
      </c>
      <c r="CP34" s="108" t="n"/>
      <c r="CQ34" s="107">
        <f>CP34*100/$E$34</f>
        <v/>
      </c>
      <c r="CR34" s="108" t="n"/>
      <c r="CS34" s="122">
        <f>CR34*100/$E$34</f>
        <v/>
      </c>
      <c r="CT34" s="108" t="n"/>
      <c r="CU34" s="122">
        <f>CT34*100/$E$34</f>
        <v/>
      </c>
      <c r="CV34" s="108" t="n"/>
      <c r="CW34" s="122">
        <f>CV34*100/$E$34</f>
        <v/>
      </c>
      <c r="CX34" s="108" t="n"/>
      <c r="CY34" s="122">
        <f>CX34*100/$E$34</f>
        <v/>
      </c>
      <c r="CZ34" s="108" t="n"/>
      <c r="DA34" s="122">
        <f>CZ34*100/$E$34</f>
        <v/>
      </c>
      <c r="DB34" s="108" t="n"/>
      <c r="DC34" s="122">
        <f>DB34*100/$E$34</f>
        <v/>
      </c>
      <c r="DD34" s="108" t="n"/>
      <c r="DE34" s="122">
        <f>DD34*100/$E$34</f>
        <v/>
      </c>
      <c r="DF34" s="108" t="n"/>
      <c r="DG34" s="122">
        <f>DF34*100/$E$34</f>
        <v/>
      </c>
      <c r="DH34" s="108" t="n"/>
      <c r="DI34" s="122">
        <f>DH34*100/$E$34</f>
        <v/>
      </c>
      <c r="DJ34" s="108" t="n"/>
      <c r="DK34" s="122">
        <f>DJ34*100/$E$34</f>
        <v/>
      </c>
      <c r="DL34" s="108" t="n"/>
      <c r="DM34" s="122">
        <f>DL34*100/$E$34</f>
        <v/>
      </c>
      <c r="DN34" s="108" t="n"/>
      <c r="DO34" s="122">
        <f>DN34*100/$E$34</f>
        <v/>
      </c>
      <c r="DP34" s="108" t="n"/>
      <c r="DQ34" s="122">
        <f>DP34*100/$E$34</f>
        <v/>
      </c>
      <c r="DR34" s="108" t="n"/>
      <c r="DS34" s="122">
        <f>DR34*100/$E$34</f>
        <v/>
      </c>
      <c r="DT34" s="108" t="n"/>
      <c r="DU34" s="122">
        <f>DT34*100/$E$34</f>
        <v/>
      </c>
      <c r="DV34" s="108" t="n"/>
      <c r="DW34" s="122">
        <f>DV34*100/$E$34</f>
        <v/>
      </c>
      <c r="DX34" s="108" t="n"/>
      <c r="DY34" s="122">
        <f>DX34*100/$E$34</f>
        <v/>
      </c>
      <c r="DZ34" s="108" t="n"/>
      <c r="EA34" s="122">
        <f>DZ34*100/$E$34</f>
        <v/>
      </c>
      <c r="EB34" s="108" t="n"/>
      <c r="EC34" s="122">
        <f>EB34*100/$E$34</f>
        <v/>
      </c>
      <c r="ED34" s="108" t="n"/>
      <c r="EE34" s="122">
        <f>ED34*100/$E$34</f>
        <v/>
      </c>
      <c r="EF34" s="108" t="n"/>
      <c r="EG34" s="122">
        <f>EF34*100/$E$34</f>
        <v/>
      </c>
      <c r="EH34" s="108" t="n"/>
      <c r="EI34" s="122">
        <f>EH34*100/$E$34</f>
        <v/>
      </c>
      <c r="EJ34" s="108" t="n"/>
      <c r="EK34" s="122">
        <f>EJ34*100/$E$34</f>
        <v/>
      </c>
      <c r="EL34" s="108" t="n"/>
      <c r="EM34" s="122">
        <f>EL34*100/$E$34</f>
        <v/>
      </c>
      <c r="EN34" s="108" t="n"/>
      <c r="EO34" s="122">
        <f>EN34*100/$E$34</f>
        <v/>
      </c>
      <c r="EP34" s="108" t="n"/>
      <c r="EQ34" s="122">
        <f>EP34*100/$E$34</f>
        <v/>
      </c>
      <c r="ER34" s="108" t="n"/>
      <c r="ES34" s="122">
        <f>ER34*100/$E$34</f>
        <v/>
      </c>
      <c r="ET34" s="108" t="n"/>
      <c r="EU34" s="122">
        <f>ET34*100/$E$34</f>
        <v/>
      </c>
      <c r="EV34" s="108" t="n"/>
      <c r="EW34" s="122">
        <f>EV34*100/$E$34</f>
        <v/>
      </c>
      <c r="EX34" s="108" t="n"/>
      <c r="EY34" s="122">
        <f>EX34*100/$E$34</f>
        <v/>
      </c>
      <c r="EZ34" s="108" t="n"/>
      <c r="FA34" s="122">
        <f>EZ34*100/$E$34</f>
        <v/>
      </c>
      <c r="FB34" s="108" t="n"/>
      <c r="FC34" s="122">
        <f>FB34*100/$E$34</f>
        <v/>
      </c>
      <c r="FD34" s="108" t="n"/>
      <c r="FE34" s="122">
        <f>FD34*100/$E$34</f>
        <v/>
      </c>
      <c r="FF34" s="108" t="n"/>
      <c r="FG34" s="122">
        <f>FF34*100/$E$34</f>
        <v/>
      </c>
      <c r="FH34" s="108" t="n"/>
      <c r="FI34" s="122">
        <f>FH34*100/$E$34</f>
        <v/>
      </c>
      <c r="FJ34" s="108" t="n"/>
      <c r="FK34" s="122">
        <f>FJ34*100/$E$34</f>
        <v/>
      </c>
      <c r="FL34" s="108" t="n"/>
      <c r="FM34" s="122">
        <f>FL34*100/$E$34</f>
        <v/>
      </c>
      <c r="FN34" s="108" t="n"/>
      <c r="FO34" s="122">
        <f>FN34*100/$E$34</f>
        <v/>
      </c>
      <c r="FP34" s="108" t="n"/>
      <c r="FQ34" s="122">
        <f>FP34*100/$E$34</f>
        <v/>
      </c>
      <c r="FR34" s="108" t="n"/>
      <c r="FS34" s="122">
        <f>FR34*100/$E$34</f>
        <v/>
      </c>
      <c r="FT34" s="108" t="n"/>
      <c r="FU34" s="122">
        <f>FT34*100/$E$34</f>
        <v/>
      </c>
      <c r="FV34" s="108" t="n"/>
      <c r="FW34" s="122">
        <f>FV34*100/$E$34</f>
        <v/>
      </c>
      <c r="FX34" s="108" t="n"/>
      <c r="FY34" s="107">
        <f>FX34*100/$E$34</f>
        <v/>
      </c>
      <c r="FZ34" s="108" t="n"/>
      <c r="GA34" s="107">
        <f>FZ34*100/$E$34</f>
        <v/>
      </c>
      <c r="GB34" s="108" t="n"/>
      <c r="GC34" s="107">
        <f>GB34*100/$E$34</f>
        <v/>
      </c>
      <c r="GD34" s="108" t="n"/>
      <c r="GE34" s="107">
        <f>GD34*100/$E$34</f>
        <v/>
      </c>
      <c r="GF34" s="108" t="n"/>
      <c r="GG34" s="107">
        <f>GF34*100/$E$34</f>
        <v/>
      </c>
      <c r="GH34" s="108" t="n"/>
      <c r="GI34" s="107">
        <f>GH34*100/$E$34</f>
        <v/>
      </c>
      <c r="GJ34" s="108" t="n"/>
      <c r="GK34" s="122">
        <f>GJ34*100/$E$34</f>
        <v/>
      </c>
      <c r="GL34" s="108" t="n"/>
      <c r="GM34" s="107">
        <f>GL34*100/$E$34</f>
        <v/>
      </c>
      <c r="GN34" s="108" t="n"/>
      <c r="GO34" s="122">
        <f>GN34*100/$E$34</f>
        <v/>
      </c>
      <c r="GP34" s="108" t="n"/>
      <c r="GQ34" s="107">
        <f>GP34*100/$E$34</f>
        <v/>
      </c>
      <c r="GR34" s="108" t="n"/>
      <c r="GS34" s="122">
        <f>GR34*100/$E$34</f>
        <v/>
      </c>
      <c r="GT34" s="108" t="n"/>
      <c r="GU34" s="122">
        <f>GT34*100/$E$34</f>
        <v/>
      </c>
      <c r="GV34" s="108" t="n"/>
      <c r="GW34" s="122">
        <f>GV34*100/$E$34</f>
        <v/>
      </c>
      <c r="GX34" s="108" t="n"/>
      <c r="GY34" s="107">
        <f>GX34*100/$E$34</f>
        <v/>
      </c>
      <c r="GZ34" s="108" t="n"/>
      <c r="HA34" s="107">
        <f>GZ34*100/$E$34</f>
        <v/>
      </c>
      <c r="HB34" s="108" t="n"/>
      <c r="HC34" s="107">
        <f>HB34*100/$E$34</f>
        <v/>
      </c>
      <c r="HD34" s="108" t="n"/>
      <c r="HE34" s="107">
        <f>HD34*100/$E$34</f>
        <v/>
      </c>
      <c r="HF34" s="108" t="n"/>
      <c r="HG34" s="107">
        <f>HF34*100/$E$34</f>
        <v/>
      </c>
      <c r="HH34" s="108" t="n"/>
      <c r="HI34" s="107">
        <f>HH34*100/$E$34</f>
        <v/>
      </c>
      <c r="HJ34" s="108" t="n"/>
      <c r="HK34" s="107">
        <f>HJ34*100/$E$34</f>
        <v/>
      </c>
      <c r="HL34" s="108" t="n"/>
      <c r="HM34" s="107">
        <f>HL34*100/$E$34</f>
        <v/>
      </c>
      <c r="HN34" s="108" t="n"/>
      <c r="HO34" s="107">
        <f>HN34*100/$E$34</f>
        <v/>
      </c>
      <c r="HP34" s="108" t="n"/>
      <c r="HQ34" s="107">
        <f>HP34*100/$E$34</f>
        <v/>
      </c>
      <c r="HR34" s="108" t="n"/>
      <c r="HS34" s="107">
        <f>HR34*100/$E$34</f>
        <v/>
      </c>
      <c r="HT34" s="108" t="n"/>
      <c r="HU34" s="107">
        <f>HT34*100/$E$34</f>
        <v/>
      </c>
      <c r="HV34" s="108" t="n"/>
      <c r="HW34" s="107">
        <f>HV34*100/$E$34</f>
        <v/>
      </c>
      <c r="HX34" s="108" t="n"/>
      <c r="HY34" s="107">
        <f>HX34*100/$E$34</f>
        <v/>
      </c>
      <c r="HZ34" s="108" t="n"/>
      <c r="IA34" s="122">
        <f>HZ34*100/$E$34</f>
        <v/>
      </c>
      <c r="IB34" s="108" t="n"/>
      <c r="IC34" s="122">
        <f>IB34*100/$E$34</f>
        <v/>
      </c>
      <c r="ID34" s="108" t="n"/>
      <c r="IE34" s="122">
        <f>ID34*100/$E$34</f>
        <v/>
      </c>
      <c r="IF34" s="108" t="n"/>
      <c r="IG34" s="122">
        <f>IF34*100/$E$34</f>
        <v/>
      </c>
      <c r="IH34" s="108" t="n"/>
      <c r="II34" s="122">
        <f>IH34*100/$E$34</f>
        <v/>
      </c>
      <c r="IJ34" s="108" t="n"/>
      <c r="IK34" s="122">
        <f>IJ34*100/$E$34</f>
        <v/>
      </c>
      <c r="IL34" s="108" t="n"/>
      <c r="IM34" s="107">
        <f>IL34*100/$E$34</f>
        <v/>
      </c>
      <c r="IN34" s="108" t="n"/>
      <c r="IO34" s="107">
        <f>IN34*100/$E$34</f>
        <v/>
      </c>
      <c r="IP34" s="108" t="n"/>
      <c r="IQ34" s="122">
        <f>IP34*100/$E$34</f>
        <v/>
      </c>
      <c r="IR34" s="108" t="n"/>
      <c r="IS34" s="122">
        <f>IR34*100/$E$34</f>
        <v/>
      </c>
      <c r="IT34" s="108" t="n"/>
      <c r="IU34" s="122">
        <f>IT34*100/$E$34</f>
        <v/>
      </c>
      <c r="IV34" s="108" t="n"/>
      <c r="IW34" s="122">
        <f>IV34*100/$E$34</f>
        <v/>
      </c>
      <c r="IX34" s="108" t="n"/>
      <c r="IY34" s="122">
        <f>IX34*100/$E$34</f>
        <v/>
      </c>
      <c r="IZ34" s="108" t="n"/>
      <c r="JA34" s="122">
        <f>IZ34*100/$E$34</f>
        <v/>
      </c>
      <c r="JB34" s="108" t="n"/>
      <c r="JC34" s="122">
        <f>JB34*100/$E$34</f>
        <v/>
      </c>
      <c r="JD34" s="108" t="n"/>
      <c r="JE34" s="122">
        <f>JD34*100/$E$34</f>
        <v/>
      </c>
      <c r="JF34" s="108" t="n"/>
      <c r="JG34" s="122">
        <f>JF34*100/$E$34</f>
        <v/>
      </c>
      <c r="JH34" s="108" t="n"/>
      <c r="JI34" s="122">
        <f>JH34*100/$E$34</f>
        <v/>
      </c>
      <c r="JJ34" s="108" t="n"/>
      <c r="JK34" s="122">
        <f>JJ34*100/$E$34</f>
        <v/>
      </c>
      <c r="JL34" s="108" t="n"/>
      <c r="JM34" s="122">
        <f>JL34*100/$E$34</f>
        <v/>
      </c>
      <c r="JN34" s="108" t="n"/>
      <c r="JO34" s="121">
        <f>JN34*100/$E$34</f>
        <v/>
      </c>
      <c r="JP34" s="108" t="n"/>
      <c r="JQ34" s="121">
        <f>JP34*100/$E$34</f>
        <v/>
      </c>
      <c r="JR34" s="108" t="n"/>
      <c r="JS34" s="121">
        <f>JR34*100/$E$34</f>
        <v/>
      </c>
      <c r="JT34" s="108" t="n"/>
      <c r="JU34" s="121">
        <f>JT34*100/$E$34</f>
        <v/>
      </c>
      <c r="JV34" s="108" t="n"/>
      <c r="JW34" s="121">
        <f>JV34*100/$E$34</f>
        <v/>
      </c>
      <c r="JX34" s="108" t="n"/>
      <c r="JY34" s="121">
        <f>JX34*100/$E$34</f>
        <v/>
      </c>
      <c r="JZ34" s="55">
        <f>JN34+JP34+JR34+JT34+JV34+JX34</f>
        <v/>
      </c>
      <c r="KA34" s="53">
        <f>JO34+JQ34+JS34+JU34+JW34+JY34</f>
        <v/>
      </c>
      <c r="KB34" s="64">
        <f>H34+J34+L34+N34+P34+R34+T34+V34+X34+Z34+AB34+AD34+AF34+AH34+AJ34+AL34+AN34+AP34+AR34+AT34+AV34+AX34+AZ34+BB34+BD34+BF34+BH34+BJ34+BL34+BN34+BP34+BR34+BT34+BV34+BX34+BZ34+CB34+CD34+CF34+CH34+CZ34+DB34+DD34+DF34+DH34+DJ34+DL34+DN34+DP34+DR34+DT34+DV34+DX34+DZ34+EB34+ED34+EF34+EH34+EJ34+EL34+EN34+EP34+ER34+ET34+EV34+FN34+FP34+FR34+FT34+FV34+FX34+FZ34+GB34+GD34+GF34+GH34+GJ34+GL34+GN34+GP34+GR34+GT34+GV34+GX34+GZ34+HB34+HD34+HF34+HH34+HJ34+HL34+HN34+HP34+HR34+HT34+HV34+HX34+HZ34+IB34+ID34+IF34+IH34+IJ34+IL34+IN34+IP34+IR34+IT34+IV34+IX34+IZ34+JB34+JD34+JF34+JH34+JJ34+JL34+JZ34+CJ34+CL34+CN34+CP34+CR34+CT34+CV34+CX34+EX34+EZ34+FB34+FD34+FF34+FH34+FJ34+FL34</f>
        <v/>
      </c>
      <c r="KC34" s="66">
        <f>I34+K34+M34+O34+Q34+S34+U34+W34+Y34+AA34+AC34+AE34+AG34+AI34+AK34+AM34+AO34+AQ34+AS34+AU34+AW34+AY34+BA34+BC34+BE34+BG34+BI34+BK34+BM34+BO34+BQ34+BS34+BU34+BW34+BY34+CA34+CC34+CE34+CG34+CI34+DA34+DC34+DE34+DG34+DI34+DK34+DM34+DO34+DQ34+DS34+DU34+DW34+DY34+EA34+EC34+EE34+EG34+EI34+EK34+EM34+EO34+EQ34+ES34+EU34+EW34+FO34+FS34+FU34+FW34+FQ34+FY34+GA34+GC34+GE34+GG34+GI34+GK34+GM34+GO34+GQ34+GS34+GU34+GW34+GY34+HA34+HC34+HE34+HG34+HI34+HK34+HM34+HO34+HQ34+HS34+HU34+HW34+HY34+IA34+IC34+IE34+IG34+II34+IK34+IM34+IO34+IQ34+IS34+IU34+IW34+IY34+JA34+JC34+JE34+JG34+JI34+JK34+JM34+KA34+CK34+CM34+CO34+CQ34+CS34+CU34+CW34+CY34+EY34+FA34+FC34+FE34+FG34+FI34+FK34+FM34</f>
        <v/>
      </c>
      <c r="KD34" s="44">
        <f>JO34+JQ34+JS34+JU34+JW34+JY34</f>
        <v/>
      </c>
      <c r="KE34" s="45">
        <f>KB34=E34</f>
        <v/>
      </c>
      <c r="KF34" s="101">
        <f>E34-KB34</f>
        <v/>
      </c>
      <c r="KG34" s="23" t="n"/>
    </row>
    <row r="35" ht="21.75" customFormat="1" customHeight="1" s="23">
      <c r="A35" s="126">
        <f>A34+1</f>
        <v/>
      </c>
      <c r="B35" s="175" t="inlineStr">
        <is>
          <t>Никулин В.Г.</t>
        </is>
      </c>
      <c r="C35" s="176" t="inlineStr">
        <is>
          <t>токарь</t>
        </is>
      </c>
      <c r="D35" s="177">
        <f>$D$5</f>
        <v/>
      </c>
      <c r="E35" s="202" t="n"/>
      <c r="F35" s="193" t="n">
        <v>107473.5</v>
      </c>
      <c r="G35" s="52">
        <f>F35/D35</f>
        <v/>
      </c>
      <c r="H35" s="125" t="n"/>
      <c r="I35" s="107">
        <f>H35*100/$E$35</f>
        <v/>
      </c>
      <c r="J35" s="108" t="n"/>
      <c r="K35" s="107">
        <f>J35*100/$E$35</f>
        <v/>
      </c>
      <c r="L35" s="108" t="n"/>
      <c r="M35" s="107">
        <f>L35*100/$E$35</f>
        <v/>
      </c>
      <c r="N35" s="108" t="n"/>
      <c r="O35" s="107">
        <f>N35*100/$E$35</f>
        <v/>
      </c>
      <c r="P35" s="108" t="n"/>
      <c r="Q35" s="122">
        <f>P35*100/$E$35</f>
        <v/>
      </c>
      <c r="R35" s="108" t="n"/>
      <c r="S35" s="122">
        <f>R35*100/$E$35</f>
        <v/>
      </c>
      <c r="T35" s="108" t="n"/>
      <c r="U35" s="107">
        <f>T35*100/$E$35</f>
        <v/>
      </c>
      <c r="V35" s="108" t="n"/>
      <c r="W35" s="107">
        <f>V35*100/$E$35</f>
        <v/>
      </c>
      <c r="X35" s="108" t="n"/>
      <c r="Y35" s="107">
        <f>X35*100/$E$35</f>
        <v/>
      </c>
      <c r="Z35" s="108" t="n"/>
      <c r="AA35" s="107">
        <f>Z35*100/$E$35</f>
        <v/>
      </c>
      <c r="AB35" s="108" t="n"/>
      <c r="AC35" s="107">
        <f>AB35*100/$E$35</f>
        <v/>
      </c>
      <c r="AD35" s="108" t="n"/>
      <c r="AE35" s="122">
        <f>AD35*100/$E$35</f>
        <v/>
      </c>
      <c r="AF35" s="108" t="n"/>
      <c r="AG35" s="122">
        <f>AF35*100/$E$35</f>
        <v/>
      </c>
      <c r="AH35" s="108" t="n"/>
      <c r="AI35" s="107">
        <f>AH35*100/$E$35</f>
        <v/>
      </c>
      <c r="AJ35" s="108" t="n"/>
      <c r="AK35" s="107">
        <f>AJ35*100/$E$35</f>
        <v/>
      </c>
      <c r="AL35" s="108" t="n"/>
      <c r="AM35" s="107">
        <f>AL35*100/$E$35</f>
        <v/>
      </c>
      <c r="AN35" s="108" t="n"/>
      <c r="AO35" s="107">
        <f>AN35*100/$E$35</f>
        <v/>
      </c>
      <c r="AP35" s="108" t="n"/>
      <c r="AQ35" s="107">
        <f>AP35*100/$E$35</f>
        <v/>
      </c>
      <c r="AR35" s="108" t="n"/>
      <c r="AS35" s="107">
        <f>AR35*100/$E$35</f>
        <v/>
      </c>
      <c r="AT35" s="108" t="n"/>
      <c r="AU35" s="90">
        <f>AT35*100/$E$35</f>
        <v/>
      </c>
      <c r="AV35" s="108" t="n"/>
      <c r="AW35" s="107">
        <f>AV35*100/$E$35</f>
        <v/>
      </c>
      <c r="AX35" s="108" t="n"/>
      <c r="AY35" s="107">
        <f>AX35*100/$E$35</f>
        <v/>
      </c>
      <c r="AZ35" s="108" t="n"/>
      <c r="BA35" s="107">
        <f>AZ35*100/$E$35</f>
        <v/>
      </c>
      <c r="BB35" s="108" t="n"/>
      <c r="BC35" s="107">
        <f>BB35*100/$E$35</f>
        <v/>
      </c>
      <c r="BD35" s="108" t="n"/>
      <c r="BE35" s="107">
        <f>BD35*100/$E$35</f>
        <v/>
      </c>
      <c r="BF35" s="108" t="n"/>
      <c r="BG35" s="107">
        <f>BF35*100/$E$35</f>
        <v/>
      </c>
      <c r="BH35" s="108" t="n"/>
      <c r="BI35" s="107">
        <f>BH35*100/$E$35</f>
        <v/>
      </c>
      <c r="BJ35" s="108" t="n"/>
      <c r="BK35" s="107">
        <f>BJ35*100/$E$35</f>
        <v/>
      </c>
      <c r="BL35" s="108" t="n"/>
      <c r="BM35" s="107">
        <f>BL35*100/$E$35</f>
        <v/>
      </c>
      <c r="BN35" s="108" t="n"/>
      <c r="BO35" s="107">
        <f>BN35*100/$E$35</f>
        <v/>
      </c>
      <c r="BP35" s="108" t="n"/>
      <c r="BQ35" s="107">
        <f>BP35*100/$E$35</f>
        <v/>
      </c>
      <c r="BR35" s="108" t="n"/>
      <c r="BS35" s="107">
        <f>BR35*100/$E$35</f>
        <v/>
      </c>
      <c r="BT35" s="108" t="n"/>
      <c r="BU35" s="107">
        <f>BT35*100/$E$35</f>
        <v/>
      </c>
      <c r="BV35" s="108" t="n"/>
      <c r="BW35" s="107">
        <f>BV35*100/$E$35</f>
        <v/>
      </c>
      <c r="BX35" s="108" t="n"/>
      <c r="BY35" s="107">
        <f>BX35*100/$E$35</f>
        <v/>
      </c>
      <c r="BZ35" s="108" t="n"/>
      <c r="CA35" s="107">
        <f>BZ35*100/$E$35</f>
        <v/>
      </c>
      <c r="CB35" s="108" t="n"/>
      <c r="CC35" s="107">
        <f>CB35*100/$E$35</f>
        <v/>
      </c>
      <c r="CD35" s="108" t="n"/>
      <c r="CE35" s="107">
        <f>CD35*100/$E$35</f>
        <v/>
      </c>
      <c r="CF35" s="108" t="n"/>
      <c r="CG35" s="107">
        <f>CF35*100/$E$35</f>
        <v/>
      </c>
      <c r="CH35" s="108" t="n"/>
      <c r="CI35" s="107">
        <f>CH35*100/$E$35</f>
        <v/>
      </c>
      <c r="CJ35" s="108" t="n"/>
      <c r="CK35" s="107">
        <f>CJ35*100/$E$35</f>
        <v/>
      </c>
      <c r="CL35" s="108" t="n"/>
      <c r="CM35" s="107">
        <f>CL35*100/$E$35</f>
        <v/>
      </c>
      <c r="CN35" s="108" t="n"/>
      <c r="CO35" s="122">
        <f>CN35*100/$E$35</f>
        <v/>
      </c>
      <c r="CP35" s="108" t="n"/>
      <c r="CQ35" s="107">
        <f>CP35*100/$E$35</f>
        <v/>
      </c>
      <c r="CR35" s="108" t="n"/>
      <c r="CS35" s="122">
        <f>CR35*100/$E$35</f>
        <v/>
      </c>
      <c r="CT35" s="108" t="n"/>
      <c r="CU35" s="122">
        <f>CT35*100/$E$35</f>
        <v/>
      </c>
      <c r="CV35" s="108" t="n"/>
      <c r="CW35" s="122">
        <f>CV35*100/$E$35</f>
        <v/>
      </c>
      <c r="CX35" s="108" t="n"/>
      <c r="CY35" s="122">
        <f>CX35*100/$E$35</f>
        <v/>
      </c>
      <c r="CZ35" s="108" t="n"/>
      <c r="DA35" s="122">
        <f>CZ35*100/$E$35</f>
        <v/>
      </c>
      <c r="DB35" s="108" t="n"/>
      <c r="DC35" s="122">
        <f>DB35*100/$E$35</f>
        <v/>
      </c>
      <c r="DD35" s="108" t="n"/>
      <c r="DE35" s="122">
        <f>DD35*100/$E$35</f>
        <v/>
      </c>
      <c r="DF35" s="108" t="n"/>
      <c r="DG35" s="122">
        <f>DF35*100/$E$35</f>
        <v/>
      </c>
      <c r="DH35" s="108" t="n"/>
      <c r="DI35" s="122">
        <f>DH35*100/$E$35</f>
        <v/>
      </c>
      <c r="DJ35" s="108" t="n"/>
      <c r="DK35" s="122">
        <f>DJ35*100/$E$35</f>
        <v/>
      </c>
      <c r="DL35" s="108" t="n"/>
      <c r="DM35" s="122">
        <f>DL35*100/$E$35</f>
        <v/>
      </c>
      <c r="DN35" s="108" t="n"/>
      <c r="DO35" s="122">
        <f>DN35*100/$E$35</f>
        <v/>
      </c>
      <c r="DP35" s="108" t="n"/>
      <c r="DQ35" s="122">
        <f>DP35*100/$E$35</f>
        <v/>
      </c>
      <c r="DR35" s="108" t="n"/>
      <c r="DS35" s="122">
        <f>DR35*100/$E$35</f>
        <v/>
      </c>
      <c r="DT35" s="108" t="n"/>
      <c r="DU35" s="122">
        <f>DT35*100/$E$35</f>
        <v/>
      </c>
      <c r="DV35" s="108" t="n"/>
      <c r="DW35" s="122">
        <f>DV35*100/$E$35</f>
        <v/>
      </c>
      <c r="DX35" s="108" t="n"/>
      <c r="DY35" s="122">
        <f>DX35*100/$E$35</f>
        <v/>
      </c>
      <c r="DZ35" s="108" t="n"/>
      <c r="EA35" s="122">
        <f>DZ35*100/$E$35</f>
        <v/>
      </c>
      <c r="EB35" s="108" t="n"/>
      <c r="EC35" s="122">
        <f>EB35*100/$E$35</f>
        <v/>
      </c>
      <c r="ED35" s="108" t="n"/>
      <c r="EE35" s="122">
        <f>ED35*100/$E$35</f>
        <v/>
      </c>
      <c r="EF35" s="108" t="n"/>
      <c r="EG35" s="122">
        <f>EF35*100/$E$35</f>
        <v/>
      </c>
      <c r="EH35" s="108" t="n"/>
      <c r="EI35" s="122">
        <f>EH35*100/$E$35</f>
        <v/>
      </c>
      <c r="EJ35" s="108" t="n"/>
      <c r="EK35" s="122">
        <f>EJ35*100/$E$35</f>
        <v/>
      </c>
      <c r="EL35" s="108" t="n"/>
      <c r="EM35" s="122">
        <f>EL35*100/$E$35</f>
        <v/>
      </c>
      <c r="EN35" s="108" t="n"/>
      <c r="EO35" s="122">
        <f>EN35*100/$E$35</f>
        <v/>
      </c>
      <c r="EP35" s="108" t="n"/>
      <c r="EQ35" s="122">
        <f>EP35*100/$E$35</f>
        <v/>
      </c>
      <c r="ER35" s="108" t="n"/>
      <c r="ES35" s="122">
        <f>ER35*100/$E$35</f>
        <v/>
      </c>
      <c r="ET35" s="108" t="n"/>
      <c r="EU35" s="122">
        <f>ET35*100/$E$35</f>
        <v/>
      </c>
      <c r="EV35" s="108" t="n"/>
      <c r="EW35" s="122">
        <f>EV35*100/$E$35</f>
        <v/>
      </c>
      <c r="EX35" s="108" t="n"/>
      <c r="EY35" s="122">
        <f>EX35*100/$E$35</f>
        <v/>
      </c>
      <c r="EZ35" s="108" t="n"/>
      <c r="FA35" s="122">
        <f>EZ35*100/$E$35</f>
        <v/>
      </c>
      <c r="FB35" s="108" t="n"/>
      <c r="FC35" s="122">
        <f>FB35*100/$E$35</f>
        <v/>
      </c>
      <c r="FD35" s="108" t="n"/>
      <c r="FE35" s="122">
        <f>FD35*100/$E$35</f>
        <v/>
      </c>
      <c r="FF35" s="108" t="n"/>
      <c r="FG35" s="122">
        <f>FF35*100/$E$35</f>
        <v/>
      </c>
      <c r="FH35" s="108" t="n"/>
      <c r="FI35" s="122">
        <f>FH35*100/$E$35</f>
        <v/>
      </c>
      <c r="FJ35" s="108" t="n"/>
      <c r="FK35" s="122">
        <f>FJ35*100/$E$35</f>
        <v/>
      </c>
      <c r="FL35" s="108" t="n"/>
      <c r="FM35" s="122">
        <f>FL35*100/$E$35</f>
        <v/>
      </c>
      <c r="FN35" s="108" t="n"/>
      <c r="FO35" s="122">
        <f>FN35*100/$E$35</f>
        <v/>
      </c>
      <c r="FP35" s="108" t="n"/>
      <c r="FQ35" s="122">
        <f>FP35*100/$E$35</f>
        <v/>
      </c>
      <c r="FR35" s="108" t="n"/>
      <c r="FS35" s="122">
        <f>FR35*100/$E$35</f>
        <v/>
      </c>
      <c r="FT35" s="108" t="n"/>
      <c r="FU35" s="122">
        <f>FT35*100/$E$35</f>
        <v/>
      </c>
      <c r="FV35" s="108" t="n"/>
      <c r="FW35" s="122">
        <f>FV35*100/$E$35</f>
        <v/>
      </c>
      <c r="FX35" s="108" t="n"/>
      <c r="FY35" s="107">
        <f>FX35*100/$E$35</f>
        <v/>
      </c>
      <c r="FZ35" s="108" t="n"/>
      <c r="GA35" s="107">
        <f>FZ35*100/$E$35</f>
        <v/>
      </c>
      <c r="GB35" s="108" t="n"/>
      <c r="GC35" s="107">
        <f>GB35*100/$E$35</f>
        <v/>
      </c>
      <c r="GD35" s="108" t="n"/>
      <c r="GE35" s="107">
        <f>GD35*100/$E$35</f>
        <v/>
      </c>
      <c r="GF35" s="108" t="n"/>
      <c r="GG35" s="107">
        <f>GF35*100/$E$35</f>
        <v/>
      </c>
      <c r="GH35" s="108" t="n"/>
      <c r="GI35" s="107">
        <f>GH35*100/$E$35</f>
        <v/>
      </c>
      <c r="GJ35" s="108" t="n"/>
      <c r="GK35" s="122">
        <f>GJ35*100/$E$35</f>
        <v/>
      </c>
      <c r="GL35" s="108" t="n"/>
      <c r="GM35" s="107">
        <f>GL35*100/$E$35</f>
        <v/>
      </c>
      <c r="GN35" s="108" t="n"/>
      <c r="GO35" s="122">
        <f>GN35*100/$E$35</f>
        <v/>
      </c>
      <c r="GP35" s="108" t="n"/>
      <c r="GQ35" s="107">
        <f>GP35*100/$E$35</f>
        <v/>
      </c>
      <c r="GR35" s="108" t="n"/>
      <c r="GS35" s="122">
        <f>GR35*100/$E$35</f>
        <v/>
      </c>
      <c r="GT35" s="108" t="n"/>
      <c r="GU35" s="122">
        <f>GT35*100/$E$35</f>
        <v/>
      </c>
      <c r="GV35" s="108" t="n"/>
      <c r="GW35" s="122">
        <f>GV35*100/$E$35</f>
        <v/>
      </c>
      <c r="GX35" s="108" t="n"/>
      <c r="GY35" s="107">
        <f>GX35*100/$E$35</f>
        <v/>
      </c>
      <c r="GZ35" s="108" t="n"/>
      <c r="HA35" s="107">
        <f>GZ35*100/$E$35</f>
        <v/>
      </c>
      <c r="HB35" s="108" t="n"/>
      <c r="HC35" s="107">
        <f>HB35*100/$E$35</f>
        <v/>
      </c>
      <c r="HD35" s="108" t="n"/>
      <c r="HE35" s="107">
        <f>HD35*100/$E$35</f>
        <v/>
      </c>
      <c r="HF35" s="108" t="n"/>
      <c r="HG35" s="107">
        <f>HF35*100/$E$35</f>
        <v/>
      </c>
      <c r="HH35" s="108" t="n"/>
      <c r="HI35" s="107">
        <f>HH35*100/$E$35</f>
        <v/>
      </c>
      <c r="HJ35" s="108" t="n"/>
      <c r="HK35" s="107">
        <f>HJ35*100/$E$35</f>
        <v/>
      </c>
      <c r="HL35" s="108" t="n"/>
      <c r="HM35" s="107">
        <f>HL35*100/$E$35</f>
        <v/>
      </c>
      <c r="HN35" s="108" t="n"/>
      <c r="HO35" s="107">
        <f>HN35*100/$E$35</f>
        <v/>
      </c>
      <c r="HP35" s="108" t="n"/>
      <c r="HQ35" s="107">
        <f>HP35*100/$E$35</f>
        <v/>
      </c>
      <c r="HR35" s="108" t="n"/>
      <c r="HS35" s="107">
        <f>HR35*100/$E$35</f>
        <v/>
      </c>
      <c r="HT35" s="108" t="n"/>
      <c r="HU35" s="107">
        <f>HT35*100/$E$35</f>
        <v/>
      </c>
      <c r="HV35" s="108" t="n"/>
      <c r="HW35" s="107">
        <f>HV35*100/$E$35</f>
        <v/>
      </c>
      <c r="HX35" s="108" t="n"/>
      <c r="HY35" s="107">
        <f>HX35*100/$E$35</f>
        <v/>
      </c>
      <c r="HZ35" s="108" t="n"/>
      <c r="IA35" s="122">
        <f>HZ35*100/$E$35</f>
        <v/>
      </c>
      <c r="IB35" s="108" t="n"/>
      <c r="IC35" s="122">
        <f>IB35*100/$E$35</f>
        <v/>
      </c>
      <c r="ID35" s="108" t="n"/>
      <c r="IE35" s="122">
        <f>ID35*100/$E$35</f>
        <v/>
      </c>
      <c r="IF35" s="108" t="n"/>
      <c r="IG35" s="122">
        <f>IF35*100/$E$35</f>
        <v/>
      </c>
      <c r="IH35" s="108" t="n"/>
      <c r="II35" s="122">
        <f>IH35*100/$E$35</f>
        <v/>
      </c>
      <c r="IJ35" s="108" t="n"/>
      <c r="IK35" s="122">
        <f>IJ35*100/$E$35</f>
        <v/>
      </c>
      <c r="IL35" s="108" t="n"/>
      <c r="IM35" s="107">
        <f>IL35*100/$E$35</f>
        <v/>
      </c>
      <c r="IN35" s="108" t="n"/>
      <c r="IO35" s="107">
        <f>IN35*100/$E$35</f>
        <v/>
      </c>
      <c r="IP35" s="108" t="n"/>
      <c r="IQ35" s="122">
        <f>IP35*100/$E$35</f>
        <v/>
      </c>
      <c r="IR35" s="108" t="n"/>
      <c r="IS35" s="122">
        <f>IR35*100/$E$35</f>
        <v/>
      </c>
      <c r="IT35" s="108" t="n"/>
      <c r="IU35" s="122">
        <f>IT35*100/$E$35</f>
        <v/>
      </c>
      <c r="IV35" s="108" t="n"/>
      <c r="IW35" s="122">
        <f>IV35*100/$E$35</f>
        <v/>
      </c>
      <c r="IX35" s="108" t="n"/>
      <c r="IY35" s="122">
        <f>IX35*100/$E$35</f>
        <v/>
      </c>
      <c r="IZ35" s="108" t="n"/>
      <c r="JA35" s="122">
        <f>IZ35*100/$E$35</f>
        <v/>
      </c>
      <c r="JB35" s="108" t="n"/>
      <c r="JC35" s="122">
        <f>JB35*100/$E$35</f>
        <v/>
      </c>
      <c r="JD35" s="108" t="n"/>
      <c r="JE35" s="122">
        <f>JD35*100/$E$35</f>
        <v/>
      </c>
      <c r="JF35" s="108" t="n"/>
      <c r="JG35" s="122">
        <f>JF35*100/$E$35</f>
        <v/>
      </c>
      <c r="JH35" s="108" t="n"/>
      <c r="JI35" s="122">
        <f>JH35*100/$E$35</f>
        <v/>
      </c>
      <c r="JJ35" s="108" t="n"/>
      <c r="JK35" s="122">
        <f>JJ35*100/$E$35</f>
        <v/>
      </c>
      <c r="JL35" s="108" t="n"/>
      <c r="JM35" s="122">
        <f>JL35*100/$E$35</f>
        <v/>
      </c>
      <c r="JN35" s="108" t="n"/>
      <c r="JO35" s="121">
        <f>JN35*100/$E$35</f>
        <v/>
      </c>
      <c r="JP35" s="108" t="n"/>
      <c r="JQ35" s="121">
        <f>JP35*100/$E$35</f>
        <v/>
      </c>
      <c r="JR35" s="108" t="n"/>
      <c r="JS35" s="121">
        <f>JR35*100/$E$35</f>
        <v/>
      </c>
      <c r="JT35" s="108" t="n"/>
      <c r="JU35" s="121">
        <f>JT35*100/$E$35</f>
        <v/>
      </c>
      <c r="JV35" s="108" t="n"/>
      <c r="JW35" s="121">
        <f>JV35*100/$E$35</f>
        <v/>
      </c>
      <c r="JX35" s="108" t="n"/>
      <c r="JY35" s="121">
        <f>JX35*100/$E$35</f>
        <v/>
      </c>
      <c r="JZ35" s="55">
        <f>JN35+JP35+JR35+JT35+JV35+JX35</f>
        <v/>
      </c>
      <c r="KA35" s="53">
        <f>JO35+JQ35+JS35+JU35+JW35+JY35</f>
        <v/>
      </c>
      <c r="KB35" s="64">
        <f>H35+J35+L35+N35+P35+R35+T35+V35+X35+Z35+AB35+AD35+AF35+AH35+AJ35+AL35+AN35+AP35+AR35+AT35+AV35+AX35+AZ35+BB35+BD35+BF35+BH35+BJ35+BL35+BN35+BP35+BR35+BT35+BV35+BX35+BZ35+CB35+CD35+CF35+CH35+CZ35+DB35+DD35+DF35+DH35+DJ35+DL35+DN35+DP35+DR35+DT35+DV35+DX35+DZ35+EB35+ED35+EF35+EH35+EJ35+EL35+EN35+EP35+ER35+ET35+EV35+FN35+FP35+FR35+FT35+FV35+FX35+FZ35+GB35+GD35+GF35+GH35+GJ35+GL35+GN35+GP35+GR35+GT35+GV35+GX35+GZ35+HB35+HD35+HF35+HH35+HJ35+HL35+HN35+HP35+HR35+HT35+HV35+HX35+HZ35+IB35+ID35+IF35+IH35+IJ35+IL35+IN35+IP35+IR35+IT35+IV35+IX35+IZ35+JB35+JD35+JF35+JH35+JJ35+JL35+JZ35+CJ35+CL35+CN35+CP35+CR35+CT35+CV35+CX35+EX35+EZ35+FB35+FD35+FF35+FH35+FJ35+FL35</f>
        <v/>
      </c>
      <c r="KC35" s="66">
        <f>I35+K35+M35+O35+Q35+S35+U35+W35+Y35+AA35+AC35+AE35+AG35+AI35+AK35+AM35+AO35+AQ35+AS35+AU35+AW35+AY35+BA35+BC35+BE35+BG35+BI35+BK35+BM35+BO35+BQ35+BS35+BU35+BW35+BY35+CA35+CC35+CE35+CG35+CI35+DA35+DC35+DE35+DG35+DI35+DK35+DM35+DO35+DQ35+DS35+DU35+DW35+DY35+EA35+EC35+EE35+EG35+EI35+EK35+EM35+EO35+EQ35+ES35+EU35+EW35+FO35+FS35+FU35+FW35+FQ35+FY35+GA35+GC35+GE35+GG35+GI35+GK35+GM35+GO35+GQ35+GS35+GU35+GW35+GY35+HA35+HC35+HE35+HG35+HI35+HK35+HM35+HO35+HQ35+HS35+HU35+HW35+HY35+IA35+IC35+IE35+IG35+II35+IK35+IM35+IO35+IQ35+IS35+IU35+IW35+IY35+JA35+JC35+JE35+JG35+JI35+JK35+JM35+KA35+CK35+CM35+CO35+CQ35+CS35+CU35+CW35+CY35+EY35+FA35+FC35+FE35+FG35+FI35+FK35+FM35</f>
        <v/>
      </c>
      <c r="KD35" s="44">
        <f>JO35+JQ35+JS35+JU35+JW35+JY35</f>
        <v/>
      </c>
      <c r="KE35" s="45">
        <f>KB35=E35</f>
        <v/>
      </c>
      <c r="KF35" s="101">
        <f>E35-KB35</f>
        <v/>
      </c>
      <c r="KG35" s="24" t="n"/>
    </row>
    <row r="36" ht="21.75" customFormat="1" customHeight="1" s="24">
      <c r="A36" s="126">
        <f>A35+1</f>
        <v/>
      </c>
      <c r="B36" s="198" t="inlineStr">
        <is>
          <t>Новокрещенов А.С.</t>
        </is>
      </c>
      <c r="C36" s="194" t="inlineStr">
        <is>
          <t>токарь-расточник</t>
        </is>
      </c>
      <c r="D36" s="177">
        <f>$D$5</f>
        <v/>
      </c>
      <c r="E36" s="202" t="n"/>
      <c r="F36" s="193" t="n">
        <v>107473.91</v>
      </c>
      <c r="G36" s="52">
        <f>F36/D36</f>
        <v/>
      </c>
      <c r="H36" s="125" t="n"/>
      <c r="I36" s="107">
        <f>H36*100/$E$36</f>
        <v/>
      </c>
      <c r="J36" s="108" t="n"/>
      <c r="K36" s="107">
        <f>J36*100/$E$36</f>
        <v/>
      </c>
      <c r="L36" s="108" t="n"/>
      <c r="M36" s="107">
        <f>L36*100/$E$36</f>
        <v/>
      </c>
      <c r="N36" s="108" t="n"/>
      <c r="O36" s="107">
        <f>N36*100/$E$36</f>
        <v/>
      </c>
      <c r="P36" s="108" t="n"/>
      <c r="Q36" s="122">
        <f>P36*100/$E$36</f>
        <v/>
      </c>
      <c r="R36" s="108" t="n"/>
      <c r="S36" s="122">
        <f>R36*100/$E$36</f>
        <v/>
      </c>
      <c r="T36" s="108" t="n"/>
      <c r="U36" s="107">
        <f>T36*100/$E$36</f>
        <v/>
      </c>
      <c r="V36" s="108" t="n"/>
      <c r="W36" s="107">
        <f>V36*100/$E$36</f>
        <v/>
      </c>
      <c r="X36" s="108" t="n"/>
      <c r="Y36" s="107">
        <f>X36*100/$E$36</f>
        <v/>
      </c>
      <c r="Z36" s="108" t="n"/>
      <c r="AA36" s="107">
        <f>Z36*100/$E$36</f>
        <v/>
      </c>
      <c r="AB36" s="108" t="n"/>
      <c r="AC36" s="107">
        <f>AB36*100/$E$36</f>
        <v/>
      </c>
      <c r="AD36" s="108" t="n"/>
      <c r="AE36" s="122">
        <f>AD36*100/$E$36</f>
        <v/>
      </c>
      <c r="AF36" s="108" t="n"/>
      <c r="AG36" s="122">
        <f>AF36*100/$E$36</f>
        <v/>
      </c>
      <c r="AH36" s="108" t="n"/>
      <c r="AI36" s="107">
        <f>AH36*100/$E$36</f>
        <v/>
      </c>
      <c r="AJ36" s="108" t="n"/>
      <c r="AK36" s="107">
        <f>AJ36*100/$E$36</f>
        <v/>
      </c>
      <c r="AL36" s="108" t="n"/>
      <c r="AM36" s="107">
        <f>AL36*100/$E$36</f>
        <v/>
      </c>
      <c r="AN36" s="108" t="n"/>
      <c r="AO36" s="107">
        <f>AN36*100/$E$36</f>
        <v/>
      </c>
      <c r="AP36" s="108" t="n"/>
      <c r="AQ36" s="107">
        <f>AP36*100/$E$36</f>
        <v/>
      </c>
      <c r="AR36" s="108" t="n"/>
      <c r="AS36" s="107">
        <f>AR36*100/$E$36</f>
        <v/>
      </c>
      <c r="AT36" s="108" t="n"/>
      <c r="AU36" s="90">
        <f>AT36*100/$E$36</f>
        <v/>
      </c>
      <c r="AV36" s="108" t="n"/>
      <c r="AW36" s="107">
        <f>AV36*100/$E$36</f>
        <v/>
      </c>
      <c r="AX36" s="108" t="n"/>
      <c r="AY36" s="107">
        <f>AX36*100/$E$36</f>
        <v/>
      </c>
      <c r="AZ36" s="108" t="n"/>
      <c r="BA36" s="107">
        <f>AZ36*100/$E$36</f>
        <v/>
      </c>
      <c r="BB36" s="108" t="n"/>
      <c r="BC36" s="107">
        <f>BB36*100/$E$36</f>
        <v/>
      </c>
      <c r="BD36" s="108" t="n"/>
      <c r="BE36" s="107">
        <f>BD36*100/$E$36</f>
        <v/>
      </c>
      <c r="BF36" s="108" t="n"/>
      <c r="BG36" s="107">
        <f>BF36*100/$E$36</f>
        <v/>
      </c>
      <c r="BH36" s="108" t="n"/>
      <c r="BI36" s="107">
        <f>BH36*100/$E$36</f>
        <v/>
      </c>
      <c r="BJ36" s="108" t="n"/>
      <c r="BK36" s="107">
        <f>BJ36*100/$E$36</f>
        <v/>
      </c>
      <c r="BL36" s="108" t="n"/>
      <c r="BM36" s="107">
        <f>BL36*100/$E$36</f>
        <v/>
      </c>
      <c r="BN36" s="108" t="n"/>
      <c r="BO36" s="107">
        <f>BN36*100/$E$36</f>
        <v/>
      </c>
      <c r="BP36" s="108" t="n"/>
      <c r="BQ36" s="107">
        <f>BP36*100/$E$36</f>
        <v/>
      </c>
      <c r="BR36" s="108" t="n"/>
      <c r="BS36" s="107">
        <f>BR36*100/$E$36</f>
        <v/>
      </c>
      <c r="BT36" s="108" t="n"/>
      <c r="BU36" s="107">
        <f>BT36*100/$E$36</f>
        <v/>
      </c>
      <c r="BV36" s="108" t="n"/>
      <c r="BW36" s="107">
        <f>BV36*100/$E$36</f>
        <v/>
      </c>
      <c r="BX36" s="108" t="n"/>
      <c r="BY36" s="107">
        <f>BX36*100/$E$36</f>
        <v/>
      </c>
      <c r="BZ36" s="108" t="n"/>
      <c r="CA36" s="107">
        <f>BZ36*100/$E$36</f>
        <v/>
      </c>
      <c r="CB36" s="108" t="n"/>
      <c r="CC36" s="107">
        <f>CB36*100/$E$36</f>
        <v/>
      </c>
      <c r="CD36" s="108" t="n"/>
      <c r="CE36" s="107">
        <f>CD36*100/$E$36</f>
        <v/>
      </c>
      <c r="CF36" s="108" t="n"/>
      <c r="CG36" s="107">
        <f>CF36*100/$E$36</f>
        <v/>
      </c>
      <c r="CH36" s="108" t="n"/>
      <c r="CI36" s="107">
        <f>CH36*100/$E$36</f>
        <v/>
      </c>
      <c r="CJ36" s="108" t="n"/>
      <c r="CK36" s="107">
        <f>CJ36*100/$E$36</f>
        <v/>
      </c>
      <c r="CL36" s="108" t="n"/>
      <c r="CM36" s="107">
        <f>CL36*100/$E$36</f>
        <v/>
      </c>
      <c r="CN36" s="108" t="n"/>
      <c r="CO36" s="122">
        <f>CN36*100/$E$36</f>
        <v/>
      </c>
      <c r="CP36" s="108" t="n"/>
      <c r="CQ36" s="107">
        <f>CP36*100/$E$36</f>
        <v/>
      </c>
      <c r="CR36" s="108" t="n"/>
      <c r="CS36" s="122">
        <f>CR36*100/$E$36</f>
        <v/>
      </c>
      <c r="CT36" s="108" t="n"/>
      <c r="CU36" s="122">
        <f>CT36*100/$E$36</f>
        <v/>
      </c>
      <c r="CV36" s="108" t="n"/>
      <c r="CW36" s="122">
        <f>CV36*100/$E$36</f>
        <v/>
      </c>
      <c r="CX36" s="108" t="n"/>
      <c r="CY36" s="122">
        <f>CX36*100/$E$36</f>
        <v/>
      </c>
      <c r="CZ36" s="108" t="n"/>
      <c r="DA36" s="122">
        <f>CZ36*100/$E$36</f>
        <v/>
      </c>
      <c r="DB36" s="108" t="n"/>
      <c r="DC36" s="122">
        <f>DB36*100/$E$36</f>
        <v/>
      </c>
      <c r="DD36" s="108" t="n"/>
      <c r="DE36" s="122">
        <f>DD36*100/$E$36</f>
        <v/>
      </c>
      <c r="DF36" s="108" t="n"/>
      <c r="DG36" s="122">
        <f>DF36*100/$E$36</f>
        <v/>
      </c>
      <c r="DH36" s="108" t="n"/>
      <c r="DI36" s="122">
        <f>DH36*100/$E$36</f>
        <v/>
      </c>
      <c r="DJ36" s="108" t="n"/>
      <c r="DK36" s="122">
        <f>DJ36*100/$E$36</f>
        <v/>
      </c>
      <c r="DL36" s="108" t="n"/>
      <c r="DM36" s="122">
        <f>DL36*100/$E$36</f>
        <v/>
      </c>
      <c r="DN36" s="108" t="n"/>
      <c r="DO36" s="122">
        <f>DN36*100/$E$36</f>
        <v/>
      </c>
      <c r="DP36" s="108" t="n"/>
      <c r="DQ36" s="122">
        <f>DP36*100/$E$36</f>
        <v/>
      </c>
      <c r="DR36" s="108" t="n"/>
      <c r="DS36" s="122">
        <f>DR36*100/$E$36</f>
        <v/>
      </c>
      <c r="DT36" s="108" t="n"/>
      <c r="DU36" s="122">
        <f>DT36*100/$E$36</f>
        <v/>
      </c>
      <c r="DV36" s="108" t="n"/>
      <c r="DW36" s="122">
        <f>DV36*100/$E$36</f>
        <v/>
      </c>
      <c r="DX36" s="108" t="n"/>
      <c r="DY36" s="122">
        <f>DX36*100/$E$36</f>
        <v/>
      </c>
      <c r="DZ36" s="108" t="n"/>
      <c r="EA36" s="122">
        <f>DZ36*100/$E$36</f>
        <v/>
      </c>
      <c r="EB36" s="108" t="n"/>
      <c r="EC36" s="122">
        <f>EB36*100/$E$36</f>
        <v/>
      </c>
      <c r="ED36" s="108" t="n"/>
      <c r="EE36" s="122">
        <f>ED36*100/$E$36</f>
        <v/>
      </c>
      <c r="EF36" s="108" t="n"/>
      <c r="EG36" s="122">
        <f>EF36*100/$E$36</f>
        <v/>
      </c>
      <c r="EH36" s="108" t="n"/>
      <c r="EI36" s="122">
        <f>EH36*100/$E$36</f>
        <v/>
      </c>
      <c r="EJ36" s="108" t="n"/>
      <c r="EK36" s="122">
        <f>EJ36*100/$E$36</f>
        <v/>
      </c>
      <c r="EL36" s="108" t="n"/>
      <c r="EM36" s="122">
        <f>EL36*100/$E$36</f>
        <v/>
      </c>
      <c r="EN36" s="108" t="n"/>
      <c r="EO36" s="122">
        <f>EN36*100/$E$36</f>
        <v/>
      </c>
      <c r="EP36" s="108" t="n"/>
      <c r="EQ36" s="122">
        <f>EP36*100/$E$36</f>
        <v/>
      </c>
      <c r="ER36" s="108" t="n"/>
      <c r="ES36" s="122">
        <f>ER36*100/$E$36</f>
        <v/>
      </c>
      <c r="ET36" s="108" t="n"/>
      <c r="EU36" s="122">
        <f>ET36*100/$E$36</f>
        <v/>
      </c>
      <c r="EV36" s="108" t="n"/>
      <c r="EW36" s="122">
        <f>EV36*100/$E$36</f>
        <v/>
      </c>
      <c r="EX36" s="108" t="n"/>
      <c r="EY36" s="122">
        <f>EX36*100/$E$36</f>
        <v/>
      </c>
      <c r="EZ36" s="108" t="n"/>
      <c r="FA36" s="122">
        <f>EZ36*100/$E$36</f>
        <v/>
      </c>
      <c r="FB36" s="108" t="n"/>
      <c r="FC36" s="122">
        <f>FB36*100/$E$36</f>
        <v/>
      </c>
      <c r="FD36" s="108" t="n"/>
      <c r="FE36" s="122">
        <f>FD36*100/$E$36</f>
        <v/>
      </c>
      <c r="FF36" s="108" t="n"/>
      <c r="FG36" s="122">
        <f>FF36*100/$E$36</f>
        <v/>
      </c>
      <c r="FH36" s="108" t="n"/>
      <c r="FI36" s="122">
        <f>FH36*100/$E$36</f>
        <v/>
      </c>
      <c r="FJ36" s="108" t="n"/>
      <c r="FK36" s="122">
        <f>FJ36*100/$E$36</f>
        <v/>
      </c>
      <c r="FL36" s="108" t="n"/>
      <c r="FM36" s="122">
        <f>FL36*100/$E$36</f>
        <v/>
      </c>
      <c r="FN36" s="108" t="n"/>
      <c r="FO36" s="122">
        <f>FN36*100/$E$36</f>
        <v/>
      </c>
      <c r="FP36" s="108" t="n"/>
      <c r="FQ36" s="122">
        <f>FP36*100/$E$36</f>
        <v/>
      </c>
      <c r="FR36" s="108" t="n"/>
      <c r="FS36" s="122">
        <f>FR36*100/$E$36</f>
        <v/>
      </c>
      <c r="FT36" s="108" t="n"/>
      <c r="FU36" s="122">
        <f>FT36*100/$E$36</f>
        <v/>
      </c>
      <c r="FV36" s="108" t="n"/>
      <c r="FW36" s="122">
        <f>FV36*100/$E$36</f>
        <v/>
      </c>
      <c r="FX36" s="108" t="n"/>
      <c r="FY36" s="107">
        <f>FX36*100/$E$36</f>
        <v/>
      </c>
      <c r="FZ36" s="108" t="n"/>
      <c r="GA36" s="107">
        <f>FZ36*100/$E$36</f>
        <v/>
      </c>
      <c r="GB36" s="108" t="n"/>
      <c r="GC36" s="107">
        <f>GB36*100/$E$36</f>
        <v/>
      </c>
      <c r="GD36" s="108" t="n"/>
      <c r="GE36" s="107">
        <f>GD36*100/$E$36</f>
        <v/>
      </c>
      <c r="GF36" s="108" t="n"/>
      <c r="GG36" s="107">
        <f>GF36*100/$E$36</f>
        <v/>
      </c>
      <c r="GH36" s="108" t="n"/>
      <c r="GI36" s="107">
        <f>GH36*100/$E$36</f>
        <v/>
      </c>
      <c r="GJ36" s="108" t="n"/>
      <c r="GK36" s="122">
        <f>GJ36*100/$E$36</f>
        <v/>
      </c>
      <c r="GL36" s="108" t="n"/>
      <c r="GM36" s="107">
        <f>GL36*100/$E$36</f>
        <v/>
      </c>
      <c r="GN36" s="108" t="n"/>
      <c r="GO36" s="122">
        <f>GN36*100/$E$36</f>
        <v/>
      </c>
      <c r="GP36" s="108" t="n"/>
      <c r="GQ36" s="107">
        <f>GP36*100/$E$36</f>
        <v/>
      </c>
      <c r="GR36" s="108" t="n"/>
      <c r="GS36" s="122">
        <f>GR36*100/$E$36</f>
        <v/>
      </c>
      <c r="GT36" s="108" t="n"/>
      <c r="GU36" s="122">
        <f>GT36*100/$E$36</f>
        <v/>
      </c>
      <c r="GV36" s="108" t="n"/>
      <c r="GW36" s="122">
        <f>GV36*100/$E$36</f>
        <v/>
      </c>
      <c r="GX36" s="108" t="n"/>
      <c r="GY36" s="107">
        <f>GX36*100/$E$36</f>
        <v/>
      </c>
      <c r="GZ36" s="108" t="n"/>
      <c r="HA36" s="107">
        <f>GZ36*100/$E$36</f>
        <v/>
      </c>
      <c r="HB36" s="108" t="n"/>
      <c r="HC36" s="107">
        <f>HB36*100/$E$36</f>
        <v/>
      </c>
      <c r="HD36" s="108" t="n"/>
      <c r="HE36" s="107">
        <f>HD36*100/$E$36</f>
        <v/>
      </c>
      <c r="HF36" s="108" t="n"/>
      <c r="HG36" s="107">
        <f>HF36*100/$E$36</f>
        <v/>
      </c>
      <c r="HH36" s="108" t="n"/>
      <c r="HI36" s="107">
        <f>HH36*100/$E$36</f>
        <v/>
      </c>
      <c r="HJ36" s="108" t="n"/>
      <c r="HK36" s="107">
        <f>HJ36*100/$E$36</f>
        <v/>
      </c>
      <c r="HL36" s="108" t="n"/>
      <c r="HM36" s="107">
        <f>HL36*100/$E$36</f>
        <v/>
      </c>
      <c r="HN36" s="108" t="n"/>
      <c r="HO36" s="107">
        <f>HN36*100/$E$36</f>
        <v/>
      </c>
      <c r="HP36" s="108" t="n"/>
      <c r="HQ36" s="107">
        <f>HP36*100/$E$36</f>
        <v/>
      </c>
      <c r="HR36" s="108" t="n"/>
      <c r="HS36" s="107">
        <f>HR36*100/$E$36</f>
        <v/>
      </c>
      <c r="HT36" s="108" t="n"/>
      <c r="HU36" s="107">
        <f>HT36*100/$E$36</f>
        <v/>
      </c>
      <c r="HV36" s="108" t="n"/>
      <c r="HW36" s="107">
        <f>HV36*100/$E$36</f>
        <v/>
      </c>
      <c r="HX36" s="108" t="n"/>
      <c r="HY36" s="107">
        <f>HX36*100/$E$36</f>
        <v/>
      </c>
      <c r="HZ36" s="108" t="n"/>
      <c r="IA36" s="122">
        <f>HZ36*100/$E$36</f>
        <v/>
      </c>
      <c r="IB36" s="108" t="n"/>
      <c r="IC36" s="122">
        <f>IB36*100/$E$36</f>
        <v/>
      </c>
      <c r="ID36" s="108" t="n"/>
      <c r="IE36" s="122">
        <f>ID36*100/$E$36</f>
        <v/>
      </c>
      <c r="IF36" s="108" t="n"/>
      <c r="IG36" s="122">
        <f>IF36*100/$E$36</f>
        <v/>
      </c>
      <c r="IH36" s="108" t="n"/>
      <c r="II36" s="122">
        <f>IH36*100/$E$36</f>
        <v/>
      </c>
      <c r="IJ36" s="108" t="n"/>
      <c r="IK36" s="122">
        <f>IJ36*100/$E$36</f>
        <v/>
      </c>
      <c r="IL36" s="108" t="n"/>
      <c r="IM36" s="107">
        <f>IL36*100/$E$36</f>
        <v/>
      </c>
      <c r="IN36" s="108" t="n"/>
      <c r="IO36" s="107">
        <f>IN36*100/$E$36</f>
        <v/>
      </c>
      <c r="IP36" s="108" t="n"/>
      <c r="IQ36" s="122">
        <f>IP36*100/$E$36</f>
        <v/>
      </c>
      <c r="IR36" s="108" t="n"/>
      <c r="IS36" s="122">
        <f>IR36*100/$E$36</f>
        <v/>
      </c>
      <c r="IT36" s="108" t="n"/>
      <c r="IU36" s="122">
        <f>IT36*100/$E$36</f>
        <v/>
      </c>
      <c r="IV36" s="108" t="n"/>
      <c r="IW36" s="122">
        <f>IV36*100/$E$36</f>
        <v/>
      </c>
      <c r="IX36" s="108" t="n"/>
      <c r="IY36" s="122">
        <f>IX36*100/$E$36</f>
        <v/>
      </c>
      <c r="IZ36" s="108" t="n"/>
      <c r="JA36" s="122">
        <f>IZ36*100/$E$36</f>
        <v/>
      </c>
      <c r="JB36" s="108" t="n"/>
      <c r="JC36" s="122">
        <f>JB36*100/$E$36</f>
        <v/>
      </c>
      <c r="JD36" s="108" t="n"/>
      <c r="JE36" s="122">
        <f>JD36*100/$E$36</f>
        <v/>
      </c>
      <c r="JF36" s="108" t="n"/>
      <c r="JG36" s="122">
        <f>JF36*100/$E$36</f>
        <v/>
      </c>
      <c r="JH36" s="108" t="n"/>
      <c r="JI36" s="122">
        <f>JH36*100/$E$36</f>
        <v/>
      </c>
      <c r="JJ36" s="108" t="n"/>
      <c r="JK36" s="122">
        <f>JJ36*100/$E$36</f>
        <v/>
      </c>
      <c r="JL36" s="108" t="n"/>
      <c r="JM36" s="122">
        <f>JL36*100/$E$36</f>
        <v/>
      </c>
      <c r="JN36" s="108" t="n"/>
      <c r="JO36" s="121">
        <f>JN36*100/$E$36</f>
        <v/>
      </c>
      <c r="JP36" s="108" t="n"/>
      <c r="JQ36" s="121">
        <f>JP36*100/$E$36</f>
        <v/>
      </c>
      <c r="JR36" s="108" t="n"/>
      <c r="JS36" s="121">
        <f>JR36*100/$E$36</f>
        <v/>
      </c>
      <c r="JT36" s="108" t="n"/>
      <c r="JU36" s="121">
        <f>JT36*100/$E$36</f>
        <v/>
      </c>
      <c r="JV36" s="108" t="n"/>
      <c r="JW36" s="121">
        <f>JV36*100/$E$36</f>
        <v/>
      </c>
      <c r="JX36" s="108" t="n"/>
      <c r="JY36" s="121">
        <f>JX36*100/$E$36</f>
        <v/>
      </c>
      <c r="JZ36" s="55">
        <f>JN36+JP36+JR36+JT36+JV36+JX36</f>
        <v/>
      </c>
      <c r="KA36" s="53">
        <f>JO36+JQ36+JS36+JU36+JW36+JY36</f>
        <v/>
      </c>
      <c r="KB36" s="64">
        <f>H36+J36+L36+N36+P36+R36+T36+V36+X36+Z36+AB36+AD36+AF36+AH36+AJ36+AL36+AN36+AP36+AR36+AT36+AV36+AX36+AZ36+BB36+BD36+BF36+BH36+BJ36+BL36+BN36+BP36+BR36+BT36+BV36+BX36+BZ36+CB36+CD36+CF36+CH36+CZ36+DB36+DD36+DF36+DH36+DJ36+DL36+DN36+DP36+DR36+DT36+DV36+DX36+DZ36+EB36+ED36+EF36+EH36+EJ36+EL36+EN36+EP36+ER36+ET36+EV36+FN36+FP36+FR36+FT36+FV36+FX36+FZ36+GB36+GD36+GF36+GH36+GJ36+GL36+GN36+GP36+GR36+GT36+GV36+GX36+GZ36+HB36+HD36+HF36+HH36+HJ36+HL36+HN36+HP36+HR36+HT36+HV36+HX36+HZ36+IB36+ID36+IF36+IH36+IJ36+IL36+IN36+IP36+IR36+IT36+IV36+IX36+IZ36+JB36+JD36+JF36+JH36+JJ36+JL36+JZ36+CJ36+CL36+CN36+CP36+CR36+CT36+CV36+CX36+EX36+EZ36+FB36+FD36+FF36+FH36+FJ36+FL36</f>
        <v/>
      </c>
      <c r="KC36" s="66">
        <f>I36+K36+M36+O36+Q36+S36+U36+W36+Y36+AA36+AC36+AE36+AG36+AI36+AK36+AM36+AO36+AQ36+AS36+AU36+AW36+AY36+BA36+BC36+BE36+BG36+BI36+BK36+BM36+BO36+BQ36+BS36+BU36+BW36+BY36+CA36+CC36+CE36+CG36+CI36+DA36+DC36+DE36+DG36+DI36+DK36+DM36+DO36+DQ36+DS36+DU36+DW36+DY36+EA36+EC36+EE36+EG36+EI36+EK36+EM36+EO36+EQ36+ES36+EU36+EW36+FO36+FS36+FU36+FW36+FQ36+FY36+GA36+GC36+GE36+GG36+GI36+GK36+GM36+GO36+GQ36+GS36+GU36+GW36+GY36+HA36+HC36+HE36+HG36+HI36+HK36+HM36+HO36+HQ36+HS36+HU36+HW36+HY36+IA36+IC36+IE36+IG36+II36+IK36+IM36+IO36+IQ36+IS36+IU36+IW36+IY36+JA36+JC36+JE36+JG36+JI36+JK36+JM36+KA36+CK36+CM36+CO36+CQ36+CS36+CU36+CW36+CY36+EY36+FA36+FC36+FE36+FG36+FI36+FK36+FM36</f>
        <v/>
      </c>
      <c r="KD36" s="44">
        <f>JO36+JQ36+JS36+JU36+JW36+JY36</f>
        <v/>
      </c>
      <c r="KE36" s="45">
        <f>KB36=E36</f>
        <v/>
      </c>
      <c r="KF36" s="101">
        <f>E36-KB36</f>
        <v/>
      </c>
      <c r="KG36" s="22" t="n"/>
    </row>
    <row r="37" ht="21.75" customFormat="1" customHeight="1" s="22">
      <c r="A37" s="126">
        <f>A36+1</f>
        <v/>
      </c>
      <c r="B37" s="175" t="inlineStr">
        <is>
          <t>Носиков А.А.</t>
        </is>
      </c>
      <c r="C37" s="194" t="inlineStr">
        <is>
          <t>Фрезеровщик</t>
        </is>
      </c>
      <c r="D37" s="177">
        <f>$D$5</f>
        <v/>
      </c>
      <c r="E37" s="202" t="n"/>
      <c r="F37" s="193" t="n">
        <v>101150.05</v>
      </c>
      <c r="G37" s="52">
        <f>F37/D37</f>
        <v/>
      </c>
      <c r="H37" s="125" t="n"/>
      <c r="I37" s="107">
        <f>H37*100/$E$37</f>
        <v/>
      </c>
      <c r="J37" s="108" t="n"/>
      <c r="K37" s="107">
        <f>J37*100/$E$37</f>
        <v/>
      </c>
      <c r="L37" s="108" t="n"/>
      <c r="M37" s="107">
        <f>L37*100/$E$37</f>
        <v/>
      </c>
      <c r="N37" s="108" t="n"/>
      <c r="O37" s="107">
        <f>N37*100/$E$37</f>
        <v/>
      </c>
      <c r="P37" s="108" t="n"/>
      <c r="Q37" s="122">
        <f>P37*100/$E$37</f>
        <v/>
      </c>
      <c r="R37" s="108" t="n"/>
      <c r="S37" s="122">
        <f>R37*100/$E$37</f>
        <v/>
      </c>
      <c r="T37" s="108" t="n"/>
      <c r="U37" s="107">
        <f>T37*100/$E$37</f>
        <v/>
      </c>
      <c r="V37" s="108" t="n"/>
      <c r="W37" s="107">
        <f>V37*100/$E$37</f>
        <v/>
      </c>
      <c r="X37" s="108" t="n"/>
      <c r="Y37" s="107">
        <f>X37*100/$E$37</f>
        <v/>
      </c>
      <c r="Z37" s="108" t="n"/>
      <c r="AA37" s="107">
        <f>Z37*100/$E$37</f>
        <v/>
      </c>
      <c r="AB37" s="108" t="n"/>
      <c r="AC37" s="107">
        <f>AB37*100/$E$37</f>
        <v/>
      </c>
      <c r="AD37" s="108" t="n"/>
      <c r="AE37" s="122">
        <f>AD37*100/$E$37</f>
        <v/>
      </c>
      <c r="AF37" s="108" t="n"/>
      <c r="AG37" s="122">
        <f>AF37*100/$E$37</f>
        <v/>
      </c>
      <c r="AH37" s="108" t="n"/>
      <c r="AI37" s="107">
        <f>AH37*100/$E$37</f>
        <v/>
      </c>
      <c r="AJ37" s="108" t="n"/>
      <c r="AK37" s="107">
        <f>AJ37*100/$E$37</f>
        <v/>
      </c>
      <c r="AL37" s="108" t="n"/>
      <c r="AM37" s="107">
        <f>AL37*100/$E$37</f>
        <v/>
      </c>
      <c r="AN37" s="108" t="n"/>
      <c r="AO37" s="107">
        <f>AN37*100/$E$37</f>
        <v/>
      </c>
      <c r="AP37" s="108" t="n"/>
      <c r="AQ37" s="107">
        <f>AP37*100/$E$37</f>
        <v/>
      </c>
      <c r="AR37" s="108" t="n"/>
      <c r="AS37" s="107">
        <f>AR37*100/$E$37</f>
        <v/>
      </c>
      <c r="AT37" s="108" t="n"/>
      <c r="AU37" s="90">
        <f>AT37*100/$E$37</f>
        <v/>
      </c>
      <c r="AV37" s="108" t="n"/>
      <c r="AW37" s="107">
        <f>AV37*100/$E$37</f>
        <v/>
      </c>
      <c r="AX37" s="108" t="n"/>
      <c r="AY37" s="107">
        <f>AX37*100/$E$37</f>
        <v/>
      </c>
      <c r="AZ37" s="108" t="n"/>
      <c r="BA37" s="107">
        <f>AZ37*100/$E$37</f>
        <v/>
      </c>
      <c r="BB37" s="108" t="n"/>
      <c r="BC37" s="107">
        <f>BB37*100/$E$37</f>
        <v/>
      </c>
      <c r="BD37" s="108" t="n"/>
      <c r="BE37" s="107">
        <f>BD37*100/$E$37</f>
        <v/>
      </c>
      <c r="BF37" s="108" t="n"/>
      <c r="BG37" s="107">
        <f>BF37*100/$E$37</f>
        <v/>
      </c>
      <c r="BH37" s="108" t="n"/>
      <c r="BI37" s="107">
        <f>BH37*100/$E$37</f>
        <v/>
      </c>
      <c r="BJ37" s="108" t="n"/>
      <c r="BK37" s="107">
        <f>BJ37*100/$E$37</f>
        <v/>
      </c>
      <c r="BL37" s="108" t="n"/>
      <c r="BM37" s="107">
        <f>BL37*100/$E$37</f>
        <v/>
      </c>
      <c r="BN37" s="108" t="n"/>
      <c r="BO37" s="107">
        <f>BN37*100/$E$37</f>
        <v/>
      </c>
      <c r="BP37" s="108" t="n"/>
      <c r="BQ37" s="107">
        <f>BP37*100/$E$37</f>
        <v/>
      </c>
      <c r="BR37" s="108" t="n"/>
      <c r="BS37" s="107">
        <f>BR37*100/$E$37</f>
        <v/>
      </c>
      <c r="BT37" s="108" t="n"/>
      <c r="BU37" s="107">
        <f>BT37*100/$E$37</f>
        <v/>
      </c>
      <c r="BV37" s="108" t="n"/>
      <c r="BW37" s="107">
        <f>BV37*100/$E$37</f>
        <v/>
      </c>
      <c r="BX37" s="108" t="n"/>
      <c r="BY37" s="107">
        <f>BX37*100/$E$37</f>
        <v/>
      </c>
      <c r="BZ37" s="108" t="n"/>
      <c r="CA37" s="107">
        <f>BZ37*100/$E$37</f>
        <v/>
      </c>
      <c r="CB37" s="108" t="n"/>
      <c r="CC37" s="107">
        <f>CB37*100/$E$37</f>
        <v/>
      </c>
      <c r="CD37" s="108" t="n"/>
      <c r="CE37" s="107">
        <f>CD37*100/$E$37</f>
        <v/>
      </c>
      <c r="CF37" s="108" t="n"/>
      <c r="CG37" s="107">
        <f>CF37*100/$E$37</f>
        <v/>
      </c>
      <c r="CH37" s="108" t="n"/>
      <c r="CI37" s="107">
        <f>CH37*100/$E$37</f>
        <v/>
      </c>
      <c r="CJ37" s="108" t="n"/>
      <c r="CK37" s="107">
        <f>CJ37*100/$E$37</f>
        <v/>
      </c>
      <c r="CL37" s="108" t="n"/>
      <c r="CM37" s="107">
        <f>CL37*100/$E$37</f>
        <v/>
      </c>
      <c r="CN37" s="108" t="n"/>
      <c r="CO37" s="122">
        <f>CN37*100/$E$37</f>
        <v/>
      </c>
      <c r="CP37" s="108" t="n"/>
      <c r="CQ37" s="107">
        <f>CP37*100/$E$37</f>
        <v/>
      </c>
      <c r="CR37" s="108" t="n"/>
      <c r="CS37" s="122">
        <f>CR37*100/$E$37</f>
        <v/>
      </c>
      <c r="CT37" s="108" t="n"/>
      <c r="CU37" s="122">
        <f>CT37*100/$E$37</f>
        <v/>
      </c>
      <c r="CV37" s="108" t="n"/>
      <c r="CW37" s="122">
        <f>CV37*100/$E$37</f>
        <v/>
      </c>
      <c r="CX37" s="108" t="n"/>
      <c r="CY37" s="122">
        <f>CX37*100/$E$37</f>
        <v/>
      </c>
      <c r="CZ37" s="108" t="n"/>
      <c r="DA37" s="122">
        <f>CZ37*100/$E$37</f>
        <v/>
      </c>
      <c r="DB37" s="108" t="n"/>
      <c r="DC37" s="122">
        <f>DB37*100/$E$37</f>
        <v/>
      </c>
      <c r="DD37" s="108" t="n"/>
      <c r="DE37" s="122">
        <f>DD37*100/$E$37</f>
        <v/>
      </c>
      <c r="DF37" s="108" t="n"/>
      <c r="DG37" s="122">
        <f>DF37*100/$E$37</f>
        <v/>
      </c>
      <c r="DH37" s="108" t="n"/>
      <c r="DI37" s="122">
        <f>DH37*100/$E$37</f>
        <v/>
      </c>
      <c r="DJ37" s="108" t="n"/>
      <c r="DK37" s="122">
        <f>DJ37*100/$E$37</f>
        <v/>
      </c>
      <c r="DL37" s="108" t="n"/>
      <c r="DM37" s="122">
        <f>DL37*100/$E$37</f>
        <v/>
      </c>
      <c r="DN37" s="108" t="n"/>
      <c r="DO37" s="122">
        <f>DN37*100/$E$37</f>
        <v/>
      </c>
      <c r="DP37" s="108" t="n"/>
      <c r="DQ37" s="122">
        <f>DP37*100/$E$37</f>
        <v/>
      </c>
      <c r="DR37" s="108" t="n"/>
      <c r="DS37" s="122">
        <f>DR37*100/$E$37</f>
        <v/>
      </c>
      <c r="DT37" s="108" t="n"/>
      <c r="DU37" s="122">
        <f>DT37*100/$E$37</f>
        <v/>
      </c>
      <c r="DV37" s="108" t="n"/>
      <c r="DW37" s="122">
        <f>DV37*100/$E$37</f>
        <v/>
      </c>
      <c r="DX37" s="108" t="n"/>
      <c r="DY37" s="122">
        <f>DX37*100/$E$37</f>
        <v/>
      </c>
      <c r="DZ37" s="108" t="n"/>
      <c r="EA37" s="122">
        <f>DZ37*100/$E$37</f>
        <v/>
      </c>
      <c r="EB37" s="108" t="n"/>
      <c r="EC37" s="122">
        <f>EB37*100/$E$37</f>
        <v/>
      </c>
      <c r="ED37" s="108" t="n"/>
      <c r="EE37" s="122">
        <f>ED37*100/$E$37</f>
        <v/>
      </c>
      <c r="EF37" s="108" t="n"/>
      <c r="EG37" s="122">
        <f>EF37*100/$E$37</f>
        <v/>
      </c>
      <c r="EH37" s="108" t="n"/>
      <c r="EI37" s="122">
        <f>EH37*100/$E$37</f>
        <v/>
      </c>
      <c r="EJ37" s="108" t="n"/>
      <c r="EK37" s="122">
        <f>EJ37*100/$E$37</f>
        <v/>
      </c>
      <c r="EL37" s="108" t="n"/>
      <c r="EM37" s="122">
        <f>EL37*100/$E$37</f>
        <v/>
      </c>
      <c r="EN37" s="108" t="n"/>
      <c r="EO37" s="122">
        <f>EN37*100/$E$37</f>
        <v/>
      </c>
      <c r="EP37" s="108" t="n"/>
      <c r="EQ37" s="122">
        <f>EP37*100/$E$37</f>
        <v/>
      </c>
      <c r="ER37" s="108" t="n"/>
      <c r="ES37" s="122">
        <f>ER37*100/$E$37</f>
        <v/>
      </c>
      <c r="ET37" s="108" t="n"/>
      <c r="EU37" s="122">
        <f>ET37*100/$E$37</f>
        <v/>
      </c>
      <c r="EV37" s="108" t="n"/>
      <c r="EW37" s="122">
        <f>EV37*100/$E$37</f>
        <v/>
      </c>
      <c r="EX37" s="108" t="n"/>
      <c r="EY37" s="122">
        <f>EX37*100/$E$37</f>
        <v/>
      </c>
      <c r="EZ37" s="108" t="n"/>
      <c r="FA37" s="122">
        <f>EZ37*100/$E$37</f>
        <v/>
      </c>
      <c r="FB37" s="108" t="n"/>
      <c r="FC37" s="122">
        <f>FB37*100/$E$37</f>
        <v/>
      </c>
      <c r="FD37" s="108" t="n"/>
      <c r="FE37" s="122">
        <f>FD37*100/$E$37</f>
        <v/>
      </c>
      <c r="FF37" s="108" t="n"/>
      <c r="FG37" s="122">
        <f>FF37*100/$E$37</f>
        <v/>
      </c>
      <c r="FH37" s="108" t="n"/>
      <c r="FI37" s="122">
        <f>FH37*100/$E$37</f>
        <v/>
      </c>
      <c r="FJ37" s="108" t="n"/>
      <c r="FK37" s="122">
        <f>FJ37*100/$E$37</f>
        <v/>
      </c>
      <c r="FL37" s="108" t="n"/>
      <c r="FM37" s="122">
        <f>FL37*100/$E$37</f>
        <v/>
      </c>
      <c r="FN37" s="108" t="n"/>
      <c r="FO37" s="122">
        <f>FN37*100/$E$37</f>
        <v/>
      </c>
      <c r="FP37" s="108" t="n"/>
      <c r="FQ37" s="122">
        <f>FP37*100/$E$37</f>
        <v/>
      </c>
      <c r="FR37" s="108" t="n"/>
      <c r="FS37" s="122">
        <f>FR37*100/$E$37</f>
        <v/>
      </c>
      <c r="FT37" s="108" t="n"/>
      <c r="FU37" s="122">
        <f>FT37*100/$E$37</f>
        <v/>
      </c>
      <c r="FV37" s="108" t="n"/>
      <c r="FW37" s="122">
        <f>FV37*100/$E$37</f>
        <v/>
      </c>
      <c r="FX37" s="108" t="n"/>
      <c r="FY37" s="107">
        <f>FX37*100/$E$37</f>
        <v/>
      </c>
      <c r="FZ37" s="108" t="n"/>
      <c r="GA37" s="107">
        <f>FZ37*100/$E$37</f>
        <v/>
      </c>
      <c r="GB37" s="108" t="n"/>
      <c r="GC37" s="107">
        <f>GB37*100/$E$37</f>
        <v/>
      </c>
      <c r="GD37" s="108" t="n"/>
      <c r="GE37" s="107">
        <f>GD37*100/$E$37</f>
        <v/>
      </c>
      <c r="GF37" s="108" t="n"/>
      <c r="GG37" s="107">
        <f>GF37*100/$E$37</f>
        <v/>
      </c>
      <c r="GH37" s="108" t="n"/>
      <c r="GI37" s="107">
        <f>GH37*100/$E$37</f>
        <v/>
      </c>
      <c r="GJ37" s="108" t="n"/>
      <c r="GK37" s="122">
        <f>GJ37*100/$E$37</f>
        <v/>
      </c>
      <c r="GL37" s="108" t="n"/>
      <c r="GM37" s="107">
        <f>GL37*100/$E$37</f>
        <v/>
      </c>
      <c r="GN37" s="108" t="n"/>
      <c r="GO37" s="122">
        <f>GN37*100/$E$37</f>
        <v/>
      </c>
      <c r="GP37" s="108" t="n"/>
      <c r="GQ37" s="107">
        <f>GP37*100/$E$37</f>
        <v/>
      </c>
      <c r="GR37" s="108" t="n"/>
      <c r="GS37" s="122">
        <f>GR37*100/$E$37</f>
        <v/>
      </c>
      <c r="GT37" s="108" t="n"/>
      <c r="GU37" s="122">
        <f>GT37*100/$E$37</f>
        <v/>
      </c>
      <c r="GV37" s="108" t="n"/>
      <c r="GW37" s="122">
        <f>GV37*100/$E$37</f>
        <v/>
      </c>
      <c r="GX37" s="108" t="n"/>
      <c r="GY37" s="107">
        <f>GX37*100/$E$37</f>
        <v/>
      </c>
      <c r="GZ37" s="108" t="n"/>
      <c r="HA37" s="107">
        <f>GZ37*100/$E$37</f>
        <v/>
      </c>
      <c r="HB37" s="108" t="n"/>
      <c r="HC37" s="107">
        <f>HB37*100/$E$37</f>
        <v/>
      </c>
      <c r="HD37" s="108" t="n"/>
      <c r="HE37" s="107">
        <f>HD37*100/$E$37</f>
        <v/>
      </c>
      <c r="HF37" s="108" t="n"/>
      <c r="HG37" s="107">
        <f>HF37*100/$E$37</f>
        <v/>
      </c>
      <c r="HH37" s="108" t="n"/>
      <c r="HI37" s="107">
        <f>HH37*100/$E$37</f>
        <v/>
      </c>
      <c r="HJ37" s="108" t="n"/>
      <c r="HK37" s="107">
        <f>HJ37*100/$E$37</f>
        <v/>
      </c>
      <c r="HL37" s="108" t="n"/>
      <c r="HM37" s="107">
        <f>HL37*100/$E$37</f>
        <v/>
      </c>
      <c r="HN37" s="108" t="n"/>
      <c r="HO37" s="107">
        <f>HN37*100/$E$37</f>
        <v/>
      </c>
      <c r="HP37" s="108" t="n"/>
      <c r="HQ37" s="107">
        <f>HP37*100/$E$37</f>
        <v/>
      </c>
      <c r="HR37" s="108" t="n"/>
      <c r="HS37" s="107">
        <f>HR37*100/$E$37</f>
        <v/>
      </c>
      <c r="HT37" s="108" t="n"/>
      <c r="HU37" s="107">
        <f>HT37*100/$E$37</f>
        <v/>
      </c>
      <c r="HV37" s="108" t="n"/>
      <c r="HW37" s="107">
        <f>HV37*100/$E$37</f>
        <v/>
      </c>
      <c r="HX37" s="108" t="n"/>
      <c r="HY37" s="107">
        <f>HX37*100/$E$37</f>
        <v/>
      </c>
      <c r="HZ37" s="108" t="n"/>
      <c r="IA37" s="122">
        <f>HZ37*100/$E$37</f>
        <v/>
      </c>
      <c r="IB37" s="108" t="n"/>
      <c r="IC37" s="122">
        <f>IB37*100/$E$37</f>
        <v/>
      </c>
      <c r="ID37" s="108" t="n"/>
      <c r="IE37" s="122">
        <f>ID37*100/$E$37</f>
        <v/>
      </c>
      <c r="IF37" s="108" t="n"/>
      <c r="IG37" s="122">
        <f>IF37*100/$E$37</f>
        <v/>
      </c>
      <c r="IH37" s="108" t="n"/>
      <c r="II37" s="122">
        <f>IH37*100/$E$37</f>
        <v/>
      </c>
      <c r="IJ37" s="108" t="n"/>
      <c r="IK37" s="122">
        <f>IJ37*100/$E$37</f>
        <v/>
      </c>
      <c r="IL37" s="108" t="n"/>
      <c r="IM37" s="107">
        <f>IL37*100/$E$37</f>
        <v/>
      </c>
      <c r="IN37" s="108" t="n"/>
      <c r="IO37" s="107">
        <f>IN37*100/$E$37</f>
        <v/>
      </c>
      <c r="IP37" s="108" t="n"/>
      <c r="IQ37" s="122">
        <f>IP37*100/$E$37</f>
        <v/>
      </c>
      <c r="IR37" s="108" t="n"/>
      <c r="IS37" s="122">
        <f>IR37*100/$E$37</f>
        <v/>
      </c>
      <c r="IT37" s="108" t="n"/>
      <c r="IU37" s="122">
        <f>IT37*100/$E$37</f>
        <v/>
      </c>
      <c r="IV37" s="108" t="n"/>
      <c r="IW37" s="122">
        <f>IV37*100/$E$37</f>
        <v/>
      </c>
      <c r="IX37" s="108" t="n"/>
      <c r="IY37" s="122">
        <f>IX37*100/$E$37</f>
        <v/>
      </c>
      <c r="IZ37" s="108" t="n"/>
      <c r="JA37" s="122">
        <f>IZ37*100/$E$37</f>
        <v/>
      </c>
      <c r="JB37" s="108" t="n"/>
      <c r="JC37" s="122">
        <f>JB37*100/$E$37</f>
        <v/>
      </c>
      <c r="JD37" s="108" t="n"/>
      <c r="JE37" s="122">
        <f>JD37*100/$E$37</f>
        <v/>
      </c>
      <c r="JF37" s="108" t="n"/>
      <c r="JG37" s="122">
        <f>JF37*100/$E$37</f>
        <v/>
      </c>
      <c r="JH37" s="108" t="n"/>
      <c r="JI37" s="122">
        <f>JH37*100/$E$37</f>
        <v/>
      </c>
      <c r="JJ37" s="108" t="n"/>
      <c r="JK37" s="122">
        <f>JJ37*100/$E$37</f>
        <v/>
      </c>
      <c r="JL37" s="108" t="n"/>
      <c r="JM37" s="122">
        <f>JL37*100/$E$37</f>
        <v/>
      </c>
      <c r="JN37" s="108" t="n"/>
      <c r="JO37" s="121">
        <f>JN37*100/$E$37</f>
        <v/>
      </c>
      <c r="JP37" s="108" t="n"/>
      <c r="JQ37" s="121">
        <f>JP37*100/$E$37</f>
        <v/>
      </c>
      <c r="JR37" s="108" t="n"/>
      <c r="JS37" s="121">
        <f>JR37*100/$E$37</f>
        <v/>
      </c>
      <c r="JT37" s="108" t="n"/>
      <c r="JU37" s="121">
        <f>JT37*100/$E$37</f>
        <v/>
      </c>
      <c r="JV37" s="117" t="n"/>
      <c r="JW37" s="121">
        <f>JV37*100/$E$37</f>
        <v/>
      </c>
      <c r="JX37" s="117" t="n"/>
      <c r="JY37" s="121">
        <f>JX37*100/$E$37</f>
        <v/>
      </c>
      <c r="JZ37" s="55">
        <f>JN37+JP37+JR37+JT37+JV37+JX37</f>
        <v/>
      </c>
      <c r="KA37" s="53">
        <f>JO37+JQ37+JS37+JU37+JW37+JY37</f>
        <v/>
      </c>
      <c r="KB37" s="64">
        <f>H37+J37+L37+N37+P37+R37+T37+V37+X37+Z37+AB37+AD37+AF37+AH37+AJ37+AL37+AN37+AP37+AR37+AT37+AV37+AX37+AZ37+BB37+BD37+BF37+BH37+BJ37+BL37+BN37+BP37+BR37+BT37+BV37+BX37+BZ37+CB37+CD37+CF37+CH37+CZ37+DB37+DD37+DF37+DH37+DJ37+DL37+DN37+DP37+DR37+DT37+DV37+DX37+DZ37+EB37+ED37+EF37+EH37+EJ37+EL37+EN37+EP37+ER37+ET37+EV37+FN37+FP37+FR37+FT37+FV37+FX37+FZ37+GB37+GD37+GF37+GH37+GJ37+GL37+GN37+GP37+GR37+GT37+GV37+GX37+GZ37+HB37+HD37+HF37+HH37+HJ37+HL37+HN37+HP37+HR37+HT37+HV37+HX37+HZ37+IB37+ID37+IF37+IH37+IJ37+IL37+IN37+IP37+IR37+IT37+IV37+IX37+IZ37+JB37+JD37+JF37+JH37+JJ37+JL37+JZ37+CJ37+CL37+CN37+CP37+CR37+CT37+CV37+CX37+EX37+EZ37+FB37+FD37+FF37+FH37+FJ37+FL37</f>
        <v/>
      </c>
      <c r="KC37" s="66">
        <f>I37+K37+M37+O37+Q37+S37+U37+W37+Y37+AA37+AC37+AE37+AG37+AI37+AK37+AM37+AO37+AQ37+AS37+AU37+AW37+AY37+BA37+BC37+BE37+BG37+BI37+BK37+BM37+BO37+BQ37+BS37+BU37+BW37+BY37+CA37+CC37+CE37+CG37+CI37+DA37+DC37+DE37+DG37+DI37+DK37+DM37+DO37+DQ37+DS37+DU37+DW37+DY37+EA37+EC37+EE37+EG37+EI37+EK37+EM37+EO37+EQ37+ES37+EU37+EW37+FO37+FS37+FU37+FW37+FQ37+FY37+GA37+GC37+GE37+GG37+GI37+GK37+GM37+GO37+GQ37+GS37+GU37+GW37+GY37+HA37+HC37+HE37+HG37+HI37+HK37+HM37+HO37+HQ37+HS37+HU37+HW37+HY37+IA37+IC37+IE37+IG37+II37+IK37+IM37+IO37+IQ37+IS37+IU37+IW37+IY37+JA37+JC37+JE37+JG37+JI37+JK37+JM37+KA37+CK37+CM37+CO37+CQ37+CS37+CU37+CW37+CY37+EY37+FA37+FC37+FE37+FG37+FI37+FK37+FM37</f>
        <v/>
      </c>
      <c r="KD37" s="44">
        <f>JO37+JQ37+JS37+JU37+JW37+JY37</f>
        <v/>
      </c>
      <c r="KE37" s="45">
        <f>KB37=E37</f>
        <v/>
      </c>
      <c r="KF37" s="101">
        <f>E37-KB37</f>
        <v/>
      </c>
      <c r="KG37" s="25" t="n"/>
    </row>
    <row r="38" ht="21.75" customFormat="1" customHeight="1" s="25">
      <c r="A38" s="126">
        <f>A37+1</f>
        <v/>
      </c>
      <c r="B38" s="175" t="inlineStr">
        <is>
          <t>Ряснов С.О.</t>
        </is>
      </c>
      <c r="C38" s="176" t="inlineStr">
        <is>
          <t>Фрезеровщик</t>
        </is>
      </c>
      <c r="D38" s="177">
        <f>$D$5</f>
        <v/>
      </c>
      <c r="E38" s="202" t="n"/>
      <c r="F38" s="193" t="n">
        <v>63219</v>
      </c>
      <c r="G38" s="52">
        <f>F38/D38</f>
        <v/>
      </c>
      <c r="H38" s="125" t="n"/>
      <c r="I38" s="107">
        <f>H38*100/$E$38</f>
        <v/>
      </c>
      <c r="J38" s="108" t="n"/>
      <c r="K38" s="107">
        <f>J38*100/$E$38</f>
        <v/>
      </c>
      <c r="L38" s="108" t="n"/>
      <c r="M38" s="107">
        <f>L38*100/$E$38</f>
        <v/>
      </c>
      <c r="N38" s="108" t="n"/>
      <c r="O38" s="107">
        <f>N38*100/$E$38</f>
        <v/>
      </c>
      <c r="P38" s="108" t="n"/>
      <c r="Q38" s="122">
        <f>P38*100/$E$38</f>
        <v/>
      </c>
      <c r="R38" s="108" t="n"/>
      <c r="S38" s="122">
        <f>R38*100/$E$38</f>
        <v/>
      </c>
      <c r="T38" s="108" t="n"/>
      <c r="U38" s="107">
        <f>T38*100/$E$38</f>
        <v/>
      </c>
      <c r="V38" s="108" t="n"/>
      <c r="W38" s="107">
        <f>V38*100/$E$38</f>
        <v/>
      </c>
      <c r="X38" s="108" t="n"/>
      <c r="Y38" s="107">
        <f>X38*100/$E$38</f>
        <v/>
      </c>
      <c r="Z38" s="108" t="n"/>
      <c r="AA38" s="107">
        <f>Z38*100/$E$38</f>
        <v/>
      </c>
      <c r="AB38" s="108" t="n"/>
      <c r="AC38" s="107">
        <f>AB38*100/$E$38</f>
        <v/>
      </c>
      <c r="AD38" s="108" t="n"/>
      <c r="AE38" s="122">
        <f>AD38*100/$E$38</f>
        <v/>
      </c>
      <c r="AF38" s="108" t="n"/>
      <c r="AG38" s="122">
        <f>AF38*100/$E$38</f>
        <v/>
      </c>
      <c r="AH38" s="108" t="n"/>
      <c r="AI38" s="107">
        <f>AH38*100/$E$38</f>
        <v/>
      </c>
      <c r="AJ38" s="108" t="n"/>
      <c r="AK38" s="107">
        <f>AJ38*100/$E$38</f>
        <v/>
      </c>
      <c r="AL38" s="108" t="n"/>
      <c r="AM38" s="107">
        <f>AL38*100/$E$38</f>
        <v/>
      </c>
      <c r="AN38" s="108" t="n"/>
      <c r="AO38" s="107">
        <f>AN38*100/$E$38</f>
        <v/>
      </c>
      <c r="AP38" s="108" t="n"/>
      <c r="AQ38" s="107">
        <f>AP38*100/$E$38</f>
        <v/>
      </c>
      <c r="AR38" s="108" t="n"/>
      <c r="AS38" s="107">
        <f>AR38*100/$E$38</f>
        <v/>
      </c>
      <c r="AT38" s="108" t="n"/>
      <c r="AU38" s="90">
        <f>AT38*100/$E$38</f>
        <v/>
      </c>
      <c r="AV38" s="108" t="n"/>
      <c r="AW38" s="107">
        <f>AV38*100/$E$38</f>
        <v/>
      </c>
      <c r="AX38" s="108" t="n"/>
      <c r="AY38" s="107">
        <f>AX38*100/$E$38</f>
        <v/>
      </c>
      <c r="AZ38" s="108" t="n"/>
      <c r="BA38" s="107">
        <f>AZ38*100/$E$38</f>
        <v/>
      </c>
      <c r="BB38" s="108" t="n"/>
      <c r="BC38" s="107">
        <f>BB38*100/$E$38</f>
        <v/>
      </c>
      <c r="BD38" s="108" t="n"/>
      <c r="BE38" s="107">
        <f>BD38*100/$E$38</f>
        <v/>
      </c>
      <c r="BF38" s="108" t="n"/>
      <c r="BG38" s="107">
        <f>BF38*100/$E$38</f>
        <v/>
      </c>
      <c r="BH38" s="108" t="n"/>
      <c r="BI38" s="107">
        <f>BH38*100/$E$38</f>
        <v/>
      </c>
      <c r="BJ38" s="108" t="n"/>
      <c r="BK38" s="107">
        <f>BJ38*100/$E$38</f>
        <v/>
      </c>
      <c r="BL38" s="108" t="n"/>
      <c r="BM38" s="107">
        <f>BL38*100/$E$38</f>
        <v/>
      </c>
      <c r="BN38" s="108" t="n"/>
      <c r="BO38" s="107">
        <f>BN38*100/$E$38</f>
        <v/>
      </c>
      <c r="BP38" s="108" t="n"/>
      <c r="BQ38" s="107">
        <f>BP38*100/$E$38</f>
        <v/>
      </c>
      <c r="BR38" s="108" t="n"/>
      <c r="BS38" s="107">
        <f>BR38*100/$E$38</f>
        <v/>
      </c>
      <c r="BT38" s="108" t="n"/>
      <c r="BU38" s="107">
        <f>BT38*100/$E$38</f>
        <v/>
      </c>
      <c r="BV38" s="108" t="n"/>
      <c r="BW38" s="107">
        <f>BV38*100/$E$38</f>
        <v/>
      </c>
      <c r="BX38" s="108" t="n"/>
      <c r="BY38" s="107">
        <f>BX38*100/$E$38</f>
        <v/>
      </c>
      <c r="BZ38" s="108" t="n"/>
      <c r="CA38" s="107">
        <f>BZ38*100/$E$38</f>
        <v/>
      </c>
      <c r="CB38" s="108" t="n"/>
      <c r="CC38" s="107">
        <f>CB38*100/$E$38</f>
        <v/>
      </c>
      <c r="CD38" s="108" t="n"/>
      <c r="CE38" s="107">
        <f>CD38*100/$E$38</f>
        <v/>
      </c>
      <c r="CF38" s="108" t="n"/>
      <c r="CG38" s="107">
        <f>CF38*100/$E$38</f>
        <v/>
      </c>
      <c r="CH38" s="108" t="n"/>
      <c r="CI38" s="107">
        <f>CH38*100/$E$38</f>
        <v/>
      </c>
      <c r="CJ38" s="108" t="n"/>
      <c r="CK38" s="107">
        <f>CJ38*100/$E$38</f>
        <v/>
      </c>
      <c r="CL38" s="108" t="n"/>
      <c r="CM38" s="107">
        <f>CL38*100/$E$38</f>
        <v/>
      </c>
      <c r="CN38" s="108" t="n"/>
      <c r="CO38" s="122">
        <f>CN38*100/$E$38</f>
        <v/>
      </c>
      <c r="CP38" s="108" t="n"/>
      <c r="CQ38" s="107">
        <f>CP38*100/$E$38</f>
        <v/>
      </c>
      <c r="CR38" s="108" t="n"/>
      <c r="CS38" s="122">
        <f>CR38*100/$E$38</f>
        <v/>
      </c>
      <c r="CT38" s="108" t="n"/>
      <c r="CU38" s="122">
        <f>CT38*100/$E$38</f>
        <v/>
      </c>
      <c r="CV38" s="108" t="n"/>
      <c r="CW38" s="122">
        <f>CV38*100/$E$38</f>
        <v/>
      </c>
      <c r="CX38" s="108" t="n"/>
      <c r="CY38" s="122">
        <f>CX38*100/$E$38</f>
        <v/>
      </c>
      <c r="CZ38" s="108" t="n"/>
      <c r="DA38" s="122">
        <f>CZ38*100/$E$38</f>
        <v/>
      </c>
      <c r="DB38" s="108" t="n"/>
      <c r="DC38" s="122">
        <f>DB38*100/$E$38</f>
        <v/>
      </c>
      <c r="DD38" s="108" t="n"/>
      <c r="DE38" s="122">
        <f>DD38*100/$E$38</f>
        <v/>
      </c>
      <c r="DF38" s="108" t="n"/>
      <c r="DG38" s="122">
        <f>DF38*100/$E$38</f>
        <v/>
      </c>
      <c r="DH38" s="108" t="n"/>
      <c r="DI38" s="122">
        <f>DH38*100/$E$38</f>
        <v/>
      </c>
      <c r="DJ38" s="108" t="n"/>
      <c r="DK38" s="122">
        <f>DJ38*100/$E$38</f>
        <v/>
      </c>
      <c r="DL38" s="108" t="n"/>
      <c r="DM38" s="122">
        <f>DL38*100/$E$38</f>
        <v/>
      </c>
      <c r="DN38" s="108" t="n"/>
      <c r="DO38" s="122">
        <f>DN38*100/$E$38</f>
        <v/>
      </c>
      <c r="DP38" s="108" t="n"/>
      <c r="DQ38" s="122">
        <f>DP38*100/$E$38</f>
        <v/>
      </c>
      <c r="DR38" s="108" t="n"/>
      <c r="DS38" s="122">
        <f>DR38*100/$E$38</f>
        <v/>
      </c>
      <c r="DT38" s="108" t="n"/>
      <c r="DU38" s="122">
        <f>DT38*100/$E$38</f>
        <v/>
      </c>
      <c r="DV38" s="108" t="n"/>
      <c r="DW38" s="122">
        <f>DV38*100/$E$38</f>
        <v/>
      </c>
      <c r="DX38" s="108" t="n"/>
      <c r="DY38" s="122">
        <f>DX38*100/$E$38</f>
        <v/>
      </c>
      <c r="DZ38" s="108" t="n"/>
      <c r="EA38" s="122">
        <f>DZ38*100/$E$38</f>
        <v/>
      </c>
      <c r="EB38" s="108" t="n"/>
      <c r="EC38" s="122">
        <f>EB38*100/$E$38</f>
        <v/>
      </c>
      <c r="ED38" s="108" t="n"/>
      <c r="EE38" s="122">
        <f>ED38*100/$E$38</f>
        <v/>
      </c>
      <c r="EF38" s="108" t="n"/>
      <c r="EG38" s="122">
        <f>EF38*100/$E$38</f>
        <v/>
      </c>
      <c r="EH38" s="108" t="n"/>
      <c r="EI38" s="122">
        <f>EH38*100/$E$38</f>
        <v/>
      </c>
      <c r="EJ38" s="108" t="n"/>
      <c r="EK38" s="122">
        <f>EJ38*100/$E$38</f>
        <v/>
      </c>
      <c r="EL38" s="108" t="n"/>
      <c r="EM38" s="122">
        <f>EL38*100/$E$38</f>
        <v/>
      </c>
      <c r="EN38" s="108" t="n"/>
      <c r="EO38" s="122">
        <f>EN38*100/$E$38</f>
        <v/>
      </c>
      <c r="EP38" s="108" t="n"/>
      <c r="EQ38" s="122">
        <f>EP38*100/$E$38</f>
        <v/>
      </c>
      <c r="ER38" s="108" t="n"/>
      <c r="ES38" s="122">
        <f>ER38*100/$E$38</f>
        <v/>
      </c>
      <c r="ET38" s="108" t="n"/>
      <c r="EU38" s="122">
        <f>ET38*100/$E$38</f>
        <v/>
      </c>
      <c r="EV38" s="108" t="n"/>
      <c r="EW38" s="122">
        <f>EV38*100/$E$38</f>
        <v/>
      </c>
      <c r="EX38" s="108" t="n"/>
      <c r="EY38" s="122">
        <f>EX38*100/$E$38</f>
        <v/>
      </c>
      <c r="EZ38" s="108" t="n"/>
      <c r="FA38" s="122">
        <f>EZ38*100/$E$38</f>
        <v/>
      </c>
      <c r="FB38" s="108" t="n"/>
      <c r="FC38" s="122">
        <f>FB38*100/$E$38</f>
        <v/>
      </c>
      <c r="FD38" s="108" t="n"/>
      <c r="FE38" s="122">
        <f>FD38*100/$E$38</f>
        <v/>
      </c>
      <c r="FF38" s="108" t="n"/>
      <c r="FG38" s="122">
        <f>FF38*100/$E$38</f>
        <v/>
      </c>
      <c r="FH38" s="108" t="n"/>
      <c r="FI38" s="122">
        <f>FH38*100/$E$38</f>
        <v/>
      </c>
      <c r="FJ38" s="108" t="n"/>
      <c r="FK38" s="122">
        <f>FJ38*100/$E$38</f>
        <v/>
      </c>
      <c r="FL38" s="108" t="n"/>
      <c r="FM38" s="122">
        <f>FL38*100/$E$38</f>
        <v/>
      </c>
      <c r="FN38" s="108" t="n"/>
      <c r="FO38" s="122">
        <f>FN38*100/$E$38</f>
        <v/>
      </c>
      <c r="FP38" s="108" t="n"/>
      <c r="FQ38" s="122">
        <f>FP38*100/$E$38</f>
        <v/>
      </c>
      <c r="FR38" s="108" t="n"/>
      <c r="FS38" s="122">
        <f>FR38*100/$E$38</f>
        <v/>
      </c>
      <c r="FT38" s="108" t="n"/>
      <c r="FU38" s="122">
        <f>FT38*100/$E$38</f>
        <v/>
      </c>
      <c r="FV38" s="108" t="n"/>
      <c r="FW38" s="122">
        <f>FV38*100/$E$38</f>
        <v/>
      </c>
      <c r="FX38" s="108" t="n"/>
      <c r="FY38" s="107">
        <f>FX38*100/$E$38</f>
        <v/>
      </c>
      <c r="FZ38" s="108" t="n"/>
      <c r="GA38" s="107">
        <f>FZ38*100/$E$38</f>
        <v/>
      </c>
      <c r="GB38" s="108" t="n"/>
      <c r="GC38" s="107">
        <f>GB38*100/$E$38</f>
        <v/>
      </c>
      <c r="GD38" s="108" t="n"/>
      <c r="GE38" s="107">
        <f>GD38*100/$E$38</f>
        <v/>
      </c>
      <c r="GF38" s="108" t="n"/>
      <c r="GG38" s="107">
        <f>GF38*100/$E$38</f>
        <v/>
      </c>
      <c r="GH38" s="108" t="n"/>
      <c r="GI38" s="107">
        <f>GH38*100/$E$38</f>
        <v/>
      </c>
      <c r="GJ38" s="108" t="n"/>
      <c r="GK38" s="122">
        <f>GJ38*100/$E$38</f>
        <v/>
      </c>
      <c r="GL38" s="108" t="n"/>
      <c r="GM38" s="107">
        <f>GL38*100/$E$38</f>
        <v/>
      </c>
      <c r="GN38" s="108" t="n"/>
      <c r="GO38" s="122">
        <f>GN38*100/$E$38</f>
        <v/>
      </c>
      <c r="GP38" s="108" t="n"/>
      <c r="GQ38" s="107">
        <f>GP38*100/$E$38</f>
        <v/>
      </c>
      <c r="GR38" s="108" t="n"/>
      <c r="GS38" s="122">
        <f>GR38*100/$E$38</f>
        <v/>
      </c>
      <c r="GT38" s="108" t="n"/>
      <c r="GU38" s="122">
        <f>GT38*100/$E$38</f>
        <v/>
      </c>
      <c r="GV38" s="108" t="n"/>
      <c r="GW38" s="122">
        <f>GV38*100/$E$38</f>
        <v/>
      </c>
      <c r="GX38" s="108" t="n"/>
      <c r="GY38" s="107">
        <f>GX38*100/$E$38</f>
        <v/>
      </c>
      <c r="GZ38" s="108" t="n"/>
      <c r="HA38" s="107">
        <f>GZ38*100/$E$38</f>
        <v/>
      </c>
      <c r="HB38" s="108" t="n"/>
      <c r="HC38" s="107">
        <f>HB38*100/$E$38</f>
        <v/>
      </c>
      <c r="HD38" s="108" t="n"/>
      <c r="HE38" s="107">
        <f>HD38*100/$E$38</f>
        <v/>
      </c>
      <c r="HF38" s="108" t="n"/>
      <c r="HG38" s="107">
        <f>HF38*100/$E$38</f>
        <v/>
      </c>
      <c r="HH38" s="108" t="n"/>
      <c r="HI38" s="107">
        <f>HH38*100/$E$38</f>
        <v/>
      </c>
      <c r="HJ38" s="108" t="n"/>
      <c r="HK38" s="107">
        <f>HJ38*100/$E$38</f>
        <v/>
      </c>
      <c r="HL38" s="108" t="n"/>
      <c r="HM38" s="107">
        <f>HL38*100/$E$38</f>
        <v/>
      </c>
      <c r="HN38" s="108" t="n"/>
      <c r="HO38" s="107">
        <f>HN38*100/$E$38</f>
        <v/>
      </c>
      <c r="HP38" s="108" t="n"/>
      <c r="HQ38" s="107">
        <f>HP38*100/$E$38</f>
        <v/>
      </c>
      <c r="HR38" s="108" t="n"/>
      <c r="HS38" s="107">
        <f>HR38*100/$E$38</f>
        <v/>
      </c>
      <c r="HT38" s="108" t="n"/>
      <c r="HU38" s="107">
        <f>HT38*100/$E$38</f>
        <v/>
      </c>
      <c r="HV38" s="108" t="n"/>
      <c r="HW38" s="107">
        <f>HV38*100/$E$38</f>
        <v/>
      </c>
      <c r="HX38" s="108" t="n"/>
      <c r="HY38" s="107">
        <f>HX38*100/$E$38</f>
        <v/>
      </c>
      <c r="HZ38" s="108" t="n"/>
      <c r="IA38" s="122">
        <f>HZ38*100/$E$38</f>
        <v/>
      </c>
      <c r="IB38" s="108" t="n"/>
      <c r="IC38" s="122">
        <f>IB38*100/$E$38</f>
        <v/>
      </c>
      <c r="ID38" s="108" t="n"/>
      <c r="IE38" s="122">
        <f>ID38*100/$E$38</f>
        <v/>
      </c>
      <c r="IF38" s="108" t="n"/>
      <c r="IG38" s="122">
        <f>IF38*100/$E$38</f>
        <v/>
      </c>
      <c r="IH38" s="108" t="n"/>
      <c r="II38" s="122">
        <f>IH38*100/$E$38</f>
        <v/>
      </c>
      <c r="IJ38" s="108" t="n"/>
      <c r="IK38" s="122">
        <f>IJ38*100/$E$38</f>
        <v/>
      </c>
      <c r="IL38" s="108" t="n"/>
      <c r="IM38" s="107">
        <f>IL38*100/$E$38</f>
        <v/>
      </c>
      <c r="IN38" s="108" t="n"/>
      <c r="IO38" s="107">
        <f>IN38*100/$E$38</f>
        <v/>
      </c>
      <c r="IP38" s="108" t="n"/>
      <c r="IQ38" s="122">
        <f>IP38*100/$E$38</f>
        <v/>
      </c>
      <c r="IR38" s="108" t="n"/>
      <c r="IS38" s="122">
        <f>IR38*100/$E$38</f>
        <v/>
      </c>
      <c r="IT38" s="108" t="n"/>
      <c r="IU38" s="122">
        <f>IT38*100/$E$38</f>
        <v/>
      </c>
      <c r="IV38" s="108" t="n"/>
      <c r="IW38" s="122">
        <f>IV38*100/$E$38</f>
        <v/>
      </c>
      <c r="IX38" s="108" t="n"/>
      <c r="IY38" s="122">
        <f>IX38*100/$E$38</f>
        <v/>
      </c>
      <c r="IZ38" s="108" t="n"/>
      <c r="JA38" s="122">
        <f>IZ38*100/$E$38</f>
        <v/>
      </c>
      <c r="JB38" s="108" t="n"/>
      <c r="JC38" s="122">
        <f>JB38*100/$E$38</f>
        <v/>
      </c>
      <c r="JD38" s="108" t="n"/>
      <c r="JE38" s="122">
        <f>JD38*100/$E$38</f>
        <v/>
      </c>
      <c r="JF38" s="108" t="n"/>
      <c r="JG38" s="122">
        <f>JF38*100/$E$38</f>
        <v/>
      </c>
      <c r="JH38" s="108" t="n"/>
      <c r="JI38" s="122">
        <f>JH38*100/$E$38</f>
        <v/>
      </c>
      <c r="JJ38" s="108" t="n"/>
      <c r="JK38" s="122">
        <f>JJ38*100/$E$38</f>
        <v/>
      </c>
      <c r="JL38" s="108" t="n"/>
      <c r="JM38" s="122">
        <f>JL38*100/$E$38</f>
        <v/>
      </c>
      <c r="JN38" s="108" t="n"/>
      <c r="JO38" s="121">
        <f>JN38*100/$E$38</f>
        <v/>
      </c>
      <c r="JP38" s="108" t="n"/>
      <c r="JQ38" s="121">
        <f>JP38*100/$E$38</f>
        <v/>
      </c>
      <c r="JR38" s="108" t="n"/>
      <c r="JS38" s="121">
        <f>JR38*100/$E$38</f>
        <v/>
      </c>
      <c r="JT38" s="108" t="n"/>
      <c r="JU38" s="121">
        <f>JT38*100/$E$38</f>
        <v/>
      </c>
      <c r="JV38" s="108" t="n"/>
      <c r="JW38" s="121">
        <f>JV38*100/$E$38</f>
        <v/>
      </c>
      <c r="JX38" s="108" t="n"/>
      <c r="JY38" s="121">
        <f>JX38*100/$E$38</f>
        <v/>
      </c>
      <c r="JZ38" s="55">
        <f>JN38+JP38+JR38+JT38+JV38+JX38</f>
        <v/>
      </c>
      <c r="KA38" s="53">
        <f>JO38+JQ38+JS38+JU38+JW38+JY38</f>
        <v/>
      </c>
      <c r="KB38" s="64">
        <f>H38+J38+L38+N38+P38+R38+T38+V38+X38+Z38+AB38+AD38+AF38+AH38+AJ38+AL38+AN38+AP38+AR38+AT38+AV38+AX38+AZ38+BB38+BD38+BF38+BH38+BJ38+BL38+BN38+BP38+BR38+BT38+BV38+BX38+BZ38+CB38+CD38+CF38+CH38+CZ38+DB38+DD38+DF38+DH38+DJ38+DL38+DN38+DP38+DR38+DT38+DV38+DX38+DZ38+EB38+ED38+EF38+EH38+EJ38+EL38+EN38+EP38+ER38+ET38+EV38+FN38+FP38+FR38+FT38+FV38+FX38+FZ38+GB38+GD38+GF38+GH38+GJ38+GL38+GN38+GP38+GR38+GT38+GV38+GX38+GZ38+HB38+HD38+HF38+HH38+HJ38+HL38+HN38+HP38+HR38+HT38+HV38+HX38+HZ38+IB38+ID38+IF38+IH38+IJ38+IL38+IN38+IP38+IR38+IT38+IV38+IX38+IZ38+JB38+JD38+JF38+JH38+JJ38+JL38+JZ38+CJ38+CL38+CN38+CP38+CR38+CT38+CV38+CX38+EX38+EZ38+FB38+FD38+FF38+FH38+FJ38+FL38</f>
        <v/>
      </c>
      <c r="KC38" s="66">
        <f>I38+K38+M38+O38+Q38+S38+U38+W38+Y38+AA38+AC38+AE38+AG38+AI38+AK38+AM38+AO38+AQ38+AS38+AU38+AW38+AY38+BA38+BC38+BE38+BG38+BI38+BK38+BM38+BO38+BQ38+BS38+BU38+BW38+BY38+CA38+CC38+CE38+CG38+CI38+DA38+DC38+DE38+DG38+DI38+DK38+DM38+DO38+DQ38+DS38+DU38+DW38+DY38+EA38+EC38+EE38+EG38+EI38+EK38+EM38+EO38+EQ38+ES38+EU38+EW38+FO38+FS38+FU38+FW38+FQ38+FY38+GA38+GC38+GE38+GG38+GI38+GK38+GM38+GO38+GQ38+GS38+GU38+GW38+GY38+HA38+HC38+HE38+HG38+HI38+HK38+HM38+HO38+HQ38+HS38+HU38+HW38+HY38+IA38+IC38+IE38+IG38+II38+IK38+IM38+IO38+IQ38+IS38+IU38+IW38+IY38+JA38+JC38+JE38+JG38+JI38+JK38+JM38+KA38+CK38+CM38+CO38+CQ38+CS38+CU38+CW38+CY38+EY38+FA38+FC38+FE38+FG38+FI38+FK38+FM38</f>
        <v/>
      </c>
      <c r="KD38" s="44">
        <f>JO38+JQ38+JS38+JU38+JW38+JY38</f>
        <v/>
      </c>
      <c r="KE38" s="45">
        <f>KB38=E38</f>
        <v/>
      </c>
      <c r="KF38" s="101">
        <f>E38-KB38</f>
        <v/>
      </c>
      <c r="KG38" s="15" t="n"/>
    </row>
    <row r="39" ht="21.75" customFormat="1" customHeight="1" s="25">
      <c r="A39" s="126">
        <f>A38+1</f>
        <v/>
      </c>
      <c r="B39" s="175" t="inlineStr">
        <is>
          <t>Протасов С.А.</t>
        </is>
      </c>
      <c r="C39" s="194" t="inlineStr">
        <is>
          <t>слесарь МСР</t>
        </is>
      </c>
      <c r="D39" s="177">
        <f>$D$5</f>
        <v/>
      </c>
      <c r="E39" s="202" t="n"/>
      <c r="F39" s="193" t="n">
        <v>84149.67999999999</v>
      </c>
      <c r="G39" s="52">
        <f>F39/D39</f>
        <v/>
      </c>
      <c r="H39" s="125" t="n"/>
      <c r="I39" s="107">
        <f>H39*100/$E$39</f>
        <v/>
      </c>
      <c r="J39" s="108" t="n"/>
      <c r="K39" s="107">
        <f>J39*100/$E$39</f>
        <v/>
      </c>
      <c r="L39" s="108" t="n"/>
      <c r="M39" s="107">
        <f>L39*100/$E$39</f>
        <v/>
      </c>
      <c r="N39" s="108" t="n"/>
      <c r="O39" s="107">
        <f>N39*100/$E$39</f>
        <v/>
      </c>
      <c r="P39" s="108" t="n"/>
      <c r="Q39" s="122">
        <f>P39*100/$E$39</f>
        <v/>
      </c>
      <c r="R39" s="108" t="n"/>
      <c r="S39" s="122">
        <f>R39*100/$E$39</f>
        <v/>
      </c>
      <c r="T39" s="108" t="n"/>
      <c r="U39" s="107">
        <f>T39*100/$E$39</f>
        <v/>
      </c>
      <c r="V39" s="108" t="n"/>
      <c r="W39" s="107">
        <f>V39*100/$E$39</f>
        <v/>
      </c>
      <c r="X39" s="108" t="n"/>
      <c r="Y39" s="107">
        <f>X39*100/$E$39</f>
        <v/>
      </c>
      <c r="Z39" s="108" t="n"/>
      <c r="AA39" s="107">
        <f>Z39*100/$E$39</f>
        <v/>
      </c>
      <c r="AB39" s="108" t="n"/>
      <c r="AC39" s="107">
        <f>AB39*100/$E$39</f>
        <v/>
      </c>
      <c r="AD39" s="108" t="n"/>
      <c r="AE39" s="122">
        <f>AD39*100/$E$39</f>
        <v/>
      </c>
      <c r="AF39" s="108" t="n"/>
      <c r="AG39" s="122">
        <f>AF39*100/$E$39</f>
        <v/>
      </c>
      <c r="AH39" s="108" t="n"/>
      <c r="AI39" s="107">
        <f>AH39*100/$E$39</f>
        <v/>
      </c>
      <c r="AJ39" s="108" t="n"/>
      <c r="AK39" s="107">
        <f>AJ39*100/$E$39</f>
        <v/>
      </c>
      <c r="AL39" s="108" t="n"/>
      <c r="AM39" s="107">
        <f>AL39*100/$E$39</f>
        <v/>
      </c>
      <c r="AN39" s="108" t="n"/>
      <c r="AO39" s="107">
        <f>AN39*100/$E$39</f>
        <v/>
      </c>
      <c r="AP39" s="108" t="n"/>
      <c r="AQ39" s="107">
        <f>AP39*100/$E$39</f>
        <v/>
      </c>
      <c r="AR39" s="108" t="n"/>
      <c r="AS39" s="107">
        <f>AR39*100/$E$39</f>
        <v/>
      </c>
      <c r="AT39" s="108" t="n"/>
      <c r="AU39" s="90">
        <f>AT39*100/$E$39</f>
        <v/>
      </c>
      <c r="AV39" s="108" t="n"/>
      <c r="AW39" s="107">
        <f>AV39*100/$E$39</f>
        <v/>
      </c>
      <c r="AX39" s="108" t="n"/>
      <c r="AY39" s="107">
        <f>AX39*100/$E$39</f>
        <v/>
      </c>
      <c r="AZ39" s="108" t="n"/>
      <c r="BA39" s="107">
        <f>AZ39*100/$E$39</f>
        <v/>
      </c>
      <c r="BB39" s="108" t="n"/>
      <c r="BC39" s="107">
        <f>BB39*100/$E$39</f>
        <v/>
      </c>
      <c r="BD39" s="108" t="n"/>
      <c r="BE39" s="107">
        <f>BD39*100/$E$39</f>
        <v/>
      </c>
      <c r="BF39" s="108" t="n"/>
      <c r="BG39" s="107">
        <f>BF39*100/$E$39</f>
        <v/>
      </c>
      <c r="BH39" s="108" t="n"/>
      <c r="BI39" s="107">
        <f>BH39*100/$E$39</f>
        <v/>
      </c>
      <c r="BJ39" s="108" t="n"/>
      <c r="BK39" s="107">
        <f>BJ39*100/$E$39</f>
        <v/>
      </c>
      <c r="BL39" s="108" t="n"/>
      <c r="BM39" s="107">
        <f>BL39*100/$E$39</f>
        <v/>
      </c>
      <c r="BN39" s="108" t="n"/>
      <c r="BO39" s="107">
        <f>BN39*100/$E$39</f>
        <v/>
      </c>
      <c r="BP39" s="108" t="n"/>
      <c r="BQ39" s="107">
        <f>BP39*100/$E$39</f>
        <v/>
      </c>
      <c r="BR39" s="108" t="n"/>
      <c r="BS39" s="107">
        <f>BR39*100/$E$39</f>
        <v/>
      </c>
      <c r="BT39" s="108" t="n"/>
      <c r="BU39" s="107">
        <f>BT39*100/$E$39</f>
        <v/>
      </c>
      <c r="BV39" s="108" t="n"/>
      <c r="BW39" s="107">
        <f>BV39*100/$E$39</f>
        <v/>
      </c>
      <c r="BX39" s="108" t="n"/>
      <c r="BY39" s="107">
        <f>BX39*100/$E$39</f>
        <v/>
      </c>
      <c r="BZ39" s="108" t="n"/>
      <c r="CA39" s="107">
        <f>BZ39*100/$E$39</f>
        <v/>
      </c>
      <c r="CB39" s="108" t="n"/>
      <c r="CC39" s="107">
        <f>CB39*100/$E$39</f>
        <v/>
      </c>
      <c r="CD39" s="108" t="n"/>
      <c r="CE39" s="107">
        <f>CD39*100/$E$39</f>
        <v/>
      </c>
      <c r="CF39" s="108" t="n"/>
      <c r="CG39" s="107">
        <f>CF39*100/$E$39</f>
        <v/>
      </c>
      <c r="CH39" s="108" t="n"/>
      <c r="CI39" s="107">
        <f>CH39*100/$E$39</f>
        <v/>
      </c>
      <c r="CJ39" s="108" t="n"/>
      <c r="CK39" s="107">
        <f>CJ39*100/$E$39</f>
        <v/>
      </c>
      <c r="CL39" s="108" t="n"/>
      <c r="CM39" s="107">
        <f>CL39*100/$E$39</f>
        <v/>
      </c>
      <c r="CN39" s="108" t="n"/>
      <c r="CO39" s="122">
        <f>CN39*100/$E$39</f>
        <v/>
      </c>
      <c r="CP39" s="108" t="n"/>
      <c r="CQ39" s="107">
        <f>CP39*100/$E$39</f>
        <v/>
      </c>
      <c r="CR39" s="108" t="n"/>
      <c r="CS39" s="122">
        <f>CR39*100/$E$39</f>
        <v/>
      </c>
      <c r="CT39" s="108" t="n"/>
      <c r="CU39" s="122">
        <f>CT39*100/$E$39</f>
        <v/>
      </c>
      <c r="CV39" s="108" t="n"/>
      <c r="CW39" s="122">
        <f>CV39*100/$E$39</f>
        <v/>
      </c>
      <c r="CX39" s="108" t="n"/>
      <c r="CY39" s="122">
        <f>CX39*100/$E$39</f>
        <v/>
      </c>
      <c r="CZ39" s="108" t="n"/>
      <c r="DA39" s="122">
        <f>CZ39*100/$E$39</f>
        <v/>
      </c>
      <c r="DB39" s="108" t="n"/>
      <c r="DC39" s="122">
        <f>DB39*100/$E$39</f>
        <v/>
      </c>
      <c r="DD39" s="108" t="n"/>
      <c r="DE39" s="122">
        <f>DD39*100/$E$39</f>
        <v/>
      </c>
      <c r="DF39" s="108" t="n"/>
      <c r="DG39" s="122">
        <f>DF39*100/$E$39</f>
        <v/>
      </c>
      <c r="DH39" s="108" t="n"/>
      <c r="DI39" s="122">
        <f>DH39*100/$E$39</f>
        <v/>
      </c>
      <c r="DJ39" s="108" t="n"/>
      <c r="DK39" s="122">
        <f>DJ39*100/$E$39</f>
        <v/>
      </c>
      <c r="DL39" s="108" t="n"/>
      <c r="DM39" s="122">
        <f>DL39*100/$E$39</f>
        <v/>
      </c>
      <c r="DN39" s="108" t="n"/>
      <c r="DO39" s="122">
        <f>DN39*100/$E$39</f>
        <v/>
      </c>
      <c r="DP39" s="108" t="n"/>
      <c r="DQ39" s="122">
        <f>DP39*100/$E$39</f>
        <v/>
      </c>
      <c r="DR39" s="108" t="n"/>
      <c r="DS39" s="122">
        <f>DR39*100/E39</f>
        <v/>
      </c>
      <c r="DT39" s="108" t="n"/>
      <c r="DU39" s="122">
        <f>DT39*100/$E$39</f>
        <v/>
      </c>
      <c r="DV39" s="108" t="n"/>
      <c r="DW39" s="122">
        <f>DV39*100/$E$39</f>
        <v/>
      </c>
      <c r="DX39" s="108" t="n"/>
      <c r="DY39" s="122">
        <f>DX39*100/$E$39</f>
        <v/>
      </c>
      <c r="DZ39" s="108" t="n"/>
      <c r="EA39" s="122">
        <f>DZ39*100/$E$39</f>
        <v/>
      </c>
      <c r="EB39" s="108" t="n"/>
      <c r="EC39" s="122">
        <f>EB39*100/$E$39</f>
        <v/>
      </c>
      <c r="ED39" s="108" t="n"/>
      <c r="EE39" s="122">
        <f>ED39*100/$E$39</f>
        <v/>
      </c>
      <c r="EF39" s="108" t="n"/>
      <c r="EG39" s="122">
        <f>EF39*100/$E$39</f>
        <v/>
      </c>
      <c r="EH39" s="108" t="n"/>
      <c r="EI39" s="122">
        <f>EH39*100/$E$39</f>
        <v/>
      </c>
      <c r="EJ39" s="108" t="n"/>
      <c r="EK39" s="122">
        <f>EJ39*100/$E$39</f>
        <v/>
      </c>
      <c r="EL39" s="108" t="n"/>
      <c r="EM39" s="122">
        <f>EL39*100/$E$39</f>
        <v/>
      </c>
      <c r="EN39" s="108" t="n"/>
      <c r="EO39" s="122">
        <f>EN39*100/$E$39</f>
        <v/>
      </c>
      <c r="EP39" s="108" t="n"/>
      <c r="EQ39" s="122">
        <f>EP39*100/$E$39</f>
        <v/>
      </c>
      <c r="ER39" s="108" t="n"/>
      <c r="ES39" s="122">
        <f>ER39*100/$E$39</f>
        <v/>
      </c>
      <c r="ET39" s="108" t="n"/>
      <c r="EU39" s="122">
        <f>ET39*100/$E$39</f>
        <v/>
      </c>
      <c r="EV39" s="108" t="n"/>
      <c r="EW39" s="122">
        <f>EV39*100/$E$39</f>
        <v/>
      </c>
      <c r="EX39" s="108" t="n"/>
      <c r="EY39" s="122">
        <f>EX39*100/$E$39</f>
        <v/>
      </c>
      <c r="EZ39" s="108" t="n"/>
      <c r="FA39" s="122">
        <f>EZ39*100/$E$39</f>
        <v/>
      </c>
      <c r="FB39" s="108" t="n"/>
      <c r="FC39" s="122">
        <f>FB39*100/$E$39</f>
        <v/>
      </c>
      <c r="FD39" s="108" t="n"/>
      <c r="FE39" s="122">
        <f>FD39*100/$E$39</f>
        <v/>
      </c>
      <c r="FF39" s="108" t="n"/>
      <c r="FG39" s="122">
        <f>FF39*100/$E$39</f>
        <v/>
      </c>
      <c r="FH39" s="108" t="n"/>
      <c r="FI39" s="122">
        <f>FH39*100/$E$39</f>
        <v/>
      </c>
      <c r="FJ39" s="108" t="n"/>
      <c r="FK39" s="122">
        <f>FJ39*100/$E$39</f>
        <v/>
      </c>
      <c r="FL39" s="108" t="n"/>
      <c r="FM39" s="122">
        <f>FL39*100/$E$39</f>
        <v/>
      </c>
      <c r="FN39" s="108" t="n"/>
      <c r="FO39" s="122">
        <f>FN39*100/$E$39</f>
        <v/>
      </c>
      <c r="FP39" s="108" t="n"/>
      <c r="FQ39" s="122">
        <f>FP39*100/E39</f>
        <v/>
      </c>
      <c r="FR39" s="108" t="n"/>
      <c r="FS39" s="122">
        <f>FR39*100/$E$39</f>
        <v/>
      </c>
      <c r="FT39" s="108" t="n"/>
      <c r="FU39" s="122">
        <f>FT39*100/$E$39</f>
        <v/>
      </c>
      <c r="FV39" s="108" t="n"/>
      <c r="FW39" s="122">
        <f>FV39*100/$E$39</f>
        <v/>
      </c>
      <c r="FX39" s="108" t="n"/>
      <c r="FY39" s="107">
        <f>FX39*100/$E$39</f>
        <v/>
      </c>
      <c r="FZ39" s="108" t="n"/>
      <c r="GA39" s="107">
        <f>FZ39*100/$E$39</f>
        <v/>
      </c>
      <c r="GB39" s="108" t="n"/>
      <c r="GC39" s="107">
        <f>GB39*100/$E$39</f>
        <v/>
      </c>
      <c r="GD39" s="108" t="n"/>
      <c r="GE39" s="107">
        <f>GD39*100/$E$39</f>
        <v/>
      </c>
      <c r="GF39" s="108" t="n"/>
      <c r="GG39" s="107">
        <f>GF39*100/$E$39</f>
        <v/>
      </c>
      <c r="GH39" s="108" t="n"/>
      <c r="GI39" s="107">
        <f>GH39*100/$E$39</f>
        <v/>
      </c>
      <c r="GJ39" s="108" t="n"/>
      <c r="GK39" s="122">
        <f>GJ39*100/$E$39</f>
        <v/>
      </c>
      <c r="GL39" s="108" t="n"/>
      <c r="GM39" s="107">
        <f>GL39*100/$E$39</f>
        <v/>
      </c>
      <c r="GN39" s="108" t="n"/>
      <c r="GO39" s="122">
        <f>GN39*100/$E$39</f>
        <v/>
      </c>
      <c r="GP39" s="108" t="n"/>
      <c r="GQ39" s="107">
        <f>GP39*100/$E$39</f>
        <v/>
      </c>
      <c r="GR39" s="108" t="n"/>
      <c r="GS39" s="122">
        <f>GR39*100/$E$39</f>
        <v/>
      </c>
      <c r="GT39" s="108" t="n"/>
      <c r="GU39" s="122">
        <f>GT39*100/$E$39</f>
        <v/>
      </c>
      <c r="GV39" s="108" t="n"/>
      <c r="GW39" s="122">
        <f>GV39*100/$E$39</f>
        <v/>
      </c>
      <c r="GX39" s="108" t="n"/>
      <c r="GY39" s="107">
        <f>GX39*100/$E$39</f>
        <v/>
      </c>
      <c r="GZ39" s="108" t="n"/>
      <c r="HA39" s="107">
        <f>GZ39*100/$E$39</f>
        <v/>
      </c>
      <c r="HB39" s="108" t="n"/>
      <c r="HC39" s="107">
        <f>HB39*100/$E$39</f>
        <v/>
      </c>
      <c r="HD39" s="108" t="n"/>
      <c r="HE39" s="107">
        <f>HD39*100/$E$39</f>
        <v/>
      </c>
      <c r="HF39" s="108" t="n"/>
      <c r="HG39" s="107">
        <f>HF39*100/$E$39</f>
        <v/>
      </c>
      <c r="HH39" s="108" t="n"/>
      <c r="HI39" s="107">
        <f>HH39*100/$E$39</f>
        <v/>
      </c>
      <c r="HJ39" s="108" t="n"/>
      <c r="HK39" s="107">
        <f>HJ39*100/$E$39</f>
        <v/>
      </c>
      <c r="HL39" s="108" t="n"/>
      <c r="HM39" s="107">
        <f>HL39*100/$E$39</f>
        <v/>
      </c>
      <c r="HN39" s="108" t="n"/>
      <c r="HO39" s="107">
        <f>HN39*100/$E$39</f>
        <v/>
      </c>
      <c r="HP39" s="108" t="n"/>
      <c r="HQ39" s="107">
        <f>HP39*100/$E$39</f>
        <v/>
      </c>
      <c r="HR39" s="108" t="n"/>
      <c r="HS39" s="107">
        <f>HR39*100/$E$39</f>
        <v/>
      </c>
      <c r="HT39" s="108" t="n"/>
      <c r="HU39" s="107">
        <f>HT39*100/$E$39</f>
        <v/>
      </c>
      <c r="HV39" s="108" t="n"/>
      <c r="HW39" s="107">
        <f>HV39*100/$E$39</f>
        <v/>
      </c>
      <c r="HX39" s="108" t="n"/>
      <c r="HY39" s="107">
        <f>HX39*100/$E$39</f>
        <v/>
      </c>
      <c r="HZ39" s="108" t="n"/>
      <c r="IA39" s="122">
        <f>HZ39*100/$E$39</f>
        <v/>
      </c>
      <c r="IB39" s="108" t="n"/>
      <c r="IC39" s="122">
        <f>IB39*100/$E$39</f>
        <v/>
      </c>
      <c r="ID39" s="108" t="n"/>
      <c r="IE39" s="122">
        <f>ID39*100/$E$39</f>
        <v/>
      </c>
      <c r="IF39" s="108" t="n"/>
      <c r="IG39" s="122">
        <f>IF39*100/$E$39</f>
        <v/>
      </c>
      <c r="IH39" s="108" t="n"/>
      <c r="II39" s="122">
        <f>IH39*100/$E$39</f>
        <v/>
      </c>
      <c r="IJ39" s="108" t="n"/>
      <c r="IK39" s="122">
        <f>IJ39*100/$E$39</f>
        <v/>
      </c>
      <c r="IL39" s="108" t="n"/>
      <c r="IM39" s="107">
        <f>IL39*100/$E$39</f>
        <v/>
      </c>
      <c r="IN39" s="108" t="n"/>
      <c r="IO39" s="107">
        <f>IN39*100/$E$39</f>
        <v/>
      </c>
      <c r="IP39" s="108" t="n"/>
      <c r="IQ39" s="122">
        <f>IP39*100/$E$39</f>
        <v/>
      </c>
      <c r="IR39" s="108" t="n"/>
      <c r="IS39" s="122">
        <f>IR39*100/$E$39</f>
        <v/>
      </c>
      <c r="IT39" s="108" t="n"/>
      <c r="IU39" s="122">
        <f>IT39*100/$E$39</f>
        <v/>
      </c>
      <c r="IV39" s="108" t="n"/>
      <c r="IW39" s="122">
        <f>IV39*100/$E$39</f>
        <v/>
      </c>
      <c r="IX39" s="108" t="n"/>
      <c r="IY39" s="122">
        <f>IX39*100/$E$39</f>
        <v/>
      </c>
      <c r="IZ39" s="108" t="n"/>
      <c r="JA39" s="122">
        <f>IZ39*100/$E$39</f>
        <v/>
      </c>
      <c r="JB39" s="108" t="n"/>
      <c r="JC39" s="122">
        <f>JB39*100/$E$39</f>
        <v/>
      </c>
      <c r="JD39" s="108" t="n"/>
      <c r="JE39" s="122">
        <f>JD39*100/$E$39</f>
        <v/>
      </c>
      <c r="JF39" s="108" t="n"/>
      <c r="JG39" s="122">
        <f>JF39*100/$E$39</f>
        <v/>
      </c>
      <c r="JH39" s="108" t="n"/>
      <c r="JI39" s="122">
        <f>JH39*100/$E$39</f>
        <v/>
      </c>
      <c r="JJ39" s="108" t="n"/>
      <c r="JK39" s="122">
        <f>JJ39*100/$E$39</f>
        <v/>
      </c>
      <c r="JL39" s="108" t="n"/>
      <c r="JM39" s="122">
        <f>JL39*100/$E$39</f>
        <v/>
      </c>
      <c r="JN39" s="108" t="n"/>
      <c r="JO39" s="121">
        <f>JN39*100/$E$39</f>
        <v/>
      </c>
      <c r="JP39" s="108" t="n"/>
      <c r="JQ39" s="121">
        <f>JP39*100/$E$39</f>
        <v/>
      </c>
      <c r="JR39" s="108" t="n"/>
      <c r="JS39" s="121">
        <f>JR39*100/$E$39</f>
        <v/>
      </c>
      <c r="JT39" s="108" t="n"/>
      <c r="JU39" s="121">
        <f>JT39*100/$E$39</f>
        <v/>
      </c>
      <c r="JV39" s="108" t="n"/>
      <c r="JW39" s="121">
        <f>JV39*100/$E$39</f>
        <v/>
      </c>
      <c r="JX39" s="108" t="n"/>
      <c r="JY39" s="121">
        <f>JX39*100/$E$39</f>
        <v/>
      </c>
      <c r="JZ39" s="55">
        <f>JN39+JP39+JR39+JT39+JV39+JX39</f>
        <v/>
      </c>
      <c r="KA39" s="53">
        <f>JO39+JQ39+JS39+JU39+JW39+JY39</f>
        <v/>
      </c>
      <c r="KB39" s="64">
        <f>H39+J39+L39+N39+P39+R39+T39+V39+X39+Z39+AB39+AD39+AF39+AH39+AJ39+AL39+AN39+AP39+AR39+AT39+AV39+AX39+AZ39+BB39+BD39+BF39+BH39+BJ39+BL39+BN39+BP39+BR39+BT39+BV39+BX39+BZ39+CB39+CD39+CF39+CH39+CZ39+DB39+DD39+DF39+DH39+DJ39+DL39+DN39+DP39+DR39+DT39+DV39+DX39+DZ39+EB39+ED39+EF39+EH39+EJ39+EL39+EN39+EP39+ER39+ET39+EV39+FN39+FP39+FR39+FT39+FV39+FX39+FZ39+GB39+GD39+GF39+GH39+GJ39+GL39+GN39+GP39+GR39+GT39+GV39+GX39+GZ39+HB39+HD39+HF39+HH39+HJ39+HL39+HN39+HP39+HR39+HT39+HV39+HX39+HZ39+IB39+ID39+IF39+IH39+IJ39+IL39+IN39+IP39+IR39+IT39+IV39+IX39+IZ39+JB39+JD39+JF39+JH39+JJ39+JL39+JZ39+CJ39+CL39+CN39+CP39+CR39+CT39+CV39+CX39+EX39+EZ39+FB39+FD39+FF39+FH39+FJ39+FL39</f>
        <v/>
      </c>
      <c r="KC39" s="66">
        <f>I39+K39+M39+O39+Q39+S39+U39+W39+Y39+AA39+AC39+AE39+AG39+AI39+AK39+AM39+AO39+AQ39+AS39+AU39+AW39+AY39+BA39+BC39+BE39+BG39+BI39+BK39+BM39+BO39+BQ39+BS39+BU39+BW39+BY39+CA39+CC39+CE39+CG39+CI39+DA39+DC39+DE39+DG39+DI39+DK39+DM39+DO39+DQ39+DS39+DU39+DW39+DY39+EA39+EC39+EE39+EG39+EI39+EK39+EM39+EO39+EQ39+ES39+EU39+EW39+FO39+FS39+FU39+FW39+FQ39+FY39+GA39+GC39+GE39+GG39+GI39+GK39+GM39+GO39+GQ39+GS39+GU39+GW39+GY39+HA39+HC39+HE39+HG39+HI39+HK39+HM39+HO39+HQ39+HS39+HU39+HW39+HY39+IA39+IC39+IE39+IG39+II39+IK39+IM39+IO39+IQ39+IS39+IU39+IW39+IY39+JA39+JC39+JE39+JG39+JI39+JK39+JM39+KA39+CK39+CM39+CO39+CQ39+CS39+CU39+CW39+CY39+EY39+FA39+FC39+FE39+FG39+FI39+FK39+FM39</f>
        <v/>
      </c>
      <c r="KD39" s="44">
        <f>JO39+JQ39+JS39+JU39+JW39+JY39</f>
        <v/>
      </c>
      <c r="KE39" s="45">
        <f>KB39=E39</f>
        <v/>
      </c>
      <c r="KF39" s="101">
        <f>E39-KB39</f>
        <v/>
      </c>
      <c r="KG39" s="15" t="n"/>
    </row>
    <row r="40" ht="21.75" customFormat="1" customHeight="1" s="25">
      <c r="A40" s="126">
        <f>A39+1</f>
        <v/>
      </c>
      <c r="B40" s="175" t="inlineStr">
        <is>
          <t>Селивановский А.К.</t>
        </is>
      </c>
      <c r="C40" s="194" t="inlineStr">
        <is>
          <t>токарь-расточник</t>
        </is>
      </c>
      <c r="D40" s="177">
        <f>$D$5</f>
        <v/>
      </c>
      <c r="E40" s="202" t="n"/>
      <c r="F40" s="193" t="n">
        <v>101150.45</v>
      </c>
      <c r="G40" s="52">
        <f>F40/D40</f>
        <v/>
      </c>
      <c r="H40" s="125" t="n"/>
      <c r="I40" s="107">
        <f>H40*100/$E$40</f>
        <v/>
      </c>
      <c r="J40" s="108" t="n"/>
      <c r="K40" s="107">
        <f>J40*100/$E$40</f>
        <v/>
      </c>
      <c r="L40" s="108" t="n"/>
      <c r="M40" s="107">
        <f>L40*100/$E$40</f>
        <v/>
      </c>
      <c r="N40" s="108" t="n"/>
      <c r="O40" s="107">
        <f>N40*100/$E$40</f>
        <v/>
      </c>
      <c r="P40" s="108" t="n"/>
      <c r="Q40" s="122">
        <f>P40*100/$E$40</f>
        <v/>
      </c>
      <c r="R40" s="108" t="n"/>
      <c r="S40" s="122">
        <f>R40*100/$E$40</f>
        <v/>
      </c>
      <c r="T40" s="108" t="n"/>
      <c r="U40" s="107">
        <f>T40*100/$E$40</f>
        <v/>
      </c>
      <c r="V40" s="108" t="n"/>
      <c r="W40" s="107">
        <f>V40*100/$E$40</f>
        <v/>
      </c>
      <c r="X40" s="108" t="n"/>
      <c r="Y40" s="107">
        <f>X40*100/$E$40</f>
        <v/>
      </c>
      <c r="Z40" s="108" t="n"/>
      <c r="AA40" s="107">
        <f>Z40*100/$E$40</f>
        <v/>
      </c>
      <c r="AB40" s="108" t="n"/>
      <c r="AC40" s="107">
        <f>AB40*100/$E$40</f>
        <v/>
      </c>
      <c r="AD40" s="108" t="n"/>
      <c r="AE40" s="122">
        <f>AD40*100/$E$40</f>
        <v/>
      </c>
      <c r="AF40" s="108" t="n"/>
      <c r="AG40" s="122">
        <f>AF40*100/$E$40</f>
        <v/>
      </c>
      <c r="AH40" s="108" t="n"/>
      <c r="AI40" s="107">
        <f>AH40*100/$E$40</f>
        <v/>
      </c>
      <c r="AJ40" s="108" t="n"/>
      <c r="AK40" s="107">
        <f>AJ40*100/$E$40</f>
        <v/>
      </c>
      <c r="AL40" s="108" t="n"/>
      <c r="AM40" s="107">
        <f>AL40*100/$E$40</f>
        <v/>
      </c>
      <c r="AN40" s="108" t="n"/>
      <c r="AO40" s="107">
        <f>AN40*100/$E$40</f>
        <v/>
      </c>
      <c r="AP40" s="108" t="n"/>
      <c r="AQ40" s="107">
        <f>AP40*100/$E$40</f>
        <v/>
      </c>
      <c r="AR40" s="108" t="n"/>
      <c r="AS40" s="107">
        <f>AR40*100/$E$40</f>
        <v/>
      </c>
      <c r="AT40" s="108" t="n"/>
      <c r="AU40" s="90">
        <f>AT40*100/$E$40</f>
        <v/>
      </c>
      <c r="AV40" s="108" t="n"/>
      <c r="AW40" s="107">
        <f>AV40*100/$E$40</f>
        <v/>
      </c>
      <c r="AX40" s="108" t="n"/>
      <c r="AY40" s="107">
        <f>AX40*100/$E$40</f>
        <v/>
      </c>
      <c r="AZ40" s="108" t="n"/>
      <c r="BA40" s="107">
        <f>AZ40*100/$E$40</f>
        <v/>
      </c>
      <c r="BB40" s="108" t="n"/>
      <c r="BC40" s="107">
        <f>BB40*100/$E$40</f>
        <v/>
      </c>
      <c r="BD40" s="108" t="n"/>
      <c r="BE40" s="107">
        <f>BD40*100/$E$40</f>
        <v/>
      </c>
      <c r="BF40" s="108" t="n"/>
      <c r="BG40" s="107">
        <f>BF40*100/$E$40</f>
        <v/>
      </c>
      <c r="BH40" s="108" t="n"/>
      <c r="BI40" s="107">
        <f>BH40*100/$E$40</f>
        <v/>
      </c>
      <c r="BJ40" s="108" t="n"/>
      <c r="BK40" s="107">
        <f>BJ40*100/$E$40</f>
        <v/>
      </c>
      <c r="BL40" s="108" t="n"/>
      <c r="BM40" s="107">
        <f>BL40*100/$E$40</f>
        <v/>
      </c>
      <c r="BN40" s="108" t="n"/>
      <c r="BO40" s="107">
        <f>BN40*100/$E$40</f>
        <v/>
      </c>
      <c r="BP40" s="108" t="n"/>
      <c r="BQ40" s="107">
        <f>BP40*100/$E$40</f>
        <v/>
      </c>
      <c r="BR40" s="108" t="n"/>
      <c r="BS40" s="107">
        <f>BR40*100/$E$40</f>
        <v/>
      </c>
      <c r="BT40" s="108" t="n"/>
      <c r="BU40" s="107">
        <f>BT40*100/$E$40</f>
        <v/>
      </c>
      <c r="BV40" s="108" t="n"/>
      <c r="BW40" s="107">
        <f>BV40*100/$E$40</f>
        <v/>
      </c>
      <c r="BX40" s="108" t="n"/>
      <c r="BY40" s="107">
        <f>BX40*100/$E$40</f>
        <v/>
      </c>
      <c r="BZ40" s="108" t="n"/>
      <c r="CA40" s="107">
        <f>BZ40*100/$E$40</f>
        <v/>
      </c>
      <c r="CB40" s="108" t="n"/>
      <c r="CC40" s="107">
        <f>CB40*100/$E$40</f>
        <v/>
      </c>
      <c r="CD40" s="108" t="n"/>
      <c r="CE40" s="107">
        <f>CD40*100/$E$40</f>
        <v/>
      </c>
      <c r="CF40" s="108" t="n"/>
      <c r="CG40" s="107">
        <f>CF40*100/$E$40</f>
        <v/>
      </c>
      <c r="CH40" s="108" t="n"/>
      <c r="CI40" s="107">
        <f>CH40*100/$E$40</f>
        <v/>
      </c>
      <c r="CJ40" s="108" t="n"/>
      <c r="CK40" s="107">
        <f>CJ40*100/$E$40</f>
        <v/>
      </c>
      <c r="CL40" s="108" t="n"/>
      <c r="CM40" s="107">
        <f>CL40*100/$E$40</f>
        <v/>
      </c>
      <c r="CN40" s="108" t="n"/>
      <c r="CO40" s="122">
        <f>CN40*100/$E$40</f>
        <v/>
      </c>
      <c r="CP40" s="108" t="n"/>
      <c r="CQ40" s="107">
        <f>CP40*100/$E$40</f>
        <v/>
      </c>
      <c r="CR40" s="108" t="n"/>
      <c r="CS40" s="122">
        <f>CR40*100/$E$40</f>
        <v/>
      </c>
      <c r="CT40" s="108" t="n"/>
      <c r="CU40" s="122">
        <f>CT40*100/$E$40</f>
        <v/>
      </c>
      <c r="CV40" s="108" t="n"/>
      <c r="CW40" s="122">
        <f>CV40*100/$E$40</f>
        <v/>
      </c>
      <c r="CX40" s="108" t="n"/>
      <c r="CY40" s="122">
        <f>CX40*100/$E$40</f>
        <v/>
      </c>
      <c r="CZ40" s="108" t="n"/>
      <c r="DA40" s="122">
        <f>CZ40*100/$E$40</f>
        <v/>
      </c>
      <c r="DB40" s="108" t="n"/>
      <c r="DC40" s="122">
        <f>DB40*100/$E$40</f>
        <v/>
      </c>
      <c r="DD40" s="108" t="n"/>
      <c r="DE40" s="122">
        <f>DD40*100/$E$40</f>
        <v/>
      </c>
      <c r="DF40" s="108" t="n"/>
      <c r="DG40" s="122">
        <f>DF40*100/$E$40</f>
        <v/>
      </c>
      <c r="DH40" s="108" t="n"/>
      <c r="DI40" s="122">
        <f>DH40*100/$E$40</f>
        <v/>
      </c>
      <c r="DJ40" s="108" t="n"/>
      <c r="DK40" s="122">
        <f>DJ40*100/$E$40</f>
        <v/>
      </c>
      <c r="DL40" s="108" t="n"/>
      <c r="DM40" s="122">
        <f>DL40*100/$E$40</f>
        <v/>
      </c>
      <c r="DN40" s="108" t="n"/>
      <c r="DO40" s="122">
        <f>DN40*100/$E$40</f>
        <v/>
      </c>
      <c r="DP40" s="108" t="n"/>
      <c r="DQ40" s="122">
        <f>DP40*100/$E$40</f>
        <v/>
      </c>
      <c r="DR40" s="108" t="n"/>
      <c r="DS40" s="122">
        <f>DR40*100/$E$40</f>
        <v/>
      </c>
      <c r="DT40" s="108" t="n"/>
      <c r="DU40" s="122">
        <f>DT40*100/$E$40</f>
        <v/>
      </c>
      <c r="DV40" s="108" t="n"/>
      <c r="DW40" s="122">
        <f>DV40*100/$E$40</f>
        <v/>
      </c>
      <c r="DX40" s="108" t="n"/>
      <c r="DY40" s="122">
        <f>DX40*100/$E$40</f>
        <v/>
      </c>
      <c r="DZ40" s="108" t="n"/>
      <c r="EA40" s="122">
        <f>DZ40*100/$E$40</f>
        <v/>
      </c>
      <c r="EB40" s="108" t="n"/>
      <c r="EC40" s="122">
        <f>EB40*100/$E$40</f>
        <v/>
      </c>
      <c r="ED40" s="108" t="n"/>
      <c r="EE40" s="122">
        <f>ED40*100/$E$40</f>
        <v/>
      </c>
      <c r="EF40" s="108" t="n"/>
      <c r="EG40" s="122">
        <f>EF40*100/$E$40</f>
        <v/>
      </c>
      <c r="EH40" s="108" t="n"/>
      <c r="EI40" s="122">
        <f>EH40*100/$E$40</f>
        <v/>
      </c>
      <c r="EJ40" s="108" t="n"/>
      <c r="EK40" s="122">
        <f>EJ40*100/$E$40</f>
        <v/>
      </c>
      <c r="EL40" s="108" t="n"/>
      <c r="EM40" s="122">
        <f>EL40*100/$E$40</f>
        <v/>
      </c>
      <c r="EN40" s="108" t="n"/>
      <c r="EO40" s="122">
        <f>EN40*100/$E$40</f>
        <v/>
      </c>
      <c r="EP40" s="108" t="n"/>
      <c r="EQ40" s="122">
        <f>EP40*100/$E$40</f>
        <v/>
      </c>
      <c r="ER40" s="108" t="n"/>
      <c r="ES40" s="122">
        <f>ER40*100/$E$40</f>
        <v/>
      </c>
      <c r="ET40" s="108" t="n"/>
      <c r="EU40" s="122">
        <f>ET40*100/$E$40</f>
        <v/>
      </c>
      <c r="EV40" s="108" t="n"/>
      <c r="EW40" s="122">
        <f>EV40*100/$E$40</f>
        <v/>
      </c>
      <c r="EX40" s="108" t="n"/>
      <c r="EY40" s="122">
        <f>EX40*100/$E$40</f>
        <v/>
      </c>
      <c r="EZ40" s="108" t="n"/>
      <c r="FA40" s="122">
        <f>EZ40*100/$E$40</f>
        <v/>
      </c>
      <c r="FB40" s="108" t="n"/>
      <c r="FC40" s="122">
        <f>FB40*100/$E$40</f>
        <v/>
      </c>
      <c r="FD40" s="108" t="n"/>
      <c r="FE40" s="122">
        <f>FD40*100/$E$40</f>
        <v/>
      </c>
      <c r="FF40" s="108" t="n"/>
      <c r="FG40" s="122">
        <f>FF40*100/$E$40</f>
        <v/>
      </c>
      <c r="FH40" s="108" t="n"/>
      <c r="FI40" s="122">
        <f>FH40*100/$E$40</f>
        <v/>
      </c>
      <c r="FJ40" s="108" t="n"/>
      <c r="FK40" s="122">
        <f>FJ40*100/$E$40</f>
        <v/>
      </c>
      <c r="FL40" s="108" t="n"/>
      <c r="FM40" s="122">
        <f>FL40*100/$E$40</f>
        <v/>
      </c>
      <c r="FN40" s="108" t="n"/>
      <c r="FO40" s="122">
        <f>FN40*100/$E$40</f>
        <v/>
      </c>
      <c r="FP40" s="108" t="n"/>
      <c r="FQ40" s="122">
        <f>FP40*100/$E$40</f>
        <v/>
      </c>
      <c r="FR40" s="108" t="n"/>
      <c r="FS40" s="122">
        <f>FR40*100/$E$40</f>
        <v/>
      </c>
      <c r="FT40" s="108" t="n"/>
      <c r="FU40" s="122">
        <f>FT40*100/$E$40</f>
        <v/>
      </c>
      <c r="FV40" s="108" t="n"/>
      <c r="FW40" s="122">
        <f>FV40*100/$E$40</f>
        <v/>
      </c>
      <c r="FX40" s="108" t="n"/>
      <c r="FY40" s="107">
        <f>FX40*100/$E$40</f>
        <v/>
      </c>
      <c r="FZ40" s="108" t="n"/>
      <c r="GA40" s="107">
        <f>FZ40*100/$E$40</f>
        <v/>
      </c>
      <c r="GB40" s="108" t="n"/>
      <c r="GC40" s="107">
        <f>GB40*100/$E$40</f>
        <v/>
      </c>
      <c r="GD40" s="108" t="n"/>
      <c r="GE40" s="107">
        <f>GD40*100/$E$40</f>
        <v/>
      </c>
      <c r="GF40" s="108" t="n"/>
      <c r="GG40" s="107">
        <f>GF40*100/$E$40</f>
        <v/>
      </c>
      <c r="GH40" s="108" t="n"/>
      <c r="GI40" s="107">
        <f>GH40*100/$E$40</f>
        <v/>
      </c>
      <c r="GJ40" s="108" t="n"/>
      <c r="GK40" s="122">
        <f>GJ40*100/$E$40</f>
        <v/>
      </c>
      <c r="GL40" s="108" t="n"/>
      <c r="GM40" s="107">
        <f>GL40*100/$E$40</f>
        <v/>
      </c>
      <c r="GN40" s="108" t="n"/>
      <c r="GO40" s="122">
        <f>GN40*100/$E$40</f>
        <v/>
      </c>
      <c r="GP40" s="108" t="n"/>
      <c r="GQ40" s="107">
        <f>GP40*100/$E$40</f>
        <v/>
      </c>
      <c r="GR40" s="108" t="n"/>
      <c r="GS40" s="122">
        <f>GR40*100/$E$40</f>
        <v/>
      </c>
      <c r="GT40" s="108" t="n"/>
      <c r="GU40" s="122">
        <f>GT40*100/$E$40</f>
        <v/>
      </c>
      <c r="GV40" s="108" t="n"/>
      <c r="GW40" s="122">
        <f>GV40*100/$E$40</f>
        <v/>
      </c>
      <c r="GX40" s="108" t="n"/>
      <c r="GY40" s="107">
        <f>GX40*100/$E$40</f>
        <v/>
      </c>
      <c r="GZ40" s="108" t="n"/>
      <c r="HA40" s="107">
        <f>GZ40*100/$E$40</f>
        <v/>
      </c>
      <c r="HB40" s="108" t="n"/>
      <c r="HC40" s="107">
        <f>HB40*100/$E$40</f>
        <v/>
      </c>
      <c r="HD40" s="108" t="n"/>
      <c r="HE40" s="107">
        <f>HD40*100/$E$40</f>
        <v/>
      </c>
      <c r="HF40" s="108" t="n"/>
      <c r="HG40" s="107">
        <f>HF40*100/$E$40</f>
        <v/>
      </c>
      <c r="HH40" s="108" t="n"/>
      <c r="HI40" s="107">
        <f>HH40*100/$E$40</f>
        <v/>
      </c>
      <c r="HJ40" s="108" t="n"/>
      <c r="HK40" s="107">
        <f>HJ40*100/$E$40</f>
        <v/>
      </c>
      <c r="HL40" s="108" t="n"/>
      <c r="HM40" s="107">
        <f>HL40*100/$E$40</f>
        <v/>
      </c>
      <c r="HN40" s="108" t="n"/>
      <c r="HO40" s="107">
        <f>HN40*100/$E$40</f>
        <v/>
      </c>
      <c r="HP40" s="108" t="n"/>
      <c r="HQ40" s="107">
        <f>HP40*100/$E$40</f>
        <v/>
      </c>
      <c r="HR40" s="108" t="n"/>
      <c r="HS40" s="107">
        <f>HR40*100/$E$40</f>
        <v/>
      </c>
      <c r="HT40" s="108" t="n"/>
      <c r="HU40" s="107">
        <f>HT40*100/$E$40</f>
        <v/>
      </c>
      <c r="HV40" s="108" t="n"/>
      <c r="HW40" s="107">
        <f>HV40*100/$E$40</f>
        <v/>
      </c>
      <c r="HX40" s="108" t="n"/>
      <c r="HY40" s="107">
        <f>HX40*100/$E$40</f>
        <v/>
      </c>
      <c r="HZ40" s="108" t="n"/>
      <c r="IA40" s="122">
        <f>HZ40*100/$E$40</f>
        <v/>
      </c>
      <c r="IB40" s="108" t="n"/>
      <c r="IC40" s="122">
        <f>IB40*100/$E$40</f>
        <v/>
      </c>
      <c r="ID40" s="108" t="n"/>
      <c r="IE40" s="122">
        <f>ID40*100/$E$40</f>
        <v/>
      </c>
      <c r="IF40" s="108" t="n"/>
      <c r="IG40" s="122">
        <f>IF40*100/$E$40</f>
        <v/>
      </c>
      <c r="IH40" s="108" t="n"/>
      <c r="II40" s="122">
        <f>IH40*100/$E$40</f>
        <v/>
      </c>
      <c r="IJ40" s="108" t="n"/>
      <c r="IK40" s="122">
        <f>IJ40*100/$E$40</f>
        <v/>
      </c>
      <c r="IL40" s="108" t="n"/>
      <c r="IM40" s="107">
        <f>IL40*100/$E$40</f>
        <v/>
      </c>
      <c r="IN40" s="108" t="n"/>
      <c r="IO40" s="107">
        <f>IN40*100/$E$40</f>
        <v/>
      </c>
      <c r="IP40" s="108" t="n"/>
      <c r="IQ40" s="122">
        <f>IP40*100/$E$40</f>
        <v/>
      </c>
      <c r="IR40" s="108" t="n"/>
      <c r="IS40" s="122">
        <f>IR40*100/$E$40</f>
        <v/>
      </c>
      <c r="IT40" s="108" t="n"/>
      <c r="IU40" s="122">
        <f>IT40*100/$E$40</f>
        <v/>
      </c>
      <c r="IV40" s="108" t="n"/>
      <c r="IW40" s="122">
        <f>IV40*100/$E$40</f>
        <v/>
      </c>
      <c r="IX40" s="108" t="n"/>
      <c r="IY40" s="122">
        <f>IX40*100/$E$40</f>
        <v/>
      </c>
      <c r="IZ40" s="108" t="n"/>
      <c r="JA40" s="122">
        <f>IZ40*100/$E$40</f>
        <v/>
      </c>
      <c r="JB40" s="108" t="n"/>
      <c r="JC40" s="122">
        <f>JB40*100/$E$40</f>
        <v/>
      </c>
      <c r="JD40" s="108" t="n"/>
      <c r="JE40" s="122">
        <f>JD40*100/$E$40</f>
        <v/>
      </c>
      <c r="JF40" s="108" t="n"/>
      <c r="JG40" s="122">
        <f>JF40*100/$E$40</f>
        <v/>
      </c>
      <c r="JH40" s="108" t="n"/>
      <c r="JI40" s="122">
        <f>JH40*100/$E$40</f>
        <v/>
      </c>
      <c r="JJ40" s="108" t="n"/>
      <c r="JK40" s="122">
        <f>JJ40*100/$E$40</f>
        <v/>
      </c>
      <c r="JL40" s="108" t="n"/>
      <c r="JM40" s="122">
        <f>JL40*100/$E$40</f>
        <v/>
      </c>
      <c r="JN40" s="108" t="n"/>
      <c r="JO40" s="121">
        <f>JN40*100/$E$40</f>
        <v/>
      </c>
      <c r="JP40" s="108" t="n"/>
      <c r="JQ40" s="121">
        <f>JP40*100/$E$40</f>
        <v/>
      </c>
      <c r="JR40" s="108" t="n"/>
      <c r="JS40" s="121">
        <f>JR40*100/$E$40</f>
        <v/>
      </c>
      <c r="JT40" s="108" t="n"/>
      <c r="JU40" s="121">
        <f>JT40*100/$E$40</f>
        <v/>
      </c>
      <c r="JV40" s="108" t="n"/>
      <c r="JW40" s="121">
        <f>JV40*100/$E$40</f>
        <v/>
      </c>
      <c r="JX40" s="108" t="n"/>
      <c r="JY40" s="121">
        <f>JX40*100/$E$40</f>
        <v/>
      </c>
      <c r="JZ40" s="55">
        <f>JN40+JP40+JR40+JT40+JV40+JX40</f>
        <v/>
      </c>
      <c r="KA40" s="53">
        <f>JO40+JQ40+JS40+JU40+JW40+JY40</f>
        <v/>
      </c>
      <c r="KB40" s="64">
        <f>H40+J40+L40+N40+P40+R40+T40+V40+X40+Z40+AB40+AD40+AF40+AH40+AJ40+AL40+AN40+AP40+AR40+AT40+AV40+AX40+AZ40+BB40+BD40+BF40+BH40+BJ40+BL40+BN40+BP40+BR40+BT40+BV40+BX40+BZ40+CB40+CD40+CF40+CH40+CZ40+DB40+DD40+DF40+DH40+DJ40+DL40+DN40+DP40+DR40+DT40+DV40+DX40+DZ40+EB40+ED40+EF40+EH40+EJ40+EL40+EN40+EP40+ER40+ET40+EV40+FN40+FP40+FR40+FT40+FV40+FX40+FZ40+GB40+GD40+GF40+GH40+GJ40+GL40+GN40+GP40+GR40+GT40+GV40+GX40+GZ40+HB40+HD40+HF40+HH40+HJ40+HL40+HN40+HP40+HR40+HT40+HV40+HX40+HZ40+IB40+ID40+IF40+IH40+IJ40+IL40+IN40+IP40+IR40+IT40+IV40+IX40+IZ40+JB40+JD40+JF40+JH40+JJ40+JL40+JZ40+CJ40+CL40+CN40+CP40+CR40+CT40+CV40+CX40+EX40+EZ40+FB40+FD40+FF40+FH40+FJ40+FL40</f>
        <v/>
      </c>
      <c r="KC40" s="66">
        <f>I40+K40+M40+O40+Q40+S40+U40+W40+Y40+AA40+AC40+AE40+AG40+AI40+AK40+AM40+AO40+AQ40+AS40+AU40+AW40+AY40+BA40+BC40+BE40+BG40+BI40+BK40+BM40+BO40+BQ40+BS40+BU40+BW40+BY40+CA40+CC40+CE40+CG40+CI40+DA40+DC40+DE40+DG40+DI40+DK40+DM40+DO40+DQ40+DS40+DU40+DW40+DY40+EA40+EC40+EE40+EG40+EI40+EK40+EM40+EO40+EQ40+ES40+EU40+EW40+FO40+FS40+FU40+FW40+FQ40+FY40+GA40+GC40+GE40+GG40+GI40+GK40+GM40+GO40+GQ40+GS40+GU40+GW40+GY40+HA40+HC40+HE40+HG40+HI40+HK40+HM40+HO40+HQ40+HS40+HU40+HW40+HY40+IA40+IC40+IE40+IG40+II40+IK40+IM40+IO40+IQ40+IS40+IU40+IW40+IY40+JA40+JC40+JE40+JG40+JI40+JK40+JM40+KA40+CK40+CM40+CO40+CQ40+CS40+CU40+CW40+CY40+EY40+FA40+FC40+FE40+FG40+FI40+FK40+FM40</f>
        <v/>
      </c>
      <c r="KD40" s="44">
        <f>JO40+JQ40+JS40+JU40+JW40+JY40</f>
        <v/>
      </c>
      <c r="KE40" s="45">
        <f>KB40=E40</f>
        <v/>
      </c>
      <c r="KF40" s="101">
        <f>E40-KB40</f>
        <v/>
      </c>
      <c r="KG40" s="17" t="n"/>
    </row>
    <row r="41" ht="21.75" customFormat="1" customHeight="1" s="17">
      <c r="A41" s="126">
        <f>A40+1</f>
        <v/>
      </c>
      <c r="B41" s="175" t="inlineStr">
        <is>
          <t>Серебреннников Е.В.</t>
        </is>
      </c>
      <c r="C41" s="176" t="inlineStr">
        <is>
          <t>слесарь МСР</t>
        </is>
      </c>
      <c r="D41" s="177">
        <f>$D$5</f>
        <v/>
      </c>
      <c r="E41" s="202" t="n"/>
      <c r="F41" s="193" t="n">
        <v>55770</v>
      </c>
      <c r="G41" s="52">
        <f>F41/D41</f>
        <v/>
      </c>
      <c r="H41" s="125" t="n"/>
      <c r="I41" s="107">
        <f>H41*100/$E$41</f>
        <v/>
      </c>
      <c r="J41" s="108" t="n"/>
      <c r="K41" s="107">
        <f>J41*100/$E$41</f>
        <v/>
      </c>
      <c r="L41" s="108" t="n"/>
      <c r="M41" s="107">
        <f>L41*100/$E$41</f>
        <v/>
      </c>
      <c r="N41" s="108" t="n"/>
      <c r="O41" s="107">
        <f>N41*100/$E$41</f>
        <v/>
      </c>
      <c r="P41" s="108" t="n"/>
      <c r="Q41" s="122">
        <f>P41*100/$E$41</f>
        <v/>
      </c>
      <c r="R41" s="108" t="n"/>
      <c r="S41" s="122">
        <f>R41*100/$E$41</f>
        <v/>
      </c>
      <c r="T41" s="108" t="n"/>
      <c r="U41" s="107">
        <f>T41*100/$E$41</f>
        <v/>
      </c>
      <c r="V41" s="108" t="n"/>
      <c r="W41" s="107">
        <f>V41*100/$E$41</f>
        <v/>
      </c>
      <c r="X41" s="108" t="n"/>
      <c r="Y41" s="107">
        <f>X41*100/$E$41</f>
        <v/>
      </c>
      <c r="Z41" s="108" t="n"/>
      <c r="AA41" s="107">
        <f>Z41*100/$E$41</f>
        <v/>
      </c>
      <c r="AB41" s="108" t="n"/>
      <c r="AC41" s="107">
        <f>AB41*100/$E$41</f>
        <v/>
      </c>
      <c r="AD41" s="108" t="n"/>
      <c r="AE41" s="122">
        <f>AD41*100/$E$41</f>
        <v/>
      </c>
      <c r="AF41" s="108" t="n"/>
      <c r="AG41" s="122">
        <f>AF41*100/$E$41</f>
        <v/>
      </c>
      <c r="AH41" s="108" t="n"/>
      <c r="AI41" s="107">
        <f>AH41*100/$E$41</f>
        <v/>
      </c>
      <c r="AJ41" s="108" t="n"/>
      <c r="AK41" s="107">
        <f>AJ41*100/$E$41</f>
        <v/>
      </c>
      <c r="AL41" s="108" t="n"/>
      <c r="AM41" s="107">
        <f>AL41*100/$E$41</f>
        <v/>
      </c>
      <c r="AN41" s="108" t="n"/>
      <c r="AO41" s="107">
        <f>AN41*100/$E$41</f>
        <v/>
      </c>
      <c r="AP41" s="108" t="n"/>
      <c r="AQ41" s="107">
        <f>AP41*100/$E$41</f>
        <v/>
      </c>
      <c r="AR41" s="108" t="n"/>
      <c r="AS41" s="107">
        <f>AR41*100/$E$41</f>
        <v/>
      </c>
      <c r="AT41" s="108" t="n"/>
      <c r="AU41" s="90">
        <f>AT41*100/$E$41</f>
        <v/>
      </c>
      <c r="AV41" s="108" t="n"/>
      <c r="AW41" s="107">
        <f>AV41*100/$E$41</f>
        <v/>
      </c>
      <c r="AX41" s="108" t="n"/>
      <c r="AY41" s="107">
        <f>AX41*100/$E$41</f>
        <v/>
      </c>
      <c r="AZ41" s="108" t="n"/>
      <c r="BA41" s="107">
        <f>AZ41*100/$E$41</f>
        <v/>
      </c>
      <c r="BB41" s="108" t="n"/>
      <c r="BC41" s="107">
        <f>BB41*100/$E$41</f>
        <v/>
      </c>
      <c r="BD41" s="108" t="n"/>
      <c r="BE41" s="107">
        <f>BD41*100/$E$41</f>
        <v/>
      </c>
      <c r="BF41" s="108" t="n"/>
      <c r="BG41" s="107">
        <f>BF41*100/$E$41</f>
        <v/>
      </c>
      <c r="BH41" s="108" t="n"/>
      <c r="BI41" s="107">
        <f>BH41*100/$E$41</f>
        <v/>
      </c>
      <c r="BJ41" s="108" t="n"/>
      <c r="BK41" s="107">
        <f>BJ41*100/$E$41</f>
        <v/>
      </c>
      <c r="BL41" s="108" t="n"/>
      <c r="BM41" s="107">
        <f>BL41*100/$E$41</f>
        <v/>
      </c>
      <c r="BN41" s="108" t="n"/>
      <c r="BO41" s="107">
        <f>BN41*100/$E$41</f>
        <v/>
      </c>
      <c r="BP41" s="108" t="n"/>
      <c r="BQ41" s="107">
        <f>BP41*100/$E$41</f>
        <v/>
      </c>
      <c r="BR41" s="108" t="n"/>
      <c r="BS41" s="107">
        <f>BR41*100/$E$41</f>
        <v/>
      </c>
      <c r="BT41" s="108" t="n"/>
      <c r="BU41" s="107">
        <f>BT41*100/$E$41</f>
        <v/>
      </c>
      <c r="BV41" s="108" t="n"/>
      <c r="BW41" s="107">
        <f>BV41*100/$E$41</f>
        <v/>
      </c>
      <c r="BX41" s="108" t="n"/>
      <c r="BY41" s="107">
        <f>BX41*100/$E$41</f>
        <v/>
      </c>
      <c r="BZ41" s="108" t="n"/>
      <c r="CA41" s="107">
        <f>BZ41*100/$E$41</f>
        <v/>
      </c>
      <c r="CB41" s="108" t="n"/>
      <c r="CC41" s="107">
        <f>CB41*100/$E$41</f>
        <v/>
      </c>
      <c r="CD41" s="108" t="n"/>
      <c r="CE41" s="107">
        <f>CD41*100/$E$41</f>
        <v/>
      </c>
      <c r="CF41" s="108" t="n"/>
      <c r="CG41" s="107">
        <f>CF41*100/$E$41</f>
        <v/>
      </c>
      <c r="CH41" s="108" t="n"/>
      <c r="CI41" s="107">
        <f>CH41*100/$E$41</f>
        <v/>
      </c>
      <c r="CJ41" s="108" t="n"/>
      <c r="CK41" s="107">
        <f>CJ41*100/$E$41</f>
        <v/>
      </c>
      <c r="CL41" s="108" t="n"/>
      <c r="CM41" s="107">
        <f>CL41*100/$E$41</f>
        <v/>
      </c>
      <c r="CN41" s="108" t="n"/>
      <c r="CO41" s="122">
        <f>CN41*100/$E$41</f>
        <v/>
      </c>
      <c r="CP41" s="108" t="n"/>
      <c r="CQ41" s="107">
        <f>CP41*100/$E$41</f>
        <v/>
      </c>
      <c r="CR41" s="108" t="n"/>
      <c r="CS41" s="122">
        <f>CR41*100/$E$41</f>
        <v/>
      </c>
      <c r="CT41" s="108" t="n"/>
      <c r="CU41" s="122">
        <f>CT41*100/$E$41</f>
        <v/>
      </c>
      <c r="CV41" s="108" t="n"/>
      <c r="CW41" s="122">
        <f>CV41*100/$E$41</f>
        <v/>
      </c>
      <c r="CX41" s="108" t="n"/>
      <c r="CY41" s="122">
        <f>CX41*100/$E$41</f>
        <v/>
      </c>
      <c r="CZ41" s="108" t="n"/>
      <c r="DA41" s="122">
        <f>CZ41*100/$E$41</f>
        <v/>
      </c>
      <c r="DB41" s="108" t="n"/>
      <c r="DC41" s="122">
        <f>DB41*100/$E$41</f>
        <v/>
      </c>
      <c r="DD41" s="108" t="n"/>
      <c r="DE41" s="122">
        <f>DD41*100/$E$41</f>
        <v/>
      </c>
      <c r="DF41" s="108" t="n"/>
      <c r="DG41" s="122">
        <f>DF41*100/$E$41</f>
        <v/>
      </c>
      <c r="DH41" s="108" t="n"/>
      <c r="DI41" s="122">
        <f>DH41*100/$E$41</f>
        <v/>
      </c>
      <c r="DJ41" s="108" t="n"/>
      <c r="DK41" s="122">
        <f>DJ41*100/$E$41</f>
        <v/>
      </c>
      <c r="DL41" s="108" t="n"/>
      <c r="DM41" s="122">
        <f>DL41*100/$E$41</f>
        <v/>
      </c>
      <c r="DN41" s="108" t="n"/>
      <c r="DO41" s="122">
        <f>DN41*100/$E$41</f>
        <v/>
      </c>
      <c r="DP41" s="108" t="n"/>
      <c r="DQ41" s="122">
        <f>DP41*100/$E$41</f>
        <v/>
      </c>
      <c r="DR41" s="108" t="n"/>
      <c r="DS41" s="122">
        <f>DR41*100/$E$41</f>
        <v/>
      </c>
      <c r="DT41" s="108" t="n"/>
      <c r="DU41" s="122">
        <f>DT41*100/$E$41</f>
        <v/>
      </c>
      <c r="DV41" s="108" t="n"/>
      <c r="DW41" s="122">
        <f>DV41*100/$E$41</f>
        <v/>
      </c>
      <c r="DX41" s="108" t="n"/>
      <c r="DY41" s="122">
        <f>DX41*100/$E$41</f>
        <v/>
      </c>
      <c r="DZ41" s="108" t="n"/>
      <c r="EA41" s="122">
        <f>DZ41*100/$E$41</f>
        <v/>
      </c>
      <c r="EB41" s="108" t="n"/>
      <c r="EC41" s="122">
        <f>EB41*100/$E$41</f>
        <v/>
      </c>
      <c r="ED41" s="108" t="n"/>
      <c r="EE41" s="122">
        <f>ED41*100/$E$41</f>
        <v/>
      </c>
      <c r="EF41" s="108" t="n"/>
      <c r="EG41" s="122">
        <f>EF41*100/$E$41</f>
        <v/>
      </c>
      <c r="EH41" s="108" t="n"/>
      <c r="EI41" s="122">
        <f>EH41*100/$E$41</f>
        <v/>
      </c>
      <c r="EJ41" s="108" t="n"/>
      <c r="EK41" s="122">
        <f>EJ41*100/$E$41</f>
        <v/>
      </c>
      <c r="EL41" s="108" t="n"/>
      <c r="EM41" s="122">
        <f>EL41*100/$E$41</f>
        <v/>
      </c>
      <c r="EN41" s="108" t="n"/>
      <c r="EO41" s="122">
        <f>EN41*100/$E$41</f>
        <v/>
      </c>
      <c r="EP41" s="108" t="n"/>
      <c r="EQ41" s="122">
        <f>EP41*100/$E$41</f>
        <v/>
      </c>
      <c r="ER41" s="108" t="n"/>
      <c r="ES41" s="122">
        <f>ER41*100/$E$41</f>
        <v/>
      </c>
      <c r="ET41" s="108" t="n"/>
      <c r="EU41" s="122">
        <f>ET41*100/$E$41</f>
        <v/>
      </c>
      <c r="EV41" s="108" t="n"/>
      <c r="EW41" s="122">
        <f>EV41*100/$E$41</f>
        <v/>
      </c>
      <c r="EX41" s="108" t="n"/>
      <c r="EY41" s="122">
        <f>EX41*100/$E$41</f>
        <v/>
      </c>
      <c r="EZ41" s="108" t="n"/>
      <c r="FA41" s="122">
        <f>EZ41*100/$E$41</f>
        <v/>
      </c>
      <c r="FB41" s="108" t="n"/>
      <c r="FC41" s="122">
        <f>FB41*100/$E$41</f>
        <v/>
      </c>
      <c r="FD41" s="108" t="n"/>
      <c r="FE41" s="122">
        <f>FD41*100/$E$41</f>
        <v/>
      </c>
      <c r="FF41" s="108" t="n"/>
      <c r="FG41" s="122">
        <f>FF41*100/$E$41</f>
        <v/>
      </c>
      <c r="FH41" s="108" t="n"/>
      <c r="FI41" s="122">
        <f>FH41*100/$E$41</f>
        <v/>
      </c>
      <c r="FJ41" s="108" t="n"/>
      <c r="FK41" s="122">
        <f>FJ41*100/$E$41</f>
        <v/>
      </c>
      <c r="FL41" s="108" t="n"/>
      <c r="FM41" s="122">
        <f>FL41*100/$E$41</f>
        <v/>
      </c>
      <c r="FN41" s="108" t="n"/>
      <c r="FO41" s="122">
        <f>FN41*100/$E$41</f>
        <v/>
      </c>
      <c r="FP41" s="108" t="n"/>
      <c r="FQ41" s="122">
        <f>FP41*100/$E$41</f>
        <v/>
      </c>
      <c r="FR41" s="108" t="n"/>
      <c r="FS41" s="122">
        <f>FR41*100/$E$41</f>
        <v/>
      </c>
      <c r="FT41" s="108" t="n"/>
      <c r="FU41" s="122">
        <f>FT41*100/$E$41</f>
        <v/>
      </c>
      <c r="FV41" s="108" t="n"/>
      <c r="FW41" s="122">
        <f>FV41*100/$E$41</f>
        <v/>
      </c>
      <c r="FX41" s="108" t="n"/>
      <c r="FY41" s="107">
        <f>FX41*100/$E$41</f>
        <v/>
      </c>
      <c r="FZ41" s="108" t="n"/>
      <c r="GA41" s="107">
        <f>FZ41*100/$E$41</f>
        <v/>
      </c>
      <c r="GB41" s="108" t="n"/>
      <c r="GC41" s="107">
        <f>GB41*100/$E$41</f>
        <v/>
      </c>
      <c r="GD41" s="108" t="n"/>
      <c r="GE41" s="107">
        <f>GD41*100/$E$41</f>
        <v/>
      </c>
      <c r="GF41" s="108" t="n"/>
      <c r="GG41" s="107">
        <f>GF41*100/$E$41</f>
        <v/>
      </c>
      <c r="GH41" s="108" t="n"/>
      <c r="GI41" s="107">
        <f>GH41*100/$E$41</f>
        <v/>
      </c>
      <c r="GJ41" s="108" t="n"/>
      <c r="GK41" s="122">
        <f>GJ41*100/$E$41</f>
        <v/>
      </c>
      <c r="GL41" s="108" t="n"/>
      <c r="GM41" s="107">
        <f>GL41*100/$E$41</f>
        <v/>
      </c>
      <c r="GN41" s="108" t="n"/>
      <c r="GO41" s="122">
        <f>GN41*100/$E$41</f>
        <v/>
      </c>
      <c r="GP41" s="108" t="n"/>
      <c r="GQ41" s="107">
        <f>GP41*100/$E$41</f>
        <v/>
      </c>
      <c r="GR41" s="108" t="n"/>
      <c r="GS41" s="122">
        <f>GR41*100/$E$41</f>
        <v/>
      </c>
      <c r="GT41" s="108" t="n"/>
      <c r="GU41" s="122">
        <f>GT41*100/$E$41</f>
        <v/>
      </c>
      <c r="GV41" s="108" t="n"/>
      <c r="GW41" s="122">
        <f>GV41*100/$E$41</f>
        <v/>
      </c>
      <c r="GX41" s="108" t="n"/>
      <c r="GY41" s="107">
        <f>GX41*100/$E$41</f>
        <v/>
      </c>
      <c r="GZ41" s="108" t="n"/>
      <c r="HA41" s="107">
        <f>GZ41*100/$E$41</f>
        <v/>
      </c>
      <c r="HB41" s="108" t="n"/>
      <c r="HC41" s="107">
        <f>HB41*100/$E$41</f>
        <v/>
      </c>
      <c r="HD41" s="108" t="n"/>
      <c r="HE41" s="107">
        <f>HD41*100/$E$41</f>
        <v/>
      </c>
      <c r="HF41" s="108" t="n"/>
      <c r="HG41" s="107">
        <f>HF41*100/$E$41</f>
        <v/>
      </c>
      <c r="HH41" s="108" t="n"/>
      <c r="HI41" s="107">
        <f>HH41*100/$E$41</f>
        <v/>
      </c>
      <c r="HJ41" s="108" t="n"/>
      <c r="HK41" s="107">
        <f>HJ41*100/$E$41</f>
        <v/>
      </c>
      <c r="HL41" s="108" t="n"/>
      <c r="HM41" s="107">
        <f>HL41*100/$E$41</f>
        <v/>
      </c>
      <c r="HN41" s="108" t="n"/>
      <c r="HO41" s="107">
        <f>HN41*100/$E$41</f>
        <v/>
      </c>
      <c r="HP41" s="108" t="n"/>
      <c r="HQ41" s="107">
        <f>HP41*100/$E$41</f>
        <v/>
      </c>
      <c r="HR41" s="108" t="n"/>
      <c r="HS41" s="107">
        <f>HR41*100/$E$41</f>
        <v/>
      </c>
      <c r="HT41" s="108" t="n"/>
      <c r="HU41" s="107">
        <f>HT41*100/$E$41</f>
        <v/>
      </c>
      <c r="HV41" s="108" t="n"/>
      <c r="HW41" s="107">
        <f>HV41*100/$E$41</f>
        <v/>
      </c>
      <c r="HX41" s="108" t="n"/>
      <c r="HY41" s="107">
        <f>HX41*100/$E$41</f>
        <v/>
      </c>
      <c r="HZ41" s="108" t="n"/>
      <c r="IA41" s="122">
        <f>HZ41*100/$E$41</f>
        <v/>
      </c>
      <c r="IB41" s="108" t="n"/>
      <c r="IC41" s="122">
        <f>IB41*100/$E$41</f>
        <v/>
      </c>
      <c r="ID41" s="108" t="n"/>
      <c r="IE41" s="122">
        <f>ID41*100/$E$41</f>
        <v/>
      </c>
      <c r="IF41" s="108" t="n"/>
      <c r="IG41" s="122">
        <f>IF41*100/$E$41</f>
        <v/>
      </c>
      <c r="IH41" s="108" t="n"/>
      <c r="II41" s="122">
        <f>IH41*100/$E$41</f>
        <v/>
      </c>
      <c r="IJ41" s="108" t="n"/>
      <c r="IK41" s="122">
        <f>IJ41*100/$E$41</f>
        <v/>
      </c>
      <c r="IL41" s="108" t="n"/>
      <c r="IM41" s="107">
        <f>IL41*100/$E$41</f>
        <v/>
      </c>
      <c r="IN41" s="108" t="n"/>
      <c r="IO41" s="107">
        <f>IN41*100/$E$41</f>
        <v/>
      </c>
      <c r="IP41" s="108" t="n"/>
      <c r="IQ41" s="122">
        <f>IP41*100/$E$41</f>
        <v/>
      </c>
      <c r="IR41" s="108" t="n"/>
      <c r="IS41" s="122">
        <f>IR41*100/$E$41</f>
        <v/>
      </c>
      <c r="IT41" s="108" t="n"/>
      <c r="IU41" s="122">
        <f>IT41*100/$E$41</f>
        <v/>
      </c>
      <c r="IV41" s="108" t="n"/>
      <c r="IW41" s="122">
        <f>IV41*100/$E$41</f>
        <v/>
      </c>
      <c r="IX41" s="108" t="n"/>
      <c r="IY41" s="122">
        <f>IX41*100/$E$41</f>
        <v/>
      </c>
      <c r="IZ41" s="108" t="n"/>
      <c r="JA41" s="122">
        <f>IZ41*100/$E$41</f>
        <v/>
      </c>
      <c r="JB41" s="108" t="n"/>
      <c r="JC41" s="122">
        <f>JB41*100/$E$41</f>
        <v/>
      </c>
      <c r="JD41" s="108" t="n"/>
      <c r="JE41" s="122">
        <f>JD41*100/$E$41</f>
        <v/>
      </c>
      <c r="JF41" s="108" t="n"/>
      <c r="JG41" s="122">
        <f>JF41*100/$E$41</f>
        <v/>
      </c>
      <c r="JH41" s="108" t="n"/>
      <c r="JI41" s="122">
        <f>JH41*100/$E$41</f>
        <v/>
      </c>
      <c r="JJ41" s="108" t="n"/>
      <c r="JK41" s="122">
        <f>JJ41*100/$E$41</f>
        <v/>
      </c>
      <c r="JL41" s="108" t="n"/>
      <c r="JM41" s="122">
        <f>JL41*100/$E$41</f>
        <v/>
      </c>
      <c r="JN41" s="108" t="n"/>
      <c r="JO41" s="121">
        <f>JN41*100/$E$41</f>
        <v/>
      </c>
      <c r="JP41" s="108" t="n"/>
      <c r="JQ41" s="121">
        <f>JP41*100/$E$41</f>
        <v/>
      </c>
      <c r="JR41" s="108" t="n"/>
      <c r="JS41" s="121">
        <f>JR41*100/$E$41</f>
        <v/>
      </c>
      <c r="JT41" s="108" t="n"/>
      <c r="JU41" s="121">
        <f>JT41*100/$E$41</f>
        <v/>
      </c>
      <c r="JV41" s="108" t="n"/>
      <c r="JW41" s="121">
        <f>JV41*100/$E$41</f>
        <v/>
      </c>
      <c r="JX41" s="108" t="n"/>
      <c r="JY41" s="121">
        <f>JX41*100/$E$41</f>
        <v/>
      </c>
      <c r="JZ41" s="55">
        <f>JN41+JP41+JR41+JT41+JV41+JX41</f>
        <v/>
      </c>
      <c r="KA41" s="53">
        <f>JO41+JQ41+JS41+JU41+JW41+JY41</f>
        <v/>
      </c>
      <c r="KB41" s="64">
        <f>H41+J41+L41+N41+P41+R41+T41+V41+X41+Z41+AB41+AD41+AF41+AH41+AJ41+AL41+AN41+AP41+AR41+AT41+AV41+AX41+AZ41+BB41+BD41+BF41+BH41+BJ41+BL41+BN41+BP41+BR41+BT41+BV41+BX41+BZ41+CB41+CD41+CF41+CH41+CZ41+DB41+DD41+DF41+DH41+DJ41+DL41+DN41+DP41+DR41+DT41+DV41+DX41+DZ41+EB41+ED41+EF41+EH41+EJ41+EL41+EN41+EP41+ER41+ET41+EV41+FN41+FP41+FR41+FT41+FV41+FX41+FZ41+GB41+GD41+GF41+GH41+GJ41+GL41+GN41+GP41+GR41+GT41+GV41+GX41+GZ41+HB41+HD41+HF41+HH41+HJ41+HL41+HN41+HP41+HR41+HT41+HV41+HX41+HZ41+IB41+ID41+IF41+IH41+IJ41+IL41+IN41+IP41+IR41+IT41+IV41+IX41+IZ41+JB41+JD41+JF41+JH41+JJ41+JL41+JZ41+CJ41+CL41+CN41+CP41+CR41+CT41+CV41+CX41+EX41+EZ41+FB41+FD41+FF41+FH41+FJ41+FL41</f>
        <v/>
      </c>
      <c r="KC41" s="66">
        <f>I41+K41+M41+O41+Q41+S41+U41+W41+Y41+AA41+AC41+AE41+AG41+AI41+AK41+AM41+AO41+AQ41+AS41+AU41+AW41+AY41+BA41+BC41+BE41+BG41+BI41+BK41+BM41+BO41+BQ41+BS41+BU41+BW41+BY41+CA41+CC41+CE41+CG41+CI41+DA41+DC41+DE41+DG41+DI41+DK41+DM41+DO41+DQ41+DS41+DU41+DW41+DY41+EA41+EC41+EE41+EG41+EI41+EK41+EM41+EO41+EQ41+ES41+EU41+EW41+FO41+FS41+FU41+FW41+FQ41+FY41+GA41+GC41+GE41+GG41+GI41+GK41+GM41+GO41+GQ41+GS41+GU41+GW41+GY41+HA41+HC41+HE41+HG41+HI41+HK41+HM41+HO41+HQ41+HS41+HU41+HW41+HY41+IA41+IC41+IE41+IG41+II41+IK41+IM41+IO41+IQ41+IS41+IU41+IW41+IY41+JA41+JC41+JE41+JG41+JI41+JK41+JM41+KA41+CK41+CM41+CO41+CQ41+CS41+CU41+CW41+CY41+EY41+FA41+FC41+FE41+FG41+FI41+FK41+FM41</f>
        <v/>
      </c>
      <c r="KD41" s="44">
        <f>JO41+JQ41+JS41+JU41+JW41+JY41</f>
        <v/>
      </c>
      <c r="KE41" s="45">
        <f>KB41=E41</f>
        <v/>
      </c>
      <c r="KF41" s="101">
        <f>E41-KB41</f>
        <v/>
      </c>
      <c r="KG41" s="26" t="n"/>
    </row>
    <row r="42" ht="21.75" customFormat="1" customHeight="1" s="27">
      <c r="A42" s="126">
        <f>A41+1</f>
        <v/>
      </c>
      <c r="B42" s="175" t="inlineStr">
        <is>
          <t>Сидоров Ю.В.</t>
        </is>
      </c>
      <c r="C42" s="176" t="inlineStr">
        <is>
          <t>ЧПУ</t>
        </is>
      </c>
      <c r="D42" s="177">
        <f>$D$5</f>
        <v/>
      </c>
      <c r="E42" s="202" t="n"/>
      <c r="F42" s="193" t="n">
        <v>120115.09</v>
      </c>
      <c r="G42" s="52">
        <f>F42/D42</f>
        <v/>
      </c>
      <c r="H42" s="125" t="n"/>
      <c r="I42" s="107">
        <f>H42*100/$E$42</f>
        <v/>
      </c>
      <c r="J42" s="108" t="n"/>
      <c r="K42" s="107">
        <f>J42*100/$E$42</f>
        <v/>
      </c>
      <c r="L42" s="108" t="n"/>
      <c r="M42" s="107">
        <f>L42*100/$E$42</f>
        <v/>
      </c>
      <c r="N42" s="108" t="n"/>
      <c r="O42" s="107">
        <f>N42*100/$E$42</f>
        <v/>
      </c>
      <c r="P42" s="108" t="n"/>
      <c r="Q42" s="122">
        <f>P42*100/$E$42</f>
        <v/>
      </c>
      <c r="R42" s="108" t="n"/>
      <c r="S42" s="122">
        <f>R42*100/$E$42</f>
        <v/>
      </c>
      <c r="T42" s="108" t="n"/>
      <c r="U42" s="107">
        <f>T42*100/$E$42</f>
        <v/>
      </c>
      <c r="V42" s="108" t="n"/>
      <c r="W42" s="107">
        <f>V42*100/$E$42</f>
        <v/>
      </c>
      <c r="X42" s="108" t="n"/>
      <c r="Y42" s="107">
        <f>X42*100/$E$42</f>
        <v/>
      </c>
      <c r="Z42" s="108" t="n"/>
      <c r="AA42" s="107">
        <f>Z42*100/$E$42</f>
        <v/>
      </c>
      <c r="AB42" s="108" t="n"/>
      <c r="AC42" s="107">
        <f>AB42*100/$E$42</f>
        <v/>
      </c>
      <c r="AD42" s="108" t="n"/>
      <c r="AE42" s="122">
        <f>AD42*100/$E$42</f>
        <v/>
      </c>
      <c r="AF42" s="108" t="n"/>
      <c r="AG42" s="122">
        <f>AF42*100/$E$42</f>
        <v/>
      </c>
      <c r="AH42" s="108" t="n"/>
      <c r="AI42" s="107">
        <f>AH42*100/$E$42</f>
        <v/>
      </c>
      <c r="AJ42" s="108" t="n"/>
      <c r="AK42" s="107">
        <f>AJ42*100/$E$42</f>
        <v/>
      </c>
      <c r="AL42" s="108" t="n"/>
      <c r="AM42" s="107">
        <f>AL42*100/$E$42</f>
        <v/>
      </c>
      <c r="AN42" s="108" t="n"/>
      <c r="AO42" s="107">
        <f>AN42*100/$E$42</f>
        <v/>
      </c>
      <c r="AP42" s="108" t="n"/>
      <c r="AQ42" s="107">
        <f>AP42*100/$E$42</f>
        <v/>
      </c>
      <c r="AR42" s="108" t="n"/>
      <c r="AS42" s="107">
        <f>AR42*100/$E$42</f>
        <v/>
      </c>
      <c r="AT42" s="108" t="n"/>
      <c r="AU42" s="90">
        <f>AT42*100/$E$42</f>
        <v/>
      </c>
      <c r="AV42" s="108" t="n"/>
      <c r="AW42" s="107">
        <f>AV42*100/$E$42</f>
        <v/>
      </c>
      <c r="AX42" s="108" t="n"/>
      <c r="AY42" s="107">
        <f>AX42*100/$E$42</f>
        <v/>
      </c>
      <c r="AZ42" s="108" t="n"/>
      <c r="BA42" s="107">
        <f>AZ42*100/$E$42</f>
        <v/>
      </c>
      <c r="BB42" s="108" t="n"/>
      <c r="BC42" s="107">
        <f>BB42*100/$E$42</f>
        <v/>
      </c>
      <c r="BD42" s="108" t="n"/>
      <c r="BE42" s="107">
        <f>BD42*100/$E$42</f>
        <v/>
      </c>
      <c r="BF42" s="108" t="n"/>
      <c r="BG42" s="107">
        <f>BF42*100/$E$42</f>
        <v/>
      </c>
      <c r="BH42" s="108" t="n"/>
      <c r="BI42" s="107">
        <f>BH42*100/$E$42</f>
        <v/>
      </c>
      <c r="BJ42" s="108" t="n"/>
      <c r="BK42" s="107">
        <f>BJ42*100/$E$42</f>
        <v/>
      </c>
      <c r="BL42" s="108" t="n"/>
      <c r="BM42" s="107">
        <f>BL42*100/$E$42</f>
        <v/>
      </c>
      <c r="BN42" s="108" t="n"/>
      <c r="BO42" s="107">
        <f>BN42*100/$E$42</f>
        <v/>
      </c>
      <c r="BP42" s="108" t="n"/>
      <c r="BQ42" s="107">
        <f>BP42*100/$E$42</f>
        <v/>
      </c>
      <c r="BR42" s="108" t="n"/>
      <c r="BS42" s="107">
        <f>BR42*100/$E$42</f>
        <v/>
      </c>
      <c r="BT42" s="108" t="n"/>
      <c r="BU42" s="107">
        <f>BT42*100/$E$42</f>
        <v/>
      </c>
      <c r="BV42" s="108" t="n"/>
      <c r="BW42" s="107">
        <f>BV42*100/$E$42</f>
        <v/>
      </c>
      <c r="BX42" s="108" t="n"/>
      <c r="BY42" s="107">
        <f>BX42*100/$E$42</f>
        <v/>
      </c>
      <c r="BZ42" s="108" t="n"/>
      <c r="CA42" s="107">
        <f>BZ42*100/$E$42</f>
        <v/>
      </c>
      <c r="CB42" s="108" t="n"/>
      <c r="CC42" s="107">
        <f>CB42*100/$E$42</f>
        <v/>
      </c>
      <c r="CD42" s="108" t="n"/>
      <c r="CE42" s="107">
        <f>CD42*100/$E$42</f>
        <v/>
      </c>
      <c r="CF42" s="108" t="n"/>
      <c r="CG42" s="107">
        <f>CF42*100/$E$42</f>
        <v/>
      </c>
      <c r="CH42" s="108" t="n"/>
      <c r="CI42" s="107">
        <f>CH42*100/$E$42</f>
        <v/>
      </c>
      <c r="CJ42" s="108" t="n"/>
      <c r="CK42" s="107">
        <f>CJ42*100/$E$42</f>
        <v/>
      </c>
      <c r="CL42" s="108" t="n"/>
      <c r="CM42" s="107">
        <f>CL42*100/$E$42</f>
        <v/>
      </c>
      <c r="CN42" s="108" t="n"/>
      <c r="CO42" s="122">
        <f>CN42*100/$E$42</f>
        <v/>
      </c>
      <c r="CP42" s="108" t="n"/>
      <c r="CQ42" s="107">
        <f>CP42*100/$E$42</f>
        <v/>
      </c>
      <c r="CR42" s="108" t="n"/>
      <c r="CS42" s="122">
        <f>CR42*100/$E$42</f>
        <v/>
      </c>
      <c r="CT42" s="108" t="n"/>
      <c r="CU42" s="122">
        <f>CT42*100/$E$42</f>
        <v/>
      </c>
      <c r="CV42" s="108" t="n"/>
      <c r="CW42" s="122">
        <f>CV42*100/$E$42</f>
        <v/>
      </c>
      <c r="CX42" s="108" t="n"/>
      <c r="CY42" s="122">
        <f>CX42*100/$E$42</f>
        <v/>
      </c>
      <c r="CZ42" s="108" t="n"/>
      <c r="DA42" s="122">
        <f>CZ42*100/$E$42</f>
        <v/>
      </c>
      <c r="DB42" s="108" t="n"/>
      <c r="DC42" s="122">
        <f>DB42*100/$E$42</f>
        <v/>
      </c>
      <c r="DD42" s="108" t="n"/>
      <c r="DE42" s="122">
        <f>DD42*100/$E$42</f>
        <v/>
      </c>
      <c r="DF42" s="108" t="n"/>
      <c r="DG42" s="122">
        <f>DF42*100/$E$42</f>
        <v/>
      </c>
      <c r="DH42" s="108" t="n"/>
      <c r="DI42" s="122">
        <f>DH42*100/$E$42</f>
        <v/>
      </c>
      <c r="DJ42" s="108" t="n"/>
      <c r="DK42" s="122">
        <f>DJ42*100/$E$42</f>
        <v/>
      </c>
      <c r="DL42" s="108" t="n"/>
      <c r="DM42" s="122">
        <f>DL42*100/$E$42</f>
        <v/>
      </c>
      <c r="DN42" s="108" t="n"/>
      <c r="DO42" s="122">
        <f>DN42*100/$E$42</f>
        <v/>
      </c>
      <c r="DP42" s="108" t="n"/>
      <c r="DQ42" s="122">
        <f>DP42*100/$E$42</f>
        <v/>
      </c>
      <c r="DR42" s="108" t="n"/>
      <c r="DS42" s="122">
        <f>DR42*100/$E$42</f>
        <v/>
      </c>
      <c r="DT42" s="108" t="n"/>
      <c r="DU42" s="122">
        <f>DT42*100/$E$42</f>
        <v/>
      </c>
      <c r="DV42" s="108" t="n"/>
      <c r="DW42" s="122">
        <f>DV42*100/$E$42</f>
        <v/>
      </c>
      <c r="DX42" s="108" t="n"/>
      <c r="DY42" s="122">
        <f>DX42*100/$E$42</f>
        <v/>
      </c>
      <c r="DZ42" s="108" t="n"/>
      <c r="EA42" s="122">
        <f>DZ42*100/$E$42</f>
        <v/>
      </c>
      <c r="EB42" s="108" t="n"/>
      <c r="EC42" s="122">
        <f>EB42*100/$E$42</f>
        <v/>
      </c>
      <c r="ED42" s="108" t="n"/>
      <c r="EE42" s="122">
        <f>ED42*100/$E$42</f>
        <v/>
      </c>
      <c r="EF42" s="108" t="n"/>
      <c r="EG42" s="122">
        <f>EF42*100/$E$42</f>
        <v/>
      </c>
      <c r="EH42" s="108" t="n"/>
      <c r="EI42" s="122">
        <f>EH42*100/$E$42</f>
        <v/>
      </c>
      <c r="EJ42" s="108" t="n"/>
      <c r="EK42" s="122">
        <f>EJ42*100/$E$42</f>
        <v/>
      </c>
      <c r="EL42" s="108" t="n"/>
      <c r="EM42" s="122">
        <f>EL42*100/$E$42</f>
        <v/>
      </c>
      <c r="EN42" s="108" t="n"/>
      <c r="EO42" s="122">
        <f>EN42*100/$E$42</f>
        <v/>
      </c>
      <c r="EP42" s="108" t="n"/>
      <c r="EQ42" s="122">
        <f>EP42*100/$E$42</f>
        <v/>
      </c>
      <c r="ER42" s="108" t="n"/>
      <c r="ES42" s="122">
        <f>ER42*100/$E$42</f>
        <v/>
      </c>
      <c r="ET42" s="108" t="n"/>
      <c r="EU42" s="122">
        <f>ET42*100/$E$42</f>
        <v/>
      </c>
      <c r="EV42" s="108" t="n"/>
      <c r="EW42" s="122">
        <f>EV42*100/$E$42</f>
        <v/>
      </c>
      <c r="EX42" s="108" t="n"/>
      <c r="EY42" s="122">
        <f>EX42*100/$E$42</f>
        <v/>
      </c>
      <c r="EZ42" s="108" t="n"/>
      <c r="FA42" s="122">
        <f>EZ42*100/$E$42</f>
        <v/>
      </c>
      <c r="FB42" s="108" t="n"/>
      <c r="FC42" s="122">
        <f>FB42*100/$E$42</f>
        <v/>
      </c>
      <c r="FD42" s="108" t="n"/>
      <c r="FE42" s="122">
        <f>FD42*100/$E$42</f>
        <v/>
      </c>
      <c r="FF42" s="108" t="n"/>
      <c r="FG42" s="122">
        <f>FF42*100/$E$42</f>
        <v/>
      </c>
      <c r="FH42" s="108" t="n"/>
      <c r="FI42" s="122">
        <f>FH42*100/$E$42</f>
        <v/>
      </c>
      <c r="FJ42" s="108" t="n"/>
      <c r="FK42" s="122">
        <f>FJ42*100/$E$42</f>
        <v/>
      </c>
      <c r="FL42" s="108" t="n"/>
      <c r="FM42" s="122">
        <f>FL42*100/$E$42</f>
        <v/>
      </c>
      <c r="FN42" s="108" t="n"/>
      <c r="FO42" s="122">
        <f>FN42*100/$E$42</f>
        <v/>
      </c>
      <c r="FP42" s="108" t="n"/>
      <c r="FQ42" s="122">
        <f>FP42*100/$E$42</f>
        <v/>
      </c>
      <c r="FR42" s="108" t="n"/>
      <c r="FS42" s="122">
        <f>FR42*100/$E$42</f>
        <v/>
      </c>
      <c r="FT42" s="108" t="n"/>
      <c r="FU42" s="122">
        <f>FT42*100/$E$42</f>
        <v/>
      </c>
      <c r="FV42" s="108" t="n"/>
      <c r="FW42" s="122">
        <f>FV42*100/$E$42</f>
        <v/>
      </c>
      <c r="FX42" s="108" t="n"/>
      <c r="FY42" s="107">
        <f>FX42*100/$E$42</f>
        <v/>
      </c>
      <c r="FZ42" s="108" t="n"/>
      <c r="GA42" s="107">
        <f>FZ42*100/$E$42</f>
        <v/>
      </c>
      <c r="GB42" s="108" t="n"/>
      <c r="GC42" s="107">
        <f>GB42*100/$E$42</f>
        <v/>
      </c>
      <c r="GD42" s="108" t="n"/>
      <c r="GE42" s="107">
        <f>GD42*100/$E$42</f>
        <v/>
      </c>
      <c r="GF42" s="108" t="n"/>
      <c r="GG42" s="107">
        <f>GF42*100/$E$42</f>
        <v/>
      </c>
      <c r="GH42" s="108" t="n"/>
      <c r="GI42" s="107">
        <f>GH42*100/$E$42</f>
        <v/>
      </c>
      <c r="GJ42" s="108" t="n"/>
      <c r="GK42" s="122">
        <f>GJ42*100/$E$42</f>
        <v/>
      </c>
      <c r="GL42" s="108" t="n"/>
      <c r="GM42" s="107">
        <f>GL42*100/$E$42</f>
        <v/>
      </c>
      <c r="GN42" s="108" t="n"/>
      <c r="GO42" s="122">
        <f>GN42*100/$E$42</f>
        <v/>
      </c>
      <c r="GP42" s="108" t="n"/>
      <c r="GQ42" s="107">
        <f>GP42*100/$E$42</f>
        <v/>
      </c>
      <c r="GR42" s="108" t="n"/>
      <c r="GS42" s="122">
        <f>GR42*100/$E$42</f>
        <v/>
      </c>
      <c r="GT42" s="108" t="n"/>
      <c r="GU42" s="122">
        <f>GT42*100/$E$42</f>
        <v/>
      </c>
      <c r="GV42" s="108" t="n"/>
      <c r="GW42" s="122">
        <f>GV42*100/$E$42</f>
        <v/>
      </c>
      <c r="GX42" s="108" t="n"/>
      <c r="GY42" s="107">
        <f>GX42*100/$E$42</f>
        <v/>
      </c>
      <c r="GZ42" s="108" t="n"/>
      <c r="HA42" s="107">
        <f>GZ42*100/$E$42</f>
        <v/>
      </c>
      <c r="HB42" s="108" t="n"/>
      <c r="HC42" s="107">
        <f>HB42*100/$E$42</f>
        <v/>
      </c>
      <c r="HD42" s="108" t="n"/>
      <c r="HE42" s="107">
        <f>HD42*100/$E$42</f>
        <v/>
      </c>
      <c r="HF42" s="108" t="n"/>
      <c r="HG42" s="107">
        <f>HF42*100/$E$42</f>
        <v/>
      </c>
      <c r="HH42" s="108" t="n"/>
      <c r="HI42" s="107">
        <f>HH42*100/$E$42</f>
        <v/>
      </c>
      <c r="HJ42" s="108" t="n"/>
      <c r="HK42" s="107">
        <f>HJ42*100/$E$42</f>
        <v/>
      </c>
      <c r="HL42" s="108" t="n"/>
      <c r="HM42" s="107">
        <f>HL42*100/$E$42</f>
        <v/>
      </c>
      <c r="HN42" s="108" t="n"/>
      <c r="HO42" s="107">
        <f>HN42*100/$E$42</f>
        <v/>
      </c>
      <c r="HP42" s="108" t="n"/>
      <c r="HQ42" s="107">
        <f>HP42*100/$E$42</f>
        <v/>
      </c>
      <c r="HR42" s="108" t="n"/>
      <c r="HS42" s="107">
        <f>HR42*100/$E$42</f>
        <v/>
      </c>
      <c r="HT42" s="108" t="n"/>
      <c r="HU42" s="107">
        <f>HT42*100/$E$42</f>
        <v/>
      </c>
      <c r="HV42" s="108" t="n"/>
      <c r="HW42" s="107">
        <f>HV42*100/$E$42</f>
        <v/>
      </c>
      <c r="HX42" s="108" t="n"/>
      <c r="HY42" s="107">
        <f>HX42*100/$E$42</f>
        <v/>
      </c>
      <c r="HZ42" s="108" t="n"/>
      <c r="IA42" s="122">
        <f>HZ42*100/$E$42</f>
        <v/>
      </c>
      <c r="IB42" s="108" t="n"/>
      <c r="IC42" s="122">
        <f>IB42*100/$E$42</f>
        <v/>
      </c>
      <c r="ID42" s="108" t="n"/>
      <c r="IE42" s="122">
        <f>ID42*100/$E$42</f>
        <v/>
      </c>
      <c r="IF42" s="108" t="n"/>
      <c r="IG42" s="122">
        <f>IF42*100/$E$42</f>
        <v/>
      </c>
      <c r="IH42" s="108" t="n"/>
      <c r="II42" s="122">
        <f>IH42*100/$E$42</f>
        <v/>
      </c>
      <c r="IJ42" s="108" t="n"/>
      <c r="IK42" s="122">
        <f>IJ42*100/$E$42</f>
        <v/>
      </c>
      <c r="IL42" s="108" t="n"/>
      <c r="IM42" s="107">
        <f>IL42*100/$E$42</f>
        <v/>
      </c>
      <c r="IN42" s="108" t="n"/>
      <c r="IO42" s="107">
        <f>IN42*100/$E$42</f>
        <v/>
      </c>
      <c r="IP42" s="108" t="n"/>
      <c r="IQ42" s="122">
        <f>IP42*100/$E$42</f>
        <v/>
      </c>
      <c r="IR42" s="108" t="n"/>
      <c r="IS42" s="122">
        <f>IR42*100/$E$42</f>
        <v/>
      </c>
      <c r="IT42" s="108" t="n"/>
      <c r="IU42" s="122">
        <f>IT42*100/$E$42</f>
        <v/>
      </c>
      <c r="IV42" s="108" t="n"/>
      <c r="IW42" s="122">
        <f>IV42*100/$E$42</f>
        <v/>
      </c>
      <c r="IX42" s="108" t="n"/>
      <c r="IY42" s="122">
        <f>IX42*100/$E$42</f>
        <v/>
      </c>
      <c r="IZ42" s="108" t="n"/>
      <c r="JA42" s="122">
        <f>IZ42*100/$E$42</f>
        <v/>
      </c>
      <c r="JB42" s="108" t="n"/>
      <c r="JC42" s="122">
        <f>JB42*100/$E$42</f>
        <v/>
      </c>
      <c r="JD42" s="108" t="n"/>
      <c r="JE42" s="122">
        <f>JD42*100/$E$42</f>
        <v/>
      </c>
      <c r="JF42" s="108" t="n"/>
      <c r="JG42" s="122">
        <f>JF42*100/$E$42</f>
        <v/>
      </c>
      <c r="JH42" s="108" t="n"/>
      <c r="JI42" s="122">
        <f>JH42*100/$E$42</f>
        <v/>
      </c>
      <c r="JJ42" s="108" t="n"/>
      <c r="JK42" s="122">
        <f>JJ42*100/$E$42</f>
        <v/>
      </c>
      <c r="JL42" s="108" t="n"/>
      <c r="JM42" s="122">
        <f>JL42*100/$E$42</f>
        <v/>
      </c>
      <c r="JN42" s="108" t="n"/>
      <c r="JO42" s="121">
        <f>JN42*100/$E$42</f>
        <v/>
      </c>
      <c r="JP42" s="108" t="n"/>
      <c r="JQ42" s="121">
        <f>JP42*100/$E$42</f>
        <v/>
      </c>
      <c r="JR42" s="108" t="n"/>
      <c r="JS42" s="121">
        <f>JR42*100/$E$42</f>
        <v/>
      </c>
      <c r="JT42" s="108" t="n"/>
      <c r="JU42" s="121">
        <f>JT42*100/$E$42</f>
        <v/>
      </c>
      <c r="JV42" s="108" t="n"/>
      <c r="JW42" s="121">
        <f>JV42*100/$E$42</f>
        <v/>
      </c>
      <c r="JX42" s="108" t="n"/>
      <c r="JY42" s="121">
        <f>JX42*100/$E$42</f>
        <v/>
      </c>
      <c r="JZ42" s="55">
        <f>JN42+JP42+JR42+JT42+JV42+JX42</f>
        <v/>
      </c>
      <c r="KA42" s="53">
        <f>JO42+JQ42+JS42+JU42+JW42+JY42</f>
        <v/>
      </c>
      <c r="KB42" s="64">
        <f>H42+J42+L42+N42+P42+R42+T42+V42+X42+Z42+AB42+AD42+AF42+AH42+AJ42+AL42+AN42+AP42+AR42+AT42+AV42+AX42+AZ42+BB42+BD42+BF42+BH42+BJ42+BL42+BN42+BP42+BR42+BT42+BV42+BX42+BZ42+CB42+CD42+CF42+CH42+CZ42+DB42+DD42+DF42+DH42+DJ42+DL42+DN42+DP42+DR42+DT42+DV42+DX42+DZ42+EB42+ED42+EF42+EH42+EJ42+EL42+EN42+EP42+ER42+ET42+EV42+FN42+FP42+FR42+FT42+FV42+FX42+FZ42+GB42+GD42+GF42+GH42+GJ42+GL42+GN42+GP42+GR42+GT42+GV42+GX42+GZ42+HB42+HD42+HF42+HH42+HJ42+HL42+HN42+HP42+HR42+HT42+HV42+HX42+HZ42+IB42+ID42+IF42+IH42+IJ42+IL42+IN42+IP42+IR42+IT42+IV42+IX42+IZ42+JB42+JD42+JF42+JH42+JJ42+JL42+JZ42+CJ42+CL42+CN42+CP42+CR42+CT42+CV42+CX42+EX42+EZ42+FB42+FD42+FF42+FH42+FJ42+FL42</f>
        <v/>
      </c>
      <c r="KC42" s="66">
        <f>I42+K42+M42+O42+Q42+S42+U42+W42+Y42+AA42+AC42+AE42+AG42+AI42+AK42+AM42+AO42+AQ42+AS42+AU42+AW42+AY42+BA42+BC42+BE42+BG42+BI42+BK42+BM42+BO42+BQ42+BS42+BU42+BW42+BY42+CA42+CC42+CE42+CG42+CI42+DA42+DC42+DE42+DG42+DI42+DK42+DM42+DO42+DQ42+DS42+DU42+DW42+DY42+EA42+EC42+EE42+EG42+EI42+EK42+EM42+EO42+EQ42+ES42+EU42+EW42+FO42+FS42+FU42+FW42+FQ42+FY42+GA42+GC42+GE42+GG42+GI42+GK42+GM42+GO42+GQ42+GS42+GU42+GW42+GY42+HA42+HC42+HE42+HG42+HI42+HK42+HM42+HO42+HQ42+HS42+HU42+HW42+HY42+IA42+IC42+IE42+IG42+II42+IK42+IM42+IO42+IQ42+IS42+IU42+IW42+IY42+JA42+JC42+JE42+JG42+JI42+JK42+JM42+KA42+CK42+CM42+CO42+CQ42+CS42+CU42+CW42+CY42+EY42+FA42+FC42+FE42+FG42+FI42+FK42+FM42</f>
        <v/>
      </c>
      <c r="KD42" s="44">
        <f>JO42+JQ42+JS42+JU42+JW42+JY42</f>
        <v/>
      </c>
      <c r="KE42" s="45">
        <f>KB42=E42</f>
        <v/>
      </c>
      <c r="KF42" s="101">
        <f>E42-KB42</f>
        <v/>
      </c>
      <c r="KG42" s="11" t="n"/>
    </row>
    <row r="43" ht="21.75" customFormat="1" customHeight="1" s="11">
      <c r="A43" s="126">
        <f>A42+1</f>
        <v/>
      </c>
      <c r="B43" s="175" t="inlineStr">
        <is>
          <t>Соколов Р.Т.</t>
        </is>
      </c>
      <c r="C43" s="176" t="inlineStr">
        <is>
          <t>сварщик</t>
        </is>
      </c>
      <c r="D43" s="177">
        <f>$D$5</f>
        <v/>
      </c>
      <c r="E43" s="202" t="n"/>
      <c r="F43" s="193" t="n">
        <v>84149.67999999999</v>
      </c>
      <c r="G43" s="52">
        <f>F43/D43</f>
        <v/>
      </c>
      <c r="H43" s="125" t="n"/>
      <c r="I43" s="107">
        <f>H43*100/$E$43</f>
        <v/>
      </c>
      <c r="J43" s="108" t="n"/>
      <c r="K43" s="107">
        <f>J43*100/$E$43</f>
        <v/>
      </c>
      <c r="L43" s="108" t="n"/>
      <c r="M43" s="107">
        <f>L43*100/$E$43</f>
        <v/>
      </c>
      <c r="N43" s="108" t="n"/>
      <c r="O43" s="107">
        <f>N43*100/$E$43</f>
        <v/>
      </c>
      <c r="P43" s="108" t="n"/>
      <c r="Q43" s="122">
        <f>P43*100/$E$43</f>
        <v/>
      </c>
      <c r="R43" s="108" t="n"/>
      <c r="S43" s="122">
        <f>R43*100/$E$43</f>
        <v/>
      </c>
      <c r="T43" s="108" t="n"/>
      <c r="U43" s="107">
        <f>T43*100/$E$43</f>
        <v/>
      </c>
      <c r="V43" s="108" t="n"/>
      <c r="W43" s="107">
        <f>V43*100/$E$43</f>
        <v/>
      </c>
      <c r="X43" s="108" t="n"/>
      <c r="Y43" s="107">
        <f>X43*100/$E$43</f>
        <v/>
      </c>
      <c r="Z43" s="108" t="n"/>
      <c r="AA43" s="107">
        <f>Z43*100/$E$43</f>
        <v/>
      </c>
      <c r="AB43" s="108" t="n"/>
      <c r="AC43" s="107">
        <f>AB43*100/$E$43</f>
        <v/>
      </c>
      <c r="AD43" s="108" t="n"/>
      <c r="AE43" s="122">
        <f>AD43*100/$E$43</f>
        <v/>
      </c>
      <c r="AF43" s="108" t="n"/>
      <c r="AG43" s="122">
        <f>AF43*100/$E$43</f>
        <v/>
      </c>
      <c r="AH43" s="108" t="n"/>
      <c r="AI43" s="107">
        <f>AH43*100/$E$43</f>
        <v/>
      </c>
      <c r="AJ43" s="108" t="n"/>
      <c r="AK43" s="107">
        <f>AJ43*100/$E$43</f>
        <v/>
      </c>
      <c r="AL43" s="108" t="n"/>
      <c r="AM43" s="107">
        <f>AL43*100/$E$43</f>
        <v/>
      </c>
      <c r="AN43" s="108" t="n"/>
      <c r="AO43" s="107">
        <f>AN43*100/$E$43</f>
        <v/>
      </c>
      <c r="AP43" s="108" t="n"/>
      <c r="AQ43" s="107">
        <f>AP43*100/$E$43</f>
        <v/>
      </c>
      <c r="AR43" s="108" t="n"/>
      <c r="AS43" s="107">
        <f>AR43*100/$E$43</f>
        <v/>
      </c>
      <c r="AT43" s="108" t="n"/>
      <c r="AU43" s="90">
        <f>AT43*100/$E$43</f>
        <v/>
      </c>
      <c r="AV43" s="108" t="n"/>
      <c r="AW43" s="107">
        <f>AV43*100/$E$43</f>
        <v/>
      </c>
      <c r="AX43" s="108" t="n"/>
      <c r="AY43" s="107">
        <f>AX43*100/$E$43</f>
        <v/>
      </c>
      <c r="AZ43" s="108" t="n"/>
      <c r="BA43" s="107">
        <f>AZ43*100/$E$43</f>
        <v/>
      </c>
      <c r="BB43" s="108" t="n"/>
      <c r="BC43" s="107">
        <f>BB43*100/$E$43</f>
        <v/>
      </c>
      <c r="BD43" s="108" t="n"/>
      <c r="BE43" s="107">
        <f>BD43*100/$E$43</f>
        <v/>
      </c>
      <c r="BF43" s="108" t="n"/>
      <c r="BG43" s="107">
        <f>BF43*100/$E$43</f>
        <v/>
      </c>
      <c r="BH43" s="108" t="n"/>
      <c r="BI43" s="107">
        <f>BH43*100/$E$43</f>
        <v/>
      </c>
      <c r="BJ43" s="108" t="n"/>
      <c r="BK43" s="107">
        <f>BJ43*100/$E$43</f>
        <v/>
      </c>
      <c r="BL43" s="108" t="n"/>
      <c r="BM43" s="107">
        <f>BL43*100/$E$43</f>
        <v/>
      </c>
      <c r="BN43" s="108" t="n"/>
      <c r="BO43" s="107">
        <f>BN43*100/$E$43</f>
        <v/>
      </c>
      <c r="BP43" s="108" t="n"/>
      <c r="BQ43" s="107">
        <f>BP43*100/$E$43</f>
        <v/>
      </c>
      <c r="BR43" s="108" t="n"/>
      <c r="BS43" s="107">
        <f>BR43*100/$E$43</f>
        <v/>
      </c>
      <c r="BT43" s="108" t="n"/>
      <c r="BU43" s="107">
        <f>BT43*100/$E$43</f>
        <v/>
      </c>
      <c r="BV43" s="108" t="n"/>
      <c r="BW43" s="107">
        <f>BV43*100/$E$43</f>
        <v/>
      </c>
      <c r="BX43" s="108" t="n"/>
      <c r="BY43" s="107">
        <f>BX43*100/$E$43</f>
        <v/>
      </c>
      <c r="BZ43" s="108" t="n"/>
      <c r="CA43" s="107">
        <f>BZ43*100/$E$43</f>
        <v/>
      </c>
      <c r="CB43" s="108" t="n"/>
      <c r="CC43" s="107">
        <f>CB43*100/$E$43</f>
        <v/>
      </c>
      <c r="CD43" s="108" t="n"/>
      <c r="CE43" s="107">
        <f>CD43*100/$E$43</f>
        <v/>
      </c>
      <c r="CF43" s="108" t="n"/>
      <c r="CG43" s="107">
        <f>CF43*100/$E$43</f>
        <v/>
      </c>
      <c r="CH43" s="108" t="n"/>
      <c r="CI43" s="107">
        <f>CH43*100/$E$43</f>
        <v/>
      </c>
      <c r="CJ43" s="108" t="n"/>
      <c r="CK43" s="107">
        <f>CJ43*100/$E$43</f>
        <v/>
      </c>
      <c r="CL43" s="108" t="n"/>
      <c r="CM43" s="107">
        <f>CL43*100/$E$43</f>
        <v/>
      </c>
      <c r="CN43" s="108" t="n"/>
      <c r="CO43" s="122">
        <f>CN43*100/$E$43</f>
        <v/>
      </c>
      <c r="CP43" s="108" t="n"/>
      <c r="CQ43" s="107">
        <f>CP43*100/$E$43</f>
        <v/>
      </c>
      <c r="CR43" s="108" t="n"/>
      <c r="CS43" s="122">
        <f>CR43*100/$E$43</f>
        <v/>
      </c>
      <c r="CT43" s="108" t="n"/>
      <c r="CU43" s="122">
        <f>CT43*100/$E$43</f>
        <v/>
      </c>
      <c r="CV43" s="108" t="n"/>
      <c r="CW43" s="122">
        <f>CV43*100/$E$43</f>
        <v/>
      </c>
      <c r="CX43" s="108" t="n"/>
      <c r="CY43" s="122">
        <f>CX43*100/$E$43</f>
        <v/>
      </c>
      <c r="CZ43" s="108" t="n"/>
      <c r="DA43" s="122">
        <f>CZ43*100/$E$43</f>
        <v/>
      </c>
      <c r="DB43" s="108" t="n"/>
      <c r="DC43" s="122">
        <f>DB43*100/$E$43</f>
        <v/>
      </c>
      <c r="DD43" s="108" t="n"/>
      <c r="DE43" s="122">
        <f>DD43*100/$E$43</f>
        <v/>
      </c>
      <c r="DF43" s="108" t="n"/>
      <c r="DG43" s="122">
        <f>DF43*100/$E$43</f>
        <v/>
      </c>
      <c r="DH43" s="108" t="n"/>
      <c r="DI43" s="122">
        <f>DH43*100/$E$43</f>
        <v/>
      </c>
      <c r="DJ43" s="108" t="n"/>
      <c r="DK43" s="122">
        <f>DJ43*100/$E$43</f>
        <v/>
      </c>
      <c r="DL43" s="108" t="n"/>
      <c r="DM43" s="122">
        <f>DL43*100/$E$43</f>
        <v/>
      </c>
      <c r="DN43" s="108" t="n"/>
      <c r="DO43" s="122">
        <f>DN43*100/$E$43</f>
        <v/>
      </c>
      <c r="DP43" s="108" t="n"/>
      <c r="DQ43" s="122">
        <f>DP43*100/$E$43</f>
        <v/>
      </c>
      <c r="DR43" s="108" t="n"/>
      <c r="DS43" s="122">
        <f>DR43*100/$E$43</f>
        <v/>
      </c>
      <c r="DT43" s="108" t="n"/>
      <c r="DU43" s="122">
        <f>DT43*100/$E$43</f>
        <v/>
      </c>
      <c r="DV43" s="108" t="n"/>
      <c r="DW43" s="122">
        <f>DV43*100/$E$43</f>
        <v/>
      </c>
      <c r="DX43" s="108" t="n"/>
      <c r="DY43" s="122">
        <f>DX43*100/$E$43</f>
        <v/>
      </c>
      <c r="DZ43" s="108" t="n"/>
      <c r="EA43" s="122">
        <f>DZ43*100/$E$43</f>
        <v/>
      </c>
      <c r="EB43" s="108" t="n"/>
      <c r="EC43" s="122">
        <f>EB43*100/$E$43</f>
        <v/>
      </c>
      <c r="ED43" s="108" t="n"/>
      <c r="EE43" s="122">
        <f>ED43*100/$E$43</f>
        <v/>
      </c>
      <c r="EF43" s="108" t="n"/>
      <c r="EG43" s="122">
        <f>EF43*100/$E$43</f>
        <v/>
      </c>
      <c r="EH43" s="108" t="n"/>
      <c r="EI43" s="122">
        <f>EH43*100/$E$43</f>
        <v/>
      </c>
      <c r="EJ43" s="108" t="n"/>
      <c r="EK43" s="122">
        <f>EJ43*100/$E$43</f>
        <v/>
      </c>
      <c r="EL43" s="108" t="n"/>
      <c r="EM43" s="122">
        <f>EL43*100/$E$43</f>
        <v/>
      </c>
      <c r="EN43" s="108" t="n"/>
      <c r="EO43" s="122">
        <f>EN43*100/$E$43</f>
        <v/>
      </c>
      <c r="EP43" s="108" t="n"/>
      <c r="EQ43" s="122">
        <f>EP43*100/$E$43</f>
        <v/>
      </c>
      <c r="ER43" s="108" t="n"/>
      <c r="ES43" s="122">
        <f>ER43*100/$E$43</f>
        <v/>
      </c>
      <c r="ET43" s="108" t="n"/>
      <c r="EU43" s="122">
        <f>ET43*100/$E$43</f>
        <v/>
      </c>
      <c r="EV43" s="108" t="n"/>
      <c r="EW43" s="122">
        <f>EV43*100/$E$43</f>
        <v/>
      </c>
      <c r="EX43" s="108" t="n"/>
      <c r="EY43" s="122">
        <f>EX43*100/$E$43</f>
        <v/>
      </c>
      <c r="EZ43" s="108" t="n"/>
      <c r="FA43" s="122">
        <f>EZ43*100/$E$43</f>
        <v/>
      </c>
      <c r="FB43" s="108" t="n"/>
      <c r="FC43" s="122">
        <f>FB43*100/$E$43</f>
        <v/>
      </c>
      <c r="FD43" s="108" t="n"/>
      <c r="FE43" s="122">
        <f>FD43*100/$E$43</f>
        <v/>
      </c>
      <c r="FF43" s="108" t="n"/>
      <c r="FG43" s="122">
        <f>FF43*100/$E$43</f>
        <v/>
      </c>
      <c r="FH43" s="108" t="n"/>
      <c r="FI43" s="122">
        <f>FH43*100/$E$43</f>
        <v/>
      </c>
      <c r="FJ43" s="108" t="n"/>
      <c r="FK43" s="122">
        <f>FJ43*100/$E$43</f>
        <v/>
      </c>
      <c r="FL43" s="108" t="n"/>
      <c r="FM43" s="122">
        <f>FL43*100/$E$43</f>
        <v/>
      </c>
      <c r="FN43" s="108" t="n"/>
      <c r="FO43" s="122">
        <f>FN43*100/$E$43</f>
        <v/>
      </c>
      <c r="FP43" s="108" t="n"/>
      <c r="FQ43" s="122">
        <f>FP43*100/$E$43</f>
        <v/>
      </c>
      <c r="FR43" s="108" t="n"/>
      <c r="FS43" s="122">
        <f>FR43*100/$E$43</f>
        <v/>
      </c>
      <c r="FT43" s="108" t="n"/>
      <c r="FU43" s="122">
        <f>FT43*100/$E$43</f>
        <v/>
      </c>
      <c r="FV43" s="108" t="n"/>
      <c r="FW43" s="122">
        <f>FV43*100/$E$43</f>
        <v/>
      </c>
      <c r="FX43" s="108" t="n"/>
      <c r="FY43" s="107">
        <f>FX43*100/$E$43</f>
        <v/>
      </c>
      <c r="FZ43" s="108" t="n"/>
      <c r="GA43" s="107">
        <f>FZ43*100/$E$43</f>
        <v/>
      </c>
      <c r="GB43" s="108" t="n"/>
      <c r="GC43" s="107">
        <f>GB43*100/$E$43</f>
        <v/>
      </c>
      <c r="GD43" s="108" t="n"/>
      <c r="GE43" s="107">
        <f>GD43*100/$E$43</f>
        <v/>
      </c>
      <c r="GF43" s="108" t="n"/>
      <c r="GG43" s="107">
        <f>GF43*100/$E$43</f>
        <v/>
      </c>
      <c r="GH43" s="108" t="n"/>
      <c r="GI43" s="107">
        <f>GH43*100/$E$43</f>
        <v/>
      </c>
      <c r="GJ43" s="108" t="n"/>
      <c r="GK43" s="122">
        <f>GJ43*100/$E$43</f>
        <v/>
      </c>
      <c r="GL43" s="108" t="n"/>
      <c r="GM43" s="107">
        <f>GL43*100/$E$43</f>
        <v/>
      </c>
      <c r="GN43" s="108" t="n"/>
      <c r="GO43" s="122">
        <f>GN43*100/$E$43</f>
        <v/>
      </c>
      <c r="GP43" s="108" t="n"/>
      <c r="GQ43" s="107">
        <f>GP43*100/$E$43</f>
        <v/>
      </c>
      <c r="GR43" s="108" t="n"/>
      <c r="GS43" s="122">
        <f>GR43*100/$E$43</f>
        <v/>
      </c>
      <c r="GT43" s="108" t="n"/>
      <c r="GU43" s="122">
        <f>GT43*100/$E$43</f>
        <v/>
      </c>
      <c r="GV43" s="108" t="n"/>
      <c r="GW43" s="122">
        <f>GV43*100/$E$43</f>
        <v/>
      </c>
      <c r="GX43" s="108" t="n"/>
      <c r="GY43" s="107">
        <f>GX43*100/$E$43</f>
        <v/>
      </c>
      <c r="GZ43" s="108" t="n"/>
      <c r="HA43" s="107">
        <f>GZ43*100/$E$43</f>
        <v/>
      </c>
      <c r="HB43" s="108" t="n"/>
      <c r="HC43" s="107">
        <f>HB43*100/$E$43</f>
        <v/>
      </c>
      <c r="HD43" s="108" t="n"/>
      <c r="HE43" s="107">
        <f>HD43*100/$E$43</f>
        <v/>
      </c>
      <c r="HF43" s="108" t="n"/>
      <c r="HG43" s="107">
        <f>HF43*100/$E$43</f>
        <v/>
      </c>
      <c r="HH43" s="108" t="n"/>
      <c r="HI43" s="107">
        <f>HH43*100/$E$43</f>
        <v/>
      </c>
      <c r="HJ43" s="108" t="n"/>
      <c r="HK43" s="107">
        <f>HJ43*100/$E$43</f>
        <v/>
      </c>
      <c r="HL43" s="108" t="n"/>
      <c r="HM43" s="107">
        <f>HL43*100/$E$43</f>
        <v/>
      </c>
      <c r="HN43" s="108" t="n"/>
      <c r="HO43" s="107">
        <f>HN43*100/$E$43</f>
        <v/>
      </c>
      <c r="HP43" s="108" t="n"/>
      <c r="HQ43" s="107">
        <f>HP43*100/$E$43</f>
        <v/>
      </c>
      <c r="HR43" s="108" t="n"/>
      <c r="HS43" s="107">
        <f>HR43*100/$E$43</f>
        <v/>
      </c>
      <c r="HT43" s="108" t="n"/>
      <c r="HU43" s="107">
        <f>HT43*100/$E$43</f>
        <v/>
      </c>
      <c r="HV43" s="108" t="n"/>
      <c r="HW43" s="107">
        <f>HV43*100/$E$43</f>
        <v/>
      </c>
      <c r="HX43" s="108" t="n"/>
      <c r="HY43" s="107">
        <f>HX43*100/$E$43</f>
        <v/>
      </c>
      <c r="HZ43" s="108" t="n"/>
      <c r="IA43" s="122">
        <f>HZ43*100/$E$43</f>
        <v/>
      </c>
      <c r="IB43" s="108" t="n"/>
      <c r="IC43" s="122">
        <f>IB43*100/$E$43</f>
        <v/>
      </c>
      <c r="ID43" s="108" t="n"/>
      <c r="IE43" s="122">
        <f>ID43*100/$E$43</f>
        <v/>
      </c>
      <c r="IF43" s="108" t="n"/>
      <c r="IG43" s="122">
        <f>IF43*100/$E$43</f>
        <v/>
      </c>
      <c r="IH43" s="108" t="n"/>
      <c r="II43" s="122">
        <f>IH43*100/$E$43</f>
        <v/>
      </c>
      <c r="IJ43" s="108" t="n"/>
      <c r="IK43" s="122">
        <f>IJ43*100/$E$43</f>
        <v/>
      </c>
      <c r="IL43" s="108" t="n"/>
      <c r="IM43" s="107">
        <f>IL43*100/$E$43</f>
        <v/>
      </c>
      <c r="IN43" s="108" t="n"/>
      <c r="IO43" s="107">
        <f>IN43*100/$E$43</f>
        <v/>
      </c>
      <c r="IP43" s="108" t="n"/>
      <c r="IQ43" s="122">
        <f>IP43*100/$E$43</f>
        <v/>
      </c>
      <c r="IR43" s="108" t="n"/>
      <c r="IS43" s="122">
        <f>IR43*100/$E$43</f>
        <v/>
      </c>
      <c r="IT43" s="108" t="n"/>
      <c r="IU43" s="122">
        <f>IT43*100/$E$43</f>
        <v/>
      </c>
      <c r="IV43" s="108" t="n"/>
      <c r="IW43" s="122">
        <f>IV43*100/$E$43</f>
        <v/>
      </c>
      <c r="IX43" s="108" t="n"/>
      <c r="IY43" s="122">
        <f>IX43*100/$E$43</f>
        <v/>
      </c>
      <c r="IZ43" s="108" t="n"/>
      <c r="JA43" s="122">
        <f>IZ43*100/$E$43</f>
        <v/>
      </c>
      <c r="JB43" s="108" t="n"/>
      <c r="JC43" s="122">
        <f>JB43*100/$E$43</f>
        <v/>
      </c>
      <c r="JD43" s="108" t="n"/>
      <c r="JE43" s="122">
        <f>JD43*100/$E$43</f>
        <v/>
      </c>
      <c r="JF43" s="108" t="n"/>
      <c r="JG43" s="122">
        <f>JF43*100/$E$43</f>
        <v/>
      </c>
      <c r="JH43" s="108" t="n"/>
      <c r="JI43" s="122">
        <f>JH43*100/$E$43</f>
        <v/>
      </c>
      <c r="JJ43" s="108" t="n"/>
      <c r="JK43" s="122">
        <f>JJ43*100/$E$43</f>
        <v/>
      </c>
      <c r="JL43" s="108" t="n"/>
      <c r="JM43" s="122">
        <f>JL43*100/$E$43</f>
        <v/>
      </c>
      <c r="JN43" s="108" t="n"/>
      <c r="JO43" s="121">
        <f>JN43*100/$E$43</f>
        <v/>
      </c>
      <c r="JP43" s="108" t="n"/>
      <c r="JQ43" s="121">
        <f>JP43*100/$E$43</f>
        <v/>
      </c>
      <c r="JR43" s="108" t="n"/>
      <c r="JS43" s="121">
        <f>JR43*100/$E$43</f>
        <v/>
      </c>
      <c r="JT43" s="108" t="n"/>
      <c r="JU43" s="121">
        <f>JT43*100/$E$43</f>
        <v/>
      </c>
      <c r="JV43" s="108" t="n"/>
      <c r="JW43" s="121">
        <f>JV43*100/$E$43</f>
        <v/>
      </c>
      <c r="JX43" s="108" t="n"/>
      <c r="JY43" s="121">
        <f>JX43*100/$E$43</f>
        <v/>
      </c>
      <c r="JZ43" s="55">
        <f>JN43+JP43+JR43+JT43+JV43+JX43</f>
        <v/>
      </c>
      <c r="KA43" s="53">
        <f>JO43+JQ43+JS43+JU43+JW43+JY43</f>
        <v/>
      </c>
      <c r="KB43" s="64">
        <f>H43+J43+L43+N43+P43+R43+T43+V43+X43+Z43+AB43+AD43+AF43+AH43+AJ43+AL43+AN43+AP43+AR43+AT43+AV43+AX43+AZ43+BB43+BD43+BF43+BH43+BJ43+BL43+BN43+BP43+BR43+BT43+BV43+BX43+BZ43+CB43+CD43+CF43+CH43+CZ43+DB43+DD43+DF43+DH43+DJ43+DL43+DN43+DP43+DR43+DT43+DV43+DX43+DZ43+EB43+ED43+EF43+EH43+EJ43+EL43+EN43+EP43+ER43+ET43+EV43+FN43+FP43+FR43+FT43+FV43+FX43+FZ43+GB43+GD43+GF43+GH43+GJ43+GL43+GN43+GP43+GR43+GT43+GV43+GX43+GZ43+HB43+HD43+HF43+HH43+HJ43+HL43+HN43+HP43+HR43+HT43+HV43+HX43+HZ43+IB43+ID43+IF43+IH43+IJ43+IL43+IN43+IP43+IR43+IT43+IV43+IX43+IZ43+JB43+JD43+JF43+JH43+JJ43+JL43+JZ43+CJ43+CL43+CN43+CP43+CR43+CT43+CV43+CX43+EX43+EZ43+FB43+FD43+FF43+FH43+FJ43+FL43</f>
        <v/>
      </c>
      <c r="KC43" s="66">
        <f>I43+K43+M43+O43+Q43+S43+U43+W43+Y43+AA43+AC43+AE43+AG43+AI43+AK43+AM43+AO43+AQ43+AS43+AU43+AW43+AY43+BA43+BC43+BE43+BG43+BI43+BK43+BM43+BO43+BQ43+BS43+BU43+BW43+BY43+CA43+CC43+CE43+CG43+CI43+DA43+DC43+DE43+DG43+DI43+DK43+DM43+DO43+DQ43+DS43+DU43+DW43+DY43+EA43+EC43+EE43+EG43+EI43+EK43+EM43+EO43+EQ43+ES43+EU43+EW43+FO43+FS43+FU43+FW43+FQ43+FY43+GA43+GC43+GE43+GG43+GI43+GK43+GM43+GO43+GQ43+GS43+GU43+GW43+GY43+HA43+HC43+HE43+HG43+HI43+HK43+HM43+HO43+HQ43+HS43+HU43+HW43+HY43+IA43+IC43+IE43+IG43+II43+IK43+IM43+IO43+IQ43+IS43+IU43+IW43+IY43+JA43+JC43+JE43+JG43+JI43+JK43+JM43+KA43+CK43+CM43+CO43+CQ43+CS43+CU43+CW43+CY43+EY43+FA43+FC43+FE43+FG43+FI43+FK43+FM43</f>
        <v/>
      </c>
      <c r="KD43" s="44">
        <f>JO43+JQ43+JS43+JU43+JW43+JY43</f>
        <v/>
      </c>
      <c r="KE43" s="45">
        <f>KB43=E43</f>
        <v/>
      </c>
      <c r="KF43" s="101">
        <f>E43-KB43</f>
        <v/>
      </c>
      <c r="KG43" s="26" t="n"/>
    </row>
    <row r="44" ht="21.75" customFormat="1" customHeight="1" s="26">
      <c r="A44" s="126">
        <f>A43+1</f>
        <v/>
      </c>
      <c r="B44" s="175" t="inlineStr">
        <is>
          <t>Сорокин Е</t>
        </is>
      </c>
      <c r="C44" s="176" t="inlineStr">
        <is>
          <t>сварщик</t>
        </is>
      </c>
      <c r="D44" s="177">
        <f>$D$5</f>
        <v/>
      </c>
      <c r="E44" s="202" t="n"/>
      <c r="F44" s="193" t="n">
        <v>84149.67999999999</v>
      </c>
      <c r="G44" s="52">
        <f>F44/D44</f>
        <v/>
      </c>
      <c r="H44" s="125" t="n"/>
      <c r="I44" s="107">
        <f>H44*100/$E$44</f>
        <v/>
      </c>
      <c r="J44" s="108" t="n"/>
      <c r="K44" s="107">
        <f>J44*100/$E$44</f>
        <v/>
      </c>
      <c r="L44" s="108" t="n"/>
      <c r="M44" s="107">
        <f>L44*100/$E$44</f>
        <v/>
      </c>
      <c r="N44" s="108" t="n"/>
      <c r="O44" s="107">
        <f>N44*100/$E$44</f>
        <v/>
      </c>
      <c r="P44" s="108" t="n"/>
      <c r="Q44" s="122">
        <f>P44*100/$E$44</f>
        <v/>
      </c>
      <c r="R44" s="108" t="n"/>
      <c r="S44" s="122">
        <f>R44*100/$E$44</f>
        <v/>
      </c>
      <c r="T44" s="108" t="n"/>
      <c r="U44" s="107">
        <f>T44*100/$E$44</f>
        <v/>
      </c>
      <c r="V44" s="108" t="n"/>
      <c r="W44" s="107">
        <f>V44*100/$E$44</f>
        <v/>
      </c>
      <c r="X44" s="108" t="n"/>
      <c r="Y44" s="107">
        <f>X44*100/$E$44</f>
        <v/>
      </c>
      <c r="Z44" s="108" t="n"/>
      <c r="AA44" s="107">
        <f>Z44*100/$E$44</f>
        <v/>
      </c>
      <c r="AB44" s="108" t="n"/>
      <c r="AC44" s="107">
        <f>AB44*100/$E$44</f>
        <v/>
      </c>
      <c r="AD44" s="108" t="n"/>
      <c r="AE44" s="122">
        <f>AD44*100/$E$44</f>
        <v/>
      </c>
      <c r="AF44" s="108" t="n"/>
      <c r="AG44" s="122">
        <f>AF44*100/$E$44</f>
        <v/>
      </c>
      <c r="AH44" s="108" t="n"/>
      <c r="AI44" s="107">
        <f>AH44*100/$E$44</f>
        <v/>
      </c>
      <c r="AJ44" s="108" t="n"/>
      <c r="AK44" s="107">
        <f>AJ44*100/$E$44</f>
        <v/>
      </c>
      <c r="AL44" s="108" t="n"/>
      <c r="AM44" s="107">
        <f>AL44*100/$E$44</f>
        <v/>
      </c>
      <c r="AN44" s="108" t="n"/>
      <c r="AO44" s="107">
        <f>AN44*100/$E$44</f>
        <v/>
      </c>
      <c r="AP44" s="108" t="n"/>
      <c r="AQ44" s="107">
        <f>AP44*100/$E$44</f>
        <v/>
      </c>
      <c r="AR44" s="108" t="n"/>
      <c r="AS44" s="107">
        <f>AR44*100/$E$44</f>
        <v/>
      </c>
      <c r="AT44" s="108" t="n"/>
      <c r="AU44" s="90">
        <f>AT44*100/$E$44</f>
        <v/>
      </c>
      <c r="AV44" s="108" t="n"/>
      <c r="AW44" s="107">
        <f>AV44*100/$E$44</f>
        <v/>
      </c>
      <c r="AX44" s="108" t="n"/>
      <c r="AY44" s="107">
        <f>AX44*100/$E$44</f>
        <v/>
      </c>
      <c r="AZ44" s="108" t="n"/>
      <c r="BA44" s="107">
        <f>AZ44*100/$E$44</f>
        <v/>
      </c>
      <c r="BB44" s="108" t="n"/>
      <c r="BC44" s="107">
        <f>BB44*100/$E$44</f>
        <v/>
      </c>
      <c r="BD44" s="108" t="n"/>
      <c r="BE44" s="107">
        <f>BD44*100/$E$44</f>
        <v/>
      </c>
      <c r="BF44" s="108" t="n"/>
      <c r="BG44" s="107">
        <f>BF44*100/$E$44</f>
        <v/>
      </c>
      <c r="BH44" s="108" t="n"/>
      <c r="BI44" s="107">
        <f>BH44*100/$E$44</f>
        <v/>
      </c>
      <c r="BJ44" s="108" t="n"/>
      <c r="BK44" s="107">
        <f>BJ44*100/$E$44</f>
        <v/>
      </c>
      <c r="BL44" s="108" t="n"/>
      <c r="BM44" s="107">
        <f>BL44*100/$E$44</f>
        <v/>
      </c>
      <c r="BN44" s="108" t="n"/>
      <c r="BO44" s="107">
        <f>BN44*100/$E$44</f>
        <v/>
      </c>
      <c r="BP44" s="108" t="n"/>
      <c r="BQ44" s="107">
        <f>BP44*100/$E$44</f>
        <v/>
      </c>
      <c r="BR44" s="108" t="n"/>
      <c r="BS44" s="107">
        <f>BR44*100/$E$44</f>
        <v/>
      </c>
      <c r="BT44" s="108" t="n"/>
      <c r="BU44" s="107">
        <f>BT44*100/$E$44</f>
        <v/>
      </c>
      <c r="BV44" s="108" t="n"/>
      <c r="BW44" s="107">
        <f>BV44*100/$E$44</f>
        <v/>
      </c>
      <c r="BX44" s="108" t="n"/>
      <c r="BY44" s="107">
        <f>BX44*100/$E$44</f>
        <v/>
      </c>
      <c r="BZ44" s="108" t="n"/>
      <c r="CA44" s="107">
        <f>BZ44*100/$E$44</f>
        <v/>
      </c>
      <c r="CB44" s="108" t="n"/>
      <c r="CC44" s="107">
        <f>CB44*100/$E$44</f>
        <v/>
      </c>
      <c r="CD44" s="108" t="n"/>
      <c r="CE44" s="107">
        <f>CD44*100/$E$44</f>
        <v/>
      </c>
      <c r="CF44" s="108" t="n"/>
      <c r="CG44" s="107">
        <f>CF44*100/$E$44</f>
        <v/>
      </c>
      <c r="CH44" s="108" t="n"/>
      <c r="CI44" s="107">
        <f>CH44*100/$E$44</f>
        <v/>
      </c>
      <c r="CJ44" s="108" t="n"/>
      <c r="CK44" s="107">
        <f>CJ44*100/$E$44</f>
        <v/>
      </c>
      <c r="CL44" s="108" t="n"/>
      <c r="CM44" s="107">
        <f>CL44*100/$E$44</f>
        <v/>
      </c>
      <c r="CN44" s="108" t="n"/>
      <c r="CO44" s="122">
        <f>CN44*100/$E$44</f>
        <v/>
      </c>
      <c r="CP44" s="108" t="n"/>
      <c r="CQ44" s="107">
        <f>CP44*100/$E$44</f>
        <v/>
      </c>
      <c r="CR44" s="108" t="n"/>
      <c r="CS44" s="122">
        <f>CR44*100/$E$44</f>
        <v/>
      </c>
      <c r="CT44" s="108" t="n"/>
      <c r="CU44" s="122">
        <f>CT44*100/$E$44</f>
        <v/>
      </c>
      <c r="CV44" s="108" t="n"/>
      <c r="CW44" s="122">
        <f>CV44*100/$E$44</f>
        <v/>
      </c>
      <c r="CX44" s="108" t="n"/>
      <c r="CY44" s="122">
        <f>CX44*100/$E$44</f>
        <v/>
      </c>
      <c r="CZ44" s="108" t="n"/>
      <c r="DA44" s="122">
        <f>CZ44*100/$E$44</f>
        <v/>
      </c>
      <c r="DB44" s="108" t="n"/>
      <c r="DC44" s="122">
        <f>DB44*100/$E$44</f>
        <v/>
      </c>
      <c r="DD44" s="108" t="n"/>
      <c r="DE44" s="122">
        <f>DD44*100/$E$44</f>
        <v/>
      </c>
      <c r="DF44" s="108" t="n"/>
      <c r="DG44" s="122">
        <f>DF44*100/$E$44</f>
        <v/>
      </c>
      <c r="DH44" s="108" t="n"/>
      <c r="DI44" s="122">
        <f>DH44*100/$E$44</f>
        <v/>
      </c>
      <c r="DJ44" s="108" t="n"/>
      <c r="DK44" s="122">
        <f>DJ44*100/$E$44</f>
        <v/>
      </c>
      <c r="DL44" s="108" t="n"/>
      <c r="DM44" s="122">
        <f>DL44*100/$E$44</f>
        <v/>
      </c>
      <c r="DN44" s="108" t="n"/>
      <c r="DO44" s="122">
        <f>DN44*100/$E$44</f>
        <v/>
      </c>
      <c r="DP44" s="108" t="n"/>
      <c r="DQ44" s="122">
        <f>DP44*100/$E$44</f>
        <v/>
      </c>
      <c r="DR44" s="108" t="n"/>
      <c r="DS44" s="122">
        <f>DR44*100/$E$44</f>
        <v/>
      </c>
      <c r="DT44" s="108" t="n"/>
      <c r="DU44" s="122">
        <f>DT44*100/$E$44</f>
        <v/>
      </c>
      <c r="DV44" s="108" t="n"/>
      <c r="DW44" s="122">
        <f>DV44*100/$E$44</f>
        <v/>
      </c>
      <c r="DX44" s="108" t="n"/>
      <c r="DY44" s="122">
        <f>DX44*100/$E$44</f>
        <v/>
      </c>
      <c r="DZ44" s="108" t="n"/>
      <c r="EA44" s="122">
        <f>DZ44*100/$E$44</f>
        <v/>
      </c>
      <c r="EB44" s="108" t="n"/>
      <c r="EC44" s="122">
        <f>EB44*100/$E$44</f>
        <v/>
      </c>
      <c r="ED44" s="108" t="n"/>
      <c r="EE44" s="122">
        <f>ED44*100/$E$44</f>
        <v/>
      </c>
      <c r="EF44" s="108" t="n"/>
      <c r="EG44" s="122">
        <f>EF44*100/$E$44</f>
        <v/>
      </c>
      <c r="EH44" s="108" t="n"/>
      <c r="EI44" s="122">
        <f>EH44*100/$E$44</f>
        <v/>
      </c>
      <c r="EJ44" s="108" t="n"/>
      <c r="EK44" s="122">
        <f>EJ44*100/$E$44</f>
        <v/>
      </c>
      <c r="EL44" s="108" t="n"/>
      <c r="EM44" s="122">
        <f>EL44*100/$E$44</f>
        <v/>
      </c>
      <c r="EN44" s="108" t="n"/>
      <c r="EO44" s="122">
        <f>EN44*100/$E$44</f>
        <v/>
      </c>
      <c r="EP44" s="108" t="n"/>
      <c r="EQ44" s="122">
        <f>EP44*100/$E$44</f>
        <v/>
      </c>
      <c r="ER44" s="108" t="n"/>
      <c r="ES44" s="122">
        <f>ER44*100/$E$44</f>
        <v/>
      </c>
      <c r="ET44" s="108" t="n"/>
      <c r="EU44" s="122">
        <f>ET44*100/$E$44</f>
        <v/>
      </c>
      <c r="EV44" s="108" t="n"/>
      <c r="EW44" s="122">
        <f>EV44*100/$E$44</f>
        <v/>
      </c>
      <c r="EX44" s="108" t="n"/>
      <c r="EY44" s="122">
        <f>EX44*100/$E$44</f>
        <v/>
      </c>
      <c r="EZ44" s="108" t="n"/>
      <c r="FA44" s="122">
        <f>EZ44*100/$E$44</f>
        <v/>
      </c>
      <c r="FB44" s="108" t="n"/>
      <c r="FC44" s="122">
        <f>FB44*100/$E$44</f>
        <v/>
      </c>
      <c r="FD44" s="108" t="n"/>
      <c r="FE44" s="122">
        <f>FD44*100/$E$44</f>
        <v/>
      </c>
      <c r="FF44" s="108" t="n"/>
      <c r="FG44" s="122">
        <f>FF44*100/$E$44</f>
        <v/>
      </c>
      <c r="FH44" s="108" t="n"/>
      <c r="FI44" s="122">
        <f>FH44*100/$E$44</f>
        <v/>
      </c>
      <c r="FJ44" s="108" t="n"/>
      <c r="FK44" s="122">
        <f>FJ44*100/$E$44</f>
        <v/>
      </c>
      <c r="FL44" s="108" t="n"/>
      <c r="FM44" s="122">
        <f>FL44*100/$E$44</f>
        <v/>
      </c>
      <c r="FN44" s="108" t="n"/>
      <c r="FO44" s="122">
        <f>FN44*100/$E$44</f>
        <v/>
      </c>
      <c r="FP44" s="108" t="n"/>
      <c r="FQ44" s="122">
        <f>FP44*100/$E$44</f>
        <v/>
      </c>
      <c r="FR44" s="108" t="n"/>
      <c r="FS44" s="122">
        <f>FR44*100/$E$44</f>
        <v/>
      </c>
      <c r="FT44" s="108" t="n"/>
      <c r="FU44" s="122">
        <f>FT44*100/$E$44</f>
        <v/>
      </c>
      <c r="FV44" s="108" t="n"/>
      <c r="FW44" s="122">
        <f>FV44*100/$E$44</f>
        <v/>
      </c>
      <c r="FX44" s="108" t="n"/>
      <c r="FY44" s="107">
        <f>FX44*100/$E$44</f>
        <v/>
      </c>
      <c r="FZ44" s="108" t="n"/>
      <c r="GA44" s="107">
        <f>FZ44*100/$E$44</f>
        <v/>
      </c>
      <c r="GB44" s="108" t="n"/>
      <c r="GC44" s="107">
        <f>GB44*100/$E$44</f>
        <v/>
      </c>
      <c r="GD44" s="108" t="n"/>
      <c r="GE44" s="107">
        <f>GD44*100/$E$44</f>
        <v/>
      </c>
      <c r="GF44" s="108" t="n"/>
      <c r="GG44" s="107">
        <f>GF44*100/$E$44</f>
        <v/>
      </c>
      <c r="GH44" s="108" t="n"/>
      <c r="GI44" s="107">
        <f>GH44*100/$E$44</f>
        <v/>
      </c>
      <c r="GJ44" s="108" t="n"/>
      <c r="GK44" s="122">
        <f>GJ44*100/$E$44</f>
        <v/>
      </c>
      <c r="GL44" s="108" t="n"/>
      <c r="GM44" s="107">
        <f>GL44*100/$E$44</f>
        <v/>
      </c>
      <c r="GN44" s="108" t="n"/>
      <c r="GO44" s="122">
        <f>GN44*100/$E$44</f>
        <v/>
      </c>
      <c r="GP44" s="108" t="n"/>
      <c r="GQ44" s="107">
        <f>GP44*100/$E$44</f>
        <v/>
      </c>
      <c r="GR44" s="108" t="n"/>
      <c r="GS44" s="122">
        <f>GR44*100/$E$44</f>
        <v/>
      </c>
      <c r="GT44" s="108" t="n"/>
      <c r="GU44" s="122">
        <f>GT44*100/$E$44</f>
        <v/>
      </c>
      <c r="GV44" s="108" t="n"/>
      <c r="GW44" s="122">
        <f>GV44*100/$E$44</f>
        <v/>
      </c>
      <c r="GX44" s="108" t="n"/>
      <c r="GY44" s="107">
        <f>GX44*100/$E$44</f>
        <v/>
      </c>
      <c r="GZ44" s="108" t="n"/>
      <c r="HA44" s="107">
        <f>GZ44*100/$E$44</f>
        <v/>
      </c>
      <c r="HB44" s="108" t="n"/>
      <c r="HC44" s="107">
        <f>HB44*100/$E$44</f>
        <v/>
      </c>
      <c r="HD44" s="108" t="n"/>
      <c r="HE44" s="107">
        <f>HD44*100/$E$44</f>
        <v/>
      </c>
      <c r="HF44" s="108" t="n"/>
      <c r="HG44" s="107">
        <f>HF44*100/$E$44</f>
        <v/>
      </c>
      <c r="HH44" s="108" t="n"/>
      <c r="HI44" s="107">
        <f>HH44*100/$E$44</f>
        <v/>
      </c>
      <c r="HJ44" s="108" t="n"/>
      <c r="HK44" s="107">
        <f>HJ44*100/$E$44</f>
        <v/>
      </c>
      <c r="HL44" s="108" t="n"/>
      <c r="HM44" s="107">
        <f>HL44*100/$E$44</f>
        <v/>
      </c>
      <c r="HN44" s="108" t="n"/>
      <c r="HO44" s="107">
        <f>HN44*100/$E$44</f>
        <v/>
      </c>
      <c r="HP44" s="108" t="n"/>
      <c r="HQ44" s="107">
        <f>HP44*100/$E$44</f>
        <v/>
      </c>
      <c r="HR44" s="108" t="n"/>
      <c r="HS44" s="107">
        <f>HR44*100/$E$44</f>
        <v/>
      </c>
      <c r="HT44" s="108" t="n"/>
      <c r="HU44" s="107">
        <f>HT44*100/$E$44</f>
        <v/>
      </c>
      <c r="HV44" s="108" t="n"/>
      <c r="HW44" s="107">
        <f>HV44*100/$E$44</f>
        <v/>
      </c>
      <c r="HX44" s="108" t="n"/>
      <c r="HY44" s="107">
        <f>HX44*100/$E$44</f>
        <v/>
      </c>
      <c r="HZ44" s="108" t="n"/>
      <c r="IA44" s="122">
        <f>HZ44*100/$E$44</f>
        <v/>
      </c>
      <c r="IB44" s="108" t="n"/>
      <c r="IC44" s="122">
        <f>IB44*100/$E$44</f>
        <v/>
      </c>
      <c r="ID44" s="108" t="n"/>
      <c r="IE44" s="122">
        <f>ID44*100/$E$44</f>
        <v/>
      </c>
      <c r="IF44" s="108" t="n"/>
      <c r="IG44" s="122">
        <f>IF44*100/$E$44</f>
        <v/>
      </c>
      <c r="IH44" s="108" t="n"/>
      <c r="II44" s="122">
        <f>IH44*100/$E$44</f>
        <v/>
      </c>
      <c r="IJ44" s="108" t="n"/>
      <c r="IK44" s="122">
        <f>IJ44*100/$E$44</f>
        <v/>
      </c>
      <c r="IL44" s="108" t="n"/>
      <c r="IM44" s="107">
        <f>IL44*100/$E$44</f>
        <v/>
      </c>
      <c r="IN44" s="108" t="n"/>
      <c r="IO44" s="107">
        <f>IN44*100/$E$44</f>
        <v/>
      </c>
      <c r="IP44" s="108" t="n"/>
      <c r="IQ44" s="122">
        <f>IP44*100/$E$44</f>
        <v/>
      </c>
      <c r="IR44" s="108" t="n"/>
      <c r="IS44" s="122">
        <f>IR44*100/$E$44</f>
        <v/>
      </c>
      <c r="IT44" s="108" t="n"/>
      <c r="IU44" s="122">
        <f>IT44*100/$E$44</f>
        <v/>
      </c>
      <c r="IV44" s="108" t="n"/>
      <c r="IW44" s="122">
        <f>IV44*100/$E$44</f>
        <v/>
      </c>
      <c r="IX44" s="108" t="n"/>
      <c r="IY44" s="122">
        <f>IX44*100/$E$44</f>
        <v/>
      </c>
      <c r="IZ44" s="108" t="n"/>
      <c r="JA44" s="122">
        <f>IZ44*100/$E$44</f>
        <v/>
      </c>
      <c r="JB44" s="108" t="n"/>
      <c r="JC44" s="122">
        <f>JB44*100/$E$44</f>
        <v/>
      </c>
      <c r="JD44" s="108" t="n"/>
      <c r="JE44" s="122">
        <f>JD44*100/$E$44</f>
        <v/>
      </c>
      <c r="JF44" s="133" t="n"/>
      <c r="JG44" s="122">
        <f>JF44*100/$E$44</f>
        <v/>
      </c>
      <c r="JH44" s="108" t="n"/>
      <c r="JI44" s="122">
        <f>JH44*100/$E$44</f>
        <v/>
      </c>
      <c r="JJ44" s="108" t="n"/>
      <c r="JK44" s="122">
        <f>JJ44*100/$E$44</f>
        <v/>
      </c>
      <c r="JL44" s="108" t="n"/>
      <c r="JM44" s="122">
        <f>JL44*100/$E$44</f>
        <v/>
      </c>
      <c r="JN44" s="108" t="n"/>
      <c r="JO44" s="121">
        <f>JN44*100/$E$44</f>
        <v/>
      </c>
      <c r="JP44" s="108" t="n"/>
      <c r="JQ44" s="121">
        <f>JP44*100/$E$44</f>
        <v/>
      </c>
      <c r="JR44" s="108" t="n"/>
      <c r="JS44" s="121">
        <f>JR44*100/$E$44</f>
        <v/>
      </c>
      <c r="JT44" s="108" t="n"/>
      <c r="JU44" s="121">
        <f>JT44*100/$E$44</f>
        <v/>
      </c>
      <c r="JV44" s="108" t="n"/>
      <c r="JW44" s="121">
        <f>JV44*100/$E$44</f>
        <v/>
      </c>
      <c r="JX44" s="108" t="n"/>
      <c r="JY44" s="121">
        <f>JX44*100/$E$44</f>
        <v/>
      </c>
      <c r="JZ44" s="55">
        <f>JN44+JP44+JR44+JT44+JV44+JX44</f>
        <v/>
      </c>
      <c r="KA44" s="53">
        <f>JO44+JQ44+JS44+JU44+JW44+JY44</f>
        <v/>
      </c>
      <c r="KB44" s="64">
        <f>H44+J44+L44+N44+P44+R44+T44+V44+X44+Z44+AB44+AD44+AF44+AH44+AJ44+AL44+AN44+AP44+AR44+AT44+AV44+AX44+AZ44+BB44+BD44+BF44+BH44+BJ44+BL44+BN44+BP44+BR44+BT44+BV44+BX44+BZ44+CB44+CD44+CF44+CH44+CZ44+DB44+DD44+DF44+DH44+DJ44+DL44+DN44+DP44+DR44+DT44+DV44+DX44+DZ44+EB44+ED44+EF44+EH44+EJ44+EL44+EN44+EP44+ER44+ET44+EV44+FN44+FP44+FR44+FT44+FV44+FX44+FZ44+GB44+GD44+GF44+GH44+GJ44+GL44+GN44+GP44+GR44+GT44+GV44+GX44+GZ44+HB44+HD44+HF44+HH44+HJ44+HL44+HN44+HP44+HR44+HT44+HV44+HX44+HZ44+IB44+ID44+IF44+IH44+IJ44+IL44+IN44+IP44+IR44+IT44+IV44+IX44+IZ44+JB44+JD44+JF44+JH44+JJ44+JL44+JZ44+CJ44+CL44+CN44+CP44+CR44+CT44+CV44+CX44+EX44+EZ44+FB44+FD44+FF44+FH44+FJ44+FL44</f>
        <v/>
      </c>
      <c r="KC44" s="66">
        <f>I44+K44+M44+O44+Q44+S44+U44+W44+Y44+AA44+AC44+AE44+AG44+AI44+AK44+AM44+AO44+AQ44+AS44+AU44+AW44+AY44+BA44+BC44+BE44+BG44+BI44+BK44+BM44+BO44+BQ44+BS44+BU44+BW44+BY44+CA44+CC44+CE44+CG44+CI44+DA44+DC44+DE44+DG44+DI44+DK44+DM44+DO44+DQ44+DS44+DU44+DW44+DY44+EA44+EC44+EE44+EG44+EI44+EK44+EM44+EO44+EQ44+ES44+EU44+EW44+FO44+FS44+FU44+FW44+FQ44+FY44+GA44+GC44+GE44+GG44+GI44+GK44+GM44+GO44+GQ44+GS44+GU44+GW44+GY44+HA44+HC44+HE44+HG44+HI44+HK44+HM44+HO44+HQ44+HS44+HU44+HW44+HY44+IA44+IC44+IE44+IG44+II44+IK44+IM44+IO44+IQ44+IS44+IU44+IW44+IY44+JA44+JC44+JE44+JG44+JI44+JK44+JM44+KA44+CK44+CM44+CO44+CQ44+CS44+CU44+CW44+CY44+EY44+FA44+FC44+FE44+FG44+FI44+FK44+FM44</f>
        <v/>
      </c>
      <c r="KD44" s="44">
        <f>JO44+JQ44+JS44+JU44+JW44+JY44</f>
        <v/>
      </c>
      <c r="KE44" s="45">
        <f>KB44=E44</f>
        <v/>
      </c>
      <c r="KF44" s="101">
        <f>E44-KB44</f>
        <v/>
      </c>
      <c r="KG44" s="17" t="n"/>
    </row>
    <row r="45" ht="21.75" customFormat="1" customHeight="1" s="17">
      <c r="A45" s="126">
        <f>A44+1</f>
        <v/>
      </c>
      <c r="B45" s="175" t="inlineStr">
        <is>
          <t>Титаев А.А.</t>
        </is>
      </c>
      <c r="C45" s="176" t="inlineStr">
        <is>
          <t>слесарь МСР</t>
        </is>
      </c>
      <c r="D45" s="177">
        <f>$D$5</f>
        <v/>
      </c>
      <c r="E45" s="202" t="n"/>
      <c r="F45" s="178" t="n">
        <v>55770</v>
      </c>
      <c r="G45" s="52">
        <f>F45/D45</f>
        <v/>
      </c>
      <c r="H45" s="125" t="n"/>
      <c r="I45" s="107">
        <f>H45*100/$E$45</f>
        <v/>
      </c>
      <c r="J45" s="108" t="n"/>
      <c r="K45" s="107">
        <f>J45*100/$E$45</f>
        <v/>
      </c>
      <c r="L45" s="108" t="n"/>
      <c r="M45" s="107">
        <f>L45*100/$E$45</f>
        <v/>
      </c>
      <c r="N45" s="108" t="n"/>
      <c r="O45" s="107">
        <f>N45*100/$E$45</f>
        <v/>
      </c>
      <c r="P45" s="108" t="n"/>
      <c r="Q45" s="122">
        <f>P45*100/$E$45</f>
        <v/>
      </c>
      <c r="R45" s="108" t="n"/>
      <c r="S45" s="122">
        <f>R45*100/$E$45</f>
        <v/>
      </c>
      <c r="T45" s="108" t="n"/>
      <c r="U45" s="107">
        <f>T45*100/$E$45</f>
        <v/>
      </c>
      <c r="V45" s="108" t="n"/>
      <c r="W45" s="107">
        <f>V45*100/$E$45</f>
        <v/>
      </c>
      <c r="X45" s="108" t="n"/>
      <c r="Y45" s="107">
        <f>X45*100/$E$45</f>
        <v/>
      </c>
      <c r="Z45" s="108" t="n"/>
      <c r="AA45" s="107">
        <f>Z45*100/$E$45</f>
        <v/>
      </c>
      <c r="AB45" s="108" t="n"/>
      <c r="AC45" s="107">
        <f>AB45*100/$E$45</f>
        <v/>
      </c>
      <c r="AD45" s="108" t="n"/>
      <c r="AE45" s="122">
        <f>AD45*100/$E$45</f>
        <v/>
      </c>
      <c r="AF45" s="108" t="n"/>
      <c r="AG45" s="122">
        <f>AF45*100/$E$45</f>
        <v/>
      </c>
      <c r="AH45" s="108" t="n"/>
      <c r="AI45" s="107">
        <f>AH45*100/$E$45</f>
        <v/>
      </c>
      <c r="AJ45" s="108" t="n"/>
      <c r="AK45" s="107">
        <f>AJ45*100/$E$45</f>
        <v/>
      </c>
      <c r="AL45" s="108" t="n"/>
      <c r="AM45" s="107">
        <f>AL45*100/$E$45</f>
        <v/>
      </c>
      <c r="AN45" s="108" t="n"/>
      <c r="AO45" s="107">
        <f>AN45*100/$E$45</f>
        <v/>
      </c>
      <c r="AP45" s="108" t="n"/>
      <c r="AQ45" s="107">
        <f>AP45*100/$E$45</f>
        <v/>
      </c>
      <c r="AR45" s="108" t="n"/>
      <c r="AS45" s="107">
        <f>AR45*100/$E$45</f>
        <v/>
      </c>
      <c r="AT45" s="108" t="n"/>
      <c r="AU45" s="90">
        <f>AT45*100/$E$45</f>
        <v/>
      </c>
      <c r="AV45" s="108" t="n"/>
      <c r="AW45" s="107">
        <f>AV45*100/$E$45</f>
        <v/>
      </c>
      <c r="AX45" s="108" t="n"/>
      <c r="AY45" s="107">
        <f>AX45*100/$E$45</f>
        <v/>
      </c>
      <c r="AZ45" s="108" t="n"/>
      <c r="BA45" s="107">
        <f>AZ45*100/$E$45</f>
        <v/>
      </c>
      <c r="BB45" s="108" t="n"/>
      <c r="BC45" s="107">
        <f>BB45*100/$E$45</f>
        <v/>
      </c>
      <c r="BD45" s="108" t="n"/>
      <c r="BE45" s="107">
        <f>BD45*100/$E$45</f>
        <v/>
      </c>
      <c r="BF45" s="108" t="n"/>
      <c r="BG45" s="107">
        <f>BF45*100/$E$45</f>
        <v/>
      </c>
      <c r="BH45" s="108" t="n"/>
      <c r="BI45" s="107">
        <f>BH45*100/$E$45</f>
        <v/>
      </c>
      <c r="BJ45" s="108" t="n"/>
      <c r="BK45" s="107">
        <f>BJ45*100/$E$45</f>
        <v/>
      </c>
      <c r="BL45" s="108" t="n"/>
      <c r="BM45" s="107">
        <f>BL45*100/$E$45</f>
        <v/>
      </c>
      <c r="BN45" s="108" t="n"/>
      <c r="BO45" s="107">
        <f>BN45*100/$E$45</f>
        <v/>
      </c>
      <c r="BP45" s="108" t="n"/>
      <c r="BQ45" s="107">
        <f>BP45*100/$E$45</f>
        <v/>
      </c>
      <c r="BR45" s="108" t="n"/>
      <c r="BS45" s="107">
        <f>BR45*100/$E$45</f>
        <v/>
      </c>
      <c r="BT45" s="108" t="n"/>
      <c r="BU45" s="107">
        <f>BT45*100/$E$45</f>
        <v/>
      </c>
      <c r="BV45" s="108" t="n"/>
      <c r="BW45" s="107">
        <f>BV45*100/$E$45</f>
        <v/>
      </c>
      <c r="BX45" s="108" t="n"/>
      <c r="BY45" s="107">
        <f>BX45*100/$E$45</f>
        <v/>
      </c>
      <c r="BZ45" s="108" t="n"/>
      <c r="CA45" s="107">
        <f>BZ45*100/$E$45</f>
        <v/>
      </c>
      <c r="CB45" s="108" t="n"/>
      <c r="CC45" s="107">
        <f>CB45*100/$E$45</f>
        <v/>
      </c>
      <c r="CD45" s="108" t="n"/>
      <c r="CE45" s="107">
        <f>CD45*100/$E$45</f>
        <v/>
      </c>
      <c r="CF45" s="108" t="n"/>
      <c r="CG45" s="107">
        <f>CF45*100/$E$45</f>
        <v/>
      </c>
      <c r="CH45" s="108" t="n"/>
      <c r="CI45" s="107">
        <f>CH45*100/$E$45</f>
        <v/>
      </c>
      <c r="CJ45" s="108" t="n"/>
      <c r="CK45" s="107">
        <f>CJ45*100/$E$45</f>
        <v/>
      </c>
      <c r="CL45" s="108" t="n"/>
      <c r="CM45" s="107">
        <f>CL45*100/$E$45</f>
        <v/>
      </c>
      <c r="CN45" s="108" t="n"/>
      <c r="CO45" s="122">
        <f>CN45*100/$E$45</f>
        <v/>
      </c>
      <c r="CP45" s="108" t="n"/>
      <c r="CQ45" s="107">
        <f>CP45*100/$E$45</f>
        <v/>
      </c>
      <c r="CR45" s="108" t="n"/>
      <c r="CS45" s="122">
        <f>CR45*100/$E$45</f>
        <v/>
      </c>
      <c r="CT45" s="108" t="n"/>
      <c r="CU45" s="122">
        <f>CT45*100/$E$45</f>
        <v/>
      </c>
      <c r="CV45" s="108" t="n"/>
      <c r="CW45" s="122">
        <f>CV45*100/$E$45</f>
        <v/>
      </c>
      <c r="CX45" s="108" t="n"/>
      <c r="CY45" s="122">
        <f>CX45*100/$E$45</f>
        <v/>
      </c>
      <c r="CZ45" s="108" t="n"/>
      <c r="DA45" s="122">
        <f>CZ45*100/$E$45</f>
        <v/>
      </c>
      <c r="DB45" s="108" t="n"/>
      <c r="DC45" s="122">
        <f>DB45*100/$E$45</f>
        <v/>
      </c>
      <c r="DD45" s="108" t="n"/>
      <c r="DE45" s="122">
        <f>DD45*100/$E$45</f>
        <v/>
      </c>
      <c r="DF45" s="108" t="n"/>
      <c r="DG45" s="122">
        <f>DF45*100/$E$45</f>
        <v/>
      </c>
      <c r="DH45" s="108" t="n"/>
      <c r="DI45" s="122">
        <f>DH45*100/$E$45</f>
        <v/>
      </c>
      <c r="DJ45" s="108" t="n"/>
      <c r="DK45" s="122">
        <f>DJ45*100/$E$45</f>
        <v/>
      </c>
      <c r="DL45" s="108" t="n"/>
      <c r="DM45" s="122">
        <f>DL45*100/$E$45</f>
        <v/>
      </c>
      <c r="DN45" s="108" t="n"/>
      <c r="DO45" s="122">
        <f>DN45*100/$E$45</f>
        <v/>
      </c>
      <c r="DP45" s="108" t="n"/>
      <c r="DQ45" s="122">
        <f>DP45*100/$E$45</f>
        <v/>
      </c>
      <c r="DR45" s="108" t="n"/>
      <c r="DS45" s="122">
        <f>DR45*100/$E$45</f>
        <v/>
      </c>
      <c r="DT45" s="108" t="n"/>
      <c r="DU45" s="122">
        <f>DT45*100/$E$45</f>
        <v/>
      </c>
      <c r="DV45" s="108" t="n"/>
      <c r="DW45" s="122">
        <f>DV45*100/$E$45</f>
        <v/>
      </c>
      <c r="DX45" s="108" t="n"/>
      <c r="DY45" s="122">
        <f>DX45*100/$E$45</f>
        <v/>
      </c>
      <c r="DZ45" s="108" t="n"/>
      <c r="EA45" s="122">
        <f>DZ45*100/$E$45</f>
        <v/>
      </c>
      <c r="EB45" s="108" t="n"/>
      <c r="EC45" s="122">
        <f>EB45*100/$E$45</f>
        <v/>
      </c>
      <c r="ED45" s="108" t="n"/>
      <c r="EE45" s="122">
        <f>ED45*100/$E$45</f>
        <v/>
      </c>
      <c r="EF45" s="108" t="n"/>
      <c r="EG45" s="122">
        <f>EF45*100/$E$45</f>
        <v/>
      </c>
      <c r="EH45" s="108" t="n"/>
      <c r="EI45" s="122">
        <f>EH45*100/$E$45</f>
        <v/>
      </c>
      <c r="EJ45" s="108" t="n"/>
      <c r="EK45" s="122">
        <f>EJ45*100/$E$45</f>
        <v/>
      </c>
      <c r="EL45" s="108" t="n"/>
      <c r="EM45" s="122">
        <f>EL45*100/$E$45</f>
        <v/>
      </c>
      <c r="EN45" s="108" t="n"/>
      <c r="EO45" s="122">
        <f>EN45*100/$E$45</f>
        <v/>
      </c>
      <c r="EP45" s="108" t="n"/>
      <c r="EQ45" s="122">
        <f>EP45*100/$E$45</f>
        <v/>
      </c>
      <c r="ER45" s="108" t="n"/>
      <c r="ES45" s="122">
        <f>ER45*100/$E$45</f>
        <v/>
      </c>
      <c r="ET45" s="108" t="n"/>
      <c r="EU45" s="122">
        <f>ET45*100/$E$45</f>
        <v/>
      </c>
      <c r="EV45" s="108" t="n"/>
      <c r="EW45" s="122">
        <f>EV45*100/$E$45</f>
        <v/>
      </c>
      <c r="EX45" s="108" t="n"/>
      <c r="EY45" s="122">
        <f>EX45*100/$E$45</f>
        <v/>
      </c>
      <c r="EZ45" s="108" t="n"/>
      <c r="FA45" s="122">
        <f>EZ45*100/$E$45</f>
        <v/>
      </c>
      <c r="FB45" s="108" t="n"/>
      <c r="FC45" s="122">
        <f>FB45*100/$E$45</f>
        <v/>
      </c>
      <c r="FD45" s="108" t="n"/>
      <c r="FE45" s="122">
        <f>FD45*100/$E$45</f>
        <v/>
      </c>
      <c r="FF45" s="108" t="n"/>
      <c r="FG45" s="122">
        <f>FF45*100/$E$45</f>
        <v/>
      </c>
      <c r="FH45" s="108" t="n"/>
      <c r="FI45" s="122">
        <f>FH45*100/$E$45</f>
        <v/>
      </c>
      <c r="FJ45" s="108" t="n"/>
      <c r="FK45" s="122">
        <f>FJ45*100/$E$45</f>
        <v/>
      </c>
      <c r="FL45" s="108" t="n"/>
      <c r="FM45" s="122">
        <f>FL45*100/$E$45</f>
        <v/>
      </c>
      <c r="FN45" s="108" t="n"/>
      <c r="FO45" s="122">
        <f>FN45*100/$E$45</f>
        <v/>
      </c>
      <c r="FP45" s="108" t="n"/>
      <c r="FQ45" s="122">
        <f>FP45*100/$E$45</f>
        <v/>
      </c>
      <c r="FR45" s="108" t="n"/>
      <c r="FS45" s="122">
        <f>FR45*100/$E$45</f>
        <v/>
      </c>
      <c r="FT45" s="108" t="n"/>
      <c r="FU45" s="122">
        <f>FT45*100/$E$45</f>
        <v/>
      </c>
      <c r="FV45" s="108" t="n"/>
      <c r="FW45" s="122">
        <f>FV45*100/$E$45</f>
        <v/>
      </c>
      <c r="FX45" s="108" t="n"/>
      <c r="FY45" s="107">
        <f>FX45*100/$E$45</f>
        <v/>
      </c>
      <c r="FZ45" s="108" t="n"/>
      <c r="GA45" s="107">
        <f>FZ45*100/$E$45</f>
        <v/>
      </c>
      <c r="GB45" s="108" t="n"/>
      <c r="GC45" s="107">
        <f>GB45*100/$E$45</f>
        <v/>
      </c>
      <c r="GD45" s="108" t="n"/>
      <c r="GE45" s="107">
        <f>GD45*100/$E$45</f>
        <v/>
      </c>
      <c r="GF45" s="108" t="n"/>
      <c r="GG45" s="107">
        <f>GF45*100/$E$45</f>
        <v/>
      </c>
      <c r="GH45" s="108" t="n"/>
      <c r="GI45" s="107">
        <f>GH45*100/$E$45</f>
        <v/>
      </c>
      <c r="GJ45" s="108" t="n"/>
      <c r="GK45" s="122">
        <f>GJ45*100/$E$45</f>
        <v/>
      </c>
      <c r="GL45" s="108" t="n"/>
      <c r="GM45" s="107">
        <f>GL45*100/$E$45</f>
        <v/>
      </c>
      <c r="GN45" s="108" t="n"/>
      <c r="GO45" s="122">
        <f>GN45*100/$E$45</f>
        <v/>
      </c>
      <c r="GP45" s="108" t="n"/>
      <c r="GQ45" s="107">
        <f>GP45*100/$E$45</f>
        <v/>
      </c>
      <c r="GR45" s="108" t="n"/>
      <c r="GS45" s="122">
        <f>GR45*100/$E$45</f>
        <v/>
      </c>
      <c r="GT45" s="108" t="n"/>
      <c r="GU45" s="122">
        <f>GT45*100/$E$45</f>
        <v/>
      </c>
      <c r="GV45" s="108" t="n"/>
      <c r="GW45" s="122">
        <f>GV45*100/$E$45</f>
        <v/>
      </c>
      <c r="GX45" s="108" t="n"/>
      <c r="GY45" s="107">
        <f>GX45*100/$E$45</f>
        <v/>
      </c>
      <c r="GZ45" s="108" t="n"/>
      <c r="HA45" s="107">
        <f>GZ45*100/$E$45</f>
        <v/>
      </c>
      <c r="HB45" s="108" t="n"/>
      <c r="HC45" s="107">
        <f>HB45*100/$E$45</f>
        <v/>
      </c>
      <c r="HD45" s="108" t="n"/>
      <c r="HE45" s="107">
        <f>HD45*100/$E$45</f>
        <v/>
      </c>
      <c r="HF45" s="108" t="n"/>
      <c r="HG45" s="107">
        <f>HF45*100/$E$45</f>
        <v/>
      </c>
      <c r="HH45" s="108" t="n"/>
      <c r="HI45" s="107">
        <f>HH45*100/$E$45</f>
        <v/>
      </c>
      <c r="HJ45" s="108" t="n"/>
      <c r="HK45" s="107">
        <f>HJ45*100/$E$45</f>
        <v/>
      </c>
      <c r="HL45" s="108" t="n"/>
      <c r="HM45" s="107">
        <f>HL45*100/$E$45</f>
        <v/>
      </c>
      <c r="HN45" s="108" t="n"/>
      <c r="HO45" s="107">
        <f>HN45*100/$E$45</f>
        <v/>
      </c>
      <c r="HP45" s="108" t="n"/>
      <c r="HQ45" s="107">
        <f>HP45*100/$E$45</f>
        <v/>
      </c>
      <c r="HR45" s="108" t="n"/>
      <c r="HS45" s="107">
        <f>HR45*100/$E$45</f>
        <v/>
      </c>
      <c r="HT45" s="108" t="n"/>
      <c r="HU45" s="107">
        <f>HT45*100/$E$45</f>
        <v/>
      </c>
      <c r="HV45" s="108" t="n"/>
      <c r="HW45" s="107">
        <f>HV45*100/$E$45</f>
        <v/>
      </c>
      <c r="HX45" s="108" t="n"/>
      <c r="HY45" s="107">
        <f>HX45*100/$E$45</f>
        <v/>
      </c>
      <c r="HZ45" s="108" t="n"/>
      <c r="IA45" s="122">
        <f>HZ45*100/$E$45</f>
        <v/>
      </c>
      <c r="IB45" s="108" t="n"/>
      <c r="IC45" s="122">
        <f>IB45*100/$E$45</f>
        <v/>
      </c>
      <c r="ID45" s="108" t="n"/>
      <c r="IE45" s="122">
        <f>ID45*100/$E$45</f>
        <v/>
      </c>
      <c r="IF45" s="108" t="n"/>
      <c r="IG45" s="122">
        <f>IF45*100/$E$45</f>
        <v/>
      </c>
      <c r="IH45" s="108" t="n"/>
      <c r="II45" s="122">
        <f>IH45*100/$E$45</f>
        <v/>
      </c>
      <c r="IJ45" s="108" t="n"/>
      <c r="IK45" s="122">
        <f>IJ45*100/$E$45</f>
        <v/>
      </c>
      <c r="IL45" s="108" t="n"/>
      <c r="IM45" s="107">
        <f>IL45*100/$E$45</f>
        <v/>
      </c>
      <c r="IN45" s="108" t="n"/>
      <c r="IO45" s="107">
        <f>IN45*100/$E$45</f>
        <v/>
      </c>
      <c r="IP45" s="108" t="n"/>
      <c r="IQ45" s="122">
        <f>IP45*100/$E$45</f>
        <v/>
      </c>
      <c r="IR45" s="108" t="n"/>
      <c r="IS45" s="122">
        <f>IR45*100/$E$45</f>
        <v/>
      </c>
      <c r="IT45" s="108" t="n"/>
      <c r="IU45" s="122">
        <f>IT45*100/$E$45</f>
        <v/>
      </c>
      <c r="IV45" s="108" t="n"/>
      <c r="IW45" s="122">
        <f>IV45*100/$E$45</f>
        <v/>
      </c>
      <c r="IX45" s="108" t="n"/>
      <c r="IY45" s="122">
        <f>IX45*100/$E$45</f>
        <v/>
      </c>
      <c r="IZ45" s="108" t="n"/>
      <c r="JA45" s="122">
        <f>IZ45*100/$E$45</f>
        <v/>
      </c>
      <c r="JB45" s="108" t="n"/>
      <c r="JC45" s="122">
        <f>JB45*100/$E$45</f>
        <v/>
      </c>
      <c r="JD45" s="108" t="n"/>
      <c r="JE45" s="122">
        <f>JD45*100/$E$45</f>
        <v/>
      </c>
      <c r="JF45" s="108" t="n"/>
      <c r="JG45" s="122">
        <f>JF45*100/$E$45</f>
        <v/>
      </c>
      <c r="JH45" s="108" t="n"/>
      <c r="JI45" s="122">
        <f>JH45*100/$E$45</f>
        <v/>
      </c>
      <c r="JJ45" s="108" t="n"/>
      <c r="JK45" s="122">
        <f>JJ45*100/$E$45</f>
        <v/>
      </c>
      <c r="JL45" s="108" t="n"/>
      <c r="JM45" s="122">
        <f>JL45*100/$E$45</f>
        <v/>
      </c>
      <c r="JN45" s="108" t="n"/>
      <c r="JO45" s="121">
        <f>JN45*100/$E$45</f>
        <v/>
      </c>
      <c r="JP45" s="108" t="n"/>
      <c r="JQ45" s="121">
        <f>JP45*100/$E$45</f>
        <v/>
      </c>
      <c r="JR45" s="108" t="n"/>
      <c r="JS45" s="121">
        <f>JR45*100/$E$45</f>
        <v/>
      </c>
      <c r="JT45" s="108" t="n"/>
      <c r="JU45" s="121">
        <f>JT45*100/$E$45</f>
        <v/>
      </c>
      <c r="JV45" s="132" t="n"/>
      <c r="JW45" s="121">
        <f>JV45*100/$E$45</f>
        <v/>
      </c>
      <c r="JX45" s="132" t="n"/>
      <c r="JY45" s="121">
        <f>JX45*100/$E$45</f>
        <v/>
      </c>
      <c r="JZ45" s="55">
        <f>JN45+JP45+JR45+JT45+JV45+JX45</f>
        <v/>
      </c>
      <c r="KA45" s="53">
        <f>JO45+JQ45+JS45+JU45+JW45+JY45</f>
        <v/>
      </c>
      <c r="KB45" s="64">
        <f>H45+J45+L45+N45+P45+R45+T45+V45+X45+Z45+AB45+AD45+AF45+AH45+AJ45+AL45+AN45+AP45+AR45+AT45+AV45+AX45+AZ45+BB45+BD45+BF45+BH45+BJ45+BL45+BN45+BP45+BR45+BT45+BV45+BX45+BZ45+CB45+CD45+CF45+CH45+CZ45+DB45+DD45+DF45+DH45+DJ45+DL45+DN45+DP45+DR45+DT45+DV45+DX45+DZ45+EB45+ED45+EF45+EH45+EJ45+EL45+EN45+EP45+ER45+ET45+EV45+FN45+FP45+FR45+FT45+FV45+FX45+FZ45+GB45+GD45+GF45+GH45+GJ45+GL45+GN45+GP45+GR45+GT45+GV45+GX45+GZ45+HB45+HD45+HF45+HH45+HJ45+HL45+HN45+HP45+HR45+HT45+HV45+HX45+HZ45+IB45+ID45+IF45+IH45+IJ45+IL45+IN45+IP45+IR45+IT45+IV45+IX45+IZ45+JB45+JD45+JF45+JH45+JJ45+JL45+JZ45+CJ45+CL45+CN45+CP45+CR45+CT45+CV45+CX45+EX45+EZ45+FB45+FD45+FF45+FH45+FJ45+FL45</f>
        <v/>
      </c>
      <c r="KC45" s="66">
        <f>I45+K45+M45+O45+Q45+S45+U45+W45+Y45+AA45+AC45+AE45+AG45+AI45+AK45+AM45+AO45+AQ45+AS45+AU45+AW45+AY45+BA45+BC45+BE45+BG45+BI45+BK45+BM45+BO45+BQ45+BS45+BU45+BW45+BY45+CA45+CC45+CE45+CG45+CI45+DA45+DC45+DE45+DG45+DI45+DK45+DM45+DO45+DQ45+DS45+DU45+DW45+DY45+EA45+EC45+EE45+EG45+EI45+EK45+EM45+EO45+EQ45+ES45+EU45+EW45+FO45+FS45+FU45+FW45+FQ45+FY45+GA45+GC45+GE45+GG45+GI45+GK45+GM45+GO45+GQ45+GS45+GU45+GW45+GY45+HA45+HC45+HE45+HG45+HI45+HK45+HM45+HO45+HQ45+HS45+HU45+HW45+HY45+IA45+IC45+IE45+IG45+II45+IK45+IM45+IO45+IQ45+IS45+IU45+IW45+IY45+JA45+JC45+JE45+JG45+JI45+JK45+JM45+KA45+CK45+CM45+CO45+CQ45+CS45+CU45+CW45+CY45+EY45+FA45+FC45+FE45+FG45+FI45+FK45+FM45</f>
        <v/>
      </c>
      <c r="KD45" s="44">
        <f>JO45+JQ45+JS45+JU45+JW45+JY45</f>
        <v/>
      </c>
      <c r="KE45" s="45">
        <f>KB45=E45</f>
        <v/>
      </c>
      <c r="KF45" s="101">
        <f>E45-KB45</f>
        <v/>
      </c>
      <c r="KG45" s="11" t="n"/>
    </row>
    <row r="46" ht="21.75" customFormat="1" customHeight="1" s="11">
      <c r="A46" s="126">
        <f>A45+1</f>
        <v/>
      </c>
      <c r="B46" s="175" t="inlineStr">
        <is>
          <t>Токарев Н. С.</t>
        </is>
      </c>
      <c r="C46" s="176" t="inlineStr">
        <is>
          <t>фрезеровщик</t>
        </is>
      </c>
      <c r="D46" s="177">
        <f>$D$5</f>
        <v/>
      </c>
      <c r="E46" s="202" t="n"/>
      <c r="F46" s="191" t="n">
        <v>101149.88</v>
      </c>
      <c r="G46" s="52">
        <f>F46/D46</f>
        <v/>
      </c>
      <c r="H46" s="125" t="n"/>
      <c r="I46" s="107">
        <f>H46*100/$E$46</f>
        <v/>
      </c>
      <c r="J46" s="108" t="n"/>
      <c r="K46" s="107">
        <f>J46*100/$E$46</f>
        <v/>
      </c>
      <c r="L46" s="108" t="n"/>
      <c r="M46" s="107">
        <f>L46*100/$E$46</f>
        <v/>
      </c>
      <c r="N46" s="108" t="n"/>
      <c r="O46" s="107">
        <f>N46*100/$E$46</f>
        <v/>
      </c>
      <c r="P46" s="108" t="n"/>
      <c r="Q46" s="122">
        <f>P46*100/$E$46</f>
        <v/>
      </c>
      <c r="R46" s="108" t="n"/>
      <c r="S46" s="122">
        <f>R46*100/$E$46</f>
        <v/>
      </c>
      <c r="T46" s="108" t="n"/>
      <c r="U46" s="107">
        <f>T46*100/$E$46</f>
        <v/>
      </c>
      <c r="V46" s="108" t="n"/>
      <c r="W46" s="107">
        <f>V46*100/$E$46</f>
        <v/>
      </c>
      <c r="X46" s="108" t="n"/>
      <c r="Y46" s="107">
        <f>X46*100/$E$46</f>
        <v/>
      </c>
      <c r="Z46" s="108" t="n"/>
      <c r="AA46" s="107">
        <f>Z46*100/$E$46</f>
        <v/>
      </c>
      <c r="AB46" s="108" t="n"/>
      <c r="AC46" s="107">
        <f>AB46*100/$E$46</f>
        <v/>
      </c>
      <c r="AD46" s="108" t="n"/>
      <c r="AE46" s="122">
        <f>AD46*100/$E$46</f>
        <v/>
      </c>
      <c r="AF46" s="108" t="n"/>
      <c r="AG46" s="122">
        <f>AF46*100/$E$46</f>
        <v/>
      </c>
      <c r="AH46" s="108" t="n"/>
      <c r="AI46" s="107">
        <f>AH46*100/$E$46</f>
        <v/>
      </c>
      <c r="AJ46" s="108" t="n"/>
      <c r="AK46" s="107">
        <f>AJ46*100/$E$46</f>
        <v/>
      </c>
      <c r="AL46" s="108" t="n"/>
      <c r="AM46" s="107">
        <f>AL46*100/$E$46</f>
        <v/>
      </c>
      <c r="AN46" s="108" t="n"/>
      <c r="AO46" s="107">
        <f>AN46*100/$E$46</f>
        <v/>
      </c>
      <c r="AP46" s="108" t="n"/>
      <c r="AQ46" s="107">
        <f>AP46*100/$E$46</f>
        <v/>
      </c>
      <c r="AR46" s="108" t="n"/>
      <c r="AS46" s="107">
        <f>AR46*100/$E$46</f>
        <v/>
      </c>
      <c r="AT46" s="108" t="n"/>
      <c r="AU46" s="90">
        <f>AT46*100/$E$46</f>
        <v/>
      </c>
      <c r="AV46" s="108" t="n"/>
      <c r="AW46" s="107">
        <f>AV46*100/$E$46</f>
        <v/>
      </c>
      <c r="AX46" s="108" t="n"/>
      <c r="AY46" s="107">
        <f>AX46*100/$E$46</f>
        <v/>
      </c>
      <c r="AZ46" s="108" t="n"/>
      <c r="BA46" s="107">
        <f>AZ46*100/$E$46</f>
        <v/>
      </c>
      <c r="BB46" s="108" t="n"/>
      <c r="BC46" s="107">
        <f>BB46*100/$E$46</f>
        <v/>
      </c>
      <c r="BD46" s="108" t="n"/>
      <c r="BE46" s="107">
        <f>BD46*100/$E$46</f>
        <v/>
      </c>
      <c r="BF46" s="108" t="n"/>
      <c r="BG46" s="107">
        <f>BF46*100/$E$46</f>
        <v/>
      </c>
      <c r="BH46" s="108" t="n"/>
      <c r="BI46" s="107">
        <f>BH46*100/$E$46</f>
        <v/>
      </c>
      <c r="BJ46" s="108" t="n"/>
      <c r="BK46" s="107">
        <f>BJ46*100/$E$46</f>
        <v/>
      </c>
      <c r="BL46" s="108" t="n"/>
      <c r="BM46" s="107">
        <f>BL46*100/$E$46</f>
        <v/>
      </c>
      <c r="BN46" s="108" t="n"/>
      <c r="BO46" s="107">
        <f>BN46*100/$E$46</f>
        <v/>
      </c>
      <c r="BP46" s="108" t="n"/>
      <c r="BQ46" s="107">
        <f>BP46*100/$E$46</f>
        <v/>
      </c>
      <c r="BR46" s="108" t="n"/>
      <c r="BS46" s="107">
        <f>BR46*100/$E$46</f>
        <v/>
      </c>
      <c r="BT46" s="108" t="n"/>
      <c r="BU46" s="107">
        <f>BT46*100/$E$46</f>
        <v/>
      </c>
      <c r="BV46" s="108" t="n"/>
      <c r="BW46" s="107">
        <f>BV46*100/$E$46</f>
        <v/>
      </c>
      <c r="BX46" s="108" t="n"/>
      <c r="BY46" s="107">
        <f>BX46*100/$E$46</f>
        <v/>
      </c>
      <c r="BZ46" s="108" t="n"/>
      <c r="CA46" s="107">
        <f>BZ46*100/$E$46</f>
        <v/>
      </c>
      <c r="CB46" s="108" t="n"/>
      <c r="CC46" s="107">
        <f>CB46*100/$E$46</f>
        <v/>
      </c>
      <c r="CD46" s="108" t="n"/>
      <c r="CE46" s="107">
        <f>CD46*100/$E$46</f>
        <v/>
      </c>
      <c r="CF46" s="108" t="n"/>
      <c r="CG46" s="107">
        <f>CF46*100/$E$46</f>
        <v/>
      </c>
      <c r="CH46" s="108" t="n"/>
      <c r="CI46" s="107">
        <f>CH46*100/$E$46</f>
        <v/>
      </c>
      <c r="CJ46" s="108" t="n"/>
      <c r="CK46" s="107">
        <f>CJ46*100/$E$46</f>
        <v/>
      </c>
      <c r="CL46" s="108" t="n"/>
      <c r="CM46" s="107">
        <f>CL46*100/$E$46</f>
        <v/>
      </c>
      <c r="CN46" s="108" t="n"/>
      <c r="CO46" s="122">
        <f>CN46*100/$E$46</f>
        <v/>
      </c>
      <c r="CP46" s="108" t="n"/>
      <c r="CQ46" s="107">
        <f>CP46*100/$E$46</f>
        <v/>
      </c>
      <c r="CR46" s="108" t="n"/>
      <c r="CS46" s="122">
        <f>CR46*100/$E$46</f>
        <v/>
      </c>
      <c r="CT46" s="108" t="n"/>
      <c r="CU46" s="122">
        <f>CT46*100/$E$46</f>
        <v/>
      </c>
      <c r="CV46" s="108" t="n"/>
      <c r="CW46" s="122">
        <f>CV46*100/$E$46</f>
        <v/>
      </c>
      <c r="CX46" s="108" t="n"/>
      <c r="CY46" s="122">
        <f>CX46*100/$E$46</f>
        <v/>
      </c>
      <c r="CZ46" s="108" t="n"/>
      <c r="DA46" s="122">
        <f>CZ46*100/$E$46</f>
        <v/>
      </c>
      <c r="DB46" s="108" t="n"/>
      <c r="DC46" s="122">
        <f>DB46*100/$E$46</f>
        <v/>
      </c>
      <c r="DD46" s="108" t="n"/>
      <c r="DE46" s="122">
        <f>DD46*100/$E$46</f>
        <v/>
      </c>
      <c r="DF46" s="108" t="n"/>
      <c r="DG46" s="122">
        <f>DF46*100/$E$46</f>
        <v/>
      </c>
      <c r="DH46" s="108" t="n"/>
      <c r="DI46" s="122">
        <f>DH46*100/$E$46</f>
        <v/>
      </c>
      <c r="DJ46" s="108" t="n"/>
      <c r="DK46" s="122">
        <f>DJ46*100/$E$46</f>
        <v/>
      </c>
      <c r="DL46" s="108" t="n"/>
      <c r="DM46" s="122">
        <f>DL46*100/$E$46</f>
        <v/>
      </c>
      <c r="DN46" s="108" t="n"/>
      <c r="DO46" s="122">
        <f>DN46*100/$E$46</f>
        <v/>
      </c>
      <c r="DP46" s="108" t="n"/>
      <c r="DQ46" s="122">
        <f>DP46*100/$E$46</f>
        <v/>
      </c>
      <c r="DR46" s="108" t="n"/>
      <c r="DS46" s="122">
        <f>DR46*100/$E$46</f>
        <v/>
      </c>
      <c r="DT46" s="108" t="n"/>
      <c r="DU46" s="122">
        <f>DT46*100/$E$46</f>
        <v/>
      </c>
      <c r="DV46" s="108" t="n"/>
      <c r="DW46" s="122">
        <f>DV46*100/$E$46</f>
        <v/>
      </c>
      <c r="DX46" s="108" t="n"/>
      <c r="DY46" s="122">
        <f>DX46*100/$E$46</f>
        <v/>
      </c>
      <c r="DZ46" s="108" t="n"/>
      <c r="EA46" s="122">
        <f>DZ46*100/$E$46</f>
        <v/>
      </c>
      <c r="EB46" s="108" t="n"/>
      <c r="EC46" s="122">
        <f>EB46*100/$E$46</f>
        <v/>
      </c>
      <c r="ED46" s="108" t="n"/>
      <c r="EE46" s="122">
        <f>ED46*100/$E$46</f>
        <v/>
      </c>
      <c r="EF46" s="108" t="n"/>
      <c r="EG46" s="122">
        <f>EF46*100/$E$46</f>
        <v/>
      </c>
      <c r="EH46" s="108" t="n"/>
      <c r="EI46" s="122">
        <f>EH46*100/$E$46</f>
        <v/>
      </c>
      <c r="EJ46" s="108" t="n"/>
      <c r="EK46" s="122">
        <f>EJ46*100/$E$46</f>
        <v/>
      </c>
      <c r="EL46" s="108" t="n"/>
      <c r="EM46" s="122">
        <f>EL46*100/$E$46</f>
        <v/>
      </c>
      <c r="EN46" s="108" t="n"/>
      <c r="EO46" s="122">
        <f>EN46*100/$E$46</f>
        <v/>
      </c>
      <c r="EP46" s="108" t="n"/>
      <c r="EQ46" s="122">
        <f>EP46*100/$E$46</f>
        <v/>
      </c>
      <c r="ER46" s="108" t="n"/>
      <c r="ES46" s="122">
        <f>ER46*100/$E$46</f>
        <v/>
      </c>
      <c r="ET46" s="108" t="n"/>
      <c r="EU46" s="122">
        <f>ET46*100/$E$46</f>
        <v/>
      </c>
      <c r="EV46" s="108" t="n"/>
      <c r="EW46" s="122">
        <f>EV46*100/$E$46</f>
        <v/>
      </c>
      <c r="EX46" s="108" t="n"/>
      <c r="EY46" s="122">
        <f>EX46*100/$E$46</f>
        <v/>
      </c>
      <c r="EZ46" s="108" t="n"/>
      <c r="FA46" s="122">
        <f>EZ46*100/$E$46</f>
        <v/>
      </c>
      <c r="FB46" s="108" t="n"/>
      <c r="FC46" s="122">
        <f>FB46*100/$E$46</f>
        <v/>
      </c>
      <c r="FD46" s="108" t="n"/>
      <c r="FE46" s="122">
        <f>FD46*100/$E$46</f>
        <v/>
      </c>
      <c r="FF46" s="108" t="n"/>
      <c r="FG46" s="122">
        <f>FF46*100/$E$46</f>
        <v/>
      </c>
      <c r="FH46" s="108" t="n"/>
      <c r="FI46" s="122">
        <f>FH46*100/$E$46</f>
        <v/>
      </c>
      <c r="FJ46" s="108" t="n"/>
      <c r="FK46" s="122">
        <f>FJ46*100/$E$46</f>
        <v/>
      </c>
      <c r="FL46" s="108" t="n"/>
      <c r="FM46" s="122">
        <f>FL46*100/$E$46</f>
        <v/>
      </c>
      <c r="FN46" s="108" t="n"/>
      <c r="FO46" s="122">
        <f>FN46*100/$E$46</f>
        <v/>
      </c>
      <c r="FP46" s="108" t="n"/>
      <c r="FQ46" s="122">
        <f>FP46*100/$E$46</f>
        <v/>
      </c>
      <c r="FR46" s="108" t="n"/>
      <c r="FS46" s="122">
        <f>FR46*100/$E$46</f>
        <v/>
      </c>
      <c r="FT46" s="108" t="n"/>
      <c r="FU46" s="122">
        <f>FT46*100/$E$46</f>
        <v/>
      </c>
      <c r="FV46" s="108" t="n"/>
      <c r="FW46" s="122">
        <f>FV46*100/$E$46</f>
        <v/>
      </c>
      <c r="FX46" s="108" t="n"/>
      <c r="FY46" s="107">
        <f>FX46*100/$E$46</f>
        <v/>
      </c>
      <c r="FZ46" s="108" t="n"/>
      <c r="GA46" s="107">
        <f>FZ46*100/$E$46</f>
        <v/>
      </c>
      <c r="GB46" s="108" t="n"/>
      <c r="GC46" s="107">
        <f>GB46*100/$E$46</f>
        <v/>
      </c>
      <c r="GD46" s="108" t="n"/>
      <c r="GE46" s="107">
        <f>GD46*100/$E$46</f>
        <v/>
      </c>
      <c r="GF46" s="108" t="n"/>
      <c r="GG46" s="107">
        <f>GF46*100/$E$46</f>
        <v/>
      </c>
      <c r="GH46" s="108" t="n"/>
      <c r="GI46" s="107">
        <f>GH46*100/$E$46</f>
        <v/>
      </c>
      <c r="GJ46" s="108" t="n"/>
      <c r="GK46" s="122">
        <f>GJ46*100/$E$46</f>
        <v/>
      </c>
      <c r="GL46" s="108" t="n"/>
      <c r="GM46" s="107">
        <f>GL46*100/$E$46</f>
        <v/>
      </c>
      <c r="GN46" s="108" t="n"/>
      <c r="GO46" s="122">
        <f>GN46*100/$E$46</f>
        <v/>
      </c>
      <c r="GP46" s="108" t="n"/>
      <c r="GQ46" s="107">
        <f>GP46*100/$E$46</f>
        <v/>
      </c>
      <c r="GR46" s="108" t="n"/>
      <c r="GS46" s="122">
        <f>GR46*100/$E$46</f>
        <v/>
      </c>
      <c r="GT46" s="108" t="n"/>
      <c r="GU46" s="122">
        <f>GT46*100/$E$46</f>
        <v/>
      </c>
      <c r="GV46" s="108" t="n"/>
      <c r="GW46" s="122">
        <f>GV46*100/$E$46</f>
        <v/>
      </c>
      <c r="GX46" s="108" t="n"/>
      <c r="GY46" s="107">
        <f>GX46*100/$E$46</f>
        <v/>
      </c>
      <c r="GZ46" s="108" t="n"/>
      <c r="HA46" s="107">
        <f>GZ46*100/$E$46</f>
        <v/>
      </c>
      <c r="HB46" s="108" t="n"/>
      <c r="HC46" s="107">
        <f>HB46*100/$E$46</f>
        <v/>
      </c>
      <c r="HD46" s="108" t="n"/>
      <c r="HE46" s="107">
        <f>HD46*100/$E$46</f>
        <v/>
      </c>
      <c r="HF46" s="108" t="n"/>
      <c r="HG46" s="107">
        <f>HF46*100/$E$46</f>
        <v/>
      </c>
      <c r="HH46" s="108" t="n"/>
      <c r="HI46" s="107">
        <f>HH46*100/$E$46</f>
        <v/>
      </c>
      <c r="HJ46" s="108" t="n"/>
      <c r="HK46" s="107">
        <f>HJ46*100/$E$46</f>
        <v/>
      </c>
      <c r="HL46" s="108" t="n"/>
      <c r="HM46" s="107">
        <f>HL46*100/$E$46</f>
        <v/>
      </c>
      <c r="HN46" s="108" t="n"/>
      <c r="HO46" s="107">
        <f>HN46*100/$E$46</f>
        <v/>
      </c>
      <c r="HP46" s="108" t="n"/>
      <c r="HQ46" s="107">
        <f>HP46*100/$E$46</f>
        <v/>
      </c>
      <c r="HR46" s="108" t="n"/>
      <c r="HS46" s="107">
        <f>HR46*100/$E$46</f>
        <v/>
      </c>
      <c r="HT46" s="108" t="n"/>
      <c r="HU46" s="107">
        <f>HT46*100/$E$46</f>
        <v/>
      </c>
      <c r="HV46" s="108" t="n"/>
      <c r="HW46" s="107">
        <f>HV46*100/$E$46</f>
        <v/>
      </c>
      <c r="HX46" s="108" t="n"/>
      <c r="HY46" s="107">
        <f>HX46*100/$E$46</f>
        <v/>
      </c>
      <c r="HZ46" s="108" t="n"/>
      <c r="IA46" s="122">
        <f>HZ46*100/$E$46</f>
        <v/>
      </c>
      <c r="IB46" s="108" t="n"/>
      <c r="IC46" s="122">
        <f>IB46*100/$E$46</f>
        <v/>
      </c>
      <c r="ID46" s="108" t="n"/>
      <c r="IE46" s="122">
        <f>ID46*100/$E$46</f>
        <v/>
      </c>
      <c r="IF46" s="108" t="n"/>
      <c r="IG46" s="122">
        <f>IF46*100/$E$46</f>
        <v/>
      </c>
      <c r="IH46" s="108" t="n"/>
      <c r="II46" s="122">
        <f>IH46*100/$E$46</f>
        <v/>
      </c>
      <c r="IJ46" s="108" t="n"/>
      <c r="IK46" s="122">
        <f>IJ46*100/$E$46</f>
        <v/>
      </c>
      <c r="IL46" s="108" t="n"/>
      <c r="IM46" s="107">
        <f>IL46*100/$E$46</f>
        <v/>
      </c>
      <c r="IN46" s="108" t="n"/>
      <c r="IO46" s="107">
        <f>IN46*100/$E$46</f>
        <v/>
      </c>
      <c r="IP46" s="108" t="n"/>
      <c r="IQ46" s="122">
        <f>IP46*100/$E$46</f>
        <v/>
      </c>
      <c r="IR46" s="108" t="n"/>
      <c r="IS46" s="122">
        <f>IR46*100/$E$46</f>
        <v/>
      </c>
      <c r="IT46" s="108" t="n"/>
      <c r="IU46" s="122">
        <f>IT46*100/$E$46</f>
        <v/>
      </c>
      <c r="IV46" s="108" t="n"/>
      <c r="IW46" s="122">
        <f>IV46*100/$E$46</f>
        <v/>
      </c>
      <c r="IX46" s="108" t="n"/>
      <c r="IY46" s="122">
        <f>IX46*100/$E$46</f>
        <v/>
      </c>
      <c r="IZ46" s="108" t="n"/>
      <c r="JA46" s="122">
        <f>IZ46*100/$E$46</f>
        <v/>
      </c>
      <c r="JB46" s="108" t="n"/>
      <c r="JC46" s="122">
        <f>JB46*100/$E$46</f>
        <v/>
      </c>
      <c r="JD46" s="108" t="n"/>
      <c r="JE46" s="122">
        <f>JD46*100/$E$46</f>
        <v/>
      </c>
      <c r="JF46" s="108" t="n"/>
      <c r="JG46" s="122">
        <f>JF46*100/$E$46</f>
        <v/>
      </c>
      <c r="JH46" s="108" t="n"/>
      <c r="JI46" s="122">
        <f>JH46*100/$E$46</f>
        <v/>
      </c>
      <c r="JJ46" s="108" t="n"/>
      <c r="JK46" s="122">
        <f>JJ46*100/$E$46</f>
        <v/>
      </c>
      <c r="JL46" s="108" t="n"/>
      <c r="JM46" s="122">
        <f>JL46*100/$E$46</f>
        <v/>
      </c>
      <c r="JN46" s="108" t="n"/>
      <c r="JO46" s="121">
        <f>JN46*100/$E$46</f>
        <v/>
      </c>
      <c r="JP46" s="108" t="n"/>
      <c r="JQ46" s="121">
        <f>JP46*100/$E$46</f>
        <v/>
      </c>
      <c r="JR46" s="108" t="n"/>
      <c r="JS46" s="121">
        <f>JR46*100/$E$46</f>
        <v/>
      </c>
      <c r="JT46" s="108" t="n"/>
      <c r="JU46" s="121">
        <f>JT46*100/$E$46</f>
        <v/>
      </c>
      <c r="JV46" s="108" t="n"/>
      <c r="JW46" s="121">
        <f>JV46*100/$E$46</f>
        <v/>
      </c>
      <c r="JX46" s="108" t="n"/>
      <c r="JY46" s="121">
        <f>JX46*100/$E$46</f>
        <v/>
      </c>
      <c r="JZ46" s="55">
        <f>JN46+JP46+JR46+JT46+JV46+JX46</f>
        <v/>
      </c>
      <c r="KA46" s="53">
        <f>JO46+JQ46+JS46+JU46+JW46+JY46</f>
        <v/>
      </c>
      <c r="KB46" s="64">
        <f>H46+J46+L46+N46+P46+R46+T46+V46+X46+Z46+AB46+AD46+AF46+AH46+AJ46+AL46+AN46+AP46+AR46+AT46+AV46+AX46+AZ46+BB46+BD46+BF46+BH46+BJ46+BL46+BN46+BP46+BR46+BT46+BV46+BX46+BZ46+CB46+CD46+CF46+CH46+CZ46+DB46+DD46+DF46+DH46+DJ46+DL46+DN46+DP46+DR46+DT46+DV46+DX46+DZ46+EB46+ED46+EF46+EH46+EJ46+EL46+EN46+EP46+ER46+ET46+EV46+FN46+FP46+FR46+FT46+FV46+FX46+FZ46+GB46+GD46+GF46+GH46+GJ46+GL46+GN46+GP46+GR46+GT46+GV46+GX46+GZ46+HB46+HD46+HF46+HH46+HJ46+HL46+HN46+HP46+HR46+HT46+HV46+HX46+HZ46+IB46+ID46+IF46+IH46+IJ46+IL46+IN46+IP46+IR46+IT46+IV46+IX46+IZ46+JB46+JD46+JF46+JH46+JJ46+JL46+JZ46+CJ46+CL46+CN46+CP46+CR46+CT46+CV46+CX46+EX46+EZ46+FB46+FD46+FF46+FH46+FJ46+FL46</f>
        <v/>
      </c>
      <c r="KC46" s="66">
        <f>I46+K46+M46+O46+Q46+S46+U46+W46+Y46+AA46+AC46+AE46+AG46+AI46+AK46+AM46+AO46+AQ46+AS46+AU46+AW46+AY46+BA46+BC46+BE46+BG46+BI46+BK46+BM46+BO46+BQ46+BS46+BU46+BW46+BY46+CA46+CC46+CE46+CG46+CI46+DA46+DC46+DE46+DG46+DI46+DK46+DM46+DO46+DQ46+DS46+DU46+DW46+DY46+EA46+EC46+EE46+EG46+EI46+EK46+EM46+EO46+EQ46+ES46+EU46+EW46+FO46+FS46+FU46+FW46+FQ46+FY46+GA46+GC46+GE46+GG46+GI46+GK46+GM46+GO46+GQ46+GS46+GU46+GW46+GY46+HA46+HC46+HE46+HG46+HI46+HK46+HM46+HO46+HQ46+HS46+HU46+HW46+HY46+IA46+IC46+IE46+IG46+II46+IK46+IM46+IO46+IQ46+IS46+IU46+IW46+IY46+JA46+JC46+JE46+JG46+JI46+JK46+JM46+KA46+CK46+CM46+CO46+CQ46+CS46+CU46+CW46+CY46+EY46+FA46+FC46+FE46+FG46+FI46+FK46+FM46</f>
        <v/>
      </c>
      <c r="KD46" s="44">
        <f>JO46+JQ46+JS46+JU46+JW46+JY46</f>
        <v/>
      </c>
      <c r="KE46" s="45">
        <f>KB46=E46</f>
        <v/>
      </c>
      <c r="KF46" s="101">
        <f>E46-KB46</f>
        <v/>
      </c>
      <c r="KG46" s="22" t="n"/>
    </row>
    <row r="47" ht="21.75" customFormat="1" customHeight="1" s="22">
      <c r="A47" s="126">
        <f>A46+1</f>
        <v/>
      </c>
      <c r="B47" s="192" t="inlineStr">
        <is>
          <t>Трикачев С.И.</t>
        </is>
      </c>
      <c r="C47" s="204" t="inlineStr">
        <is>
          <t>токарь</t>
        </is>
      </c>
      <c r="D47" s="206">
        <f>$D$5</f>
        <v/>
      </c>
      <c r="E47" s="207" t="n"/>
      <c r="F47" s="205" t="n">
        <v>107473.5</v>
      </c>
      <c r="G47" s="52">
        <f>F47/D47</f>
        <v/>
      </c>
      <c r="H47" s="125" t="n"/>
      <c r="I47" s="107">
        <f>H47*100/$E$47</f>
        <v/>
      </c>
      <c r="J47" s="108" t="n"/>
      <c r="K47" s="107">
        <f>J47*100/$E$47</f>
        <v/>
      </c>
      <c r="L47" s="108" t="n"/>
      <c r="M47" s="107">
        <f>L47*100/$E$47</f>
        <v/>
      </c>
      <c r="N47" s="108" t="n"/>
      <c r="O47" s="107">
        <f>N47*100/$E$47</f>
        <v/>
      </c>
      <c r="P47" s="108" t="n"/>
      <c r="Q47" s="122">
        <f>P47*100/$E$47</f>
        <v/>
      </c>
      <c r="R47" s="108" t="n"/>
      <c r="S47" s="122">
        <f>R47*100/$E$47</f>
        <v/>
      </c>
      <c r="T47" s="108" t="n"/>
      <c r="U47" s="107">
        <f>T47*100/$E$47</f>
        <v/>
      </c>
      <c r="V47" s="108" t="n"/>
      <c r="W47" s="107">
        <f>V47*100/$E$47</f>
        <v/>
      </c>
      <c r="X47" s="108" t="n"/>
      <c r="Y47" s="107">
        <f>X47*100/$E$47</f>
        <v/>
      </c>
      <c r="Z47" s="108" t="n"/>
      <c r="AA47" s="107">
        <f>Z47*100/$E$47</f>
        <v/>
      </c>
      <c r="AB47" s="108" t="n"/>
      <c r="AC47" s="107">
        <f>AB47*100/$E$47</f>
        <v/>
      </c>
      <c r="AD47" s="108" t="n"/>
      <c r="AE47" s="122">
        <f>AD47*100/$E$47</f>
        <v/>
      </c>
      <c r="AF47" s="108" t="n"/>
      <c r="AG47" s="122">
        <f>AF47*100/$E$47</f>
        <v/>
      </c>
      <c r="AH47" s="108" t="n"/>
      <c r="AI47" s="107">
        <f>AH47*100/$E$47</f>
        <v/>
      </c>
      <c r="AJ47" s="108" t="n"/>
      <c r="AK47" s="107">
        <f>AJ47*100/$E$47</f>
        <v/>
      </c>
      <c r="AL47" s="108" t="n"/>
      <c r="AM47" s="107">
        <f>AL47*100/$E$47</f>
        <v/>
      </c>
      <c r="AN47" s="108" t="n"/>
      <c r="AO47" s="107">
        <f>AN47*100/$E$47</f>
        <v/>
      </c>
      <c r="AP47" s="108" t="n"/>
      <c r="AQ47" s="107">
        <f>AP47*100/$E$47</f>
        <v/>
      </c>
      <c r="AR47" s="108" t="n"/>
      <c r="AS47" s="107">
        <f>AR47*100/$E$47</f>
        <v/>
      </c>
      <c r="AT47" s="108" t="n"/>
      <c r="AU47" s="90">
        <f>AT47*100/$E$47</f>
        <v/>
      </c>
      <c r="AV47" s="108" t="n"/>
      <c r="AW47" s="107">
        <f>AV47*100/$E$47</f>
        <v/>
      </c>
      <c r="AX47" s="108" t="n"/>
      <c r="AY47" s="107">
        <f>AX47*100/$E$47</f>
        <v/>
      </c>
      <c r="AZ47" s="108" t="n"/>
      <c r="BA47" s="107">
        <f>AZ47*100/$E$47</f>
        <v/>
      </c>
      <c r="BB47" s="108" t="n"/>
      <c r="BC47" s="107">
        <f>BB47*100/$E$47</f>
        <v/>
      </c>
      <c r="BD47" s="108" t="n"/>
      <c r="BE47" s="107">
        <f>BD47*100/$E$47</f>
        <v/>
      </c>
      <c r="BF47" s="108" t="n"/>
      <c r="BG47" s="107">
        <f>BF47*100/$E$47</f>
        <v/>
      </c>
      <c r="BH47" s="108" t="n"/>
      <c r="BI47" s="107">
        <f>BH47*100/$E$47</f>
        <v/>
      </c>
      <c r="BJ47" s="108" t="n"/>
      <c r="BK47" s="107">
        <f>BJ47*100/$E$47</f>
        <v/>
      </c>
      <c r="BL47" s="108" t="n"/>
      <c r="BM47" s="107">
        <f>BL47*100/$E$47</f>
        <v/>
      </c>
      <c r="BN47" s="108" t="n"/>
      <c r="BO47" s="107">
        <f>BN47*100/$E$47</f>
        <v/>
      </c>
      <c r="BP47" s="108" t="n"/>
      <c r="BQ47" s="107">
        <f>BP47*100/$E$47</f>
        <v/>
      </c>
      <c r="BR47" s="108" t="n"/>
      <c r="BS47" s="107">
        <f>BR47*100/$E$47</f>
        <v/>
      </c>
      <c r="BT47" s="108" t="n"/>
      <c r="BU47" s="107">
        <f>BT47*100/$E$47</f>
        <v/>
      </c>
      <c r="BV47" s="108" t="n"/>
      <c r="BW47" s="107">
        <f>BV47*100/$E$47</f>
        <v/>
      </c>
      <c r="BX47" s="108" t="n"/>
      <c r="BY47" s="107">
        <f>BX47*100/$E$47</f>
        <v/>
      </c>
      <c r="BZ47" s="108" t="n"/>
      <c r="CA47" s="107">
        <f>BZ47*100/$E$47</f>
        <v/>
      </c>
      <c r="CB47" s="108" t="n"/>
      <c r="CC47" s="107">
        <f>CB47*100/$E$47</f>
        <v/>
      </c>
      <c r="CD47" s="108" t="n"/>
      <c r="CE47" s="107">
        <f>CD47*100/$E$47</f>
        <v/>
      </c>
      <c r="CF47" s="108" t="n"/>
      <c r="CG47" s="107">
        <f>CF47*100/$E$47</f>
        <v/>
      </c>
      <c r="CH47" s="108" t="n"/>
      <c r="CI47" s="107">
        <f>CH47*100/$E$47</f>
        <v/>
      </c>
      <c r="CJ47" s="108" t="n"/>
      <c r="CK47" s="107">
        <f>CJ47*100/$E$47</f>
        <v/>
      </c>
      <c r="CL47" s="108" t="n"/>
      <c r="CM47" s="107">
        <f>CL47*100/$E$47</f>
        <v/>
      </c>
      <c r="CN47" s="108" t="n"/>
      <c r="CO47" s="122">
        <f>CN47*100/$E$47</f>
        <v/>
      </c>
      <c r="CP47" s="108" t="n"/>
      <c r="CQ47" s="107">
        <f>CP47*100/$E$47</f>
        <v/>
      </c>
      <c r="CR47" s="108" t="n"/>
      <c r="CS47" s="122">
        <f>CR47*100/$E$47</f>
        <v/>
      </c>
      <c r="CT47" s="108" t="n"/>
      <c r="CU47" s="122">
        <f>CT47*100/$E$47</f>
        <v/>
      </c>
      <c r="CV47" s="108" t="n"/>
      <c r="CW47" s="122">
        <f>CV47*100/$E$47</f>
        <v/>
      </c>
      <c r="CX47" s="108" t="n"/>
      <c r="CY47" s="122">
        <f>CX47*100/$E$47</f>
        <v/>
      </c>
      <c r="CZ47" s="108" t="n"/>
      <c r="DA47" s="122">
        <f>CZ47*100/$E$47</f>
        <v/>
      </c>
      <c r="DB47" s="108" t="n"/>
      <c r="DC47" s="122">
        <f>DB47*100/$E$47</f>
        <v/>
      </c>
      <c r="DD47" s="108" t="n"/>
      <c r="DE47" s="122">
        <f>DD47*100/$E$47</f>
        <v/>
      </c>
      <c r="DF47" s="108" t="n"/>
      <c r="DG47" s="122">
        <f>DF47*100/$E$47</f>
        <v/>
      </c>
      <c r="DH47" s="108" t="n"/>
      <c r="DI47" s="122">
        <f>DH47*100/$E$47</f>
        <v/>
      </c>
      <c r="DJ47" s="108" t="n"/>
      <c r="DK47" s="122">
        <f>DJ47*100/$E$47</f>
        <v/>
      </c>
      <c r="DL47" s="108" t="n"/>
      <c r="DM47" s="122">
        <f>DL47*100/$E$47</f>
        <v/>
      </c>
      <c r="DN47" s="108" t="n"/>
      <c r="DO47" s="122">
        <f>DN47*100/$E$47</f>
        <v/>
      </c>
      <c r="DP47" s="108" t="n"/>
      <c r="DQ47" s="122">
        <f>DP47*100/$E$47</f>
        <v/>
      </c>
      <c r="DR47" s="108" t="n"/>
      <c r="DS47" s="122">
        <f>DR47*100/$E$47</f>
        <v/>
      </c>
      <c r="DT47" s="108" t="n"/>
      <c r="DU47" s="122">
        <f>DT47*100/$E$47</f>
        <v/>
      </c>
      <c r="DV47" s="108" t="n"/>
      <c r="DW47" s="122">
        <f>DV47*100/$E$47</f>
        <v/>
      </c>
      <c r="DX47" s="108" t="n"/>
      <c r="DY47" s="122">
        <f>DX47*100/$E$47</f>
        <v/>
      </c>
      <c r="DZ47" s="108" t="n"/>
      <c r="EA47" s="122">
        <f>DZ47*100/$E$47</f>
        <v/>
      </c>
      <c r="EB47" s="108" t="n"/>
      <c r="EC47" s="122">
        <f>EB47*100/$E$47</f>
        <v/>
      </c>
      <c r="ED47" s="108" t="n"/>
      <c r="EE47" s="122">
        <f>ED47*100/$E$47</f>
        <v/>
      </c>
      <c r="EF47" s="108" t="n"/>
      <c r="EG47" s="122">
        <f>EF47*100/$E$47</f>
        <v/>
      </c>
      <c r="EH47" s="108" t="n"/>
      <c r="EI47" s="122">
        <f>EH47*100/$E$47</f>
        <v/>
      </c>
      <c r="EJ47" s="108" t="n"/>
      <c r="EK47" s="122">
        <f>EJ47*100/$E$47</f>
        <v/>
      </c>
      <c r="EL47" s="108" t="n"/>
      <c r="EM47" s="122">
        <f>EL47*100/$E$47</f>
        <v/>
      </c>
      <c r="EN47" s="108" t="n"/>
      <c r="EO47" s="122">
        <f>EN47*100/$E$47</f>
        <v/>
      </c>
      <c r="EP47" s="108" t="n"/>
      <c r="EQ47" s="122">
        <f>EP47*100/$E$47</f>
        <v/>
      </c>
      <c r="ER47" s="108" t="n"/>
      <c r="ES47" s="122">
        <f>ER47*100/$E$47</f>
        <v/>
      </c>
      <c r="ET47" s="108" t="n"/>
      <c r="EU47" s="122">
        <f>ET47*100/$E$47</f>
        <v/>
      </c>
      <c r="EV47" s="108" t="n"/>
      <c r="EW47" s="122">
        <f>EV47*100/$E$47</f>
        <v/>
      </c>
      <c r="EX47" s="108" t="n"/>
      <c r="EY47" s="122">
        <f>EX47*100/$E$47</f>
        <v/>
      </c>
      <c r="EZ47" s="108" t="n"/>
      <c r="FA47" s="122">
        <f>EZ47*100/$E$47</f>
        <v/>
      </c>
      <c r="FB47" s="108" t="n"/>
      <c r="FC47" s="122">
        <f>FB47*100/$E$47</f>
        <v/>
      </c>
      <c r="FD47" s="108" t="n"/>
      <c r="FE47" s="122">
        <f>FD47*100/$E$47</f>
        <v/>
      </c>
      <c r="FF47" s="108" t="n"/>
      <c r="FG47" s="122">
        <f>FF47*100/$E$47</f>
        <v/>
      </c>
      <c r="FH47" s="108" t="n"/>
      <c r="FI47" s="122">
        <f>FH47*100/$E$47</f>
        <v/>
      </c>
      <c r="FJ47" s="108" t="n"/>
      <c r="FK47" s="122">
        <f>FJ47*100/$E$47</f>
        <v/>
      </c>
      <c r="FL47" s="108" t="n"/>
      <c r="FM47" s="122">
        <f>FL47*100/$E$47</f>
        <v/>
      </c>
      <c r="FN47" s="108" t="n"/>
      <c r="FO47" s="122">
        <f>FN47*100/$E$47</f>
        <v/>
      </c>
      <c r="FP47" s="108" t="n"/>
      <c r="FQ47" s="122">
        <f>FP47*100/$E$47</f>
        <v/>
      </c>
      <c r="FR47" s="108" t="n"/>
      <c r="FS47" s="122">
        <f>FR47*100/$E$47</f>
        <v/>
      </c>
      <c r="FT47" s="108" t="n"/>
      <c r="FU47" s="122">
        <f>FT47*100/$E$47</f>
        <v/>
      </c>
      <c r="FV47" s="108" t="n"/>
      <c r="FW47" s="122">
        <f>FV47*100/$E$47</f>
        <v/>
      </c>
      <c r="FX47" s="108" t="n"/>
      <c r="FY47" s="107">
        <f>FX47*100/$E$47</f>
        <v/>
      </c>
      <c r="FZ47" s="108" t="n"/>
      <c r="GA47" s="107">
        <f>FZ47*100/$E$47</f>
        <v/>
      </c>
      <c r="GB47" s="108" t="n"/>
      <c r="GC47" s="107">
        <f>GB47*100/$E$47</f>
        <v/>
      </c>
      <c r="GD47" s="108" t="n"/>
      <c r="GE47" s="107">
        <f>GD47*100/$E$47</f>
        <v/>
      </c>
      <c r="GF47" s="108" t="n"/>
      <c r="GG47" s="107">
        <f>GF47*100/$E$47</f>
        <v/>
      </c>
      <c r="GH47" s="108" t="n"/>
      <c r="GI47" s="107">
        <f>GH47*100/$E$47</f>
        <v/>
      </c>
      <c r="GJ47" s="108" t="n"/>
      <c r="GK47" s="122">
        <f>GJ47*100/$E$47</f>
        <v/>
      </c>
      <c r="GL47" s="108" t="n"/>
      <c r="GM47" s="107">
        <f>GL47*100/$E$47</f>
        <v/>
      </c>
      <c r="GN47" s="108" t="n"/>
      <c r="GO47" s="122">
        <f>GN47*100/$E$47</f>
        <v/>
      </c>
      <c r="GP47" s="108" t="n"/>
      <c r="GQ47" s="107">
        <f>GP47*100/$E$47</f>
        <v/>
      </c>
      <c r="GR47" s="108" t="n"/>
      <c r="GS47" s="122">
        <f>GR47*100/$E$47</f>
        <v/>
      </c>
      <c r="GT47" s="108" t="n"/>
      <c r="GU47" s="122">
        <f>GT47*100/$E$47</f>
        <v/>
      </c>
      <c r="GV47" s="108" t="n"/>
      <c r="GW47" s="122">
        <f>GV47*100/$E$47</f>
        <v/>
      </c>
      <c r="GX47" s="108" t="n"/>
      <c r="GY47" s="107">
        <f>GX47*100/$E$47</f>
        <v/>
      </c>
      <c r="GZ47" s="108" t="n"/>
      <c r="HA47" s="107">
        <f>GZ47*100/$E$47</f>
        <v/>
      </c>
      <c r="HB47" s="108" t="n"/>
      <c r="HC47" s="107">
        <f>HB47*100/$E$47</f>
        <v/>
      </c>
      <c r="HD47" s="108" t="n"/>
      <c r="HE47" s="107">
        <f>HD47*100/$E$47</f>
        <v/>
      </c>
      <c r="HF47" s="108" t="n"/>
      <c r="HG47" s="107">
        <f>HF47*100/$E$47</f>
        <v/>
      </c>
      <c r="HH47" s="108" t="n"/>
      <c r="HI47" s="107">
        <f>HH47*100/$E$47</f>
        <v/>
      </c>
      <c r="HJ47" s="108" t="n"/>
      <c r="HK47" s="107">
        <f>HJ47*100/$E$47</f>
        <v/>
      </c>
      <c r="HL47" s="108" t="n"/>
      <c r="HM47" s="107">
        <f>HL47*100/$E$47</f>
        <v/>
      </c>
      <c r="HN47" s="108" t="n"/>
      <c r="HO47" s="107">
        <f>HN47*100/$E$47</f>
        <v/>
      </c>
      <c r="HP47" s="108" t="n"/>
      <c r="HQ47" s="107">
        <f>HP47*100/$E$47</f>
        <v/>
      </c>
      <c r="HR47" s="108" t="n"/>
      <c r="HS47" s="107">
        <f>HR47*100/$E$47</f>
        <v/>
      </c>
      <c r="HT47" s="108" t="n"/>
      <c r="HU47" s="107">
        <f>HT47*100/$E$47</f>
        <v/>
      </c>
      <c r="HV47" s="108" t="n"/>
      <c r="HW47" s="107">
        <f>HV47*100/$E$47</f>
        <v/>
      </c>
      <c r="HX47" s="108" t="n"/>
      <c r="HY47" s="107">
        <f>HX47*100/$E$47</f>
        <v/>
      </c>
      <c r="HZ47" s="108" t="n"/>
      <c r="IA47" s="122">
        <f>HZ47*100/$E$47</f>
        <v/>
      </c>
      <c r="IB47" s="108" t="n"/>
      <c r="IC47" s="122">
        <f>IB47*100/$E$47</f>
        <v/>
      </c>
      <c r="ID47" s="108" t="n"/>
      <c r="IE47" s="122">
        <f>ID47*100/$E$47</f>
        <v/>
      </c>
      <c r="IF47" s="108" t="n"/>
      <c r="IG47" s="122">
        <f>IF47*100/$E$47</f>
        <v/>
      </c>
      <c r="IH47" s="108" t="n"/>
      <c r="II47" s="122">
        <f>IH47*100/$E$47</f>
        <v/>
      </c>
      <c r="IJ47" s="108" t="n"/>
      <c r="IK47" s="122">
        <f>IJ47*100/$E$47</f>
        <v/>
      </c>
      <c r="IL47" s="108" t="n"/>
      <c r="IM47" s="107">
        <f>IL47*100/$E$47</f>
        <v/>
      </c>
      <c r="IN47" s="108" t="n"/>
      <c r="IO47" s="107">
        <f>IN47*100/$E$47</f>
        <v/>
      </c>
      <c r="IP47" s="108" t="n"/>
      <c r="IQ47" s="122">
        <f>IP47*100/$E$47</f>
        <v/>
      </c>
      <c r="IR47" s="108" t="n"/>
      <c r="IS47" s="122">
        <f>IR47*100/$E$47</f>
        <v/>
      </c>
      <c r="IT47" s="108" t="n"/>
      <c r="IU47" s="122">
        <f>IT47*100/$E$47</f>
        <v/>
      </c>
      <c r="IV47" s="108" t="n"/>
      <c r="IW47" s="122">
        <f>IV47*100/$E$47</f>
        <v/>
      </c>
      <c r="IX47" s="108" t="n"/>
      <c r="IY47" s="122">
        <f>IX47*100/$E$47</f>
        <v/>
      </c>
      <c r="IZ47" s="108" t="n"/>
      <c r="JA47" s="122">
        <f>IZ47*100/$E$47</f>
        <v/>
      </c>
      <c r="JB47" s="108" t="n"/>
      <c r="JC47" s="122">
        <f>JB47*100/$E$47</f>
        <v/>
      </c>
      <c r="JD47" s="108" t="n"/>
      <c r="JE47" s="122">
        <f>JD47*100/$E$47</f>
        <v/>
      </c>
      <c r="JF47" s="108" t="n"/>
      <c r="JG47" s="122">
        <f>JF47*100/$E$47</f>
        <v/>
      </c>
      <c r="JH47" s="108" t="n"/>
      <c r="JI47" s="122">
        <f>JH47*100/$E$47</f>
        <v/>
      </c>
      <c r="JJ47" s="108" t="n"/>
      <c r="JK47" s="122">
        <f>JJ47*100/$E$47</f>
        <v/>
      </c>
      <c r="JL47" s="108" t="n"/>
      <c r="JM47" s="122">
        <f>JL47*100/$E$47</f>
        <v/>
      </c>
      <c r="JN47" s="108" t="n"/>
      <c r="JO47" s="121">
        <f>JN47*100/$E$47</f>
        <v/>
      </c>
      <c r="JP47" s="108" t="n"/>
      <c r="JQ47" s="121">
        <f>JP47*100/$E$47</f>
        <v/>
      </c>
      <c r="JR47" s="108" t="n"/>
      <c r="JS47" s="121">
        <f>JR47*100/$E$47</f>
        <v/>
      </c>
      <c r="JT47" s="108" t="n"/>
      <c r="JU47" s="121">
        <f>JT47*100/$E$47</f>
        <v/>
      </c>
      <c r="JV47" s="108" t="n"/>
      <c r="JW47" s="121">
        <f>JV47*100/$E$47</f>
        <v/>
      </c>
      <c r="JX47" s="108" t="n"/>
      <c r="JY47" s="121">
        <f>JX47*100/$E$47</f>
        <v/>
      </c>
      <c r="JZ47" s="55">
        <f>JN47+JP47+JR47+JT47+JV47+JX47</f>
        <v/>
      </c>
      <c r="KA47" s="53">
        <f>JO47+JQ47+JS47+JU47+JW47+JY47</f>
        <v/>
      </c>
      <c r="KB47" s="64">
        <f>H47+J47+L47+N47+P47+R47+T47+V47+X47+Z47+AB47+AD47+AF47+AH47+AJ47+AL47+AN47+AP47+AR47+AT47+AV47+AX47+AZ47+BB47+BD47+BF47+BH47+BJ47+BL47+BN47+BP47+BR47+BT47+BV47+BX47+BZ47+CB47+CD47+CF47+CH47+CZ47+DB47+DD47+DF47+DH47+DJ47+DL47+DN47+DP47+DR47+DT47+DV47+DX47+DZ47+EB47+ED47+EF47+EH47+EJ47+EL47+EN47+EP47+ER47+ET47+EV47+FN47+FP47+FR47+FT47+FV47+FX47+FZ47+GB47+GD47+GF47+GH47+GJ47+GL47+GN47+GP47+GR47+GT47+GV47+GX47+GZ47+HB47+HD47+HF47+HH47+HJ47+HL47+HN47+HP47+HR47+HT47+HV47+HX47+HZ47+IB47+ID47+IF47+IH47+IJ47+IL47+IN47+IP47+IR47+IT47+IV47+IX47+IZ47+JB47+JD47+JF47+JH47+JJ47+JL47+JZ47+CJ47+CL47+CN47+CP47+CR47+CT47+CV47+CX47+EX47+EZ47+FB47+FD47+FF47+FH47+FJ47+FL47</f>
        <v/>
      </c>
      <c r="KC47" s="66">
        <f>I47+K47+M47+O47+Q47+S47+U47+W47+Y47+AA47+AC47+AE47+AG47+AI47+AK47+AM47+AO47+AQ47+AS47+AU47+AW47+AY47+BA47+BC47+BE47+BG47+BI47+BK47+BM47+BO47+BQ47+BS47+BU47+BW47+BY47+CA47+CC47+CE47+CG47+CI47+DA47+DC47+DE47+DG47+DI47+DK47+DM47+DO47+DQ47+DS47+DU47+DW47+DY47+EA47+EC47+EE47+EG47+EI47+EK47+EM47+EO47+EQ47+ES47+EU47+EW47+FO47+FS47+FU47+FW47+FQ47+FY47+GA47+GC47+GE47+GG47+GI47+GK47+GM47+GO47+GQ47+GS47+GU47+GW47+GY47+HA47+HC47+HE47+HG47+HI47+HK47+HM47+HO47+HQ47+HS47+HU47+HW47+HY47+IA47+IC47+IE47+IG47+II47+IK47+IM47+IO47+IQ47+IS47+IU47+IW47+IY47+JA47+JC47+JE47+JG47+JI47+JK47+JM47+KA47+CK47+CM47+CO47+CQ47+CS47+CU47+CW47+CY47+EY47+FA47+FC47+FE47+FG47+FI47+FK47+FM47</f>
        <v/>
      </c>
      <c r="KD47" s="44">
        <f>JO47+JQ47+JS47+JU47+JW47+JY47</f>
        <v/>
      </c>
      <c r="KE47" s="45">
        <f>KB47=E47</f>
        <v/>
      </c>
      <c r="KF47" s="101">
        <f>E47-KB47</f>
        <v/>
      </c>
      <c r="KG47" s="11" t="n"/>
    </row>
    <row r="48" ht="21.75" customFormat="1" customHeight="1" s="26">
      <c r="A48" s="126">
        <f>A47+1</f>
        <v/>
      </c>
      <c r="B48" s="175" t="inlineStr">
        <is>
          <t>Федотов Е.А.</t>
        </is>
      </c>
      <c r="C48" s="176" t="inlineStr">
        <is>
          <t>термист</t>
        </is>
      </c>
      <c r="D48" s="177">
        <f>$D$5</f>
        <v/>
      </c>
      <c r="E48" s="202" t="n"/>
      <c r="F48" s="193" t="n">
        <v>68902.87</v>
      </c>
      <c r="G48" s="52">
        <f>F48/D48</f>
        <v/>
      </c>
      <c r="H48" s="125" t="n"/>
      <c r="I48" s="107">
        <f>H48*100/$E$48</f>
        <v/>
      </c>
      <c r="J48" s="108" t="n"/>
      <c r="K48" s="107">
        <f>J48*100/$E$48</f>
        <v/>
      </c>
      <c r="L48" s="108" t="n"/>
      <c r="M48" s="107">
        <f>L48*100/$E$48</f>
        <v/>
      </c>
      <c r="N48" s="108" t="n"/>
      <c r="O48" s="107">
        <f>N48*100/$E$48</f>
        <v/>
      </c>
      <c r="P48" s="108" t="n"/>
      <c r="Q48" s="122">
        <f>P48*100/$E$48</f>
        <v/>
      </c>
      <c r="R48" s="108" t="n"/>
      <c r="S48" s="122">
        <f>R48*100/$E$48</f>
        <v/>
      </c>
      <c r="T48" s="108" t="n"/>
      <c r="U48" s="107">
        <f>T48*100/$E$48</f>
        <v/>
      </c>
      <c r="V48" s="108" t="n"/>
      <c r="W48" s="107">
        <f>V48*100/$E$48</f>
        <v/>
      </c>
      <c r="X48" s="108" t="n"/>
      <c r="Y48" s="107">
        <f>X48*100/$E$48</f>
        <v/>
      </c>
      <c r="Z48" s="108" t="n"/>
      <c r="AA48" s="107">
        <f>Z48*100/$E$48</f>
        <v/>
      </c>
      <c r="AB48" s="108" t="n"/>
      <c r="AC48" s="107">
        <f>AB48*100/$E$48</f>
        <v/>
      </c>
      <c r="AD48" s="108" t="n"/>
      <c r="AE48" s="122">
        <f>AD48*100/$E$48</f>
        <v/>
      </c>
      <c r="AF48" s="108" t="n"/>
      <c r="AG48" s="122">
        <f>AF48*100/$E$48</f>
        <v/>
      </c>
      <c r="AH48" s="108" t="n"/>
      <c r="AI48" s="107">
        <f>AH48*100/$E$48</f>
        <v/>
      </c>
      <c r="AJ48" s="108" t="n"/>
      <c r="AK48" s="107">
        <f>AJ48*100/$E$48</f>
        <v/>
      </c>
      <c r="AL48" s="108" t="n"/>
      <c r="AM48" s="107">
        <f>AL48*100/$E$48</f>
        <v/>
      </c>
      <c r="AN48" s="108" t="n"/>
      <c r="AO48" s="107">
        <f>AN48*100/$E$48</f>
        <v/>
      </c>
      <c r="AP48" s="108" t="n"/>
      <c r="AQ48" s="107">
        <f>AP48*100/$E$48</f>
        <v/>
      </c>
      <c r="AR48" s="108" t="n"/>
      <c r="AS48" s="107">
        <f>AR48*100/$E$48</f>
        <v/>
      </c>
      <c r="AT48" s="108" t="n"/>
      <c r="AU48" s="90">
        <f>AT48*100/$E$48</f>
        <v/>
      </c>
      <c r="AV48" s="108" t="n"/>
      <c r="AW48" s="107">
        <f>AV48*100/$E$48</f>
        <v/>
      </c>
      <c r="AX48" s="108" t="n"/>
      <c r="AY48" s="107">
        <f>AX48*100/$E$48</f>
        <v/>
      </c>
      <c r="AZ48" s="108" t="n"/>
      <c r="BA48" s="107">
        <f>AZ48*100/$E$48</f>
        <v/>
      </c>
      <c r="BB48" s="108" t="n"/>
      <c r="BC48" s="107">
        <f>BB48*100/$E$48</f>
        <v/>
      </c>
      <c r="BD48" s="108" t="n"/>
      <c r="BE48" s="107">
        <f>BD48*100/$E$48</f>
        <v/>
      </c>
      <c r="BF48" s="108" t="n"/>
      <c r="BG48" s="107">
        <f>BF48*100/$E$48</f>
        <v/>
      </c>
      <c r="BH48" s="108" t="n"/>
      <c r="BI48" s="107">
        <f>BH48*100/$E$48</f>
        <v/>
      </c>
      <c r="BJ48" s="108" t="n"/>
      <c r="BK48" s="107">
        <f>BJ48*100/$E$48</f>
        <v/>
      </c>
      <c r="BL48" s="108" t="n"/>
      <c r="BM48" s="107">
        <f>BL48*100/$E$48</f>
        <v/>
      </c>
      <c r="BN48" s="108" t="n"/>
      <c r="BO48" s="107">
        <f>BN48*100/$E$48</f>
        <v/>
      </c>
      <c r="BP48" s="108" t="n"/>
      <c r="BQ48" s="107">
        <f>BP48*100/$E$48</f>
        <v/>
      </c>
      <c r="BR48" s="108" t="n"/>
      <c r="BS48" s="107">
        <f>BR48*100/$E$48</f>
        <v/>
      </c>
      <c r="BT48" s="108" t="n"/>
      <c r="BU48" s="107">
        <f>BT48*100/$E$48</f>
        <v/>
      </c>
      <c r="BV48" s="108" t="n"/>
      <c r="BW48" s="107">
        <f>BV48*100/$E$48</f>
        <v/>
      </c>
      <c r="BX48" s="108" t="n"/>
      <c r="BY48" s="107">
        <f>BX48*100/$E$48</f>
        <v/>
      </c>
      <c r="BZ48" s="108" t="n"/>
      <c r="CA48" s="107">
        <f>BZ48*100/$E$48</f>
        <v/>
      </c>
      <c r="CB48" s="108" t="n"/>
      <c r="CC48" s="107">
        <f>CB48*100/$E$48</f>
        <v/>
      </c>
      <c r="CD48" s="108" t="n"/>
      <c r="CE48" s="107">
        <f>CD48*100/$E$48</f>
        <v/>
      </c>
      <c r="CF48" s="108" t="n"/>
      <c r="CG48" s="107">
        <f>CF48*100/$E$48</f>
        <v/>
      </c>
      <c r="CH48" s="108" t="n"/>
      <c r="CI48" s="107">
        <f>CH48*100/$E$48</f>
        <v/>
      </c>
      <c r="CJ48" s="108" t="n"/>
      <c r="CK48" s="107">
        <f>CJ48*100/$E$48</f>
        <v/>
      </c>
      <c r="CL48" s="108" t="n"/>
      <c r="CM48" s="107">
        <f>CL48*100/$E$48</f>
        <v/>
      </c>
      <c r="CN48" s="108" t="n"/>
      <c r="CO48" s="122">
        <f>CN48*100/$E$48</f>
        <v/>
      </c>
      <c r="CP48" s="108" t="n"/>
      <c r="CQ48" s="107">
        <f>CP48*100/$E$48</f>
        <v/>
      </c>
      <c r="CR48" s="108" t="n"/>
      <c r="CS48" s="122">
        <f>CR48*100/$E$48</f>
        <v/>
      </c>
      <c r="CT48" s="108" t="n"/>
      <c r="CU48" s="122">
        <f>CT48*100/$E$48</f>
        <v/>
      </c>
      <c r="CV48" s="108" t="n"/>
      <c r="CW48" s="122">
        <f>CV48*100/$E$48</f>
        <v/>
      </c>
      <c r="CX48" s="108" t="n"/>
      <c r="CY48" s="122">
        <f>CX48*100/$E$48</f>
        <v/>
      </c>
      <c r="CZ48" s="108" t="n"/>
      <c r="DA48" s="122">
        <f>CZ48*100/$E$48</f>
        <v/>
      </c>
      <c r="DB48" s="108" t="n"/>
      <c r="DC48" s="122">
        <f>DB48*100/$E$48</f>
        <v/>
      </c>
      <c r="DD48" s="108" t="n"/>
      <c r="DE48" s="122">
        <f>DD48*100/$E$48</f>
        <v/>
      </c>
      <c r="DF48" s="108" t="n"/>
      <c r="DG48" s="122">
        <f>DF48*100/$E$48</f>
        <v/>
      </c>
      <c r="DH48" s="108" t="n"/>
      <c r="DI48" s="122">
        <f>DH48*100/$E$48</f>
        <v/>
      </c>
      <c r="DJ48" s="108" t="n"/>
      <c r="DK48" s="122">
        <f>DJ48*100/$E$48</f>
        <v/>
      </c>
      <c r="DL48" s="108" t="n"/>
      <c r="DM48" s="122">
        <f>DL48*100/$E$48</f>
        <v/>
      </c>
      <c r="DN48" s="108" t="n"/>
      <c r="DO48" s="122">
        <f>DN48*100/$E$48</f>
        <v/>
      </c>
      <c r="DP48" s="108" t="n"/>
      <c r="DQ48" s="122">
        <f>DP48*100/$E$48</f>
        <v/>
      </c>
      <c r="DR48" s="108" t="n"/>
      <c r="DS48" s="122">
        <f>DR48*100/$E$48</f>
        <v/>
      </c>
      <c r="DT48" s="108" t="n"/>
      <c r="DU48" s="122">
        <f>DT48*100/$E$48</f>
        <v/>
      </c>
      <c r="DV48" s="108" t="n"/>
      <c r="DW48" s="122">
        <f>DV48*100/$E$48</f>
        <v/>
      </c>
      <c r="DX48" s="108" t="n"/>
      <c r="DY48" s="122">
        <f>DX48*100/$E$48</f>
        <v/>
      </c>
      <c r="DZ48" s="108" t="n"/>
      <c r="EA48" s="122">
        <f>DZ48*100/$E$48</f>
        <v/>
      </c>
      <c r="EB48" s="108" t="n"/>
      <c r="EC48" s="122">
        <f>EB48*100/$E$48</f>
        <v/>
      </c>
      <c r="ED48" s="108" t="n"/>
      <c r="EE48" s="122">
        <f>ED48*100/$E$48</f>
        <v/>
      </c>
      <c r="EF48" s="108" t="n"/>
      <c r="EG48" s="122">
        <f>EF48*100/$E$48</f>
        <v/>
      </c>
      <c r="EH48" s="108" t="n"/>
      <c r="EI48" s="122">
        <f>EH48*100/$E$48</f>
        <v/>
      </c>
      <c r="EJ48" s="108" t="n"/>
      <c r="EK48" s="122">
        <f>EJ48*100/$E$48</f>
        <v/>
      </c>
      <c r="EL48" s="108" t="n"/>
      <c r="EM48" s="122">
        <f>EL48*100/$E$48</f>
        <v/>
      </c>
      <c r="EN48" s="108" t="n"/>
      <c r="EO48" s="122">
        <f>EN48*100/$E$48</f>
        <v/>
      </c>
      <c r="EP48" s="108" t="n"/>
      <c r="EQ48" s="122">
        <f>EP48*100/$E$48</f>
        <v/>
      </c>
      <c r="ER48" s="108" t="n"/>
      <c r="ES48" s="122">
        <f>ER48*100/$E$48</f>
        <v/>
      </c>
      <c r="ET48" s="108" t="n"/>
      <c r="EU48" s="122">
        <f>ET48*100/$E$48</f>
        <v/>
      </c>
      <c r="EV48" s="108" t="n"/>
      <c r="EW48" s="122">
        <f>EV48*100/$E$48</f>
        <v/>
      </c>
      <c r="EX48" s="108" t="n"/>
      <c r="EY48" s="122">
        <f>EX48*100/$E$48</f>
        <v/>
      </c>
      <c r="EZ48" s="108" t="n"/>
      <c r="FA48" s="122">
        <f>EZ48*100/$E$48</f>
        <v/>
      </c>
      <c r="FB48" s="108" t="n"/>
      <c r="FC48" s="122">
        <f>FB48*100/$E$48</f>
        <v/>
      </c>
      <c r="FD48" s="108" t="n"/>
      <c r="FE48" s="122">
        <f>FD48*100/$E$48</f>
        <v/>
      </c>
      <c r="FF48" s="108" t="n"/>
      <c r="FG48" s="122">
        <f>FF48*100/$E$48</f>
        <v/>
      </c>
      <c r="FH48" s="108" t="n"/>
      <c r="FI48" s="122">
        <f>FH48*100/$E$48</f>
        <v/>
      </c>
      <c r="FJ48" s="108" t="n"/>
      <c r="FK48" s="122">
        <f>FJ48*100/$E$48</f>
        <v/>
      </c>
      <c r="FL48" s="108" t="n"/>
      <c r="FM48" s="122">
        <f>FL48*100/$E$48</f>
        <v/>
      </c>
      <c r="FN48" s="108" t="n"/>
      <c r="FO48" s="122">
        <f>FN48*100/$E$48</f>
        <v/>
      </c>
      <c r="FP48" s="108" t="n"/>
      <c r="FQ48" s="122">
        <f>FP48*100/$E$48</f>
        <v/>
      </c>
      <c r="FR48" s="108" t="n"/>
      <c r="FS48" s="122">
        <f>FR48*100/$E$48</f>
        <v/>
      </c>
      <c r="FT48" s="108" t="n"/>
      <c r="FU48" s="122">
        <f>FT48*100/$E$48</f>
        <v/>
      </c>
      <c r="FV48" s="108" t="n"/>
      <c r="FW48" s="122">
        <f>FV48*100/$E$48</f>
        <v/>
      </c>
      <c r="FX48" s="108" t="n"/>
      <c r="FY48" s="107">
        <f>FX48*100/$E$48</f>
        <v/>
      </c>
      <c r="FZ48" s="108" t="n"/>
      <c r="GA48" s="107">
        <f>FZ48*100/$E$48</f>
        <v/>
      </c>
      <c r="GB48" s="108" t="n"/>
      <c r="GC48" s="107">
        <f>GB48*100/$E$48</f>
        <v/>
      </c>
      <c r="GD48" s="108" t="n"/>
      <c r="GE48" s="107">
        <f>GD48*100/$E$48</f>
        <v/>
      </c>
      <c r="GF48" s="108" t="n"/>
      <c r="GG48" s="107">
        <f>GF48*100/$E$48</f>
        <v/>
      </c>
      <c r="GH48" s="108" t="n"/>
      <c r="GI48" s="107">
        <f>GH48*100/$E$48</f>
        <v/>
      </c>
      <c r="GJ48" s="108" t="n"/>
      <c r="GK48" s="122">
        <f>GJ48*100/$E$48</f>
        <v/>
      </c>
      <c r="GL48" s="108" t="n"/>
      <c r="GM48" s="107">
        <f>GL48*100/$E$48</f>
        <v/>
      </c>
      <c r="GN48" s="108" t="n"/>
      <c r="GO48" s="122">
        <f>GN48*100/$E$48</f>
        <v/>
      </c>
      <c r="GP48" s="108" t="n"/>
      <c r="GQ48" s="107">
        <f>GP48*100/$E$48</f>
        <v/>
      </c>
      <c r="GR48" s="108" t="n"/>
      <c r="GS48" s="122">
        <f>GR48*100/$E$48</f>
        <v/>
      </c>
      <c r="GT48" s="108" t="n"/>
      <c r="GU48" s="122">
        <f>GT48*100/$E$48</f>
        <v/>
      </c>
      <c r="GV48" s="108" t="n"/>
      <c r="GW48" s="122">
        <f>GV48*100/$E$48</f>
        <v/>
      </c>
      <c r="GX48" s="108" t="n"/>
      <c r="GY48" s="107">
        <f>GX48*100/$E$48</f>
        <v/>
      </c>
      <c r="GZ48" s="108" t="n"/>
      <c r="HA48" s="107">
        <f>GZ48*100/$E$48</f>
        <v/>
      </c>
      <c r="HB48" s="108" t="n"/>
      <c r="HC48" s="107">
        <f>HB48*100/$E$48</f>
        <v/>
      </c>
      <c r="HD48" s="108" t="n"/>
      <c r="HE48" s="107">
        <f>HD48*100/$E$48</f>
        <v/>
      </c>
      <c r="HF48" s="108" t="n"/>
      <c r="HG48" s="107">
        <f>HF48*100/$E$48</f>
        <v/>
      </c>
      <c r="HH48" s="108" t="n"/>
      <c r="HI48" s="107">
        <f>HH48*100/$E$48</f>
        <v/>
      </c>
      <c r="HJ48" s="108" t="n"/>
      <c r="HK48" s="107">
        <f>HJ48*100/$E$48</f>
        <v/>
      </c>
      <c r="HL48" s="108" t="n"/>
      <c r="HM48" s="107">
        <f>HL48*100/$E$48</f>
        <v/>
      </c>
      <c r="HN48" s="108" t="n"/>
      <c r="HO48" s="107">
        <f>HN48*100/$E$48</f>
        <v/>
      </c>
      <c r="HP48" s="108" t="n"/>
      <c r="HQ48" s="107">
        <f>HP48*100/$E$48</f>
        <v/>
      </c>
      <c r="HR48" s="108" t="n"/>
      <c r="HS48" s="107">
        <f>HR48*100/$E$48</f>
        <v/>
      </c>
      <c r="HT48" s="108" t="n"/>
      <c r="HU48" s="107">
        <f>HT48*100/$E$48</f>
        <v/>
      </c>
      <c r="HV48" s="108" t="n"/>
      <c r="HW48" s="107">
        <f>HV48*100/$E$48</f>
        <v/>
      </c>
      <c r="HX48" s="108" t="n"/>
      <c r="HY48" s="107">
        <f>HX48*100/$E$48</f>
        <v/>
      </c>
      <c r="HZ48" s="108" t="n"/>
      <c r="IA48" s="122">
        <f>HZ48*100/$E$48</f>
        <v/>
      </c>
      <c r="IB48" s="108" t="n"/>
      <c r="IC48" s="122">
        <f>IB48*100/$E$48</f>
        <v/>
      </c>
      <c r="ID48" s="108" t="n"/>
      <c r="IE48" s="122">
        <f>ID48*100/$E$48</f>
        <v/>
      </c>
      <c r="IF48" s="108" t="n"/>
      <c r="IG48" s="122">
        <f>IF48*100/$E$48</f>
        <v/>
      </c>
      <c r="IH48" s="108" t="n"/>
      <c r="II48" s="122">
        <f>IH48*100/$E$48</f>
        <v/>
      </c>
      <c r="IJ48" s="108" t="n"/>
      <c r="IK48" s="122">
        <f>IJ48*100/$E$48</f>
        <v/>
      </c>
      <c r="IL48" s="108" t="n"/>
      <c r="IM48" s="107">
        <f>IL48*100/$E$48</f>
        <v/>
      </c>
      <c r="IN48" s="108" t="n"/>
      <c r="IO48" s="107">
        <f>IN48*100/$E$48</f>
        <v/>
      </c>
      <c r="IP48" s="108" t="n"/>
      <c r="IQ48" s="122">
        <f>IP48*100/$E$48</f>
        <v/>
      </c>
      <c r="IR48" s="108" t="n"/>
      <c r="IS48" s="122">
        <f>IR48*100/$E$48</f>
        <v/>
      </c>
      <c r="IT48" s="108" t="n"/>
      <c r="IU48" s="122">
        <f>IT48*100/$E$48</f>
        <v/>
      </c>
      <c r="IV48" s="108" t="n"/>
      <c r="IW48" s="122">
        <f>IV48*100/$E$48</f>
        <v/>
      </c>
      <c r="IX48" s="108" t="n"/>
      <c r="IY48" s="122">
        <f>IX48*100/$E$48</f>
        <v/>
      </c>
      <c r="IZ48" s="108" t="n"/>
      <c r="JA48" s="122">
        <f>IZ48*100/$E$48</f>
        <v/>
      </c>
      <c r="JB48" s="108" t="n"/>
      <c r="JC48" s="122">
        <f>JB48*100/$E$48</f>
        <v/>
      </c>
      <c r="JD48" s="108" t="n"/>
      <c r="JE48" s="122">
        <f>JD48*100/$E$48</f>
        <v/>
      </c>
      <c r="JF48" s="108" t="n"/>
      <c r="JG48" s="122">
        <f>JF48*100/$E$48</f>
        <v/>
      </c>
      <c r="JH48" s="108" t="n"/>
      <c r="JI48" s="122">
        <f>JH48*100/$E$48</f>
        <v/>
      </c>
      <c r="JJ48" s="108" t="n"/>
      <c r="JK48" s="122">
        <f>JJ48*100/$E$48</f>
        <v/>
      </c>
      <c r="JL48" s="108" t="n"/>
      <c r="JM48" s="122">
        <f>JL48*100/$E$48</f>
        <v/>
      </c>
      <c r="JN48" s="108" t="n"/>
      <c r="JO48" s="121">
        <f>JN48*100/$E$48</f>
        <v/>
      </c>
      <c r="JP48" s="108" t="n"/>
      <c r="JQ48" s="121">
        <f>JP48*100/$E$48</f>
        <v/>
      </c>
      <c r="JR48" s="108" t="n"/>
      <c r="JS48" s="121">
        <f>JR48*100/$E$48</f>
        <v/>
      </c>
      <c r="JT48" s="108" t="n"/>
      <c r="JU48" s="121">
        <f>JT48*100/$E$48</f>
        <v/>
      </c>
      <c r="JV48" s="108" t="n"/>
      <c r="JW48" s="121">
        <f>JV48*100/$E$48</f>
        <v/>
      </c>
      <c r="JX48" s="108" t="n"/>
      <c r="JY48" s="121">
        <f>JX48*100/$E$48</f>
        <v/>
      </c>
      <c r="JZ48" s="55">
        <f>JN48+JP48+JR48+JT48+JV48+JX48</f>
        <v/>
      </c>
      <c r="KA48" s="53">
        <f>JO48+JQ48+JS48+JU48+JW48+JY48</f>
        <v/>
      </c>
      <c r="KB48" s="64">
        <f>H48+J48+L48+N48+P48+R48+T48+V48+X48+Z48+AB48+AD48+AF48+AH48+AJ48+AL48+AN48+AP48+AR48+AT48+AV48+AX48+AZ48+BB48+BD48+BF48+BH48+BJ48+BL48+BN48+BP48+BR48+BT48+BV48+BX48+BZ48+CB48+CD48+CF48+CH48+CZ48+DB48+DD48+DF48+DH48+DJ48+DL48+DN48+DP48+DR48+DT48+DV48+DX48+DZ48+EB48+ED48+EF48+EH48+EJ48+EL48+EN48+EP48+ER48+ET48+EV48+FN48+FP48+FR48+FT48+FV48+FX48+FZ48+GB48+GD48+GF48+GH48+GJ48+GL48+GN48+GP48+GR48+GT48+GV48+GX48+GZ48+HB48+HD48+HF48+HH48+HJ48+HL48+HN48+HP48+HR48+HT48+HV48+HX48+HZ48+IB48+ID48+IF48+IH48+IJ48+IL48+IN48+IP48+IR48+IT48+IV48+IX48+IZ48+JB48+JD48+JF48+JH48+JJ48+JL48+JZ48+CJ48+CL48+CN48+CP48+CR48+CT48+CV48+CX48+EX48+EZ48+FB48+FD48+FF48+FH48+FJ48+FL48</f>
        <v/>
      </c>
      <c r="KC48" s="66">
        <f>I48+K48+M48+O48+Q48+S48+U48+W48+Y48+AA48+AC48+AE48+AG48+AI48+AK48+AM48+AO48+AQ48+AS48+AU48+AW48+AY48+BA48+BC48+BE48+BG48+BI48+BK48+BM48+BO48+BQ48+BS48+BU48+BW48+BY48+CA48+CC48+CE48+CG48+CI48+DA48+DC48+DE48+DG48+DI48+DK48+DM48+DO48+DQ48+DS48+DU48+DW48+DY48+EA48+EC48+EE48+EG48+EI48+EK48+EM48+EO48+EQ48+ES48+EU48+EW48+FO48+FS48+FU48+FW48+FQ48+FY48+GA48+GC48+GE48+GG48+GI48+GK48+GM48+GO48+GQ48+GS48+GU48+GW48+GY48+HA48+HC48+HE48+HG48+HI48+HK48+HM48+HO48+HQ48+HS48+HU48+HW48+HY48+IA48+IC48+IE48+IG48+II48+IK48+IM48+IO48+IQ48+IS48+IU48+IW48+IY48+JA48+JC48+JE48+JG48+JI48+JK48+JM48+KA48+CK48+CM48+CO48+CQ48+CS48+CU48+CW48+CY48+EY48+FA48+FC48+FE48+FG48+FI48+FK48+FM48</f>
        <v/>
      </c>
      <c r="KD48" s="44">
        <f>JO48+JQ48+JS48+JU48+JW48+JY48</f>
        <v/>
      </c>
      <c r="KE48" s="45">
        <f>KB48=E48</f>
        <v/>
      </c>
      <c r="KF48" s="101">
        <f>E48-KB48</f>
        <v/>
      </c>
      <c r="KG48" s="29" t="n"/>
    </row>
    <row r="49" ht="21.75" customFormat="1" customHeight="1" s="22">
      <c r="A49" s="126">
        <f>A48+1</f>
        <v/>
      </c>
      <c r="B49" s="175" t="inlineStr">
        <is>
          <t>Фещенко Д.М.</t>
        </is>
      </c>
      <c r="C49" s="176" t="inlineStr">
        <is>
          <t xml:space="preserve">Оператор СПУ </t>
        </is>
      </c>
      <c r="D49" s="177">
        <f>$D$5</f>
        <v/>
      </c>
      <c r="E49" s="202" t="n"/>
      <c r="F49" s="193" t="n">
        <v>101149.88</v>
      </c>
      <c r="G49" s="52">
        <f>F49/D49</f>
        <v/>
      </c>
      <c r="H49" s="125" t="n"/>
      <c r="I49" s="107">
        <f>H49*100/$E$49</f>
        <v/>
      </c>
      <c r="J49" s="108" t="n"/>
      <c r="K49" s="107">
        <f>J49*100/$E$49</f>
        <v/>
      </c>
      <c r="L49" s="108" t="n"/>
      <c r="M49" s="107">
        <f>L49*100/$E$49</f>
        <v/>
      </c>
      <c r="N49" s="108" t="n"/>
      <c r="O49" s="107">
        <f>N49*100/$E$49</f>
        <v/>
      </c>
      <c r="P49" s="108" t="n"/>
      <c r="Q49" s="122">
        <f>P49*100/$E$49</f>
        <v/>
      </c>
      <c r="R49" s="125" t="n"/>
      <c r="S49" s="122">
        <f>R49*100/$E$49</f>
        <v/>
      </c>
      <c r="T49" s="108" t="n"/>
      <c r="U49" s="107">
        <f>T49*100/$E$49</f>
        <v/>
      </c>
      <c r="V49" s="108" t="n"/>
      <c r="W49" s="107">
        <f>V49*100/$E$49</f>
        <v/>
      </c>
      <c r="X49" s="108" t="n"/>
      <c r="Y49" s="107">
        <f>X49*100/$E$49</f>
        <v/>
      </c>
      <c r="Z49" s="108" t="n"/>
      <c r="AA49" s="107">
        <f>Z49*100/$E$49</f>
        <v/>
      </c>
      <c r="AB49" s="108" t="n"/>
      <c r="AC49" s="107">
        <f>AB49*100/$E$49</f>
        <v/>
      </c>
      <c r="AD49" s="108" t="n"/>
      <c r="AE49" s="122">
        <f>AD49*100/$E$49</f>
        <v/>
      </c>
      <c r="AF49" s="108" t="n"/>
      <c r="AG49" s="122">
        <f>AF49*100/$E$49</f>
        <v/>
      </c>
      <c r="AH49" s="108" t="n"/>
      <c r="AI49" s="107">
        <f>AH49*100/$E$49</f>
        <v/>
      </c>
      <c r="AJ49" s="108" t="n"/>
      <c r="AK49" s="107">
        <f>AJ49*100/$E$49</f>
        <v/>
      </c>
      <c r="AL49" s="108" t="n"/>
      <c r="AM49" s="107">
        <f>AL49*100/$E$49</f>
        <v/>
      </c>
      <c r="AN49" s="108" t="n"/>
      <c r="AO49" s="107">
        <f>AN49*100/$E$49</f>
        <v/>
      </c>
      <c r="AP49" s="108" t="n"/>
      <c r="AQ49" s="107">
        <f>AP49*100/$E$49</f>
        <v/>
      </c>
      <c r="AR49" s="108" t="n"/>
      <c r="AS49" s="107">
        <f>AR49*100/$E$49</f>
        <v/>
      </c>
      <c r="AT49" s="108" t="n"/>
      <c r="AU49" s="90">
        <f>AT49*100/$E$49</f>
        <v/>
      </c>
      <c r="AV49" s="108" t="n"/>
      <c r="AW49" s="107">
        <f>AV49*100/$E$49</f>
        <v/>
      </c>
      <c r="AX49" s="108" t="n"/>
      <c r="AY49" s="107">
        <f>AX49*100/$E$49</f>
        <v/>
      </c>
      <c r="AZ49" s="108" t="n"/>
      <c r="BA49" s="107">
        <f>AZ49*100/$E$49</f>
        <v/>
      </c>
      <c r="BB49" s="108" t="n"/>
      <c r="BC49" s="107">
        <f>BB49*100/$E$49</f>
        <v/>
      </c>
      <c r="BD49" s="108" t="n"/>
      <c r="BE49" s="107">
        <f>BD49*100/$E$49</f>
        <v/>
      </c>
      <c r="BF49" s="108" t="n"/>
      <c r="BG49" s="107">
        <f>BF49*100/$E$49</f>
        <v/>
      </c>
      <c r="BH49" s="108" t="n"/>
      <c r="BI49" s="107">
        <f>BH49*100/$E$49</f>
        <v/>
      </c>
      <c r="BJ49" s="108" t="n"/>
      <c r="BK49" s="107">
        <f>BJ49*100/$E$49</f>
        <v/>
      </c>
      <c r="BL49" s="108" t="n"/>
      <c r="BM49" s="107">
        <f>BL49*100/$E$49</f>
        <v/>
      </c>
      <c r="BN49" s="108" t="n"/>
      <c r="BO49" s="107">
        <f>BN49*100/$E$49</f>
        <v/>
      </c>
      <c r="BP49" s="108" t="n"/>
      <c r="BQ49" s="107">
        <f>BP49*100/$E$49</f>
        <v/>
      </c>
      <c r="BR49" s="108" t="n"/>
      <c r="BS49" s="107">
        <f>BR49*100/$E$49</f>
        <v/>
      </c>
      <c r="BT49" s="108" t="n"/>
      <c r="BU49" s="107">
        <f>BT49*100/$E$49</f>
        <v/>
      </c>
      <c r="BV49" s="108" t="n"/>
      <c r="BW49" s="107">
        <f>BV49*100/$E$49</f>
        <v/>
      </c>
      <c r="BX49" s="108" t="n"/>
      <c r="BY49" s="107">
        <f>BX49*100/$E$49</f>
        <v/>
      </c>
      <c r="BZ49" s="108" t="n"/>
      <c r="CA49" s="107">
        <f>BZ49*100/$E$49</f>
        <v/>
      </c>
      <c r="CB49" s="108" t="n"/>
      <c r="CC49" s="107">
        <f>CB49*100/$E$49</f>
        <v/>
      </c>
      <c r="CD49" s="108" t="n"/>
      <c r="CE49" s="107">
        <f>CD49*100/$E$49</f>
        <v/>
      </c>
      <c r="CF49" s="108" t="n"/>
      <c r="CG49" s="107">
        <f>CF49*100/$E$49</f>
        <v/>
      </c>
      <c r="CH49" s="108" t="n"/>
      <c r="CI49" s="107">
        <f>CH49*100/$E$49</f>
        <v/>
      </c>
      <c r="CJ49" s="108" t="n"/>
      <c r="CK49" s="107">
        <f>CJ49*100/$E$49</f>
        <v/>
      </c>
      <c r="CL49" s="108" t="n"/>
      <c r="CM49" s="107">
        <f>CL49*100/$E$49</f>
        <v/>
      </c>
      <c r="CN49" s="108" t="n"/>
      <c r="CO49" s="122">
        <f>CN49*100/$E$49</f>
        <v/>
      </c>
      <c r="CP49" s="108" t="n"/>
      <c r="CQ49" s="107">
        <f>CP49*100/$E$49</f>
        <v/>
      </c>
      <c r="CR49" s="108" t="n"/>
      <c r="CS49" s="122">
        <f>CR49*100/$E$49</f>
        <v/>
      </c>
      <c r="CT49" s="108" t="n"/>
      <c r="CU49" s="122">
        <f>CT49*100/$E$49</f>
        <v/>
      </c>
      <c r="CV49" s="108" t="n"/>
      <c r="CW49" s="122">
        <f>CV49*100/$E$49</f>
        <v/>
      </c>
      <c r="CX49" s="108" t="n"/>
      <c r="CY49" s="122">
        <f>CX49*100/$E$49</f>
        <v/>
      </c>
      <c r="CZ49" s="108" t="n"/>
      <c r="DA49" s="122">
        <f>CZ49*100/$E$49</f>
        <v/>
      </c>
      <c r="DB49" s="108" t="n"/>
      <c r="DC49" s="122">
        <f>DB49*100/$E$49</f>
        <v/>
      </c>
      <c r="DD49" s="108" t="n"/>
      <c r="DE49" s="122">
        <f>DD49*100/$E$49</f>
        <v/>
      </c>
      <c r="DF49" s="108" t="n"/>
      <c r="DG49" s="122">
        <f>DF49*100/$E$49</f>
        <v/>
      </c>
      <c r="DH49" s="108" t="n"/>
      <c r="DI49" s="122">
        <f>DH49*100/$E$49</f>
        <v/>
      </c>
      <c r="DJ49" s="108" t="n"/>
      <c r="DK49" s="122">
        <f>DJ49*100/$E$49</f>
        <v/>
      </c>
      <c r="DL49" s="108" t="n"/>
      <c r="DM49" s="122">
        <f>DL49*100/$E$49</f>
        <v/>
      </c>
      <c r="DN49" s="108" t="n"/>
      <c r="DO49" s="122">
        <f>DN49*100/$E$49</f>
        <v/>
      </c>
      <c r="DP49" s="108" t="n"/>
      <c r="DQ49" s="122">
        <f>DP49*100/$E$49</f>
        <v/>
      </c>
      <c r="DR49" s="108" t="n"/>
      <c r="DS49" s="122">
        <f>DR49*100/$E$49</f>
        <v/>
      </c>
      <c r="DT49" s="108" t="n"/>
      <c r="DU49" s="122">
        <f>DT49*100/$E$49</f>
        <v/>
      </c>
      <c r="DV49" s="108" t="n"/>
      <c r="DW49" s="122">
        <f>DV49*100/$E$49</f>
        <v/>
      </c>
      <c r="DX49" s="108" t="n"/>
      <c r="DY49" s="122">
        <f>DX49*100/$E$49</f>
        <v/>
      </c>
      <c r="DZ49" s="108" t="n"/>
      <c r="EA49" s="122">
        <f>DZ49*100/$E$49</f>
        <v/>
      </c>
      <c r="EB49" s="108" t="n"/>
      <c r="EC49" s="122">
        <f>EB49*100/$E$49</f>
        <v/>
      </c>
      <c r="ED49" s="108" t="n"/>
      <c r="EE49" s="122">
        <f>ED49*100/$E$49</f>
        <v/>
      </c>
      <c r="EF49" s="108" t="n"/>
      <c r="EG49" s="122">
        <f>EF49*100/$E$49</f>
        <v/>
      </c>
      <c r="EH49" s="108" t="n"/>
      <c r="EI49" s="122">
        <f>EH49*100/$E$49</f>
        <v/>
      </c>
      <c r="EJ49" s="108" t="n"/>
      <c r="EK49" s="122">
        <f>EJ49*100/$E$49</f>
        <v/>
      </c>
      <c r="EL49" s="108" t="n"/>
      <c r="EM49" s="122">
        <f>EL49*100/$E$49</f>
        <v/>
      </c>
      <c r="EN49" s="108" t="n"/>
      <c r="EO49" s="122">
        <f>EN49*100/$E$49</f>
        <v/>
      </c>
      <c r="EP49" s="108" t="n"/>
      <c r="EQ49" s="122">
        <f>EP49*100/$E$49</f>
        <v/>
      </c>
      <c r="ER49" s="108" t="n"/>
      <c r="ES49" s="122">
        <f>ER49*100/$E$49</f>
        <v/>
      </c>
      <c r="ET49" s="108" t="n"/>
      <c r="EU49" s="122">
        <f>ET49*100/$E$49</f>
        <v/>
      </c>
      <c r="EV49" s="108" t="n"/>
      <c r="EW49" s="122">
        <f>EV49*100/$E$49</f>
        <v/>
      </c>
      <c r="EX49" s="108" t="n"/>
      <c r="EY49" s="122">
        <f>EX49*100/$E$49</f>
        <v/>
      </c>
      <c r="EZ49" s="108" t="n"/>
      <c r="FA49" s="122">
        <f>EZ49*100/$E$49</f>
        <v/>
      </c>
      <c r="FB49" s="108" t="n"/>
      <c r="FC49" s="122">
        <f>FB49*100/$E$49</f>
        <v/>
      </c>
      <c r="FD49" s="108" t="n"/>
      <c r="FE49" s="122">
        <f>FD49*100/$E$49</f>
        <v/>
      </c>
      <c r="FF49" s="108" t="n"/>
      <c r="FG49" s="122">
        <f>FF49*100/$E$49</f>
        <v/>
      </c>
      <c r="FH49" s="108" t="n"/>
      <c r="FI49" s="122">
        <f>FH49*100/$E$49</f>
        <v/>
      </c>
      <c r="FJ49" s="108" t="n"/>
      <c r="FK49" s="122">
        <f>FJ49*100/$E$49</f>
        <v/>
      </c>
      <c r="FL49" s="108" t="n"/>
      <c r="FM49" s="122">
        <f>FL49*100/$E$49</f>
        <v/>
      </c>
      <c r="FN49" s="108" t="n"/>
      <c r="FO49" s="122">
        <f>FN49*100/$E$49</f>
        <v/>
      </c>
      <c r="FP49" s="108" t="n"/>
      <c r="FQ49" s="122">
        <f>FP49*100/$E$49</f>
        <v/>
      </c>
      <c r="FR49" s="108" t="n"/>
      <c r="FS49" s="122">
        <f>FR49*100/$E$49</f>
        <v/>
      </c>
      <c r="FT49" s="108" t="n"/>
      <c r="FU49" s="122">
        <f>FT49*100/$E$49</f>
        <v/>
      </c>
      <c r="FV49" s="108" t="n"/>
      <c r="FW49" s="122">
        <f>FV49*100/$E$49</f>
        <v/>
      </c>
      <c r="FX49" s="108" t="n"/>
      <c r="FY49" s="107">
        <f>FX49*100/$E$49</f>
        <v/>
      </c>
      <c r="FZ49" s="108" t="n"/>
      <c r="GA49" s="107">
        <f>FZ49*100/$E$49</f>
        <v/>
      </c>
      <c r="GB49" s="108" t="n"/>
      <c r="GC49" s="107">
        <f>GB49*100/$E$49</f>
        <v/>
      </c>
      <c r="GD49" s="108" t="n"/>
      <c r="GE49" s="107">
        <f>GD49*100/$E$49</f>
        <v/>
      </c>
      <c r="GF49" s="108" t="n"/>
      <c r="GG49" s="107">
        <f>GF49*100/$E$49</f>
        <v/>
      </c>
      <c r="GH49" s="108" t="n"/>
      <c r="GI49" s="107">
        <f>GH49*100/$E$49</f>
        <v/>
      </c>
      <c r="GJ49" s="108" t="n"/>
      <c r="GK49" s="122">
        <f>GJ49*100/$E$49</f>
        <v/>
      </c>
      <c r="GL49" s="108" t="n"/>
      <c r="GM49" s="107">
        <f>GL49*100/$E$49</f>
        <v/>
      </c>
      <c r="GN49" s="108" t="n"/>
      <c r="GO49" s="122">
        <f>GN49*100/$E$49</f>
        <v/>
      </c>
      <c r="GP49" s="108" t="n"/>
      <c r="GQ49" s="107">
        <f>GP49*100/$E$49</f>
        <v/>
      </c>
      <c r="GR49" s="108" t="n"/>
      <c r="GS49" s="122">
        <f>GR49*100/$E$49</f>
        <v/>
      </c>
      <c r="GT49" s="108" t="n"/>
      <c r="GU49" s="122">
        <f>GT49*100/$E$49</f>
        <v/>
      </c>
      <c r="GV49" s="108" t="n"/>
      <c r="GW49" s="122">
        <f>GV49*100/$E$49</f>
        <v/>
      </c>
      <c r="GX49" s="108" t="n"/>
      <c r="GY49" s="107">
        <f>GX49*100/$E$49</f>
        <v/>
      </c>
      <c r="GZ49" s="108" t="n"/>
      <c r="HA49" s="107">
        <f>GZ49*100/$E$49</f>
        <v/>
      </c>
      <c r="HB49" s="108" t="n"/>
      <c r="HC49" s="107">
        <f>HB49*100/$E$49</f>
        <v/>
      </c>
      <c r="HD49" s="108" t="n"/>
      <c r="HE49" s="107">
        <f>HD49*100/$E$49</f>
        <v/>
      </c>
      <c r="HF49" s="108" t="n"/>
      <c r="HG49" s="107">
        <f>HF49*100/$E$49</f>
        <v/>
      </c>
      <c r="HH49" s="108" t="n"/>
      <c r="HI49" s="107">
        <f>HH49*100/$E$49</f>
        <v/>
      </c>
      <c r="HJ49" s="108" t="n"/>
      <c r="HK49" s="107">
        <f>HJ49*100/$E$49</f>
        <v/>
      </c>
      <c r="HL49" s="108" t="n"/>
      <c r="HM49" s="107">
        <f>HL49*100/$E$49</f>
        <v/>
      </c>
      <c r="HN49" s="108" t="n"/>
      <c r="HO49" s="107">
        <f>HN49*100/$E$49</f>
        <v/>
      </c>
      <c r="HP49" s="108" t="n"/>
      <c r="HQ49" s="107">
        <f>HP49*100/$E$49</f>
        <v/>
      </c>
      <c r="HR49" s="108" t="n"/>
      <c r="HS49" s="107">
        <f>HR49*100/$E$49</f>
        <v/>
      </c>
      <c r="HT49" s="108" t="n"/>
      <c r="HU49" s="107">
        <f>HT49*100/$E$49</f>
        <v/>
      </c>
      <c r="HV49" s="108" t="n"/>
      <c r="HW49" s="107">
        <f>HV49*100/$E$49</f>
        <v/>
      </c>
      <c r="HX49" s="108" t="n"/>
      <c r="HY49" s="107">
        <f>HX49*100/$E$49</f>
        <v/>
      </c>
      <c r="HZ49" s="108" t="n"/>
      <c r="IA49" s="122">
        <f>HZ49*100/$E$49</f>
        <v/>
      </c>
      <c r="IB49" s="108" t="n"/>
      <c r="IC49" s="122">
        <f>IB49*100/$E$49</f>
        <v/>
      </c>
      <c r="ID49" s="108" t="n"/>
      <c r="IE49" s="122">
        <f>ID49*100/$E$49</f>
        <v/>
      </c>
      <c r="IF49" s="108" t="n"/>
      <c r="IG49" s="122">
        <f>IF49*100/$E$49</f>
        <v/>
      </c>
      <c r="IH49" s="108" t="n"/>
      <c r="II49" s="122">
        <f>IH49*100/$E$49</f>
        <v/>
      </c>
      <c r="IJ49" s="108" t="n"/>
      <c r="IK49" s="122">
        <f>IJ49*100/$E$49</f>
        <v/>
      </c>
      <c r="IL49" s="108" t="n"/>
      <c r="IM49" s="107">
        <f>IL49*100/$E$49</f>
        <v/>
      </c>
      <c r="IN49" s="108" t="n"/>
      <c r="IO49" s="107">
        <f>IN49*100/$E$49</f>
        <v/>
      </c>
      <c r="IP49" s="108" t="n"/>
      <c r="IQ49" s="122">
        <f>IP49*100/$E$49</f>
        <v/>
      </c>
      <c r="IR49" s="108" t="n"/>
      <c r="IS49" s="122">
        <f>IR49*100/$E$49</f>
        <v/>
      </c>
      <c r="IT49" s="108" t="n"/>
      <c r="IU49" s="122">
        <f>IT49*100/$E$49</f>
        <v/>
      </c>
      <c r="IV49" s="108" t="n"/>
      <c r="IW49" s="122">
        <f>IV49*100/$E$49</f>
        <v/>
      </c>
      <c r="IX49" s="108" t="n"/>
      <c r="IY49" s="122">
        <f>IX49*100/$E$49</f>
        <v/>
      </c>
      <c r="IZ49" s="108" t="n"/>
      <c r="JA49" s="122">
        <f>IZ49*100/$E$49</f>
        <v/>
      </c>
      <c r="JB49" s="108" t="n"/>
      <c r="JC49" s="122">
        <f>JB49*100/$E$49</f>
        <v/>
      </c>
      <c r="JD49" s="108" t="n"/>
      <c r="JE49" s="122">
        <f>JD49*100/$E$49</f>
        <v/>
      </c>
      <c r="JF49" s="108" t="n"/>
      <c r="JG49" s="122">
        <f>JF49*100/$E$49</f>
        <v/>
      </c>
      <c r="JH49" s="108" t="n"/>
      <c r="JI49" s="122">
        <f>JH49*100/$E$49</f>
        <v/>
      </c>
      <c r="JJ49" s="108" t="n"/>
      <c r="JK49" s="122">
        <f>JJ49*100/$E$49</f>
        <v/>
      </c>
      <c r="JL49" s="108" t="n"/>
      <c r="JM49" s="122">
        <f>JL49*100/$E$49</f>
        <v/>
      </c>
      <c r="JN49" s="108" t="n"/>
      <c r="JO49" s="121">
        <f>JN49*100/$E$49</f>
        <v/>
      </c>
      <c r="JP49" s="108" t="n"/>
      <c r="JQ49" s="121">
        <f>JP49*100/$E$49</f>
        <v/>
      </c>
      <c r="JR49" s="108" t="n"/>
      <c r="JS49" s="121">
        <f>JR49*100/$E$49</f>
        <v/>
      </c>
      <c r="JT49" s="108" t="n"/>
      <c r="JU49" s="121">
        <f>JT49*100/$E$49</f>
        <v/>
      </c>
      <c r="JV49" s="108" t="n"/>
      <c r="JW49" s="121">
        <f>JV49*100/$E$49</f>
        <v/>
      </c>
      <c r="JX49" s="108" t="n"/>
      <c r="JY49" s="121">
        <f>JX49*100/$E$49</f>
        <v/>
      </c>
      <c r="JZ49" s="55">
        <f>JN49+JP49+JR49+JT49+JV49+JX49</f>
        <v/>
      </c>
      <c r="KA49" s="53">
        <f>JO49+JQ49+JS49+JU49+JW49+JY49</f>
        <v/>
      </c>
      <c r="KB49" s="64">
        <f>H49+J49+L49+N49+P49+R49+T49+V49+X49+Z49+AB49+AD49+AF49+AH49+AJ49+AL49+AN49+AP49+AR49+AT49+AV49+AX49+AZ49+BB49+BD49+BF49+BH49+BJ49+BL49+BN49+BP49+BR49+BT49+BV49+BX49+BZ49+CB49+CD49+CF49+CH49+CZ49+DB49+DD49+DF49+DH49+DJ49+DL49+DN49+DP49+DR49+DT49+DV49+DX49+DZ49+EB49+ED49+EF49+EH49+EJ49+EL49+EN49+EP49+ER49+ET49+EV49+FN49+FP49+FR49+FT49+FV49+FX49+FZ49+GB49+GD49+GF49+GH49+GJ49+GL49+GN49+GP49+GR49+GT49+GV49+GX49+GZ49+HB49+HD49+HF49+HH49+HJ49+HL49+HN49+HP49+HR49+HT49+HV49+HX49+HZ49+IB49+ID49+IF49+IH49+IJ49+IL49+IN49+IP49+IR49+IT49+IV49+IX49+IZ49+JB49+JD49+JF49+JH49+JJ49+JL49+JZ49+CJ49+CL49+CN49+CP49+CR49+CT49+CV49+CX49+EX49+EZ49+FB49+FD49+FF49+FH49+FJ49+FL49</f>
        <v/>
      </c>
      <c r="KC49" s="66">
        <f>I49+K49+M49+O49+Q49+S49+U49+W49+Y49+AA49+AC49+AE49+AG49+AI49+AK49+AM49+AO49+AQ49+AS49+AU49+AW49+AY49+BA49+BC49+BE49+BG49+BI49+BK49+BM49+BO49+BQ49+BS49+BU49+BW49+BY49+CA49+CC49+CE49+CG49+CI49+DA49+DC49+DE49+DG49+DI49+DK49+DM49+DO49+DQ49+DS49+DU49+DW49+DY49+EA49+EC49+EE49+EG49+EI49+EK49+EM49+EO49+EQ49+ES49+EU49+EW49+FO49+FS49+FU49+FW49+FQ49+FY49+GA49+GC49+GE49+GG49+GI49+GK49+GM49+GO49+GQ49+GS49+GU49+GW49+GY49+HA49+HC49+HE49+HG49+HI49+HK49+HM49+HO49+HQ49+HS49+HU49+HW49+HY49+IA49+IC49+IE49+IG49+II49+IK49+IM49+IO49+IQ49+IS49+IU49+IW49+IY49+JA49+JC49+JE49+JG49+JI49+JK49+JM49+KA49+CK49+CM49+CO49+CQ49+CS49+CU49+CW49+CY49+EY49+FA49+FC49+FE49+FG49+FI49+FK49+FM49</f>
        <v/>
      </c>
      <c r="KD49" s="44">
        <f>JO49+JQ49+JS49+JU49+JW49+JY49</f>
        <v/>
      </c>
      <c r="KE49" s="45">
        <f>KB49=E49</f>
        <v/>
      </c>
      <c r="KF49" s="101">
        <f>E49-KB49</f>
        <v/>
      </c>
      <c r="KG49" s="11" t="n"/>
    </row>
    <row r="50" ht="21.75" customFormat="1" customHeight="1" s="195">
      <c r="A50" s="126" t="n">
        <v>42</v>
      </c>
      <c r="B50" s="175" t="inlineStr">
        <is>
          <t>Чигоряев С.А.</t>
        </is>
      </c>
      <c r="C50" s="176" t="inlineStr">
        <is>
          <t>слесарь</t>
        </is>
      </c>
      <c r="D50" s="177">
        <f>$D$5</f>
        <v/>
      </c>
      <c r="E50" s="202" t="n"/>
      <c r="F50" s="193" t="n">
        <v>97702.28</v>
      </c>
      <c r="G50" s="179">
        <f>F50/D50</f>
        <v/>
      </c>
      <c r="H50" s="180" t="n"/>
      <c r="I50" s="140">
        <f>H50*100/$E$50</f>
        <v/>
      </c>
      <c r="J50" s="133" t="n"/>
      <c r="K50" s="140">
        <f>J50*100/$E$50</f>
        <v/>
      </c>
      <c r="L50" s="133" t="n"/>
      <c r="M50" s="140">
        <f>L50*100/$E$50</f>
        <v/>
      </c>
      <c r="N50" s="133" t="n"/>
      <c r="O50" s="140">
        <f>N50*100/$E$50</f>
        <v/>
      </c>
      <c r="P50" s="133" t="n"/>
      <c r="Q50" s="139">
        <f>P50*100/$E$50</f>
        <v/>
      </c>
      <c r="R50" s="133" t="n"/>
      <c r="S50" s="139">
        <f>R50*100/$E$50</f>
        <v/>
      </c>
      <c r="T50" s="133" t="n"/>
      <c r="U50" s="140">
        <f>T50*100/$E$50</f>
        <v/>
      </c>
      <c r="V50" s="133" t="n"/>
      <c r="W50" s="140">
        <f>V50*100/$E$50</f>
        <v/>
      </c>
      <c r="X50" s="133" t="n"/>
      <c r="Y50" s="140">
        <f>X50*100/$E$50</f>
        <v/>
      </c>
      <c r="Z50" s="133" t="n"/>
      <c r="AA50" s="140">
        <f>Z50*100/$E$50</f>
        <v/>
      </c>
      <c r="AB50" s="133" t="n"/>
      <c r="AC50" s="140">
        <f>AB50*100/$E$50</f>
        <v/>
      </c>
      <c r="AD50" s="133" t="n"/>
      <c r="AE50" s="139">
        <f>AD50*100/$E$50</f>
        <v/>
      </c>
      <c r="AF50" s="133" t="n"/>
      <c r="AG50" s="139">
        <f>AF50*100/$E$50</f>
        <v/>
      </c>
      <c r="AH50" s="133" t="n"/>
      <c r="AI50" s="140">
        <f>AH50*100/$E$50</f>
        <v/>
      </c>
      <c r="AJ50" s="133" t="n"/>
      <c r="AK50" s="140">
        <f>AJ50*100/$E$50</f>
        <v/>
      </c>
      <c r="AL50" s="133" t="n"/>
      <c r="AM50" s="140">
        <f>AL50*100/$E$50</f>
        <v/>
      </c>
      <c r="AN50" s="133" t="n"/>
      <c r="AO50" s="140">
        <f>AN50*100/$E$50</f>
        <v/>
      </c>
      <c r="AP50" s="133" t="n"/>
      <c r="AQ50" s="140">
        <f>AP50*100/$E$50</f>
        <v/>
      </c>
      <c r="AR50" s="133" t="n"/>
      <c r="AS50" s="140">
        <f>AR50*100/$E$50</f>
        <v/>
      </c>
      <c r="AT50" s="133" t="n"/>
      <c r="AU50" s="181">
        <f>AT50*100/$E$50</f>
        <v/>
      </c>
      <c r="AV50" s="133" t="n"/>
      <c r="AW50" s="140">
        <f>AV50*100/$E$50</f>
        <v/>
      </c>
      <c r="AX50" s="133" t="n"/>
      <c r="AY50" s="140">
        <f>AX50*100/$E$50</f>
        <v/>
      </c>
      <c r="AZ50" s="133" t="n"/>
      <c r="BA50" s="140">
        <f>AZ50*100/$E$50</f>
        <v/>
      </c>
      <c r="BB50" s="133" t="n"/>
      <c r="BC50" s="140">
        <f>BB50*100/$E$50</f>
        <v/>
      </c>
      <c r="BD50" s="133" t="n"/>
      <c r="BE50" s="140">
        <f>BD50*100/$E$50</f>
        <v/>
      </c>
      <c r="BF50" s="133" t="n"/>
      <c r="BG50" s="140">
        <f>BF50*100/$E$50</f>
        <v/>
      </c>
      <c r="BH50" s="133" t="n"/>
      <c r="BI50" s="140">
        <f>BH50*100/$E$50</f>
        <v/>
      </c>
      <c r="BJ50" s="133" t="n"/>
      <c r="BK50" s="140">
        <f>BJ50*100/$E$50</f>
        <v/>
      </c>
      <c r="BL50" s="133" t="n"/>
      <c r="BM50" s="140">
        <f>BL50*100/$E$50</f>
        <v/>
      </c>
      <c r="BN50" s="133" t="n"/>
      <c r="BO50" s="140">
        <f>BN50*100/$E$50</f>
        <v/>
      </c>
      <c r="BP50" s="133" t="n"/>
      <c r="BQ50" s="140">
        <f>BP50*100/$E$50</f>
        <v/>
      </c>
      <c r="BR50" s="133" t="n"/>
      <c r="BS50" s="140">
        <f>BR50*100/$E$50</f>
        <v/>
      </c>
      <c r="BT50" s="133" t="n"/>
      <c r="BU50" s="140">
        <f>BT50*100/$E$50</f>
        <v/>
      </c>
      <c r="BV50" s="133" t="n"/>
      <c r="BW50" s="140">
        <f>BV50*100/$E$50</f>
        <v/>
      </c>
      <c r="BX50" s="133" t="n"/>
      <c r="BY50" s="140">
        <f>BX50*100/$E$50</f>
        <v/>
      </c>
      <c r="BZ50" s="133" t="n"/>
      <c r="CA50" s="140">
        <f>BZ50*100/$E$50</f>
        <v/>
      </c>
      <c r="CB50" s="133" t="n"/>
      <c r="CC50" s="140">
        <f>CB50*100/$E$50</f>
        <v/>
      </c>
      <c r="CD50" s="133" t="n"/>
      <c r="CE50" s="140">
        <f>CD50*100/$E$50</f>
        <v/>
      </c>
      <c r="CF50" s="133" t="n"/>
      <c r="CG50" s="140">
        <f>CF50*100/$E$50</f>
        <v/>
      </c>
      <c r="CH50" s="133" t="n"/>
      <c r="CI50" s="140">
        <f>CH50*100/$E$50</f>
        <v/>
      </c>
      <c r="CJ50" s="133" t="n"/>
      <c r="CK50" s="140">
        <f>CJ50*100/$E$50</f>
        <v/>
      </c>
      <c r="CL50" s="133" t="n"/>
      <c r="CM50" s="140">
        <f>CL50*100/$E$50</f>
        <v/>
      </c>
      <c r="CN50" s="133" t="n"/>
      <c r="CO50" s="139">
        <f>CN50*100/$E$50</f>
        <v/>
      </c>
      <c r="CP50" s="133" t="n"/>
      <c r="CQ50" s="140">
        <f>CP50*100/$E$50</f>
        <v/>
      </c>
      <c r="CR50" s="133" t="n"/>
      <c r="CS50" s="139">
        <f>CR50*100/$E$50</f>
        <v/>
      </c>
      <c r="CT50" s="133" t="n"/>
      <c r="CU50" s="139">
        <f>CT50*100/$E$50</f>
        <v/>
      </c>
      <c r="CV50" s="133" t="n"/>
      <c r="CW50" s="139">
        <f>CV50*100/$E$50</f>
        <v/>
      </c>
      <c r="CX50" s="133" t="n"/>
      <c r="CY50" s="139">
        <f>CX50*100/$E$50</f>
        <v/>
      </c>
      <c r="CZ50" s="133" t="n"/>
      <c r="DA50" s="139">
        <f>CZ50*100/$E$50</f>
        <v/>
      </c>
      <c r="DB50" s="133" t="n"/>
      <c r="DC50" s="139">
        <f>DB50*100/$E$50</f>
        <v/>
      </c>
      <c r="DD50" s="133" t="n"/>
      <c r="DE50" s="139">
        <f>DD50*100/$E$50</f>
        <v/>
      </c>
      <c r="DF50" s="133" t="n"/>
      <c r="DG50" s="139">
        <f>DF50*100/$E$50</f>
        <v/>
      </c>
      <c r="DH50" s="133" t="n"/>
      <c r="DI50" s="139">
        <f>DH50*100/$E$50</f>
        <v/>
      </c>
      <c r="DJ50" s="133" t="n"/>
      <c r="DK50" s="139">
        <f>DJ50*100/$E$50</f>
        <v/>
      </c>
      <c r="DL50" s="133" t="n"/>
      <c r="DM50" s="139">
        <f>DL50*100/$E$50</f>
        <v/>
      </c>
      <c r="DN50" s="133" t="n"/>
      <c r="DO50" s="139">
        <f>DN50*100/$E$50</f>
        <v/>
      </c>
      <c r="DP50" s="133" t="n"/>
      <c r="DQ50" s="139">
        <f>DP50*100/$E$50</f>
        <v/>
      </c>
      <c r="DR50" s="133" t="n"/>
      <c r="DS50" s="139">
        <f>DR50*100/$E$50</f>
        <v/>
      </c>
      <c r="DT50" s="133" t="n"/>
      <c r="DU50" s="139">
        <f>DT50*100/$E$50</f>
        <v/>
      </c>
      <c r="DV50" s="133" t="n"/>
      <c r="DW50" s="139">
        <f>DV50*100/$E$50</f>
        <v/>
      </c>
      <c r="DX50" s="133" t="n"/>
      <c r="DY50" s="139">
        <f>DX50*100/$E$50</f>
        <v/>
      </c>
      <c r="DZ50" s="133" t="n"/>
      <c r="EA50" s="139">
        <f>DZ50*100/$E$50</f>
        <v/>
      </c>
      <c r="EB50" s="133" t="n"/>
      <c r="EC50" s="139">
        <f>EB50*100/$E$50</f>
        <v/>
      </c>
      <c r="ED50" s="133" t="n"/>
      <c r="EE50" s="139">
        <f>ED50*100/$E$50</f>
        <v/>
      </c>
      <c r="EF50" s="133" t="n"/>
      <c r="EG50" s="139">
        <f>EF50*100/$E$50</f>
        <v/>
      </c>
      <c r="EH50" s="133" t="n"/>
      <c r="EI50" s="139">
        <f>EH50*100/$E$50</f>
        <v/>
      </c>
      <c r="EJ50" s="133" t="n"/>
      <c r="EK50" s="139">
        <f>EJ50*100/$E$50</f>
        <v/>
      </c>
      <c r="EL50" s="133" t="n"/>
      <c r="EM50" s="139">
        <f>EL50*100/$E$50</f>
        <v/>
      </c>
      <c r="EN50" s="133" t="n"/>
      <c r="EO50" s="139">
        <f>EN50*100/$E$50</f>
        <v/>
      </c>
      <c r="EP50" s="133" t="n"/>
      <c r="EQ50" s="139">
        <f>EP50*100/$E$50</f>
        <v/>
      </c>
      <c r="ER50" s="133" t="n"/>
      <c r="ES50" s="139">
        <f>ER50*100/$E$50</f>
        <v/>
      </c>
      <c r="ET50" s="133" t="n"/>
      <c r="EU50" s="139">
        <f>ET50*100/$E$50</f>
        <v/>
      </c>
      <c r="EV50" s="133" t="n"/>
      <c r="EW50" s="139">
        <f>EV50*100/$E$50</f>
        <v/>
      </c>
      <c r="EX50" s="133" t="n"/>
      <c r="EY50" s="139">
        <f>EX50*100/$E$50</f>
        <v/>
      </c>
      <c r="EZ50" s="133" t="n"/>
      <c r="FA50" s="139">
        <f>EZ50*100/$E$50</f>
        <v/>
      </c>
      <c r="FB50" s="133" t="n"/>
      <c r="FC50" s="139">
        <f>FB50*100/$E$50</f>
        <v/>
      </c>
      <c r="FD50" s="133" t="n"/>
      <c r="FE50" s="139">
        <f>FD50*100/$E$50</f>
        <v/>
      </c>
      <c r="FF50" s="133" t="n"/>
      <c r="FG50" s="139">
        <f>FF50*100/$E$50</f>
        <v/>
      </c>
      <c r="FH50" s="133" t="n"/>
      <c r="FI50" s="139">
        <f>FH50*100/$E$50</f>
        <v/>
      </c>
      <c r="FJ50" s="133" t="n"/>
      <c r="FK50" s="139">
        <f>FJ50*100/$E$50</f>
        <v/>
      </c>
      <c r="FL50" s="133" t="n"/>
      <c r="FM50" s="139">
        <f>FL50*100/$E$50</f>
        <v/>
      </c>
      <c r="FN50" s="133" t="n"/>
      <c r="FO50" s="139">
        <f>FN50*100/$E$50</f>
        <v/>
      </c>
      <c r="FP50" s="133" t="n"/>
      <c r="FQ50" s="139">
        <f>FP50*100/$E$50</f>
        <v/>
      </c>
      <c r="FR50" s="133" t="n"/>
      <c r="FS50" s="139">
        <f>FR50*100/$E$50</f>
        <v/>
      </c>
      <c r="FT50" s="133" t="n"/>
      <c r="FU50" s="139">
        <f>FT50*100/$E$50</f>
        <v/>
      </c>
      <c r="FV50" s="133" t="n"/>
      <c r="FW50" s="139">
        <f>FV50*100/$E$50</f>
        <v/>
      </c>
      <c r="FX50" s="133" t="n"/>
      <c r="FY50" s="140">
        <f>FX50*100/$E$50</f>
        <v/>
      </c>
      <c r="FZ50" s="133" t="n"/>
      <c r="GA50" s="140">
        <f>FZ50*100/$E$50</f>
        <v/>
      </c>
      <c r="GB50" s="133" t="n"/>
      <c r="GC50" s="140">
        <f>GB50*100/$E$50</f>
        <v/>
      </c>
      <c r="GD50" s="133" t="n"/>
      <c r="GE50" s="140">
        <f>GD50*100/$E$50</f>
        <v/>
      </c>
      <c r="GF50" s="133" t="n"/>
      <c r="GG50" s="140">
        <f>GF50*100/$E$50</f>
        <v/>
      </c>
      <c r="GH50" s="133" t="n"/>
      <c r="GI50" s="140">
        <f>GH50*100/$E$50</f>
        <v/>
      </c>
      <c r="GJ50" s="133" t="n"/>
      <c r="GK50" s="139">
        <f>GJ50*100/$E$50</f>
        <v/>
      </c>
      <c r="GL50" s="133" t="n"/>
      <c r="GM50" s="140">
        <f>GL50*100/$E$50</f>
        <v/>
      </c>
      <c r="GN50" s="133" t="n"/>
      <c r="GO50" s="139">
        <f>GN50*100/$E$50</f>
        <v/>
      </c>
      <c r="GP50" s="133" t="n"/>
      <c r="GQ50" s="140">
        <f>GP50*100/$E$50</f>
        <v/>
      </c>
      <c r="GR50" s="133" t="n"/>
      <c r="GS50" s="139">
        <f>GR50*100/$E$50</f>
        <v/>
      </c>
      <c r="GT50" s="133" t="n"/>
      <c r="GU50" s="139">
        <f>GT50*100/$E$50</f>
        <v/>
      </c>
      <c r="GV50" s="133" t="n"/>
      <c r="GW50" s="139">
        <f>GV50*100/$E$50</f>
        <v/>
      </c>
      <c r="GX50" s="133" t="n"/>
      <c r="GY50" s="140">
        <f>GX50*100/$E$50</f>
        <v/>
      </c>
      <c r="GZ50" s="133" t="n"/>
      <c r="HA50" s="140">
        <f>GZ50*100/$E$50</f>
        <v/>
      </c>
      <c r="HB50" s="133" t="n"/>
      <c r="HC50" s="140">
        <f>HB50*100/$E$50</f>
        <v/>
      </c>
      <c r="HD50" s="133" t="n"/>
      <c r="HE50" s="140">
        <f>HD50*100/$E$50</f>
        <v/>
      </c>
      <c r="HF50" s="133" t="n"/>
      <c r="HG50" s="140">
        <f>HF50*100/$E$50</f>
        <v/>
      </c>
      <c r="HH50" s="133" t="n"/>
      <c r="HI50" s="140">
        <f>HH50*100/$E$50</f>
        <v/>
      </c>
      <c r="HJ50" s="133" t="n"/>
      <c r="HK50" s="140">
        <f>HJ50*100/$E$50</f>
        <v/>
      </c>
      <c r="HL50" s="133" t="n"/>
      <c r="HM50" s="140">
        <f>HL50*100/$E$50</f>
        <v/>
      </c>
      <c r="HN50" s="133" t="n"/>
      <c r="HO50" s="140">
        <f>HN50*100/$E$50</f>
        <v/>
      </c>
      <c r="HP50" s="133" t="n"/>
      <c r="HQ50" s="140">
        <f>HP50*100/$E$50</f>
        <v/>
      </c>
      <c r="HR50" s="133" t="n"/>
      <c r="HS50" s="140">
        <f>HR50*100/$E$50</f>
        <v/>
      </c>
      <c r="HT50" s="133" t="n"/>
      <c r="HU50" s="140">
        <f>HT50*100/$E$50</f>
        <v/>
      </c>
      <c r="HV50" s="133" t="n"/>
      <c r="HW50" s="140">
        <f>HV50*100/$E$50</f>
        <v/>
      </c>
      <c r="HX50" s="133" t="n"/>
      <c r="HY50" s="140">
        <f>HX50*100/$E$50</f>
        <v/>
      </c>
      <c r="HZ50" s="133" t="n"/>
      <c r="IA50" s="139">
        <f>HZ50*100/$E$50</f>
        <v/>
      </c>
      <c r="IB50" s="133" t="n"/>
      <c r="IC50" s="139">
        <f>IB50*100/$E$50</f>
        <v/>
      </c>
      <c r="ID50" s="133" t="n"/>
      <c r="IE50" s="139">
        <f>ID50*100/$E$50</f>
        <v/>
      </c>
      <c r="IF50" s="133" t="n"/>
      <c r="IG50" s="139">
        <f>IF50*100/$E$50</f>
        <v/>
      </c>
      <c r="IH50" s="133" t="n"/>
      <c r="II50" s="139">
        <f>IH50*100/$E$50</f>
        <v/>
      </c>
      <c r="IJ50" s="133" t="n"/>
      <c r="IK50" s="139">
        <f>IJ50*100/$E$50</f>
        <v/>
      </c>
      <c r="IL50" s="133" t="n"/>
      <c r="IM50" s="140">
        <f>IL50*100/$E$50</f>
        <v/>
      </c>
      <c r="IN50" s="133" t="n"/>
      <c r="IO50" s="140">
        <f>IN50*100/$E$50</f>
        <v/>
      </c>
      <c r="IP50" s="133" t="n"/>
      <c r="IQ50" s="139">
        <f>IP50*100/$E$50</f>
        <v/>
      </c>
      <c r="IR50" s="133" t="n"/>
      <c r="IS50" s="139">
        <f>IR50*100/$E$50</f>
        <v/>
      </c>
      <c r="IT50" s="133" t="n"/>
      <c r="IU50" s="139">
        <f>IT50*100/$E$50</f>
        <v/>
      </c>
      <c r="IV50" s="133" t="n"/>
      <c r="IW50" s="139">
        <f>IV50*100/$E$50</f>
        <v/>
      </c>
      <c r="IX50" s="133" t="n"/>
      <c r="IY50" s="139">
        <f>IX50*100/$E$50</f>
        <v/>
      </c>
      <c r="IZ50" s="133" t="n"/>
      <c r="JA50" s="139">
        <f>IZ50*100/$E$50</f>
        <v/>
      </c>
      <c r="JB50" s="133" t="n"/>
      <c r="JC50" s="139">
        <f>JB50*100/$E$50</f>
        <v/>
      </c>
      <c r="JD50" s="133" t="n"/>
      <c r="JE50" s="139">
        <f>JD50*100/$E$50</f>
        <v/>
      </c>
      <c r="JF50" s="133" t="n"/>
      <c r="JG50" s="139">
        <f>JF50*100/$E$50</f>
        <v/>
      </c>
      <c r="JH50" s="133" t="n"/>
      <c r="JI50" s="139">
        <f>JH50*100/$E$50</f>
        <v/>
      </c>
      <c r="JJ50" s="133" t="n"/>
      <c r="JK50" s="139">
        <f>JJ50*100/$E$50</f>
        <v/>
      </c>
      <c r="JL50" s="133" t="n"/>
      <c r="JM50" s="139">
        <f>JL50*100/$E$50</f>
        <v/>
      </c>
      <c r="JN50" s="133" t="n"/>
      <c r="JO50" s="182">
        <f>JN50*100/$E$50</f>
        <v/>
      </c>
      <c r="JP50" s="133" t="n"/>
      <c r="JQ50" s="182">
        <f>JP50*100/$E$50</f>
        <v/>
      </c>
      <c r="JR50" s="133" t="n"/>
      <c r="JS50" s="182">
        <f>JR50*100/$E$50</f>
        <v/>
      </c>
      <c r="JT50" s="133" t="n"/>
      <c r="JU50" s="182">
        <f>JT50*100/$E$50</f>
        <v/>
      </c>
      <c r="JV50" s="133" t="n"/>
      <c r="JW50" s="182">
        <f>JV50*100/$E$50</f>
        <v/>
      </c>
      <c r="JX50" s="133" t="n"/>
      <c r="JY50" s="182">
        <f>JX50*100/$E$50</f>
        <v/>
      </c>
      <c r="JZ50" s="183">
        <f>JN50+JP50+JR50+JT50+JV50+JX50</f>
        <v/>
      </c>
      <c r="KA50" s="184">
        <f>JO50+JQ50+JS50+JU50+JW50+JY50</f>
        <v/>
      </c>
      <c r="KB50" s="185">
        <f>H50+J50+L50+N50+P50+R50+T50+V50+X50+Z50+AB50+AD50+AF50+AH50+AJ50+AL50+AN50+AP50+AR50+AT50+AV50+AX50+AZ50+BB50+BD50+BF50+BH50+BJ50+BL50+BN50+BP50+BR50+BT50+BV50+BX50+BZ50+CB50+CD50+CF50+CH50+CZ50+DB50+DD50+DF50+DH50+DJ50+DL50+DN50+DP50+DR50+DT50+DV50+DX50+DZ50+EB50+ED50+EF50+EH50+EJ50+EL50+EN50+EP50+ER50+ET50+EV50+FN50+FP50+FR50+FT50+FV50+FX50+FZ50+GB50+GD50+GF50+GH50+GJ50+GL50+GN50+GP50+GR50+GT50+GV50+GX50+GZ50+HB50+HD50+HF50+HH50+HJ50+HL50+HN50+HP50+HR50+HT50+HV50+HX50+HZ50+IB50+ID50+IF50+IH50+IJ50+IL50+IN50+IP50+IR50+IT50+IV50+IX50+IZ50+JB50+JD50+JF50+JH50+JJ50+JL50+JZ50+CJ50+CL50+CN50+CP50+CR50+CT50+CV50+CX50+EX50+EZ50+FB50+FD50+FF50+FH50+FJ50+FL50</f>
        <v/>
      </c>
      <c r="KC50" s="186">
        <f>I50+K50+M50+O50+Q50+S50+U50+W50+Y50+AA50+AC50+AE50+AG50+AI50+AK50+AM50+AO50+AQ50+AS50+AU50+AW50+AY50+BA50+BC50+BE50+BG50+BI50+BK50+BM50+BO50+BQ50+BS50+BU50+BW50+BY50+CA50+CC50+CE50+CG50+CI50+DA50+DC50+DE50+DG50+DI50+DK50+DM50+DO50+DQ50+DS50+DU50+DW50+DY50+EA50+EC50+EE50+EG50+EI50+EK50+EM50+EO50+EQ50+ES50+EU50+EW50+FO50+FS50+FU50+FW50+FQ50+FY50+GA50+GC50+GE50+GG50+GI50+GK50+GM50+GO50+GQ50+GS50+GU50+GW50+GY50+HA50+HC50+HE50+HG50+HI50+HK50+HM50+HO50+HQ50+HS50+HU50+HW50+HY50+IA50+IC50+IE50+IG50+II50+IK50+IM50+IO50+IQ50+IS50+IU50+IW50+IY50+JA50+JC50+JE50+JG50+JI50+JK50+JM50+KA50+CK50+CM50+CO50+CQ50+CS50+CU50+CW50+CY50+EY50+FA50+FC50+FE50+FG50+FI50+FK50+FM50</f>
        <v/>
      </c>
      <c r="KD50" s="187">
        <f>JO50+JQ50+JS50+JU50+JW50+JY50</f>
        <v/>
      </c>
      <c r="KE50" s="188">
        <f>KB50=E50</f>
        <v/>
      </c>
      <c r="KF50" s="189">
        <f>E50-KB50</f>
        <v/>
      </c>
      <c r="KG50" s="196" t="n"/>
    </row>
    <row r="51" ht="27" customFormat="1" customHeight="1" s="11" thickBot="1">
      <c r="A51" s="126">
        <f>A50+1</f>
        <v/>
      </c>
      <c r="B51" s="175" t="inlineStr">
        <is>
          <t>Южиков А.Ю.</t>
        </is>
      </c>
      <c r="C51" s="176" t="inlineStr">
        <is>
          <t>сварщик</t>
        </is>
      </c>
      <c r="D51" s="177">
        <f>$D$5</f>
        <v/>
      </c>
      <c r="E51" s="202" t="n"/>
      <c r="F51" s="193" t="n">
        <v>68853.84</v>
      </c>
      <c r="G51" s="52">
        <f>F51/D51</f>
        <v/>
      </c>
      <c r="H51" s="125" t="n"/>
      <c r="I51" s="107">
        <f>H51*100/$E$51</f>
        <v/>
      </c>
      <c r="J51" s="108" t="n"/>
      <c r="K51" s="107">
        <f>J51*100/$E$51</f>
        <v/>
      </c>
      <c r="L51" s="108" t="n"/>
      <c r="M51" s="107">
        <f>L51*100/$E$51</f>
        <v/>
      </c>
      <c r="N51" s="108" t="n"/>
      <c r="O51" s="107">
        <f>N51*100/$E$51</f>
        <v/>
      </c>
      <c r="P51" s="108" t="n"/>
      <c r="Q51" s="122">
        <f>P51*100/$E$51</f>
        <v/>
      </c>
      <c r="R51" s="125" t="n"/>
      <c r="S51" s="122">
        <f>R51*100/$E$51</f>
        <v/>
      </c>
      <c r="T51" s="108" t="n"/>
      <c r="U51" s="107">
        <f>T51*100/$E$51</f>
        <v/>
      </c>
      <c r="V51" s="108" t="n"/>
      <c r="W51" s="107">
        <f>V51*100/$E$51</f>
        <v/>
      </c>
      <c r="X51" s="108" t="n"/>
      <c r="Y51" s="107">
        <f>X51*100/$E$51</f>
        <v/>
      </c>
      <c r="Z51" s="108" t="n"/>
      <c r="AA51" s="107">
        <f>Z51*100/$E$51</f>
        <v/>
      </c>
      <c r="AB51" s="108" t="n"/>
      <c r="AC51" s="107">
        <f>AB51*100/$E$51</f>
        <v/>
      </c>
      <c r="AD51" s="108" t="n"/>
      <c r="AE51" s="122">
        <f>AD51*100/$E$51</f>
        <v/>
      </c>
      <c r="AF51" s="108" t="n"/>
      <c r="AG51" s="122">
        <f>AF51*100/$E$51</f>
        <v/>
      </c>
      <c r="AH51" s="108" t="n"/>
      <c r="AI51" s="107">
        <f>AH51*100/$E$51</f>
        <v/>
      </c>
      <c r="AJ51" s="108" t="n"/>
      <c r="AK51" s="107">
        <f>AJ51*100/$E$51</f>
        <v/>
      </c>
      <c r="AL51" s="108" t="n"/>
      <c r="AM51" s="107">
        <f>AL51*100/$E$51</f>
        <v/>
      </c>
      <c r="AN51" s="108" t="n"/>
      <c r="AO51" s="107">
        <f>AN51*100/$E$51</f>
        <v/>
      </c>
      <c r="AP51" s="108" t="n"/>
      <c r="AQ51" s="107">
        <f>AP51*100/$E$51</f>
        <v/>
      </c>
      <c r="AR51" s="108" t="n"/>
      <c r="AS51" s="107">
        <f>AR51*100/$E$51</f>
        <v/>
      </c>
      <c r="AT51" s="108" t="n"/>
      <c r="AU51" s="90">
        <f>AT51*100/$E$51</f>
        <v/>
      </c>
      <c r="AV51" s="108" t="n"/>
      <c r="AW51" s="107">
        <f>AV51*100/$E$51</f>
        <v/>
      </c>
      <c r="AX51" s="108" t="n"/>
      <c r="AY51" s="107">
        <f>AX51*100/$E$51</f>
        <v/>
      </c>
      <c r="AZ51" s="108" t="n"/>
      <c r="BA51" s="107">
        <f>AZ51*100/$E$51</f>
        <v/>
      </c>
      <c r="BB51" s="108" t="n"/>
      <c r="BC51" s="107">
        <f>BB51*100/$E$51</f>
        <v/>
      </c>
      <c r="BD51" s="108" t="n"/>
      <c r="BE51" s="107">
        <f>BD51*100/$E$51</f>
        <v/>
      </c>
      <c r="BF51" s="108" t="n"/>
      <c r="BG51" s="107">
        <f>BF51*100/$E$51</f>
        <v/>
      </c>
      <c r="BH51" s="108" t="n"/>
      <c r="BI51" s="107">
        <f>BH51*100/$E$51</f>
        <v/>
      </c>
      <c r="BJ51" s="108" t="n"/>
      <c r="BK51" s="107">
        <f>BJ51*100/$E$51</f>
        <v/>
      </c>
      <c r="BL51" s="108" t="n"/>
      <c r="BM51" s="107">
        <f>BL51*100/$E$51</f>
        <v/>
      </c>
      <c r="BN51" s="108" t="n"/>
      <c r="BO51" s="107">
        <f>BN51*100/$E$51</f>
        <v/>
      </c>
      <c r="BP51" s="108" t="n"/>
      <c r="BQ51" s="107">
        <f>BP51*100/$E$51</f>
        <v/>
      </c>
      <c r="BR51" s="108" t="n"/>
      <c r="BS51" s="107">
        <f>BR51*100/$E$51</f>
        <v/>
      </c>
      <c r="BT51" s="108" t="n"/>
      <c r="BU51" s="107">
        <f>BT51*100/$E$51</f>
        <v/>
      </c>
      <c r="BV51" s="108" t="n"/>
      <c r="BW51" s="107">
        <f>BV51*100/$E$51</f>
        <v/>
      </c>
      <c r="BX51" s="108" t="n"/>
      <c r="BY51" s="107">
        <f>BX51*100/$E$51</f>
        <v/>
      </c>
      <c r="BZ51" s="108" t="n"/>
      <c r="CA51" s="107">
        <f>BZ51*100/$E$51</f>
        <v/>
      </c>
      <c r="CB51" s="108" t="n"/>
      <c r="CC51" s="107">
        <f>CB51*100/$E$51</f>
        <v/>
      </c>
      <c r="CD51" s="108" t="n"/>
      <c r="CE51" s="107">
        <f>CD51*100/$E$51</f>
        <v/>
      </c>
      <c r="CF51" s="108" t="n"/>
      <c r="CG51" s="107">
        <f>CF51*100/$E$51</f>
        <v/>
      </c>
      <c r="CH51" s="108" t="n"/>
      <c r="CI51" s="107">
        <f>CH51*100/$E$51</f>
        <v/>
      </c>
      <c r="CJ51" s="108" t="n"/>
      <c r="CK51" s="107">
        <f>CJ51*100/$E$51</f>
        <v/>
      </c>
      <c r="CL51" s="108" t="n"/>
      <c r="CM51" s="107">
        <f>CL51*100/$E$51</f>
        <v/>
      </c>
      <c r="CN51" s="108" t="n"/>
      <c r="CO51" s="122">
        <f>CN51*100/$E$51</f>
        <v/>
      </c>
      <c r="CP51" s="108" t="n"/>
      <c r="CQ51" s="107">
        <f>CP51*100/$E$51</f>
        <v/>
      </c>
      <c r="CR51" s="108" t="n"/>
      <c r="CS51" s="122">
        <f>CR51*100/$E$51</f>
        <v/>
      </c>
      <c r="CT51" s="108" t="n"/>
      <c r="CU51" s="122">
        <f>CT51*100/$E$51</f>
        <v/>
      </c>
      <c r="CV51" s="108" t="n"/>
      <c r="CW51" s="122">
        <f>CV51*100/$E$51</f>
        <v/>
      </c>
      <c r="CX51" s="108" t="n"/>
      <c r="CY51" s="122">
        <f>CX51*100/$E$51</f>
        <v/>
      </c>
      <c r="CZ51" s="108" t="n"/>
      <c r="DA51" s="122">
        <f>CZ51*100/$E$51</f>
        <v/>
      </c>
      <c r="DB51" s="108" t="n"/>
      <c r="DC51" s="122">
        <f>DB51*100/$E$51</f>
        <v/>
      </c>
      <c r="DD51" s="108" t="n"/>
      <c r="DE51" s="122">
        <f>DD51*100/$E$51</f>
        <v/>
      </c>
      <c r="DF51" s="108" t="n"/>
      <c r="DG51" s="122">
        <f>DF51*100/$E$51</f>
        <v/>
      </c>
      <c r="DH51" s="108" t="n"/>
      <c r="DI51" s="122">
        <f>DH51*100/$E$51</f>
        <v/>
      </c>
      <c r="DJ51" s="108" t="n"/>
      <c r="DK51" s="122">
        <f>DJ51*100/$E$51</f>
        <v/>
      </c>
      <c r="DL51" s="108" t="n"/>
      <c r="DM51" s="122">
        <f>DL51*100/$E$51</f>
        <v/>
      </c>
      <c r="DN51" s="108" t="n"/>
      <c r="DO51" s="122">
        <f>DN51*100/$E$51</f>
        <v/>
      </c>
      <c r="DP51" s="108" t="n"/>
      <c r="DQ51" s="122">
        <f>DP51*100/$E$51</f>
        <v/>
      </c>
      <c r="DR51" s="108" t="n"/>
      <c r="DS51" s="122">
        <f>DR51*100/$E$51</f>
        <v/>
      </c>
      <c r="DT51" s="108" t="n"/>
      <c r="DU51" s="122">
        <f>DT51*100/$E$51</f>
        <v/>
      </c>
      <c r="DV51" s="108" t="n"/>
      <c r="DW51" s="122">
        <f>DV51*100/$E$51</f>
        <v/>
      </c>
      <c r="DX51" s="108" t="n"/>
      <c r="DY51" s="122">
        <f>DX51*100/$E$51</f>
        <v/>
      </c>
      <c r="DZ51" s="108" t="n"/>
      <c r="EA51" s="122">
        <f>DZ51*100/$E$51</f>
        <v/>
      </c>
      <c r="EB51" s="108" t="n"/>
      <c r="EC51" s="122">
        <f>EB51*100/$E$51</f>
        <v/>
      </c>
      <c r="ED51" s="108" t="n"/>
      <c r="EE51" s="122">
        <f>ED51*100/$E$51</f>
        <v/>
      </c>
      <c r="EF51" s="108" t="n"/>
      <c r="EG51" s="122">
        <f>EF51*100/$E$51</f>
        <v/>
      </c>
      <c r="EH51" s="108" t="n"/>
      <c r="EI51" s="122">
        <f>EH51*100/$E$51</f>
        <v/>
      </c>
      <c r="EJ51" s="108" t="n"/>
      <c r="EK51" s="122">
        <f>EJ51*100/$E$51</f>
        <v/>
      </c>
      <c r="EL51" s="108" t="n"/>
      <c r="EM51" s="122">
        <f>EL51*100/$E$51</f>
        <v/>
      </c>
      <c r="EN51" s="108" t="n"/>
      <c r="EO51" s="122">
        <f>EN51*100/$E$51</f>
        <v/>
      </c>
      <c r="EP51" s="108" t="n"/>
      <c r="EQ51" s="122">
        <f>EP51*100/$E$51</f>
        <v/>
      </c>
      <c r="ER51" s="108" t="n"/>
      <c r="ES51" s="122">
        <f>ER51*100/$E$51</f>
        <v/>
      </c>
      <c r="ET51" s="108" t="n"/>
      <c r="EU51" s="122">
        <f>ET51*100/$E$51</f>
        <v/>
      </c>
      <c r="EV51" s="108" t="n"/>
      <c r="EW51" s="122">
        <f>EV51*100/$E$51</f>
        <v/>
      </c>
      <c r="EX51" s="108" t="n"/>
      <c r="EY51" s="122">
        <f>EX51*100/$E$51</f>
        <v/>
      </c>
      <c r="EZ51" s="108" t="n"/>
      <c r="FA51" s="122">
        <f>EZ51*100/$E$51</f>
        <v/>
      </c>
      <c r="FB51" s="108" t="n"/>
      <c r="FC51" s="122">
        <f>FB51*100/$E$51</f>
        <v/>
      </c>
      <c r="FD51" s="108" t="n"/>
      <c r="FE51" s="122">
        <f>FD51*100/$E$51</f>
        <v/>
      </c>
      <c r="FF51" s="108" t="n"/>
      <c r="FG51" s="122">
        <f>FF51*100/$E$51</f>
        <v/>
      </c>
      <c r="FH51" s="108" t="n"/>
      <c r="FI51" s="122">
        <f>FH51*100/$E$51</f>
        <v/>
      </c>
      <c r="FJ51" s="108" t="n"/>
      <c r="FK51" s="122">
        <f>FJ51*100/$E$51</f>
        <v/>
      </c>
      <c r="FL51" s="108" t="n"/>
      <c r="FM51" s="122">
        <f>FL51*100/$E$51</f>
        <v/>
      </c>
      <c r="FN51" s="108" t="n"/>
      <c r="FO51" s="122">
        <f>FN51*100/$E$51</f>
        <v/>
      </c>
      <c r="FP51" s="108" t="n"/>
      <c r="FQ51" s="122">
        <f>FP51*100/$E$51</f>
        <v/>
      </c>
      <c r="FR51" s="108" t="n"/>
      <c r="FS51" s="122">
        <f>FR51*100/$E$51</f>
        <v/>
      </c>
      <c r="FT51" s="108" t="n"/>
      <c r="FU51" s="122">
        <f>FT51*100/$E$51</f>
        <v/>
      </c>
      <c r="FV51" s="108" t="n"/>
      <c r="FW51" s="122">
        <f>FV51*100/$E$51</f>
        <v/>
      </c>
      <c r="FX51" s="108" t="n"/>
      <c r="FY51" s="107">
        <f>FX51*100/$E$51</f>
        <v/>
      </c>
      <c r="FZ51" s="108" t="n"/>
      <c r="GA51" s="107">
        <f>FZ51*100/$E$51</f>
        <v/>
      </c>
      <c r="GB51" s="108" t="n"/>
      <c r="GC51" s="107">
        <f>GB51*100/$E$51</f>
        <v/>
      </c>
      <c r="GD51" s="108" t="n"/>
      <c r="GE51" s="107">
        <f>GD51*100/$E$51</f>
        <v/>
      </c>
      <c r="GF51" s="108" t="n"/>
      <c r="GG51" s="107">
        <f>GF51*100/$E$51</f>
        <v/>
      </c>
      <c r="GH51" s="108" t="n"/>
      <c r="GI51" s="107">
        <f>GH51*100/$E$51</f>
        <v/>
      </c>
      <c r="GJ51" s="108" t="n"/>
      <c r="GK51" s="122">
        <f>GJ51*100/$E$51</f>
        <v/>
      </c>
      <c r="GL51" s="108" t="n"/>
      <c r="GM51" s="107">
        <f>GL51*100/$E$51</f>
        <v/>
      </c>
      <c r="GN51" s="108" t="n"/>
      <c r="GO51" s="122">
        <f>GN51*100/$E$51</f>
        <v/>
      </c>
      <c r="GP51" s="108" t="n"/>
      <c r="GQ51" s="107">
        <f>GP51*100/$E$51</f>
        <v/>
      </c>
      <c r="GR51" s="108" t="n"/>
      <c r="GS51" s="122">
        <f>GR51*100/$E$51</f>
        <v/>
      </c>
      <c r="GT51" s="108" t="n"/>
      <c r="GU51" s="122">
        <f>GT51*100/$E$51</f>
        <v/>
      </c>
      <c r="GV51" s="108" t="n"/>
      <c r="GW51" s="122">
        <f>GV51*100/$E$51</f>
        <v/>
      </c>
      <c r="GX51" s="108" t="n"/>
      <c r="GY51" s="107">
        <f>GX51*100/$E$51</f>
        <v/>
      </c>
      <c r="GZ51" s="108" t="n"/>
      <c r="HA51" s="107">
        <f>GZ51*100/$E$51</f>
        <v/>
      </c>
      <c r="HB51" s="108" t="n"/>
      <c r="HC51" s="107">
        <f>HB51*100/$E$51</f>
        <v/>
      </c>
      <c r="HD51" s="108" t="n"/>
      <c r="HE51" s="107">
        <f>HD51*100/$E$51</f>
        <v/>
      </c>
      <c r="HF51" s="108" t="n"/>
      <c r="HG51" s="107">
        <f>HF51*100/$E$51</f>
        <v/>
      </c>
      <c r="HH51" s="108" t="n"/>
      <c r="HI51" s="107">
        <f>HH51*100/$E$51</f>
        <v/>
      </c>
      <c r="HJ51" s="108" t="n"/>
      <c r="HK51" s="107">
        <f>HJ51*100/$E$51</f>
        <v/>
      </c>
      <c r="HL51" s="108" t="n"/>
      <c r="HM51" s="107">
        <f>HL51*100/$E$51</f>
        <v/>
      </c>
      <c r="HN51" s="108" t="n"/>
      <c r="HO51" s="107">
        <f>HN51*100/$E$51</f>
        <v/>
      </c>
      <c r="HP51" s="108" t="n"/>
      <c r="HQ51" s="107">
        <f>HP51*100/$E$51</f>
        <v/>
      </c>
      <c r="HR51" s="108" t="n"/>
      <c r="HS51" s="107">
        <f>HR51*100/$E$51</f>
        <v/>
      </c>
      <c r="HT51" s="108" t="n"/>
      <c r="HU51" s="107">
        <f>HT51*100/$E$51</f>
        <v/>
      </c>
      <c r="HV51" s="108" t="n"/>
      <c r="HW51" s="107">
        <f>HV51*100/$E$51</f>
        <v/>
      </c>
      <c r="HX51" s="108" t="n"/>
      <c r="HY51" s="107">
        <f>HX51*100/$E$51</f>
        <v/>
      </c>
      <c r="HZ51" s="108" t="n"/>
      <c r="IA51" s="122">
        <f>HZ51*100/$E$51</f>
        <v/>
      </c>
      <c r="IB51" s="108" t="n"/>
      <c r="IC51" s="122">
        <f>IB51*100/$E$51</f>
        <v/>
      </c>
      <c r="ID51" s="108" t="n"/>
      <c r="IE51" s="122">
        <f>ID51*100/$E$51</f>
        <v/>
      </c>
      <c r="IF51" s="108" t="n"/>
      <c r="IG51" s="122">
        <f>IF51*100/$E$51</f>
        <v/>
      </c>
      <c r="IH51" s="108" t="n"/>
      <c r="II51" s="122">
        <f>IH51*100/$E$51</f>
        <v/>
      </c>
      <c r="IJ51" s="108" t="n"/>
      <c r="IK51" s="122">
        <f>IJ51*100/$E$51</f>
        <v/>
      </c>
      <c r="IL51" s="108" t="n"/>
      <c r="IM51" s="107">
        <f>IL51*100/$E$51</f>
        <v/>
      </c>
      <c r="IN51" s="108" t="n"/>
      <c r="IO51" s="107">
        <f>IN51*100/$E$51</f>
        <v/>
      </c>
      <c r="IP51" s="108" t="n"/>
      <c r="IQ51" s="122">
        <f>IP51*100/$E$51</f>
        <v/>
      </c>
      <c r="IR51" s="108" t="n"/>
      <c r="IS51" s="122">
        <f>IR51*100/$E$51</f>
        <v/>
      </c>
      <c r="IT51" s="108" t="n"/>
      <c r="IU51" s="122">
        <f>IT51*100/$E$51</f>
        <v/>
      </c>
      <c r="IV51" s="108" t="n"/>
      <c r="IW51" s="122">
        <f>IV51*100/$E$51</f>
        <v/>
      </c>
      <c r="IX51" s="108" t="n"/>
      <c r="IY51" s="122">
        <f>IX51*100/$E$51</f>
        <v/>
      </c>
      <c r="IZ51" s="108" t="n"/>
      <c r="JA51" s="122">
        <f>IZ51*100/$E$51</f>
        <v/>
      </c>
      <c r="JB51" s="108" t="n"/>
      <c r="JC51" s="122">
        <f>JB51*100/$E$51</f>
        <v/>
      </c>
      <c r="JD51" s="108" t="n"/>
      <c r="JE51" s="122">
        <f>JD51*100/$E$51</f>
        <v/>
      </c>
      <c r="JF51" s="108" t="n"/>
      <c r="JG51" s="122">
        <f>JF51*100/$E$51</f>
        <v/>
      </c>
      <c r="JH51" s="108" t="n"/>
      <c r="JI51" s="122">
        <f>JH51*100/$E$51</f>
        <v/>
      </c>
      <c r="JJ51" s="108" t="n"/>
      <c r="JK51" s="122">
        <f>JJ51*100/$E$51</f>
        <v/>
      </c>
      <c r="JL51" s="108" t="n"/>
      <c r="JM51" s="122">
        <f>JL51*100/$E$51</f>
        <v/>
      </c>
      <c r="JN51" s="108" t="n"/>
      <c r="JO51" s="121">
        <f>JN51*100/$E$51</f>
        <v/>
      </c>
      <c r="JP51" s="108" t="n"/>
      <c r="JQ51" s="121">
        <f>JP51*100/$E$51</f>
        <v/>
      </c>
      <c r="JR51" s="108" t="n"/>
      <c r="JS51" s="121">
        <f>JR51*100/$E$51</f>
        <v/>
      </c>
      <c r="JT51" s="108" t="n"/>
      <c r="JU51" s="121">
        <f>JT51*100/$E$51</f>
        <v/>
      </c>
      <c r="JV51" s="108" t="n"/>
      <c r="JW51" s="121">
        <f>JV51*100/$E$51</f>
        <v/>
      </c>
      <c r="JX51" s="108" t="n"/>
      <c r="JY51" s="121">
        <f>JX51*100/$E$51</f>
        <v/>
      </c>
      <c r="JZ51" s="55">
        <f>JN51+JP51+JR51+JT51+JV51+JX51</f>
        <v/>
      </c>
      <c r="KA51" s="53">
        <f>JO51+JQ51+JS51+JU51+JW51+JY51</f>
        <v/>
      </c>
      <c r="KB51" s="64">
        <f>H51+J51+L51+N51+P51+R51+T51+V51+X51+Z51+AB51+AD51+AF51+AH51+AJ51+AL51+AN51+AP51+AR51+AT51+AV51+AX51+AZ51+BB51+BD51+BF51+BH51+BJ51+BL51+BN51+BP51+BR51+BT51+BV51+BX51+BZ51+CB51+CD51+CF51+CH51+CZ51+DB51+DD51+DF51+DH51+DJ51+DL51+DN51+DP51+DR51+DT51+DV51+DX51+DZ51+EB51+ED51+EF51+EH51+EJ51+EL51+EN51+EP51+ER51+ET51+EV51+FN51+FP51+FR51+FT51+FV51+FX51+FZ51+GB51+GD51+GF51+GH51+GJ51+GL51+GN51+GP51+GR51+GT51+GV51+GX51+GZ51+HB51+HD51+HF51+HH51+HJ51+HL51+HN51+HP51+HR51+HT51+HV51+HX51+HZ51+IB51+ID51+IF51+IH51+IJ51+IL51+IN51+IP51+IR51+IT51+IV51+IX51+IZ51+JB51+JD51+JF51+JH51+JJ51+JL51+JZ51+CJ51+CL51+CN51+CP51+CR51+CT51+CV51+CX51+EX51+EZ51+FB51+FD51+FF51+FH51+FJ51+FL51</f>
        <v/>
      </c>
      <c r="KC51" s="66">
        <f>I51+K51+M51+O51+Q51+S51+U51+W51+Y51+AA51+AC51+AE51+AG51+AI51+AK51+AM51+AO51+AQ51+AS51+AU51+AW51+AY51+BA51+BC51+BE51+BG51+BI51+BK51+BM51+BO51+BQ51+BS51+BU51+BW51+BY51+CA51+CC51+CE51+CG51+CI51+DA51+DC51+DE51+DG51+DI51+DK51+DM51+DO51+DQ51+DS51+DU51+DW51+DY51+EA51+EC51+EE51+EG51+EI51+EK51+EM51+EO51+EQ51+ES51+EU51+EW51+FO51+FS51+FU51+FW51+FQ51+FY51+GA51+GC51+GE51+GG51+GI51+GK51+GM51+GO51+GQ51+GS51+GU51+GW51+GY51+HA51+HC51+HE51+HG51+HI51+HK51+HM51+HO51+HQ51+HS51+HU51+HW51+HY51+IA51+IC51+IE51+IG51+II51+IK51+IM51+IO51+IQ51+IS51+IU51+IW51+IY51+JA51+JC51+JE51+JG51+JI51+JK51+JM51+KA51+CK51+CM51+CO51+CQ51+CS51+CU51+CW51+CY51+EY51+FA51+FC51+FE51+FG51+FI51+FK51+FM51</f>
        <v/>
      </c>
      <c r="KD51" s="44">
        <f>JO51+JQ51+JS51+JU51+JW51+JY51</f>
        <v/>
      </c>
      <c r="KE51" s="45">
        <f>KB51=E51</f>
        <v/>
      </c>
      <c r="KF51" s="101">
        <f>E51-KB51</f>
        <v/>
      </c>
      <c r="KG51" s="28" t="n"/>
    </row>
    <row r="52" ht="29.25" customFormat="1" customHeight="1" s="100" thickBot="1">
      <c r="A52" s="129" t="n"/>
      <c r="B52" s="135" t="inlineStr">
        <is>
          <t>Итого</t>
        </is>
      </c>
      <c r="C52" s="91" t="n"/>
      <c r="D52" s="131">
        <f>SUM(D9:D51)</f>
        <v/>
      </c>
      <c r="E52" s="31">
        <f>SUM(E9:E51)</f>
        <v/>
      </c>
      <c r="F52" s="92">
        <f>SUM(F9:F51)</f>
        <v/>
      </c>
      <c r="G52" s="105">
        <f>E52*F53</f>
        <v/>
      </c>
      <c r="H52" s="95">
        <f>SUM(H9:H51)</f>
        <v/>
      </c>
      <c r="I52" s="96">
        <f>SUM(I9:I51)</f>
        <v/>
      </c>
      <c r="J52" s="89">
        <f>SUM(J9:J51)</f>
        <v/>
      </c>
      <c r="K52" s="96">
        <f>SUM(K9:K51)</f>
        <v/>
      </c>
      <c r="L52" s="89">
        <f>SUM(L9:L51)</f>
        <v/>
      </c>
      <c r="M52" s="96">
        <f>SUM(M9:M51)</f>
        <v/>
      </c>
      <c r="N52" s="89">
        <f>SUM(N9:N51)</f>
        <v/>
      </c>
      <c r="O52" s="96">
        <f>SUM(O9:O51)</f>
        <v/>
      </c>
      <c r="P52" s="89">
        <f>SUM(P9:P51)</f>
        <v/>
      </c>
      <c r="Q52" s="96">
        <f>SUM(Q9:Q51)</f>
        <v/>
      </c>
      <c r="R52" s="95">
        <f>SUM(R9:R51)</f>
        <v/>
      </c>
      <c r="S52" s="96">
        <f>SUM(S9:S51)</f>
        <v/>
      </c>
      <c r="T52" s="89">
        <f>SUM(T9:T51)</f>
        <v/>
      </c>
      <c r="U52" s="96">
        <f>SUM(U9:U51)</f>
        <v/>
      </c>
      <c r="V52" s="89">
        <f>SUM(V9:V51)</f>
        <v/>
      </c>
      <c r="W52" s="96">
        <f>SUM(W9:W51)</f>
        <v/>
      </c>
      <c r="X52" s="89">
        <f>SUM(X9:X51)</f>
        <v/>
      </c>
      <c r="Y52" s="96">
        <f>SUM(Y9:Y51)</f>
        <v/>
      </c>
      <c r="Z52" s="89">
        <f>SUM(Z9:Z51)</f>
        <v/>
      </c>
      <c r="AA52" s="96">
        <f>SUM(AA9:AA51)</f>
        <v/>
      </c>
      <c r="AB52" s="89">
        <f>SUM(AB9:AB51)</f>
        <v/>
      </c>
      <c r="AC52" s="96">
        <f>SUM(AC9:AC51)</f>
        <v/>
      </c>
      <c r="AD52" s="89">
        <f>SUM(AD9:AD51)</f>
        <v/>
      </c>
      <c r="AE52" s="96">
        <f>SUM(AE9:AE51)</f>
        <v/>
      </c>
      <c r="AF52" s="89">
        <f>SUM(AF9:AF51)</f>
        <v/>
      </c>
      <c r="AG52" s="96">
        <f>SUM(AG9:AG51)</f>
        <v/>
      </c>
      <c r="AH52" s="89">
        <f>SUM(AH9:AH51)</f>
        <v/>
      </c>
      <c r="AI52" s="96">
        <f>SUM(AI9:AI51)</f>
        <v/>
      </c>
      <c r="AJ52" s="89">
        <f>SUM(AJ9:AJ51)</f>
        <v/>
      </c>
      <c r="AK52" s="96">
        <f>SUM(AK9:AK51)</f>
        <v/>
      </c>
      <c r="AL52" s="89">
        <f>SUM(AL9:AL51)</f>
        <v/>
      </c>
      <c r="AM52" s="96">
        <f>SUM(AM9:AM51)</f>
        <v/>
      </c>
      <c r="AN52" s="89">
        <f>SUM(AN9:AN51)</f>
        <v/>
      </c>
      <c r="AO52" s="96">
        <f>SUM(AO9:AO51)</f>
        <v/>
      </c>
      <c r="AP52" s="89">
        <f>SUM(AP9:AP51)</f>
        <v/>
      </c>
      <c r="AQ52" s="96">
        <f>SUM(AQ9:AQ51)</f>
        <v/>
      </c>
      <c r="AR52" s="89">
        <f>SUM(AR9:AR51)</f>
        <v/>
      </c>
      <c r="AS52" s="96">
        <f>SUM(AS9:AS51)</f>
        <v/>
      </c>
      <c r="AT52" s="89">
        <f>SUM(AT9:AT51)</f>
        <v/>
      </c>
      <c r="AU52" s="96">
        <f>SUM(AU9:AU51)</f>
        <v/>
      </c>
      <c r="AV52" s="89">
        <f>SUM(AV9:AV51)</f>
        <v/>
      </c>
      <c r="AW52" s="96">
        <f>SUM(AW9:AW51)</f>
        <v/>
      </c>
      <c r="AX52" s="89">
        <f>SUM(AX9:AX51)</f>
        <v/>
      </c>
      <c r="AY52" s="96">
        <f>SUM(AY9:AY51)</f>
        <v/>
      </c>
      <c r="AZ52" s="89">
        <f>SUM(AZ9:AZ51)</f>
        <v/>
      </c>
      <c r="BA52" s="96">
        <f>SUM(BA9:BA51)</f>
        <v/>
      </c>
      <c r="BB52" s="89">
        <f>SUM(BB9:BB51)</f>
        <v/>
      </c>
      <c r="BC52" s="96">
        <f>SUM(BC9:BC51)</f>
        <v/>
      </c>
      <c r="BD52" s="89">
        <f>SUM(BD9:BD51)</f>
        <v/>
      </c>
      <c r="BE52" s="96">
        <f>SUM(BE9:BE51)</f>
        <v/>
      </c>
      <c r="BF52" s="89">
        <f>SUM(BF9:BF51)</f>
        <v/>
      </c>
      <c r="BG52" s="96">
        <f>SUM(BG9:BG51)</f>
        <v/>
      </c>
      <c r="BH52" s="89">
        <f>SUM(BH9:BH51)</f>
        <v/>
      </c>
      <c r="BI52" s="96">
        <f>SUM(BI9:BI51)</f>
        <v/>
      </c>
      <c r="BJ52" s="89">
        <f>SUM(BJ9:BJ51)</f>
        <v/>
      </c>
      <c r="BK52" s="96">
        <f>SUM(BK9:BK51)</f>
        <v/>
      </c>
      <c r="BL52" s="89">
        <f>SUM(BL9:BL51)</f>
        <v/>
      </c>
      <c r="BM52" s="96">
        <f>SUM(BM9:BM51)</f>
        <v/>
      </c>
      <c r="BN52" s="89">
        <f>SUM(BN9:BN51)</f>
        <v/>
      </c>
      <c r="BO52" s="96">
        <f>SUM(BO9:BO51)</f>
        <v/>
      </c>
      <c r="BP52" s="89">
        <f>SUM(BP9:BP51)</f>
        <v/>
      </c>
      <c r="BQ52" s="96">
        <f>SUM(BQ9:BQ51)</f>
        <v/>
      </c>
      <c r="BR52" s="89">
        <f>SUM(BR9:BR51)</f>
        <v/>
      </c>
      <c r="BS52" s="96">
        <f>SUM(BS9:BS51)</f>
        <v/>
      </c>
      <c r="BT52" s="89">
        <f>SUM(BT9:BT51)</f>
        <v/>
      </c>
      <c r="BU52" s="96">
        <f>SUM(BU9:BU51)</f>
        <v/>
      </c>
      <c r="BV52" s="89">
        <f>SUM(BV9:BV51)</f>
        <v/>
      </c>
      <c r="BW52" s="96">
        <f>SUM(BW9:BW51)</f>
        <v/>
      </c>
      <c r="BX52" s="89">
        <f>SUM(BX9:BX51)</f>
        <v/>
      </c>
      <c r="BY52" s="96">
        <f>SUM(BY9:BY51)</f>
        <v/>
      </c>
      <c r="BZ52" s="89">
        <f>SUM(BZ9:BZ51)</f>
        <v/>
      </c>
      <c r="CA52" s="96">
        <f>SUM(CA9:CA51)</f>
        <v/>
      </c>
      <c r="CB52" s="89">
        <f>SUM(CB9:CB51)</f>
        <v/>
      </c>
      <c r="CC52" s="96">
        <f>SUM(CC9:CC51)</f>
        <v/>
      </c>
      <c r="CD52" s="89">
        <f>SUM(CD9:CD51)</f>
        <v/>
      </c>
      <c r="CE52" s="96">
        <f>SUM(CE9:CE51)</f>
        <v/>
      </c>
      <c r="CF52" s="89">
        <f>SUM(CF9:CF51)</f>
        <v/>
      </c>
      <c r="CG52" s="96">
        <f>SUM(CG9:CG51)</f>
        <v/>
      </c>
      <c r="CH52" s="89">
        <f>SUM(CH9:CH51)</f>
        <v/>
      </c>
      <c r="CI52" s="96">
        <f>SUM(CI9:CI51)</f>
        <v/>
      </c>
      <c r="CJ52" s="89">
        <f>SUM(CJ9:CJ51)</f>
        <v/>
      </c>
      <c r="CK52" s="96">
        <f>SUM(CK9:CK51)</f>
        <v/>
      </c>
      <c r="CL52" s="89">
        <f>SUM(CL9:CL51)</f>
        <v/>
      </c>
      <c r="CM52" s="96">
        <f>SUM(CM9:CM51)</f>
        <v/>
      </c>
      <c r="CN52" s="89">
        <f>SUM(CN9:CN51)</f>
        <v/>
      </c>
      <c r="CO52" s="96">
        <f>SUM(CO9:CO51)</f>
        <v/>
      </c>
      <c r="CP52" s="89">
        <f>SUM(CP9:CP51)</f>
        <v/>
      </c>
      <c r="CQ52" s="96">
        <f>SUM(CQ9:CQ51)</f>
        <v/>
      </c>
      <c r="CR52" s="89">
        <f>SUM(CR9:CR51)</f>
        <v/>
      </c>
      <c r="CS52" s="96">
        <f>SUM(CS9:CS51)</f>
        <v/>
      </c>
      <c r="CT52" s="89">
        <f>SUM(CT9:CT51)</f>
        <v/>
      </c>
      <c r="CU52" s="96">
        <f>SUM(CU9:CU51)</f>
        <v/>
      </c>
      <c r="CV52" s="89">
        <f>SUM(CV9:CV51)</f>
        <v/>
      </c>
      <c r="CW52" s="96">
        <f>SUM(CW9:CW51)</f>
        <v/>
      </c>
      <c r="CX52" s="89">
        <f>SUM(CX9:CX51)</f>
        <v/>
      </c>
      <c r="CY52" s="96">
        <f>SUM(CY9:CY51)</f>
        <v/>
      </c>
      <c r="CZ52" s="89">
        <f>SUM(CZ9:CZ51)</f>
        <v/>
      </c>
      <c r="DA52" s="96">
        <f>SUM(DA9:DA51)</f>
        <v/>
      </c>
      <c r="DB52" s="89">
        <f>SUM(DB9:DB51)</f>
        <v/>
      </c>
      <c r="DC52" s="96">
        <f>SUM(DC9:DC51)</f>
        <v/>
      </c>
      <c r="DD52" s="89">
        <f>SUM(DD9:DD51)</f>
        <v/>
      </c>
      <c r="DE52" s="96">
        <f>SUM(DE9:DE51)</f>
        <v/>
      </c>
      <c r="DF52" s="89">
        <f>SUM(DF9:DF51)</f>
        <v/>
      </c>
      <c r="DG52" s="96">
        <f>SUM(DG9:DG51)</f>
        <v/>
      </c>
      <c r="DH52" s="89">
        <f>SUM(DH9:DH51)</f>
        <v/>
      </c>
      <c r="DI52" s="96">
        <f>SUM(DI9:DI51)</f>
        <v/>
      </c>
      <c r="DJ52" s="89">
        <f>SUM(DJ9:DJ51)</f>
        <v/>
      </c>
      <c r="DK52" s="96">
        <f>SUM(DK9:DK51)</f>
        <v/>
      </c>
      <c r="DL52" s="89">
        <f>SUM(DL9:DL51)</f>
        <v/>
      </c>
      <c r="DM52" s="96">
        <f>SUM(DM9:DM51)</f>
        <v/>
      </c>
      <c r="DN52" s="89">
        <f>SUM(DN9:DN51)</f>
        <v/>
      </c>
      <c r="DO52" s="96">
        <f>SUM(DO9:DO51)</f>
        <v/>
      </c>
      <c r="DP52" s="89">
        <f>SUM(DP9:DP51)</f>
        <v/>
      </c>
      <c r="DQ52" s="96">
        <f>SUM(DQ9:DQ51)</f>
        <v/>
      </c>
      <c r="DR52" s="89">
        <f>SUM(DR9:DR51)</f>
        <v/>
      </c>
      <c r="DS52" s="96">
        <f>SUM(DS9:DS51)</f>
        <v/>
      </c>
      <c r="DT52" s="89">
        <f>SUM(DT9:DT51)</f>
        <v/>
      </c>
      <c r="DU52" s="96">
        <f>SUM(DU9:DU51)</f>
        <v/>
      </c>
      <c r="DV52" s="89">
        <f>SUM(DV9:DV51)</f>
        <v/>
      </c>
      <c r="DW52" s="96">
        <f>SUM(DW9:DW51)</f>
        <v/>
      </c>
      <c r="DX52" s="89">
        <f>SUM(DX9:DX51)</f>
        <v/>
      </c>
      <c r="DY52" s="96">
        <f>SUM(DY9:DY51)</f>
        <v/>
      </c>
      <c r="DZ52" s="89">
        <f>SUM(DZ9:DZ51)</f>
        <v/>
      </c>
      <c r="EA52" s="96">
        <f>SUM(EA9:EA51)</f>
        <v/>
      </c>
      <c r="EB52" s="89">
        <f>SUM(EB9:EB51)</f>
        <v/>
      </c>
      <c r="EC52" s="96">
        <f>SUM(EC9:EC51)</f>
        <v/>
      </c>
      <c r="ED52" s="89">
        <f>SUM(ED9:ED51)</f>
        <v/>
      </c>
      <c r="EE52" s="96">
        <f>SUM(EE9:EE51)</f>
        <v/>
      </c>
      <c r="EF52" s="89">
        <f>SUM(EF9:EF51)</f>
        <v/>
      </c>
      <c r="EG52" s="96">
        <f>SUM(EG9:EG51)</f>
        <v/>
      </c>
      <c r="EH52" s="89">
        <f>SUM(EH9:EH51)</f>
        <v/>
      </c>
      <c r="EI52" s="96">
        <f>SUM(EI9:EI51)</f>
        <v/>
      </c>
      <c r="EJ52" s="89">
        <f>SUM(EJ9:EJ51)</f>
        <v/>
      </c>
      <c r="EK52" s="96">
        <f>SUM(EK9:EK51)</f>
        <v/>
      </c>
      <c r="EL52" s="89">
        <f>SUM(EL9:EL51)</f>
        <v/>
      </c>
      <c r="EM52" s="96">
        <f>SUM(EM9:EM51)</f>
        <v/>
      </c>
      <c r="EN52" s="89">
        <f>SUM(EN9:EN51)</f>
        <v/>
      </c>
      <c r="EO52" s="96">
        <f>SUM(EO9:EO51)</f>
        <v/>
      </c>
      <c r="EP52" s="89">
        <f>SUM(EP9:EP51)</f>
        <v/>
      </c>
      <c r="EQ52" s="96">
        <f>SUM(EQ9:EQ51)</f>
        <v/>
      </c>
      <c r="ER52" s="89">
        <f>SUM(ER9:ER51)</f>
        <v/>
      </c>
      <c r="ES52" s="96">
        <f>SUM(ES9:ES51)</f>
        <v/>
      </c>
      <c r="ET52" s="89">
        <f>SUM(ET9:ET51)</f>
        <v/>
      </c>
      <c r="EU52" s="96">
        <f>SUM(EU9:EU51)</f>
        <v/>
      </c>
      <c r="EV52" s="89">
        <f>SUM(EV9:EV51)</f>
        <v/>
      </c>
      <c r="EW52" s="96">
        <f>SUM(EW9:EW51)</f>
        <v/>
      </c>
      <c r="EX52" s="89">
        <f>SUM(EX9:EX51)</f>
        <v/>
      </c>
      <c r="EY52" s="96">
        <f>SUM(EY9:EY51)</f>
        <v/>
      </c>
      <c r="EZ52" s="89">
        <f>SUM(EZ9:EZ51)</f>
        <v/>
      </c>
      <c r="FA52" s="96">
        <f>SUM(FA9:FA51)</f>
        <v/>
      </c>
      <c r="FB52" s="89">
        <f>SUM(FB9:FB51)</f>
        <v/>
      </c>
      <c r="FC52" s="96">
        <f>SUM(FC9:FC51)</f>
        <v/>
      </c>
      <c r="FD52" s="89">
        <f>SUM(FD9:FD51)</f>
        <v/>
      </c>
      <c r="FE52" s="96">
        <f>SUM(FE9:FE51)</f>
        <v/>
      </c>
      <c r="FF52" s="89">
        <f>SUM(FF9:FF51)</f>
        <v/>
      </c>
      <c r="FG52" s="96">
        <f>SUM(FG9:FG51)</f>
        <v/>
      </c>
      <c r="FH52" s="89">
        <f>SUM(FH9:FH51)</f>
        <v/>
      </c>
      <c r="FI52" s="96">
        <f>SUM(FI9:FI51)</f>
        <v/>
      </c>
      <c r="FJ52" s="89">
        <f>SUM(FJ9:FJ51)</f>
        <v/>
      </c>
      <c r="FK52" s="96">
        <f>SUM(FK9:FK51)</f>
        <v/>
      </c>
      <c r="FL52" s="89">
        <f>SUM(FL9:FL51)</f>
        <v/>
      </c>
      <c r="FM52" s="96">
        <f>SUM(FM9:FM51)</f>
        <v/>
      </c>
      <c r="FN52" s="89">
        <f>SUM(FN9:FN51)</f>
        <v/>
      </c>
      <c r="FO52" s="96">
        <f>SUM(FO9:FO51)</f>
        <v/>
      </c>
      <c r="FP52" s="89">
        <f>SUM(FP9:FP51)</f>
        <v/>
      </c>
      <c r="FQ52" s="96">
        <f>SUM(FQ9:FQ51)</f>
        <v/>
      </c>
      <c r="FR52" s="89">
        <f>SUM(FR9:FR51)</f>
        <v/>
      </c>
      <c r="FS52" s="96">
        <f>SUM(FS9:FS51)</f>
        <v/>
      </c>
      <c r="FT52" s="89">
        <f>SUM(FT9:FT51)</f>
        <v/>
      </c>
      <c r="FU52" s="96">
        <f>SUM(FU9:FU51)</f>
        <v/>
      </c>
      <c r="FV52" s="89">
        <f>SUM(FV9:FV51)</f>
        <v/>
      </c>
      <c r="FW52" s="96">
        <f>SUM(FW9:FW51)</f>
        <v/>
      </c>
      <c r="FX52" s="89">
        <f>SUM(FX9:FX51)</f>
        <v/>
      </c>
      <c r="FY52" s="96">
        <f>SUM(FY9:FY51)</f>
        <v/>
      </c>
      <c r="FZ52" s="89">
        <f>SUM(FZ9:FZ51)</f>
        <v/>
      </c>
      <c r="GA52" s="96">
        <f>SUM(GA9:GA51)</f>
        <v/>
      </c>
      <c r="GB52" s="89">
        <f>SUM(GB9:GB51)</f>
        <v/>
      </c>
      <c r="GC52" s="96">
        <f>SUM(GC9:GC51)</f>
        <v/>
      </c>
      <c r="GD52" s="89">
        <f>SUM(GD9:GD51)</f>
        <v/>
      </c>
      <c r="GE52" s="96">
        <f>SUM(GE9:GE51)</f>
        <v/>
      </c>
      <c r="GF52" s="89">
        <f>SUM(GF9:GF51)</f>
        <v/>
      </c>
      <c r="GG52" s="96">
        <f>SUM(GG9:GG51)</f>
        <v/>
      </c>
      <c r="GH52" s="89">
        <f>SUM(GH9:GH51)</f>
        <v/>
      </c>
      <c r="GI52" s="96">
        <f>SUM(GI9:GI51)</f>
        <v/>
      </c>
      <c r="GJ52" s="89">
        <f>SUM(GJ9:GJ51)</f>
        <v/>
      </c>
      <c r="GK52" s="96">
        <f>SUM(GK9:GK51)</f>
        <v/>
      </c>
      <c r="GL52" s="89">
        <f>SUM(GL9:GL51)</f>
        <v/>
      </c>
      <c r="GM52" s="96">
        <f>SUM(GM9:GM51)</f>
        <v/>
      </c>
      <c r="GN52" s="89">
        <f>SUM(GN9:GN51)</f>
        <v/>
      </c>
      <c r="GO52" s="96">
        <f>SUM(GO9:GO51)</f>
        <v/>
      </c>
      <c r="GP52" s="89">
        <f>SUM(GP9:GP51)</f>
        <v/>
      </c>
      <c r="GQ52" s="96">
        <f>SUM(GQ9:GQ51)</f>
        <v/>
      </c>
      <c r="GR52" s="89">
        <f>SUM(GR9:GR51)</f>
        <v/>
      </c>
      <c r="GS52" s="96">
        <f>SUM(GS9:GS51)</f>
        <v/>
      </c>
      <c r="GT52" s="89">
        <f>SUM(GT9:GT51)</f>
        <v/>
      </c>
      <c r="GU52" s="96">
        <f>SUM(GU9:GU51)</f>
        <v/>
      </c>
      <c r="GV52" s="89">
        <f>SUM(GV9:GV51)</f>
        <v/>
      </c>
      <c r="GW52" s="96">
        <f>SUM(GW9:GW51)</f>
        <v/>
      </c>
      <c r="GX52" s="89">
        <f>SUM(GX9:GX51)</f>
        <v/>
      </c>
      <c r="GY52" s="96">
        <f>SUM(GY9:GY51)</f>
        <v/>
      </c>
      <c r="GZ52" s="89">
        <f>SUM(GZ9:GZ51)</f>
        <v/>
      </c>
      <c r="HA52" s="96">
        <f>SUM(HA9:HA51)</f>
        <v/>
      </c>
      <c r="HB52" s="89">
        <f>SUM(HB9:HB51)</f>
        <v/>
      </c>
      <c r="HC52" s="96">
        <f>SUM(HC9:HC51)</f>
        <v/>
      </c>
      <c r="HD52" s="89">
        <f>SUM(HD9:HD51)</f>
        <v/>
      </c>
      <c r="HE52" s="96">
        <f>SUM(HE9:HE51)</f>
        <v/>
      </c>
      <c r="HF52" s="89">
        <f>SUM(HF9:HF51)</f>
        <v/>
      </c>
      <c r="HG52" s="96">
        <f>SUM(HG9:HG51)</f>
        <v/>
      </c>
      <c r="HH52" s="89">
        <f>SUM(HH9:HH51)</f>
        <v/>
      </c>
      <c r="HI52" s="96">
        <f>SUM(HI9:HI51)</f>
        <v/>
      </c>
      <c r="HJ52" s="89">
        <f>SUM(HJ9:HJ51)</f>
        <v/>
      </c>
      <c r="HK52" s="96">
        <f>SUM(HK9:HK51)</f>
        <v/>
      </c>
      <c r="HL52" s="89">
        <f>SUM(HL9:HL51)</f>
        <v/>
      </c>
      <c r="HM52" s="96">
        <f>SUM(HM9:HM51)</f>
        <v/>
      </c>
      <c r="HN52" s="89">
        <f>SUM(HN9:HN51)</f>
        <v/>
      </c>
      <c r="HO52" s="96">
        <f>SUM(HO9:HO51)</f>
        <v/>
      </c>
      <c r="HP52" s="89">
        <f>SUM(HP9:HP51)</f>
        <v/>
      </c>
      <c r="HQ52" s="96">
        <f>SUM(HQ9:HQ51)</f>
        <v/>
      </c>
      <c r="HR52" s="89">
        <f>SUM(HR9:HR51)</f>
        <v/>
      </c>
      <c r="HS52" s="96">
        <f>SUM(HS9:HS51)</f>
        <v/>
      </c>
      <c r="HT52" s="89">
        <f>SUM(HT9:HT51)</f>
        <v/>
      </c>
      <c r="HU52" s="96">
        <f>SUM(HU9:HU51)</f>
        <v/>
      </c>
      <c r="HV52" s="89">
        <f>SUM(HV9:HV51)</f>
        <v/>
      </c>
      <c r="HW52" s="96">
        <f>SUM(HW9:HW51)</f>
        <v/>
      </c>
      <c r="HX52" s="89">
        <f>SUM(HX9:HX51)</f>
        <v/>
      </c>
      <c r="HY52" s="96">
        <f>SUM(HY9:HY51)</f>
        <v/>
      </c>
      <c r="HZ52" s="89">
        <f>SUM(HZ9:HZ51)</f>
        <v/>
      </c>
      <c r="IA52" s="96">
        <f>SUM(IA9:IA51)</f>
        <v/>
      </c>
      <c r="IB52" s="89">
        <f>SUM(IB9:IB51)</f>
        <v/>
      </c>
      <c r="IC52" s="96">
        <f>SUM(IC9:IC51)</f>
        <v/>
      </c>
      <c r="ID52" s="89">
        <f>SUM(ID9:ID51)</f>
        <v/>
      </c>
      <c r="IE52" s="96">
        <f>SUM(IE9:IE51)</f>
        <v/>
      </c>
      <c r="IF52" s="89">
        <f>SUM(IF9:IF51)</f>
        <v/>
      </c>
      <c r="IG52" s="96">
        <f>SUM(IG9:IG51)</f>
        <v/>
      </c>
      <c r="IH52" s="89">
        <f>SUM(IH9:IH51)</f>
        <v/>
      </c>
      <c r="II52" s="96">
        <f>SUM(II9:II51)</f>
        <v/>
      </c>
      <c r="IJ52" s="89">
        <f>SUM(IJ9:IJ51)</f>
        <v/>
      </c>
      <c r="IK52" s="96">
        <f>SUM(IK9:IK51)</f>
        <v/>
      </c>
      <c r="IL52" s="89">
        <f>SUM(IL9:IL51)</f>
        <v/>
      </c>
      <c r="IM52" s="96">
        <f>SUM(IM9:IM51)</f>
        <v/>
      </c>
      <c r="IN52" s="89">
        <f>SUM(IN9:IN51)</f>
        <v/>
      </c>
      <c r="IO52" s="96">
        <f>SUM(IO9:IO51)</f>
        <v/>
      </c>
      <c r="IP52" s="89">
        <f>SUM(IP9:IP51)</f>
        <v/>
      </c>
      <c r="IQ52" s="96">
        <f>SUM(IQ9:IQ51)</f>
        <v/>
      </c>
      <c r="IR52" s="89">
        <f>SUM(IR9:IR51)</f>
        <v/>
      </c>
      <c r="IS52" s="96">
        <f>SUM(IS9:IS51)</f>
        <v/>
      </c>
      <c r="IT52" s="89">
        <f>SUM(IT9:IT51)</f>
        <v/>
      </c>
      <c r="IU52" s="96">
        <f>SUM(IU9:IU51)</f>
        <v/>
      </c>
      <c r="IV52" s="89">
        <f>SUM(IV9:IV51)</f>
        <v/>
      </c>
      <c r="IW52" s="96">
        <f>SUM(IW9:IW51)</f>
        <v/>
      </c>
      <c r="IX52" s="89">
        <f>SUM(IX9:IX51)</f>
        <v/>
      </c>
      <c r="IY52" s="96">
        <f>SUM(IY9:IY51)</f>
        <v/>
      </c>
      <c r="IZ52" s="89">
        <f>SUM(IZ9:IZ51)</f>
        <v/>
      </c>
      <c r="JA52" s="96">
        <f>SUM(JA9:JA51)</f>
        <v/>
      </c>
      <c r="JB52" s="89">
        <f>SUM(JB9:JB51)</f>
        <v/>
      </c>
      <c r="JC52" s="96">
        <f>SUM(JC9:JC51)</f>
        <v/>
      </c>
      <c r="JD52" s="89">
        <f>SUM(JD9:JD51)</f>
        <v/>
      </c>
      <c r="JE52" s="96">
        <f>SUM(JE9:JE51)</f>
        <v/>
      </c>
      <c r="JF52" s="89">
        <f>SUM(JF9:JF51)</f>
        <v/>
      </c>
      <c r="JG52" s="96">
        <f>SUM(JG9:JG51)</f>
        <v/>
      </c>
      <c r="JH52" s="89">
        <f>SUM(JH9:JH51)</f>
        <v/>
      </c>
      <c r="JI52" s="96">
        <f>SUM(JI9:JI51)</f>
        <v/>
      </c>
      <c r="JJ52" s="89">
        <f>SUM(JJ9:JJ51)</f>
        <v/>
      </c>
      <c r="JK52" s="96">
        <f>SUM(JK9:JK51)</f>
        <v/>
      </c>
      <c r="JL52" s="89">
        <f>SUM(JL9:JL51)</f>
        <v/>
      </c>
      <c r="JM52" s="96">
        <f>SUM(JM9:JM51)</f>
        <v/>
      </c>
      <c r="JN52" s="93">
        <f>SUM(JN9:JN51)</f>
        <v/>
      </c>
      <c r="JO52" s="102">
        <f>JN52*100/$E$25</f>
        <v/>
      </c>
      <c r="JP52" s="94">
        <f>SUM(JP9:JP51)</f>
        <v/>
      </c>
      <c r="JQ52" s="103">
        <f>JP52*100/$E$15</f>
        <v/>
      </c>
      <c r="JR52" s="94">
        <f>SUM(JR9:JR51)</f>
        <v/>
      </c>
      <c r="JS52" s="102">
        <f>JR52*100/$E$25</f>
        <v/>
      </c>
      <c r="JT52" s="94">
        <f>SUM(JT9:JT51)</f>
        <v/>
      </c>
      <c r="JU52" s="102">
        <f>JT52*100/$E$25</f>
        <v/>
      </c>
      <c r="JV52" s="94">
        <f>SUM(JV9:JV51)</f>
        <v/>
      </c>
      <c r="JW52" s="102">
        <f>JV52*100/$E$25</f>
        <v/>
      </c>
      <c r="JX52" s="94">
        <f>SUM(JX9:JX51)</f>
        <v/>
      </c>
      <c r="JY52" s="102">
        <f>JX52*100/$E$25</f>
        <v/>
      </c>
      <c r="JZ52" s="102">
        <f>JN52+JP52+JR52+JT52+JV52+JX52</f>
        <v/>
      </c>
      <c r="KA52" s="106">
        <f>SUM(KA9:KA51)</f>
        <v/>
      </c>
      <c r="KB52" s="104">
        <f>H52+J52+L52+N52+P52+R52+T52+V52+X52+Z52+AB52+AD52+AF52+AH52+AJ52+AL52+AN52+AP52+AR52+AT52+AV52+AX52+AZ52+BB52+BD52+BF52+BH52+BJ52+BL52+BN52+BP52+BR52+BT52+BV52+BX52+BZ52+CB52+CD52+CF52+CH52+CZ52+DB52+DD52+DF52+DH52+DJ52+DL52+DN52+DP52+DR52+DT52+DV52+DX52+DZ52+EB52+ED52+EF52+EH52+EJ52+EL52+EN52+EP52+ER52+ET52+EV52+FN52+FP52+FR52+FT52+FV52+FX52+FZ52+GB52+GD52+GF52+GH52+GJ52+GL52+GN52+GP52+GR52+GT52+GV52+GX52+GZ52+HB52+HD52+HF52+HH52+HJ52+HL52+HN52+HP52+HR52+HT52+HV52+HX52+HZ52+IB52+ID52+IF52+IH52+IJ52+IL52+IN52+IP52+IR52+IT52+IV52+IX52+IZ52+JB52+JD52+JF52+JH52+JJ52+JL52+JZ52+CJ52+CL52+CN52+CP52+CR52+CT52+CV52+CX52+EX52+EZ52+FB52+FD52+FF52+FH52+FJ52+FL52</f>
        <v/>
      </c>
      <c r="KC52" s="116">
        <f>I52+K52+M52+O52+Q52+S52+U52+W52+Y52+AA52+AC52+AE52+AG52+AI52+AK52+AM52+AO52+AQ52+AS52+AU52+AW52+AY52+BA52+BC52+BE52+BG52+BI52+BK52+BM52+BO52+BQ52+BS52+BU52+BW52+BY52+CA52+CC52+CE52+CG52+CI52+DA52+DC52+DE52+DG52+DI52+DK52+DM52+DO52+DQ52+DS52+DU52+DW52+DY52+EA52+EC52+EE52+EG52+EI52+EK52+EM52+EO52+EQ52+ES52+EU52+EW52+FO52+FS52+FU52+FW52+FQ52+FY52+GA52+GC52+GE52+GG52+GI52+GK52+GM52+GO52+GQ52+GS52+GU52+GW52+GY52+HA52+HC52+HE52+HG52+HI52+HK52+HM52+HO52+HQ52+HS52+HU52+HW52+HY52+IA52+IC52+IE52+IG52+II52+IK52+IM52+IO52+IQ52+IS52+IU52+IW52+IY52+JA52+JC52+JE52+JG52+JI52+JK52+JM52+KA52+CK52+CM52+CO52+CQ52+CS52+CU52+CW52+CY52+EY52+FA52+FC52+FE52+FG52+FI52+FK52+FM52</f>
        <v/>
      </c>
      <c r="KD52" s="97" t="n"/>
      <c r="KE52" s="98" t="n"/>
      <c r="KF52" s="97" t="n"/>
      <c r="KG52" s="97" t="n"/>
      <c r="KH52" s="98" t="n"/>
      <c r="KI52" s="98" t="n"/>
      <c r="KJ52" s="98" t="n"/>
      <c r="KK52" s="98" t="n"/>
      <c r="KL52" s="98" t="n"/>
      <c r="KM52" s="98" t="n"/>
      <c r="KN52" s="99" t="n"/>
    </row>
    <row r="53" ht="29.25" customFormat="1" customHeight="1" s="292" thickBot="1">
      <c r="A53" s="111" t="n"/>
      <c r="B53" s="148" t="inlineStr">
        <is>
          <t>Плановая ЗП</t>
        </is>
      </c>
      <c r="C53" s="78" t="n"/>
      <c r="D53" s="112" t="n"/>
      <c r="E53" s="113" t="n"/>
      <c r="F53" s="250">
        <f>F52/D52</f>
        <v/>
      </c>
      <c r="G53" s="118" t="n"/>
      <c r="H53" s="276">
        <f>$F$53*H52</f>
        <v/>
      </c>
      <c r="I53" s="277" t="n"/>
      <c r="J53" s="245">
        <f>$F$53*J52</f>
        <v/>
      </c>
      <c r="K53" s="246" t="n"/>
      <c r="L53" s="245">
        <f>$F$53*L52</f>
        <v/>
      </c>
      <c r="M53" s="246" t="n"/>
      <c r="N53" s="254">
        <f>$F$53*N52</f>
        <v/>
      </c>
      <c r="O53" s="255" t="n"/>
      <c r="P53" s="245">
        <f>$F$53*P52</f>
        <v/>
      </c>
      <c r="Q53" s="246" t="n"/>
      <c r="R53" s="269">
        <f>$F$53*R52</f>
        <v/>
      </c>
      <c r="S53" s="246" t="n"/>
      <c r="T53" s="311">
        <f>$F$53*T52</f>
        <v/>
      </c>
      <c r="V53" s="291">
        <f>$F$53*V52</f>
        <v/>
      </c>
      <c r="X53" s="291">
        <f>$F$53*X52</f>
        <v/>
      </c>
      <c r="Z53" s="313">
        <f>$F$53*Z52</f>
        <v/>
      </c>
      <c r="AA53" s="306" t="n"/>
      <c r="AB53" s="245">
        <f>$F$53*AB52</f>
        <v/>
      </c>
      <c r="AC53" s="246" t="n"/>
      <c r="AD53" s="250">
        <f>$F$53*AD52</f>
        <v/>
      </c>
      <c r="AE53" s="251" t="n"/>
      <c r="AF53" s="245">
        <f>$F$53*AF52</f>
        <v/>
      </c>
      <c r="AG53" s="246" t="n"/>
      <c r="AH53" s="245">
        <f>$F$53*AH52</f>
        <v/>
      </c>
      <c r="AI53" s="246" t="n"/>
      <c r="AJ53" s="245">
        <f>$F$53*AJ52</f>
        <v/>
      </c>
      <c r="AK53" s="246" t="n"/>
      <c r="AL53" s="245">
        <f>$F$53*AL52</f>
        <v/>
      </c>
      <c r="AM53" s="246" t="n"/>
      <c r="AN53" s="250">
        <f>$F$53*AN52</f>
        <v/>
      </c>
      <c r="AO53" s="251" t="n"/>
      <c r="AP53" s="250">
        <f>$F$53*AP52</f>
        <v/>
      </c>
      <c r="AQ53" s="251" t="n"/>
      <c r="AR53" s="245">
        <f>$F$53*AR52</f>
        <v/>
      </c>
      <c r="AS53" s="246" t="n"/>
      <c r="AT53" s="250">
        <f>$F$53*AT52</f>
        <v/>
      </c>
      <c r="AU53" s="251" t="n"/>
      <c r="AV53" s="245">
        <f>$F$53*AV52</f>
        <v/>
      </c>
      <c r="AW53" s="246" t="n"/>
      <c r="AX53" s="250">
        <f>$F$53*AX52</f>
        <v/>
      </c>
      <c r="AY53" s="251" t="n"/>
      <c r="AZ53" s="245">
        <f>$F$53*AZ52</f>
        <v/>
      </c>
      <c r="BA53" s="246" t="n"/>
      <c r="BB53" s="250">
        <f>$F$53*BB52</f>
        <v/>
      </c>
      <c r="BC53" s="251" t="n"/>
      <c r="BD53" s="245">
        <f>$F$53*BD52</f>
        <v/>
      </c>
      <c r="BE53" s="246" t="n"/>
      <c r="BF53" s="250">
        <f>$F$53*BF52</f>
        <v/>
      </c>
      <c r="BG53" s="251" t="n"/>
      <c r="BH53" s="250">
        <f>$F$53*BH52</f>
        <v/>
      </c>
      <c r="BI53" s="251" t="n"/>
      <c r="BJ53" s="250">
        <f>$F$53*BJ52</f>
        <v/>
      </c>
      <c r="BK53" s="251" t="n"/>
      <c r="BL53" s="245">
        <f>$F$53*BL52</f>
        <v/>
      </c>
      <c r="BM53" s="246" t="n"/>
      <c r="BN53" s="245">
        <f>$F$53*BN52</f>
        <v/>
      </c>
      <c r="BO53" s="246" t="n"/>
      <c r="BP53" s="245">
        <f>$F$53*BP52</f>
        <v/>
      </c>
      <c r="BQ53" s="246" t="n"/>
      <c r="BR53" s="245">
        <f>$F$53*BR52</f>
        <v/>
      </c>
      <c r="BS53" s="246" t="n"/>
      <c r="BT53" s="245">
        <f>$F$53*BT52</f>
        <v/>
      </c>
      <c r="BU53" s="246" t="n"/>
      <c r="BV53" s="245">
        <f>$F$53*BV52</f>
        <v/>
      </c>
      <c r="BW53" s="246" t="n"/>
      <c r="BX53" s="245">
        <f>$F$53*BX52</f>
        <v/>
      </c>
      <c r="BY53" s="246" t="n"/>
      <c r="BZ53" s="245">
        <f>$F$53*BZ52</f>
        <v/>
      </c>
      <c r="CA53" s="246" t="n"/>
      <c r="CB53" s="250">
        <f>$F$53*CB52</f>
        <v/>
      </c>
      <c r="CC53" s="251" t="n"/>
      <c r="CD53" s="250">
        <f>$F$53*CD52</f>
        <v/>
      </c>
      <c r="CE53" s="251" t="n"/>
      <c r="CF53" s="250">
        <f>$F$53*CF52</f>
        <v/>
      </c>
      <c r="CG53" s="251" t="n"/>
      <c r="CH53" s="245">
        <f>$F$53*CH52</f>
        <v/>
      </c>
      <c r="CI53" s="246" t="n"/>
      <c r="CJ53" s="245">
        <f>$F$53*CJ52</f>
        <v/>
      </c>
      <c r="CK53" s="246" t="n"/>
      <c r="CL53" s="245">
        <f>$F$53*CL52</f>
        <v/>
      </c>
      <c r="CM53" s="246" t="n"/>
      <c r="CN53" s="245">
        <f>$F$53*CN52</f>
        <v/>
      </c>
      <c r="CO53" s="246" t="n"/>
      <c r="CP53" s="290">
        <f>$F$53*CP52</f>
        <v/>
      </c>
      <c r="CQ53" s="255" t="n"/>
      <c r="CR53" s="245">
        <f>$F$53*CR52</f>
        <v/>
      </c>
      <c r="CS53" s="246" t="n"/>
      <c r="CT53" s="245">
        <f>$F$53*CT52</f>
        <v/>
      </c>
      <c r="CU53" s="246" t="n"/>
      <c r="CV53" s="273">
        <f>$F$53*CV52</f>
        <v/>
      </c>
      <c r="CW53" s="251" t="n"/>
      <c r="CX53" s="245">
        <f>$F$53*CX52</f>
        <v/>
      </c>
      <c r="CY53" s="246" t="n"/>
      <c r="CZ53" s="245">
        <f>$F$53*CZ52</f>
        <v/>
      </c>
      <c r="DA53" s="246" t="n"/>
      <c r="DB53" s="273">
        <f>$F$53*DB52</f>
        <v/>
      </c>
      <c r="DC53" s="251" t="n"/>
      <c r="DD53" s="245">
        <f>$F$53*DD52</f>
        <v/>
      </c>
      <c r="DE53" s="246" t="n"/>
      <c r="DF53" s="250">
        <f>$F$53*DF52</f>
        <v/>
      </c>
      <c r="DG53" s="251" t="n"/>
      <c r="DH53" s="245">
        <f>$F$53*DH52</f>
        <v/>
      </c>
      <c r="DI53" s="246" t="n"/>
      <c r="DJ53" s="245">
        <f>$F$53*DJ52</f>
        <v/>
      </c>
      <c r="DK53" s="246" t="n"/>
      <c r="DL53" s="250">
        <f>$F$53*DL52</f>
        <v/>
      </c>
      <c r="DM53" s="251" t="n"/>
      <c r="DN53" s="254">
        <f>$F$53*DN52</f>
        <v/>
      </c>
      <c r="DO53" s="255" t="n"/>
      <c r="DP53" s="250">
        <f>$F$53*DP52</f>
        <v/>
      </c>
      <c r="DQ53" s="251" t="n"/>
      <c r="DR53" s="245">
        <f>$F$53*DR52</f>
        <v/>
      </c>
      <c r="DS53" s="246" t="n"/>
      <c r="DT53" s="250">
        <f>$F$53*DT52</f>
        <v/>
      </c>
      <c r="DU53" s="251" t="n"/>
      <c r="DV53" s="245">
        <f>$F$53*DV52</f>
        <v/>
      </c>
      <c r="DW53" s="246" t="n"/>
      <c r="DX53" s="254">
        <f>$F$53*DX52</f>
        <v/>
      </c>
      <c r="DY53" s="255" t="n"/>
      <c r="DZ53" s="245">
        <f>$F$53*DZ52</f>
        <v/>
      </c>
      <c r="EA53" s="246" t="n"/>
      <c r="EB53" s="245">
        <f>$F$53*EB52</f>
        <v/>
      </c>
      <c r="EC53" s="246" t="n"/>
      <c r="ED53" s="245">
        <f>$F$53*ED52</f>
        <v/>
      </c>
      <c r="EE53" s="246" t="n"/>
      <c r="EF53" s="290">
        <f>$F$53*EF52</f>
        <v/>
      </c>
      <c r="EG53" s="255" t="n"/>
      <c r="EH53" s="245">
        <f>$F$53*EH52</f>
        <v/>
      </c>
      <c r="EI53" s="246" t="n"/>
      <c r="EJ53" s="245">
        <f>$F$53*EJ52</f>
        <v/>
      </c>
      <c r="EK53" s="246" t="n"/>
      <c r="EL53" s="245">
        <f>$F$53*EL52</f>
        <v/>
      </c>
      <c r="EM53" s="246" t="n"/>
      <c r="EN53" s="245">
        <f>$F$53*EN52</f>
        <v/>
      </c>
      <c r="EO53" s="246" t="n"/>
      <c r="EP53" s="245">
        <f>$F$53*EP52</f>
        <v/>
      </c>
      <c r="EQ53" s="246" t="n"/>
      <c r="ER53" s="245">
        <f>$F$53*ER52</f>
        <v/>
      </c>
      <c r="ES53" s="246" t="n"/>
      <c r="ET53" s="245">
        <f>$F$53*ET52</f>
        <v/>
      </c>
      <c r="EU53" s="246" t="n"/>
      <c r="EV53" s="245">
        <f>$F$53*EV52</f>
        <v/>
      </c>
      <c r="EW53" s="246" t="n"/>
      <c r="EX53" s="275">
        <f>$F$53*EX52</f>
        <v/>
      </c>
      <c r="EY53" s="266" t="n"/>
      <c r="EZ53" s="245">
        <f>$F$53*EZ52</f>
        <v/>
      </c>
      <c r="FA53" s="246" t="n"/>
      <c r="FB53" s="245">
        <f>$F$53*FB52</f>
        <v/>
      </c>
      <c r="FC53" s="246" t="n"/>
      <c r="FD53" s="245">
        <f>$F$53*FD52</f>
        <v/>
      </c>
      <c r="FE53" s="246" t="n"/>
      <c r="FF53" s="245">
        <f>$F$53*FF52</f>
        <v/>
      </c>
      <c r="FG53" s="246" t="n"/>
      <c r="FH53" s="245">
        <f>$F$53*FH52</f>
        <v/>
      </c>
      <c r="FI53" s="246" t="n"/>
      <c r="FJ53" s="273">
        <f>$F$53*FJ52</f>
        <v/>
      </c>
      <c r="FK53" s="251" t="n"/>
      <c r="FL53" s="250">
        <f>$F$53*FL52</f>
        <v/>
      </c>
      <c r="FM53" s="251" t="n"/>
      <c r="FN53" s="245">
        <f>$F$53*FN52</f>
        <v/>
      </c>
      <c r="FO53" s="246" t="n"/>
      <c r="FP53" s="245">
        <f>$F$53*FP52</f>
        <v/>
      </c>
      <c r="FQ53" s="246" t="n"/>
      <c r="FR53" s="245">
        <f>$F$53*FR52</f>
        <v/>
      </c>
      <c r="FS53" s="246" t="n"/>
      <c r="FT53" s="245">
        <f>$F$53*FT52</f>
        <v/>
      </c>
      <c r="FU53" s="246" t="n"/>
      <c r="FV53" s="245">
        <f>$F$53*FV52</f>
        <v/>
      </c>
      <c r="FW53" s="246" t="n"/>
      <c r="FX53" s="254">
        <f>$F$53*FX52</f>
        <v/>
      </c>
      <c r="FY53" s="255" t="n"/>
      <c r="FZ53" s="254">
        <f>$F$53*FZ52</f>
        <v/>
      </c>
      <c r="GA53" s="255" t="n"/>
      <c r="GB53" s="254">
        <f>$F$53*GB52</f>
        <v/>
      </c>
      <c r="GC53" s="255" t="n"/>
      <c r="GD53" s="254">
        <f>$F$53*GD52</f>
        <v/>
      </c>
      <c r="GE53" s="255" t="n"/>
      <c r="GF53" s="245">
        <f>$F$53*GF52</f>
        <v/>
      </c>
      <c r="GG53" s="246" t="n"/>
      <c r="GH53" s="245">
        <f>$F$53*GH52</f>
        <v/>
      </c>
      <c r="GI53" s="246" t="n"/>
      <c r="GJ53" s="245">
        <f>$F$53*GJ52</f>
        <v/>
      </c>
      <c r="GK53" s="246" t="n"/>
      <c r="GL53" s="245">
        <f>$F$53*GL52</f>
        <v/>
      </c>
      <c r="GM53" s="246" t="n"/>
      <c r="GN53" s="262">
        <f>$F$53*GN52</f>
        <v/>
      </c>
      <c r="GO53" s="263" t="n"/>
      <c r="GP53" s="262">
        <f>$F$53*GP52</f>
        <v/>
      </c>
      <c r="GQ53" s="263" t="n"/>
      <c r="GR53" s="262">
        <f>$F$53*GR52</f>
        <v/>
      </c>
      <c r="GS53" s="263" t="n"/>
      <c r="GT53" s="262">
        <f>$F$53*GT52</f>
        <v/>
      </c>
      <c r="GU53" s="263" t="n"/>
      <c r="GV53" s="262">
        <f>$F$53*GV52</f>
        <v/>
      </c>
      <c r="GW53" s="263" t="n"/>
      <c r="GX53" s="262">
        <f>$F$53*GX52</f>
        <v/>
      </c>
      <c r="GY53" s="263" t="n"/>
      <c r="GZ53" s="262">
        <f>$F$53*GZ52</f>
        <v/>
      </c>
      <c r="HA53" s="263" t="n"/>
      <c r="HB53" s="262">
        <f>$F$53*HB52</f>
        <v/>
      </c>
      <c r="HC53" s="263" t="n"/>
      <c r="HD53" s="262">
        <f>$F$53*HD52</f>
        <v/>
      </c>
      <c r="HE53" s="263" t="n"/>
      <c r="HF53" s="262">
        <f>$F$53*HF52</f>
        <v/>
      </c>
      <c r="HG53" s="263" t="n"/>
      <c r="HH53" s="262">
        <f>$F$53*HH52</f>
        <v/>
      </c>
      <c r="HI53" s="263" t="n"/>
      <c r="HJ53" s="262">
        <f>$F$53*HJ52</f>
        <v/>
      </c>
      <c r="HK53" s="263" t="n"/>
      <c r="HL53" s="262">
        <f>$F$53*HL52</f>
        <v/>
      </c>
      <c r="HM53" s="263" t="n"/>
      <c r="HN53" s="262">
        <f>$F$53*HN52</f>
        <v/>
      </c>
      <c r="HO53" s="263" t="n"/>
      <c r="HP53" s="262">
        <f>$F$53*HP52</f>
        <v/>
      </c>
      <c r="HQ53" s="263" t="n"/>
      <c r="HR53" s="262">
        <f>$F$53*HR52</f>
        <v/>
      </c>
      <c r="HS53" s="263" t="n"/>
      <c r="HT53" s="262">
        <f>$F$53*HT52</f>
        <v/>
      </c>
      <c r="HU53" s="263" t="n"/>
      <c r="HV53" s="276">
        <f>$F$53*HV52</f>
        <v/>
      </c>
      <c r="HW53" s="277" t="n"/>
      <c r="HX53" s="314">
        <f>$F$53*HX52</f>
        <v/>
      </c>
      <c r="HY53" s="266" t="n"/>
      <c r="HZ53" s="314">
        <f>$F$53*HZ52</f>
        <v/>
      </c>
      <c r="IA53" s="266" t="n"/>
      <c r="IB53" s="262">
        <f>$F$53*IB52</f>
        <v/>
      </c>
      <c r="IC53" s="263" t="n"/>
      <c r="ID53" s="276">
        <f>$F$53*ID52</f>
        <v/>
      </c>
      <c r="IE53" s="277" t="n"/>
      <c r="IF53" s="245">
        <f>$F$53*IF52</f>
        <v/>
      </c>
      <c r="IG53" s="246" t="n"/>
      <c r="IH53" s="245">
        <f>$F$53*IH52</f>
        <v/>
      </c>
      <c r="II53" s="246" t="n"/>
      <c r="IJ53" s="245">
        <f>$F$53*IJ52</f>
        <v/>
      </c>
      <c r="IK53" s="246" t="n"/>
      <c r="IL53" s="245">
        <f>$F$53*IL52</f>
        <v/>
      </c>
      <c r="IM53" s="246" t="n"/>
      <c r="IN53" s="245">
        <f>$F$53*IN52</f>
        <v/>
      </c>
      <c r="IO53" s="246" t="n"/>
      <c r="IP53" s="245">
        <f>$F$53*IP52</f>
        <v/>
      </c>
      <c r="IQ53" s="246" t="n"/>
      <c r="IR53" s="245">
        <f>$F$53*IR52</f>
        <v/>
      </c>
      <c r="IS53" s="246" t="n"/>
      <c r="IT53" s="245">
        <f>$F$53*IT52</f>
        <v/>
      </c>
      <c r="IU53" s="246" t="n"/>
      <c r="IV53" s="245">
        <f>$F$53*IV52</f>
        <v/>
      </c>
      <c r="IW53" s="246" t="n"/>
      <c r="IX53" s="245">
        <f>$F$53*IX52</f>
        <v/>
      </c>
      <c r="IY53" s="246" t="n"/>
      <c r="IZ53" s="245">
        <f>$F$53*IZ52</f>
        <v/>
      </c>
      <c r="JA53" s="246" t="n"/>
      <c r="JB53" s="245">
        <f>$F$53*JB52</f>
        <v/>
      </c>
      <c r="JC53" s="246" t="n"/>
      <c r="JD53" s="245">
        <f>$F$53*JD52</f>
        <v/>
      </c>
      <c r="JE53" s="246" t="n"/>
      <c r="JF53" s="245">
        <f>$F$53*JF52</f>
        <v/>
      </c>
      <c r="JG53" s="246" t="n"/>
      <c r="JH53" s="245">
        <f>$F$53*JH52</f>
        <v/>
      </c>
      <c r="JI53" s="246" t="n"/>
      <c r="JJ53" s="262">
        <f>$F$53*JJ52</f>
        <v/>
      </c>
      <c r="JK53" s="263" t="n"/>
      <c r="JL53" s="245">
        <f>$F$53*JL52</f>
        <v/>
      </c>
      <c r="JM53" s="246" t="n"/>
      <c r="JN53" s="276">
        <f>$F$53*JN52</f>
        <v/>
      </c>
      <c r="JO53" s="277" t="n"/>
      <c r="JP53" s="282">
        <f>$F$53*JP52</f>
        <v/>
      </c>
      <c r="JQ53" s="277" t="n"/>
      <c r="JR53" s="282">
        <f>$F$53*JR52</f>
        <v/>
      </c>
      <c r="JS53" s="277" t="n"/>
      <c r="JT53" s="282">
        <f>$F$53*JT52</f>
        <v/>
      </c>
      <c r="JU53" s="277" t="n"/>
      <c r="JV53" s="282">
        <f>$F$53*JV52</f>
        <v/>
      </c>
      <c r="JW53" s="277" t="n"/>
      <c r="JX53" s="282">
        <f>$F$53*JX52</f>
        <v/>
      </c>
      <c r="JY53" s="277" t="n"/>
      <c r="JZ53" s="297">
        <f>JN53+JP53+JR53+JT53+JX53</f>
        <v/>
      </c>
      <c r="KA53" s="263" t="n"/>
      <c r="KB53" s="298">
        <f>SUM(H53:JY53)</f>
        <v/>
      </c>
      <c r="KC53" s="246" t="n"/>
      <c r="KD53" s="2" t="n"/>
      <c r="KE53" s="279" t="n"/>
      <c r="KF53" s="97">
        <f>J53+L53+N53+P53+R53+AB53+AD53+AF53+AH53+AJ53+AL53+AN53+AP53+AR53+AT53+AV53+AX53+AZ53+BB53+BD53+BF53+BH53+BJ53+BL53+BN53+BP53+BR53+BT53+BV53+BX53+BZ53+CB53+CD53+CF53+CH53+CJ53+CL53+CN53+CP53+CR53+CT53+CV53+CX53+CZ53+DB53+DD53+DF53+DH53+DJ53+DL53+DN53+DP53+DR53+DT53+DV53+DX53+DZ53+EB53+ED53+EF53+EH53+EJ53+EL53+EN53+EP53+ER53+ET53+EV53+EZ53+FB53+FD53+FF53+FH53+FJ53+FL53+FN53+FP53+FR53+FT53+FV53+FX53+FZ53+GB53+GD53+GF53+GH53+GJ53+GL53+IF53+IJ53+IL53+IN53+IP53+IR53+IT53+JB53+JD53+JL53</f>
        <v/>
      </c>
      <c r="KG53" s="279" t="n"/>
      <c r="KH53" s="279" t="n"/>
      <c r="KI53" s="279" t="n"/>
      <c r="KJ53" s="279" t="n"/>
      <c r="KK53" s="279" t="n"/>
      <c r="KL53" s="279" t="n"/>
      <c r="KM53" s="279" t="n"/>
      <c r="KN53" s="279" t="n"/>
    </row>
    <row r="54" ht="29.25" customHeight="1" thickBot="1">
      <c r="A54" s="111" t="n"/>
      <c r="B54" s="77" t="inlineStr">
        <is>
          <t>Фактическая ЗП</t>
        </is>
      </c>
      <c r="C54" s="78" t="n"/>
      <c r="D54" s="112" t="n"/>
      <c r="E54" s="113" t="n"/>
      <c r="F54" s="250">
        <f>KB54/E52</f>
        <v/>
      </c>
      <c r="G54" s="118" t="n"/>
      <c r="H54" s="332" t="n"/>
      <c r="I54" s="251" t="n"/>
      <c r="J54" s="293" t="n"/>
      <c r="K54" s="246" t="n"/>
      <c r="L54" s="293" t="n"/>
      <c r="M54" s="246" t="n"/>
      <c r="N54" s="294" t="n"/>
      <c r="O54" s="255" t="n"/>
      <c r="P54" s="293" t="n"/>
      <c r="Q54" s="246" t="n"/>
      <c r="R54" s="315" t="n"/>
      <c r="S54" s="246" t="n"/>
      <c r="T54" s="315" t="n"/>
      <c r="U54" s="246" t="n"/>
      <c r="V54" s="253" t="n"/>
      <c r="W54" s="246" t="n"/>
      <c r="X54" s="300" t="n"/>
      <c r="Y54" s="255" t="n"/>
      <c r="Z54" s="253" t="n"/>
      <c r="AA54" s="246" t="n"/>
      <c r="AB54" s="253" t="n"/>
      <c r="AC54" s="246" t="n"/>
      <c r="AD54" s="261" t="n"/>
      <c r="AE54" s="251" t="n"/>
      <c r="AF54" s="253" t="n"/>
      <c r="AG54" s="246" t="n"/>
      <c r="AH54" s="253" t="n"/>
      <c r="AI54" s="246" t="n"/>
      <c r="AJ54" s="253" t="n"/>
      <c r="AK54" s="246" t="n"/>
      <c r="AL54" s="253" t="n"/>
      <c r="AM54" s="246" t="n"/>
      <c r="AN54" s="261" t="n"/>
      <c r="AO54" s="251" t="n"/>
      <c r="AP54" s="261" t="n"/>
      <c r="AQ54" s="251" t="n"/>
      <c r="AR54" s="253" t="n"/>
      <c r="AS54" s="246" t="n"/>
      <c r="AT54" s="261" t="n"/>
      <c r="AU54" s="251" t="n"/>
      <c r="AV54" s="253" t="n"/>
      <c r="AW54" s="246" t="n"/>
      <c r="AX54" s="261" t="n"/>
      <c r="AY54" s="251" t="n"/>
      <c r="AZ54" s="253" t="n"/>
      <c r="BA54" s="246" t="n"/>
      <c r="BB54" s="261" t="n"/>
      <c r="BC54" s="251" t="n"/>
      <c r="BD54" s="253" t="n"/>
      <c r="BE54" s="246" t="n"/>
      <c r="BF54" s="261" t="n"/>
      <c r="BG54" s="251" t="n"/>
      <c r="BH54" s="261" t="n"/>
      <c r="BI54" s="251" t="n"/>
      <c r="BJ54" s="261" t="n"/>
      <c r="BK54" s="251" t="n"/>
      <c r="BL54" s="253" t="n"/>
      <c r="BM54" s="246" t="n"/>
      <c r="BN54" s="253" t="n"/>
      <c r="BO54" s="246" t="n"/>
      <c r="BP54" s="253" t="n"/>
      <c r="BQ54" s="246" t="n"/>
      <c r="BR54" s="253" t="n"/>
      <c r="BS54" s="246" t="n"/>
      <c r="BT54" s="253" t="n"/>
      <c r="BU54" s="246" t="n"/>
      <c r="BV54" s="253" t="n"/>
      <c r="BW54" s="246" t="n"/>
      <c r="BX54" s="253" t="n"/>
      <c r="BY54" s="246" t="n"/>
      <c r="BZ54" s="253" t="n"/>
      <c r="CA54" s="246" t="n"/>
      <c r="CB54" s="261" t="n"/>
      <c r="CC54" s="251" t="n"/>
      <c r="CD54" s="261" t="n"/>
      <c r="CE54" s="251" t="n"/>
      <c r="CF54" s="261" t="n"/>
      <c r="CG54" s="251" t="n"/>
      <c r="CH54" s="253" t="n"/>
      <c r="CI54" s="246" t="n"/>
      <c r="CJ54" s="253" t="n"/>
      <c r="CK54" s="246" t="n"/>
      <c r="CL54" s="253" t="n"/>
      <c r="CM54" s="246" t="n"/>
      <c r="CN54" s="253" t="n"/>
      <c r="CO54" s="246" t="n"/>
      <c r="CP54" s="300" t="n"/>
      <c r="CQ54" s="255" t="n"/>
      <c r="CR54" s="253" t="n"/>
      <c r="CS54" s="246" t="n"/>
      <c r="CT54" s="253" t="n"/>
      <c r="CU54" s="246" t="n"/>
      <c r="CV54" s="300" t="n"/>
      <c r="CW54" s="255" t="n"/>
      <c r="CX54" s="253" t="n"/>
      <c r="CY54" s="246" t="n"/>
      <c r="CZ54" s="261" t="n"/>
      <c r="DA54" s="251" t="n"/>
      <c r="DB54" s="261" t="n"/>
      <c r="DC54" s="251" t="n"/>
      <c r="DD54" s="253" t="n"/>
      <c r="DE54" s="246" t="n"/>
      <c r="DF54" s="261" t="n"/>
      <c r="DG54" s="251" t="n"/>
      <c r="DH54" s="253" t="n"/>
      <c r="DI54" s="246" t="n"/>
      <c r="DJ54" s="253" t="n"/>
      <c r="DK54" s="246" t="n"/>
      <c r="DL54" s="261" t="n"/>
      <c r="DM54" s="251" t="n"/>
      <c r="DN54" s="274" t="n"/>
      <c r="DO54" s="255" t="n"/>
      <c r="DP54" s="261" t="n"/>
      <c r="DQ54" s="251" t="n"/>
      <c r="DR54" s="253" t="n"/>
      <c r="DS54" s="246" t="n"/>
      <c r="DT54" s="261" t="n"/>
      <c r="DU54" s="251" t="n"/>
      <c r="DV54" s="253" t="n"/>
      <c r="DW54" s="246" t="n"/>
      <c r="DX54" s="274" t="n"/>
      <c r="DY54" s="255" t="n"/>
      <c r="DZ54" s="253" t="n"/>
      <c r="EA54" s="246" t="n"/>
      <c r="EB54" s="253" t="n"/>
      <c r="EC54" s="246" t="n"/>
      <c r="ED54" s="253" t="n"/>
      <c r="EE54" s="246" t="n"/>
      <c r="EF54" s="315" t="n"/>
      <c r="EG54" s="246" t="n"/>
      <c r="EH54" s="253" t="n"/>
      <c r="EI54" s="246" t="n"/>
      <c r="EJ54" s="253" t="n"/>
      <c r="EK54" s="246" t="n"/>
      <c r="EL54" s="253" t="n"/>
      <c r="EM54" s="246" t="n"/>
      <c r="EN54" s="253" t="n"/>
      <c r="EO54" s="246" t="n"/>
      <c r="EP54" s="253" t="n"/>
      <c r="EQ54" s="246" t="n"/>
      <c r="ER54" s="253" t="n"/>
      <c r="ES54" s="246" t="n"/>
      <c r="ET54" s="253" t="n"/>
      <c r="EU54" s="246" t="n"/>
      <c r="EV54" s="253" t="n"/>
      <c r="EW54" s="246" t="n"/>
      <c r="EX54" s="300" t="n"/>
      <c r="EY54" s="255" t="n"/>
      <c r="EZ54" s="253" t="n"/>
      <c r="FA54" s="246" t="n"/>
      <c r="FB54" s="253" t="n"/>
      <c r="FC54" s="246" t="n"/>
      <c r="FD54" s="253" t="n"/>
      <c r="FE54" s="246" t="n"/>
      <c r="FF54" s="253" t="n"/>
      <c r="FG54" s="246" t="n"/>
      <c r="FH54" s="253" t="n"/>
      <c r="FI54" s="246" t="n"/>
      <c r="FJ54" s="289" t="n"/>
      <c r="FK54" s="251" t="n"/>
      <c r="FL54" s="320" t="n"/>
      <c r="FM54" s="263" t="n"/>
      <c r="FN54" s="296" t="n"/>
      <c r="FO54" s="263" t="n"/>
      <c r="FP54" s="253" t="n"/>
      <c r="FQ54" s="246" t="n"/>
      <c r="FR54" s="253" t="n"/>
      <c r="FS54" s="246" t="n"/>
      <c r="FT54" s="253" t="n"/>
      <c r="FU54" s="246" t="n"/>
      <c r="FV54" s="253" t="n"/>
      <c r="FW54" s="246" t="n"/>
      <c r="FX54" s="274" t="n"/>
      <c r="FY54" s="255" t="n"/>
      <c r="FZ54" s="274" t="n"/>
      <c r="GA54" s="255" t="n"/>
      <c r="GB54" s="274" t="n"/>
      <c r="GC54" s="255" t="n"/>
      <c r="GD54" s="274" t="n"/>
      <c r="GE54" s="255" t="n"/>
      <c r="GF54" s="253" t="n"/>
      <c r="GG54" s="246" t="n"/>
      <c r="GH54" s="253" t="n"/>
      <c r="GI54" s="246" t="n"/>
      <c r="GJ54" s="253" t="n"/>
      <c r="GK54" s="246" t="n"/>
      <c r="GL54" s="253" t="n"/>
      <c r="GM54" s="246" t="n"/>
      <c r="GN54" s="253" t="n"/>
      <c r="GO54" s="246" t="n"/>
      <c r="GP54" s="253" t="n"/>
      <c r="GQ54" s="246" t="n"/>
      <c r="GR54" s="253" t="n"/>
      <c r="GS54" s="246" t="n"/>
      <c r="GT54" s="253" t="n"/>
      <c r="GU54" s="246" t="n"/>
      <c r="GV54" s="253" t="n"/>
      <c r="GW54" s="246" t="n"/>
      <c r="GX54" s="253" t="n"/>
      <c r="GY54" s="246" t="n"/>
      <c r="GZ54" s="253" t="n"/>
      <c r="HA54" s="246" t="n"/>
      <c r="HB54" s="253" t="n"/>
      <c r="HC54" s="246" t="n"/>
      <c r="HD54" s="253" t="n"/>
      <c r="HE54" s="246" t="n"/>
      <c r="HF54" s="253" t="n"/>
      <c r="HG54" s="246" t="n"/>
      <c r="HH54" s="253" t="n"/>
      <c r="HI54" s="246" t="n"/>
      <c r="HJ54" s="253" t="n"/>
      <c r="HK54" s="246" t="n"/>
      <c r="HL54" s="253" t="n"/>
      <c r="HM54" s="246" t="n"/>
      <c r="HN54" s="253" t="n"/>
      <c r="HO54" s="246" t="n"/>
      <c r="HP54" s="253" t="n"/>
      <c r="HQ54" s="246" t="n"/>
      <c r="HR54" s="253" t="n"/>
      <c r="HS54" s="246" t="n"/>
      <c r="HT54" s="253" t="n"/>
      <c r="HU54" s="246" t="n"/>
      <c r="HV54" s="289" t="n"/>
      <c r="HW54" s="251" t="n"/>
      <c r="HX54" s="274" t="n"/>
      <c r="HY54" s="255" t="n"/>
      <c r="HZ54" s="253" t="n"/>
      <c r="IA54" s="246" t="n"/>
      <c r="IB54" s="253" t="n"/>
      <c r="IC54" s="246" t="n"/>
      <c r="ID54" s="289" t="n"/>
      <c r="IE54" s="251" t="n"/>
      <c r="IF54" s="253" t="n"/>
      <c r="IG54" s="246" t="n"/>
      <c r="IH54" s="253" t="n"/>
      <c r="II54" s="246" t="n"/>
      <c r="IJ54" s="253" t="n"/>
      <c r="IK54" s="246" t="n"/>
      <c r="IL54" s="253" t="n"/>
      <c r="IM54" s="246" t="n"/>
      <c r="IN54" s="253" t="n"/>
      <c r="IO54" s="246" t="n"/>
      <c r="IP54" s="253" t="n"/>
      <c r="IQ54" s="246" t="n"/>
      <c r="IR54" s="253" t="n"/>
      <c r="IS54" s="246" t="n"/>
      <c r="IT54" s="253" t="n"/>
      <c r="IU54" s="246" t="n"/>
      <c r="IV54" s="253" t="n"/>
      <c r="IW54" s="246" t="n"/>
      <c r="IX54" s="253" t="n"/>
      <c r="IY54" s="246" t="n"/>
      <c r="IZ54" s="253" t="n"/>
      <c r="JA54" s="246" t="n"/>
      <c r="JB54" s="253" t="n"/>
      <c r="JC54" s="246" t="n"/>
      <c r="JD54" s="253" t="n"/>
      <c r="JE54" s="246" t="n"/>
      <c r="JF54" s="253" t="n"/>
      <c r="JG54" s="246" t="n"/>
      <c r="JH54" s="253" t="n"/>
      <c r="JI54" s="246" t="n"/>
      <c r="JJ54" s="253" t="n"/>
      <c r="JK54" s="246" t="n"/>
      <c r="JL54" s="253" t="n"/>
      <c r="JM54" s="246" t="n"/>
      <c r="JN54" s="289" t="n"/>
      <c r="JO54" s="251" t="n"/>
      <c r="JP54" s="264" t="n"/>
      <c r="JQ54" s="251" t="n"/>
      <c r="JR54" s="264" t="n"/>
      <c r="JS54" s="251" t="n"/>
      <c r="JT54" s="264" t="n"/>
      <c r="JU54" s="251" t="n"/>
      <c r="JV54" s="264" t="n"/>
      <c r="JW54" s="251" t="n"/>
      <c r="JX54" s="264" t="n"/>
      <c r="JY54" s="251" t="n"/>
      <c r="JZ54" s="302">
        <f>JN54+JP54+JR54+JT54+JV54+JX54</f>
        <v/>
      </c>
      <c r="KA54" s="246" t="n"/>
      <c r="KB54" s="303">
        <f>SUM(H54:JY54)</f>
        <v/>
      </c>
      <c r="KC54" s="246" t="n"/>
      <c r="KD54" s="2">
        <f>KB53-KB55</f>
        <v/>
      </c>
      <c r="KF54" s="97" t="n"/>
    </row>
    <row r="55" ht="29.25" customHeight="1" thickBot="1">
      <c r="A55" s="115" t="n"/>
      <c r="B55" s="76" t="inlineStr">
        <is>
          <t xml:space="preserve">Отклонение (+/-) к плану </t>
        </is>
      </c>
      <c r="C55" s="78" t="n"/>
      <c r="D55" s="112" t="n"/>
      <c r="E55" s="113" t="n"/>
      <c r="F55" s="250" t="n"/>
      <c r="G55" s="118" t="n"/>
      <c r="H55" s="273">
        <f>H53-H54</f>
        <v/>
      </c>
      <c r="I55" s="251" t="n"/>
      <c r="J55" s="245">
        <f>J53-J54</f>
        <v/>
      </c>
      <c r="K55" s="246" t="n"/>
      <c r="L55" s="245">
        <f>L53-L54</f>
        <v/>
      </c>
      <c r="M55" s="246" t="n"/>
      <c r="N55" s="254">
        <f>N53-N54</f>
        <v/>
      </c>
      <c r="O55" s="255" t="n"/>
      <c r="P55" s="245">
        <f>P53-P54</f>
        <v/>
      </c>
      <c r="Q55" s="246" t="n"/>
      <c r="R55" s="295">
        <f>R53-R54</f>
        <v/>
      </c>
      <c r="S55" s="263" t="n"/>
      <c r="T55" s="275">
        <f>T53-T54</f>
        <v/>
      </c>
      <c r="U55" s="266" t="n"/>
      <c r="V55" s="314">
        <f>V53-V54</f>
        <v/>
      </c>
      <c r="W55" s="266" t="n"/>
      <c r="X55" s="314">
        <f>X53-X54</f>
        <v/>
      </c>
      <c r="Y55" s="266" t="n"/>
      <c r="Z55" s="262">
        <f>Z53-Z54</f>
        <v/>
      </c>
      <c r="AA55" s="263" t="n"/>
      <c r="AB55" s="262">
        <f>AB53-AB54</f>
        <v/>
      </c>
      <c r="AC55" s="263" t="n"/>
      <c r="AD55" s="330">
        <f>AD53-AD54</f>
        <v/>
      </c>
      <c r="AE55" s="277" t="n"/>
      <c r="AF55" s="262">
        <f>AF53-AF54</f>
        <v/>
      </c>
      <c r="AG55" s="263" t="n"/>
      <c r="AH55" s="262">
        <f>AH53-AH54</f>
        <v/>
      </c>
      <c r="AI55" s="263" t="n"/>
      <c r="AJ55" s="262">
        <f>AJ53-AJ54</f>
        <v/>
      </c>
      <c r="AK55" s="263" t="n"/>
      <c r="AL55" s="245">
        <f>AL53-AL54</f>
        <v/>
      </c>
      <c r="AM55" s="246" t="n"/>
      <c r="AN55" s="250">
        <f>AN53-AN54</f>
        <v/>
      </c>
      <c r="AO55" s="251" t="n"/>
      <c r="AP55" s="250">
        <f>AP53-AP54</f>
        <v/>
      </c>
      <c r="AQ55" s="251" t="n"/>
      <c r="AR55" s="245">
        <f>AR53-AR54</f>
        <v/>
      </c>
      <c r="AS55" s="246" t="n"/>
      <c r="AT55" s="250">
        <f>AT53-AT54</f>
        <v/>
      </c>
      <c r="AU55" s="251" t="n"/>
      <c r="AV55" s="245">
        <f>AV53-AV54</f>
        <v/>
      </c>
      <c r="AW55" s="246" t="n"/>
      <c r="AX55" s="250">
        <f>AX53-AX54</f>
        <v/>
      </c>
      <c r="AY55" s="251" t="n"/>
      <c r="AZ55" s="245">
        <f>AZ53-AZ54</f>
        <v/>
      </c>
      <c r="BA55" s="246" t="n"/>
      <c r="BB55" s="250">
        <f>BB53-BB54</f>
        <v/>
      </c>
      <c r="BC55" s="251" t="n"/>
      <c r="BD55" s="245">
        <f>BD53-BD54</f>
        <v/>
      </c>
      <c r="BE55" s="246" t="n"/>
      <c r="BF55" s="250">
        <f>BF53-BF54</f>
        <v/>
      </c>
      <c r="BG55" s="251" t="n"/>
      <c r="BH55" s="250">
        <f>BH53-BH54</f>
        <v/>
      </c>
      <c r="BI55" s="251" t="n"/>
      <c r="BJ55" s="250">
        <f>BJ53-BJ54</f>
        <v/>
      </c>
      <c r="BK55" s="251" t="n"/>
      <c r="BL55" s="245">
        <f>BL53-BL54</f>
        <v/>
      </c>
      <c r="BM55" s="246" t="n"/>
      <c r="BN55" s="245">
        <f>BN53-BN54</f>
        <v/>
      </c>
      <c r="BO55" s="246" t="n"/>
      <c r="BP55" s="245">
        <f>BP53-BP54</f>
        <v/>
      </c>
      <c r="BQ55" s="246" t="n"/>
      <c r="BR55" s="245">
        <f>BR53-BR54</f>
        <v/>
      </c>
      <c r="BS55" s="246" t="n"/>
      <c r="BT55" s="245">
        <f>BT53-BT54</f>
        <v/>
      </c>
      <c r="BU55" s="246" t="n"/>
      <c r="BV55" s="245">
        <f>BV53-BV54</f>
        <v/>
      </c>
      <c r="BW55" s="246" t="n"/>
      <c r="BX55" s="245">
        <f>BX53-BX54</f>
        <v/>
      </c>
      <c r="BY55" s="246" t="n"/>
      <c r="BZ55" s="245">
        <f>BZ53-BZ54</f>
        <v/>
      </c>
      <c r="CA55" s="246" t="n"/>
      <c r="CB55" s="250">
        <f>CB53-CB54</f>
        <v/>
      </c>
      <c r="CC55" s="251" t="n"/>
      <c r="CD55" s="250">
        <f>CD53-CD54</f>
        <v/>
      </c>
      <c r="CE55" s="251" t="n"/>
      <c r="CF55" s="250">
        <f>CF53-CF54</f>
        <v/>
      </c>
      <c r="CG55" s="251" t="n"/>
      <c r="CH55" s="245">
        <f>CH53-CH54</f>
        <v/>
      </c>
      <c r="CI55" s="246" t="n"/>
      <c r="CJ55" s="245">
        <f>CJ53-CJ54</f>
        <v/>
      </c>
      <c r="CK55" s="246" t="n"/>
      <c r="CL55" s="245">
        <f>CL53-CL54</f>
        <v/>
      </c>
      <c r="CM55" s="246" t="n"/>
      <c r="CN55" s="245">
        <f>CN53-CN54</f>
        <v/>
      </c>
      <c r="CO55" s="246" t="n"/>
      <c r="CP55" s="290">
        <f>CP53-CP54</f>
        <v/>
      </c>
      <c r="CQ55" s="255" t="n"/>
      <c r="CR55" s="245">
        <f>CR53-CR54</f>
        <v/>
      </c>
      <c r="CS55" s="246" t="n"/>
      <c r="CT55" s="245">
        <f>CT53-CT54</f>
        <v/>
      </c>
      <c r="CU55" s="246" t="n"/>
      <c r="CV55" s="276">
        <f>CV53-CV54</f>
        <v/>
      </c>
      <c r="CW55" s="277" t="n"/>
      <c r="CX55" s="245">
        <f>CX53-CX54</f>
        <v/>
      </c>
      <c r="CY55" s="246" t="n"/>
      <c r="CZ55" s="250">
        <f>CZ53-CZ54</f>
        <v/>
      </c>
      <c r="DA55" s="251" t="n"/>
      <c r="DB55" s="250">
        <f>DB53-DB54</f>
        <v/>
      </c>
      <c r="DC55" s="251" t="n"/>
      <c r="DD55" s="245">
        <f>DD53-DD54</f>
        <v/>
      </c>
      <c r="DE55" s="246" t="n"/>
      <c r="DF55" s="250">
        <f>DF53-DF54</f>
        <v/>
      </c>
      <c r="DG55" s="251" t="n"/>
      <c r="DH55" s="245">
        <f>DH53-DH54</f>
        <v/>
      </c>
      <c r="DI55" s="246" t="n"/>
      <c r="DJ55" s="245">
        <f>DJ53-DJ54</f>
        <v/>
      </c>
      <c r="DK55" s="246" t="n"/>
      <c r="DL55" s="250">
        <f>DL53-DL54</f>
        <v/>
      </c>
      <c r="DM55" s="251" t="n"/>
      <c r="DN55" s="254">
        <f>DN53-DN54</f>
        <v/>
      </c>
      <c r="DO55" s="255" t="n"/>
      <c r="DP55" s="245">
        <f>DP53-DP54</f>
        <v/>
      </c>
      <c r="DQ55" s="246" t="n"/>
      <c r="DR55" s="245">
        <f>DR53-DR54</f>
        <v/>
      </c>
      <c r="DS55" s="246" t="n"/>
      <c r="DT55" s="250">
        <f>DT53-DT54</f>
        <v/>
      </c>
      <c r="DU55" s="251" t="n"/>
      <c r="DV55" s="245">
        <f>DV53-DV54</f>
        <v/>
      </c>
      <c r="DW55" s="246" t="n"/>
      <c r="DX55" s="254">
        <f>DX53-DX54</f>
        <v/>
      </c>
      <c r="DY55" s="255" t="n"/>
      <c r="DZ55" s="245">
        <f>DZ53-DZ54</f>
        <v/>
      </c>
      <c r="EA55" s="246" t="n"/>
      <c r="EB55" s="245">
        <f>EB53-EB54</f>
        <v/>
      </c>
      <c r="EC55" s="246" t="n"/>
      <c r="ED55" s="245">
        <f>ED53-ED54</f>
        <v/>
      </c>
      <c r="EE55" s="246" t="n"/>
      <c r="EF55" s="290">
        <f>EF53-EF54</f>
        <v/>
      </c>
      <c r="EG55" s="255" t="n"/>
      <c r="EH55" s="245">
        <f>EH53-EH54</f>
        <v/>
      </c>
      <c r="EI55" s="246" t="n"/>
      <c r="EJ55" s="245">
        <f>EJ53-EJ54</f>
        <v/>
      </c>
      <c r="EK55" s="246" t="n"/>
      <c r="EL55" s="245">
        <f>EL53-EL54</f>
        <v/>
      </c>
      <c r="EM55" s="246" t="n"/>
      <c r="EN55" s="245">
        <f>EN53-EN54</f>
        <v/>
      </c>
      <c r="EO55" s="246" t="n"/>
      <c r="EP55" s="245">
        <f>EP53-EP54</f>
        <v/>
      </c>
      <c r="EQ55" s="246" t="n"/>
      <c r="ER55" s="245">
        <f>ER53-ER54</f>
        <v/>
      </c>
      <c r="ES55" s="246" t="n"/>
      <c r="ET55" s="245">
        <f>ET53-ET54</f>
        <v/>
      </c>
      <c r="EU55" s="246" t="n"/>
      <c r="EV55" s="245">
        <f>EV53-EV54</f>
        <v/>
      </c>
      <c r="EW55" s="246" t="n"/>
      <c r="EX55" s="290">
        <f>EX53-EX54</f>
        <v/>
      </c>
      <c r="EY55" s="255" t="n"/>
      <c r="EZ55" s="245">
        <f>EZ53-EZ54</f>
        <v/>
      </c>
      <c r="FA55" s="246" t="n"/>
      <c r="FB55" s="245">
        <f>FB53-FB54</f>
        <v/>
      </c>
      <c r="FC55" s="246" t="n"/>
      <c r="FD55" s="245">
        <f>FD53-FD54</f>
        <v/>
      </c>
      <c r="FE55" s="246" t="n"/>
      <c r="FF55" s="245">
        <f>FF53-FF54</f>
        <v/>
      </c>
      <c r="FG55" s="246" t="n"/>
      <c r="FH55" s="245">
        <f>FH53-FH54</f>
        <v/>
      </c>
      <c r="FI55" s="246" t="n"/>
      <c r="FJ55" s="269">
        <f>FJ53-FJ54</f>
        <v/>
      </c>
      <c r="FK55" s="246" t="n"/>
      <c r="FL55" s="245">
        <f>FL53-FL54</f>
        <v/>
      </c>
      <c r="FM55" s="246" t="n"/>
      <c r="FN55" s="245">
        <f>FN53-FN54</f>
        <v/>
      </c>
      <c r="FO55" s="246" t="n"/>
      <c r="FP55" s="245">
        <f>FP53-FP54</f>
        <v/>
      </c>
      <c r="FQ55" s="246" t="n"/>
      <c r="FR55" s="245">
        <f>FR53-FR54</f>
        <v/>
      </c>
      <c r="FS55" s="246" t="n"/>
      <c r="FT55" s="245">
        <f>FT53-FT54</f>
        <v/>
      </c>
      <c r="FU55" s="246" t="n"/>
      <c r="FV55" s="245">
        <f>FV53-FV54</f>
        <v/>
      </c>
      <c r="FW55" s="246" t="n"/>
      <c r="FX55" s="254">
        <f>FX53-FX54</f>
        <v/>
      </c>
      <c r="FY55" s="255" t="n"/>
      <c r="FZ55" s="254">
        <f>FZ53-FZ54</f>
        <v/>
      </c>
      <c r="GA55" s="255" t="n"/>
      <c r="GB55" s="254">
        <f>GB53-GB54</f>
        <v/>
      </c>
      <c r="GC55" s="255" t="n"/>
      <c r="GD55" s="254">
        <f>GD53-GD54</f>
        <v/>
      </c>
      <c r="GE55" s="255" t="n"/>
      <c r="GF55" s="245">
        <f>GF53-GF54</f>
        <v/>
      </c>
      <c r="GG55" s="246" t="n"/>
      <c r="GH55" s="245">
        <f>GH53-GH54</f>
        <v/>
      </c>
      <c r="GI55" s="246" t="n"/>
      <c r="GJ55" s="245">
        <f>GJ53-GJ54</f>
        <v/>
      </c>
      <c r="GK55" s="246" t="n"/>
      <c r="GL55" s="245">
        <f>GL53-GL54</f>
        <v/>
      </c>
      <c r="GM55" s="246" t="n"/>
      <c r="GN55" s="245">
        <f>GN53-GN54</f>
        <v/>
      </c>
      <c r="GO55" s="246" t="n"/>
      <c r="GP55" s="245">
        <f>GP53-GP54</f>
        <v/>
      </c>
      <c r="GQ55" s="246" t="n"/>
      <c r="GR55" s="245">
        <f>GR53-GR54</f>
        <v/>
      </c>
      <c r="GS55" s="246" t="n"/>
      <c r="GT55" s="245">
        <f>GT53-GT54</f>
        <v/>
      </c>
      <c r="GU55" s="246" t="n"/>
      <c r="GV55" s="245">
        <f>GV53-GV54</f>
        <v/>
      </c>
      <c r="GW55" s="246" t="n"/>
      <c r="GX55" s="245">
        <f>GX53-GX54</f>
        <v/>
      </c>
      <c r="GY55" s="246" t="n"/>
      <c r="GZ55" s="245">
        <f>GZ53-GZ54</f>
        <v/>
      </c>
      <c r="HA55" s="246" t="n"/>
      <c r="HB55" s="245">
        <f>HB53-HB54</f>
        <v/>
      </c>
      <c r="HC55" s="246" t="n"/>
      <c r="HD55" s="245">
        <f>HD53-HD54</f>
        <v/>
      </c>
      <c r="HE55" s="246" t="n"/>
      <c r="HF55" s="245">
        <f>HF53-HF54</f>
        <v/>
      </c>
      <c r="HG55" s="246" t="n"/>
      <c r="HH55" s="245">
        <f>HH53-HH54</f>
        <v/>
      </c>
      <c r="HI55" s="246" t="n"/>
      <c r="HJ55" s="245">
        <f>HJ53-HJ54</f>
        <v/>
      </c>
      <c r="HK55" s="246" t="n"/>
      <c r="HL55" s="245">
        <f>HL53-HL54</f>
        <v/>
      </c>
      <c r="HM55" s="246" t="n"/>
      <c r="HN55" s="245">
        <f>HN53-HN54</f>
        <v/>
      </c>
      <c r="HO55" s="246" t="n"/>
      <c r="HP55" s="245">
        <f>HP53-HP54</f>
        <v/>
      </c>
      <c r="HQ55" s="246" t="n"/>
      <c r="HR55" s="245">
        <f>HR53-HR54</f>
        <v/>
      </c>
      <c r="HS55" s="246" t="n"/>
      <c r="HT55" s="245">
        <f>HT53-HT54</f>
        <v/>
      </c>
      <c r="HU55" s="246" t="n"/>
      <c r="HV55" s="273">
        <f>HV53-HV54</f>
        <v/>
      </c>
      <c r="HW55" s="251" t="n"/>
      <c r="HX55" s="254">
        <f>HX53-HX54</f>
        <v/>
      </c>
      <c r="HY55" s="255" t="n"/>
      <c r="HZ55" s="254">
        <f>HZ53-HZ54</f>
        <v/>
      </c>
      <c r="IA55" s="255" t="n"/>
      <c r="IB55" s="245">
        <f>IB53-IB54</f>
        <v/>
      </c>
      <c r="IC55" s="246" t="n"/>
      <c r="ID55" s="273">
        <f>ID53-ID54</f>
        <v/>
      </c>
      <c r="IE55" s="251" t="n"/>
      <c r="IF55" s="245">
        <f>IF53-IF54</f>
        <v/>
      </c>
      <c r="IG55" s="246" t="n"/>
      <c r="IH55" s="245">
        <f>IH53-IH54</f>
        <v/>
      </c>
      <c r="II55" s="246" t="n"/>
      <c r="IJ55" s="245">
        <f>IJ53-IJ54</f>
        <v/>
      </c>
      <c r="IK55" s="246" t="n"/>
      <c r="IL55" s="245">
        <f>IL53-IL54</f>
        <v/>
      </c>
      <c r="IM55" s="246" t="n"/>
      <c r="IN55" s="245">
        <f>IN53-IN54</f>
        <v/>
      </c>
      <c r="IO55" s="246" t="n"/>
      <c r="IP55" s="245">
        <f>IP53-IP54</f>
        <v/>
      </c>
      <c r="IQ55" s="246" t="n"/>
      <c r="IR55" s="245">
        <f>IR53-IR54</f>
        <v/>
      </c>
      <c r="IS55" s="246" t="n"/>
      <c r="IT55" s="245">
        <f>IT53-IT54</f>
        <v/>
      </c>
      <c r="IU55" s="246" t="n"/>
      <c r="IV55" s="245">
        <f>IV53-IV54</f>
        <v/>
      </c>
      <c r="IW55" s="246" t="n"/>
      <c r="IX55" s="245">
        <f>IX53-IX54</f>
        <v/>
      </c>
      <c r="IY55" s="246" t="n"/>
      <c r="IZ55" s="245">
        <f>IZ53-IZ54</f>
        <v/>
      </c>
      <c r="JA55" s="246" t="n"/>
      <c r="JB55" s="245">
        <f>JB53-JB54</f>
        <v/>
      </c>
      <c r="JC55" s="246" t="n"/>
      <c r="JD55" s="245">
        <f>JD53-JD54</f>
        <v/>
      </c>
      <c r="JE55" s="246" t="n"/>
      <c r="JF55" s="245">
        <f>JF53-JF54</f>
        <v/>
      </c>
      <c r="JG55" s="246" t="n"/>
      <c r="JH55" s="245">
        <f>JH53-JH54</f>
        <v/>
      </c>
      <c r="JI55" s="246" t="n"/>
      <c r="JJ55" s="245">
        <f>JJ53-JJ54</f>
        <v/>
      </c>
      <c r="JK55" s="246" t="n"/>
      <c r="JL55" s="245">
        <f>JL53-JL54</f>
        <v/>
      </c>
      <c r="JM55" s="246" t="n"/>
      <c r="JN55" s="273">
        <f>JN53-JN54</f>
        <v/>
      </c>
      <c r="JO55" s="251" t="n"/>
      <c r="JP55" s="250">
        <f>JP53-JP54</f>
        <v/>
      </c>
      <c r="JQ55" s="251" t="n"/>
      <c r="JR55" s="245">
        <f>JR53-JR54</f>
        <v/>
      </c>
      <c r="JS55" s="246" t="n"/>
      <c r="JT55" s="245">
        <f>JT53-JT54</f>
        <v/>
      </c>
      <c r="JU55" s="246" t="n"/>
      <c r="JV55" s="245">
        <f>JV53-JV54</f>
        <v/>
      </c>
      <c r="JW55" s="246" t="n"/>
      <c r="JX55" s="250">
        <f>JX53-JX54</f>
        <v/>
      </c>
      <c r="JY55" s="251" t="n"/>
      <c r="JZ55" s="245">
        <f>JZ53-JZ54</f>
        <v/>
      </c>
      <c r="KA55" s="246" t="n"/>
      <c r="KB55" s="298">
        <f>SUM(H55:JY55)</f>
        <v/>
      </c>
      <c r="KC55" s="246" t="n"/>
      <c r="KD55" s="2" t="n"/>
      <c r="KF55" s="97" t="n"/>
    </row>
    <row r="56" ht="11.25" customHeight="1">
      <c r="B56" s="32" t="n"/>
      <c r="D56" s="279" t="inlineStr">
        <is>
          <t>частично актован</t>
        </is>
      </c>
      <c r="M56" s="279" t="n"/>
      <c r="CT56" s="279" t="n"/>
      <c r="CU56" s="279" t="n"/>
      <c r="KB56" s="307" t="n"/>
      <c r="KC56" s="308" t="n"/>
    </row>
    <row r="57" ht="11.25" customHeight="1">
      <c r="B57" s="33" t="n"/>
      <c r="D57" s="279" t="inlineStr">
        <is>
          <t>НЗП</t>
        </is>
      </c>
      <c r="M57" s="279" t="n"/>
      <c r="CT57" s="279" t="n"/>
      <c r="CU57" s="279" t="n"/>
    </row>
    <row r="58" ht="11.25" customHeight="1">
      <c r="B58" s="34" t="n"/>
      <c r="D58" s="279" t="inlineStr">
        <is>
          <t>актовка</t>
        </is>
      </c>
      <c r="M58" s="279" t="n"/>
      <c r="CT58" s="279" t="n"/>
      <c r="CU58" s="279" t="n"/>
    </row>
    <row r="59" ht="11.25" customHeight="1">
      <c r="B59" s="35" t="n"/>
      <c r="D59" s="279" t="inlineStr">
        <is>
          <t>для заполнения данными бухгалтерии</t>
        </is>
      </c>
      <c r="M59" s="279" t="n"/>
      <c r="CT59" s="279" t="n"/>
      <c r="CU59" s="279" t="n"/>
    </row>
    <row r="60" ht="29.25" customHeight="1">
      <c r="CT60" s="279" t="n"/>
      <c r="CU60" s="279" t="n"/>
    </row>
    <row r="61" ht="14.25" customHeight="1">
      <c r="CT61" s="279" t="n"/>
      <c r="CU61" s="279" t="n"/>
    </row>
    <row r="62" ht="13.2" customHeight="1">
      <c r="BF62" s="88" t="n"/>
      <c r="CD62" s="88" t="n"/>
      <c r="CR62" s="88" t="n"/>
      <c r="CT62" s="88" t="n"/>
      <c r="CU62" s="279" t="n"/>
      <c r="DL62" s="88" t="n"/>
      <c r="DX62" s="88" t="n"/>
      <c r="EJ62" s="88" t="n"/>
      <c r="EP62" s="88" t="n"/>
      <c r="EX62" s="88" t="n"/>
      <c r="GX62" s="88" t="n"/>
      <c r="GZ62" s="88" t="n"/>
      <c r="HB62" s="88" t="n"/>
      <c r="HD62" s="88" t="n"/>
      <c r="HF62" s="88" t="n"/>
      <c r="HH62" s="88" t="n"/>
      <c r="HJ62" s="88" t="n"/>
      <c r="HL62" s="88" t="n"/>
      <c r="KF62" s="88" t="n"/>
    </row>
    <row r="63" ht="13.2" customHeight="1">
      <c r="CT63" s="279" t="n"/>
      <c r="CU63" s="279" t="n"/>
    </row>
    <row r="64" ht="13.2" customHeight="1">
      <c r="CT64" s="279" t="n"/>
      <c r="CU64" s="279" t="n"/>
    </row>
    <row r="65" ht="13.2" customHeight="1">
      <c r="CT65" s="279" t="n"/>
      <c r="CU65" s="279" t="n"/>
    </row>
    <row r="66" ht="13.2" customHeight="1">
      <c r="CT66" s="279" t="n"/>
      <c r="CU66" s="279" t="n"/>
    </row>
    <row r="67" ht="13.2" customHeight="1">
      <c r="CT67" s="279" t="n"/>
      <c r="CU67" s="279" t="n"/>
    </row>
    <row r="68" ht="13.2" customHeight="1">
      <c r="CT68" s="279" t="n"/>
      <c r="CU68" s="279" t="n"/>
    </row>
    <row r="69" ht="13.2" customHeight="1">
      <c r="CT69" s="279" t="n"/>
      <c r="CU69" s="279" t="n"/>
    </row>
    <row r="70" ht="13.2" customHeight="1">
      <c r="CT70" s="279" t="n"/>
      <c r="CU70" s="279" t="n"/>
      <c r="JE70" s="301" t="n"/>
    </row>
    <row r="71" ht="13.2" customHeight="1">
      <c r="CT71" s="279" t="n"/>
      <c r="CU71" s="279" t="n"/>
      <c r="JE71" s="278" t="n"/>
    </row>
    <row r="72" ht="13.2" customHeight="1">
      <c r="CT72" s="279" t="n"/>
      <c r="CU72" s="279" t="n"/>
    </row>
    <row r="73" ht="13.2" customHeight="1">
      <c r="CT73" s="279" t="n"/>
      <c r="CU73" s="279" t="n"/>
    </row>
    <row r="74" ht="13.2" customHeight="1">
      <c r="CT74" s="279" t="n"/>
      <c r="CU74" s="279" t="n"/>
    </row>
    <row r="75" ht="13.2" customHeight="1">
      <c r="CT75" s="279" t="n"/>
      <c r="CU75" s="279" t="n"/>
    </row>
    <row r="76" ht="13.2" customHeight="1">
      <c r="CT76" s="279" t="n"/>
      <c r="CU76" s="279" t="n"/>
    </row>
    <row r="77" ht="13.2" customHeight="1">
      <c r="CT77" s="279" t="n"/>
      <c r="CU77" s="279" t="n"/>
    </row>
    <row r="78" ht="13.2" customHeight="1">
      <c r="CT78" s="279" t="n"/>
      <c r="CU78" s="279" t="n"/>
    </row>
    <row r="79" ht="13.2" customHeight="1">
      <c r="CT79" s="279" t="n"/>
      <c r="CU79" s="279" t="n"/>
    </row>
    <row r="80" ht="13.2" customHeight="1">
      <c r="CT80" s="279" t="n"/>
      <c r="CU80" s="279" t="n"/>
    </row>
    <row r="81" ht="13.2" customHeight="1">
      <c r="CT81" s="279" t="n"/>
      <c r="CU81" s="279" t="n"/>
    </row>
    <row r="82" ht="13.2" customHeight="1">
      <c r="CT82" s="279" t="n"/>
      <c r="CU82" s="279" t="n"/>
    </row>
    <row r="83" ht="13.2" customHeight="1">
      <c r="CT83" s="279" t="n"/>
      <c r="CU83" s="279" t="n"/>
    </row>
    <row r="84" ht="13.2" customHeight="1">
      <c r="CT84" s="279" t="n"/>
      <c r="CU84" s="279" t="n"/>
    </row>
    <row r="85" ht="13.2" customHeight="1">
      <c r="CT85" s="279" t="n"/>
      <c r="CU85" s="279" t="n"/>
    </row>
    <row r="86" ht="13.2" customHeight="1">
      <c r="CT86" s="279" t="n"/>
      <c r="CU86" s="279" t="n"/>
    </row>
    <row r="87" ht="13.2" customHeight="1">
      <c r="CT87" s="279" t="n"/>
      <c r="CU87" s="279" t="n"/>
    </row>
    <row r="88" ht="13.2" customHeight="1">
      <c r="CT88" s="279" t="n"/>
      <c r="CU88" s="279" t="n"/>
    </row>
    <row r="89" ht="13.2" customHeight="1">
      <c r="CT89" s="279" t="n"/>
      <c r="CU89" s="279" t="n"/>
    </row>
    <row r="90" ht="13.2" customHeight="1">
      <c r="CT90" s="279" t="n"/>
      <c r="CU90" s="279" t="n"/>
    </row>
    <row r="91" ht="13.2" customHeight="1">
      <c r="CT91" s="279" t="n"/>
      <c r="CU91" s="279" t="n"/>
    </row>
    <row r="92" ht="13.2" customHeight="1">
      <c r="CT92" s="279" t="n"/>
      <c r="CU92" s="279" t="n"/>
    </row>
    <row r="93" ht="13.2" customHeight="1">
      <c r="CT93" s="279" t="n"/>
      <c r="CU93" s="279" t="n"/>
    </row>
    <row r="94" ht="13.2" customHeight="1">
      <c r="CT94" s="279" t="n"/>
      <c r="CU94" s="279" t="n"/>
    </row>
    <row r="95" ht="13.2" customHeight="1">
      <c r="CT95" s="279" t="n"/>
      <c r="CU95" s="279" t="n"/>
    </row>
    <row r="96" ht="13.2" customHeight="1">
      <c r="CT96" s="279" t="n"/>
      <c r="CU96" s="279" t="n"/>
    </row>
    <row r="97" ht="13.2" customHeight="1">
      <c r="CT97" s="279" t="n"/>
      <c r="CU97" s="279" t="n"/>
    </row>
    <row r="98" ht="13.2" customHeight="1">
      <c r="CT98" s="279" t="n"/>
      <c r="CU98" s="279" t="n"/>
    </row>
    <row r="99" ht="13.2" customHeight="1">
      <c r="CT99" s="279" t="n"/>
      <c r="CU99" s="279" t="n"/>
    </row>
    <row r="100" ht="13.2" customHeight="1">
      <c r="CT100" s="279" t="n"/>
      <c r="CU100" s="279" t="n"/>
    </row>
    <row r="101" ht="13.2" customHeight="1">
      <c r="CT101" s="279" t="n"/>
      <c r="CU101" s="279" t="n"/>
    </row>
    <row r="102" ht="13.2" customHeight="1">
      <c r="CT102" s="279" t="n"/>
      <c r="CU102" s="279" t="n"/>
    </row>
    <row r="103" ht="13.2" customHeight="1">
      <c r="CT103" s="279" t="n"/>
      <c r="CU103" s="279" t="n"/>
    </row>
    <row r="104" ht="13.2" customHeight="1">
      <c r="CT104" s="279" t="n"/>
      <c r="CU104" s="279" t="n"/>
    </row>
    <row r="105" ht="13.2" customHeight="1">
      <c r="CT105" s="279" t="n"/>
      <c r="CU105" s="279" t="n"/>
    </row>
    <row r="106" ht="13.2" customHeight="1">
      <c r="CT106" s="279" t="n"/>
      <c r="CU106" s="279" t="n"/>
    </row>
    <row r="107" ht="13.2" customHeight="1">
      <c r="CT107" s="279" t="n"/>
      <c r="CU107" s="279" t="n"/>
    </row>
    <row r="108" ht="13.2" customHeight="1">
      <c r="CT108" s="279" t="n"/>
      <c r="CU108" s="279" t="n"/>
    </row>
    <row r="109" ht="13.2" customHeight="1">
      <c r="CT109" s="279" t="n"/>
      <c r="CU109" s="279" t="n"/>
    </row>
    <row r="110" ht="13.2" customHeight="1">
      <c r="CT110" s="279" t="n"/>
      <c r="CU110" s="279" t="n"/>
    </row>
    <row r="111" ht="13.2" customHeight="1">
      <c r="CT111" s="279" t="n"/>
      <c r="CU111" s="279" t="n"/>
    </row>
    <row r="112" ht="13.2" customHeight="1">
      <c r="CT112" s="279" t="n"/>
      <c r="CU112" s="279" t="n"/>
    </row>
    <row r="113" ht="13.2" customHeight="1">
      <c r="CT113" s="279" t="n"/>
      <c r="CU113" s="279" t="n"/>
    </row>
    <row r="114" ht="13.2" customHeight="1">
      <c r="CT114" s="279" t="n"/>
      <c r="CU114" s="279" t="n"/>
    </row>
    <row r="115" ht="13.2" customHeight="1">
      <c r="CT115" s="279" t="n"/>
      <c r="CU115" s="279" t="n"/>
    </row>
    <row r="116" ht="13.2" customHeight="1">
      <c r="CT116" s="279" t="n"/>
      <c r="CU116" s="279" t="n"/>
    </row>
    <row r="117" ht="13.2" customHeight="1">
      <c r="CT117" s="279" t="n"/>
      <c r="CU117" s="279" t="n"/>
    </row>
    <row r="118" ht="13.2" customHeight="1">
      <c r="CT118" s="279" t="n"/>
      <c r="CU118" s="279" t="n"/>
    </row>
    <row r="119" ht="13.2" customHeight="1">
      <c r="CT119" s="279" t="n"/>
      <c r="CU119" s="279" t="n"/>
    </row>
    <row r="120" ht="13.2" customHeight="1">
      <c r="CT120" s="279" t="n"/>
      <c r="CU120" s="279" t="n"/>
    </row>
    <row r="121" ht="13.2" customHeight="1">
      <c r="CT121" s="279" t="n"/>
      <c r="CU121" s="279" t="n"/>
    </row>
    <row r="122" ht="13.2" customHeight="1">
      <c r="CT122" s="279" t="n"/>
      <c r="CU122" s="279" t="n"/>
    </row>
    <row r="123" ht="13.2" customHeight="1">
      <c r="CT123" s="279" t="n"/>
      <c r="CU123" s="279" t="n"/>
    </row>
    <row r="124" ht="13.2" customHeight="1">
      <c r="CT124" s="279" t="n"/>
      <c r="CU124" s="279" t="n"/>
    </row>
    <row r="125" ht="13.2" customHeight="1">
      <c r="CT125" s="279" t="n"/>
      <c r="CU125" s="279" t="n"/>
    </row>
    <row r="126" ht="13.2" customHeight="1">
      <c r="CT126" s="279" t="n"/>
      <c r="CU126" s="279" t="n"/>
    </row>
    <row r="127" ht="13.2" customHeight="1">
      <c r="CT127" s="279" t="n"/>
      <c r="CU127" s="279" t="n"/>
    </row>
    <row r="128" ht="13.2" customHeight="1">
      <c r="CT128" s="279" t="n"/>
      <c r="CU128" s="279" t="n"/>
    </row>
    <row r="129" ht="13.2" customHeight="1">
      <c r="CT129" s="279" t="n"/>
      <c r="CU129" s="279" t="n"/>
    </row>
    <row r="130" ht="13.2" customHeight="1">
      <c r="CT130" s="279" t="n"/>
      <c r="CU130" s="279" t="n"/>
    </row>
    <row r="131" ht="13.2" customHeight="1">
      <c r="CT131" s="279" t="n"/>
      <c r="CU131" s="279" t="n"/>
    </row>
    <row r="132" ht="13.2" customHeight="1">
      <c r="CT132" s="279" t="n"/>
      <c r="CU132" s="279" t="n"/>
    </row>
    <row r="133" ht="13.2" customHeight="1">
      <c r="CT133" s="279" t="n"/>
      <c r="CU133" s="279" t="n"/>
    </row>
    <row r="134" ht="13.2" customHeight="1">
      <c r="CT134" s="279" t="n"/>
      <c r="CU134" s="279" t="n"/>
    </row>
    <row r="135" ht="13.2" customHeight="1">
      <c r="CT135" s="279" t="n"/>
      <c r="CU135" s="279" t="n"/>
    </row>
    <row r="136" ht="13.2" customHeight="1">
      <c r="CT136" s="279" t="n"/>
      <c r="CU136" s="279" t="n"/>
    </row>
    <row r="137" ht="13.2" customHeight="1">
      <c r="CT137" s="279" t="n"/>
      <c r="CU137" s="279" t="n"/>
    </row>
    <row r="138" ht="13.2" customHeight="1">
      <c r="CT138" s="279" t="n"/>
      <c r="CU138" s="279" t="n"/>
    </row>
    <row r="139" ht="13.2" customHeight="1">
      <c r="CT139" s="279" t="n"/>
      <c r="CU139" s="279" t="n"/>
    </row>
    <row r="140" ht="13.2" customHeight="1">
      <c r="CT140" s="279" t="n"/>
      <c r="CU140" s="279" t="n"/>
    </row>
    <row r="141" ht="13.2" customHeight="1">
      <c r="CT141" s="279" t="n"/>
      <c r="CU141" s="279" t="n"/>
    </row>
    <row r="142" ht="13.2" customHeight="1">
      <c r="CT142" s="279" t="n"/>
      <c r="CU142" s="279" t="n"/>
    </row>
    <row r="143" ht="13.2" customHeight="1">
      <c r="CT143" s="279" t="n"/>
      <c r="CU143" s="279" t="n"/>
    </row>
    <row r="144" ht="13.2" customHeight="1">
      <c r="CT144" s="279" t="n"/>
      <c r="CU144" s="279" t="n"/>
    </row>
    <row r="145" ht="13.2" customHeight="1">
      <c r="CT145" s="279" t="n"/>
      <c r="CU145" s="279" t="n"/>
    </row>
    <row r="146" ht="13.2" customHeight="1">
      <c r="CT146" s="279" t="n"/>
      <c r="CU146" s="279" t="n"/>
    </row>
    <row r="147" ht="13.2" customHeight="1">
      <c r="CT147" s="279" t="n"/>
      <c r="CU147" s="279" t="n"/>
    </row>
    <row r="148" ht="13.2" customHeight="1">
      <c r="CT148" s="279" t="n"/>
      <c r="CU148" s="279" t="n"/>
    </row>
    <row r="149" ht="13.2" customHeight="1">
      <c r="CT149" s="279" t="n"/>
      <c r="CU149" s="279" t="n"/>
    </row>
    <row r="150" ht="13.2" customHeight="1">
      <c r="CT150" s="279" t="n"/>
      <c r="CU150" s="279" t="n"/>
    </row>
    <row r="151" ht="13.2" customHeight="1">
      <c r="CT151" s="279" t="n"/>
      <c r="CU151" s="279" t="n"/>
    </row>
    <row r="152" ht="13.2" customHeight="1">
      <c r="CT152" s="279" t="n"/>
      <c r="CU152" s="279" t="n"/>
    </row>
    <row r="153" ht="13.2" customHeight="1">
      <c r="CT153" s="279" t="n"/>
      <c r="CU153" s="279" t="n"/>
    </row>
    <row r="154" ht="13.2" customHeight="1">
      <c r="CT154" s="279" t="n"/>
      <c r="CU154" s="279" t="n"/>
    </row>
    <row r="155" ht="13.2" customHeight="1">
      <c r="CT155" s="279" t="n"/>
      <c r="CU155" s="279" t="n"/>
    </row>
    <row r="156" ht="13.2" customHeight="1">
      <c r="CT156" s="279" t="n"/>
      <c r="CU156" s="279" t="n"/>
    </row>
    <row r="157" ht="13.2" customHeight="1">
      <c r="CT157" s="279" t="n"/>
      <c r="CU157" s="279" t="n"/>
    </row>
    <row r="158" ht="13.2" customHeight="1">
      <c r="CT158" s="279" t="n"/>
      <c r="CU158" s="279" t="n"/>
    </row>
    <row r="159" ht="13.2" customHeight="1">
      <c r="CT159" s="279" t="n"/>
      <c r="CU159" s="279" t="n"/>
    </row>
    <row r="160" ht="13.2" customHeight="1">
      <c r="CT160" s="279" t="n"/>
      <c r="CU160" s="279" t="n"/>
    </row>
    <row r="161" ht="13.2" customHeight="1">
      <c r="CT161" s="279" t="n"/>
      <c r="CU161" s="279" t="n"/>
    </row>
    <row r="162" ht="13.2" customHeight="1">
      <c r="CT162" s="279" t="n"/>
      <c r="CU162" s="279" t="n"/>
    </row>
    <row r="163" ht="13.2" customHeight="1">
      <c r="CT163" s="279" t="n"/>
      <c r="CU163" s="279" t="n"/>
    </row>
    <row r="164" ht="13.2" customHeight="1">
      <c r="CT164" s="279" t="n"/>
      <c r="CU164" s="279" t="n"/>
    </row>
    <row r="165" ht="13.2" customHeight="1">
      <c r="CT165" s="279" t="n"/>
      <c r="CU165" s="279" t="n"/>
    </row>
    <row r="166" ht="13.2" customHeight="1">
      <c r="CT166" s="279" t="n"/>
      <c r="CU166" s="279" t="n"/>
    </row>
    <row r="167" ht="13.2" customHeight="1">
      <c r="CT167" s="279" t="n"/>
      <c r="CU167" s="279" t="n"/>
    </row>
    <row r="168" ht="13.2" customHeight="1">
      <c r="CT168" s="279" t="n"/>
      <c r="CU168" s="279" t="n"/>
    </row>
    <row r="169" ht="13.2" customHeight="1">
      <c r="CT169" s="279" t="n"/>
      <c r="CU169" s="279" t="n"/>
    </row>
    <row r="170" ht="13.2" customHeight="1">
      <c r="CT170" s="279" t="n"/>
      <c r="CU170" s="279" t="n"/>
    </row>
    <row r="171" ht="13.2" customHeight="1">
      <c r="CT171" s="279" t="n"/>
      <c r="CU171" s="279" t="n"/>
    </row>
    <row r="172" ht="13.2" customHeight="1">
      <c r="CT172" s="279" t="n"/>
      <c r="CU172" s="279" t="n"/>
    </row>
    <row r="173" ht="13.2" customHeight="1">
      <c r="CT173" s="279" t="n"/>
      <c r="CU173" s="279" t="n"/>
    </row>
    <row r="174" ht="13.2" customHeight="1">
      <c r="CT174" s="279" t="n"/>
      <c r="CU174" s="279" t="n"/>
    </row>
    <row r="175" ht="13.2" customHeight="1">
      <c r="CT175" s="279" t="n"/>
      <c r="CU175" s="279" t="n"/>
    </row>
    <row r="176" ht="13.2" customHeight="1">
      <c r="CT176" s="279" t="n"/>
      <c r="CU176" s="279" t="n"/>
    </row>
    <row r="177" ht="13.2" customHeight="1">
      <c r="CT177" s="279" t="n"/>
      <c r="CU177" s="279" t="n"/>
    </row>
    <row r="178" ht="13.2" customHeight="1">
      <c r="CT178" s="279" t="n"/>
      <c r="CU178" s="279" t="n"/>
    </row>
    <row r="179" ht="13.2" customHeight="1">
      <c r="CT179" s="279" t="n"/>
      <c r="CU179" s="279" t="n"/>
    </row>
    <row r="180" ht="13.2" customHeight="1">
      <c r="CT180" s="279" t="n"/>
      <c r="CU180" s="279" t="n"/>
    </row>
    <row r="181" ht="13.2" customHeight="1">
      <c r="CT181" s="279" t="n"/>
      <c r="CU181" s="279" t="n"/>
    </row>
    <row r="182" ht="13.2" customHeight="1">
      <c r="CT182" s="279" t="n"/>
      <c r="CU182" s="279" t="n"/>
    </row>
    <row r="183" ht="13.2" customHeight="1">
      <c r="CT183" s="279" t="n"/>
      <c r="CU183" s="279" t="n"/>
    </row>
    <row r="184" ht="13.2" customHeight="1">
      <c r="CT184" s="279" t="n"/>
      <c r="CU184" s="279" t="n"/>
    </row>
    <row r="185" ht="13.2" customHeight="1">
      <c r="CT185" s="279" t="n"/>
      <c r="CU185" s="279" t="n"/>
    </row>
    <row r="186" ht="13.2" customHeight="1">
      <c r="CT186" s="279" t="n"/>
      <c r="CU186" s="279" t="n"/>
    </row>
    <row r="187" ht="13.2" customHeight="1">
      <c r="CT187" s="279" t="n"/>
      <c r="CU187" s="279" t="n"/>
    </row>
    <row r="188" ht="13.2" customHeight="1">
      <c r="CT188" s="279" t="n"/>
      <c r="CU188" s="279" t="n"/>
    </row>
    <row r="189" ht="13.2" customHeight="1">
      <c r="CT189" s="279" t="n"/>
      <c r="CU189" s="279" t="n"/>
    </row>
    <row r="190" ht="13.2" customHeight="1">
      <c r="CT190" s="279" t="n"/>
      <c r="CU190" s="279" t="n"/>
    </row>
    <row r="191" ht="13.2" customHeight="1">
      <c r="CT191" s="279" t="n"/>
      <c r="CU191" s="279" t="n"/>
    </row>
    <row r="192" ht="13.2" customHeight="1">
      <c r="CT192" s="279" t="n"/>
      <c r="CU192" s="279" t="n"/>
    </row>
    <row r="193" ht="13.2" customHeight="1">
      <c r="CT193" s="279" t="n"/>
      <c r="CU193" s="279" t="n"/>
    </row>
    <row r="194" ht="13.2" customHeight="1">
      <c r="CT194" s="279" t="n"/>
      <c r="CU194" s="279" t="n"/>
    </row>
    <row r="195" ht="13.2" customHeight="1">
      <c r="CT195" s="279" t="n"/>
      <c r="CU195" s="279" t="n"/>
    </row>
    <row r="196" ht="13.2" customHeight="1">
      <c r="CT196" s="279" t="n"/>
      <c r="CU196" s="279" t="n"/>
    </row>
    <row r="197" ht="13.2" customHeight="1">
      <c r="CT197" s="279" t="n"/>
      <c r="CU197" s="279" t="n"/>
    </row>
    <row r="198" ht="13.2" customHeight="1">
      <c r="CT198" s="279" t="n"/>
      <c r="CU198" s="279" t="n"/>
    </row>
    <row r="199" ht="13.2" customHeight="1">
      <c r="CT199" s="279" t="n"/>
      <c r="CU199" s="279" t="n"/>
    </row>
    <row r="200" ht="13.2" customHeight="1">
      <c r="CT200" s="279" t="n"/>
      <c r="CU200" s="279" t="n"/>
    </row>
    <row r="201" ht="13.2" customHeight="1">
      <c r="CT201" s="279" t="n"/>
      <c r="CU201" s="279" t="n"/>
    </row>
    <row r="202" ht="13.2" customHeight="1">
      <c r="CT202" s="279" t="n"/>
      <c r="CU202" s="279" t="n"/>
    </row>
    <row r="203" ht="13.2" customHeight="1">
      <c r="CT203" s="279" t="n"/>
      <c r="CU203" s="279" t="n"/>
    </row>
    <row r="204" ht="13.2" customHeight="1">
      <c r="CT204" s="279" t="n"/>
      <c r="CU204" s="279" t="n"/>
    </row>
    <row r="205" ht="13.2" customHeight="1">
      <c r="CT205" s="279" t="n"/>
      <c r="CU205" s="279" t="n"/>
    </row>
    <row r="206" ht="13.2" customHeight="1">
      <c r="CT206" s="279" t="n"/>
      <c r="CU206" s="279" t="n"/>
    </row>
    <row r="207" ht="13.2" customHeight="1">
      <c r="CT207" s="279" t="n"/>
      <c r="CU207" s="279" t="n"/>
    </row>
    <row r="208" ht="13.2" customHeight="1">
      <c r="CT208" s="279" t="n"/>
      <c r="CU208" s="279" t="n"/>
    </row>
    <row r="209" ht="13.2" customHeight="1">
      <c r="CT209" s="279" t="n"/>
      <c r="CU209" s="279" t="n"/>
    </row>
    <row r="210" ht="13.2" customHeight="1">
      <c r="CT210" s="279" t="n"/>
      <c r="CU210" s="279" t="n"/>
    </row>
    <row r="211" ht="13.2" customHeight="1">
      <c r="CT211" s="279" t="n"/>
      <c r="CU211" s="279" t="n"/>
    </row>
    <row r="212" ht="13.2" customHeight="1">
      <c r="CT212" s="279" t="n"/>
      <c r="CU212" s="279" t="n"/>
    </row>
    <row r="213" ht="13.2" customHeight="1">
      <c r="CT213" s="279" t="n"/>
      <c r="CU213" s="279" t="n"/>
    </row>
    <row r="214" ht="13.2" customHeight="1">
      <c r="CT214" s="279" t="n"/>
      <c r="CU214" s="279" t="n"/>
    </row>
    <row r="215" ht="13.2" customHeight="1">
      <c r="CT215" s="279" t="n"/>
      <c r="CU215" s="279" t="n"/>
    </row>
    <row r="216" ht="13.2" customHeight="1">
      <c r="CT216" s="279" t="n"/>
      <c r="CU216" s="279" t="n"/>
    </row>
    <row r="217" ht="13.2" customHeight="1">
      <c r="CT217" s="279" t="n"/>
      <c r="CU217" s="279" t="n"/>
    </row>
    <row r="218" ht="13.2" customHeight="1">
      <c r="CT218" s="279" t="n"/>
      <c r="CU218" s="279" t="n"/>
    </row>
    <row r="219" ht="13.2" customHeight="1">
      <c r="CT219" s="279" t="n"/>
      <c r="CU219" s="279" t="n"/>
    </row>
    <row r="220" ht="13.2" customHeight="1">
      <c r="CT220" s="279" t="n"/>
      <c r="CU220" s="279" t="n"/>
    </row>
    <row r="221" ht="13.2" customHeight="1">
      <c r="CT221" s="279" t="n"/>
      <c r="CU221" s="279" t="n"/>
    </row>
    <row r="222" ht="13.2" customHeight="1">
      <c r="CT222" s="279" t="n"/>
      <c r="CU222" s="279" t="n"/>
    </row>
    <row r="223" ht="13.2" customHeight="1">
      <c r="CT223" s="279" t="n"/>
      <c r="CU223" s="279" t="n"/>
    </row>
    <row r="224" ht="13.2" customHeight="1">
      <c r="CT224" s="279" t="n"/>
      <c r="CU224" s="279" t="n"/>
    </row>
    <row r="225" ht="13.2" customHeight="1">
      <c r="CT225" s="279" t="n"/>
      <c r="CU225" s="279" t="n"/>
    </row>
    <row r="226" ht="13.2" customHeight="1">
      <c r="CT226" s="279" t="n"/>
      <c r="CU226" s="279" t="n"/>
    </row>
    <row r="227" ht="13.2" customHeight="1">
      <c r="CT227" s="279" t="n"/>
      <c r="CU227" s="279" t="n"/>
    </row>
    <row r="228" ht="13.2" customHeight="1">
      <c r="CT228" s="279" t="n"/>
      <c r="CU228" s="279" t="n"/>
    </row>
    <row r="229" ht="13.2" customHeight="1">
      <c r="CT229" s="279" t="n"/>
      <c r="CU229" s="279" t="n"/>
    </row>
    <row r="230" ht="13.2" customHeight="1">
      <c r="CT230" s="279" t="n"/>
      <c r="CU230" s="279" t="n"/>
    </row>
    <row r="231" ht="13.2" customHeight="1">
      <c r="CT231" s="279" t="n"/>
      <c r="CU231" s="279" t="n"/>
    </row>
    <row r="232" ht="13.2" customHeight="1">
      <c r="CT232" s="279" t="n"/>
      <c r="CU232" s="279" t="n"/>
    </row>
    <row r="233" ht="13.2" customHeight="1">
      <c r="CT233" s="279" t="n"/>
      <c r="CU233" s="279" t="n"/>
    </row>
    <row r="234" ht="13.2" customHeight="1">
      <c r="CT234" s="279" t="n"/>
      <c r="CU234" s="279" t="n"/>
    </row>
    <row r="235" ht="13.2" customHeight="1">
      <c r="CT235" s="279" t="n"/>
      <c r="CU235" s="279" t="n"/>
    </row>
    <row r="236" ht="13.2" customHeight="1">
      <c r="CT236" s="279" t="n"/>
      <c r="CU236" s="279" t="n"/>
    </row>
    <row r="237" ht="13.2" customHeight="1">
      <c r="CT237" s="279" t="n"/>
      <c r="CU237" s="279" t="n"/>
    </row>
    <row r="238" ht="13.2" customHeight="1">
      <c r="CT238" s="279" t="n"/>
      <c r="CU238" s="279" t="n"/>
    </row>
    <row r="239" ht="13.2" customHeight="1">
      <c r="CT239" s="279" t="n"/>
      <c r="CU239" s="279" t="n"/>
    </row>
    <row r="240" ht="13.2" customHeight="1">
      <c r="CT240" s="279" t="n"/>
      <c r="CU240" s="279" t="n"/>
    </row>
    <row r="241" ht="13.2" customHeight="1">
      <c r="CT241" s="279" t="n"/>
      <c r="CU241" s="279" t="n"/>
    </row>
    <row r="242" ht="13.2" customHeight="1">
      <c r="CT242" s="279" t="n"/>
      <c r="CU242" s="279" t="n"/>
    </row>
    <row r="243" ht="13.2" customHeight="1">
      <c r="CT243" s="279" t="n"/>
      <c r="CU243" s="279" t="n"/>
    </row>
    <row r="244" ht="13.2" customHeight="1">
      <c r="CT244" s="279" t="n"/>
      <c r="CU244" s="279" t="n"/>
    </row>
    <row r="245" ht="13.2" customHeight="1">
      <c r="CT245" s="279" t="n"/>
      <c r="CU245" s="279" t="n"/>
    </row>
    <row r="246" ht="13.2" customHeight="1">
      <c r="CT246" s="279" t="n"/>
      <c r="CU246" s="279" t="n"/>
    </row>
    <row r="247" ht="13.2" customHeight="1">
      <c r="CT247" s="279" t="n"/>
      <c r="CU247" s="279" t="n"/>
    </row>
    <row r="248" ht="13.2" customHeight="1">
      <c r="CT248" s="279" t="n"/>
      <c r="CU248" s="279" t="n"/>
    </row>
    <row r="249" ht="13.2" customHeight="1">
      <c r="CT249" s="279" t="n"/>
      <c r="CU249" s="279" t="n"/>
    </row>
    <row r="250" ht="13.2" customHeight="1">
      <c r="CT250" s="279" t="n"/>
      <c r="CU250" s="279" t="n"/>
    </row>
    <row r="251" ht="13.2" customHeight="1">
      <c r="CT251" s="279" t="n"/>
      <c r="CU251" s="279" t="n"/>
    </row>
    <row r="252" ht="13.2" customHeight="1">
      <c r="CT252" s="279" t="n"/>
      <c r="CU252" s="279" t="n"/>
    </row>
    <row r="253" ht="13.2" customHeight="1">
      <c r="CT253" s="279" t="n"/>
      <c r="CU253" s="279" t="n"/>
    </row>
    <row r="254" ht="13.2" customHeight="1">
      <c r="CT254" s="279" t="n"/>
      <c r="CU254" s="279" t="n"/>
    </row>
    <row r="255" ht="13.2" customHeight="1">
      <c r="CT255" s="279" t="n"/>
      <c r="CU255" s="279" t="n"/>
    </row>
    <row r="256" ht="13.2" customHeight="1">
      <c r="CT256" s="279" t="n"/>
      <c r="CU256" s="279" t="n"/>
    </row>
    <row r="257" ht="13.2" customHeight="1">
      <c r="CT257" s="279" t="n"/>
      <c r="CU257" s="279" t="n"/>
    </row>
    <row r="258" ht="13.2" customHeight="1">
      <c r="CT258" s="279" t="n"/>
      <c r="CU258" s="279" t="n"/>
    </row>
    <row r="259" ht="13.2" customHeight="1">
      <c r="CT259" s="279" t="n"/>
      <c r="CU259" s="279" t="n"/>
    </row>
    <row r="260" ht="13.2" customHeight="1">
      <c r="CT260" s="279" t="n"/>
      <c r="CU260" s="279" t="n"/>
    </row>
    <row r="261" ht="13.2" customHeight="1">
      <c r="CT261" s="279" t="n"/>
      <c r="CU261" s="279" t="n"/>
    </row>
    <row r="262" ht="13.2" customHeight="1">
      <c r="CT262" s="279" t="n"/>
      <c r="CU262" s="279" t="n"/>
    </row>
    <row r="263" ht="13.2" customHeight="1">
      <c r="CT263" s="279" t="n"/>
      <c r="CU263" s="279" t="n"/>
    </row>
    <row r="264" ht="13.2" customHeight="1">
      <c r="CT264" s="279" t="n"/>
      <c r="CU264" s="279" t="n"/>
    </row>
    <row r="265" ht="13.2" customHeight="1">
      <c r="CT265" s="279" t="n"/>
      <c r="CU265" s="279" t="n"/>
    </row>
    <row r="266" ht="13.2" customHeight="1">
      <c r="CT266" s="279" t="n"/>
      <c r="CU266" s="279" t="n"/>
    </row>
    <row r="267" ht="13.2" customHeight="1">
      <c r="CT267" s="279" t="n"/>
      <c r="CU267" s="279" t="n"/>
    </row>
    <row r="268" ht="13.2" customHeight="1">
      <c r="CT268" s="279" t="n"/>
      <c r="CU268" s="279" t="n"/>
    </row>
    <row r="269" ht="13.2" customHeight="1">
      <c r="CT269" s="279" t="n"/>
      <c r="CU269" s="279" t="n"/>
    </row>
    <row r="270" ht="13.2" customHeight="1">
      <c r="CT270" s="279" t="n"/>
      <c r="CU270" s="279" t="n"/>
    </row>
    <row r="271" ht="13.2" customHeight="1">
      <c r="CT271" s="279" t="n"/>
      <c r="CU271" s="279" t="n"/>
    </row>
    <row r="272" ht="13.2" customHeight="1">
      <c r="CT272" s="279" t="n"/>
      <c r="CU272" s="279" t="n"/>
    </row>
    <row r="273" ht="13.2" customHeight="1">
      <c r="CT273" s="279" t="n"/>
      <c r="CU273" s="279" t="n"/>
    </row>
    <row r="274" ht="13.2" customHeight="1">
      <c r="CT274" s="279" t="n"/>
      <c r="CU274" s="279" t="n"/>
    </row>
    <row r="275" ht="13.2" customHeight="1">
      <c r="CT275" s="279" t="n"/>
      <c r="CU275" s="279" t="n"/>
    </row>
    <row r="276" ht="13.2" customHeight="1">
      <c r="CT276" s="279" t="n"/>
      <c r="CU276" s="279" t="n"/>
    </row>
    <row r="277" ht="13.2" customHeight="1">
      <c r="CT277" s="279" t="n"/>
      <c r="CU277" s="279" t="n"/>
    </row>
    <row r="278" ht="13.2" customHeight="1">
      <c r="CT278" s="279" t="n"/>
      <c r="CU278" s="279" t="n"/>
    </row>
    <row r="279" ht="13.2" customHeight="1">
      <c r="CT279" s="279" t="n"/>
      <c r="CU279" s="279" t="n"/>
    </row>
    <row r="280" ht="13.2" customHeight="1">
      <c r="CT280" s="279" t="n"/>
      <c r="CU280" s="279" t="n"/>
    </row>
    <row r="281" ht="13.2" customHeight="1">
      <c r="CT281" s="279" t="n"/>
      <c r="CU281" s="279" t="n"/>
    </row>
    <row r="282" ht="13.2" customHeight="1">
      <c r="CT282" s="279" t="n"/>
      <c r="CU282" s="279" t="n"/>
    </row>
    <row r="283" ht="13.2" customHeight="1">
      <c r="CT283" s="279" t="n"/>
      <c r="CU283" s="279" t="n"/>
    </row>
    <row r="284" ht="13.2" customHeight="1">
      <c r="CT284" s="279" t="n"/>
      <c r="CU284" s="279" t="n"/>
    </row>
    <row r="285" ht="13.2" customHeight="1">
      <c r="CT285" s="279" t="n"/>
      <c r="CU285" s="279" t="n"/>
    </row>
    <row r="286" ht="13.2" customHeight="1">
      <c r="CT286" s="279" t="n"/>
      <c r="CU286" s="279" t="n"/>
    </row>
    <row r="287" ht="13.2" customHeight="1">
      <c r="CT287" s="279" t="n"/>
      <c r="CU287" s="279" t="n"/>
    </row>
    <row r="288" ht="13.2" customHeight="1">
      <c r="CT288" s="279" t="n"/>
      <c r="CU288" s="279" t="n"/>
    </row>
    <row r="289" ht="13.2" customHeight="1">
      <c r="CT289" s="279" t="n"/>
      <c r="CU289" s="279" t="n"/>
    </row>
    <row r="290" ht="13.2" customHeight="1">
      <c r="CT290" s="279" t="n"/>
      <c r="CU290" s="279" t="n"/>
    </row>
    <row r="291" ht="13.2" customHeight="1">
      <c r="CT291" s="279" t="n"/>
      <c r="CU291" s="279" t="n"/>
    </row>
    <row r="292" ht="13.2" customHeight="1">
      <c r="CT292" s="279" t="n"/>
      <c r="CU292" s="279" t="n"/>
    </row>
    <row r="293" ht="13.2" customHeight="1">
      <c r="CT293" s="279" t="n"/>
      <c r="CU293" s="279" t="n"/>
    </row>
    <row r="294" ht="13.2" customHeight="1">
      <c r="CT294" s="279" t="n"/>
      <c r="CU294" s="279" t="n"/>
    </row>
    <row r="295" ht="13.2" customHeight="1">
      <c r="CT295" s="279" t="n"/>
      <c r="CU295" s="279" t="n"/>
    </row>
    <row r="296" ht="13.2" customHeight="1">
      <c r="CT296" s="279" t="n"/>
      <c r="CU296" s="279" t="n"/>
    </row>
    <row r="297" ht="13.2" customHeight="1">
      <c r="CT297" s="279" t="n"/>
      <c r="CU297" s="279" t="n"/>
    </row>
    <row r="298" ht="13.2" customHeight="1">
      <c r="CT298" s="279" t="n"/>
      <c r="CU298" s="279" t="n"/>
    </row>
    <row r="299" ht="13.2" customHeight="1">
      <c r="CT299" s="279" t="n"/>
      <c r="CU299" s="279" t="n"/>
    </row>
    <row r="300" ht="13.2" customHeight="1">
      <c r="CT300" s="279" t="n"/>
      <c r="CU300" s="279" t="n"/>
    </row>
    <row r="301" ht="13.2" customHeight="1">
      <c r="CT301" s="279" t="n"/>
      <c r="CU301" s="279" t="n"/>
    </row>
    <row r="302" ht="13.2" customHeight="1">
      <c r="CT302" s="279" t="n"/>
      <c r="CU302" s="279" t="n"/>
    </row>
    <row r="303" ht="13.2" customHeight="1">
      <c r="CT303" s="279" t="n"/>
      <c r="CU303" s="279" t="n"/>
    </row>
    <row r="304" ht="13.2" customHeight="1">
      <c r="CT304" s="279" t="n"/>
      <c r="CU304" s="279" t="n"/>
    </row>
    <row r="305" ht="13.2" customHeight="1">
      <c r="CT305" s="279" t="n"/>
      <c r="CU305" s="279" t="n"/>
    </row>
    <row r="306" ht="13.2" customHeight="1">
      <c r="CT306" s="279" t="n"/>
      <c r="CU306" s="279" t="n"/>
    </row>
    <row r="307" ht="13.2" customHeight="1">
      <c r="CT307" s="279" t="n"/>
      <c r="CU307" s="279" t="n"/>
    </row>
    <row r="308" ht="13.2" customHeight="1">
      <c r="CT308" s="279" t="n"/>
      <c r="CU308" s="279" t="n"/>
    </row>
    <row r="309" ht="13.2" customHeight="1">
      <c r="CT309" s="279" t="n"/>
      <c r="CU309" s="279" t="n"/>
    </row>
    <row r="310" ht="13.2" customHeight="1">
      <c r="CT310" s="279" t="n"/>
      <c r="CU310" s="279" t="n"/>
    </row>
    <row r="311" ht="13.2" customHeight="1">
      <c r="CT311" s="279" t="n"/>
      <c r="CU311" s="279" t="n"/>
    </row>
    <row r="312" ht="13.2" customHeight="1">
      <c r="CT312" s="279" t="n"/>
      <c r="CU312" s="279" t="n"/>
    </row>
    <row r="313" ht="13.2" customHeight="1">
      <c r="CT313" s="279" t="n"/>
      <c r="CU313" s="279" t="n"/>
    </row>
    <row r="314" ht="13.2" customHeight="1">
      <c r="CT314" s="279" t="n"/>
      <c r="CU314" s="279" t="n"/>
    </row>
    <row r="315" ht="13.2" customHeight="1">
      <c r="CT315" s="279" t="n"/>
      <c r="CU315" s="279" t="n"/>
    </row>
    <row r="316" ht="13.2" customHeight="1">
      <c r="CT316" s="279" t="n"/>
      <c r="CU316" s="279" t="n"/>
    </row>
    <row r="317" ht="13.2" customHeight="1">
      <c r="CT317" s="279" t="n"/>
      <c r="CU317" s="279" t="n"/>
    </row>
    <row r="318" ht="13.2" customHeight="1">
      <c r="CT318" s="279" t="n"/>
      <c r="CU318" s="279" t="n"/>
    </row>
    <row r="319" ht="13.2" customHeight="1">
      <c r="CT319" s="279" t="n"/>
      <c r="CU319" s="279" t="n"/>
    </row>
    <row r="320" ht="13.2" customHeight="1">
      <c r="CT320" s="279" t="n"/>
      <c r="CU320" s="279" t="n"/>
    </row>
    <row r="321" ht="13.2" customHeight="1">
      <c r="CT321" s="279" t="n"/>
      <c r="CU321" s="279" t="n"/>
    </row>
    <row r="322" ht="13.2" customHeight="1">
      <c r="CT322" s="279" t="n"/>
      <c r="CU322" s="279" t="n"/>
    </row>
    <row r="323" ht="13.2" customHeight="1">
      <c r="CT323" s="279" t="n"/>
      <c r="CU323" s="279" t="n"/>
    </row>
    <row r="324" ht="13.2" customHeight="1">
      <c r="CT324" s="279" t="n"/>
      <c r="CU324" s="279" t="n"/>
    </row>
    <row r="325" ht="13.2" customHeight="1">
      <c r="CT325" s="279" t="n"/>
      <c r="CU325" s="279" t="n"/>
    </row>
    <row r="326" ht="13.2" customHeight="1">
      <c r="CT326" s="279" t="n"/>
      <c r="CU326" s="279" t="n"/>
    </row>
    <row r="327" ht="13.2" customHeight="1">
      <c r="CT327" s="279" t="n"/>
      <c r="CU327" s="279" t="n"/>
    </row>
    <row r="328" ht="13.2" customHeight="1">
      <c r="CT328" s="279" t="n"/>
      <c r="CU328" s="279" t="n"/>
    </row>
    <row r="329" ht="13.2" customHeight="1">
      <c r="CT329" s="279" t="n"/>
      <c r="CU329" s="279" t="n"/>
    </row>
    <row r="330" ht="13.2" customHeight="1">
      <c r="CT330" s="279" t="n"/>
      <c r="CU330" s="279" t="n"/>
    </row>
    <row r="331" ht="13.2" customHeight="1">
      <c r="CT331" s="279" t="n"/>
      <c r="CU331" s="279" t="n"/>
    </row>
    <row r="332" ht="13.2" customHeight="1">
      <c r="CT332" s="279" t="n"/>
      <c r="CU332" s="279" t="n"/>
    </row>
    <row r="333" ht="13.2" customHeight="1">
      <c r="CT333" s="279" t="n"/>
      <c r="CU333" s="279" t="n"/>
    </row>
    <row r="334" ht="13.2" customHeight="1">
      <c r="CT334" s="279" t="n"/>
      <c r="CU334" s="279" t="n"/>
    </row>
    <row r="335" ht="13.2" customHeight="1">
      <c r="CT335" s="279" t="n"/>
      <c r="CU335" s="279" t="n"/>
    </row>
    <row r="336" ht="13.2" customHeight="1">
      <c r="CT336" s="279" t="n"/>
      <c r="CU336" s="279" t="n"/>
    </row>
    <row r="337" ht="13.2" customHeight="1">
      <c r="CT337" s="279" t="n"/>
      <c r="CU337" s="279" t="n"/>
    </row>
    <row r="338" ht="13.2" customHeight="1">
      <c r="CT338" s="279" t="n"/>
      <c r="CU338" s="279" t="n"/>
    </row>
    <row r="339" ht="13.2" customHeight="1">
      <c r="CT339" s="279" t="n"/>
      <c r="CU339" s="279" t="n"/>
    </row>
    <row r="340" ht="13.2" customHeight="1">
      <c r="CT340" s="279" t="n"/>
      <c r="CU340" s="279" t="n"/>
    </row>
    <row r="341" ht="13.2" customHeight="1">
      <c r="CT341" s="279" t="n"/>
      <c r="CU341" s="279" t="n"/>
    </row>
    <row r="342" ht="13.2" customHeight="1">
      <c r="CT342" s="279" t="n"/>
      <c r="CU342" s="279" t="n"/>
    </row>
    <row r="343" ht="13.2" customHeight="1">
      <c r="CT343" s="279" t="n"/>
      <c r="CU343" s="279" t="n"/>
    </row>
    <row r="344" ht="13.2" customHeight="1">
      <c r="CT344" s="279" t="n"/>
      <c r="CU344" s="279" t="n"/>
    </row>
    <row r="345" ht="13.2" customHeight="1">
      <c r="CT345" s="279" t="n"/>
      <c r="CU345" s="279" t="n"/>
    </row>
    <row r="346" ht="13.2" customHeight="1">
      <c r="CT346" s="279" t="n"/>
      <c r="CU346" s="279" t="n"/>
    </row>
    <row r="347" ht="13.2" customHeight="1">
      <c r="CT347" s="279" t="n"/>
      <c r="CU347" s="279" t="n"/>
    </row>
    <row r="348" ht="13.2" customHeight="1">
      <c r="CT348" s="279" t="n"/>
      <c r="CU348" s="279" t="n"/>
    </row>
    <row r="349" ht="13.2" customHeight="1">
      <c r="CT349" s="279" t="n"/>
      <c r="CU349" s="279" t="n"/>
    </row>
    <row r="350" ht="13.2" customHeight="1">
      <c r="CT350" s="279" t="n"/>
      <c r="CU350" s="279" t="n"/>
    </row>
    <row r="351" ht="13.2" customHeight="1">
      <c r="CT351" s="279" t="n"/>
      <c r="CU351" s="279" t="n"/>
    </row>
    <row r="352" ht="13.2" customHeight="1">
      <c r="CT352" s="279" t="n"/>
      <c r="CU352" s="279" t="n"/>
    </row>
    <row r="353" ht="13.2" customHeight="1">
      <c r="CT353" s="279" t="n"/>
      <c r="CU353" s="279" t="n"/>
    </row>
    <row r="354" ht="13.2" customHeight="1">
      <c r="CT354" s="279" t="n"/>
      <c r="CU354" s="279" t="n"/>
    </row>
    <row r="355" ht="13.2" customHeight="1">
      <c r="CT355" s="279" t="n"/>
      <c r="CU355" s="279" t="n"/>
    </row>
    <row r="356" ht="13.2" customHeight="1">
      <c r="CT356" s="279" t="n"/>
      <c r="CU356" s="279" t="n"/>
    </row>
    <row r="357" ht="13.2" customHeight="1">
      <c r="CT357" s="279" t="n"/>
      <c r="CU357" s="279" t="n"/>
    </row>
    <row r="358" ht="13.2" customHeight="1">
      <c r="CT358" s="279" t="n"/>
      <c r="CU358" s="279" t="n"/>
    </row>
    <row r="359" ht="13.2" customHeight="1">
      <c r="CT359" s="279" t="n"/>
      <c r="CU359" s="279" t="n"/>
    </row>
    <row r="360" ht="13.2" customHeight="1">
      <c r="CT360" s="279" t="n"/>
      <c r="CU360" s="279" t="n"/>
    </row>
    <row r="361" ht="13.2" customHeight="1">
      <c r="CT361" s="279" t="n"/>
      <c r="CU361" s="279" t="n"/>
    </row>
    <row r="362" ht="13.2" customHeight="1">
      <c r="CT362" s="279" t="n"/>
      <c r="CU362" s="279" t="n"/>
    </row>
    <row r="363" ht="13.2" customHeight="1">
      <c r="CT363" s="279" t="n"/>
      <c r="CU363" s="279" t="n"/>
    </row>
    <row r="364" ht="13.2" customHeight="1">
      <c r="CT364" s="279" t="n"/>
      <c r="CU364" s="279" t="n"/>
    </row>
    <row r="365" ht="13.2" customHeight="1">
      <c r="CT365" s="279" t="n"/>
      <c r="CU365" s="279" t="n"/>
    </row>
    <row r="366" ht="13.2" customHeight="1">
      <c r="CT366" s="279" t="n"/>
      <c r="CU366" s="279" t="n"/>
    </row>
    <row r="367" ht="13.2" customHeight="1">
      <c r="CT367" s="279" t="n"/>
      <c r="CU367" s="279" t="n"/>
    </row>
    <row r="368" ht="13.2" customHeight="1">
      <c r="CT368" s="279" t="n"/>
      <c r="CU368" s="279" t="n"/>
    </row>
    <row r="369" ht="13.2" customHeight="1">
      <c r="CT369" s="279" t="n"/>
      <c r="CU369" s="279" t="n"/>
    </row>
    <row r="370" ht="13.2" customHeight="1">
      <c r="CT370" s="279" t="n"/>
      <c r="CU370" s="279" t="n"/>
    </row>
    <row r="371" ht="13.2" customHeight="1">
      <c r="CT371" s="279" t="n"/>
      <c r="CU371" s="279" t="n"/>
    </row>
    <row r="372" ht="13.2" customHeight="1">
      <c r="CT372" s="279" t="n"/>
      <c r="CU372" s="279" t="n"/>
    </row>
    <row r="373" ht="13.2" customHeight="1">
      <c r="CT373" s="279" t="n"/>
      <c r="CU373" s="279" t="n"/>
    </row>
    <row r="374" ht="13.2" customHeight="1">
      <c r="CT374" s="279" t="n"/>
      <c r="CU374" s="279" t="n"/>
    </row>
    <row r="375" ht="13.2" customHeight="1">
      <c r="CT375" s="279" t="n"/>
      <c r="CU375" s="279" t="n"/>
    </row>
    <row r="376" ht="13.2" customHeight="1">
      <c r="CT376" s="279" t="n"/>
      <c r="CU376" s="279" t="n"/>
    </row>
    <row r="377" ht="13.2" customHeight="1">
      <c r="CT377" s="279" t="n"/>
      <c r="CU377" s="279" t="n"/>
    </row>
    <row r="378" ht="13.2" customHeight="1">
      <c r="CT378" s="279" t="n"/>
      <c r="CU378" s="279" t="n"/>
    </row>
    <row r="379" ht="13.2" customHeight="1">
      <c r="CT379" s="279" t="n"/>
      <c r="CU379" s="279" t="n"/>
    </row>
    <row r="380" ht="13.2" customHeight="1">
      <c r="CT380" s="279" t="n"/>
      <c r="CU380" s="279" t="n"/>
    </row>
    <row r="381" ht="13.2" customHeight="1">
      <c r="CT381" s="279" t="n"/>
      <c r="CU381" s="279" t="n"/>
    </row>
    <row r="382" ht="13.2" customHeight="1">
      <c r="CT382" s="279" t="n"/>
      <c r="CU382" s="279" t="n"/>
    </row>
    <row r="383" ht="13.2" customHeight="1">
      <c r="CT383" s="279" t="n"/>
      <c r="CU383" s="279" t="n"/>
    </row>
    <row r="384" ht="13.2" customHeight="1">
      <c r="CT384" s="279" t="n"/>
      <c r="CU384" s="279" t="n"/>
    </row>
    <row r="385" ht="13.2" customHeight="1">
      <c r="CT385" s="279" t="n"/>
      <c r="CU385" s="279" t="n"/>
    </row>
    <row r="386" ht="13.2" customHeight="1">
      <c r="CT386" s="279" t="n"/>
      <c r="CU386" s="279" t="n"/>
    </row>
    <row r="387" ht="13.2" customHeight="1">
      <c r="CT387" s="279" t="n"/>
      <c r="CU387" s="279" t="n"/>
    </row>
    <row r="388" ht="13.2" customHeight="1">
      <c r="CT388" s="279" t="n"/>
      <c r="CU388" s="279" t="n"/>
    </row>
    <row r="389" ht="13.2" customHeight="1">
      <c r="CT389" s="279" t="n"/>
      <c r="CU389" s="279" t="n"/>
    </row>
    <row r="390" ht="13.2" customHeight="1">
      <c r="CT390" s="279" t="n"/>
      <c r="CU390" s="279" t="n"/>
    </row>
    <row r="391" ht="13.2" customHeight="1">
      <c r="CT391" s="279" t="n"/>
      <c r="CU391" s="279" t="n"/>
    </row>
    <row r="392" ht="13.2" customHeight="1">
      <c r="CT392" s="279" t="n"/>
      <c r="CU392" s="279" t="n"/>
    </row>
    <row r="393" ht="13.2" customHeight="1">
      <c r="CT393" s="279" t="n"/>
      <c r="CU393" s="279" t="n"/>
    </row>
    <row r="394" ht="13.2" customHeight="1">
      <c r="CT394" s="279" t="n"/>
      <c r="CU394" s="279" t="n"/>
    </row>
    <row r="395" ht="13.2" customHeight="1">
      <c r="CT395" s="279" t="n"/>
      <c r="CU395" s="279" t="n"/>
    </row>
    <row r="396" ht="13.2" customHeight="1">
      <c r="CT396" s="279" t="n"/>
      <c r="CU396" s="279" t="n"/>
    </row>
    <row r="397" ht="13.2" customHeight="1">
      <c r="CT397" s="279" t="n"/>
      <c r="CU397" s="279" t="n"/>
    </row>
    <row r="398" ht="13.2" customHeight="1">
      <c r="CT398" s="279" t="n"/>
      <c r="CU398" s="279" t="n"/>
    </row>
    <row r="399" ht="13.2" customHeight="1">
      <c r="CT399" s="279" t="n"/>
      <c r="CU399" s="279" t="n"/>
    </row>
    <row r="400" ht="13.2" customHeight="1">
      <c r="CT400" s="279" t="n"/>
      <c r="CU400" s="279" t="n"/>
    </row>
    <row r="401" ht="13.2" customHeight="1">
      <c r="CT401" s="279" t="n"/>
      <c r="CU401" s="279" t="n"/>
    </row>
    <row r="402" ht="13.2" customHeight="1">
      <c r="CT402" s="279" t="n"/>
      <c r="CU402" s="279" t="n"/>
    </row>
    <row r="403" ht="13.2" customHeight="1">
      <c r="CT403" s="279" t="n"/>
      <c r="CU403" s="279" t="n"/>
    </row>
    <row r="404" ht="13.2" customHeight="1">
      <c r="CT404" s="279" t="n"/>
      <c r="CU404" s="279" t="n"/>
    </row>
    <row r="405" ht="13.2" customHeight="1">
      <c r="CT405" s="279" t="n"/>
      <c r="CU405" s="279" t="n"/>
    </row>
    <row r="406" ht="13.2" customHeight="1">
      <c r="CT406" s="279" t="n"/>
      <c r="CU406" s="279" t="n"/>
    </row>
    <row r="407" ht="13.2" customHeight="1">
      <c r="CT407" s="279" t="n"/>
      <c r="CU407" s="279" t="n"/>
    </row>
    <row r="408" ht="13.2" customHeight="1">
      <c r="CT408" s="279" t="n"/>
      <c r="CU408" s="279" t="n"/>
    </row>
    <row r="409" ht="13.2" customHeight="1">
      <c r="CT409" s="279" t="n"/>
      <c r="CU409" s="279" t="n"/>
    </row>
    <row r="410" ht="13.2" customHeight="1">
      <c r="CT410" s="279" t="n"/>
      <c r="CU410" s="279" t="n"/>
    </row>
    <row r="411" ht="13.2" customHeight="1">
      <c r="CT411" s="279" t="n"/>
      <c r="CU411" s="279" t="n"/>
    </row>
    <row r="412" ht="13.2" customHeight="1">
      <c r="CT412" s="279" t="n"/>
      <c r="CU412" s="279" t="n"/>
    </row>
    <row r="413" ht="13.2" customHeight="1">
      <c r="CT413" s="279" t="n"/>
      <c r="CU413" s="279" t="n"/>
    </row>
    <row r="414" ht="13.2" customHeight="1">
      <c r="CT414" s="279" t="n"/>
      <c r="CU414" s="279" t="n"/>
    </row>
    <row r="415" ht="13.2" customHeight="1">
      <c r="CT415" s="279" t="n"/>
      <c r="CU415" s="279" t="n"/>
    </row>
    <row r="416" ht="13.2" customHeight="1">
      <c r="CT416" s="279" t="n"/>
      <c r="CU416" s="279" t="n"/>
    </row>
    <row r="417" ht="13.2" customHeight="1">
      <c r="CT417" s="279" t="n"/>
      <c r="CU417" s="279" t="n"/>
    </row>
    <row r="418" ht="13.2" customHeight="1">
      <c r="CT418" s="279" t="n"/>
      <c r="CU418" s="279" t="n"/>
    </row>
    <row r="419" ht="13.2" customHeight="1">
      <c r="CT419" s="279" t="n"/>
      <c r="CU419" s="279" t="n"/>
    </row>
    <row r="420" ht="13.2" customHeight="1">
      <c r="CT420" s="279" t="n"/>
      <c r="CU420" s="279" t="n"/>
    </row>
    <row r="421" ht="13.2" customHeight="1">
      <c r="CT421" s="279" t="n"/>
      <c r="CU421" s="279" t="n"/>
    </row>
    <row r="422" ht="13.2" customHeight="1">
      <c r="CT422" s="279" t="n"/>
      <c r="CU422" s="279" t="n"/>
    </row>
    <row r="423" ht="13.2" customHeight="1">
      <c r="CT423" s="279" t="n"/>
      <c r="CU423" s="279" t="n"/>
    </row>
    <row r="424" ht="13.2" customHeight="1">
      <c r="CT424" s="279" t="n"/>
      <c r="CU424" s="279" t="n"/>
    </row>
    <row r="425" ht="13.2" customHeight="1">
      <c r="CT425" s="279" t="n"/>
      <c r="CU425" s="279" t="n"/>
    </row>
    <row r="426" ht="13.2" customHeight="1">
      <c r="CT426" s="279" t="n"/>
      <c r="CU426" s="279" t="n"/>
    </row>
    <row r="427" ht="13.2" customHeight="1">
      <c r="CT427" s="279" t="n"/>
      <c r="CU427" s="279" t="n"/>
    </row>
    <row r="428" ht="13.2" customHeight="1">
      <c r="CT428" s="279" t="n"/>
      <c r="CU428" s="279" t="n"/>
    </row>
    <row r="429" ht="13.2" customHeight="1">
      <c r="CT429" s="279" t="n"/>
      <c r="CU429" s="279" t="n"/>
    </row>
    <row r="430" ht="13.2" customHeight="1">
      <c r="CT430" s="279" t="n"/>
      <c r="CU430" s="279" t="n"/>
    </row>
    <row r="431" ht="13.2" customHeight="1">
      <c r="CT431" s="279" t="n"/>
      <c r="CU431" s="279" t="n"/>
    </row>
    <row r="432" ht="13.2" customHeight="1">
      <c r="CT432" s="279" t="n"/>
      <c r="CU432" s="279" t="n"/>
    </row>
    <row r="433" ht="13.2" customHeight="1">
      <c r="CT433" s="279" t="n"/>
      <c r="CU433" s="279" t="n"/>
    </row>
    <row r="434" ht="13.2" customHeight="1">
      <c r="CT434" s="279" t="n"/>
      <c r="CU434" s="279" t="n"/>
    </row>
    <row r="435" ht="13.2" customHeight="1">
      <c r="CT435" s="279" t="n"/>
      <c r="CU435" s="279" t="n"/>
    </row>
    <row r="436" ht="13.2" customHeight="1">
      <c r="CT436" s="279" t="n"/>
      <c r="CU436" s="279" t="n"/>
    </row>
    <row r="437" ht="13.2" customHeight="1">
      <c r="CT437" s="279" t="n"/>
      <c r="CU437" s="279" t="n"/>
    </row>
    <row r="438" ht="13.2" customHeight="1">
      <c r="CT438" s="279" t="n"/>
      <c r="CU438" s="279" t="n"/>
    </row>
    <row r="439" ht="13.2" customHeight="1">
      <c r="CT439" s="279" t="n"/>
      <c r="CU439" s="279" t="n"/>
    </row>
    <row r="440" ht="13.2" customHeight="1">
      <c r="CT440" s="279" t="n"/>
      <c r="CU440" s="279" t="n"/>
    </row>
    <row r="441" ht="13.2" customHeight="1">
      <c r="CT441" s="279" t="n"/>
      <c r="CU441" s="279" t="n"/>
    </row>
    <row r="442" ht="13.2" customHeight="1">
      <c r="CT442" s="279" t="n"/>
      <c r="CU442" s="279" t="n"/>
    </row>
    <row r="443" ht="13.2" customHeight="1">
      <c r="CT443" s="279" t="n"/>
      <c r="CU443" s="279" t="n"/>
    </row>
    <row r="444" ht="13.2" customHeight="1">
      <c r="CT444" s="279" t="n"/>
      <c r="CU444" s="279" t="n"/>
    </row>
    <row r="445" ht="13.2" customHeight="1">
      <c r="CT445" s="279" t="n"/>
      <c r="CU445" s="279" t="n"/>
    </row>
    <row r="446" ht="13.2" customHeight="1">
      <c r="CT446" s="279" t="n"/>
      <c r="CU446" s="279" t="n"/>
    </row>
    <row r="447" ht="13.2" customHeight="1">
      <c r="CT447" s="279" t="n"/>
      <c r="CU447" s="279" t="n"/>
    </row>
    <row r="448" ht="13.2" customHeight="1">
      <c r="CT448" s="279" t="n"/>
      <c r="CU448" s="279" t="n"/>
    </row>
    <row r="449" ht="13.2" customHeight="1">
      <c r="CT449" s="279" t="n"/>
      <c r="CU449" s="279" t="n"/>
    </row>
    <row r="450" ht="13.2" customHeight="1">
      <c r="CT450" s="279" t="n"/>
      <c r="CU450" s="279" t="n"/>
    </row>
    <row r="451" ht="13.2" customHeight="1">
      <c r="CT451" s="279" t="n"/>
      <c r="CU451" s="279" t="n"/>
    </row>
    <row r="452" ht="13.2" customHeight="1">
      <c r="CT452" s="279" t="n"/>
      <c r="CU452" s="279" t="n"/>
    </row>
    <row r="453" ht="13.2" customHeight="1">
      <c r="CT453" s="279" t="n"/>
      <c r="CU453" s="279" t="n"/>
    </row>
    <row r="454" ht="13.2" customHeight="1">
      <c r="CT454" s="279" t="n"/>
      <c r="CU454" s="279" t="n"/>
    </row>
    <row r="455" ht="13.2" customHeight="1">
      <c r="CT455" s="279" t="n"/>
      <c r="CU455" s="279" t="n"/>
    </row>
    <row r="456" ht="13.2" customHeight="1">
      <c r="CT456" s="279" t="n"/>
      <c r="CU456" s="279" t="n"/>
    </row>
    <row r="457" ht="13.2" customHeight="1">
      <c r="CT457" s="279" t="n"/>
      <c r="CU457" s="279" t="n"/>
    </row>
    <row r="458" ht="13.2" customHeight="1">
      <c r="CT458" s="279" t="n"/>
      <c r="CU458" s="279" t="n"/>
    </row>
    <row r="459" ht="12.75" customHeight="1">
      <c r="CT459" s="279" t="n"/>
      <c r="CU459" s="279" t="n"/>
    </row>
    <row r="460" ht="12.75" customHeight="1">
      <c r="CT460" s="279" t="n"/>
      <c r="CU460" s="279" t="n"/>
    </row>
  </sheetData>
  <autoFilter ref="A8:KF59"/>
  <mergeCells count="725">
    <mergeCell ref="ER54:ES54"/>
    <mergeCell ref="FB54:FC54"/>
    <mergeCell ref="ET54:EU54"/>
    <mergeCell ref="JJ55:JK55"/>
    <mergeCell ref="JL55:JM55"/>
    <mergeCell ref="IX54:IY54"/>
    <mergeCell ref="JJ5:JK5"/>
    <mergeCell ref="IX4:IY4"/>
    <mergeCell ref="CP5:CQ5"/>
    <mergeCell ref="Z53:AA53"/>
    <mergeCell ref="CR5:CS5"/>
    <mergeCell ref="GD54:GE54"/>
    <mergeCell ref="AZ5:BA5"/>
    <mergeCell ref="GF54:GG54"/>
    <mergeCell ref="BB5:BC5"/>
    <mergeCell ref="AT5:AU5"/>
    <mergeCell ref="BD5:BE5"/>
    <mergeCell ref="BN53:BO53"/>
    <mergeCell ref="JR4:JS5"/>
    <mergeCell ref="JT4:JU5"/>
    <mergeCell ref="HR54:HS54"/>
    <mergeCell ref="J4:K4"/>
    <mergeCell ref="BT55:BU55"/>
    <mergeCell ref="L4:M4"/>
    <mergeCell ref="BL55:BM55"/>
    <mergeCell ref="EB5:EC5"/>
    <mergeCell ref="BN55:BO55"/>
    <mergeCell ref="ED5:EE5"/>
    <mergeCell ref="CX53:CY53"/>
    <mergeCell ref="CZ53:DA53"/>
    <mergeCell ref="BR4:BS4"/>
    <mergeCell ref="BT4:BU4"/>
    <mergeCell ref="JD54:JE54"/>
    <mergeCell ref="GJ5:GK5"/>
    <mergeCell ref="CX55:CY55"/>
    <mergeCell ref="CZ55:DA55"/>
    <mergeCell ref="EZ4:FA4"/>
    <mergeCell ref="CL54:CM54"/>
    <mergeCell ref="CN54:CO54"/>
    <mergeCell ref="HB55:HC55"/>
    <mergeCell ref="HD55:HE55"/>
    <mergeCell ref="EJ53:EK53"/>
    <mergeCell ref="EL53:EM53"/>
    <mergeCell ref="DD4:DE4"/>
    <mergeCell ref="IN53:IO53"/>
    <mergeCell ref="IP53:IQ53"/>
    <mergeCell ref="IF53:IG53"/>
    <mergeCell ref="IR53:IS53"/>
    <mergeCell ref="IH53:II53"/>
    <mergeCell ref="EJ55:EK55"/>
    <mergeCell ref="HJ4:HK4"/>
    <mergeCell ref="HB4:HC4"/>
    <mergeCell ref="DV54:DW54"/>
    <mergeCell ref="DX54:DY54"/>
    <mergeCell ref="IN55:IO55"/>
    <mergeCell ref="IP55:IQ55"/>
    <mergeCell ref="IH55:II55"/>
    <mergeCell ref="IB54:IC54"/>
    <mergeCell ref="JT53:JU53"/>
    <mergeCell ref="GR5:GS5"/>
    <mergeCell ref="A1:G1"/>
    <mergeCell ref="GD4:GE4"/>
    <mergeCell ref="FH54:FI54"/>
    <mergeCell ref="JL6:JM6"/>
    <mergeCell ref="JN3:KA3"/>
    <mergeCell ref="FJ54:FK54"/>
    <mergeCell ref="X5:Y5"/>
    <mergeCell ref="AR53:AS53"/>
    <mergeCell ref="Z5:AA5"/>
    <mergeCell ref="JT55:JU55"/>
    <mergeCell ref="JN54:JO54"/>
    <mergeCell ref="JF54:JG54"/>
    <mergeCell ref="BL53:BM53"/>
    <mergeCell ref="JF4:JG4"/>
    <mergeCell ref="JH4:JI4"/>
    <mergeCell ref="AR55:AS55"/>
    <mergeCell ref="HP4:HQ4"/>
    <mergeCell ref="HD5:HE5"/>
    <mergeCell ref="BJ5:BK5"/>
    <mergeCell ref="CD53:CE53"/>
    <mergeCell ref="BL5:BM5"/>
    <mergeCell ref="IV55:IW55"/>
    <mergeCell ref="AV4:AW4"/>
    <mergeCell ref="AX4:AY4"/>
    <mergeCell ref="FN5:FO5"/>
    <mergeCell ref="FP5:FQ5"/>
    <mergeCell ref="FF5:FG5"/>
    <mergeCell ref="FH5:FI5"/>
    <mergeCell ref="GB53:GC53"/>
    <mergeCell ref="CD55:CE55"/>
    <mergeCell ref="CF55:CG55"/>
    <mergeCell ref="BP54:BQ54"/>
    <mergeCell ref="BR54:BS54"/>
    <mergeCell ref="DX4:DY4"/>
    <mergeCell ref="FZ55:GA55"/>
    <mergeCell ref="IP5:IQ5"/>
    <mergeCell ref="GB55:GC55"/>
    <mergeCell ref="DP53:DQ53"/>
    <mergeCell ref="DR53:DS53"/>
    <mergeCell ref="CH4:CI4"/>
    <mergeCell ref="DH53:DI53"/>
    <mergeCell ref="DJ53:DK53"/>
    <mergeCell ref="CJ4:CK4"/>
    <mergeCell ref="T54:U54"/>
    <mergeCell ref="EL55:EM55"/>
    <mergeCell ref="HL53:HM53"/>
    <mergeCell ref="GT5:GU5"/>
    <mergeCell ref="HN53:HO53"/>
    <mergeCell ref="DN55:DO55"/>
    <mergeCell ref="DP55:DQ55"/>
    <mergeCell ref="GF4:GG4"/>
    <mergeCell ref="DB54:DC54"/>
    <mergeCell ref="CT54:CU54"/>
    <mergeCell ref="DD54:DE54"/>
    <mergeCell ref="CV54:CW54"/>
    <mergeCell ref="AT53:AU53"/>
    <mergeCell ref="HL55:HM55"/>
    <mergeCell ref="HN55:HO55"/>
    <mergeCell ref="GX54:GY54"/>
    <mergeCell ref="GZ54:HA54"/>
    <mergeCell ref="HL5:HM5"/>
    <mergeCell ref="BF54:BG54"/>
    <mergeCell ref="GX4:GY4"/>
    <mergeCell ref="AT55:AU55"/>
    <mergeCell ref="IX53:IY53"/>
    <mergeCell ref="IZ53:JA53"/>
    <mergeCell ref="HR4:HS4"/>
    <mergeCell ref="JE70:JH70"/>
    <mergeCell ref="CF53:CG53"/>
    <mergeCell ref="D5:E5"/>
    <mergeCell ref="IX55:IY55"/>
    <mergeCell ref="IJ54:IK54"/>
    <mergeCell ref="IL54:IM54"/>
    <mergeCell ref="IJ4:IK4"/>
    <mergeCell ref="CZ5:DA5"/>
    <mergeCell ref="DB5:DC5"/>
    <mergeCell ref="V55:W55"/>
    <mergeCell ref="JE71:JH71"/>
    <mergeCell ref="AZ53:BA53"/>
    <mergeCell ref="AH5:AI5"/>
    <mergeCell ref="BB53:BC53"/>
    <mergeCell ref="R4:S4"/>
    <mergeCell ref="AB4:AC4"/>
    <mergeCell ref="T4:U4"/>
    <mergeCell ref="JX54:JY54"/>
    <mergeCell ref="V4:W4"/>
    <mergeCell ref="EJ5:EK5"/>
    <mergeCell ref="EL5:EM5"/>
    <mergeCell ref="FF53:FG53"/>
    <mergeCell ref="BH55:BI55"/>
    <mergeCell ref="AZ55:BA55"/>
    <mergeCell ref="DZ4:EA4"/>
    <mergeCell ref="BB55:BC55"/>
    <mergeCell ref="DB4:DC4"/>
    <mergeCell ref="AN54:AO54"/>
    <mergeCell ref="FD55:FE55"/>
    <mergeCell ref="J55:K55"/>
    <mergeCell ref="FF55:FG55"/>
    <mergeCell ref="L55:M55"/>
    <mergeCell ref="CL53:CM53"/>
    <mergeCell ref="CN53:CO53"/>
    <mergeCell ref="BD4:BE4"/>
    <mergeCell ref="BF4:BG4"/>
    <mergeCell ref="FV5:FW5"/>
    <mergeCell ref="GP53:GQ53"/>
    <mergeCell ref="FX5:FY5"/>
    <mergeCell ref="GR53:GS53"/>
    <mergeCell ref="A2:A7"/>
    <mergeCell ref="C2:C7"/>
    <mergeCell ref="FJ4:FK4"/>
    <mergeCell ref="FL4:FM4"/>
    <mergeCell ref="BP1:BQ1"/>
    <mergeCell ref="BX54:BY54"/>
    <mergeCell ref="BZ54:CA54"/>
    <mergeCell ref="ET53:EU53"/>
    <mergeCell ref="GP55:GQ55"/>
    <mergeCell ref="GR55:GS55"/>
    <mergeCell ref="IL4:IM4"/>
    <mergeCell ref="IB53:IC53"/>
    <mergeCell ref="ID53:IE53"/>
    <mergeCell ref="HT53:HU53"/>
    <mergeCell ref="EF54:EG54"/>
    <mergeCell ref="HV53:HW53"/>
    <mergeCell ref="GV4:GW4"/>
    <mergeCell ref="EH54:EI54"/>
    <mergeCell ref="IX5:IY5"/>
    <mergeCell ref="IB55:IC55"/>
    <mergeCell ref="HN54:HO54"/>
    <mergeCell ref="HF54:HG54"/>
    <mergeCell ref="HP54:HQ54"/>
    <mergeCell ref="HH54:HI54"/>
    <mergeCell ref="CD5:CE5"/>
    <mergeCell ref="L53:M53"/>
    <mergeCell ref="CF5:CG5"/>
    <mergeCell ref="N53:O53"/>
    <mergeCell ref="FR54:FS54"/>
    <mergeCell ref="JP54:JQ54"/>
    <mergeCell ref="L5:M5"/>
    <mergeCell ref="N5:O5"/>
    <mergeCell ref="DP5:DQ5"/>
    <mergeCell ref="DR5:DS5"/>
    <mergeCell ref="AF55:AG55"/>
    <mergeCell ref="R54:S54"/>
    <mergeCell ref="HN5:HO5"/>
    <mergeCell ref="BT5:BU5"/>
    <mergeCell ref="IR54:IS54"/>
    <mergeCell ref="BR53:BS53"/>
    <mergeCell ref="AJ4:AK4"/>
    <mergeCell ref="AL4:AM4"/>
    <mergeCell ref="CL55:CM55"/>
    <mergeCell ref="FB5:FC5"/>
    <mergeCell ref="CN55:CO55"/>
    <mergeCell ref="ET5:EU5"/>
    <mergeCell ref="FD5:FE5"/>
    <mergeCell ref="FN53:FO53"/>
    <mergeCell ref="EV5:EW5"/>
    <mergeCell ref="FP53:FQ53"/>
    <mergeCell ref="EN4:EO4"/>
    <mergeCell ref="EF4:EG4"/>
    <mergeCell ref="EH4:EI4"/>
    <mergeCell ref="BD54:BE54"/>
    <mergeCell ref="JR53:JS53"/>
    <mergeCell ref="IZ5:JA5"/>
    <mergeCell ref="DZ53:EA53"/>
    <mergeCell ref="FL55:FM55"/>
    <mergeCell ref="FN55:FO55"/>
    <mergeCell ref="FP55:FQ55"/>
    <mergeCell ref="EZ54:FA54"/>
    <mergeCell ref="H54:I54"/>
    <mergeCell ref="JR55:JS55"/>
    <mergeCell ref="DX55:DY55"/>
    <mergeCell ref="DZ55:EA55"/>
    <mergeCell ref="DJ54:DK54"/>
    <mergeCell ref="GZ53:HA53"/>
    <mergeCell ref="DL54:DM54"/>
    <mergeCell ref="FR4:FS4"/>
    <mergeCell ref="FT4:FU4"/>
    <mergeCell ref="HV55:HW55"/>
    <mergeCell ref="IB5:IC5"/>
    <mergeCell ref="AF53:AG53"/>
    <mergeCell ref="HT5:HU5"/>
    <mergeCell ref="AH53:AI53"/>
    <mergeCell ref="HV5:HW5"/>
    <mergeCell ref="GL54:GM54"/>
    <mergeCell ref="B2:B7"/>
    <mergeCell ref="HH4:HI4"/>
    <mergeCell ref="GN54:GO54"/>
    <mergeCell ref="JF53:JG53"/>
    <mergeCell ref="JH53:JI53"/>
    <mergeCell ref="AH55:AI55"/>
    <mergeCell ref="JH55:JI55"/>
    <mergeCell ref="IT54:IU54"/>
    <mergeCell ref="JF5:JG5"/>
    <mergeCell ref="JH5:JI5"/>
    <mergeCell ref="IR4:IS4"/>
    <mergeCell ref="IT4:IU4"/>
    <mergeCell ref="CL5:CM5"/>
    <mergeCell ref="CN5:CO5"/>
    <mergeCell ref="V53:W53"/>
    <mergeCell ref="JZ55:KA55"/>
    <mergeCell ref="BZ4:CA4"/>
    <mergeCell ref="CB4:CC4"/>
    <mergeCell ref="JL54:JM54"/>
    <mergeCell ref="BJ53:BK53"/>
    <mergeCell ref="DF55:DG55"/>
    <mergeCell ref="DH55:DI55"/>
    <mergeCell ref="AD4:AE4"/>
    <mergeCell ref="N4:O4"/>
    <mergeCell ref="P4:Q4"/>
    <mergeCell ref="BP55:BQ55"/>
    <mergeCell ref="BR55:BS55"/>
    <mergeCell ref="DX5:DY5"/>
    <mergeCell ref="ER53:ES53"/>
    <mergeCell ref="BJ55:BK55"/>
    <mergeCell ref="DZ5:EA5"/>
    <mergeCell ref="DL4:DM4"/>
    <mergeCell ref="DN4:DO4"/>
    <mergeCell ref="Z54:AA54"/>
    <mergeCell ref="ID5:IE5"/>
    <mergeCell ref="AB54:AC54"/>
    <mergeCell ref="CV53:CW53"/>
    <mergeCell ref="ER55:ES55"/>
    <mergeCell ref="ET55:EU55"/>
    <mergeCell ref="BP4:BQ4"/>
    <mergeCell ref="GF5:GG5"/>
    <mergeCell ref="HB53:HC53"/>
    <mergeCell ref="CV55:CW55"/>
    <mergeCell ref="GD53:GE53"/>
    <mergeCell ref="CF54:CG54"/>
    <mergeCell ref="EV4:EW4"/>
    <mergeCell ref="CH54:CI54"/>
    <mergeCell ref="CJ54:CK54"/>
    <mergeCell ref="GX55:GY55"/>
    <mergeCell ref="EX4:EY4"/>
    <mergeCell ref="GZ55:HA55"/>
    <mergeCell ref="JZ53:KA53"/>
    <mergeCell ref="KB53:KC53"/>
    <mergeCell ref="JL3:JM4"/>
    <mergeCell ref="EH53:EI53"/>
    <mergeCell ref="IV4:IW4"/>
    <mergeCell ref="FP54:FQ54"/>
    <mergeCell ref="IL53:IM53"/>
    <mergeCell ref="AF5:AG5"/>
    <mergeCell ref="KB55:KC55"/>
    <mergeCell ref="HF4:HG4"/>
    <mergeCell ref="DR54:DS54"/>
    <mergeCell ref="DT54:DU54"/>
    <mergeCell ref="BT53:BU53"/>
    <mergeCell ref="IJ55:IK55"/>
    <mergeCell ref="IL55:IM55"/>
    <mergeCell ref="HX54:HY54"/>
    <mergeCell ref="IJ5:IK5"/>
    <mergeCell ref="HZ54:IA54"/>
    <mergeCell ref="IL5:IM5"/>
    <mergeCell ref="HX4:HY4"/>
    <mergeCell ref="BR5:BS5"/>
    <mergeCell ref="JH6:JI6"/>
    <mergeCell ref="FF54:FG54"/>
    <mergeCell ref="T5:U5"/>
    <mergeCell ref="AN53:AO53"/>
    <mergeCell ref="V5:W5"/>
    <mergeCell ref="H4:I4"/>
    <mergeCell ref="JJ4:JK4"/>
    <mergeCell ref="JB4:JC4"/>
    <mergeCell ref="AN55:AO55"/>
    <mergeCell ref="CT5:CU5"/>
    <mergeCell ref="DD5:DE5"/>
    <mergeCell ref="AP55:AQ55"/>
    <mergeCell ref="GZ5:HA5"/>
    <mergeCell ref="JV54:JW54"/>
    <mergeCell ref="HB5:HC5"/>
    <mergeCell ref="BZ53:CA53"/>
    <mergeCell ref="GL4:GM4"/>
    <mergeCell ref="BH5:BI5"/>
    <mergeCell ref="AR4:AS4"/>
    <mergeCell ref="GN4:GO4"/>
    <mergeCell ref="CB53:CC53"/>
    <mergeCell ref="AT4:AU4"/>
    <mergeCell ref="KB56:KC56"/>
    <mergeCell ref="GF53:GG53"/>
    <mergeCell ref="FV53:FW53"/>
    <mergeCell ref="FX53:FY53"/>
    <mergeCell ref="HT55:HU55"/>
    <mergeCell ref="BZ55:CA55"/>
    <mergeCell ref="EP4:EQ4"/>
    <mergeCell ref="CB55:CC55"/>
    <mergeCell ref="BL54:BM54"/>
    <mergeCell ref="BN54:BO54"/>
    <mergeCell ref="DT4:DU4"/>
    <mergeCell ref="GD55:GE55"/>
    <mergeCell ref="FV55:FW55"/>
    <mergeCell ref="GF55:GG55"/>
    <mergeCell ref="FX55:FY55"/>
    <mergeCell ref="HZ4:IA4"/>
    <mergeCell ref="DM1:DP1"/>
    <mergeCell ref="EN54:EO54"/>
    <mergeCell ref="EP54:EQ54"/>
    <mergeCell ref="HH53:HI53"/>
    <mergeCell ref="HJ53:HK53"/>
    <mergeCell ref="JF55:JG55"/>
    <mergeCell ref="GB4:GC4"/>
    <mergeCell ref="JJ6:JK6"/>
    <mergeCell ref="CX54:CY54"/>
    <mergeCell ref="CZ54:DA54"/>
    <mergeCell ref="CR54:CS54"/>
    <mergeCell ref="AP53:AQ53"/>
    <mergeCell ref="HH55:HI55"/>
    <mergeCell ref="HJ55:HK55"/>
    <mergeCell ref="GT54:GU54"/>
    <mergeCell ref="GV54:GW54"/>
    <mergeCell ref="GT4:GU4"/>
    <mergeCell ref="IT53:IU53"/>
    <mergeCell ref="AN5:AO5"/>
    <mergeCell ref="IV53:IW53"/>
    <mergeCell ref="AP5:AQ5"/>
    <mergeCell ref="ER5:ES5"/>
    <mergeCell ref="J53:K53"/>
    <mergeCell ref="IF54:IG54"/>
    <mergeCell ref="JD4:JE4"/>
    <mergeCell ref="IH54:II54"/>
    <mergeCell ref="IF4:IG4"/>
    <mergeCell ref="CV5:CW5"/>
    <mergeCell ref="R55:S55"/>
    <mergeCell ref="CT53:CU53"/>
    <mergeCell ref="BL4:BM4"/>
    <mergeCell ref="BN4:BO4"/>
    <mergeCell ref="GD5:GE5"/>
    <mergeCell ref="DR55:DS55"/>
    <mergeCell ref="AV53:AW53"/>
    <mergeCell ref="CT55:CU55"/>
    <mergeCell ref="AX53:AY53"/>
    <mergeCell ref="EF5:EG5"/>
    <mergeCell ref="EH5:EI5"/>
    <mergeCell ref="FB53:FC53"/>
    <mergeCell ref="FD53:FE53"/>
    <mergeCell ref="BF55:BG55"/>
    <mergeCell ref="DV4:DW4"/>
    <mergeCell ref="AX55:AY55"/>
    <mergeCell ref="AR54:AS54"/>
    <mergeCell ref="AH54:AI54"/>
    <mergeCell ref="CX4:CY4"/>
    <mergeCell ref="IN5:IO5"/>
    <mergeCell ref="AJ54:AK54"/>
    <mergeCell ref="AL54:AM54"/>
    <mergeCell ref="EZ55:FA55"/>
    <mergeCell ref="HP5:HQ5"/>
    <mergeCell ref="FB55:FC55"/>
    <mergeCell ref="CH53:CI53"/>
    <mergeCell ref="GL53:GM53"/>
    <mergeCell ref="FT5:FU5"/>
    <mergeCell ref="GN53:GO53"/>
    <mergeCell ref="FD4:FE4"/>
    <mergeCell ref="FF4:FG4"/>
    <mergeCell ref="BJ1:BK1"/>
    <mergeCell ref="FH4:FI4"/>
    <mergeCell ref="BT54:BU54"/>
    <mergeCell ref="BV54:BW54"/>
    <mergeCell ref="T53:U53"/>
    <mergeCell ref="HH5:HI5"/>
    <mergeCell ref="GL55:GM55"/>
    <mergeCell ref="GN55:GO55"/>
    <mergeCell ref="KB3:KC6"/>
    <mergeCell ref="FZ54:GA54"/>
    <mergeCell ref="GB54:GC54"/>
    <mergeCell ref="T55:U55"/>
    <mergeCell ref="IZ54:JA54"/>
    <mergeCell ref="JB54:JC54"/>
    <mergeCell ref="BF53:BG53"/>
    <mergeCell ref="IT5:IU5"/>
    <mergeCell ref="IV5:IW5"/>
    <mergeCell ref="HJ54:HK54"/>
    <mergeCell ref="IH4:II4"/>
    <mergeCell ref="HL54:HM54"/>
    <mergeCell ref="HD54:HE54"/>
    <mergeCell ref="BZ5:CA5"/>
    <mergeCell ref="CB5:CC5"/>
    <mergeCell ref="H5:I5"/>
    <mergeCell ref="JZ4:KA6"/>
    <mergeCell ref="DL5:DM5"/>
    <mergeCell ref="EF53:EG53"/>
    <mergeCell ref="DN5:DO5"/>
    <mergeCell ref="DX53:DY53"/>
    <mergeCell ref="DF5:DG5"/>
    <mergeCell ref="Z55:AA55"/>
    <mergeCell ref="CP4:CQ4"/>
    <mergeCell ref="CZ4:DA4"/>
    <mergeCell ref="AB55:AC55"/>
    <mergeCell ref="CR4:CS4"/>
    <mergeCell ref="N54:O54"/>
    <mergeCell ref="HJ5:HK5"/>
    <mergeCell ref="CJ53:CK53"/>
    <mergeCell ref="EF55:EG55"/>
    <mergeCell ref="EH55:EI55"/>
    <mergeCell ref="FZ4:GA4"/>
    <mergeCell ref="AF4:AG4"/>
    <mergeCell ref="AH4:AI4"/>
    <mergeCell ref="ID55:IE55"/>
    <mergeCell ref="CJ55:CK55"/>
    <mergeCell ref="FJ53:FK53"/>
    <mergeCell ref="HF55:HG55"/>
    <mergeCell ref="FL53:FM53"/>
    <mergeCell ref="EB4:EC4"/>
    <mergeCell ref="G6:G7"/>
    <mergeCell ref="ED4:EE4"/>
    <mergeCell ref="AZ54:BA54"/>
    <mergeCell ref="JN53:JO53"/>
    <mergeCell ref="BB54:BC54"/>
    <mergeCell ref="JP53:JQ53"/>
    <mergeCell ref="FR55:FS55"/>
    <mergeCell ref="FH55:FI55"/>
    <mergeCell ref="FJ55:FK55"/>
    <mergeCell ref="FT55:FU55"/>
    <mergeCell ref="FD54:FE54"/>
    <mergeCell ref="EV54:EW54"/>
    <mergeCell ref="EX54:EY54"/>
    <mergeCell ref="JN55:JO55"/>
    <mergeCell ref="JP55:JQ55"/>
    <mergeCell ref="GT53:GU53"/>
    <mergeCell ref="GV53:GW53"/>
    <mergeCell ref="DH54:DI54"/>
    <mergeCell ref="FP4:FQ4"/>
    <mergeCell ref="AB53:AC53"/>
    <mergeCell ref="AD53:AE53"/>
    <mergeCell ref="HR5:HS5"/>
    <mergeCell ref="HD4:HE4"/>
    <mergeCell ref="GH54:GI54"/>
    <mergeCell ref="GJ54:GK54"/>
    <mergeCell ref="AV5:AW5"/>
    <mergeCell ref="BF5:BG5"/>
    <mergeCell ref="AX5:AY5"/>
    <mergeCell ref="D6:D7"/>
    <mergeCell ref="AD55:AE55"/>
    <mergeCell ref="JV4:JW5"/>
    <mergeCell ref="F6:F7"/>
    <mergeCell ref="JX4:JY5"/>
    <mergeCell ref="JN4:JO5"/>
    <mergeCell ref="P54:Q54"/>
    <mergeCell ref="JP4:JQ5"/>
    <mergeCell ref="F2:G5"/>
    <mergeCell ref="J5:K5"/>
    <mergeCell ref="IN4:IO4"/>
    <mergeCell ref="IP4:IQ4"/>
    <mergeCell ref="CH5:CI5"/>
    <mergeCell ref="DB53:DC53"/>
    <mergeCell ref="CJ5:CK5"/>
    <mergeCell ref="DD53:DE53"/>
    <mergeCell ref="DF53:DG53"/>
    <mergeCell ref="BV4:BW4"/>
    <mergeCell ref="JV55:JW55"/>
    <mergeCell ref="BX4:BY4"/>
    <mergeCell ref="GL5:GM5"/>
    <mergeCell ref="JH54:JI54"/>
    <mergeCell ref="GN5:GO5"/>
    <mergeCell ref="GP5:GQ5"/>
    <mergeCell ref="H6:AA6"/>
    <mergeCell ref="DB55:DC55"/>
    <mergeCell ref="BH53:BI53"/>
    <mergeCell ref="DD55:DE55"/>
    <mergeCell ref="CP54:CQ54"/>
    <mergeCell ref="DT5:DU5"/>
    <mergeCell ref="EN53:EO53"/>
    <mergeCell ref="EP53:EQ53"/>
    <mergeCell ref="DF4:DG4"/>
    <mergeCell ref="DH4:DI4"/>
    <mergeCell ref="AT54:AU54"/>
    <mergeCell ref="DJ4:DK4"/>
    <mergeCell ref="AD54:AE54"/>
    <mergeCell ref="V54:W54"/>
    <mergeCell ref="HZ5:IA5"/>
    <mergeCell ref="IJ53:IK53"/>
    <mergeCell ref="HL4:HM4"/>
    <mergeCell ref="EN55:EO55"/>
    <mergeCell ref="EP55:EQ55"/>
    <mergeCell ref="DZ54:EA54"/>
    <mergeCell ref="EB54:EC54"/>
    <mergeCell ref="ED54:EE54"/>
    <mergeCell ref="IR55:IS55"/>
    <mergeCell ref="AC6:AD6"/>
    <mergeCell ref="GX53:GY53"/>
    <mergeCell ref="FZ53:GA53"/>
    <mergeCell ref="ER4:ES4"/>
    <mergeCell ref="ET4:EU4"/>
    <mergeCell ref="GV55:GW55"/>
    <mergeCell ref="JV53:JW53"/>
    <mergeCell ref="H53:I53"/>
    <mergeCell ref="JX53:JY53"/>
    <mergeCell ref="IZ4:JA4"/>
    <mergeCell ref="FL54:FM54"/>
    <mergeCell ref="FN54:FO54"/>
    <mergeCell ref="AB5:AC5"/>
    <mergeCell ref="JN6:JY6"/>
    <mergeCell ref="AD5:AE5"/>
    <mergeCell ref="H55:I55"/>
    <mergeCell ref="JX55:JY55"/>
    <mergeCell ref="JJ54:JK54"/>
    <mergeCell ref="BP53:BQ53"/>
    <mergeCell ref="AV55:AW55"/>
    <mergeCell ref="HT54:HU54"/>
    <mergeCell ref="IF5:IG5"/>
    <mergeCell ref="HV54:HW54"/>
    <mergeCell ref="IH5:II5"/>
    <mergeCell ref="HT4:HU4"/>
    <mergeCell ref="HN4:HO4"/>
    <mergeCell ref="BN5:BO5"/>
    <mergeCell ref="BP5:BQ5"/>
    <mergeCell ref="IZ55:JA55"/>
    <mergeCell ref="AZ4:BA4"/>
    <mergeCell ref="BB4:BC4"/>
    <mergeCell ref="FR5:FS5"/>
    <mergeCell ref="FJ5:FK5"/>
    <mergeCell ref="FL5:FM5"/>
    <mergeCell ref="AJ53:AK53"/>
    <mergeCell ref="CH55:CI55"/>
    <mergeCell ref="DV5:DW5"/>
    <mergeCell ref="CX5:CY5"/>
    <mergeCell ref="AJ55:AK55"/>
    <mergeCell ref="AL55:AM55"/>
    <mergeCell ref="DT53:DU53"/>
    <mergeCell ref="DL53:DM53"/>
    <mergeCell ref="CL4:CM4"/>
    <mergeCell ref="X54:Y54"/>
    <mergeCell ref="DN53:DO53"/>
    <mergeCell ref="CN4:CO4"/>
    <mergeCell ref="CD4:CE4"/>
    <mergeCell ref="CF4:CG4"/>
    <mergeCell ref="JR54:JS54"/>
    <mergeCell ref="HP53:HQ53"/>
    <mergeCell ref="GV5:GW5"/>
    <mergeCell ref="GX5:GY5"/>
    <mergeCell ref="BV53:BW53"/>
    <mergeCell ref="GH4:GI4"/>
    <mergeCell ref="BX53:BY53"/>
    <mergeCell ref="HR53:HS53"/>
    <mergeCell ref="GJ4:GK4"/>
    <mergeCell ref="DT55:DU55"/>
    <mergeCell ref="DJ55:DK55"/>
    <mergeCell ref="AP4:AQ4"/>
    <mergeCell ref="FT53:FU53"/>
    <mergeCell ref="HP55:HQ55"/>
    <mergeCell ref="BV55:BW55"/>
    <mergeCell ref="HR55:HS55"/>
    <mergeCell ref="HB54:HC54"/>
    <mergeCell ref="BX55:BY55"/>
    <mergeCell ref="BH54:BI54"/>
    <mergeCell ref="BJ54:BK54"/>
    <mergeCell ref="JB53:JC53"/>
    <mergeCell ref="JD53:JE53"/>
    <mergeCell ref="HV4:HW4"/>
    <mergeCell ref="EJ54:EK54"/>
    <mergeCell ref="JB55:JC55"/>
    <mergeCell ref="JD55:JE55"/>
    <mergeCell ref="IN54:IO54"/>
    <mergeCell ref="H2:BC2"/>
    <mergeCell ref="JF6:JG6"/>
    <mergeCell ref="IP54:IQ54"/>
    <mergeCell ref="AL53:AM53"/>
    <mergeCell ref="AL3:AM3"/>
    <mergeCell ref="GR54:GS54"/>
    <mergeCell ref="GP4:GQ4"/>
    <mergeCell ref="AR5:AS5"/>
    <mergeCell ref="AJ5:AK5"/>
    <mergeCell ref="BD53:BE53"/>
    <mergeCell ref="AL5:AM5"/>
    <mergeCell ref="JZ54:KA54"/>
    <mergeCell ref="X4:Y4"/>
    <mergeCell ref="KB54:KC54"/>
    <mergeCell ref="Z4:AA4"/>
    <mergeCell ref="EN5:EO5"/>
    <mergeCell ref="EP5:EQ5"/>
    <mergeCell ref="BD55:BE55"/>
    <mergeCell ref="ID54:IE54"/>
    <mergeCell ref="N55:O55"/>
    <mergeCell ref="P55:Q55"/>
    <mergeCell ref="CP53:CQ53"/>
    <mergeCell ref="CR53:CS53"/>
    <mergeCell ref="BH4:BI4"/>
    <mergeCell ref="BJ4:BK4"/>
    <mergeCell ref="FZ5:GA5"/>
    <mergeCell ref="IV54:IW54"/>
    <mergeCell ref="DL55:DM55"/>
    <mergeCell ref="GB5:GC5"/>
    <mergeCell ref="FN4:FO4"/>
    <mergeCell ref="CB54:CC54"/>
    <mergeCell ref="CD54:CE54"/>
    <mergeCell ref="EV53:EW53"/>
    <mergeCell ref="EX53:EY53"/>
    <mergeCell ref="GT55:GU55"/>
    <mergeCell ref="EZ53:FA53"/>
    <mergeCell ref="DP4:DQ4"/>
    <mergeCell ref="DR4:DS4"/>
    <mergeCell ref="D2:E4"/>
    <mergeCell ref="AF54:AG54"/>
    <mergeCell ref="EV55:EW55"/>
    <mergeCell ref="EX55:EY55"/>
    <mergeCell ref="HX53:HY53"/>
    <mergeCell ref="HZ53:IA53"/>
    <mergeCell ref="GZ4:HA4"/>
    <mergeCell ref="EL54:EM54"/>
    <mergeCell ref="GR4:GS4"/>
    <mergeCell ref="DN54:DO54"/>
    <mergeCell ref="IT55:IU55"/>
    <mergeCell ref="GH53:GI53"/>
    <mergeCell ref="IF55:IG55"/>
    <mergeCell ref="GJ53:GK53"/>
    <mergeCell ref="JB5:JC5"/>
    <mergeCell ref="FB4:FC4"/>
    <mergeCell ref="P53:Q53"/>
    <mergeCell ref="R53:S53"/>
    <mergeCell ref="GH55:GI55"/>
    <mergeCell ref="GJ55:GK55"/>
    <mergeCell ref="FT54:FU54"/>
    <mergeCell ref="FV54:FW54"/>
    <mergeCell ref="FX54:FY54"/>
    <mergeCell ref="H3:AA3"/>
    <mergeCell ref="P5:Q5"/>
    <mergeCell ref="JT54:JU54"/>
    <mergeCell ref="R5:S5"/>
    <mergeCell ref="IR5:IS5"/>
    <mergeCell ref="IB4:IC4"/>
    <mergeCell ref="ID4:IE4"/>
    <mergeCell ref="BV5:BW5"/>
    <mergeCell ref="BX5:BY5"/>
    <mergeCell ref="AP54:AQ54"/>
    <mergeCell ref="AN4:AO4"/>
    <mergeCell ref="CP55:CQ55"/>
    <mergeCell ref="CR55:CS55"/>
    <mergeCell ref="EX5:EY5"/>
    <mergeCell ref="FR53:FS53"/>
    <mergeCell ref="X53:Y53"/>
    <mergeCell ref="EZ5:FA5"/>
    <mergeCell ref="EJ4:EK4"/>
    <mergeCell ref="E6:E7"/>
    <mergeCell ref="EL4:EM4"/>
    <mergeCell ref="DH5:DI5"/>
    <mergeCell ref="JD5:JE5"/>
    <mergeCell ref="EB53:EC53"/>
    <mergeCell ref="DJ5:DK5"/>
    <mergeCell ref="ED53:EE53"/>
    <mergeCell ref="CT4:CU4"/>
    <mergeCell ref="DV53:DW53"/>
    <mergeCell ref="CV4:CW4"/>
    <mergeCell ref="X55:Y55"/>
    <mergeCell ref="J54:K54"/>
    <mergeCell ref="L54:M54"/>
    <mergeCell ref="HF5:HG5"/>
    <mergeCell ref="EB55:EC55"/>
    <mergeCell ref="ED55:EE55"/>
    <mergeCell ref="DV55:DW55"/>
    <mergeCell ref="HD53:HE53"/>
    <mergeCell ref="DP54:DQ54"/>
    <mergeCell ref="DF54:DG54"/>
    <mergeCell ref="HF53:HG53"/>
    <mergeCell ref="FV4:FW4"/>
    <mergeCell ref="FX4:FY4"/>
    <mergeCell ref="HX55:HY55"/>
    <mergeCell ref="HZ55:IA55"/>
    <mergeCell ref="HX5:HY5"/>
    <mergeCell ref="FH53:FI53"/>
    <mergeCell ref="GP54:GQ54"/>
    <mergeCell ref="AV54:AW54"/>
    <mergeCell ref="JJ53:JK53"/>
    <mergeCell ref="AX54:AY54"/>
    <mergeCell ref="GH5:GI5"/>
    <mergeCell ref="JL53:JM53"/>
    <mergeCell ref="JJ3:JK3"/>
  </mergeCells>
  <pageMargins left="0.3937007874015748" right="0.1181102362204725" top="0.7874015748031497" bottom="0.1968503937007874" header="0.3149606299212598" footer="0.3149606299212598"/>
  <pageSetup orientation="landscape" paperSize="9" scale="66"/>
  <rowBreaks count="1" manualBreakCount="1">
    <brk id="34" min="0" max="288" man="1"/>
  </rowBreaks>
  <colBreaks count="7" manualBreakCount="7">
    <brk id="27" min="0" max="56" man="1"/>
    <brk id="35" min="0" max="59" man="1"/>
    <brk id="67" min="0" max="59" man="1"/>
    <brk id="95" min="0" max="59" man="1"/>
    <brk id="151" min="0" max="1048575" man="1"/>
    <brk id="179" min="0" max="59" man="1"/>
    <brk id="251" min="0" max="59" man="1"/>
  </col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O460"/>
  <sheetViews>
    <sheetView showGridLines="0" view="pageBreakPreview" zoomScale="80" zoomScaleNormal="80" zoomScaleSheetLayoutView="80" workbookViewId="0">
      <pane xSplit="7" ySplit="8" topLeftCell="H9" activePane="bottomRight" state="frozen"/>
      <selection pane="topRight" activeCell="H1" sqref="H1"/>
      <selection pane="bottomLeft" activeCell="A9" sqref="A9"/>
      <selection pane="bottomRight" activeCell="B37" sqref="B37"/>
    </sheetView>
  </sheetViews>
  <sheetFormatPr baseColWidth="8" defaultColWidth="9.109375" defaultRowHeight="12.75" customHeight="1"/>
  <cols>
    <col width="4.33203125" customWidth="1" style="279" min="1" max="1"/>
    <col width="21.88671875" customWidth="1" style="279" min="2" max="2"/>
    <col width="12.44140625" customWidth="1" style="279" min="3" max="3"/>
    <col width="7.109375" customWidth="1" style="279" min="4" max="4"/>
    <col width="6.88671875" customWidth="1" style="279" min="5" max="5"/>
    <col width="9.5546875" customWidth="1" style="279" min="6" max="6"/>
    <col width="9" customWidth="1" style="279" min="7" max="7"/>
    <col width="6.5546875" customWidth="1" style="279" min="8" max="9"/>
    <col width="6" customWidth="1" style="279" min="10" max="12"/>
    <col width="6" customWidth="1" style="2" min="13" max="13"/>
    <col width="6" customWidth="1" style="279" min="14" max="17"/>
    <col collapsed="1" width="6.33203125" customWidth="1" style="279" min="18" max="18"/>
    <col width="6.33203125" customWidth="1" style="279" min="19" max="19"/>
    <col width="7.33203125" customWidth="1" style="279" min="20" max="27"/>
    <col width="6.6640625" customWidth="1" style="279" min="28" max="29"/>
    <col width="6.88671875" customWidth="1" style="279" min="30" max="31"/>
    <col collapsed="1" width="6.44140625" customWidth="1" style="279" min="32" max="32"/>
    <col width="6.44140625" customWidth="1" style="279" min="33" max="33"/>
    <col width="6.88671875" customWidth="1" style="279" min="34" max="35"/>
    <col width="7" customWidth="1" style="279" min="36" max="36"/>
    <col width="6.33203125" customWidth="1" style="279" min="37" max="37"/>
    <col width="6.44140625" customWidth="1" style="279" min="38" max="40"/>
    <col width="7.33203125" customWidth="1" style="279" min="41" max="41"/>
    <col collapsed="1" width="7.33203125" customWidth="1" style="279" min="42" max="42"/>
    <col width="7.33203125" customWidth="1" style="279" min="43" max="45"/>
    <col width="6.88671875" customWidth="1" style="279" min="46" max="49"/>
    <col width="6.44140625" customWidth="1" style="279" min="50" max="51"/>
    <col width="6" customWidth="1" style="279" min="52" max="53"/>
    <col collapsed="1" width="6" customWidth="1" style="279" min="54" max="54"/>
    <col width="6" customWidth="1" style="279" min="55" max="55"/>
    <col width="6.88671875" customWidth="1" style="279" min="56" max="57"/>
    <col collapsed="1" width="6.88671875" customWidth="1" style="279" min="58" max="58"/>
    <col width="6.88671875" customWidth="1" style="279" min="59" max="61"/>
    <col width="6.44140625" customWidth="1" style="279" min="62" max="65"/>
    <col width="7.33203125" customWidth="1" style="279" min="66" max="69"/>
    <col width="6.6640625" customWidth="1" style="279" min="70" max="83"/>
    <col width="6.5546875" customWidth="1" style="279" min="84" max="93"/>
    <col width="7.33203125" customWidth="1" style="279" min="94" max="97"/>
    <col width="7.33203125" customWidth="1" style="3" min="98" max="99"/>
    <col width="7.33203125" customWidth="1" style="279" min="100" max="109"/>
    <col width="6.33203125" customWidth="1" style="279" min="110" max="110"/>
    <col width="6.88671875" customWidth="1" style="279" min="111" max="111"/>
    <col width="6.33203125" customWidth="1" style="279" min="112" max="117"/>
    <col collapsed="1" width="6.33203125" customWidth="1" style="279" min="118" max="118"/>
    <col width="6.33203125" customWidth="1" style="279" min="119" max="123"/>
    <col width="7.6640625" customWidth="1" style="279" min="124" max="125"/>
    <col width="6.33203125" customWidth="1" style="279" min="126" max="127"/>
    <col width="7.109375" customWidth="1" style="279" min="128" max="129"/>
    <col width="6.6640625" customWidth="1" style="279" min="130" max="133"/>
    <col collapsed="1" width="6.6640625" customWidth="1" style="279" min="134" max="134"/>
    <col width="6.6640625" customWidth="1" style="279" min="135" max="135"/>
    <col collapsed="1" width="7.33203125" customWidth="1" style="279" min="136" max="136"/>
    <col width="7.33203125" customWidth="1" style="279" min="137" max="139"/>
    <col width="6.6640625" customWidth="1" style="279" min="140" max="143"/>
    <col width="6.109375" customWidth="1" style="279" min="144" max="145"/>
    <col width="6.5546875" customWidth="1" style="279" min="146" max="147"/>
    <col collapsed="1" width="7.33203125" customWidth="1" style="279" min="148" max="148"/>
    <col width="6.33203125" customWidth="1" style="279" min="149" max="149"/>
    <col width="7.33203125" customWidth="1" style="279" min="150" max="165"/>
    <col collapsed="1" width="7.33203125" customWidth="1" style="279" min="166" max="166"/>
    <col width="7.33203125" customWidth="1" style="279" min="167" max="191"/>
    <col collapsed="1" width="7.33203125" customWidth="1" style="279" min="192" max="192"/>
    <col width="7.33203125" customWidth="1" style="279" min="193" max="195"/>
    <col collapsed="1" width="7.33203125" customWidth="1" style="279" min="196" max="196"/>
    <col width="7.33203125" customWidth="1" style="279" min="197" max="231"/>
    <col collapsed="1" width="7.33203125" customWidth="1" style="279" min="232" max="232"/>
    <col width="7.33203125" customWidth="1" style="279" min="233" max="241"/>
    <col collapsed="1" width="7.33203125" customWidth="1" style="279" min="242" max="242"/>
    <col width="7.33203125" customWidth="1" style="279" min="243" max="263"/>
    <col width="7" customWidth="1" style="279" min="264" max="264"/>
    <col width="7.33203125" customWidth="1" style="279" min="265" max="271"/>
    <col width="6.88671875" customWidth="1" style="279" min="272" max="272"/>
    <col width="6.44140625" customWidth="1" style="279" min="273" max="273"/>
    <col hidden="1" outlineLevel="1" width="6.44140625" customWidth="1" style="279" min="274" max="274"/>
    <col hidden="1" outlineLevel="1" width="6.88671875" customWidth="1" style="279" min="275" max="275"/>
    <col hidden="1" outlineLevel="1" width="7.109375" customWidth="1" style="279" min="276" max="276"/>
    <col hidden="1" outlineLevel="1" width="6.5546875" customWidth="1" style="279" min="277" max="277"/>
    <col hidden="1" outlineLevel="1" width="6.44140625" customWidth="1" style="279" min="278" max="279"/>
    <col hidden="1" outlineLevel="1" width="6" customWidth="1" style="279" min="280" max="280"/>
    <col hidden="1" outlineLevel="1" width="5.5546875" customWidth="1" style="279" min="281" max="281"/>
    <col hidden="1" outlineLevel="1" width="5.88671875" customWidth="1" style="279" min="282" max="282"/>
    <col hidden="1" outlineLevel="1" width="6.5546875" customWidth="1" style="279" min="283" max="283"/>
    <col hidden="1" outlineLevel="1" width="5.44140625" customWidth="1" style="279" min="284" max="284"/>
    <col hidden="1" outlineLevel="1" width="6" customWidth="1" style="279" min="285" max="285"/>
    <col hidden="1" outlineLevel="1" width="7.33203125" customWidth="1" style="279" min="286" max="286"/>
    <col hidden="1" outlineLevel="1" width="9.88671875" customWidth="1" style="279" min="287" max="287"/>
    <col collapsed="1" width="9.44140625" customWidth="1" style="279" min="288" max="288"/>
    <col width="9.44140625" customWidth="1" style="279" min="289" max="289"/>
    <col width="17.5546875" customWidth="1" style="279" min="290" max="290"/>
    <col width="11" customWidth="1" style="279" min="291" max="291"/>
    <col width="15.44140625" customWidth="1" style="279" min="292" max="292"/>
    <col width="9.109375" customWidth="1" style="279" min="293" max="293"/>
    <col width="9.109375" customWidth="1" style="279" min="294" max="16384"/>
  </cols>
  <sheetData>
    <row r="1" ht="17.25" customFormat="1" customHeight="1" s="288" thickBot="1">
      <c r="A1" s="265" t="inlineStr">
        <is>
          <t>Расшифровка зарплаты рабочих за Апрель 2024 г</t>
        </is>
      </c>
      <c r="B1" s="266" t="n"/>
      <c r="C1" s="266" t="n"/>
      <c r="D1" s="266" t="n"/>
      <c r="E1" s="266" t="n"/>
      <c r="F1" s="266" t="n"/>
      <c r="G1" s="266" t="n"/>
      <c r="M1" s="5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V1" s="39" t="n"/>
      <c r="AW1" s="39" t="n"/>
      <c r="BB1" s="37" t="n"/>
      <c r="BC1" s="37" t="n"/>
      <c r="BD1" s="37" t="n"/>
      <c r="BE1" s="37" t="n"/>
      <c r="BJ1" s="287" t="n"/>
      <c r="BP1" s="287" t="n"/>
      <c r="CD1" s="36" t="n"/>
      <c r="DM1" s="310" t="n"/>
      <c r="DQ1" s="41" t="n"/>
      <c r="DR1" s="37" t="n"/>
      <c r="DS1" s="37" t="n"/>
      <c r="DT1" s="37" t="n"/>
      <c r="DU1" s="37" t="n"/>
      <c r="DV1" s="37" t="n"/>
      <c r="DW1" s="37" t="n"/>
      <c r="DX1" s="37" t="n"/>
      <c r="DY1" s="37" t="n"/>
      <c r="ER1" s="36" t="n"/>
      <c r="ES1" s="36" t="n"/>
      <c r="GZ1" s="39" t="n"/>
      <c r="HA1" s="39" t="n"/>
      <c r="HD1" s="37" t="n"/>
      <c r="HE1" s="37" t="n"/>
      <c r="HK1" s="39" t="n"/>
      <c r="HL1" s="39" t="n"/>
      <c r="HM1" s="40" t="n"/>
      <c r="HN1" s="39" t="n"/>
      <c r="HO1" s="39" t="n"/>
      <c r="HP1" s="39" t="n"/>
      <c r="HQ1" s="40" t="n"/>
      <c r="IO1" s="37" t="n"/>
      <c r="IQ1" s="37" t="n"/>
    </row>
    <row r="2" ht="11.25" customHeight="1" thickBot="1">
      <c r="A2" s="283" t="inlineStr">
        <is>
          <t>№ П/П</t>
        </is>
      </c>
      <c r="B2" s="299" t="inlineStr">
        <is>
          <t>Работники</t>
        </is>
      </c>
      <c r="C2" s="285" t="n"/>
      <c r="D2" s="337" t="inlineStr">
        <is>
          <t>Отработано часов</t>
        </is>
      </c>
      <c r="E2" s="305" t="n"/>
      <c r="F2" s="285" t="inlineStr">
        <is>
          <t>Оклад с РК</t>
        </is>
      </c>
      <c r="G2" s="308" t="n"/>
      <c r="H2" s="335" t="inlineStr">
        <is>
          <t>Распределение по заказам</t>
        </is>
      </c>
      <c r="I2" s="255" t="n"/>
      <c r="J2" s="255" t="n"/>
      <c r="K2" s="255" t="n"/>
      <c r="L2" s="255" t="n"/>
      <c r="M2" s="255" t="n"/>
      <c r="N2" s="255" t="n"/>
      <c r="O2" s="255" t="n"/>
      <c r="P2" s="255" t="n"/>
      <c r="Q2" s="255" t="n"/>
      <c r="R2" s="255" t="n"/>
      <c r="S2" s="255" t="n"/>
      <c r="T2" s="255" t="n"/>
      <c r="U2" s="255" t="n"/>
      <c r="V2" s="255" t="n"/>
      <c r="W2" s="255" t="n"/>
      <c r="X2" s="255" t="n"/>
      <c r="Y2" s="255" t="n"/>
      <c r="Z2" s="255" t="n"/>
      <c r="AA2" s="255" t="n"/>
      <c r="AB2" s="255" t="n"/>
      <c r="AC2" s="255" t="n"/>
      <c r="AD2" s="255" t="n"/>
      <c r="AE2" s="255" t="n"/>
      <c r="AF2" s="255" t="n"/>
      <c r="AG2" s="255" t="n"/>
      <c r="AH2" s="255" t="n"/>
      <c r="AI2" s="255" t="n"/>
      <c r="AJ2" s="255" t="n"/>
      <c r="AK2" s="255" t="n"/>
      <c r="AL2" s="255" t="n"/>
      <c r="AM2" s="255" t="n"/>
      <c r="AN2" s="255" t="n"/>
      <c r="AO2" s="255" t="n"/>
      <c r="AP2" s="255" t="n"/>
      <c r="AQ2" s="255" t="n"/>
      <c r="AR2" s="255" t="n"/>
      <c r="AS2" s="255" t="n"/>
      <c r="AT2" s="255" t="n"/>
      <c r="AU2" s="255" t="n"/>
      <c r="AV2" s="255" t="n"/>
      <c r="AW2" s="255" t="n"/>
      <c r="AX2" s="255" t="n"/>
      <c r="AY2" s="255" t="n"/>
      <c r="AZ2" s="255" t="n"/>
      <c r="BA2" s="255" t="n"/>
      <c r="BB2" s="255" t="n"/>
      <c r="BC2" s="255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  <c r="BN2" s="47" t="n"/>
      <c r="BO2" s="47" t="n"/>
      <c r="BP2" s="47" t="n"/>
      <c r="BQ2" s="47" t="n"/>
      <c r="BR2" s="47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  <c r="CO2" s="47" t="n"/>
      <c r="CP2" s="47" t="n"/>
      <c r="CQ2" s="47" t="n"/>
      <c r="CR2" s="47" t="n"/>
      <c r="CS2" s="47" t="n"/>
      <c r="CT2" s="47" t="n"/>
      <c r="CU2" s="47" t="n"/>
      <c r="CV2" s="47" t="n"/>
      <c r="CW2" s="47" t="n"/>
      <c r="CX2" s="47" t="n"/>
      <c r="CY2" s="47" t="n"/>
      <c r="CZ2" s="47" t="n"/>
      <c r="DA2" s="47" t="n"/>
      <c r="DB2" s="47" t="n"/>
      <c r="DC2" s="47" t="n"/>
      <c r="DD2" s="47" t="n"/>
      <c r="DE2" s="47" t="n"/>
      <c r="DF2" s="47" t="n"/>
      <c r="DG2" s="47" t="n"/>
      <c r="DH2" s="47" t="n"/>
      <c r="DI2" s="47" t="n"/>
      <c r="DJ2" s="47" t="n"/>
      <c r="DK2" s="47" t="n"/>
      <c r="DL2" s="47" t="n"/>
      <c r="DM2" s="47" t="n"/>
      <c r="DN2" s="47" t="n"/>
      <c r="DO2" s="47" t="n"/>
      <c r="DP2" s="47" t="n"/>
      <c r="DQ2" s="47" t="n"/>
      <c r="DR2" s="47" t="n"/>
      <c r="DS2" s="47" t="n"/>
      <c r="DT2" s="47" t="n"/>
      <c r="DU2" s="47" t="n"/>
      <c r="DV2" s="47" t="n"/>
      <c r="DW2" s="47" t="n"/>
      <c r="DX2" s="47" t="n"/>
      <c r="DY2" s="47" t="n"/>
      <c r="DZ2" s="47" t="n"/>
      <c r="EA2" s="47" t="n"/>
      <c r="EB2" s="47" t="n"/>
      <c r="EC2" s="47" t="n"/>
      <c r="ED2" s="47" t="n"/>
      <c r="EE2" s="47" t="n"/>
      <c r="EF2" s="47" t="n"/>
      <c r="EG2" s="47" t="n"/>
      <c r="EH2" s="47" t="n"/>
      <c r="EI2" s="47" t="n"/>
      <c r="EJ2" s="47" t="n"/>
      <c r="EK2" s="47" t="n"/>
      <c r="EL2" s="47" t="n"/>
      <c r="EM2" s="47" t="n"/>
      <c r="EN2" s="47" t="n"/>
      <c r="EO2" s="47" t="n"/>
      <c r="EP2" s="47" t="n"/>
      <c r="EQ2" s="47" t="n"/>
      <c r="ER2" s="47" t="n"/>
      <c r="ES2" s="47" t="n"/>
      <c r="ET2" s="47" t="n"/>
      <c r="EU2" s="47" t="n"/>
      <c r="EV2" s="47" t="n"/>
      <c r="EW2" s="47" t="n"/>
      <c r="EX2" s="47" t="n"/>
      <c r="EY2" s="47" t="n"/>
      <c r="EZ2" s="47" t="n"/>
      <c r="FA2" s="47" t="n"/>
      <c r="FB2" s="47" t="n"/>
      <c r="FC2" s="47" t="n"/>
      <c r="FD2" s="47" t="n"/>
      <c r="FE2" s="47" t="n"/>
      <c r="FF2" s="47" t="n"/>
      <c r="FG2" s="47" t="n"/>
      <c r="FH2" s="47" t="n"/>
      <c r="FI2" s="47" t="n"/>
      <c r="FJ2" s="47" t="n"/>
      <c r="FK2" s="47" t="n"/>
      <c r="FL2" s="47" t="n"/>
      <c r="FM2" s="47" t="n"/>
      <c r="FN2" s="47" t="n"/>
      <c r="FO2" s="47" t="n"/>
      <c r="FP2" s="47" t="n"/>
      <c r="FQ2" s="47" t="n"/>
      <c r="FR2" s="47" t="n"/>
      <c r="FS2" s="47" t="n"/>
      <c r="FT2" s="47" t="n"/>
      <c r="FU2" s="47" t="n"/>
      <c r="FV2" s="47" t="n"/>
      <c r="FW2" s="47" t="n"/>
      <c r="FX2" s="47" t="n"/>
      <c r="FY2" s="47" t="n"/>
      <c r="FZ2" s="47" t="n"/>
      <c r="GA2" s="47" t="n"/>
      <c r="GB2" s="47" t="n"/>
      <c r="GC2" s="47" t="n"/>
      <c r="GD2" s="47" t="n"/>
      <c r="GE2" s="47" t="n"/>
      <c r="GF2" s="47" t="n"/>
      <c r="GG2" s="47" t="n"/>
      <c r="GH2" s="47" t="n"/>
      <c r="GI2" s="47" t="n"/>
      <c r="GJ2" s="47" t="n"/>
      <c r="GK2" s="47" t="n"/>
      <c r="GL2" s="47" t="n"/>
      <c r="GM2" s="47" t="n"/>
      <c r="GN2" s="47" t="n"/>
      <c r="GO2" s="47" t="n"/>
      <c r="GP2" s="47" t="n"/>
      <c r="GQ2" s="47" t="n"/>
      <c r="GR2" s="47" t="n"/>
      <c r="GS2" s="47" t="n"/>
      <c r="GT2" s="47" t="n"/>
      <c r="GU2" s="47" t="n"/>
      <c r="GV2" s="47" t="n"/>
      <c r="GW2" s="47" t="n"/>
      <c r="GX2" s="47" t="n"/>
      <c r="GY2" s="47" t="n"/>
      <c r="GZ2" s="47" t="n"/>
      <c r="HA2" s="47" t="n"/>
      <c r="HB2" s="47" t="n"/>
      <c r="HC2" s="47" t="n"/>
      <c r="HD2" s="47" t="n"/>
      <c r="HE2" s="47" t="n"/>
      <c r="HF2" s="47" t="n"/>
      <c r="HG2" s="47" t="n"/>
      <c r="HH2" s="47" t="n"/>
      <c r="HI2" s="47" t="n"/>
      <c r="HJ2" s="47" t="n"/>
      <c r="HK2" s="47" t="n"/>
      <c r="HL2" s="47" t="n"/>
      <c r="HM2" s="47" t="n"/>
      <c r="HN2" s="47" t="n"/>
      <c r="HO2" s="47" t="n"/>
      <c r="HP2" s="47" t="n"/>
      <c r="HQ2" s="47" t="n"/>
      <c r="HR2" s="47" t="n"/>
      <c r="HS2" s="47" t="n"/>
      <c r="HT2" s="47" t="n"/>
      <c r="HU2" s="47" t="n"/>
      <c r="HV2" s="47" t="n"/>
      <c r="HW2" s="47" t="n"/>
      <c r="HX2" s="47" t="n"/>
      <c r="HY2" s="47" t="n"/>
      <c r="HZ2" s="47" t="n"/>
      <c r="IA2" s="47" t="n"/>
      <c r="IB2" s="47" t="n"/>
      <c r="IC2" s="47" t="n"/>
      <c r="ID2" s="47" t="n"/>
      <c r="IE2" s="47" t="n"/>
      <c r="IF2" s="47" t="n"/>
      <c r="IG2" s="47" t="n"/>
      <c r="IH2" s="47" t="n"/>
      <c r="II2" s="47" t="n"/>
      <c r="IJ2" s="47" t="n"/>
      <c r="IK2" s="47" t="n"/>
      <c r="IL2" s="47" t="n"/>
      <c r="IM2" s="47" t="n"/>
      <c r="IN2" s="47" t="n"/>
      <c r="IO2" s="47" t="n"/>
      <c r="IP2" s="47" t="n"/>
      <c r="IQ2" s="47" t="n"/>
      <c r="IR2" s="47" t="n"/>
      <c r="IS2" s="47" t="n"/>
      <c r="IT2" s="47" t="n"/>
      <c r="IU2" s="47" t="n"/>
      <c r="IV2" s="47" t="n"/>
      <c r="IW2" s="47" t="n"/>
      <c r="IX2" s="47" t="n"/>
      <c r="IY2" s="47" t="n"/>
      <c r="IZ2" s="47" t="n"/>
      <c r="JA2" s="47" t="n"/>
      <c r="JB2" s="47" t="n"/>
      <c r="JC2" s="47" t="n"/>
      <c r="JD2" s="47" t="n"/>
      <c r="JE2" s="47" t="n"/>
      <c r="JF2" s="47" t="n"/>
      <c r="JG2" s="47" t="n"/>
      <c r="JH2" s="47" t="n"/>
      <c r="JI2" s="47" t="n"/>
      <c r="JJ2" s="47" t="n"/>
      <c r="JK2" s="47" t="n"/>
      <c r="JL2" s="47" t="n"/>
      <c r="JM2" s="47" t="n"/>
      <c r="JN2" s="47" t="n"/>
      <c r="JO2" s="47" t="n"/>
      <c r="JP2" s="47" t="n"/>
      <c r="JQ2" s="47" t="n"/>
      <c r="JR2" s="47" t="n"/>
      <c r="JS2" s="47" t="n"/>
      <c r="JT2" s="47" t="n"/>
      <c r="JU2" s="47" t="n"/>
      <c r="JV2" s="47" t="n"/>
      <c r="JW2" s="47" t="n"/>
      <c r="JX2" s="47" t="n"/>
      <c r="JY2" s="47" t="n"/>
      <c r="JZ2" s="47" t="n"/>
      <c r="KA2" s="47" t="n"/>
      <c r="KB2" s="47" t="n"/>
      <c r="KC2" s="48" t="n"/>
    </row>
    <row r="3" ht="14.25" customHeight="1">
      <c r="A3" s="284" t="n"/>
      <c r="B3" s="284" t="n"/>
      <c r="C3" s="286" t="n"/>
      <c r="D3" s="286" t="n"/>
      <c r="E3" s="306" t="n"/>
      <c r="F3" s="286" t="n"/>
      <c r="H3" s="339" t="inlineStr">
        <is>
          <t>ОСНАСТКА</t>
        </is>
      </c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0" t="n"/>
      <c r="S3" s="340" t="n"/>
      <c r="T3" s="340" t="n"/>
      <c r="U3" s="340" t="n"/>
      <c r="V3" s="340" t="n"/>
      <c r="W3" s="340" t="n"/>
      <c r="X3" s="340" t="n"/>
      <c r="Y3" s="340" t="n"/>
      <c r="Z3" s="340" t="n"/>
      <c r="AA3" s="248" t="n"/>
      <c r="AB3" s="68" t="n"/>
      <c r="AC3" s="68" t="n"/>
      <c r="AD3" s="68" t="n"/>
      <c r="AE3" s="68" t="n"/>
      <c r="AF3" s="68" t="n"/>
      <c r="AG3" s="68" t="n"/>
      <c r="AH3" s="68" t="n"/>
      <c r="AI3" s="144" t="n"/>
      <c r="AJ3" s="145" t="n"/>
      <c r="AK3" s="145" t="n"/>
      <c r="AL3" s="336" t="n"/>
      <c r="AM3" s="271" t="n"/>
      <c r="AN3" s="68" t="n"/>
      <c r="AO3" s="68" t="n"/>
      <c r="AP3" s="68" t="n"/>
      <c r="AQ3" s="68" t="n"/>
      <c r="AR3" s="68" t="n"/>
      <c r="AS3" s="68" t="n"/>
      <c r="AT3" s="68" t="n"/>
      <c r="AU3" s="68" t="n"/>
      <c r="AV3" s="68" t="n"/>
      <c r="AW3" s="68" t="n"/>
      <c r="AX3" s="69" t="n"/>
      <c r="AY3" s="68" t="n"/>
      <c r="AZ3" s="68" t="n"/>
      <c r="BA3" s="68" t="n"/>
      <c r="BB3" s="68" t="n"/>
      <c r="BC3" s="68" t="n"/>
      <c r="BD3" s="43" t="n"/>
      <c r="BE3" s="43" t="n"/>
      <c r="BF3" s="43" t="n"/>
      <c r="BG3" s="43" t="n"/>
      <c r="BH3" s="43" t="n"/>
      <c r="BI3" s="43" t="n"/>
      <c r="BJ3" s="43" t="n"/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  <c r="CO3" s="43" t="n"/>
      <c r="CP3" s="43" t="n"/>
      <c r="CQ3" s="43" t="n"/>
      <c r="CR3" s="43" t="n"/>
      <c r="CS3" s="43" t="n"/>
      <c r="CT3" s="43" t="n"/>
      <c r="CU3" s="43" t="n"/>
      <c r="CV3" s="43" t="n"/>
      <c r="CW3" s="43" t="n"/>
      <c r="CX3" s="43" t="n"/>
      <c r="CY3" s="43" t="n"/>
      <c r="CZ3" s="43" t="n"/>
      <c r="DA3" s="43" t="n"/>
      <c r="DB3" s="43" t="n"/>
      <c r="DC3" s="43" t="n"/>
      <c r="DD3" s="43" t="n"/>
      <c r="DE3" s="43" t="n"/>
      <c r="DF3" s="43" t="n"/>
      <c r="DG3" s="43" t="n"/>
      <c r="DH3" s="43" t="n"/>
      <c r="DI3" s="43" t="n"/>
      <c r="DJ3" s="43" t="n"/>
      <c r="DK3" s="43" t="n"/>
      <c r="DL3" s="43" t="n"/>
      <c r="DM3" s="43" t="n"/>
      <c r="DN3" s="43" t="n"/>
      <c r="DO3" s="43" t="n"/>
      <c r="DP3" s="43" t="n"/>
      <c r="DQ3" s="43" t="n"/>
      <c r="DR3" s="43" t="n"/>
      <c r="DS3" s="43" t="n"/>
      <c r="DT3" s="43" t="n"/>
      <c r="DU3" s="43" t="n"/>
      <c r="DV3" s="43" t="n"/>
      <c r="DW3" s="43" t="n"/>
      <c r="DX3" s="43" t="n"/>
      <c r="DY3" s="43" t="n"/>
      <c r="DZ3" s="43" t="n"/>
      <c r="EA3" s="43" t="n"/>
      <c r="EB3" s="43" t="n"/>
      <c r="EC3" s="43" t="n"/>
      <c r="ED3" s="43" t="n"/>
      <c r="EE3" s="43" t="n"/>
      <c r="EF3" s="43" t="n"/>
      <c r="EG3" s="43" t="n"/>
      <c r="EH3" s="43" t="n"/>
      <c r="EI3" s="43" t="n"/>
      <c r="EJ3" s="43" t="n"/>
      <c r="EK3" s="43" t="n"/>
      <c r="EL3" s="43" t="n"/>
      <c r="EM3" s="43" t="n"/>
      <c r="EN3" s="43" t="n"/>
      <c r="EO3" s="43" t="n"/>
      <c r="EP3" s="43" t="n"/>
      <c r="EQ3" s="43" t="n"/>
      <c r="ER3" s="43" t="n"/>
      <c r="ES3" s="43" t="n"/>
      <c r="ET3" s="43" t="n"/>
      <c r="EU3" s="43" t="n"/>
      <c r="EV3" s="43" t="n"/>
      <c r="EW3" s="43" t="n"/>
      <c r="EX3" s="43" t="n"/>
      <c r="EY3" s="43" t="n"/>
      <c r="EZ3" s="43" t="n"/>
      <c r="FA3" s="62" t="n"/>
      <c r="FB3" s="63" t="n"/>
      <c r="FC3" s="62" t="n"/>
      <c r="FD3" s="63" t="n"/>
      <c r="FE3" s="62" t="n"/>
      <c r="FF3" s="63" t="n"/>
      <c r="FG3" s="62" t="n"/>
      <c r="FH3" s="43" t="n"/>
      <c r="FI3" s="62" t="n"/>
      <c r="FJ3" s="43" t="n"/>
      <c r="FK3" s="43" t="n"/>
      <c r="FL3" s="43" t="n"/>
      <c r="FM3" s="43" t="n"/>
      <c r="FN3" s="43" t="n"/>
      <c r="FO3" s="43" t="n"/>
      <c r="FP3" s="43" t="n"/>
      <c r="FQ3" s="43" t="n"/>
      <c r="FR3" s="43" t="n"/>
      <c r="FS3" s="43" t="n"/>
      <c r="FT3" s="43" t="n"/>
      <c r="FU3" s="43" t="n"/>
      <c r="FV3" s="43" t="n"/>
      <c r="FW3" s="43" t="n"/>
      <c r="FX3" s="43" t="n"/>
      <c r="FY3" s="43" t="n"/>
      <c r="FZ3" s="43" t="n"/>
      <c r="GA3" s="43" t="n"/>
      <c r="GB3" s="43" t="n"/>
      <c r="GC3" s="43" t="n"/>
      <c r="GD3" s="43" t="n"/>
      <c r="GE3" s="43" t="n"/>
      <c r="GF3" s="43" t="n"/>
      <c r="GG3" s="43" t="n"/>
      <c r="GH3" s="43" t="n"/>
      <c r="GI3" s="54" t="n"/>
      <c r="GJ3" s="43" t="n"/>
      <c r="GK3" s="43" t="n"/>
      <c r="GL3" s="43" t="n"/>
      <c r="GM3" s="43" t="n"/>
      <c r="GN3" s="43" t="n"/>
      <c r="GO3" s="43" t="n"/>
      <c r="GP3" s="43" t="n"/>
      <c r="GQ3" s="43" t="n"/>
      <c r="GR3" s="43" t="n"/>
      <c r="GS3" s="43" t="n"/>
      <c r="GT3" s="43" t="n"/>
      <c r="GU3" s="43" t="n"/>
      <c r="GV3" s="50" t="n"/>
      <c r="GW3" s="50" t="n"/>
      <c r="GX3" s="50" t="n"/>
      <c r="GY3" s="50" t="n"/>
      <c r="GZ3" s="50" t="n"/>
      <c r="HA3" s="50" t="n"/>
      <c r="HB3" s="43" t="n"/>
      <c r="HC3" s="43" t="n"/>
      <c r="HD3" s="43" t="n"/>
      <c r="HE3" s="43" t="n"/>
      <c r="HF3" s="49" t="n"/>
      <c r="HG3" s="43" t="n"/>
      <c r="HH3" s="43" t="n"/>
      <c r="HI3" s="43" t="n"/>
      <c r="HJ3" s="43" t="n"/>
      <c r="HK3" s="43" t="n"/>
      <c r="HL3" s="43" t="n"/>
      <c r="HM3" s="43" t="n"/>
      <c r="HN3" s="43" t="n"/>
      <c r="HO3" s="43" t="n"/>
      <c r="HP3" s="43" t="n"/>
      <c r="HQ3" s="43" t="n"/>
      <c r="HR3" s="43" t="n"/>
      <c r="HS3" s="43" t="n"/>
      <c r="HT3" s="43" t="n"/>
      <c r="HU3" s="43" t="n"/>
      <c r="HV3" s="43" t="n"/>
      <c r="HW3" s="43" t="n"/>
      <c r="HX3" s="43" t="n"/>
      <c r="HY3" s="43" t="n"/>
      <c r="HZ3" s="43" t="n"/>
      <c r="IA3" s="43" t="n"/>
      <c r="IB3" s="43" t="n"/>
      <c r="IC3" s="43" t="n"/>
      <c r="ID3" s="43" t="n"/>
      <c r="IE3" s="43" t="n"/>
      <c r="IF3" s="43" t="n"/>
      <c r="IG3" s="43" t="n"/>
      <c r="IH3" s="43" t="n"/>
      <c r="II3" s="43" t="n"/>
      <c r="IJ3" s="43" t="n"/>
      <c r="IK3" s="43" t="n"/>
      <c r="IL3" s="43" t="n"/>
      <c r="IM3" s="43" t="n"/>
      <c r="IN3" s="43" t="n"/>
      <c r="IO3" s="43" t="n"/>
      <c r="IP3" s="43" t="n"/>
      <c r="IQ3" s="43" t="n"/>
      <c r="IR3" s="43" t="n"/>
      <c r="IS3" s="43" t="n"/>
      <c r="IT3" s="43" t="n"/>
      <c r="IU3" s="43" t="n"/>
      <c r="IV3" s="43" t="n"/>
      <c r="IW3" s="43" t="n"/>
      <c r="IX3" s="43" t="n"/>
      <c r="IY3" s="43" t="n"/>
      <c r="IZ3" s="50" t="n"/>
      <c r="JA3" s="50" t="n"/>
      <c r="JB3" s="50" t="n"/>
      <c r="JC3" s="50" t="n"/>
      <c r="JD3" s="50" t="n"/>
      <c r="JE3" s="50" t="n"/>
      <c r="JF3" s="42" t="n"/>
      <c r="JG3" s="42" t="n"/>
      <c r="JH3" s="42" t="n"/>
      <c r="JI3" s="42" t="n"/>
      <c r="JJ3" s="342" t="n"/>
      <c r="JK3" s="340" t="n"/>
      <c r="JL3" s="304" t="inlineStr">
        <is>
          <t>Работы с обслуживанием цеха и оборудования</t>
        </is>
      </c>
      <c r="JM3" s="305" t="n"/>
      <c r="JN3" s="270" t="inlineStr">
        <is>
          <t>Подготовительные работы по ОС</t>
        </is>
      </c>
      <c r="JO3" s="271" t="n"/>
      <c r="JP3" s="271" t="n"/>
      <c r="JQ3" s="271" t="n"/>
      <c r="JR3" s="271" t="n"/>
      <c r="JS3" s="271" t="n"/>
      <c r="JT3" s="271" t="n"/>
      <c r="JU3" s="271" t="n"/>
      <c r="JV3" s="271" t="n"/>
      <c r="JW3" s="271" t="n"/>
      <c r="JX3" s="271" t="n"/>
      <c r="JY3" s="271" t="n"/>
      <c r="JZ3" s="271" t="n"/>
      <c r="KA3" s="272" t="n"/>
      <c r="KB3" s="316" t="inlineStr">
        <is>
          <t>ВСЕГО</t>
        </is>
      </c>
      <c r="KC3" s="306" t="n"/>
    </row>
    <row r="4" ht="104.25" customHeight="1">
      <c r="A4" s="284" t="n"/>
      <c r="B4" s="284" t="n"/>
      <c r="C4" s="286" t="n"/>
      <c r="D4" s="338" t="n"/>
      <c r="E4" s="281" t="n"/>
      <c r="F4" s="286" t="n"/>
      <c r="H4" s="260" t="n"/>
      <c r="I4" s="248" t="n"/>
      <c r="J4" s="260" t="n"/>
      <c r="K4" s="248" t="n"/>
      <c r="L4" s="260" t="n"/>
      <c r="M4" s="248" t="n"/>
      <c r="N4" s="260" t="n"/>
      <c r="O4" s="248" t="n"/>
      <c r="P4" s="260" t="n"/>
      <c r="Q4" s="248" t="n"/>
      <c r="R4" s="260" t="n"/>
      <c r="S4" s="248" t="n"/>
      <c r="T4" s="260" t="n"/>
      <c r="U4" s="248" t="n"/>
      <c r="V4" s="260" t="n"/>
      <c r="W4" s="248" t="n"/>
      <c r="X4" s="260" t="n"/>
      <c r="Y4" s="248" t="n"/>
      <c r="Z4" s="260" t="n"/>
      <c r="AA4" s="248" t="n"/>
      <c r="AB4" s="260" t="n"/>
      <c r="AC4" s="248" t="n"/>
      <c r="AD4" s="260" t="n"/>
      <c r="AE4" s="248" t="n"/>
      <c r="AF4" s="260" t="n"/>
      <c r="AG4" s="248" t="n"/>
      <c r="AH4" s="260" t="n"/>
      <c r="AI4" s="248" t="n"/>
      <c r="AJ4" s="260" t="n"/>
      <c r="AK4" s="248" t="n"/>
      <c r="AL4" s="260" t="n"/>
      <c r="AM4" s="248" t="n"/>
      <c r="AN4" s="260" t="n"/>
      <c r="AO4" s="248" t="n"/>
      <c r="AP4" s="260" t="n"/>
      <c r="AQ4" s="248" t="n"/>
      <c r="AR4" s="260" t="n"/>
      <c r="AS4" s="248" t="n"/>
      <c r="AT4" s="260" t="n"/>
      <c r="AU4" s="248" t="n"/>
      <c r="AV4" s="260" t="n"/>
      <c r="AW4" s="248" t="n"/>
      <c r="AX4" s="260" t="n"/>
      <c r="AY4" s="248" t="n"/>
      <c r="AZ4" s="260" t="n"/>
      <c r="BA4" s="248" t="n"/>
      <c r="BB4" s="260" t="n"/>
      <c r="BC4" s="248" t="n"/>
      <c r="BD4" s="260" t="n"/>
      <c r="BE4" s="248" t="n"/>
      <c r="BF4" s="260" t="n"/>
      <c r="BG4" s="248" t="n"/>
      <c r="BH4" s="260" t="n"/>
      <c r="BI4" s="248" t="n"/>
      <c r="BJ4" s="260" t="n"/>
      <c r="BK4" s="248" t="n"/>
      <c r="BL4" s="260" t="n"/>
      <c r="BM4" s="248" t="n"/>
      <c r="BN4" s="260" t="n"/>
      <c r="BO4" s="248" t="n"/>
      <c r="BP4" s="260" t="n"/>
      <c r="BQ4" s="248" t="n"/>
      <c r="BR4" s="260" t="n"/>
      <c r="BS4" s="248" t="n"/>
      <c r="BT4" s="260" t="n"/>
      <c r="BU4" s="248" t="n"/>
      <c r="BV4" s="260" t="n"/>
      <c r="BW4" s="248" t="n"/>
      <c r="BX4" s="260" t="n"/>
      <c r="BY4" s="248" t="n"/>
      <c r="BZ4" s="260" t="n"/>
      <c r="CA4" s="248" t="n"/>
      <c r="CB4" s="260" t="n"/>
      <c r="CC4" s="248" t="n"/>
      <c r="CD4" s="260" t="n"/>
      <c r="CE4" s="248" t="n"/>
      <c r="CF4" s="260" t="n"/>
      <c r="CG4" s="248" t="n"/>
      <c r="CH4" s="260" t="n"/>
      <c r="CI4" s="248" t="n"/>
      <c r="CJ4" s="260" t="n"/>
      <c r="CK4" s="248" t="n"/>
      <c r="CL4" s="260" t="n"/>
      <c r="CM4" s="248" t="n"/>
      <c r="CN4" s="260" t="n"/>
      <c r="CO4" s="248" t="n"/>
      <c r="CP4" s="260" t="n"/>
      <c r="CQ4" s="248" t="n"/>
      <c r="CR4" s="260" t="n"/>
      <c r="CS4" s="248" t="n"/>
      <c r="CT4" s="260" t="n"/>
      <c r="CU4" s="248" t="n"/>
      <c r="CV4" s="260" t="n"/>
      <c r="CW4" s="248" t="n"/>
      <c r="CX4" s="260" t="n"/>
      <c r="CY4" s="248" t="n"/>
      <c r="CZ4" s="260" t="n"/>
      <c r="DA4" s="248" t="n"/>
      <c r="DB4" s="260" t="n"/>
      <c r="DC4" s="248" t="n"/>
      <c r="DD4" s="260" t="n"/>
      <c r="DE4" s="248" t="n"/>
      <c r="DF4" s="260" t="n"/>
      <c r="DG4" s="248" t="n"/>
      <c r="DH4" s="260" t="n"/>
      <c r="DI4" s="248" t="n"/>
      <c r="DJ4" s="260" t="n"/>
      <c r="DK4" s="248" t="n"/>
      <c r="DL4" s="260" t="n"/>
      <c r="DM4" s="248" t="n"/>
      <c r="DN4" s="260" t="n"/>
      <c r="DO4" s="248" t="n"/>
      <c r="DP4" s="260" t="n"/>
      <c r="DQ4" s="248" t="n"/>
      <c r="DR4" s="260" t="n"/>
      <c r="DS4" s="248" t="n"/>
      <c r="DT4" s="260" t="n"/>
      <c r="DU4" s="248" t="n"/>
      <c r="DV4" s="260" t="n"/>
      <c r="DW4" s="248" t="n"/>
      <c r="DX4" s="260" t="n"/>
      <c r="DY4" s="248" t="n"/>
      <c r="DZ4" s="260" t="n"/>
      <c r="EA4" s="248" t="n"/>
      <c r="EB4" s="260" t="n"/>
      <c r="EC4" s="248" t="n"/>
      <c r="ED4" s="260" t="n"/>
      <c r="EE4" s="248" t="n"/>
      <c r="EF4" s="260" t="n"/>
      <c r="EG4" s="248" t="n"/>
      <c r="EH4" s="260" t="n"/>
      <c r="EI4" s="248" t="n"/>
      <c r="EJ4" s="260" t="n"/>
      <c r="EK4" s="248" t="n"/>
      <c r="EL4" s="260" t="n"/>
      <c r="EM4" s="248" t="n"/>
      <c r="EN4" s="260" t="n"/>
      <c r="EO4" s="248" t="n"/>
      <c r="EP4" s="260" t="n"/>
      <c r="EQ4" s="248" t="n"/>
      <c r="ER4" s="260" t="n"/>
      <c r="ES4" s="248" t="n"/>
      <c r="ET4" s="260" t="n"/>
      <c r="EU4" s="248" t="n"/>
      <c r="EV4" s="260" t="n"/>
      <c r="EW4" s="248" t="n"/>
      <c r="EX4" s="260" t="n"/>
      <c r="EY4" s="248" t="n"/>
      <c r="EZ4" s="260" t="n"/>
      <c r="FA4" s="248" t="n"/>
      <c r="FB4" s="260" t="n"/>
      <c r="FC4" s="248" t="n"/>
      <c r="FD4" s="260" t="n"/>
      <c r="FE4" s="248" t="n"/>
      <c r="FF4" s="260" t="n"/>
      <c r="FG4" s="248" t="n"/>
      <c r="FH4" s="260" t="n"/>
      <c r="FI4" s="248" t="n"/>
      <c r="FJ4" s="260" t="n"/>
      <c r="FK4" s="248" t="n"/>
      <c r="FL4" s="260" t="n"/>
      <c r="FM4" s="248" t="n"/>
      <c r="FN4" s="260" t="n"/>
      <c r="FO4" s="248" t="n"/>
      <c r="FP4" s="260" t="n"/>
      <c r="FQ4" s="248" t="n"/>
      <c r="FR4" s="260" t="n"/>
      <c r="FS4" s="248" t="n"/>
      <c r="FT4" s="260" t="n"/>
      <c r="FU4" s="248" t="n"/>
      <c r="FV4" s="260" t="n"/>
      <c r="FW4" s="248" t="n"/>
      <c r="FX4" s="260" t="n"/>
      <c r="FY4" s="248" t="n"/>
      <c r="FZ4" s="260" t="n"/>
      <c r="GA4" s="248" t="n"/>
      <c r="GB4" s="260" t="n"/>
      <c r="GC4" s="248" t="n"/>
      <c r="GD4" s="260" t="n"/>
      <c r="GE4" s="248" t="n"/>
      <c r="GF4" s="260" t="n"/>
      <c r="GG4" s="248" t="n"/>
      <c r="GH4" s="260" t="n"/>
      <c r="GI4" s="248" t="n"/>
      <c r="GJ4" s="260" t="n"/>
      <c r="GK4" s="248" t="n"/>
      <c r="GL4" s="260" t="n"/>
      <c r="GM4" s="248" t="n"/>
      <c r="GN4" s="260" t="n"/>
      <c r="GO4" s="248" t="n"/>
      <c r="GP4" s="260" t="n"/>
      <c r="GQ4" s="248" t="n"/>
      <c r="GR4" s="260" t="n"/>
      <c r="GS4" s="248" t="n"/>
      <c r="GT4" s="260" t="n"/>
      <c r="GU4" s="248" t="n"/>
      <c r="GV4" s="260" t="n"/>
      <c r="GW4" s="248" t="n"/>
      <c r="GX4" s="260" t="n"/>
      <c r="GY4" s="248" t="n"/>
      <c r="GZ4" s="260" t="n"/>
      <c r="HA4" s="248" t="n"/>
      <c r="HB4" s="260" t="n"/>
      <c r="HC4" s="248" t="n"/>
      <c r="HD4" s="260" t="n"/>
      <c r="HE4" s="248" t="n"/>
      <c r="HF4" s="260" t="n"/>
      <c r="HG4" s="248" t="n"/>
      <c r="HH4" s="260" t="n"/>
      <c r="HI4" s="248" t="n"/>
      <c r="HJ4" s="260" t="n"/>
      <c r="HK4" s="248" t="n"/>
      <c r="HL4" s="260" t="n"/>
      <c r="HM4" s="248" t="n"/>
      <c r="HN4" s="260" t="n"/>
      <c r="HO4" s="248" t="n"/>
      <c r="HP4" s="260" t="n"/>
      <c r="HQ4" s="248" t="n"/>
      <c r="HR4" s="260" t="n"/>
      <c r="HS4" s="248" t="n"/>
      <c r="HT4" s="260" t="n"/>
      <c r="HU4" s="248" t="n"/>
      <c r="HV4" s="260" t="n"/>
      <c r="HW4" s="248" t="n"/>
      <c r="HX4" s="260" t="n"/>
      <c r="HY4" s="248" t="n"/>
      <c r="HZ4" s="260" t="n"/>
      <c r="IA4" s="248" t="n"/>
      <c r="IB4" s="260" t="n"/>
      <c r="IC4" s="248" t="n"/>
      <c r="ID4" s="260" t="n"/>
      <c r="IE4" s="248" t="n"/>
      <c r="IF4" s="260" t="n"/>
      <c r="IG4" s="248" t="n"/>
      <c r="IH4" s="260" t="n"/>
      <c r="II4" s="248" t="n"/>
      <c r="IJ4" s="260" t="n"/>
      <c r="IK4" s="248" t="n"/>
      <c r="IL4" s="260" t="n"/>
      <c r="IM4" s="248" t="n"/>
      <c r="IN4" s="260" t="n"/>
      <c r="IO4" s="248" t="n"/>
      <c r="IP4" s="260" t="n"/>
      <c r="IQ4" s="248" t="n"/>
      <c r="IR4" s="260" t="n"/>
      <c r="IS4" s="248" t="n"/>
      <c r="IT4" s="260" t="n"/>
      <c r="IU4" s="248" t="n"/>
      <c r="IV4" s="260" t="n"/>
      <c r="IW4" s="248" t="n"/>
      <c r="IX4" s="260" t="n"/>
      <c r="IY4" s="248" t="n"/>
      <c r="IZ4" s="260" t="n"/>
      <c r="JA4" s="248" t="n"/>
      <c r="JB4" s="260" t="n"/>
      <c r="JC4" s="248" t="n"/>
      <c r="JD4" s="260" t="n"/>
      <c r="JE4" s="248" t="n"/>
      <c r="JF4" s="260" t="n"/>
      <c r="JG4" s="248" t="n"/>
      <c r="JH4" s="260" t="n"/>
      <c r="JI4" s="248" t="n"/>
      <c r="JJ4" s="260" t="n"/>
      <c r="JK4" s="248" t="n"/>
      <c r="JL4" s="286" t="n"/>
      <c r="JM4" s="306" t="n"/>
      <c r="JN4" s="327" t="n"/>
      <c r="JO4" s="257" t="n"/>
      <c r="JP4" s="256" t="n"/>
      <c r="JQ4" s="257" t="n"/>
      <c r="JR4" s="256" t="n"/>
      <c r="JS4" s="257" t="n"/>
      <c r="JT4" s="256" t="n"/>
      <c r="JU4" s="257" t="n"/>
      <c r="JV4" s="256" t="n"/>
      <c r="JW4" s="257" t="n"/>
      <c r="JX4" s="256" t="n"/>
      <c r="JY4" s="257" t="n"/>
      <c r="JZ4" s="317" t="inlineStr">
        <is>
          <t>Итого сч. 08</t>
        </is>
      </c>
      <c r="KA4" s="268" t="n"/>
      <c r="KC4" s="306" t="n"/>
      <c r="KF4" s="6" t="n"/>
    </row>
    <row r="5" ht="30.75" customHeight="1">
      <c r="A5" s="284" t="n"/>
      <c r="B5" s="284" t="n"/>
      <c r="C5" s="286" t="n"/>
      <c r="D5" s="280" t="n">
        <v>168</v>
      </c>
      <c r="E5" s="281" t="n"/>
      <c r="F5" s="286" t="n"/>
      <c r="H5" s="247" t="n"/>
      <c r="I5" s="248" t="n"/>
      <c r="J5" s="247" t="n"/>
      <c r="K5" s="248" t="n"/>
      <c r="L5" s="247" t="n"/>
      <c r="M5" s="248" t="n"/>
      <c r="N5" s="247" t="n"/>
      <c r="O5" s="248" t="n"/>
      <c r="P5" s="247" t="n"/>
      <c r="Q5" s="248" t="n"/>
      <c r="R5" s="247" t="n"/>
      <c r="S5" s="248" t="n"/>
      <c r="T5" s="247" t="n"/>
      <c r="U5" s="248" t="n"/>
      <c r="V5" s="247" t="n"/>
      <c r="W5" s="248" t="n"/>
      <c r="X5" s="247" t="n"/>
      <c r="Y5" s="248" t="n"/>
      <c r="Z5" s="247" t="n"/>
      <c r="AA5" s="248" t="n"/>
      <c r="AB5" s="247" t="n"/>
      <c r="AC5" s="248" t="n"/>
      <c r="AD5" s="247" t="n"/>
      <c r="AE5" s="248" t="n"/>
      <c r="AF5" s="247" t="n"/>
      <c r="AG5" s="248" t="n"/>
      <c r="AH5" s="247" t="n"/>
      <c r="AI5" s="248" t="n"/>
      <c r="AJ5" s="247" t="n"/>
      <c r="AK5" s="248" t="n"/>
      <c r="AL5" s="247" t="n"/>
      <c r="AM5" s="248" t="n"/>
      <c r="AN5" s="247" t="n"/>
      <c r="AO5" s="248" t="n"/>
      <c r="AP5" s="247" t="n"/>
      <c r="AQ5" s="248" t="n"/>
      <c r="AR5" s="247" t="n"/>
      <c r="AS5" s="248" t="n"/>
      <c r="AT5" s="247" t="n"/>
      <c r="AU5" s="248" t="n"/>
      <c r="AV5" s="247" t="n"/>
      <c r="AW5" s="248" t="n"/>
      <c r="AX5" s="247" t="n"/>
      <c r="AY5" s="248" t="n"/>
      <c r="AZ5" s="247" t="n"/>
      <c r="BA5" s="248" t="n"/>
      <c r="BB5" s="247" t="n"/>
      <c r="BC5" s="248" t="n"/>
      <c r="BD5" s="247" t="n"/>
      <c r="BE5" s="248" t="n"/>
      <c r="BF5" s="247" t="n"/>
      <c r="BG5" s="248" t="n"/>
      <c r="BH5" s="247" t="n"/>
      <c r="BI5" s="248" t="n"/>
      <c r="BJ5" s="247" t="n"/>
      <c r="BK5" s="248" t="n"/>
      <c r="BL5" s="247" t="n"/>
      <c r="BM5" s="248" t="n"/>
      <c r="BN5" s="247" t="n"/>
      <c r="BO5" s="248" t="n"/>
      <c r="BP5" s="247" t="n"/>
      <c r="BQ5" s="248" t="n"/>
      <c r="BR5" s="247" t="n"/>
      <c r="BS5" s="248" t="n"/>
      <c r="BT5" s="247" t="n"/>
      <c r="BU5" s="248" t="n"/>
      <c r="BV5" s="247" t="n"/>
      <c r="BW5" s="248" t="n"/>
      <c r="BX5" s="247" t="n"/>
      <c r="BY5" s="248" t="n"/>
      <c r="BZ5" s="247" t="n"/>
      <c r="CA5" s="248" t="n"/>
      <c r="CB5" s="247" t="n"/>
      <c r="CC5" s="248" t="n"/>
      <c r="CD5" s="247" t="n"/>
      <c r="CE5" s="248" t="n"/>
      <c r="CF5" s="247" t="n"/>
      <c r="CG5" s="248" t="n"/>
      <c r="CH5" s="247" t="n"/>
      <c r="CI5" s="248" t="n"/>
      <c r="CJ5" s="247" t="n"/>
      <c r="CK5" s="248" t="n"/>
      <c r="CL5" s="247" t="n"/>
      <c r="CM5" s="248" t="n"/>
      <c r="CN5" s="247" t="n"/>
      <c r="CO5" s="248" t="n"/>
      <c r="CP5" s="247" t="n"/>
      <c r="CQ5" s="248" t="n"/>
      <c r="CR5" s="247" t="n"/>
      <c r="CS5" s="248" t="n"/>
      <c r="CT5" s="247" t="n"/>
      <c r="CU5" s="248" t="n"/>
      <c r="CV5" s="247" t="n"/>
      <c r="CW5" s="248" t="n"/>
      <c r="CX5" s="247" t="n"/>
      <c r="CY5" s="248" t="n"/>
      <c r="CZ5" s="247" t="n"/>
      <c r="DA5" s="248" t="n"/>
      <c r="DB5" s="247" t="n"/>
      <c r="DC5" s="248" t="n"/>
      <c r="DD5" s="247" t="n"/>
      <c r="DE5" s="248" t="n"/>
      <c r="DF5" s="247" t="n"/>
      <c r="DG5" s="248" t="n"/>
      <c r="DH5" s="247" t="n"/>
      <c r="DI5" s="248" t="n"/>
      <c r="DJ5" s="247" t="n"/>
      <c r="DK5" s="248" t="n"/>
      <c r="DL5" s="247" t="n"/>
      <c r="DM5" s="248" t="n"/>
      <c r="DN5" s="247" t="n"/>
      <c r="DO5" s="248" t="n"/>
      <c r="DP5" s="247" t="n"/>
      <c r="DQ5" s="248" t="n"/>
      <c r="DR5" s="247" t="n"/>
      <c r="DS5" s="248" t="n"/>
      <c r="DT5" s="247" t="n"/>
      <c r="DU5" s="248" t="n"/>
      <c r="DV5" s="247" t="n"/>
      <c r="DW5" s="248" t="n"/>
      <c r="DX5" s="247" t="n"/>
      <c r="DY5" s="248" t="n"/>
      <c r="DZ5" s="247" t="n"/>
      <c r="EA5" s="248" t="n"/>
      <c r="EB5" s="247" t="n"/>
      <c r="EC5" s="248" t="n"/>
      <c r="ED5" s="247" t="n"/>
      <c r="EE5" s="248" t="n"/>
      <c r="EF5" s="247" t="n"/>
      <c r="EG5" s="248" t="n"/>
      <c r="EH5" s="247" t="n"/>
      <c r="EI5" s="248" t="n"/>
      <c r="EJ5" s="247" t="n"/>
      <c r="EK5" s="248" t="n"/>
      <c r="EL5" s="247" t="n"/>
      <c r="EM5" s="248" t="n"/>
      <c r="EN5" s="247" t="n"/>
      <c r="EO5" s="248" t="n"/>
      <c r="EP5" s="247" t="n"/>
      <c r="EQ5" s="248" t="n"/>
      <c r="ER5" s="247" t="n"/>
      <c r="ES5" s="248" t="n"/>
      <c r="ET5" s="247" t="n"/>
      <c r="EU5" s="248" t="n"/>
      <c r="EV5" s="247" t="n"/>
      <c r="EW5" s="248" t="n"/>
      <c r="EX5" s="247" t="n"/>
      <c r="EY5" s="248" t="n"/>
      <c r="EZ5" s="247" t="n"/>
      <c r="FA5" s="248" t="n"/>
      <c r="FB5" s="247" t="n"/>
      <c r="FC5" s="248" t="n"/>
      <c r="FD5" s="247" t="n"/>
      <c r="FE5" s="248" t="n"/>
      <c r="FF5" s="247" t="n"/>
      <c r="FG5" s="248" t="n"/>
      <c r="FH5" s="247" t="n"/>
      <c r="FI5" s="248" t="n"/>
      <c r="FJ5" s="247" t="n"/>
      <c r="FK5" s="248" t="n"/>
      <c r="FL5" s="247" t="n"/>
      <c r="FM5" s="248" t="n"/>
      <c r="FN5" s="247" t="n"/>
      <c r="FO5" s="248" t="n"/>
      <c r="FP5" s="247" t="n"/>
      <c r="FQ5" s="248" t="n"/>
      <c r="FR5" s="247" t="n"/>
      <c r="FS5" s="248" t="n"/>
      <c r="FT5" s="247" t="n"/>
      <c r="FU5" s="248" t="n"/>
      <c r="FV5" s="247" t="n"/>
      <c r="FW5" s="248" t="n"/>
      <c r="FX5" s="247" t="n"/>
      <c r="FY5" s="248" t="n"/>
      <c r="FZ5" s="247" t="n"/>
      <c r="GA5" s="248" t="n"/>
      <c r="GB5" s="247" t="n"/>
      <c r="GC5" s="248" t="n"/>
      <c r="GD5" s="247" t="n"/>
      <c r="GE5" s="248" t="n"/>
      <c r="GF5" s="247" t="n"/>
      <c r="GG5" s="248" t="n"/>
      <c r="GH5" s="247" t="n"/>
      <c r="GI5" s="248" t="n"/>
      <c r="GJ5" s="247" t="n"/>
      <c r="GK5" s="248" t="n"/>
      <c r="GL5" s="247" t="n"/>
      <c r="GM5" s="248" t="n"/>
      <c r="GN5" s="247" t="n"/>
      <c r="GO5" s="248" t="n"/>
      <c r="GP5" s="247" t="n"/>
      <c r="GQ5" s="248" t="n"/>
      <c r="GR5" s="247" t="n"/>
      <c r="GS5" s="248" t="n"/>
      <c r="GT5" s="247" t="n"/>
      <c r="GU5" s="248" t="n"/>
      <c r="GV5" s="247" t="n"/>
      <c r="GW5" s="248" t="n"/>
      <c r="GX5" s="247" t="n"/>
      <c r="GY5" s="248" t="n"/>
      <c r="GZ5" s="247" t="n"/>
      <c r="HA5" s="248" t="n"/>
      <c r="HB5" s="247" t="n"/>
      <c r="HC5" s="248" t="n"/>
      <c r="HD5" s="247" t="n"/>
      <c r="HE5" s="248" t="n"/>
      <c r="HF5" s="247" t="n"/>
      <c r="HG5" s="248" t="n"/>
      <c r="HH5" s="247" t="n"/>
      <c r="HI5" s="248" t="n"/>
      <c r="HJ5" s="247" t="n"/>
      <c r="HK5" s="248" t="n"/>
      <c r="HL5" s="247" t="n"/>
      <c r="HM5" s="248" t="n"/>
      <c r="HN5" s="247" t="n"/>
      <c r="HO5" s="248" t="n"/>
      <c r="HP5" s="247" t="n"/>
      <c r="HQ5" s="248" t="n"/>
      <c r="HR5" s="247" t="n"/>
      <c r="HS5" s="248" t="n"/>
      <c r="HT5" s="247" t="n"/>
      <c r="HU5" s="248" t="n"/>
      <c r="HV5" s="247" t="n"/>
      <c r="HW5" s="248" t="n"/>
      <c r="HX5" s="247" t="n"/>
      <c r="HY5" s="248" t="n"/>
      <c r="HZ5" s="247" t="n"/>
      <c r="IA5" s="248" t="n"/>
      <c r="IB5" s="247" t="n"/>
      <c r="IC5" s="248" t="n"/>
      <c r="ID5" s="247" t="n"/>
      <c r="IE5" s="248" t="n"/>
      <c r="IF5" s="247" t="n"/>
      <c r="IG5" s="248" t="n"/>
      <c r="IH5" s="247" t="n"/>
      <c r="II5" s="248" t="n"/>
      <c r="IJ5" s="247" t="n"/>
      <c r="IK5" s="248" t="n"/>
      <c r="IL5" s="247" t="n"/>
      <c r="IM5" s="248" t="n"/>
      <c r="IN5" s="247" t="n"/>
      <c r="IO5" s="248" t="n"/>
      <c r="IP5" s="247" t="n"/>
      <c r="IQ5" s="248" t="n"/>
      <c r="IR5" s="247" t="n"/>
      <c r="IS5" s="248" t="n"/>
      <c r="IT5" s="247" t="n"/>
      <c r="IU5" s="248" t="n"/>
      <c r="IV5" s="247" t="n"/>
      <c r="IW5" s="248" t="n"/>
      <c r="IX5" s="247" t="n"/>
      <c r="IY5" s="248" t="n"/>
      <c r="IZ5" s="247" t="n"/>
      <c r="JA5" s="248" t="n"/>
      <c r="JB5" s="247" t="n"/>
      <c r="JC5" s="248" t="n"/>
      <c r="JD5" s="247" t="n"/>
      <c r="JE5" s="248" t="n"/>
      <c r="JF5" s="247" t="n"/>
      <c r="JG5" s="248" t="n"/>
      <c r="JH5" s="247" t="n"/>
      <c r="JI5" s="248" t="n"/>
      <c r="JJ5" s="247" t="n"/>
      <c r="JK5" s="248" t="n"/>
      <c r="JL5" s="173" t="n"/>
      <c r="JM5" s="109" t="n"/>
      <c r="JN5" s="328" t="n"/>
      <c r="JO5" s="259" t="n"/>
      <c r="JP5" s="258" t="n"/>
      <c r="JQ5" s="259" t="n"/>
      <c r="JR5" s="258" t="n"/>
      <c r="JS5" s="259" t="n"/>
      <c r="JT5" s="258" t="n"/>
      <c r="JU5" s="259" t="n"/>
      <c r="JV5" s="258" t="n"/>
      <c r="JW5" s="259" t="n"/>
      <c r="JX5" s="258" t="n"/>
      <c r="JY5" s="259" t="n"/>
      <c r="JZ5" s="318" t="n"/>
      <c r="KA5" s="306" t="n"/>
      <c r="KC5" s="306" t="n"/>
      <c r="KF5" s="7" t="n"/>
    </row>
    <row r="6" ht="17.25" customHeight="1" thickBot="1">
      <c r="A6" s="284" t="n"/>
      <c r="B6" s="284" t="n"/>
      <c r="C6" s="286" t="n"/>
      <c r="D6" s="324" t="inlineStr">
        <is>
          <t>План</t>
        </is>
      </c>
      <c r="E6" s="341" t="inlineStr">
        <is>
          <t>Факт</t>
        </is>
      </c>
      <c r="F6" s="326" t="inlineStr">
        <is>
          <t>Месяц</t>
        </is>
      </c>
      <c r="G6" s="321" t="inlineStr">
        <is>
          <t>Часовая ставка</t>
        </is>
      </c>
      <c r="H6" s="329" t="inlineStr">
        <is>
          <t>23 счет</t>
        </is>
      </c>
      <c r="I6" s="328" t="n"/>
      <c r="J6" s="328" t="n"/>
      <c r="K6" s="328" t="n"/>
      <c r="L6" s="328" t="n"/>
      <c r="M6" s="328" t="n"/>
      <c r="N6" s="328" t="n"/>
      <c r="O6" s="328" t="n"/>
      <c r="P6" s="328" t="n"/>
      <c r="Q6" s="328" t="n"/>
      <c r="R6" s="328" t="n"/>
      <c r="S6" s="328" t="n"/>
      <c r="T6" s="328" t="n"/>
      <c r="U6" s="328" t="n"/>
      <c r="V6" s="328" t="n"/>
      <c r="W6" s="328" t="n"/>
      <c r="X6" s="328" t="n"/>
      <c r="Y6" s="328" t="n"/>
      <c r="Z6" s="328" t="n"/>
      <c r="AA6" s="259" t="n"/>
      <c r="AB6" s="134" t="n"/>
      <c r="AC6" s="331" t="n"/>
      <c r="AE6" s="134" t="n"/>
      <c r="AF6" s="134" t="n"/>
      <c r="AG6" s="134" t="n"/>
      <c r="AH6" s="134" t="n"/>
      <c r="AI6" s="134" t="n"/>
      <c r="AJ6" s="134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  <c r="BM6" s="134" t="n"/>
      <c r="BN6" s="134" t="n"/>
      <c r="BO6" s="134" t="n"/>
      <c r="BP6" s="134" t="n"/>
      <c r="BQ6" s="134" t="n"/>
      <c r="BR6" s="134" t="n"/>
      <c r="BS6" s="134" t="n"/>
      <c r="BT6" s="134" t="n"/>
      <c r="BU6" s="134" t="n"/>
      <c r="BV6" s="134" t="n"/>
      <c r="BW6" s="134" t="n"/>
      <c r="BX6" s="134" t="n"/>
      <c r="BY6" s="134" t="n"/>
      <c r="BZ6" s="134" t="n"/>
      <c r="CA6" s="134" t="n"/>
      <c r="CB6" s="134" t="n"/>
      <c r="CC6" s="134" t="n"/>
      <c r="CD6" s="134" t="n"/>
      <c r="CE6" s="134" t="n"/>
      <c r="CF6" s="134" t="n"/>
      <c r="CG6" s="134" t="n"/>
      <c r="CH6" s="134" t="n"/>
      <c r="CI6" s="134" t="n"/>
      <c r="CJ6" s="134" t="n"/>
      <c r="CK6" s="134" t="n"/>
      <c r="CL6" s="134" t="n"/>
      <c r="CM6" s="134" t="n"/>
      <c r="CN6" s="134" t="n"/>
      <c r="CO6" s="134" t="n"/>
      <c r="CP6" s="134" t="n"/>
      <c r="CQ6" s="134" t="n"/>
      <c r="CR6" s="134" t="n"/>
      <c r="CS6" s="134" t="n"/>
      <c r="CT6" s="134" t="n"/>
      <c r="CU6" s="134" t="n"/>
      <c r="CV6" s="134" t="n"/>
      <c r="CW6" s="134" t="n"/>
      <c r="CX6" s="134" t="n"/>
      <c r="CY6" s="134" t="n"/>
      <c r="CZ6" s="134" t="n"/>
      <c r="DA6" s="134" t="n"/>
      <c r="DB6" s="134" t="n"/>
      <c r="DC6" s="134" t="n"/>
      <c r="DD6" s="134" t="n"/>
      <c r="DE6" s="134" t="n"/>
      <c r="DF6" s="134" t="n"/>
      <c r="DG6" s="134" t="n"/>
      <c r="DH6" s="134" t="n"/>
      <c r="DI6" s="134" t="n"/>
      <c r="DJ6" s="134" t="n"/>
      <c r="DK6" s="134" t="n"/>
      <c r="DL6" s="134" t="n"/>
      <c r="DM6" s="134" t="n"/>
      <c r="DN6" s="134" t="n"/>
      <c r="DO6" s="134" t="n"/>
      <c r="DP6" s="134" t="n"/>
      <c r="DQ6" s="134" t="n"/>
      <c r="DR6" s="134" t="n"/>
      <c r="DS6" s="134" t="n"/>
      <c r="DT6" s="134" t="n"/>
      <c r="DU6" s="134" t="n"/>
      <c r="DV6" s="134" t="n"/>
      <c r="DW6" s="134" t="n"/>
      <c r="DX6" s="134" t="n"/>
      <c r="DY6" s="134" t="n"/>
      <c r="DZ6" s="134" t="n"/>
      <c r="EA6" s="134" t="n"/>
      <c r="EB6" s="134" t="n"/>
      <c r="EC6" s="134" t="n"/>
      <c r="ED6" s="134" t="n"/>
      <c r="EE6" s="134" t="n"/>
      <c r="EF6" s="134" t="n"/>
      <c r="EG6" s="134" t="n"/>
      <c r="EH6" s="134" t="n"/>
      <c r="EI6" s="134" t="n"/>
      <c r="EJ6" s="134" t="n"/>
      <c r="EK6" s="134" t="n"/>
      <c r="EL6" s="134" t="n"/>
      <c r="EM6" s="134" t="n"/>
      <c r="EN6" s="134" t="n"/>
      <c r="EO6" s="134" t="n"/>
      <c r="EP6" s="134" t="n"/>
      <c r="EQ6" s="134" t="n"/>
      <c r="ER6" s="134" t="n"/>
      <c r="ES6" s="134" t="n"/>
      <c r="ET6" s="134" t="n"/>
      <c r="EU6" s="134" t="n"/>
      <c r="EV6" s="134" t="n"/>
      <c r="EW6" s="174" t="n"/>
      <c r="EX6" s="174" t="n"/>
      <c r="EY6" s="174" t="n"/>
      <c r="EZ6" s="174" t="n"/>
      <c r="FA6" s="174" t="n"/>
      <c r="FB6" s="174" t="n"/>
      <c r="FC6" s="174" t="n"/>
      <c r="FD6" s="134" t="n"/>
      <c r="FE6" s="134" t="n"/>
      <c r="FF6" s="134" t="n"/>
      <c r="FG6" s="134" t="n"/>
      <c r="FH6" s="134" t="n"/>
      <c r="FI6" s="134" t="n"/>
      <c r="FJ6" s="134" t="n"/>
      <c r="FK6" s="134" t="n"/>
      <c r="FL6" s="134" t="n"/>
      <c r="FM6" s="134" t="n"/>
      <c r="FN6" s="134" t="n"/>
      <c r="FO6" s="134" t="n"/>
      <c r="FP6" s="134" t="n"/>
      <c r="FQ6" s="134" t="n"/>
      <c r="FR6" s="134" t="n"/>
      <c r="FS6" s="134" t="n"/>
      <c r="FT6" s="134" t="n"/>
      <c r="FU6" s="134" t="n"/>
      <c r="FV6" s="134" t="n"/>
      <c r="FW6" s="134" t="n"/>
      <c r="FX6" s="134" t="n"/>
      <c r="FY6" s="134" t="n"/>
      <c r="FZ6" s="134" t="n"/>
      <c r="GA6" s="134" t="n"/>
      <c r="GB6" s="134" t="n"/>
      <c r="GC6" s="134" t="n"/>
      <c r="GD6" s="134" t="n"/>
      <c r="GE6" s="134" t="n"/>
      <c r="GF6" s="134" t="n"/>
      <c r="GG6" s="134" t="n"/>
      <c r="GH6" s="134" t="n"/>
      <c r="GI6" s="134" t="n"/>
      <c r="GJ6" s="134" t="n"/>
      <c r="GK6" s="134" t="n"/>
      <c r="GL6" s="134" t="n"/>
      <c r="GM6" s="134" t="n"/>
      <c r="GN6" s="134" t="n"/>
      <c r="GO6" s="134" t="n"/>
      <c r="GP6" s="134" t="n"/>
      <c r="GQ6" s="134" t="n"/>
      <c r="GR6" s="134" t="n"/>
      <c r="GS6" s="134" t="n"/>
      <c r="GT6" s="134" t="n"/>
      <c r="GU6" s="134" t="n"/>
      <c r="GV6" s="134" t="n"/>
      <c r="GW6" s="134" t="n"/>
      <c r="GX6" s="134" t="n"/>
      <c r="GY6" s="134" t="n"/>
      <c r="GZ6" s="134" t="n"/>
      <c r="HA6" s="134" t="n"/>
      <c r="HB6" s="134" t="n"/>
      <c r="HC6" s="134" t="n"/>
      <c r="HD6" s="134" t="n"/>
      <c r="HE6" s="134" t="n"/>
      <c r="HF6" s="134" t="n"/>
      <c r="HG6" s="134" t="n"/>
      <c r="HH6" s="134" t="n"/>
      <c r="HI6" s="134" t="n"/>
      <c r="HJ6" s="134" t="n"/>
      <c r="HK6" s="134" t="n"/>
      <c r="HL6" s="134" t="n"/>
      <c r="HM6" s="134" t="n"/>
      <c r="HN6" s="134" t="n"/>
      <c r="HO6" s="134" t="n"/>
      <c r="HP6" s="134" t="n"/>
      <c r="HQ6" s="134" t="n"/>
      <c r="HR6" s="134" t="n"/>
      <c r="HS6" s="134" t="n"/>
      <c r="HT6" s="134" t="n"/>
      <c r="HU6" s="134" t="n"/>
      <c r="HV6" s="134" t="n"/>
      <c r="HW6" s="134" t="n"/>
      <c r="HX6" s="134" t="n"/>
      <c r="HY6" s="134" t="n"/>
      <c r="HZ6" s="134" t="n"/>
      <c r="IA6" s="134" t="n"/>
      <c r="IB6" s="134" t="n"/>
      <c r="IC6" s="134" t="n"/>
      <c r="ID6" s="134" t="n"/>
      <c r="IE6" s="134" t="n"/>
      <c r="IF6" s="134" t="n"/>
      <c r="IG6" s="134" t="n"/>
      <c r="IH6" s="134" t="n"/>
      <c r="II6" s="134" t="n"/>
      <c r="IJ6" s="134" t="n"/>
      <c r="IK6" s="134" t="n"/>
      <c r="IL6" s="134" t="n"/>
      <c r="IM6" s="134" t="n"/>
      <c r="IN6" s="134" t="n"/>
      <c r="IO6" s="134" t="n"/>
      <c r="IP6" s="134" t="n"/>
      <c r="IQ6" s="134" t="n"/>
      <c r="IR6" s="134" t="n"/>
      <c r="IS6" s="134" t="n"/>
      <c r="IT6" s="134" t="n"/>
      <c r="IU6" s="134" t="n"/>
      <c r="IV6" s="134" t="n"/>
      <c r="IW6" s="134" t="n"/>
      <c r="IX6" s="134" t="n"/>
      <c r="IY6" s="134" t="n"/>
      <c r="IZ6" s="134" t="n"/>
      <c r="JA6" s="134" t="n"/>
      <c r="JB6" s="134" t="n"/>
      <c r="JC6" s="134" t="n"/>
      <c r="JD6" s="134" t="n"/>
      <c r="JE6" s="134" t="n"/>
      <c r="JF6" s="309" t="inlineStr">
        <is>
          <t>28 сч</t>
        </is>
      </c>
      <c r="JG6" s="263" t="n"/>
      <c r="JH6" s="309" t="inlineStr">
        <is>
          <t>28 сч</t>
        </is>
      </c>
      <c r="JI6" s="263" t="n"/>
      <c r="JJ6" s="312" t="n"/>
      <c r="JK6" s="306" t="n"/>
      <c r="JL6" s="267" t="inlineStr">
        <is>
          <t>25 счет</t>
        </is>
      </c>
      <c r="JM6" s="268" t="n"/>
      <c r="JN6" s="333" t="inlineStr">
        <is>
          <t>08 cч</t>
        </is>
      </c>
      <c r="JO6" s="334" t="n"/>
      <c r="JP6" s="334" t="n"/>
      <c r="JQ6" s="334" t="n"/>
      <c r="JR6" s="334" t="n"/>
      <c r="JS6" s="334" t="n"/>
      <c r="JT6" s="334" t="n"/>
      <c r="JU6" s="334" t="n"/>
      <c r="JV6" s="334" t="n"/>
      <c r="JW6" s="334" t="n"/>
      <c r="JX6" s="334" t="n"/>
      <c r="JY6" s="257" t="n"/>
      <c r="JZ6" s="319" t="n"/>
      <c r="KA6" s="263" t="n"/>
      <c r="KC6" s="306" t="n"/>
      <c r="KE6" s="2" t="n"/>
    </row>
    <row r="7" ht="18.75" customHeight="1" thickBot="1">
      <c r="A7" s="284" t="n"/>
      <c r="B7" s="284" t="n"/>
      <c r="C7" s="286" t="n"/>
      <c r="D7" s="325" t="n"/>
      <c r="E7" s="322" t="n"/>
      <c r="F7" s="325" t="n"/>
      <c r="G7" s="322" t="n"/>
      <c r="H7" s="149" t="inlineStr">
        <is>
          <t>часы</t>
        </is>
      </c>
      <c r="I7" s="150" t="inlineStr">
        <is>
          <t>доля</t>
        </is>
      </c>
      <c r="J7" s="149" t="inlineStr">
        <is>
          <t>часы</t>
        </is>
      </c>
      <c r="K7" s="150" t="inlineStr">
        <is>
          <t>доля</t>
        </is>
      </c>
      <c r="L7" s="149" t="inlineStr">
        <is>
          <t>часы</t>
        </is>
      </c>
      <c r="M7" s="151" t="inlineStr">
        <is>
          <t>доля</t>
        </is>
      </c>
      <c r="N7" s="152" t="inlineStr">
        <is>
          <t>часы</t>
        </is>
      </c>
      <c r="O7" s="151" t="inlineStr">
        <is>
          <t>доля</t>
        </is>
      </c>
      <c r="P7" s="153" t="inlineStr">
        <is>
          <t>часы</t>
        </is>
      </c>
      <c r="Q7" s="154" t="inlineStr">
        <is>
          <t>доля</t>
        </is>
      </c>
      <c r="R7" s="155" t="inlineStr">
        <is>
          <t>часы</t>
        </is>
      </c>
      <c r="S7" s="156" t="inlineStr">
        <is>
          <t>доля</t>
        </is>
      </c>
      <c r="T7" s="156" t="inlineStr">
        <is>
          <t>часы</t>
        </is>
      </c>
      <c r="U7" s="156" t="inlineStr">
        <is>
          <t>доля</t>
        </is>
      </c>
      <c r="V7" s="156" t="inlineStr">
        <is>
          <t>часы</t>
        </is>
      </c>
      <c r="W7" s="156" t="inlineStr">
        <is>
          <t>доля</t>
        </is>
      </c>
      <c r="X7" s="156" t="inlineStr">
        <is>
          <t>часы</t>
        </is>
      </c>
      <c r="Y7" s="156" t="inlineStr">
        <is>
          <t>доля</t>
        </is>
      </c>
      <c r="Z7" s="156" t="inlineStr">
        <is>
          <t>часы</t>
        </is>
      </c>
      <c r="AA7" s="157" t="inlineStr">
        <is>
          <t>доля</t>
        </is>
      </c>
      <c r="AB7" s="158" t="inlineStr">
        <is>
          <t>часы</t>
        </is>
      </c>
      <c r="AC7" s="154" t="inlineStr">
        <is>
          <t>доля</t>
        </is>
      </c>
      <c r="AD7" s="159" t="inlineStr">
        <is>
          <t>часы</t>
        </is>
      </c>
      <c r="AE7" s="160" t="inlineStr">
        <is>
          <t>доля</t>
        </is>
      </c>
      <c r="AF7" s="161" t="inlineStr">
        <is>
          <t>часы</t>
        </is>
      </c>
      <c r="AG7" s="162" t="inlineStr">
        <is>
          <t>доля</t>
        </is>
      </c>
      <c r="AH7" s="161" t="inlineStr">
        <is>
          <t>часы</t>
        </is>
      </c>
      <c r="AI7" s="162" t="inlineStr">
        <is>
          <t>доля</t>
        </is>
      </c>
      <c r="AJ7" s="161" t="inlineStr">
        <is>
          <t>часы</t>
        </is>
      </c>
      <c r="AK7" s="162" t="inlineStr">
        <is>
          <t>доля</t>
        </is>
      </c>
      <c r="AL7" s="161" t="inlineStr">
        <is>
          <t>часы</t>
        </is>
      </c>
      <c r="AM7" s="162" t="inlineStr">
        <is>
          <t>доля</t>
        </is>
      </c>
      <c r="AN7" s="161" t="inlineStr">
        <is>
          <t>часы</t>
        </is>
      </c>
      <c r="AO7" s="162" t="inlineStr">
        <is>
          <t>доля</t>
        </is>
      </c>
      <c r="AP7" s="161" t="inlineStr">
        <is>
          <t>часы</t>
        </is>
      </c>
      <c r="AQ7" s="162" t="inlineStr">
        <is>
          <t>доля</t>
        </is>
      </c>
      <c r="AR7" s="161" t="inlineStr">
        <is>
          <t>часы</t>
        </is>
      </c>
      <c r="AS7" s="162" t="inlineStr">
        <is>
          <t>доля</t>
        </is>
      </c>
      <c r="AT7" s="161" t="inlineStr">
        <is>
          <t>часы</t>
        </is>
      </c>
      <c r="AU7" s="162" t="inlineStr">
        <is>
          <t>доля</t>
        </is>
      </c>
      <c r="AV7" s="161" t="inlineStr">
        <is>
          <t>часы</t>
        </is>
      </c>
      <c r="AW7" s="162" t="inlineStr">
        <is>
          <t>доля</t>
        </is>
      </c>
      <c r="AX7" s="161" t="inlineStr">
        <is>
          <t>часы</t>
        </is>
      </c>
      <c r="AY7" s="162" t="inlineStr">
        <is>
          <t>доля</t>
        </is>
      </c>
      <c r="AZ7" s="161" t="inlineStr">
        <is>
          <t>часы</t>
        </is>
      </c>
      <c r="BA7" s="162" t="inlineStr">
        <is>
          <t>доля</t>
        </is>
      </c>
      <c r="BB7" s="161" t="inlineStr">
        <is>
          <t>часы</t>
        </is>
      </c>
      <c r="BC7" s="162" t="inlineStr">
        <is>
          <t>доля</t>
        </is>
      </c>
      <c r="BD7" s="161" t="inlineStr">
        <is>
          <t>часы</t>
        </is>
      </c>
      <c r="BE7" s="162" t="inlineStr">
        <is>
          <t>доля</t>
        </is>
      </c>
      <c r="BF7" s="161" t="inlineStr">
        <is>
          <t>часы</t>
        </is>
      </c>
      <c r="BG7" s="162" t="inlineStr">
        <is>
          <t>доля</t>
        </is>
      </c>
      <c r="BH7" s="161" t="inlineStr">
        <is>
          <t>часы</t>
        </is>
      </c>
      <c r="BI7" s="162" t="inlineStr">
        <is>
          <t>доля</t>
        </is>
      </c>
      <c r="BJ7" s="161" t="inlineStr">
        <is>
          <t>часы</t>
        </is>
      </c>
      <c r="BK7" s="162" t="inlineStr">
        <is>
          <t>доля</t>
        </is>
      </c>
      <c r="BL7" s="161" t="inlineStr">
        <is>
          <t>часы</t>
        </is>
      </c>
      <c r="BM7" s="163" t="inlineStr">
        <is>
          <t>доля</t>
        </is>
      </c>
      <c r="BN7" s="161" t="inlineStr">
        <is>
          <t>часы</t>
        </is>
      </c>
      <c r="BO7" s="163" t="inlineStr">
        <is>
          <t>доля</t>
        </is>
      </c>
      <c r="BP7" s="161" t="inlineStr">
        <is>
          <t>часы</t>
        </is>
      </c>
      <c r="BQ7" s="163" t="inlineStr">
        <is>
          <t>доля</t>
        </is>
      </c>
      <c r="BR7" s="161" t="inlineStr">
        <is>
          <t>часы</t>
        </is>
      </c>
      <c r="BS7" s="163" t="inlineStr">
        <is>
          <t>доля</t>
        </is>
      </c>
      <c r="BT7" s="161" t="inlineStr">
        <is>
          <t>часы</t>
        </is>
      </c>
      <c r="BU7" s="163" t="inlineStr">
        <is>
          <t>доля</t>
        </is>
      </c>
      <c r="BV7" s="161" t="inlineStr">
        <is>
          <t>часы</t>
        </is>
      </c>
      <c r="BW7" s="163" t="inlineStr">
        <is>
          <t>доля</t>
        </is>
      </c>
      <c r="BX7" s="161" t="inlineStr">
        <is>
          <t>часы</t>
        </is>
      </c>
      <c r="BY7" s="163" t="inlineStr">
        <is>
          <t>доля</t>
        </is>
      </c>
      <c r="BZ7" s="161" t="inlineStr">
        <is>
          <t>часы</t>
        </is>
      </c>
      <c r="CA7" s="163" t="inlineStr">
        <is>
          <t>доля</t>
        </is>
      </c>
      <c r="CB7" s="161" t="inlineStr">
        <is>
          <t>часы</t>
        </is>
      </c>
      <c r="CC7" s="162" t="inlineStr">
        <is>
          <t>доля</t>
        </is>
      </c>
      <c r="CD7" s="161" t="inlineStr">
        <is>
          <t>часы</t>
        </is>
      </c>
      <c r="CE7" s="162" t="inlineStr">
        <is>
          <t>доля</t>
        </is>
      </c>
      <c r="CF7" s="161" t="inlineStr">
        <is>
          <t>часы</t>
        </is>
      </c>
      <c r="CG7" s="163" t="inlineStr">
        <is>
          <t>доля</t>
        </is>
      </c>
      <c r="CH7" s="161" t="inlineStr">
        <is>
          <t>часы</t>
        </is>
      </c>
      <c r="CI7" s="163" t="inlineStr">
        <is>
          <t>доля</t>
        </is>
      </c>
      <c r="CJ7" s="161" t="inlineStr">
        <is>
          <t>часы</t>
        </is>
      </c>
      <c r="CK7" s="163" t="inlineStr">
        <is>
          <t>доля</t>
        </is>
      </c>
      <c r="CL7" s="161" t="inlineStr">
        <is>
          <t>часы</t>
        </is>
      </c>
      <c r="CM7" s="163" t="inlineStr">
        <is>
          <t>доля</t>
        </is>
      </c>
      <c r="CN7" s="153" t="inlineStr">
        <is>
          <t>часы</t>
        </is>
      </c>
      <c r="CO7" s="164" t="inlineStr">
        <is>
          <t>доля</t>
        </is>
      </c>
      <c r="CP7" s="165" t="inlineStr">
        <is>
          <t>часы</t>
        </is>
      </c>
      <c r="CQ7" s="166" t="inlineStr">
        <is>
          <t>доля</t>
        </is>
      </c>
      <c r="CR7" s="161" t="inlineStr">
        <is>
          <t>часы</t>
        </is>
      </c>
      <c r="CS7" s="163" t="inlineStr">
        <is>
          <t>доля</t>
        </is>
      </c>
      <c r="CT7" s="161" t="inlineStr">
        <is>
          <t>часы</t>
        </is>
      </c>
      <c r="CU7" s="163" t="inlineStr">
        <is>
          <t>доля</t>
        </is>
      </c>
      <c r="CV7" s="165" t="inlineStr">
        <is>
          <t>часы</t>
        </is>
      </c>
      <c r="CW7" s="166" t="inlineStr">
        <is>
          <t>доля</t>
        </is>
      </c>
      <c r="CX7" s="161" t="inlineStr">
        <is>
          <t>часы</t>
        </is>
      </c>
      <c r="CY7" s="163" t="inlineStr">
        <is>
          <t>доля</t>
        </is>
      </c>
      <c r="CZ7" s="161" t="inlineStr">
        <is>
          <t>часы</t>
        </is>
      </c>
      <c r="DA7" s="163" t="inlineStr">
        <is>
          <t>доля</t>
        </is>
      </c>
      <c r="DB7" s="165" t="inlineStr">
        <is>
          <t>часы</t>
        </is>
      </c>
      <c r="DC7" s="163" t="inlineStr">
        <is>
          <t>доля</t>
        </is>
      </c>
      <c r="DD7" s="161" t="inlineStr">
        <is>
          <t>часы</t>
        </is>
      </c>
      <c r="DE7" s="163" t="inlineStr">
        <is>
          <t>доля</t>
        </is>
      </c>
      <c r="DF7" s="161" t="inlineStr">
        <is>
          <t>часы</t>
        </is>
      </c>
      <c r="DG7" s="162" t="inlineStr">
        <is>
          <t>доля</t>
        </is>
      </c>
      <c r="DH7" s="161" t="inlineStr">
        <is>
          <t>часы</t>
        </is>
      </c>
      <c r="DI7" s="163" t="inlineStr">
        <is>
          <t>доля</t>
        </is>
      </c>
      <c r="DJ7" s="161" t="inlineStr">
        <is>
          <t>часы</t>
        </is>
      </c>
      <c r="DK7" s="163" t="inlineStr">
        <is>
          <t>доля</t>
        </is>
      </c>
      <c r="DL7" s="161" t="inlineStr">
        <is>
          <t>часы</t>
        </is>
      </c>
      <c r="DM7" s="162" t="inlineStr">
        <is>
          <t>доля</t>
        </is>
      </c>
      <c r="DN7" s="161" t="inlineStr">
        <is>
          <t>часы</t>
        </is>
      </c>
      <c r="DO7" s="166" t="inlineStr">
        <is>
          <t>доля</t>
        </is>
      </c>
      <c r="DP7" s="161" t="inlineStr">
        <is>
          <t>часы</t>
        </is>
      </c>
      <c r="DQ7" s="163" t="inlineStr">
        <is>
          <t>доля</t>
        </is>
      </c>
      <c r="DR7" s="161" t="inlineStr">
        <is>
          <t>доля</t>
        </is>
      </c>
      <c r="DS7" s="163" t="inlineStr">
        <is>
          <t>доля</t>
        </is>
      </c>
      <c r="DT7" s="161" t="inlineStr">
        <is>
          <t>часы</t>
        </is>
      </c>
      <c r="DU7" s="162" t="inlineStr">
        <is>
          <t>доля</t>
        </is>
      </c>
      <c r="DV7" s="161" t="inlineStr">
        <is>
          <t>часы</t>
        </is>
      </c>
      <c r="DW7" s="163" t="inlineStr">
        <is>
          <t>доля</t>
        </is>
      </c>
      <c r="DX7" s="153" t="inlineStr">
        <is>
          <t>часы</t>
        </is>
      </c>
      <c r="DY7" s="167" t="inlineStr">
        <is>
          <t>доля</t>
        </is>
      </c>
      <c r="DZ7" s="153" t="inlineStr">
        <is>
          <t>часы</t>
        </is>
      </c>
      <c r="EA7" s="167" t="inlineStr">
        <is>
          <t>доля</t>
        </is>
      </c>
      <c r="EB7" s="153" t="inlineStr">
        <is>
          <t>часы</t>
        </is>
      </c>
      <c r="EC7" s="167" t="inlineStr">
        <is>
          <t>доля</t>
        </is>
      </c>
      <c r="ED7" s="153" t="inlineStr">
        <is>
          <t>часы</t>
        </is>
      </c>
      <c r="EE7" s="167" t="inlineStr">
        <is>
          <t>доля</t>
        </is>
      </c>
      <c r="EF7" s="159" t="inlineStr">
        <is>
          <t>часы</t>
        </is>
      </c>
      <c r="EG7" s="168" t="inlineStr">
        <is>
          <t>доля</t>
        </is>
      </c>
      <c r="EH7" s="153" t="inlineStr">
        <is>
          <t>часы</t>
        </is>
      </c>
      <c r="EI7" s="167" t="inlineStr">
        <is>
          <t>доля</t>
        </is>
      </c>
      <c r="EJ7" s="153" t="inlineStr">
        <is>
          <t>часы</t>
        </is>
      </c>
      <c r="EK7" s="167" t="inlineStr">
        <is>
          <t>доля</t>
        </is>
      </c>
      <c r="EL7" s="153" t="inlineStr">
        <is>
          <t>часы</t>
        </is>
      </c>
      <c r="EM7" s="167" t="inlineStr">
        <is>
          <t>доля</t>
        </is>
      </c>
      <c r="EN7" s="153" t="inlineStr">
        <is>
          <t>часы</t>
        </is>
      </c>
      <c r="EO7" s="167" t="inlineStr">
        <is>
          <t>доля</t>
        </is>
      </c>
      <c r="EP7" s="153" t="inlineStr">
        <is>
          <t>часы</t>
        </is>
      </c>
      <c r="EQ7" s="167" t="inlineStr">
        <is>
          <t>доля</t>
        </is>
      </c>
      <c r="ER7" s="153" t="inlineStr">
        <is>
          <t>часы</t>
        </is>
      </c>
      <c r="ES7" s="167" t="inlineStr">
        <is>
          <t>доля</t>
        </is>
      </c>
      <c r="ET7" s="153" t="inlineStr">
        <is>
          <t>часы</t>
        </is>
      </c>
      <c r="EU7" s="167" t="inlineStr">
        <is>
          <t>доля</t>
        </is>
      </c>
      <c r="EV7" s="153" t="inlineStr">
        <is>
          <t>часы</t>
        </is>
      </c>
      <c r="EW7" s="167" t="inlineStr">
        <is>
          <t>доля</t>
        </is>
      </c>
      <c r="EX7" s="159" t="inlineStr">
        <is>
          <t>часы</t>
        </is>
      </c>
      <c r="EY7" s="169" t="inlineStr">
        <is>
          <t>доля</t>
        </is>
      </c>
      <c r="EZ7" s="153" t="inlineStr">
        <is>
          <t>часы</t>
        </is>
      </c>
      <c r="FA7" s="170" t="inlineStr">
        <is>
          <t>доля</t>
        </is>
      </c>
      <c r="FB7" s="153" t="inlineStr">
        <is>
          <t>часы</t>
        </is>
      </c>
      <c r="FC7" s="170" t="inlineStr">
        <is>
          <t>доля</t>
        </is>
      </c>
      <c r="FD7" s="153" t="inlineStr">
        <is>
          <t>часы</t>
        </is>
      </c>
      <c r="FE7" s="170" t="inlineStr">
        <is>
          <t>доля</t>
        </is>
      </c>
      <c r="FF7" s="153" t="inlineStr">
        <is>
          <t>часы</t>
        </is>
      </c>
      <c r="FG7" s="170" t="inlineStr">
        <is>
          <t>доля</t>
        </is>
      </c>
      <c r="FH7" s="153" t="inlineStr">
        <is>
          <t>часы</t>
        </is>
      </c>
      <c r="FI7" s="170" t="inlineStr">
        <is>
          <t>доля</t>
        </is>
      </c>
      <c r="FJ7" s="159" t="inlineStr">
        <is>
          <t>часы</t>
        </is>
      </c>
      <c r="FK7" s="171" t="inlineStr">
        <is>
          <t>доля</t>
        </is>
      </c>
      <c r="FL7" s="172" t="inlineStr">
        <is>
          <t>часы</t>
        </is>
      </c>
      <c r="FM7" s="170" t="inlineStr">
        <is>
          <t>доля</t>
        </is>
      </c>
      <c r="FN7" s="153" t="inlineStr">
        <is>
          <t>часы</t>
        </is>
      </c>
      <c r="FO7" s="167" t="inlineStr">
        <is>
          <t>доля</t>
        </is>
      </c>
      <c r="FP7" s="153" t="inlineStr">
        <is>
          <t>часы</t>
        </is>
      </c>
      <c r="FQ7" s="167" t="inlineStr">
        <is>
          <t>доля</t>
        </is>
      </c>
      <c r="FR7" s="153" t="inlineStr">
        <is>
          <t>часы</t>
        </is>
      </c>
      <c r="FS7" s="167" t="inlineStr">
        <is>
          <t>доля</t>
        </is>
      </c>
      <c r="FT7" s="153" t="inlineStr">
        <is>
          <t>часы</t>
        </is>
      </c>
      <c r="FU7" s="167" t="inlineStr">
        <is>
          <t>доля</t>
        </is>
      </c>
      <c r="FV7" s="153" t="inlineStr">
        <is>
          <t>часы</t>
        </is>
      </c>
      <c r="FW7" s="167" t="inlineStr">
        <is>
          <t>доля</t>
        </is>
      </c>
      <c r="FX7" s="153" t="inlineStr">
        <is>
          <t>часы</t>
        </is>
      </c>
      <c r="FY7" s="168" t="inlineStr">
        <is>
          <t>доля</t>
        </is>
      </c>
      <c r="FZ7" s="153" t="inlineStr">
        <is>
          <t>часы</t>
        </is>
      </c>
      <c r="GA7" s="168" t="inlineStr">
        <is>
          <t>доля</t>
        </is>
      </c>
      <c r="GB7" s="153" t="inlineStr">
        <is>
          <t>часы</t>
        </is>
      </c>
      <c r="GC7" s="168" t="inlineStr">
        <is>
          <t>доля</t>
        </is>
      </c>
      <c r="GD7" s="153" t="inlineStr">
        <is>
          <t>часы</t>
        </is>
      </c>
      <c r="GE7" s="168" t="inlineStr">
        <is>
          <t>доля</t>
        </is>
      </c>
      <c r="GF7" s="153" t="inlineStr">
        <is>
          <t>часы</t>
        </is>
      </c>
      <c r="GG7" s="167" t="inlineStr">
        <is>
          <t>доля</t>
        </is>
      </c>
      <c r="GH7" s="153" t="inlineStr">
        <is>
          <t>часы</t>
        </is>
      </c>
      <c r="GI7" s="170" t="inlineStr">
        <is>
          <t>доля</t>
        </is>
      </c>
      <c r="GJ7" s="153" t="inlineStr">
        <is>
          <t>часы</t>
        </is>
      </c>
      <c r="GK7" s="167" t="inlineStr">
        <is>
          <t>доля</t>
        </is>
      </c>
      <c r="GL7" s="153" t="inlineStr">
        <is>
          <t>часы</t>
        </is>
      </c>
      <c r="GM7" s="167" t="inlineStr">
        <is>
          <t>доля</t>
        </is>
      </c>
      <c r="GN7" s="153" t="inlineStr">
        <is>
          <t>часы</t>
        </is>
      </c>
      <c r="GO7" s="167" t="inlineStr">
        <is>
          <t>доля</t>
        </is>
      </c>
      <c r="GP7" s="153" t="inlineStr">
        <is>
          <t>часы</t>
        </is>
      </c>
      <c r="GQ7" s="167" t="inlineStr">
        <is>
          <t>доля</t>
        </is>
      </c>
      <c r="GR7" s="153" t="inlineStr">
        <is>
          <t>часы</t>
        </is>
      </c>
      <c r="GS7" s="167" t="inlineStr">
        <is>
          <t>доля</t>
        </is>
      </c>
      <c r="GT7" s="153" t="inlineStr">
        <is>
          <t>часы</t>
        </is>
      </c>
      <c r="GU7" s="167" t="inlineStr">
        <is>
          <t>доля</t>
        </is>
      </c>
      <c r="GV7" s="153" t="inlineStr">
        <is>
          <t>часы</t>
        </is>
      </c>
      <c r="GW7" s="167" t="inlineStr">
        <is>
          <t>доля</t>
        </is>
      </c>
      <c r="GX7" s="153" t="inlineStr">
        <is>
          <t>часы</t>
        </is>
      </c>
      <c r="GY7" s="167" t="inlineStr">
        <is>
          <t>доля</t>
        </is>
      </c>
      <c r="GZ7" s="153" t="inlineStr">
        <is>
          <t>часы</t>
        </is>
      </c>
      <c r="HA7" s="167" t="inlineStr">
        <is>
          <t>доля</t>
        </is>
      </c>
      <c r="HB7" s="153" t="inlineStr">
        <is>
          <t>часы</t>
        </is>
      </c>
      <c r="HC7" s="167" t="inlineStr">
        <is>
          <t>доля</t>
        </is>
      </c>
      <c r="HD7" s="153" t="inlineStr">
        <is>
          <t>часы</t>
        </is>
      </c>
      <c r="HE7" s="167" t="inlineStr">
        <is>
          <t>доля</t>
        </is>
      </c>
      <c r="HF7" s="153" t="inlineStr">
        <is>
          <t>часы</t>
        </is>
      </c>
      <c r="HG7" s="167" t="inlineStr">
        <is>
          <t>доля</t>
        </is>
      </c>
      <c r="HH7" s="153" t="inlineStr">
        <is>
          <t>часы</t>
        </is>
      </c>
      <c r="HI7" s="167" t="inlineStr">
        <is>
          <t>доля</t>
        </is>
      </c>
      <c r="HJ7" s="153" t="inlineStr">
        <is>
          <t>часы</t>
        </is>
      </c>
      <c r="HK7" s="167" t="inlineStr">
        <is>
          <t>доля</t>
        </is>
      </c>
      <c r="HL7" s="153" t="inlineStr">
        <is>
          <t>часы</t>
        </is>
      </c>
      <c r="HM7" s="167" t="inlineStr">
        <is>
          <t>доля</t>
        </is>
      </c>
      <c r="HN7" s="153" t="inlineStr">
        <is>
          <t>часы</t>
        </is>
      </c>
      <c r="HO7" s="167" t="inlineStr">
        <is>
          <t>доля</t>
        </is>
      </c>
      <c r="HP7" s="153" t="inlineStr">
        <is>
          <t>часы</t>
        </is>
      </c>
      <c r="HQ7" s="167" t="inlineStr">
        <is>
          <t>доля</t>
        </is>
      </c>
      <c r="HR7" s="153" t="inlineStr">
        <is>
          <t>часы</t>
        </is>
      </c>
      <c r="HS7" s="167" t="inlineStr">
        <is>
          <t>доля</t>
        </is>
      </c>
      <c r="HT7" s="153" t="inlineStr">
        <is>
          <t>часы</t>
        </is>
      </c>
      <c r="HU7" s="168" t="inlineStr">
        <is>
          <t>доля</t>
        </is>
      </c>
      <c r="HV7" s="153" t="inlineStr">
        <is>
          <t>часы</t>
        </is>
      </c>
      <c r="HW7" s="167" t="inlineStr">
        <is>
          <t>доля</t>
        </is>
      </c>
      <c r="HX7" s="153" t="inlineStr">
        <is>
          <t>часы</t>
        </is>
      </c>
      <c r="HY7" s="168" t="inlineStr">
        <is>
          <t>доля</t>
        </is>
      </c>
      <c r="HZ7" s="153" t="inlineStr">
        <is>
          <t>часы</t>
        </is>
      </c>
      <c r="IA7" s="168" t="inlineStr">
        <is>
          <t>доля</t>
        </is>
      </c>
      <c r="IB7" s="153" t="inlineStr">
        <is>
          <t>часы</t>
        </is>
      </c>
      <c r="IC7" s="167" t="inlineStr">
        <is>
          <t>доля</t>
        </is>
      </c>
      <c r="ID7" s="159" t="inlineStr">
        <is>
          <t>часы</t>
        </is>
      </c>
      <c r="IE7" s="167" t="inlineStr">
        <is>
          <t>доля</t>
        </is>
      </c>
      <c r="IF7" s="153" t="inlineStr">
        <is>
          <t>часы</t>
        </is>
      </c>
      <c r="IG7" s="167" t="inlineStr">
        <is>
          <t>доля</t>
        </is>
      </c>
      <c r="IH7" s="153" t="inlineStr">
        <is>
          <t>часы</t>
        </is>
      </c>
      <c r="II7" s="167" t="inlineStr">
        <is>
          <t>доля</t>
        </is>
      </c>
      <c r="IJ7" s="153" t="inlineStr">
        <is>
          <t>часы</t>
        </is>
      </c>
      <c r="IK7" s="167" t="inlineStr">
        <is>
          <t>доля</t>
        </is>
      </c>
      <c r="IL7" s="153" t="inlineStr">
        <is>
          <t>часы</t>
        </is>
      </c>
      <c r="IM7" s="167" t="inlineStr">
        <is>
          <t>доля</t>
        </is>
      </c>
      <c r="IN7" s="153" t="inlineStr">
        <is>
          <t>часы</t>
        </is>
      </c>
      <c r="IO7" s="167" t="inlineStr">
        <is>
          <t>доля</t>
        </is>
      </c>
      <c r="IP7" s="153" t="inlineStr">
        <is>
          <t>часы</t>
        </is>
      </c>
      <c r="IQ7" s="167" t="inlineStr">
        <is>
          <t>доля</t>
        </is>
      </c>
      <c r="IR7" s="153" t="inlineStr">
        <is>
          <t>часы</t>
        </is>
      </c>
      <c r="IS7" s="167" t="inlineStr">
        <is>
          <t>доля</t>
        </is>
      </c>
      <c r="IT7" s="153" t="inlineStr">
        <is>
          <t>часы</t>
        </is>
      </c>
      <c r="IU7" s="167" t="inlineStr">
        <is>
          <t>доля</t>
        </is>
      </c>
      <c r="IV7" s="153" t="inlineStr">
        <is>
          <t>часы</t>
        </is>
      </c>
      <c r="IW7" s="167" t="inlineStr">
        <is>
          <t>доля</t>
        </is>
      </c>
      <c r="IX7" s="153" t="inlineStr">
        <is>
          <t>часы</t>
        </is>
      </c>
      <c r="IY7" s="167" t="inlineStr">
        <is>
          <t>доля</t>
        </is>
      </c>
      <c r="IZ7" s="153" t="inlineStr">
        <is>
          <t>часы</t>
        </is>
      </c>
      <c r="JA7" s="167" t="inlineStr">
        <is>
          <t>доля</t>
        </is>
      </c>
      <c r="JB7" s="153" t="inlineStr">
        <is>
          <t>часы</t>
        </is>
      </c>
      <c r="JC7" s="167" t="inlineStr">
        <is>
          <t>доля</t>
        </is>
      </c>
      <c r="JD7" s="153" t="inlineStr">
        <is>
          <t>часы</t>
        </is>
      </c>
      <c r="JE7" s="167" t="inlineStr">
        <is>
          <t>доля</t>
        </is>
      </c>
      <c r="JF7" s="72" t="inlineStr">
        <is>
          <t>часы</t>
        </is>
      </c>
      <c r="JG7" s="146" t="inlineStr">
        <is>
          <t>доля</t>
        </is>
      </c>
      <c r="JH7" s="70" t="inlineStr">
        <is>
          <t>часы</t>
        </is>
      </c>
      <c r="JI7" s="147" t="inlineStr">
        <is>
          <t>доля</t>
        </is>
      </c>
      <c r="JJ7" s="72" t="inlineStr">
        <is>
          <t>часы</t>
        </is>
      </c>
      <c r="JK7" s="73" t="inlineStr">
        <is>
          <t>доля</t>
        </is>
      </c>
      <c r="JL7" s="72" t="inlineStr">
        <is>
          <t>часы</t>
        </is>
      </c>
      <c r="JM7" s="73" t="inlineStr">
        <is>
          <t>доля</t>
        </is>
      </c>
      <c r="JN7" s="72" t="inlineStr">
        <is>
          <t>часы</t>
        </is>
      </c>
      <c r="JO7" s="71" t="inlineStr">
        <is>
          <t>доля</t>
        </is>
      </c>
      <c r="JP7" s="71" t="inlineStr">
        <is>
          <t>часы</t>
        </is>
      </c>
      <c r="JQ7" s="71" t="inlineStr">
        <is>
          <t>доля</t>
        </is>
      </c>
      <c r="JR7" s="71" t="inlineStr">
        <is>
          <t>часы</t>
        </is>
      </c>
      <c r="JS7" s="71" t="inlineStr">
        <is>
          <t>доля</t>
        </is>
      </c>
      <c r="JT7" s="71" t="inlineStr">
        <is>
          <t>часы</t>
        </is>
      </c>
      <c r="JU7" s="71" t="inlineStr">
        <is>
          <t>доля</t>
        </is>
      </c>
      <c r="JV7" s="71" t="inlineStr">
        <is>
          <t>часы</t>
        </is>
      </c>
      <c r="JW7" s="71" t="inlineStr">
        <is>
          <t>доля</t>
        </is>
      </c>
      <c r="JX7" s="71" t="inlineStr">
        <is>
          <t>часы</t>
        </is>
      </c>
      <c r="JY7" s="73" t="inlineStr">
        <is>
          <t>доля</t>
        </is>
      </c>
      <c r="JZ7" s="72" t="inlineStr">
        <is>
          <t>часы</t>
        </is>
      </c>
      <c r="KA7" s="73" t="inlineStr">
        <is>
          <t>доля</t>
        </is>
      </c>
      <c r="KB7" s="74" t="inlineStr">
        <is>
          <t>часы</t>
        </is>
      </c>
      <c r="KC7" s="75" t="inlineStr">
        <is>
          <t>доля</t>
        </is>
      </c>
      <c r="KE7" s="279" t="inlineStr">
        <is>
          <t>проверка</t>
        </is>
      </c>
    </row>
    <row r="8" ht="16.5" customHeight="1" thickBot="1">
      <c r="A8" s="283" t="n"/>
      <c r="B8" s="299" t="n"/>
      <c r="C8" s="285" t="n"/>
      <c r="D8" s="127" t="n"/>
      <c r="E8" s="128" t="n"/>
      <c r="F8" s="80" t="n"/>
      <c r="G8" s="79" t="n"/>
      <c r="H8" s="56" t="n"/>
      <c r="I8" s="61" t="n"/>
      <c r="J8" s="56" t="n"/>
      <c r="K8" s="61" t="n"/>
      <c r="L8" s="56" t="n"/>
      <c r="M8" s="81" t="n"/>
      <c r="N8" s="8" t="n"/>
      <c r="O8" s="82" t="n"/>
      <c r="P8" s="8" t="n"/>
      <c r="Q8" s="85" t="n"/>
      <c r="R8" s="84" t="n"/>
      <c r="S8" s="83" t="n"/>
      <c r="T8" s="83" t="n"/>
      <c r="U8" s="83" t="n"/>
      <c r="V8" s="84" t="n"/>
      <c r="W8" s="83" t="n"/>
      <c r="X8" s="83" t="n"/>
      <c r="Y8" s="83" t="n"/>
      <c r="Z8" s="83" t="n"/>
      <c r="AA8" s="85" t="n"/>
      <c r="AB8" s="84" t="n"/>
      <c r="AC8" s="85" t="n"/>
      <c r="AD8" s="56" t="n"/>
      <c r="AE8" s="82" t="n"/>
      <c r="AF8" s="38" t="n"/>
      <c r="AG8" s="84" t="n"/>
      <c r="AH8" s="38" t="n"/>
      <c r="AI8" s="84" t="n"/>
      <c r="AJ8" s="38" t="n"/>
      <c r="AK8" s="84" t="n"/>
      <c r="AL8" s="38" t="n"/>
      <c r="AM8" s="84" t="n"/>
      <c r="AN8" s="38" t="n"/>
      <c r="AO8" s="84" t="n"/>
      <c r="AP8" s="38" t="n"/>
      <c r="AQ8" s="84" t="n"/>
      <c r="AR8" s="38" t="n"/>
      <c r="AS8" s="84" t="n"/>
      <c r="AT8" s="38" t="n"/>
      <c r="AU8" s="84" t="n"/>
      <c r="AV8" s="38" t="n"/>
      <c r="AW8" s="84" t="n"/>
      <c r="AX8" s="38" t="n"/>
      <c r="AY8" s="84" t="n"/>
      <c r="AZ8" s="38" t="n"/>
      <c r="BA8" s="84" t="n"/>
      <c r="BB8" s="38" t="n"/>
      <c r="BC8" s="84" t="n"/>
      <c r="BD8" s="38" t="n"/>
      <c r="BE8" s="84" t="n"/>
      <c r="BF8" s="38" t="n"/>
      <c r="BG8" s="84" t="n"/>
      <c r="BH8" s="38" t="n"/>
      <c r="BI8" s="84" t="n"/>
      <c r="BJ8" s="38" t="n"/>
      <c r="BK8" s="84" t="n"/>
      <c r="BL8" s="38" t="n"/>
      <c r="BM8" s="86" t="n"/>
      <c r="BN8" s="38" t="n"/>
      <c r="BO8" s="86" t="n"/>
      <c r="BP8" s="38" t="n"/>
      <c r="BQ8" s="86" t="n"/>
      <c r="BR8" s="38" t="n"/>
      <c r="BS8" s="86" t="n"/>
      <c r="BT8" s="38" t="n"/>
      <c r="BU8" s="58" t="n"/>
      <c r="BV8" s="38" t="n"/>
      <c r="BW8" s="86" t="n"/>
      <c r="BX8" s="38" t="n"/>
      <c r="BY8" s="86" t="n"/>
      <c r="BZ8" s="38" t="n"/>
      <c r="CA8" s="86" t="n"/>
      <c r="CB8" s="38" t="n"/>
      <c r="CC8" s="84" t="n"/>
      <c r="CD8" s="38" t="n"/>
      <c r="CE8" s="84" t="n"/>
      <c r="CF8" s="38" t="n"/>
      <c r="CG8" s="86" t="n"/>
      <c r="CH8" s="38" t="n"/>
      <c r="CI8" s="86" t="n"/>
      <c r="CJ8" s="136" t="n"/>
      <c r="CK8" s="86" t="n"/>
      <c r="CL8" s="136" t="n"/>
      <c r="CM8" s="86" t="n"/>
      <c r="CN8" s="8" t="n"/>
      <c r="CO8" s="86" t="n"/>
      <c r="CP8" s="60" t="n"/>
      <c r="CQ8" s="81" t="n"/>
      <c r="CR8" s="136" t="n"/>
      <c r="CS8" s="86" t="n"/>
      <c r="CT8" s="136" t="n"/>
      <c r="CU8" s="86" t="n"/>
      <c r="CV8" s="60" t="n"/>
      <c r="CW8" s="81" t="n"/>
      <c r="CX8" s="136" t="n"/>
      <c r="CY8" s="86" t="n"/>
      <c r="CZ8" s="38" t="n"/>
      <c r="DA8" s="86" t="n"/>
      <c r="DB8" s="59" t="n"/>
      <c r="DC8" s="81" t="n"/>
      <c r="DD8" s="38" t="n"/>
      <c r="DE8" s="86" t="n"/>
      <c r="DF8" s="38" t="n"/>
      <c r="DG8" s="84" t="n"/>
      <c r="DH8" s="38" t="n"/>
      <c r="DI8" s="86" t="n"/>
      <c r="DJ8" s="38" t="n"/>
      <c r="DK8" s="86" t="n"/>
      <c r="DL8" s="38" t="n"/>
      <c r="DM8" s="84" t="n"/>
      <c r="DN8" s="38" t="n"/>
      <c r="DO8" s="81" t="n"/>
      <c r="DP8" s="38" t="n"/>
      <c r="DQ8" s="58" t="n"/>
      <c r="DR8" s="136" t="n"/>
      <c r="DS8" s="86" t="n"/>
      <c r="DT8" s="38" t="n"/>
      <c r="DU8" s="57" t="n"/>
      <c r="DV8" s="38" t="n"/>
      <c r="DW8" s="58" t="n"/>
      <c r="DX8" s="136" t="n"/>
      <c r="DY8" s="60" t="n"/>
      <c r="DZ8" s="136" t="n"/>
      <c r="EA8" s="137" t="n"/>
      <c r="EB8" s="136" t="n"/>
      <c r="EC8" s="137" t="n"/>
      <c r="ED8" s="8" t="n"/>
      <c r="EE8" s="10" t="n"/>
      <c r="EF8" s="56" t="n"/>
      <c r="EG8" s="9" t="n"/>
      <c r="EH8" s="8" t="n"/>
      <c r="EI8" s="10" t="n"/>
      <c r="EJ8" s="8" t="n"/>
      <c r="EK8" s="10" t="n"/>
      <c r="EL8" s="8" t="n"/>
      <c r="EM8" s="10" t="n"/>
      <c r="EN8" s="136" t="n"/>
      <c r="EO8" s="137" t="n"/>
      <c r="EP8" s="136" t="n"/>
      <c r="EQ8" s="137" t="n"/>
      <c r="ER8" s="136" t="n"/>
      <c r="ES8" s="137" t="n"/>
      <c r="ET8" s="136" t="n"/>
      <c r="EU8" s="137" t="n"/>
      <c r="EV8" s="136" t="n"/>
      <c r="EW8" s="137" t="n"/>
      <c r="EX8" s="56" t="n"/>
      <c r="EY8" s="60" t="n"/>
      <c r="EZ8" s="8" t="n"/>
      <c r="FA8" s="137" t="n"/>
      <c r="FB8" s="8" t="n"/>
      <c r="FC8" s="137" t="n"/>
      <c r="FD8" s="8" t="n"/>
      <c r="FE8" s="137" t="n"/>
      <c r="FF8" s="8" t="n"/>
      <c r="FG8" s="137" t="n"/>
      <c r="FH8" s="8" t="n"/>
      <c r="FI8" s="137" t="n"/>
      <c r="FJ8" s="56" t="n"/>
      <c r="FK8" s="56" t="n"/>
      <c r="FL8" s="61" t="n"/>
      <c r="FM8" s="60" t="n"/>
      <c r="FN8" s="136" t="n"/>
      <c r="FO8" s="137" t="n"/>
      <c r="FP8" s="136" t="n"/>
      <c r="FQ8" s="137" t="n"/>
      <c r="FR8" s="136" t="n"/>
      <c r="FS8" s="137" t="n"/>
      <c r="FT8" s="136" t="n"/>
      <c r="FU8" s="137" t="n"/>
      <c r="FV8" s="136" t="n"/>
      <c r="FW8" s="137" t="n"/>
      <c r="FX8" s="136" t="n"/>
      <c r="FY8" s="60" t="n"/>
      <c r="FZ8" s="136" t="n"/>
      <c r="GA8" s="60" t="n"/>
      <c r="GB8" s="136" t="n"/>
      <c r="GC8" s="60" t="n"/>
      <c r="GD8" s="136" t="n"/>
      <c r="GE8" s="60" t="n"/>
      <c r="GF8" s="136" t="n"/>
      <c r="GG8" s="60" t="n"/>
      <c r="GH8" s="8" t="n"/>
      <c r="GI8" s="60" t="n"/>
      <c r="GJ8" s="8" t="n"/>
      <c r="GK8" s="60" t="n"/>
      <c r="GL8" s="136" t="n"/>
      <c r="GM8" s="60" t="n"/>
      <c r="GN8" s="136" t="n"/>
      <c r="GO8" s="137" t="n"/>
      <c r="GP8" s="136" t="n"/>
      <c r="GQ8" s="60" t="n"/>
      <c r="GR8" s="136" t="n"/>
      <c r="GS8" s="60" t="n"/>
      <c r="GT8" s="136" t="n"/>
      <c r="GU8" s="60" t="n"/>
      <c r="GV8" s="136" t="n"/>
      <c r="GW8" s="137" t="n"/>
      <c r="GX8" s="136" t="n"/>
      <c r="GY8" s="60" t="n"/>
      <c r="GZ8" s="136" t="n"/>
      <c r="HA8" s="60" t="n"/>
      <c r="HB8" s="136" t="n"/>
      <c r="HC8" s="60" t="n"/>
      <c r="HD8" s="136" t="n"/>
      <c r="HE8" s="60" t="n"/>
      <c r="HF8" s="136" t="n"/>
      <c r="HG8" s="60" t="n"/>
      <c r="HH8" s="136" t="n"/>
      <c r="HI8" s="60" t="n"/>
      <c r="HJ8" s="136" t="n"/>
      <c r="HK8" s="60" t="n"/>
      <c r="HL8" s="136" t="n"/>
      <c r="HM8" s="60" t="n"/>
      <c r="HN8" s="136" t="n"/>
      <c r="HO8" s="60" t="n"/>
      <c r="HP8" s="136" t="n"/>
      <c r="HQ8" s="60" t="n"/>
      <c r="HR8" s="136" t="n"/>
      <c r="HS8" s="60" t="n"/>
      <c r="HT8" s="136" t="n"/>
      <c r="HU8" s="60" t="n"/>
      <c r="HV8" s="8" t="n"/>
      <c r="HW8" s="137" t="n"/>
      <c r="HX8" s="136" t="n"/>
      <c r="HY8" s="60" t="n"/>
      <c r="HZ8" s="8" t="n"/>
      <c r="IA8" s="60" t="n"/>
      <c r="IB8" s="8" t="n"/>
      <c r="IC8" s="137" t="n"/>
      <c r="ID8" s="56" t="n"/>
      <c r="IE8" s="60" t="n"/>
      <c r="IF8" s="136" t="n"/>
      <c r="IG8" s="60" t="n"/>
      <c r="IH8" s="136" t="n"/>
      <c r="II8" s="60" t="n"/>
      <c r="IJ8" s="136" t="n"/>
      <c r="IK8" s="60" t="n"/>
      <c r="IL8" s="136" t="n"/>
      <c r="IM8" s="60" t="n"/>
      <c r="IN8" s="136" t="n"/>
      <c r="IO8" s="60" t="n"/>
      <c r="IP8" s="8" t="n"/>
      <c r="IQ8" s="137" t="n"/>
      <c r="IR8" s="8" t="n"/>
      <c r="IS8" s="60" t="n"/>
      <c r="IT8" s="136" t="n"/>
      <c r="IU8" s="137" t="n"/>
      <c r="IV8" s="136" t="n"/>
      <c r="IW8" s="137" t="n"/>
      <c r="IX8" s="8" t="n"/>
      <c r="IY8" s="137" t="n"/>
      <c r="IZ8" s="136" t="n"/>
      <c r="JA8" s="137" t="n"/>
      <c r="JB8" s="136" t="n"/>
      <c r="JC8" s="137" t="n"/>
      <c r="JD8" s="8" t="n"/>
      <c r="JE8" s="60" t="n"/>
      <c r="JF8" s="136" t="n"/>
      <c r="JG8" s="137" t="n"/>
      <c r="JH8" s="110" t="n"/>
      <c r="JI8" s="137" t="n"/>
      <c r="JJ8" s="8" t="n"/>
      <c r="JK8" s="10" t="n"/>
      <c r="JL8" s="136" t="n"/>
      <c r="JM8" s="137" t="n"/>
      <c r="JN8" s="136" t="n"/>
      <c r="JO8" s="61" t="n"/>
      <c r="JP8" s="61" t="n"/>
      <c r="JQ8" s="61" t="n"/>
      <c r="JR8" s="61" t="n"/>
      <c r="JS8" s="61" t="n"/>
      <c r="JT8" s="61" t="n"/>
      <c r="JU8" s="61" t="n"/>
      <c r="JV8" s="61" t="n"/>
      <c r="JW8" s="61" t="n"/>
      <c r="JX8" s="61" t="n"/>
      <c r="JY8" s="10" t="n"/>
      <c r="JZ8" s="8" t="n"/>
      <c r="KA8" s="10" t="n"/>
      <c r="KB8" s="65" t="n"/>
      <c r="KC8" s="87" t="n"/>
    </row>
    <row r="9" ht="21.75" customFormat="1" customHeight="1" s="11">
      <c r="A9" s="126" t="n">
        <v>1</v>
      </c>
      <c r="B9" s="175" t="inlineStr">
        <is>
          <t>Батурин А.Ю.</t>
        </is>
      </c>
      <c r="C9" s="176" t="inlineStr">
        <is>
          <t>термист</t>
        </is>
      </c>
      <c r="D9" s="177">
        <f>$D$5</f>
        <v/>
      </c>
      <c r="E9" s="202" t="n"/>
      <c r="F9" s="197" t="n">
        <v>68902.87</v>
      </c>
      <c r="G9" s="51">
        <f>F9/D9</f>
        <v/>
      </c>
      <c r="H9" s="124" t="n"/>
      <c r="I9" s="90">
        <f>H9*100/$E$9</f>
        <v/>
      </c>
      <c r="J9" s="117" t="n"/>
      <c r="K9" s="90">
        <f>J9*100/$E$9</f>
        <v/>
      </c>
      <c r="L9" s="117" t="n"/>
      <c r="M9" s="90">
        <f>L9*100/$E$9</f>
        <v/>
      </c>
      <c r="N9" s="117" t="n"/>
      <c r="O9" s="90">
        <f>N9*100/$E$9</f>
        <v/>
      </c>
      <c r="P9" s="117" t="n"/>
      <c r="Q9" s="121">
        <f>P9*100/$E$9</f>
        <v/>
      </c>
      <c r="R9" s="117" t="n"/>
      <c r="S9" s="120">
        <f>R9*100/$E$9</f>
        <v/>
      </c>
      <c r="T9" s="117" t="n"/>
      <c r="U9" s="90">
        <f>T9*100/$E$9</f>
        <v/>
      </c>
      <c r="V9" s="117" t="n"/>
      <c r="W9" s="90">
        <f>V9*100/$E$9</f>
        <v/>
      </c>
      <c r="X9" s="117" t="n"/>
      <c r="Y9" s="90">
        <f>X9*100/$E$9</f>
        <v/>
      </c>
      <c r="Z9" s="117" t="n"/>
      <c r="AA9" s="90">
        <f>Z9*100/$E$9</f>
        <v/>
      </c>
      <c r="AB9" s="117" t="n"/>
      <c r="AC9" s="90">
        <f>AB9*100/$E$9</f>
        <v/>
      </c>
      <c r="AD9" s="117" t="n"/>
      <c r="AE9" s="120">
        <f>AD9*100/$E$9</f>
        <v/>
      </c>
      <c r="AF9" s="117" t="n"/>
      <c r="AG9" s="120">
        <f>AF9*100/$E$9</f>
        <v/>
      </c>
      <c r="AH9" s="117" t="n"/>
      <c r="AI9" s="90">
        <f>AH9*100/$E$9</f>
        <v/>
      </c>
      <c r="AJ9" s="117" t="n"/>
      <c r="AK9" s="90">
        <f>AJ9*100/$E$9</f>
        <v/>
      </c>
      <c r="AL9" s="117" t="n"/>
      <c r="AM9" s="90">
        <f>AL9*100/$E$9</f>
        <v/>
      </c>
      <c r="AN9" s="117" t="n"/>
      <c r="AO9" s="90">
        <f>AN9*100/$E$9</f>
        <v/>
      </c>
      <c r="AP9" s="117" t="n"/>
      <c r="AQ9" s="90">
        <f>AP9*100/$E$9</f>
        <v/>
      </c>
      <c r="AR9" s="117" t="n"/>
      <c r="AS9" s="90">
        <f>AR9*100/$E$9</f>
        <v/>
      </c>
      <c r="AT9" s="117" t="n"/>
      <c r="AU9" s="90">
        <f>AT9*100/$E$9</f>
        <v/>
      </c>
      <c r="AV9" s="117" t="n"/>
      <c r="AW9" s="90">
        <f>AV9*100/$E$9</f>
        <v/>
      </c>
      <c r="AX9" s="117" t="n"/>
      <c r="AY9" s="90">
        <f>AX9*100/$E$9</f>
        <v/>
      </c>
      <c r="AZ9" s="117" t="n"/>
      <c r="BA9" s="90">
        <f>AZ9*100/$E$9</f>
        <v/>
      </c>
      <c r="BB9" s="117" t="n"/>
      <c r="BC9" s="90">
        <f>BB9*100/$E$9</f>
        <v/>
      </c>
      <c r="BD9" s="117" t="n"/>
      <c r="BE9" s="90">
        <f>BD9*100/$E$9</f>
        <v/>
      </c>
      <c r="BF9" s="117" t="n"/>
      <c r="BG9" s="90">
        <f>BF9*100/$E$9</f>
        <v/>
      </c>
      <c r="BH9" s="117" t="n"/>
      <c r="BI9" s="90">
        <f>BH9*100/$E$9</f>
        <v/>
      </c>
      <c r="BJ9" s="117" t="n"/>
      <c r="BK9" s="90">
        <f>BJ9*100/$E$9</f>
        <v/>
      </c>
      <c r="BL9" s="117" t="n"/>
      <c r="BM9" s="90">
        <f>BL9*100/$E$9</f>
        <v/>
      </c>
      <c r="BN9" s="117" t="n"/>
      <c r="BO9" s="90">
        <f>BN9*100/$E$9</f>
        <v/>
      </c>
      <c r="BP9" s="117" t="n"/>
      <c r="BQ9" s="90">
        <f>BP9*100/$E$9</f>
        <v/>
      </c>
      <c r="BR9" s="117" t="n"/>
      <c r="BS9" s="90">
        <f>BR9*100/$E$9</f>
        <v/>
      </c>
      <c r="BT9" s="117" t="n"/>
      <c r="BU9" s="90">
        <f>BT9*100/$E$9</f>
        <v/>
      </c>
      <c r="BV9" s="117" t="n"/>
      <c r="BW9" s="90">
        <f>BV9*100/$E$9</f>
        <v/>
      </c>
      <c r="BX9" s="117" t="n"/>
      <c r="BY9" s="90">
        <f>BX9*100/$E$9</f>
        <v/>
      </c>
      <c r="BZ9" s="117" t="n"/>
      <c r="CA9" s="90">
        <f>BZ9*100/$E$9</f>
        <v/>
      </c>
      <c r="CB9" s="117" t="n"/>
      <c r="CC9" s="90">
        <f>CB9*100/$E$9</f>
        <v/>
      </c>
      <c r="CD9" s="117" t="n"/>
      <c r="CE9" s="123">
        <f>CD9*100/$E$9</f>
        <v/>
      </c>
      <c r="CF9" s="117" t="n"/>
      <c r="CG9" s="90">
        <f>CF9*100/$E$9</f>
        <v/>
      </c>
      <c r="CH9" s="117" t="n"/>
      <c r="CI9" s="90">
        <f>CH9*100/$E$9</f>
        <v/>
      </c>
      <c r="CJ9" s="117" t="n"/>
      <c r="CK9" s="90">
        <f>CJ9*100/$E$9</f>
        <v/>
      </c>
      <c r="CL9" s="117" t="n"/>
      <c r="CM9" s="90">
        <f>CL9*100/$E$9</f>
        <v/>
      </c>
      <c r="CN9" s="117" t="n"/>
      <c r="CO9" s="122">
        <f>CN9*100/$E$9</f>
        <v/>
      </c>
      <c r="CP9" s="117" t="n"/>
      <c r="CQ9" s="90">
        <f>CP9*100/$E$9</f>
        <v/>
      </c>
      <c r="CR9" s="117" t="n"/>
      <c r="CS9" s="121">
        <f>CR9*100/$E$9</f>
        <v/>
      </c>
      <c r="CT9" s="117" t="n"/>
      <c r="CU9" s="121">
        <f>CT9*100/$E$9</f>
        <v/>
      </c>
      <c r="CV9" s="117" t="n"/>
      <c r="CW9" s="121">
        <f>CV9*100/$E$9</f>
        <v/>
      </c>
      <c r="CX9" s="117" t="n"/>
      <c r="CY9" s="121">
        <f>CX9*100/$E$9</f>
        <v/>
      </c>
      <c r="CZ9" s="117" t="n"/>
      <c r="DA9" s="121">
        <f>CZ9*100/$E$9</f>
        <v/>
      </c>
      <c r="DB9" s="117" t="n"/>
      <c r="DC9" s="121">
        <f>DB9*100/$E$9</f>
        <v/>
      </c>
      <c r="DD9" s="117" t="n"/>
      <c r="DE9" s="121">
        <f>DD9*100/$E$9</f>
        <v/>
      </c>
      <c r="DF9" s="117" t="n"/>
      <c r="DG9" s="121">
        <f>DF9*100/$E$9</f>
        <v/>
      </c>
      <c r="DH9" s="117" t="n"/>
      <c r="DI9" s="121">
        <f>DH9*100/$E$9</f>
        <v/>
      </c>
      <c r="DJ9" s="117" t="n"/>
      <c r="DK9" s="121">
        <f>DJ9*100/$E$9</f>
        <v/>
      </c>
      <c r="DL9" s="117" t="n"/>
      <c r="DM9" s="121">
        <f>DL9*100/$E$9</f>
        <v/>
      </c>
      <c r="DN9" s="117" t="n"/>
      <c r="DO9" s="121">
        <f>DN9*100/$E$9</f>
        <v/>
      </c>
      <c r="DP9" s="117" t="n"/>
      <c r="DQ9" s="121">
        <f>DP9*100/$E$9</f>
        <v/>
      </c>
      <c r="DR9" s="117" t="n"/>
      <c r="DS9" s="121">
        <f>DR9*100/$E$9</f>
        <v/>
      </c>
      <c r="DT9" s="117" t="n"/>
      <c r="DU9" s="121">
        <f>DT9*100/$E$9</f>
        <v/>
      </c>
      <c r="DV9" s="117" t="n"/>
      <c r="DW9" s="121">
        <f>DV9*100/$E$9</f>
        <v/>
      </c>
      <c r="DX9" s="117" t="n"/>
      <c r="DY9" s="121">
        <f>DX9*100/$E$9</f>
        <v/>
      </c>
      <c r="DZ9" s="117" t="n"/>
      <c r="EA9" s="121">
        <f>DZ9*100/$E$9</f>
        <v/>
      </c>
      <c r="EB9" s="117" t="n"/>
      <c r="EC9" s="121">
        <f>EB9*100/$E$9</f>
        <v/>
      </c>
      <c r="ED9" s="117" t="n"/>
      <c r="EE9" s="121">
        <f>ED9*100/$E$9</f>
        <v/>
      </c>
      <c r="EF9" s="117" t="n"/>
      <c r="EG9" s="121">
        <f>EF9*100/$E$9</f>
        <v/>
      </c>
      <c r="EH9" s="117" t="n"/>
      <c r="EI9" s="121">
        <f>EH9*100/$E$9</f>
        <v/>
      </c>
      <c r="EJ9" s="117" t="n"/>
      <c r="EK9" s="121">
        <f>EJ9*100/$E$9</f>
        <v/>
      </c>
      <c r="EL9" s="117" t="n"/>
      <c r="EM9" s="121">
        <f>EL9*100/$E$9</f>
        <v/>
      </c>
      <c r="EN9" s="117" t="n"/>
      <c r="EO9" s="121">
        <f>EN9*100/$E$9</f>
        <v/>
      </c>
      <c r="EP9" s="117" t="n"/>
      <c r="EQ9" s="121">
        <f>EP9*100/$E$9</f>
        <v/>
      </c>
      <c r="ER9" s="117" t="n"/>
      <c r="ES9" s="121">
        <f>ER9*100/$E$9</f>
        <v/>
      </c>
      <c r="ET9" s="117" t="n"/>
      <c r="EU9" s="121">
        <f>ET9*100/$E$9</f>
        <v/>
      </c>
      <c r="EV9" s="117" t="n"/>
      <c r="EW9" s="121">
        <f>EV9*100/$E$9</f>
        <v/>
      </c>
      <c r="EX9" s="117" t="n"/>
      <c r="EY9" s="121">
        <f>EX9*100/$E$9</f>
        <v/>
      </c>
      <c r="EZ9" s="117" t="n"/>
      <c r="FA9" s="121">
        <f>EZ9*100/$E$9</f>
        <v/>
      </c>
      <c r="FB9" s="117" t="n"/>
      <c r="FC9" s="121">
        <f>FB9*100/$E$9</f>
        <v/>
      </c>
      <c r="FD9" s="117" t="n"/>
      <c r="FE9" s="121">
        <f>FD9*100/$E$9</f>
        <v/>
      </c>
      <c r="FF9" s="117" t="n"/>
      <c r="FG9" s="121">
        <f>FF9*100/$E$9</f>
        <v/>
      </c>
      <c r="FH9" s="117" t="n"/>
      <c r="FI9" s="121">
        <f>FH9*100/$E$9</f>
        <v/>
      </c>
      <c r="FJ9" s="117" t="n"/>
      <c r="FK9" s="121">
        <f>FJ9*100/$E$9</f>
        <v/>
      </c>
      <c r="FL9" s="117" t="n"/>
      <c r="FM9" s="121">
        <f>FL9*100/$E$9</f>
        <v/>
      </c>
      <c r="FN9" s="117" t="n"/>
      <c r="FO9" s="121">
        <f>FN9*100/$E$9</f>
        <v/>
      </c>
      <c r="FP9" s="117" t="n"/>
      <c r="FQ9" s="121">
        <f>FP9*100/$E$9</f>
        <v/>
      </c>
      <c r="FR9" s="117" t="n"/>
      <c r="FS9" s="121">
        <f>FR9*100/$E$9</f>
        <v/>
      </c>
      <c r="FT9" s="117" t="n"/>
      <c r="FU9" s="121">
        <f>FT9*100/$E$9</f>
        <v/>
      </c>
      <c r="FV9" s="117" t="n"/>
      <c r="FW9" s="121">
        <f>FV9*100/$E$9</f>
        <v/>
      </c>
      <c r="FX9" s="117" t="n"/>
      <c r="FY9" s="90">
        <f>FX9*100/$E$9</f>
        <v/>
      </c>
      <c r="FZ9" s="117" t="n"/>
      <c r="GA9" s="90">
        <f>FZ9*100/$E$9</f>
        <v/>
      </c>
      <c r="GB9" s="117" t="n"/>
      <c r="GC9" s="90">
        <f>GB9*100/$E$9</f>
        <v/>
      </c>
      <c r="GD9" s="117" t="n"/>
      <c r="GE9" s="90">
        <f>GD9*100/$E$9</f>
        <v/>
      </c>
      <c r="GF9" s="117" t="n"/>
      <c r="GG9" s="90">
        <f>GF9*100/$E$9</f>
        <v/>
      </c>
      <c r="GH9" s="117" t="n"/>
      <c r="GI9" s="90">
        <f>GH9*100/$E$9</f>
        <v/>
      </c>
      <c r="GJ9" s="117" t="n"/>
      <c r="GK9" s="121">
        <f>GJ9*100/$E$9</f>
        <v/>
      </c>
      <c r="GL9" s="117" t="n"/>
      <c r="GM9" s="90">
        <f>GL9*100/$E$9</f>
        <v/>
      </c>
      <c r="GN9" s="117" t="n"/>
      <c r="GO9" s="121">
        <f>GN9*100/$E$9</f>
        <v/>
      </c>
      <c r="GP9" s="117" t="n"/>
      <c r="GQ9" s="90">
        <f>GP9*100/$E$9</f>
        <v/>
      </c>
      <c r="GR9" s="117" t="n"/>
      <c r="GS9" s="121">
        <f>GR9*100/$E$9</f>
        <v/>
      </c>
      <c r="GT9" s="117" t="n"/>
      <c r="GU9" s="121">
        <f>GT9*100/$E$9</f>
        <v/>
      </c>
      <c r="GV9" s="117" t="n"/>
      <c r="GW9" s="121">
        <f>GV9*100/$E$9</f>
        <v/>
      </c>
      <c r="GX9" s="117" t="n"/>
      <c r="GY9" s="90">
        <f>GX9*100/$E$9</f>
        <v/>
      </c>
      <c r="GZ9" s="117" t="n"/>
      <c r="HA9" s="90">
        <f>GZ9*100/$E$9</f>
        <v/>
      </c>
      <c r="HB9" s="117" t="n"/>
      <c r="HC9" s="90">
        <f>HB9*100/$E$9</f>
        <v/>
      </c>
      <c r="HD9" s="117" t="n"/>
      <c r="HE9" s="90">
        <f>HD9*100/$E$9</f>
        <v/>
      </c>
      <c r="HF9" s="117" t="n"/>
      <c r="HG9" s="90">
        <f>HF9*100/$E$9</f>
        <v/>
      </c>
      <c r="HH9" s="117" t="n"/>
      <c r="HI9" s="90">
        <f>HH9*100/$E$9</f>
        <v/>
      </c>
      <c r="HJ9" s="117" t="n"/>
      <c r="HK9" s="90">
        <f>HJ9*100/$E$9</f>
        <v/>
      </c>
      <c r="HL9" s="117" t="n"/>
      <c r="HM9" s="90">
        <f>HL9*100/$E$9</f>
        <v/>
      </c>
      <c r="HN9" s="117" t="n"/>
      <c r="HO9" s="90">
        <f>HN9*100/$E$9</f>
        <v/>
      </c>
      <c r="HP9" s="117" t="n"/>
      <c r="HQ9" s="90">
        <f>HP9*100/$E$9</f>
        <v/>
      </c>
      <c r="HR9" s="117" t="n"/>
      <c r="HS9" s="90">
        <f>HR9*100/$E$9</f>
        <v/>
      </c>
      <c r="HT9" s="117" t="n"/>
      <c r="HU9" s="90">
        <f>HT9*100/$E$9</f>
        <v/>
      </c>
      <c r="HV9" s="117" t="n"/>
      <c r="HW9" s="90">
        <f>HV9*100/$E$9</f>
        <v/>
      </c>
      <c r="HX9" s="117" t="n"/>
      <c r="HY9" s="90">
        <f>HX9*100/$E$9</f>
        <v/>
      </c>
      <c r="HZ9" s="117" t="n"/>
      <c r="IA9" s="121">
        <f>HZ9*100/$E$9</f>
        <v/>
      </c>
      <c r="IB9" s="117" t="n"/>
      <c r="IC9" s="121">
        <f>IB9*100/$E$9</f>
        <v/>
      </c>
      <c r="ID9" s="117" t="n"/>
      <c r="IE9" s="121">
        <f>ID9*100/$E$9</f>
        <v/>
      </c>
      <c r="IF9" s="117" t="n"/>
      <c r="IG9" s="121">
        <f>IF9*100/$E$9</f>
        <v/>
      </c>
      <c r="IH9" s="117" t="n"/>
      <c r="II9" s="121">
        <f>IH9*100/$E$9</f>
        <v/>
      </c>
      <c r="IJ9" s="117" t="n"/>
      <c r="IK9" s="121">
        <f>IJ9*100/$E$9</f>
        <v/>
      </c>
      <c r="IL9" s="117" t="n"/>
      <c r="IM9" s="90">
        <f>IL9*100/$E$9</f>
        <v/>
      </c>
      <c r="IN9" s="117" t="n"/>
      <c r="IO9" s="90">
        <f>IN9*100/$E$9</f>
        <v/>
      </c>
      <c r="IP9" s="117" t="n"/>
      <c r="IQ9" s="121">
        <f>IP9*100/$E$9</f>
        <v/>
      </c>
      <c r="IR9" s="117" t="n"/>
      <c r="IS9" s="121">
        <f>IR9*100/$E$9</f>
        <v/>
      </c>
      <c r="IT9" s="117" t="n"/>
      <c r="IU9" s="121">
        <f>IT9*100/$E$9</f>
        <v/>
      </c>
      <c r="IV9" s="117" t="n"/>
      <c r="IW9" s="121">
        <f>IV9*100/$E$9</f>
        <v/>
      </c>
      <c r="IX9" s="117" t="n"/>
      <c r="IY9" s="121">
        <f>IX9*100/$E$9</f>
        <v/>
      </c>
      <c r="IZ9" s="117" t="n"/>
      <c r="JA9" s="121">
        <f>IZ9*100/$E$9</f>
        <v/>
      </c>
      <c r="JB9" s="117" t="n"/>
      <c r="JC9" s="121">
        <f>JB9*100/$E$9</f>
        <v/>
      </c>
      <c r="JD9" s="117" t="n"/>
      <c r="JE9" s="121">
        <f>JD9*100/$E$9</f>
        <v/>
      </c>
      <c r="JF9" s="119" t="n"/>
      <c r="JG9" s="121">
        <f>JF9*100/$E$9</f>
        <v/>
      </c>
      <c r="JH9" s="117" t="n"/>
      <c r="JI9" s="121">
        <f>JH9*100/$E$9</f>
        <v/>
      </c>
      <c r="JJ9" s="117" t="n"/>
      <c r="JK9" s="121">
        <f>JJ9*100/$E$9</f>
        <v/>
      </c>
      <c r="JL9" s="117" t="n"/>
      <c r="JM9" s="121">
        <f>JL9*100/$E$9</f>
        <v/>
      </c>
      <c r="JN9" s="117" t="n"/>
      <c r="JO9" s="122">
        <f>JN9*100/$E$9</f>
        <v/>
      </c>
      <c r="JP9" s="117" t="n"/>
      <c r="JQ9" s="122">
        <f>JP9*100/$E$9</f>
        <v/>
      </c>
      <c r="JR9" s="117" t="n"/>
      <c r="JS9" s="122">
        <f>JR9*100/$E$9</f>
        <v/>
      </c>
      <c r="JT9" s="117" t="n"/>
      <c r="JU9" s="122">
        <f>JT9*100/$E$9</f>
        <v/>
      </c>
      <c r="JV9" s="108" t="n"/>
      <c r="JW9" s="122">
        <f>JV9*100/$E$9</f>
        <v/>
      </c>
      <c r="JX9" s="108" t="n"/>
      <c r="JY9" s="122">
        <f>JX9*100/$E$9</f>
        <v/>
      </c>
      <c r="JZ9" s="55">
        <f>JN9+JP9+JR9+JT9+JV9+JX9</f>
        <v/>
      </c>
      <c r="KA9" s="53">
        <f>JO9+JQ9+JS9+JU9+JW9+JY9</f>
        <v/>
      </c>
      <c r="KB9" s="64">
        <f>H9+J9+L9+N9+P9+R9+T9+V9+X9+Z9+AB9+AD9+AF9+AH9+AJ9+AL9+AN9+AP9+AR9+AT9+AV9+AX9+AZ9+BB9+BD9+BF9+BH9+BJ9+BL9+BN9+BP9+BR9+BT9+BV9+BX9+BZ9+CB9+CD9+CF9+CH9+CZ9+DB9+DD9+DF9+DH9+DJ9+DL9+DN9+DP9+DR9+DT9+DV9+DX9+DZ9+EB9+ED9+EF9+EH9+EJ9+EL9+EN9+EP9+ER9+ET9+EV9+FN9+FP9+FR9+FT9+FV9+FX9+FZ9+GB9+GD9+GF9+GH9+GJ9+GL9+GN9+GP9+GR9+GT9+GV9+GX9+GZ9+HB9+HD9+HF9+HH9+HJ9+HL9+HN9+HP9+HR9+HT9+HV9+HX9+HZ9+IB9+ID9+IF9+IH9+IJ9+IL9+IN9+IP9+IR9+IT9+IV9+IX9+IZ9+JB9+JD9+JF9+JH9+JJ9+JL9+JZ9+CJ9+CL9+CN9+CP9+CR9+CT9+CV9+CX9+EX9+EZ9+FB9+FD9+FF9+FH9+FJ9+FL9</f>
        <v/>
      </c>
      <c r="KC9" s="66">
        <f>I9+K9+M9+O9+Q9+S9+U9+W9+Y9+AA9+AC9+AE9+AG9+AI9+AK9+AM9+AO9+AQ9+AS9+AU9+AW9+AY9+BA9+BC9+BE9+BG9+BI9+BK9+BM9+BO9+BQ9+BS9+BU9+BW9+BY9+CA9+CC9+CE9+CG9+CI9+DA9+DC9+DE9+DG9+DI9+DK9+DM9+DO9+DQ9+DS9+DU9+DW9+DY9+EA9+EC9+EE9+EG9+EI9+EK9+EM9+EO9+EQ9+ES9+EU9+EW9+FO9+FS9+FU9+FW9+FQ9+FY9+GA9+GC9+GE9+GG9+GI9+GK9+GM9+GO9+GQ9+GS9+GU9+GW9+GY9+HA9+HC9+HE9+HG9+HI9+HK9+HM9+HO9+HQ9+HS9+HU9+HW9+HY9+IA9+IC9+IE9+IG9+II9+IK9+IM9+IO9+IQ9+IS9+IU9+IW9+IY9+JA9+JC9+JE9+JG9+JI9+JK9+JM9+KA9+CK9+CM9+CO9+CQ9+CS9+CU9+CW9+CY9+EY9+FA9+FC9+FE9+FG9+FI9+FK9+FM9</f>
        <v/>
      </c>
      <c r="KD9" s="44">
        <f>JO9+JQ9+JS9+JU9+JW9+JY9</f>
        <v/>
      </c>
      <c r="KE9" s="45">
        <f>KB9=E9</f>
        <v/>
      </c>
      <c r="KF9" s="101">
        <f>E9-KB9</f>
        <v/>
      </c>
    </row>
    <row r="10" ht="21.75" customFormat="1" customHeight="1" s="12">
      <c r="A10" s="126">
        <f>A9+1</f>
        <v/>
      </c>
      <c r="B10" s="175" t="inlineStr">
        <is>
          <t>Бецких А. В.</t>
        </is>
      </c>
      <c r="C10" s="176" t="inlineStr">
        <is>
          <t>слесарь МСР</t>
        </is>
      </c>
      <c r="D10" s="177">
        <f>$D$5</f>
        <v/>
      </c>
      <c r="E10" s="202" t="n"/>
      <c r="F10" s="178" t="n">
        <v>49335</v>
      </c>
      <c r="G10" s="52">
        <f>F10/D10</f>
        <v/>
      </c>
      <c r="H10" s="125" t="n"/>
      <c r="I10" s="90">
        <f>H10*100/$E$10</f>
        <v/>
      </c>
      <c r="J10" s="108" t="n"/>
      <c r="K10" s="90">
        <f>J10*100/$E$10</f>
        <v/>
      </c>
      <c r="L10" s="108" t="n"/>
      <c r="M10" s="90">
        <f>L10*100/$E$10</f>
        <v/>
      </c>
      <c r="N10" s="108" t="n"/>
      <c r="O10" s="90">
        <f>N10*100/$E$10</f>
        <v/>
      </c>
      <c r="P10" s="108" t="n"/>
      <c r="Q10" s="121">
        <f>P10*100/$E$10</f>
        <v/>
      </c>
      <c r="R10" s="108" t="n"/>
      <c r="S10" s="121">
        <f>R10*100/$E$10</f>
        <v/>
      </c>
      <c r="T10" s="108" t="n"/>
      <c r="U10" s="90">
        <f>T10*100/$E$10</f>
        <v/>
      </c>
      <c r="V10" s="108" t="n"/>
      <c r="W10" s="90">
        <f>V10*100/$E$10</f>
        <v/>
      </c>
      <c r="X10" s="108" t="n"/>
      <c r="Y10" s="90">
        <f>X10*100/$E$10</f>
        <v/>
      </c>
      <c r="Z10" s="108" t="n"/>
      <c r="AA10" s="90">
        <f>Z10*100/$E$10</f>
        <v/>
      </c>
      <c r="AB10" s="108" t="n"/>
      <c r="AC10" s="90">
        <f>AB10*100/$E$10</f>
        <v/>
      </c>
      <c r="AD10" s="108" t="n"/>
      <c r="AE10" s="121">
        <f>AD10*100/$E$10</f>
        <v/>
      </c>
      <c r="AF10" s="108" t="n"/>
      <c r="AG10" s="121">
        <f>AF10*100/$E$10</f>
        <v/>
      </c>
      <c r="AH10" s="108" t="n"/>
      <c r="AI10" s="90">
        <f>AH10*100/$E$10</f>
        <v/>
      </c>
      <c r="AJ10" s="108" t="n"/>
      <c r="AK10" s="90">
        <f>AJ10*100/$E$10</f>
        <v/>
      </c>
      <c r="AL10" s="108" t="n"/>
      <c r="AM10" s="90">
        <f>AL10*100/$E$10</f>
        <v/>
      </c>
      <c r="AN10" s="108" t="n"/>
      <c r="AO10" s="90">
        <f>AN10*100/$E$10</f>
        <v/>
      </c>
      <c r="AP10" s="108" t="n"/>
      <c r="AQ10" s="90">
        <f>AP10*100/$E$10</f>
        <v/>
      </c>
      <c r="AR10" s="108" t="n"/>
      <c r="AS10" s="90">
        <f>AR10*100/$E$10</f>
        <v/>
      </c>
      <c r="AT10" s="108" t="n"/>
      <c r="AU10" s="90">
        <f>AT10*100/$E$10</f>
        <v/>
      </c>
      <c r="AV10" s="108" t="n"/>
      <c r="AW10" s="90">
        <f>AV10*100/$E$10</f>
        <v/>
      </c>
      <c r="AX10" s="108" t="n"/>
      <c r="AY10" s="90">
        <f>AX10*100/$E$10</f>
        <v/>
      </c>
      <c r="AZ10" s="108" t="n"/>
      <c r="BA10" s="90">
        <f>AZ10*100/$E$10</f>
        <v/>
      </c>
      <c r="BB10" s="108" t="n"/>
      <c r="BC10" s="90">
        <f>BB10*100/$E$10</f>
        <v/>
      </c>
      <c r="BD10" s="108" t="n"/>
      <c r="BE10" s="90">
        <f>BD10*100/$E$10</f>
        <v/>
      </c>
      <c r="BF10" s="108" t="n"/>
      <c r="BG10" s="90">
        <f>BF10*100/$E$10</f>
        <v/>
      </c>
      <c r="BH10" s="108" t="n"/>
      <c r="BI10" s="90">
        <f>BH10*100/$E$10</f>
        <v/>
      </c>
      <c r="BJ10" s="108" t="n"/>
      <c r="BK10" s="90">
        <f>BJ10*100/$E$10</f>
        <v/>
      </c>
      <c r="BL10" s="108" t="n"/>
      <c r="BM10" s="90">
        <f>BL10*100/$E$10</f>
        <v/>
      </c>
      <c r="BN10" s="108" t="n"/>
      <c r="BO10" s="90">
        <f>BN10*100/$E$10</f>
        <v/>
      </c>
      <c r="BP10" s="108" t="n"/>
      <c r="BQ10" s="90">
        <f>BP10*100/$E$10</f>
        <v/>
      </c>
      <c r="BR10" s="108" t="n"/>
      <c r="BS10" s="90">
        <f>BR10*100/$E$10</f>
        <v/>
      </c>
      <c r="BT10" s="108" t="n"/>
      <c r="BU10" s="90">
        <f>BT10*100/$E$10</f>
        <v/>
      </c>
      <c r="BV10" s="108" t="n"/>
      <c r="BW10" s="90">
        <f>BV10*100/$E$10</f>
        <v/>
      </c>
      <c r="BX10" s="108" t="n"/>
      <c r="BY10" s="90">
        <f>BX10*100/$E$10</f>
        <v/>
      </c>
      <c r="BZ10" s="108" t="n"/>
      <c r="CA10" s="90">
        <f>BZ10*100/$E$10</f>
        <v/>
      </c>
      <c r="CB10" s="108" t="n"/>
      <c r="CC10" s="90">
        <f>CB10*100/$E$10</f>
        <v/>
      </c>
      <c r="CD10" s="108" t="n"/>
      <c r="CE10" s="90">
        <f>CD10*100/$E$10</f>
        <v/>
      </c>
      <c r="CF10" s="108" t="n"/>
      <c r="CG10" s="90">
        <f>CF10*100/$E$10</f>
        <v/>
      </c>
      <c r="CH10" s="108" t="n"/>
      <c r="CI10" s="90">
        <f>CH10*100/$E$10</f>
        <v/>
      </c>
      <c r="CJ10" s="108" t="n"/>
      <c r="CK10" s="90">
        <f>CJ10*100/$E$10</f>
        <v/>
      </c>
      <c r="CL10" s="108" t="n"/>
      <c r="CM10" s="90">
        <f>CL10*100/$E$10</f>
        <v/>
      </c>
      <c r="CN10" s="108" t="n"/>
      <c r="CO10" s="122">
        <f>CN10*100/$E$10</f>
        <v/>
      </c>
      <c r="CP10" s="108" t="n"/>
      <c r="CQ10" s="90">
        <f>CP10*100/$E$10</f>
        <v/>
      </c>
      <c r="CR10" s="108" t="n"/>
      <c r="CS10" s="121">
        <f>CR10*100/$E$10</f>
        <v/>
      </c>
      <c r="CT10" s="108" t="n"/>
      <c r="CU10" s="121">
        <f>CT10*100/$E$10</f>
        <v/>
      </c>
      <c r="CV10" s="108" t="n"/>
      <c r="CW10" s="121">
        <f>CV10*100/$E$10</f>
        <v/>
      </c>
      <c r="CX10" s="108" t="n"/>
      <c r="CY10" s="121">
        <f>CX10*100/$E$10</f>
        <v/>
      </c>
      <c r="CZ10" s="108" t="n"/>
      <c r="DA10" s="121">
        <f>CZ10*100/$E$10</f>
        <v/>
      </c>
      <c r="DB10" s="108" t="n"/>
      <c r="DC10" s="121">
        <f>DB10*100/$E$10</f>
        <v/>
      </c>
      <c r="DD10" s="108" t="n"/>
      <c r="DE10" s="121">
        <f>DD10*100/$E$10</f>
        <v/>
      </c>
      <c r="DF10" s="108" t="n"/>
      <c r="DG10" s="121">
        <f>DF10*100/$E$10</f>
        <v/>
      </c>
      <c r="DH10" s="108" t="n"/>
      <c r="DI10" s="121">
        <f>DH10*100/$E$10</f>
        <v/>
      </c>
      <c r="DJ10" s="108" t="n"/>
      <c r="DK10" s="121">
        <f>DJ10*100/$E$10</f>
        <v/>
      </c>
      <c r="DL10" s="108" t="n"/>
      <c r="DM10" s="121">
        <f>DL10*100/$E$10</f>
        <v/>
      </c>
      <c r="DN10" s="108" t="n"/>
      <c r="DO10" s="121">
        <f>DN10*100/$E$10</f>
        <v/>
      </c>
      <c r="DP10" s="108" t="n"/>
      <c r="DQ10" s="121">
        <f>DP10*100/$E$10</f>
        <v/>
      </c>
      <c r="DR10" s="108" t="n"/>
      <c r="DS10" s="121">
        <f>DR10*100/$E$10</f>
        <v/>
      </c>
      <c r="DT10" s="108" t="n"/>
      <c r="DU10" s="121">
        <f>DT10*100/$E$10</f>
        <v/>
      </c>
      <c r="DV10" s="108" t="n"/>
      <c r="DW10" s="121">
        <f>DV10*100/$E$10</f>
        <v/>
      </c>
      <c r="DX10" s="108" t="n"/>
      <c r="DY10" s="121">
        <f>DX10*100/$E$10</f>
        <v/>
      </c>
      <c r="DZ10" s="108" t="n"/>
      <c r="EA10" s="121">
        <f>DZ10*100/$E$10</f>
        <v/>
      </c>
      <c r="EB10" s="108" t="n"/>
      <c r="EC10" s="121">
        <f>EB10*100/$E$10</f>
        <v/>
      </c>
      <c r="ED10" s="108" t="n"/>
      <c r="EE10" s="121">
        <f>ED10*100/$E$10</f>
        <v/>
      </c>
      <c r="EF10" s="108" t="n"/>
      <c r="EG10" s="121">
        <f>EF10*100/$E$10</f>
        <v/>
      </c>
      <c r="EH10" s="108" t="n"/>
      <c r="EI10" s="121">
        <f>EH10*100/$E$10</f>
        <v/>
      </c>
      <c r="EJ10" s="108" t="n"/>
      <c r="EK10" s="121">
        <f>EJ10*100/$E$10</f>
        <v/>
      </c>
      <c r="EL10" s="108" t="n"/>
      <c r="EM10" s="121">
        <f>EL10*100/$E$10</f>
        <v/>
      </c>
      <c r="EN10" s="108" t="n"/>
      <c r="EO10" s="121">
        <f>EN10*100/$E$10</f>
        <v/>
      </c>
      <c r="EP10" s="108" t="n"/>
      <c r="EQ10" s="121">
        <f>EP10*100/$E$10</f>
        <v/>
      </c>
      <c r="ER10" s="108" t="n"/>
      <c r="ES10" s="121">
        <f>ER10*100/$E$10</f>
        <v/>
      </c>
      <c r="ET10" s="108" t="n"/>
      <c r="EU10" s="121">
        <f>ET10*100/$E$10</f>
        <v/>
      </c>
      <c r="EV10" s="108" t="n"/>
      <c r="EW10" s="121">
        <f>EV10*100/$E$10</f>
        <v/>
      </c>
      <c r="EX10" s="108" t="n"/>
      <c r="EY10" s="121">
        <f>EX10*100/$E$10</f>
        <v/>
      </c>
      <c r="EZ10" s="108" t="n"/>
      <c r="FA10" s="121">
        <f>EZ10*100/$E$10</f>
        <v/>
      </c>
      <c r="FB10" s="108" t="n"/>
      <c r="FC10" s="121">
        <f>FB10*100/$E$10</f>
        <v/>
      </c>
      <c r="FD10" s="108" t="n"/>
      <c r="FE10" s="121">
        <f>FD10*100/$E$10</f>
        <v/>
      </c>
      <c r="FF10" s="108" t="n"/>
      <c r="FG10" s="121">
        <f>FF10*100/$E$10</f>
        <v/>
      </c>
      <c r="FH10" s="108" t="n"/>
      <c r="FI10" s="121">
        <f>FH10*100/$E$10</f>
        <v/>
      </c>
      <c r="FJ10" s="108" t="n"/>
      <c r="FK10" s="121">
        <f>FJ10*100/$E$10</f>
        <v/>
      </c>
      <c r="FL10" s="108" t="n"/>
      <c r="FM10" s="121">
        <f>FL10*100/$E$10</f>
        <v/>
      </c>
      <c r="FN10" s="108" t="n"/>
      <c r="FO10" s="121">
        <f>FN10*100/$E$10</f>
        <v/>
      </c>
      <c r="FP10" s="108" t="n"/>
      <c r="FQ10" s="121">
        <f>FP10*100/$E$10</f>
        <v/>
      </c>
      <c r="FR10" s="108" t="n"/>
      <c r="FS10" s="121">
        <f>FR10*100/$E$10</f>
        <v/>
      </c>
      <c r="FT10" s="108" t="n"/>
      <c r="FU10" s="121">
        <f>FT10*100/$E$10</f>
        <v/>
      </c>
      <c r="FV10" s="108" t="n"/>
      <c r="FW10" s="121">
        <f>FV10*100/$E$10</f>
        <v/>
      </c>
      <c r="FX10" s="108" t="n"/>
      <c r="FY10" s="90">
        <f>FX10*100/$E$10</f>
        <v/>
      </c>
      <c r="FZ10" s="108" t="n"/>
      <c r="GA10" s="90">
        <f>FZ10*100/$E$10</f>
        <v/>
      </c>
      <c r="GB10" s="108" t="n"/>
      <c r="GC10" s="90">
        <f>GB10*100/$E$10</f>
        <v/>
      </c>
      <c r="GD10" s="108" t="n"/>
      <c r="GE10" s="90">
        <f>GD10*100/$E$10</f>
        <v/>
      </c>
      <c r="GF10" s="108" t="n"/>
      <c r="GG10" s="90">
        <f>GF10*100/$E$10</f>
        <v/>
      </c>
      <c r="GH10" s="108" t="n"/>
      <c r="GI10" s="90">
        <f>GH10*100/$E$10</f>
        <v/>
      </c>
      <c r="GJ10" s="108" t="n"/>
      <c r="GK10" s="121">
        <f>GJ10*100/$E$10</f>
        <v/>
      </c>
      <c r="GL10" s="108" t="n"/>
      <c r="GM10" s="90">
        <f>GL10*100/$E$10</f>
        <v/>
      </c>
      <c r="GN10" s="108" t="n"/>
      <c r="GO10" s="121">
        <f>GN10*100/$E$10</f>
        <v/>
      </c>
      <c r="GP10" s="108" t="n"/>
      <c r="GQ10" s="90">
        <f>GP10*100/$E$10</f>
        <v/>
      </c>
      <c r="GR10" s="108" t="n"/>
      <c r="GS10" s="121">
        <f>GR10*100/$E$10</f>
        <v/>
      </c>
      <c r="GT10" s="108" t="n"/>
      <c r="GU10" s="121">
        <f>GT10*100/$E$10</f>
        <v/>
      </c>
      <c r="GV10" s="108" t="n"/>
      <c r="GW10" s="121">
        <f>GV10*100/$E$10</f>
        <v/>
      </c>
      <c r="GX10" s="108" t="n"/>
      <c r="GY10" s="90">
        <f>GX10*100/$E$10</f>
        <v/>
      </c>
      <c r="GZ10" s="108" t="n"/>
      <c r="HA10" s="90">
        <f>GZ10*100/$E$10</f>
        <v/>
      </c>
      <c r="HB10" s="108" t="n"/>
      <c r="HC10" s="90">
        <f>HB10*100/$E$10</f>
        <v/>
      </c>
      <c r="HD10" s="108" t="n"/>
      <c r="HE10" s="90">
        <f>HD10*100/$E$10</f>
        <v/>
      </c>
      <c r="HF10" s="108" t="n"/>
      <c r="HG10" s="90">
        <f>HF10*100/$E$10</f>
        <v/>
      </c>
      <c r="HH10" s="108" t="n"/>
      <c r="HI10" s="90">
        <f>HH10*100/$E$10</f>
        <v/>
      </c>
      <c r="HJ10" s="108" t="n"/>
      <c r="HK10" s="90">
        <f>HJ10*100/$E$10</f>
        <v/>
      </c>
      <c r="HL10" s="108" t="n"/>
      <c r="HM10" s="90">
        <f>HL10*100/$E$10</f>
        <v/>
      </c>
      <c r="HN10" s="108" t="n"/>
      <c r="HO10" s="90">
        <f>HN10*100/$E$10</f>
        <v/>
      </c>
      <c r="HP10" s="108" t="n"/>
      <c r="HQ10" s="90">
        <f>HP10*100/$E$10</f>
        <v/>
      </c>
      <c r="HR10" s="108" t="n"/>
      <c r="HS10" s="90">
        <f>HR10*100/$E$10</f>
        <v/>
      </c>
      <c r="HT10" s="108" t="n"/>
      <c r="HU10" s="90">
        <f>HT10*100/$E$10</f>
        <v/>
      </c>
      <c r="HV10" s="108" t="n"/>
      <c r="HW10" s="90">
        <f>HV10*100/$E$10</f>
        <v/>
      </c>
      <c r="HX10" s="108" t="n"/>
      <c r="HY10" s="90">
        <f>HX10*100/$E$10</f>
        <v/>
      </c>
      <c r="HZ10" s="108" t="n"/>
      <c r="IA10" s="121">
        <f>HZ10*100/$E$10</f>
        <v/>
      </c>
      <c r="IB10" s="108" t="n"/>
      <c r="IC10" s="121">
        <f>IB10*100/$E$10</f>
        <v/>
      </c>
      <c r="ID10" s="108" t="n"/>
      <c r="IE10" s="121">
        <f>ID10*100/$E$10</f>
        <v/>
      </c>
      <c r="IF10" s="108" t="n"/>
      <c r="IG10" s="121">
        <f>IF10*100/$E$10</f>
        <v/>
      </c>
      <c r="IH10" s="108" t="n"/>
      <c r="II10" s="121">
        <f>IH10*100/$E$10</f>
        <v/>
      </c>
      <c r="IJ10" s="108" t="n"/>
      <c r="IK10" s="121">
        <f>IJ10*100/$E$10</f>
        <v/>
      </c>
      <c r="IL10" s="108" t="n"/>
      <c r="IM10" s="90">
        <f>IL10*100/$E$10</f>
        <v/>
      </c>
      <c r="IN10" s="108" t="n"/>
      <c r="IO10" s="90">
        <f>IN10*100/$E$10</f>
        <v/>
      </c>
      <c r="IP10" s="108" t="n"/>
      <c r="IQ10" s="121">
        <f>IP10*100/$E$10</f>
        <v/>
      </c>
      <c r="IR10" s="108" t="n"/>
      <c r="IS10" s="121">
        <f>IR10*100/$E$10</f>
        <v/>
      </c>
      <c r="IT10" s="108" t="n"/>
      <c r="IU10" s="121">
        <f>IT10*100/$E$10</f>
        <v/>
      </c>
      <c r="IV10" s="108" t="n"/>
      <c r="IW10" s="121">
        <f>IV10*100/$E$10</f>
        <v/>
      </c>
      <c r="IX10" s="108" t="n"/>
      <c r="IY10" s="121">
        <f>IX10*100/$E$10</f>
        <v/>
      </c>
      <c r="IZ10" s="108" t="n"/>
      <c r="JA10" s="121">
        <f>IZ10*100/$E$10</f>
        <v/>
      </c>
      <c r="JB10" s="108" t="n"/>
      <c r="JC10" s="121">
        <f>JB10*100/$E$10</f>
        <v/>
      </c>
      <c r="JD10" s="108" t="n"/>
      <c r="JE10" s="121">
        <f>JD10*100/$E$10</f>
        <v/>
      </c>
      <c r="JF10" s="108" t="n"/>
      <c r="JG10" s="121">
        <f>JF10*100/$E$10</f>
        <v/>
      </c>
      <c r="JH10" s="108" t="n"/>
      <c r="JI10" s="121">
        <f>JH10*100/$E$10</f>
        <v/>
      </c>
      <c r="JJ10" s="108" t="n"/>
      <c r="JK10" s="121">
        <f>JJ10*100/$E$10</f>
        <v/>
      </c>
      <c r="JL10" s="108" t="n"/>
      <c r="JM10" s="121">
        <f>JL10*100/$E$10</f>
        <v/>
      </c>
      <c r="JN10" s="108" t="n"/>
      <c r="JO10" s="122">
        <f>JN10*100/$E$10</f>
        <v/>
      </c>
      <c r="JP10" s="108" t="n"/>
      <c r="JQ10" s="122">
        <f>JP10*100/$E$10</f>
        <v/>
      </c>
      <c r="JR10" s="108" t="n"/>
      <c r="JS10" s="122">
        <f>JR10*100/$E$10</f>
        <v/>
      </c>
      <c r="JT10" s="108" t="n"/>
      <c r="JU10" s="122">
        <f>JT10*100/$E$10</f>
        <v/>
      </c>
      <c r="JV10" s="108" t="n"/>
      <c r="JW10" s="122">
        <f>JV10*100/$E$10</f>
        <v/>
      </c>
      <c r="JX10" s="108" t="n"/>
      <c r="JY10" s="122">
        <f>JX10*100/$E$10</f>
        <v/>
      </c>
      <c r="JZ10" s="55">
        <f>JN10+JP10+JR10+JT10+JV10+JX10</f>
        <v/>
      </c>
      <c r="KA10" s="53">
        <f>JO10+JQ10+JS10+JU10+JW10+JY10</f>
        <v/>
      </c>
      <c r="KB10" s="64">
        <f>H10+J10+L10+N10+P10+R10+T10+V10+X10+Z10+AB10+AD10+AF10+AH10+AJ10+AL10+AN10+AP10+AR10+AT10+AV10+AX10+AZ10+BB10+BD10+BF10+BH10+BJ10+BL10+BN10+BP10+BR10+BT10+BV10+BX10+BZ10+CB10+CD10+CF10+CH10+CZ10+DB10+DD10+DF10+DH10+DJ10+DL10+DN10+DP10+DR10+DT10+DV10+DX10+DZ10+EB10+ED10+EF10+EH10+EJ10+EL10+EN10+EP10+ER10+ET10+EV10+FN10+FP10+FR10+FT10+FV10+FX10+FZ10+GB10+GD10+GF10+GH10+GJ10+GL10+GN10+GP10+GR10+GT10+GV10+GX10+GZ10+HB10+HD10+HF10+HH10+HJ10+HL10+HN10+HP10+HR10+HT10+HV10+HX10+HZ10+IB10+ID10+IF10+IH10+IJ10+IL10+IN10+IP10+IR10+IT10+IV10+IX10+IZ10+JB10+JD10+JF10+JH10+JJ10+JL10+JZ10+CJ10+CL10+CN10+CP10+CR10+CT10+CV10+CX10+EX10+EZ10+FB10+FD10+FF10+FH10+FJ10+FL10</f>
        <v/>
      </c>
      <c r="KC10" s="66">
        <f>I10+K10+M10+O10+Q10+S10+U10+W10+Y10+AA10+AC10+AE10+AG10+AI10+AK10+AM10+AO10+AQ10+AS10+AU10+AW10+AY10+BA10+BC10+BE10+BG10+BI10+BK10+BM10+BO10+BQ10+BS10+BU10+BW10+BY10+CA10+CC10+CE10+CG10+CI10+DA10+DC10+DE10+DG10+DI10+DK10+DM10+DO10+DQ10+DS10+DU10+DW10+DY10+EA10+EC10+EE10+EG10+EI10+EK10+EM10+EO10+EQ10+ES10+EU10+EW10+FO10+FS10+FU10+FW10+FQ10+FY10+GA10+GC10+GE10+GG10+GI10+GK10+GM10+GO10+GQ10+GS10+GU10+GW10+GY10+HA10+HC10+HE10+HG10+HI10+HK10+HM10+HO10+HQ10+HS10+HU10+HW10+HY10+IA10+IC10+IE10+IG10+II10+IK10+IM10+IO10+IQ10+IS10+IU10+IW10+IY10+JA10+JC10+JE10+JG10+JI10+JK10+JM10+KA10+CK10+CM10+CO10+CQ10+CS10+CU10+CW10+CY10+EY10+FA10+FC10+FE10+FG10+FI10+FK10+FM10</f>
        <v/>
      </c>
      <c r="KD10" s="44">
        <f>JO10+JQ10+JS10+JU10+JW10+JY10</f>
        <v/>
      </c>
      <c r="KE10" s="45">
        <f>KB10=E10</f>
        <v/>
      </c>
      <c r="KF10" s="101">
        <f>E10-KB10</f>
        <v/>
      </c>
    </row>
    <row r="11" ht="21.75" customFormat="1" customHeight="1" s="17">
      <c r="A11" s="126">
        <f>A10+1</f>
        <v/>
      </c>
      <c r="B11" s="175" t="inlineStr">
        <is>
          <t>Блощинский С.В.</t>
        </is>
      </c>
      <c r="C11" s="176" t="inlineStr">
        <is>
          <t>слесарь</t>
        </is>
      </c>
      <c r="D11" s="177">
        <f>$D$5</f>
        <v/>
      </c>
      <c r="E11" s="202" t="n"/>
      <c r="F11" s="178" t="n">
        <v>68902.87</v>
      </c>
      <c r="G11" s="52">
        <f>F11/D11</f>
        <v/>
      </c>
      <c r="H11" s="125" t="n"/>
      <c r="I11" s="90">
        <f>H11*100/$E$11</f>
        <v/>
      </c>
      <c r="J11" s="108" t="n"/>
      <c r="K11" s="90">
        <f>J11*100/$E$10</f>
        <v/>
      </c>
      <c r="L11" s="108" t="n"/>
      <c r="M11" s="90">
        <f>L11*100/$E$10</f>
        <v/>
      </c>
      <c r="N11" s="108" t="n"/>
      <c r="O11" s="90">
        <f>N11*100/$E$10</f>
        <v/>
      </c>
      <c r="P11" s="108" t="n"/>
      <c r="Q11" s="121">
        <f>P11*100/$E$10</f>
        <v/>
      </c>
      <c r="R11" s="108" t="n"/>
      <c r="S11" s="121">
        <f>R11*100/$E$10</f>
        <v/>
      </c>
      <c r="T11" s="108" t="n"/>
      <c r="U11" s="90">
        <f>T11*100/$E$11</f>
        <v/>
      </c>
      <c r="V11" s="108" t="n"/>
      <c r="W11" s="90">
        <f>V11*100/$E$10</f>
        <v/>
      </c>
      <c r="X11" s="108" t="n"/>
      <c r="Y11" s="90">
        <f>X11*100/$E$11</f>
        <v/>
      </c>
      <c r="Z11" s="108" t="n"/>
      <c r="AA11" s="90">
        <f>Z11*100/$E$11</f>
        <v/>
      </c>
      <c r="AB11" s="108" t="n"/>
      <c r="AC11" s="90">
        <f>AB11*100/$E$11</f>
        <v/>
      </c>
      <c r="AD11" s="108" t="n"/>
      <c r="AE11" s="121">
        <f>AD11*100/$E$11</f>
        <v/>
      </c>
      <c r="AF11" s="108" t="n"/>
      <c r="AG11" s="121">
        <f>AF11*100/$E$11</f>
        <v/>
      </c>
      <c r="AH11" s="108" t="n"/>
      <c r="AI11" s="90">
        <f>AH11*100/$E$11</f>
        <v/>
      </c>
      <c r="AJ11" s="108" t="n"/>
      <c r="AK11" s="90">
        <f>AJ11*100/$E$11</f>
        <v/>
      </c>
      <c r="AL11" s="108" t="n"/>
      <c r="AM11" s="90">
        <f>AL11*100/$E$11</f>
        <v/>
      </c>
      <c r="AN11" s="108" t="n"/>
      <c r="AO11" s="90">
        <f>AN11*100/$E$11</f>
        <v/>
      </c>
      <c r="AP11" s="108" t="n"/>
      <c r="AQ11" s="90">
        <f>AP11*100/$E$11</f>
        <v/>
      </c>
      <c r="AR11" s="108" t="n"/>
      <c r="AS11" s="90">
        <f>AR11*100/$E$11</f>
        <v/>
      </c>
      <c r="AT11" s="108" t="n"/>
      <c r="AU11" s="90">
        <f>AT11*100/$E$11</f>
        <v/>
      </c>
      <c r="AV11" s="108" t="n"/>
      <c r="AW11" s="90">
        <f>AV11*100/$E$11</f>
        <v/>
      </c>
      <c r="AX11" s="108" t="n"/>
      <c r="AY11" s="90">
        <f>AX11*100/$E$11</f>
        <v/>
      </c>
      <c r="AZ11" s="108" t="n"/>
      <c r="BA11" s="90">
        <f>AZ11*100/$E$11</f>
        <v/>
      </c>
      <c r="BB11" s="108" t="n"/>
      <c r="BC11" s="90">
        <f>BB11*100/$E$11</f>
        <v/>
      </c>
      <c r="BD11" s="108" t="n"/>
      <c r="BE11" s="90">
        <f>BD11*100/$E$11</f>
        <v/>
      </c>
      <c r="BF11" s="108" t="n"/>
      <c r="BG11" s="90">
        <f>BF11*100/$E$11</f>
        <v/>
      </c>
      <c r="BH11" s="108" t="n"/>
      <c r="BI11" s="90">
        <f>BH11*100/$E$11</f>
        <v/>
      </c>
      <c r="BJ11" s="108" t="n"/>
      <c r="BK11" s="90">
        <f>BJ11*100/$E$11</f>
        <v/>
      </c>
      <c r="BL11" s="108" t="n"/>
      <c r="BM11" s="90">
        <f>BL11*100/$E$11</f>
        <v/>
      </c>
      <c r="BN11" s="108" t="n"/>
      <c r="BO11" s="90">
        <f>BN11*100/$E$11</f>
        <v/>
      </c>
      <c r="BP11" s="108" t="n"/>
      <c r="BQ11" s="90">
        <f>BP11*100/$E$11</f>
        <v/>
      </c>
      <c r="BR11" s="108" t="n"/>
      <c r="BS11" s="90">
        <f>BR11*100/$E$11</f>
        <v/>
      </c>
      <c r="BT11" s="108" t="n"/>
      <c r="BU11" s="90">
        <f>BT11*100/$E$11</f>
        <v/>
      </c>
      <c r="BV11" s="108" t="n"/>
      <c r="BW11" s="90">
        <f>BV11*100/$E$11</f>
        <v/>
      </c>
      <c r="BX11" s="108" t="n"/>
      <c r="BY11" s="90">
        <f>BX11*100/$E$11</f>
        <v/>
      </c>
      <c r="BZ11" s="108" t="n"/>
      <c r="CA11" s="90">
        <f>BZ11*100/$E$11</f>
        <v/>
      </c>
      <c r="CB11" s="108" t="n"/>
      <c r="CC11" s="90">
        <f>CB11*100/$E$11</f>
        <v/>
      </c>
      <c r="CD11" s="108" t="n"/>
      <c r="CE11" s="90">
        <f>CD11*100/$E$10</f>
        <v/>
      </c>
      <c r="CF11" s="108" t="n"/>
      <c r="CG11" s="90">
        <f>CF11*100/$E$11</f>
        <v/>
      </c>
      <c r="CH11" s="108" t="n"/>
      <c r="CI11" s="90">
        <f>CH11*100/$E$11</f>
        <v/>
      </c>
      <c r="CJ11" s="108" t="n"/>
      <c r="CK11" s="90">
        <f>CJ11*100/$E$11</f>
        <v/>
      </c>
      <c r="CL11" s="108" t="n"/>
      <c r="CM11" s="90">
        <f>CL11*100/$E$11</f>
        <v/>
      </c>
      <c r="CN11" s="108" t="n"/>
      <c r="CO11" s="122">
        <f>CN11*100/$E$11</f>
        <v/>
      </c>
      <c r="CP11" s="108" t="n"/>
      <c r="CQ11" s="90">
        <f>CP11*100/$E$11</f>
        <v/>
      </c>
      <c r="CR11" s="108" t="n"/>
      <c r="CS11" s="121">
        <f>CR11*100/$E$11</f>
        <v/>
      </c>
      <c r="CT11" s="108" t="n"/>
      <c r="CU11" s="121">
        <f>CT11*100/$E$11</f>
        <v/>
      </c>
      <c r="CV11" s="108" t="n"/>
      <c r="CW11" s="121">
        <f>CV11*100/$E$11</f>
        <v/>
      </c>
      <c r="CX11" s="108" t="n"/>
      <c r="CY11" s="121">
        <f>CX11*100/$E$11</f>
        <v/>
      </c>
      <c r="CZ11" s="108" t="n"/>
      <c r="DA11" s="121">
        <f>CZ11*100/$E$11</f>
        <v/>
      </c>
      <c r="DB11" s="108" t="n"/>
      <c r="DC11" s="121">
        <f>DB11*100/$E$11</f>
        <v/>
      </c>
      <c r="DD11" s="108" t="n"/>
      <c r="DE11" s="121">
        <f>DD11*100/$E$11</f>
        <v/>
      </c>
      <c r="DF11" s="108" t="n"/>
      <c r="DG11" s="121">
        <f>DF11*100/$E$11</f>
        <v/>
      </c>
      <c r="DH11" s="108" t="n"/>
      <c r="DI11" s="121">
        <f>DH11*100/$E$11</f>
        <v/>
      </c>
      <c r="DJ11" s="108" t="n"/>
      <c r="DK11" s="121">
        <f>DJ11*100/$E$11</f>
        <v/>
      </c>
      <c r="DL11" s="108" t="n"/>
      <c r="DM11" s="121">
        <f>DL11*100/$E$11</f>
        <v/>
      </c>
      <c r="DN11" s="108" t="n"/>
      <c r="DO11" s="121">
        <f>DN11*100/$E$11</f>
        <v/>
      </c>
      <c r="DP11" s="108" t="n"/>
      <c r="DQ11" s="121">
        <f>DP11*100/$E$11</f>
        <v/>
      </c>
      <c r="DR11" s="108" t="n"/>
      <c r="DS11" s="121">
        <f>DR11*100/$E$11</f>
        <v/>
      </c>
      <c r="DT11" s="108" t="n"/>
      <c r="DU11" s="121">
        <f>DT11*100/$E$11</f>
        <v/>
      </c>
      <c r="DV11" s="108" t="n"/>
      <c r="DW11" s="121">
        <f>DV11*100/$E$11</f>
        <v/>
      </c>
      <c r="DX11" s="108" t="n"/>
      <c r="DY11" s="121">
        <f>DX11*100/$E$11</f>
        <v/>
      </c>
      <c r="DZ11" s="108" t="n"/>
      <c r="EA11" s="121">
        <f>DZ11*100/$E$11</f>
        <v/>
      </c>
      <c r="EB11" s="108" t="n"/>
      <c r="EC11" s="121">
        <f>EB11*100/$E$11</f>
        <v/>
      </c>
      <c r="ED11" s="108" t="n"/>
      <c r="EE11" s="121">
        <f>ED11*100/$E$11</f>
        <v/>
      </c>
      <c r="EF11" s="108" t="n"/>
      <c r="EG11" s="121">
        <f>EF11*100/$E$11</f>
        <v/>
      </c>
      <c r="EH11" s="108" t="n"/>
      <c r="EI11" s="121">
        <f>EH11*100/$E$11</f>
        <v/>
      </c>
      <c r="EJ11" s="108" t="n"/>
      <c r="EK11" s="121">
        <f>EJ11*100/$E$10</f>
        <v/>
      </c>
      <c r="EL11" s="108" t="n"/>
      <c r="EM11" s="121">
        <f>EL11*100/$E$11</f>
        <v/>
      </c>
      <c r="EN11" s="108" t="n"/>
      <c r="EO11" s="121">
        <f>EN11*100/$E$11</f>
        <v/>
      </c>
      <c r="EP11" s="108" t="n"/>
      <c r="EQ11" s="121">
        <f>EP11*100/$E$11</f>
        <v/>
      </c>
      <c r="ER11" s="108" t="n"/>
      <c r="ES11" s="121">
        <f>ER11*100/$E$11</f>
        <v/>
      </c>
      <c r="ET11" s="108" t="n"/>
      <c r="EU11" s="121">
        <f>ET11*100/$E$11</f>
        <v/>
      </c>
      <c r="EV11" s="108" t="n"/>
      <c r="EW11" s="121">
        <f>EV11*100/$E$11</f>
        <v/>
      </c>
      <c r="EX11" s="108" t="n"/>
      <c r="EY11" s="121">
        <f>EX11*100/$E$11</f>
        <v/>
      </c>
      <c r="EZ11" s="108" t="n"/>
      <c r="FA11" s="121">
        <f>EZ11*100/$E$11</f>
        <v/>
      </c>
      <c r="FB11" s="108" t="n"/>
      <c r="FC11" s="121">
        <f>FB11*100/$E$11</f>
        <v/>
      </c>
      <c r="FD11" s="108" t="n"/>
      <c r="FE11" s="121">
        <f>FD11*100/$E$11</f>
        <v/>
      </c>
      <c r="FF11" s="108" t="n"/>
      <c r="FG11" s="121">
        <f>FF11*100/$E$11</f>
        <v/>
      </c>
      <c r="FH11" s="108" t="n"/>
      <c r="FI11" s="121">
        <f>FH11*100/$E$11</f>
        <v/>
      </c>
      <c r="FJ11" s="108" t="n"/>
      <c r="FK11" s="121">
        <f>FJ11*100/$E$11</f>
        <v/>
      </c>
      <c r="FL11" s="108" t="n"/>
      <c r="FM11" s="121">
        <f>FL11*100/$E$11</f>
        <v/>
      </c>
      <c r="FN11" s="108" t="n"/>
      <c r="FO11" s="121">
        <f>FN11*100/$E$11</f>
        <v/>
      </c>
      <c r="FP11" s="108" t="n"/>
      <c r="FQ11" s="121">
        <f>FP11*100/$E$11</f>
        <v/>
      </c>
      <c r="FR11" s="108" t="n"/>
      <c r="FS11" s="121">
        <f>FR11*100/$E$11</f>
        <v/>
      </c>
      <c r="FT11" s="108" t="n"/>
      <c r="FU11" s="121">
        <f>FT11*100/$E$11</f>
        <v/>
      </c>
      <c r="FV11" s="108" t="n"/>
      <c r="FW11" s="121">
        <f>FV11*100/$E$11</f>
        <v/>
      </c>
      <c r="FX11" s="108" t="n"/>
      <c r="FY11" s="121">
        <f>FX11*100/$E$11</f>
        <v/>
      </c>
      <c r="FZ11" s="108" t="n"/>
      <c r="GA11" s="121">
        <f>FZ11*100/$E$11</f>
        <v/>
      </c>
      <c r="GB11" s="108" t="n"/>
      <c r="GC11" s="121">
        <f>GB11*100/$E$11</f>
        <v/>
      </c>
      <c r="GD11" s="108" t="n"/>
      <c r="GE11" s="121">
        <f>GD11*100/$E$11</f>
        <v/>
      </c>
      <c r="GF11" s="108" t="n"/>
      <c r="GG11" s="121">
        <f>GF11*100/$E$11</f>
        <v/>
      </c>
      <c r="GH11" s="108" t="n"/>
      <c r="GI11" s="121">
        <f>GH11*100/$E$11</f>
        <v/>
      </c>
      <c r="GJ11" s="108" t="n"/>
      <c r="GK11" s="121">
        <f>GJ11*100/$E$11</f>
        <v/>
      </c>
      <c r="GL11" s="108" t="n"/>
      <c r="GM11" s="121">
        <f>GL11*100/$E$11</f>
        <v/>
      </c>
      <c r="GN11" s="108" t="n"/>
      <c r="GO11" s="121">
        <f>GN11*100/$E$11</f>
        <v/>
      </c>
      <c r="GP11" s="108" t="n"/>
      <c r="GQ11" s="121">
        <f>GP11*100/$E$11</f>
        <v/>
      </c>
      <c r="GR11" s="108" t="n"/>
      <c r="GS11" s="121">
        <f>GR11*100/$E$11</f>
        <v/>
      </c>
      <c r="GT11" s="108" t="n"/>
      <c r="GU11" s="121">
        <f>GT11*100/$E$11</f>
        <v/>
      </c>
      <c r="GV11" s="108" t="n"/>
      <c r="GW11" s="121">
        <f>GV11*100/$E$11</f>
        <v/>
      </c>
      <c r="GX11" s="108" t="n"/>
      <c r="GY11" s="121">
        <f>GX11*100/$E$11</f>
        <v/>
      </c>
      <c r="GZ11" s="108" t="n"/>
      <c r="HA11" s="121">
        <f>GZ11*100/$E$11</f>
        <v/>
      </c>
      <c r="HB11" s="108" t="n"/>
      <c r="HC11" s="121">
        <f>HB11*100/$E$11</f>
        <v/>
      </c>
      <c r="HD11" s="108" t="n"/>
      <c r="HE11" s="121">
        <f>HD11*100/$E$11</f>
        <v/>
      </c>
      <c r="HF11" s="108" t="n"/>
      <c r="HG11" s="121">
        <f>HF11*100/$E$11</f>
        <v/>
      </c>
      <c r="HH11" s="108" t="n"/>
      <c r="HI11" s="121">
        <f>HH11*100/$E$11</f>
        <v/>
      </c>
      <c r="HJ11" s="108" t="n"/>
      <c r="HK11" s="121">
        <f>HJ11*100/$E$11</f>
        <v/>
      </c>
      <c r="HL11" s="108" t="n"/>
      <c r="HM11" s="121">
        <f>HL11*100/$E$11</f>
        <v/>
      </c>
      <c r="HN11" s="108" t="n"/>
      <c r="HO11" s="121">
        <f>HN11*100/$E$11</f>
        <v/>
      </c>
      <c r="HP11" s="108" t="n"/>
      <c r="HQ11" s="121">
        <f>HP11*100/$E$11</f>
        <v/>
      </c>
      <c r="HR11" s="108" t="n"/>
      <c r="HS11" s="121">
        <f>HR11*100/$E$11</f>
        <v/>
      </c>
      <c r="HT11" s="108" t="n"/>
      <c r="HU11" s="121">
        <f>HT11*100/$E$11</f>
        <v/>
      </c>
      <c r="HV11" s="108" t="n"/>
      <c r="HW11" s="121">
        <f>HV11*100/$E$11</f>
        <v/>
      </c>
      <c r="HX11" s="108" t="n"/>
      <c r="HY11" s="121">
        <f>HX11*100/$E$11</f>
        <v/>
      </c>
      <c r="HZ11" s="108" t="n"/>
      <c r="IA11" s="121">
        <f>HZ11*100/$E$11</f>
        <v/>
      </c>
      <c r="IB11" s="108" t="n"/>
      <c r="IC11" s="121">
        <f>IB11*100/$E$11</f>
        <v/>
      </c>
      <c r="ID11" s="108" t="n"/>
      <c r="IE11" s="121">
        <f>ID11*100/$E$11</f>
        <v/>
      </c>
      <c r="IF11" s="108" t="n"/>
      <c r="IG11" s="121">
        <f>IF11*100/$E$11</f>
        <v/>
      </c>
      <c r="IH11" s="108" t="n"/>
      <c r="II11" s="121">
        <f>IH11*100/$E$11</f>
        <v/>
      </c>
      <c r="IJ11" s="108" t="n"/>
      <c r="IK11" s="121">
        <f>IJ11*100/$E$11</f>
        <v/>
      </c>
      <c r="IL11" s="108" t="n"/>
      <c r="IM11" s="121">
        <f>IL11*100/$E$11</f>
        <v/>
      </c>
      <c r="IN11" s="108" t="n"/>
      <c r="IO11" s="121">
        <f>IN11*100/$E$11</f>
        <v/>
      </c>
      <c r="IP11" s="108" t="n"/>
      <c r="IQ11" s="121">
        <f>IP11*100/$E$11</f>
        <v/>
      </c>
      <c r="IR11" s="108" t="n"/>
      <c r="IS11" s="121">
        <f>IR11*100/$E$11</f>
        <v/>
      </c>
      <c r="IT11" s="108" t="n"/>
      <c r="IU11" s="121">
        <f>IT11*100/$E$11</f>
        <v/>
      </c>
      <c r="IV11" s="108" t="n"/>
      <c r="IW11" s="121">
        <f>IV11*100/$E$11</f>
        <v/>
      </c>
      <c r="IX11" s="108" t="n"/>
      <c r="IY11" s="121">
        <f>IX11*100/$E$11</f>
        <v/>
      </c>
      <c r="IZ11" s="108" t="n"/>
      <c r="JA11" s="121">
        <f>IZ11*100/$E$11</f>
        <v/>
      </c>
      <c r="JB11" s="108" t="n"/>
      <c r="JC11" s="121">
        <f>JB11*100/$E$11</f>
        <v/>
      </c>
      <c r="JD11" s="108" t="n"/>
      <c r="JE11" s="121">
        <f>JD11*100/$E$11</f>
        <v/>
      </c>
      <c r="JF11" s="108" t="n"/>
      <c r="JG11" s="121">
        <f>JF11*100/$E$11</f>
        <v/>
      </c>
      <c r="JH11" s="108" t="n"/>
      <c r="JI11" s="121">
        <f>JH11*100/$E$11</f>
        <v/>
      </c>
      <c r="JJ11" s="108" t="n"/>
      <c r="JK11" s="121">
        <f>JJ11*100/$E$11</f>
        <v/>
      </c>
      <c r="JL11" s="108" t="n"/>
      <c r="JM11" s="121">
        <f>JL11*100/$E$11</f>
        <v/>
      </c>
      <c r="JN11" s="108" t="n"/>
      <c r="JO11" s="122">
        <f>JN11*100/$E$11</f>
        <v/>
      </c>
      <c r="JP11" s="108" t="n"/>
      <c r="JQ11" s="122">
        <f>JP11*100/$E$11</f>
        <v/>
      </c>
      <c r="JR11" s="108" t="n"/>
      <c r="JS11" s="122">
        <f>JR11*100/$E$11</f>
        <v/>
      </c>
      <c r="JT11" s="108" t="n"/>
      <c r="JU11" s="122">
        <f>JT11*100/$E$11</f>
        <v/>
      </c>
      <c r="JV11" s="108" t="n"/>
      <c r="JW11" s="122">
        <f>JV11*100/$E$11</f>
        <v/>
      </c>
      <c r="JX11" s="108" t="n"/>
      <c r="JY11" s="122">
        <f>JX11*100/$E$11</f>
        <v/>
      </c>
      <c r="JZ11" s="55">
        <f>JN11+JP11+JR11+JT11+JV11+JX11</f>
        <v/>
      </c>
      <c r="KA11" s="53">
        <f>JO11+JQ11+JS11+JU11+JW11+JY11</f>
        <v/>
      </c>
      <c r="KB11" s="64">
        <f>H11+J11+L11+N11+P11+R11+T11+V11+X11+Z11+AB11+AD11+AF11+AH11+AJ11+AL11+AN11+AP11+AR11+AT11+AV11+AX11+AZ11+BB11+BD11+BF11+BH11+BJ11+BL11+BN11+BP11+BR11+BT11+BV11+BX11+BZ11+CB11+CD11+CF11+CH11+CZ11+DB11+DD11+DF11+DH11+DJ11+DL11+DN11+DP11+DR11+DT11+DV11+DX11+DZ11+EB11+ED11+EF11+EH11+EJ11+EL11+EN11+EP11+ER11+ET11+EV11+FN11+FP11+FR11+FT11+FV11+FX11+FZ11+GB11+GD11+GF11+GH11+GJ11+GL11+GN11+GP11+GR11+GT11+GV11+GX11+GZ11+HB11+HD11+HF11+HH11+HJ11+HL11+HN11+HP11+HR11+HT11+HV11+HX11+HZ11+IB11+ID11+IF11+IH11+IJ11+IL11+IN11+IP11+IR11+IT11+IV11+IX11+IZ11+JB11+JD11+JF11+JH11+JJ11+JL11+JZ11+CJ11+CL11+CN11+CP11+CR11+CT11+CV11+CX11+EX11+EZ11+FB11+FD11+FF11+FH11+FJ11+FL11</f>
        <v/>
      </c>
      <c r="KC11" s="66">
        <f>I11+K11+M11+O11+Q11+S11+U11+W11+Y11+AA11+AC11+AE11+AG11+AI11+AK11+AM11+AO11+AQ11+AS11+AU11+AW11+AY11+BA11+BC11+BE11+BG11+BI11+BK11+BM11+BO11+BQ11+BS11+BU11+BW11+BY11+CA11+CC11+CE11+CG11+CI11+DA11+DC11+DE11+DG11+DI11+DK11+DM11+DO11+DQ11+DS11+DU11+DW11+DY11+EA11+EC11+EE11+EG11+EI11+EK11+EM11+EO11+EQ11+ES11+EU11+EW11+FO11+FS11+FU11+FW11+FQ11+FY11+GA11+GC11+GE11+GG11+GI11+GK11+GM11+GO11+GQ11+GS11+GU11+GW11+GY11+HA11+HC11+HE11+HG11+HI11+HK11+HM11+HO11+HQ11+HS11+HU11+HW11+HY11+IA11+IC11+IE11+IG11+II11+IK11+IM11+IO11+IQ11+IS11+IU11+IW11+IY11+JA11+JC11+JE11+JG11+JI11+JK11+JM11+KA11+CK11+CM11+CO11+CQ11+CS11+CU11+CW11+CY11+EY11+FA11+FC11+FE11+FG11+FI11+FK11+FM11</f>
        <v/>
      </c>
      <c r="KD11" s="44">
        <f>JO11+JQ11+JS11+JU11+JW11+JY11</f>
        <v/>
      </c>
      <c r="KE11" s="45">
        <f>KB11=E11</f>
        <v/>
      </c>
      <c r="KF11" s="101">
        <f>E11-KB11</f>
        <v/>
      </c>
    </row>
    <row r="12" ht="21.75" customFormat="1" customHeight="1" s="11">
      <c r="A12" s="126">
        <f>A11+1</f>
        <v/>
      </c>
      <c r="B12" s="175" t="inlineStr">
        <is>
          <t>Бреев И.И.</t>
        </is>
      </c>
      <c r="C12" s="194" t="inlineStr">
        <is>
          <t>токарь</t>
        </is>
      </c>
      <c r="D12" s="177">
        <f>$D$5</f>
        <v/>
      </c>
      <c r="E12" s="202" t="n"/>
      <c r="F12" s="191" t="n">
        <v>101150.45</v>
      </c>
      <c r="G12" s="52">
        <f>F12/D12</f>
        <v/>
      </c>
      <c r="H12" s="125" t="n"/>
      <c r="I12" s="90">
        <f>H12*100/$E$12</f>
        <v/>
      </c>
      <c r="J12" s="108" t="n"/>
      <c r="K12" s="90">
        <f>J12*100/$E$12</f>
        <v/>
      </c>
      <c r="L12" s="108" t="n"/>
      <c r="M12" s="90">
        <f>L12*100/$E$12</f>
        <v/>
      </c>
      <c r="N12" s="108" t="n"/>
      <c r="O12" s="90">
        <f>N12*100/$E$12</f>
        <v/>
      </c>
      <c r="P12" s="108" t="n"/>
      <c r="Q12" s="121">
        <f>P12*100/$E$12</f>
        <v/>
      </c>
      <c r="R12" s="108" t="n"/>
      <c r="S12" s="121">
        <f>R12*100/$E$12</f>
        <v/>
      </c>
      <c r="T12" s="108" t="n"/>
      <c r="U12" s="90">
        <f>T12*100/$E$12</f>
        <v/>
      </c>
      <c r="V12" s="108" t="n"/>
      <c r="W12" s="90">
        <f>V12*100/$E$12</f>
        <v/>
      </c>
      <c r="X12" s="108" t="n"/>
      <c r="Y12" s="90">
        <f>X12*100/$E$12</f>
        <v/>
      </c>
      <c r="Z12" s="108" t="n"/>
      <c r="AA12" s="90">
        <f>Z12*100/$E$12</f>
        <v/>
      </c>
      <c r="AB12" s="108" t="n"/>
      <c r="AC12" s="90">
        <f>AB12*100/$E$12</f>
        <v/>
      </c>
      <c r="AD12" s="108" t="n"/>
      <c r="AE12" s="121">
        <f>AD12*100/$E$12</f>
        <v/>
      </c>
      <c r="AF12" s="108" t="n"/>
      <c r="AG12" s="121">
        <f>AF12*100/$E$12</f>
        <v/>
      </c>
      <c r="AH12" s="108" t="n"/>
      <c r="AI12" s="90">
        <f>AH12*100/$E$12</f>
        <v/>
      </c>
      <c r="AJ12" s="108" t="n"/>
      <c r="AK12" s="90">
        <f>AJ12*100/$E$12</f>
        <v/>
      </c>
      <c r="AL12" s="108" t="n"/>
      <c r="AM12" s="90">
        <f>AL12*100/$E$12</f>
        <v/>
      </c>
      <c r="AN12" s="108" t="n"/>
      <c r="AO12" s="90">
        <f>AN12*100/$E$12</f>
        <v/>
      </c>
      <c r="AP12" s="108" t="n"/>
      <c r="AQ12" s="90">
        <f>AP12*100/$E$12</f>
        <v/>
      </c>
      <c r="AR12" s="108" t="n"/>
      <c r="AS12" s="90">
        <f>AR12*100/$E$12</f>
        <v/>
      </c>
      <c r="AT12" s="108" t="n"/>
      <c r="AU12" s="90">
        <f>AT12*100/$E$12</f>
        <v/>
      </c>
      <c r="AV12" s="108" t="n"/>
      <c r="AW12" s="90">
        <f>AV12*100/$E$12</f>
        <v/>
      </c>
      <c r="AX12" s="108" t="n"/>
      <c r="AY12" s="90">
        <f>AX12*100/$E$12</f>
        <v/>
      </c>
      <c r="AZ12" s="108" t="n"/>
      <c r="BA12" s="90">
        <f>AZ12*100/$E$12</f>
        <v/>
      </c>
      <c r="BB12" s="108" t="n"/>
      <c r="BC12" s="90">
        <f>BB12*100/$E$12</f>
        <v/>
      </c>
      <c r="BD12" s="108" t="n"/>
      <c r="BE12" s="90">
        <f>BD12*100/$E$12</f>
        <v/>
      </c>
      <c r="BF12" s="108" t="n"/>
      <c r="BG12" s="90">
        <f>BF12*100/$E$12</f>
        <v/>
      </c>
      <c r="BH12" s="108" t="n"/>
      <c r="BI12" s="90">
        <f>BH12*100/$E$12</f>
        <v/>
      </c>
      <c r="BJ12" s="108" t="n"/>
      <c r="BK12" s="90">
        <f>BJ12*100/$E$12</f>
        <v/>
      </c>
      <c r="BL12" s="108" t="n"/>
      <c r="BM12" s="90">
        <f>BL12*100/$E$12</f>
        <v/>
      </c>
      <c r="BN12" s="108" t="n"/>
      <c r="BO12" s="90">
        <f>BN12*100/$E$12</f>
        <v/>
      </c>
      <c r="BP12" s="108" t="n"/>
      <c r="BQ12" s="90">
        <f>BP12*100/$E$12</f>
        <v/>
      </c>
      <c r="BR12" s="108" t="n"/>
      <c r="BS12" s="90">
        <f>BR12*100/$E$12</f>
        <v/>
      </c>
      <c r="BT12" s="108" t="n"/>
      <c r="BU12" s="90">
        <f>BT12*100/$E$12</f>
        <v/>
      </c>
      <c r="BV12" s="108" t="n"/>
      <c r="BW12" s="90">
        <f>BV12*100/$E$12</f>
        <v/>
      </c>
      <c r="BX12" s="108" t="n"/>
      <c r="BY12" s="90">
        <f>BX12*100/$E$12</f>
        <v/>
      </c>
      <c r="BZ12" s="108" t="n"/>
      <c r="CA12" s="90">
        <f>BZ12*100/$E$12</f>
        <v/>
      </c>
      <c r="CB12" s="108" t="n"/>
      <c r="CC12" s="90">
        <f>CB12*100/$E$12</f>
        <v/>
      </c>
      <c r="CD12" s="108" t="n"/>
      <c r="CE12" s="90">
        <f>CD12*100/$E$12</f>
        <v/>
      </c>
      <c r="CF12" s="108" t="n"/>
      <c r="CG12" s="90">
        <f>CF12*100/$E$12</f>
        <v/>
      </c>
      <c r="CH12" s="108" t="n"/>
      <c r="CI12" s="90">
        <f>CH12*100/$E$12</f>
        <v/>
      </c>
      <c r="CJ12" s="108" t="n"/>
      <c r="CK12" s="90">
        <f>CJ12*100/$E$12</f>
        <v/>
      </c>
      <c r="CL12" s="108" t="n"/>
      <c r="CM12" s="90">
        <f>CL12*100/$E$12</f>
        <v/>
      </c>
      <c r="CN12" s="108" t="n"/>
      <c r="CO12" s="122">
        <f>CN12*100/$E$12</f>
        <v/>
      </c>
      <c r="CP12" s="108" t="n"/>
      <c r="CQ12" s="90">
        <f>CP12*100/$E$12</f>
        <v/>
      </c>
      <c r="CR12" s="108" t="n"/>
      <c r="CS12" s="121">
        <f>CR12*100/$E$12</f>
        <v/>
      </c>
      <c r="CT12" s="108" t="n"/>
      <c r="CU12" s="121">
        <f>CT12*100/$E$12</f>
        <v/>
      </c>
      <c r="CV12" s="108" t="n"/>
      <c r="CW12" s="121">
        <f>CV12*100/$E$12</f>
        <v/>
      </c>
      <c r="CX12" s="108" t="n"/>
      <c r="CY12" s="121">
        <f>CX12*100/$E$12</f>
        <v/>
      </c>
      <c r="CZ12" s="108" t="n"/>
      <c r="DA12" s="121">
        <f>CZ12*100/$E$12</f>
        <v/>
      </c>
      <c r="DB12" s="108" t="n"/>
      <c r="DC12" s="121">
        <f>DB12*100/$E$12</f>
        <v/>
      </c>
      <c r="DD12" s="108" t="n"/>
      <c r="DE12" s="121">
        <f>DD12*100/$E$12</f>
        <v/>
      </c>
      <c r="DF12" s="108" t="n"/>
      <c r="DG12" s="121">
        <f>DF12*100/$E$12</f>
        <v/>
      </c>
      <c r="DH12" s="108" t="n"/>
      <c r="DI12" s="121">
        <f>DH12*100/$E$12</f>
        <v/>
      </c>
      <c r="DJ12" s="108" t="n"/>
      <c r="DK12" s="121">
        <f>DJ12*100/$E$12</f>
        <v/>
      </c>
      <c r="DL12" s="108" t="n"/>
      <c r="DM12" s="121">
        <f>DL12*100/$E$12</f>
        <v/>
      </c>
      <c r="DN12" s="108" t="n"/>
      <c r="DO12" s="121">
        <f>DN12*100/$E$12</f>
        <v/>
      </c>
      <c r="DP12" s="108" t="n"/>
      <c r="DQ12" s="121">
        <f>DP12*100/$E$12</f>
        <v/>
      </c>
      <c r="DR12" s="108" t="n"/>
      <c r="DS12" s="121">
        <f>DR12*100/$E$12</f>
        <v/>
      </c>
      <c r="DT12" s="108" t="n"/>
      <c r="DU12" s="121">
        <f>DT12*100/$E$12</f>
        <v/>
      </c>
      <c r="DV12" s="108" t="n"/>
      <c r="DW12" s="121">
        <f>DV12*100/$E$12</f>
        <v/>
      </c>
      <c r="DX12" s="108" t="n"/>
      <c r="DY12" s="121">
        <f>DX12*100/$E$12</f>
        <v/>
      </c>
      <c r="DZ12" s="108" t="n"/>
      <c r="EA12" s="121">
        <f>DZ12*100/$E$12</f>
        <v/>
      </c>
      <c r="EB12" s="108" t="n"/>
      <c r="EC12" s="121">
        <f>EB12*100/$E$12</f>
        <v/>
      </c>
      <c r="ED12" s="108" t="n"/>
      <c r="EE12" s="121">
        <f>ED12*100/$E$12</f>
        <v/>
      </c>
      <c r="EF12" s="108" t="n"/>
      <c r="EG12" s="121">
        <f>EF12*100/$E$12</f>
        <v/>
      </c>
      <c r="EH12" s="108" t="n"/>
      <c r="EI12" s="121">
        <f>EH12*100/$E$12</f>
        <v/>
      </c>
      <c r="EJ12" s="108" t="n"/>
      <c r="EK12" s="121">
        <f>EJ12*100/$E$12</f>
        <v/>
      </c>
      <c r="EL12" s="108" t="n"/>
      <c r="EM12" s="121">
        <f>EL12*100/$E$12</f>
        <v/>
      </c>
      <c r="EN12" s="108" t="n"/>
      <c r="EO12" s="121">
        <f>EN12*100/$E$12</f>
        <v/>
      </c>
      <c r="EP12" s="108" t="n"/>
      <c r="EQ12" s="121">
        <f>EP12*100/$E$12</f>
        <v/>
      </c>
      <c r="ER12" s="108" t="n"/>
      <c r="ES12" s="121">
        <f>ER12*100/$E$12</f>
        <v/>
      </c>
      <c r="ET12" s="108" t="n"/>
      <c r="EU12" s="121">
        <f>ET12*100/$E$12</f>
        <v/>
      </c>
      <c r="EV12" s="108" t="n"/>
      <c r="EW12" s="121">
        <f>EV12*100/$E$12</f>
        <v/>
      </c>
      <c r="EX12" s="108" t="n"/>
      <c r="EY12" s="121">
        <f>EX12*100/$E$12</f>
        <v/>
      </c>
      <c r="EZ12" s="108" t="n"/>
      <c r="FA12" s="121">
        <f>EZ12*100/$E$12</f>
        <v/>
      </c>
      <c r="FB12" s="108" t="n"/>
      <c r="FC12" s="121">
        <f>FB12*100/$E$12</f>
        <v/>
      </c>
      <c r="FD12" s="108" t="n"/>
      <c r="FE12" s="121">
        <f>FD12*100/$E$12</f>
        <v/>
      </c>
      <c r="FF12" s="108" t="n"/>
      <c r="FG12" s="121">
        <f>FF12*100/$E$12</f>
        <v/>
      </c>
      <c r="FH12" s="108" t="n"/>
      <c r="FI12" s="121">
        <f>FH12*100/$E$12</f>
        <v/>
      </c>
      <c r="FJ12" s="108" t="n"/>
      <c r="FK12" s="121">
        <f>FJ12*100/$E$12</f>
        <v/>
      </c>
      <c r="FL12" s="108" t="n"/>
      <c r="FM12" s="121">
        <f>FL12*100/$E$12</f>
        <v/>
      </c>
      <c r="FN12" s="108" t="n"/>
      <c r="FO12" s="121">
        <f>FN12*100/$E$12</f>
        <v/>
      </c>
      <c r="FP12" s="108" t="n"/>
      <c r="FQ12" s="121">
        <f>FP12*100/$E$12</f>
        <v/>
      </c>
      <c r="FR12" s="108" t="n"/>
      <c r="FS12" s="121">
        <f>FR12*100/$E$12</f>
        <v/>
      </c>
      <c r="FT12" s="108" t="n"/>
      <c r="FU12" s="121">
        <f>FT12*100/$E$12</f>
        <v/>
      </c>
      <c r="FV12" s="108" t="n"/>
      <c r="FW12" s="121">
        <f>FV12*100/$E$12</f>
        <v/>
      </c>
      <c r="FX12" s="108" t="n"/>
      <c r="FY12" s="90">
        <f>FX12*100/$E$12</f>
        <v/>
      </c>
      <c r="FZ12" s="108" t="n"/>
      <c r="GA12" s="90">
        <f>FZ12*100/$E$12</f>
        <v/>
      </c>
      <c r="GB12" s="108" t="n"/>
      <c r="GC12" s="90">
        <f>GB12*100/$E$12</f>
        <v/>
      </c>
      <c r="GD12" s="108" t="n"/>
      <c r="GE12" s="90">
        <f>GD12*100/$E$12</f>
        <v/>
      </c>
      <c r="GF12" s="108" t="n"/>
      <c r="GG12" s="90">
        <f>GF12*100/$E$12</f>
        <v/>
      </c>
      <c r="GH12" s="108" t="n"/>
      <c r="GI12" s="90">
        <f>GH12*100/$E$12</f>
        <v/>
      </c>
      <c r="GJ12" s="108" t="n"/>
      <c r="GK12" s="121">
        <f>GJ12*100/$E$12</f>
        <v/>
      </c>
      <c r="GL12" s="108" t="n"/>
      <c r="GM12" s="90">
        <f>GL12*100/$E$12</f>
        <v/>
      </c>
      <c r="GN12" s="108" t="n"/>
      <c r="GO12" s="121">
        <f>GN12*100/$E$12</f>
        <v/>
      </c>
      <c r="GP12" s="108" t="n"/>
      <c r="GQ12" s="90">
        <f>GP12*100/$E$12</f>
        <v/>
      </c>
      <c r="GR12" s="108" t="n"/>
      <c r="GS12" s="121">
        <f>GR12*100/$E$12</f>
        <v/>
      </c>
      <c r="GT12" s="108" t="n"/>
      <c r="GU12" s="121">
        <f>GT12*100/$E$12</f>
        <v/>
      </c>
      <c r="GV12" s="108" t="n"/>
      <c r="GW12" s="121">
        <f>GV12*100/$E$12</f>
        <v/>
      </c>
      <c r="GX12" s="108" t="n"/>
      <c r="GY12" s="90">
        <f>GX12*100/$E$12</f>
        <v/>
      </c>
      <c r="GZ12" s="108" t="n"/>
      <c r="HA12" s="90">
        <f>GZ12*100/$E$12</f>
        <v/>
      </c>
      <c r="HB12" s="108" t="n"/>
      <c r="HC12" s="90">
        <f>HB12*100/$E$12</f>
        <v/>
      </c>
      <c r="HD12" s="108" t="n"/>
      <c r="HE12" s="90">
        <f>HD12*100/$E$12</f>
        <v/>
      </c>
      <c r="HF12" s="108" t="n"/>
      <c r="HG12" s="90">
        <f>HF12*100/$E$12</f>
        <v/>
      </c>
      <c r="HH12" s="108" t="n"/>
      <c r="HI12" s="90">
        <f>HH12*100/$E$12</f>
        <v/>
      </c>
      <c r="HJ12" s="108" t="n"/>
      <c r="HK12" s="90">
        <f>HJ12*100/$E$12</f>
        <v/>
      </c>
      <c r="HL12" s="108" t="n"/>
      <c r="HM12" s="90">
        <f>HL12*100/$E$12</f>
        <v/>
      </c>
      <c r="HN12" s="108" t="n"/>
      <c r="HO12" s="90">
        <f>HN12*100/$E$12</f>
        <v/>
      </c>
      <c r="HP12" s="108" t="n"/>
      <c r="HQ12" s="90">
        <f>HP12*100/$E$12</f>
        <v/>
      </c>
      <c r="HR12" s="108" t="n"/>
      <c r="HS12" s="90">
        <f>HR12*100/$E$12</f>
        <v/>
      </c>
      <c r="HT12" s="108" t="n"/>
      <c r="HU12" s="90">
        <f>HT12*100/$E$12</f>
        <v/>
      </c>
      <c r="HV12" s="108" t="n"/>
      <c r="HW12" s="90">
        <f>HV12*100/$E$12</f>
        <v/>
      </c>
      <c r="HX12" s="108" t="n"/>
      <c r="HY12" s="90">
        <f>HX12*100/$E$12</f>
        <v/>
      </c>
      <c r="HZ12" s="108" t="n"/>
      <c r="IA12" s="121">
        <f>HZ12*100/$E$12</f>
        <v/>
      </c>
      <c r="IB12" s="108" t="n"/>
      <c r="IC12" s="121">
        <f>IB12*100/$E$12</f>
        <v/>
      </c>
      <c r="ID12" s="108" t="n"/>
      <c r="IE12" s="121">
        <f>ID12*100/$E$12</f>
        <v/>
      </c>
      <c r="IF12" s="108" t="n"/>
      <c r="IG12" s="121">
        <f>IF12*100/$E$12</f>
        <v/>
      </c>
      <c r="IH12" s="108" t="n"/>
      <c r="II12" s="121">
        <f>IH12*100/$E$12</f>
        <v/>
      </c>
      <c r="IJ12" s="108" t="n"/>
      <c r="IK12" s="121">
        <f>IJ12*100/$E$12</f>
        <v/>
      </c>
      <c r="IL12" s="108" t="n"/>
      <c r="IM12" s="90">
        <f>IL12*100/$E$12</f>
        <v/>
      </c>
      <c r="IN12" s="108" t="n"/>
      <c r="IO12" s="90">
        <f>IN12*100/$E$12</f>
        <v/>
      </c>
      <c r="IP12" s="108" t="n"/>
      <c r="IQ12" s="121">
        <f>IP12*100/$E$12</f>
        <v/>
      </c>
      <c r="IR12" s="108" t="n"/>
      <c r="IS12" s="121">
        <f>IR12*100/$E$12</f>
        <v/>
      </c>
      <c r="IT12" s="108" t="n"/>
      <c r="IU12" s="121">
        <f>IT12*100/$E$12</f>
        <v/>
      </c>
      <c r="IV12" s="108" t="n"/>
      <c r="IW12" s="121">
        <f>IV12*100/$E$12</f>
        <v/>
      </c>
      <c r="IX12" s="108" t="n"/>
      <c r="IY12" s="121">
        <f>IX12*100/$E$12</f>
        <v/>
      </c>
      <c r="IZ12" s="108" t="n"/>
      <c r="JA12" s="121">
        <f>IZ12*100/$E$12</f>
        <v/>
      </c>
      <c r="JB12" s="108" t="n"/>
      <c r="JC12" s="121">
        <f>JB12*100/$E$12</f>
        <v/>
      </c>
      <c r="JD12" s="108" t="n"/>
      <c r="JE12" s="121">
        <f>JD12*100/$E$12</f>
        <v/>
      </c>
      <c r="JF12" s="108" t="n"/>
      <c r="JG12" s="121">
        <f>JF12*100/$E$12</f>
        <v/>
      </c>
      <c r="JH12" s="108" t="n"/>
      <c r="JI12" s="121">
        <f>JH12*100/$E$12</f>
        <v/>
      </c>
      <c r="JJ12" s="108" t="n"/>
      <c r="JK12" s="121">
        <f>JJ12*100/$E$12</f>
        <v/>
      </c>
      <c r="JL12" s="108" t="n"/>
      <c r="JM12" s="121">
        <f>JL12*100/$E$12</f>
        <v/>
      </c>
      <c r="JN12" s="108" t="n"/>
      <c r="JO12" s="122">
        <f>JN12*100/$E$12</f>
        <v/>
      </c>
      <c r="JP12" s="108" t="n"/>
      <c r="JQ12" s="122">
        <f>JP12*100/$E$12</f>
        <v/>
      </c>
      <c r="JR12" s="108" t="n"/>
      <c r="JS12" s="122">
        <f>JR12*100/$E$12</f>
        <v/>
      </c>
      <c r="JT12" s="108" t="n"/>
      <c r="JU12" s="122">
        <f>JT12*100/$E$12</f>
        <v/>
      </c>
      <c r="JV12" s="108" t="n"/>
      <c r="JW12" s="122">
        <f>JV12*100/$E$12</f>
        <v/>
      </c>
      <c r="JX12" s="108" t="n"/>
      <c r="JY12" s="122">
        <f>JX12*100/$E$12</f>
        <v/>
      </c>
      <c r="JZ12" s="55">
        <f>JN12+JP12+JR12+JT12+JV12+JX12</f>
        <v/>
      </c>
      <c r="KA12" s="53">
        <f>JO12+JQ12+JS12+JU12+JW12+JY12</f>
        <v/>
      </c>
      <c r="KB12" s="64">
        <f>H12+J12+L12+N12+P12+R12+T12+V12+X12+Z12+AB12+AD12+AF12+AH12+AJ12+AL12+AN12+AP12+AR12+AT12+AV12+AX12+AZ12+BB12+BD12+BF12+BH12+BJ12+BL12+BN12+BP12+BR12+BT12+BV12+BX12+BZ12+CB12+CD12+CF12+CH12+CZ12+DB12+DD12+DF12+DH12+DJ12+DL12+DN12+DP12+DR12+DT12+DV12+DX12+DZ12+EB12+ED12+EF12+EH12+EJ12+EL12+EN12+EP12+ER12+ET12+EV12+FN12+FP12+FR12+FT12+FV12+FX12+FZ12+GB12+GD12+GF12+GH12+GJ12+GL12+GN12+GP12+GR12+GT12+GV12+GX12+GZ12+HB12+HD12+HF12+HH12+HJ12+HL12+HN12+HP12+HR12+HT12+HV12+HX12+HZ12+IB12+ID12+IF12+IH12+IJ12+IL12+IN12+IP12+IR12+IT12+IV12+IX12+IZ12+JB12+JD12+JF12+JH12+JJ12+JL12+JZ12+CJ12+CL12+CN12+CP12+CR12+CT12+CV12+CX12+EX12+EZ12+FB12+FD12+FF12+FH12+FJ12+FL12</f>
        <v/>
      </c>
      <c r="KC12" s="66">
        <f>I12+K12+M12+O12+Q12+S12+U12+W12+Y12+AA12+AC12+AE12+AG12+AI12+AK12+AM12+AO12+AQ12+AS12+AU12+AW12+AY12+BA12+BC12+BE12+BG12+BI12+BK12+BM12+BO12+BQ12+BS12+BU12+BW12+BY12+CA12+CC12+CE12+CG12+CI12+DA12+DC12+DE12+DG12+DI12+DK12+DM12+DO12+DQ12+DS12+DU12+DW12+DY12+EA12+EC12+EE12+EG12+EI12+EK12+EM12+EO12+EQ12+ES12+EU12+EW12+FO12+FS12+FU12+FW12+FQ12+FY12+GA12+GC12+GE12+GG12+GI12+GK12+GM12+GO12+GQ12+GS12+GU12+GW12+GY12+HA12+HC12+HE12+HG12+HI12+HK12+HM12+HO12+HQ12+HS12+HU12+HW12+HY12+IA12+IC12+IE12+IG12+II12+IK12+IM12+IO12+IQ12+IS12+IU12+IW12+IY12+JA12+JC12+JE12+JG12+JI12+JK12+JM12+KA12+CK12+CM12+CO12+CQ12+CS12+CU12+CW12+CY12+EY12+FA12+FC12+FE12+FG12+FI12+FK12+FM12</f>
        <v/>
      </c>
      <c r="KD12" s="44">
        <f>JO12+JQ12+JS12+JU12+JW12+JY12</f>
        <v/>
      </c>
      <c r="KE12" s="45">
        <f>KB12=E12</f>
        <v/>
      </c>
      <c r="KF12" s="101">
        <f>E12-KB12</f>
        <v/>
      </c>
    </row>
    <row r="13" ht="21.75" customFormat="1" customHeight="1" s="13">
      <c r="A13" s="126">
        <f>A12+1</f>
        <v/>
      </c>
      <c r="B13" s="175" t="inlineStr">
        <is>
          <t>Будников К.С.</t>
        </is>
      </c>
      <c r="C13" s="194" t="inlineStr">
        <is>
          <t>токарь</t>
        </is>
      </c>
      <c r="D13" s="177">
        <f>$D$5</f>
        <v/>
      </c>
      <c r="E13" s="202" t="n"/>
      <c r="F13" s="178" t="n">
        <v>101150.45</v>
      </c>
      <c r="G13" s="52">
        <f>F13/D13</f>
        <v/>
      </c>
      <c r="H13" s="125" t="n"/>
      <c r="I13" s="107">
        <f>H13*100/$E$13</f>
        <v/>
      </c>
      <c r="J13" s="108" t="n"/>
      <c r="K13" s="107">
        <f>J13*100/$E$13</f>
        <v/>
      </c>
      <c r="L13" s="108" t="n"/>
      <c r="M13" s="107">
        <f>L13*100/$E$13</f>
        <v/>
      </c>
      <c r="N13" s="108" t="n"/>
      <c r="O13" s="107">
        <f>N13*100/$E$13</f>
        <v/>
      </c>
      <c r="P13" s="108" t="n"/>
      <c r="Q13" s="122">
        <f>P13*100/$E$13</f>
        <v/>
      </c>
      <c r="R13" s="108" t="n"/>
      <c r="S13" s="122">
        <f>R13*100/$E$13</f>
        <v/>
      </c>
      <c r="T13" s="108" t="n"/>
      <c r="U13" s="107">
        <f>T13*100/$E$13</f>
        <v/>
      </c>
      <c r="V13" s="108" t="n"/>
      <c r="W13" s="107">
        <f>V13*100/$E$13</f>
        <v/>
      </c>
      <c r="X13" s="108" t="n"/>
      <c r="Y13" s="107">
        <f>X13*100/$E$13</f>
        <v/>
      </c>
      <c r="Z13" s="108" t="n"/>
      <c r="AA13" s="107">
        <f>Z13*100/$E$13</f>
        <v/>
      </c>
      <c r="AB13" s="108" t="n"/>
      <c r="AC13" s="107">
        <f>AB13*100/$E$13</f>
        <v/>
      </c>
      <c r="AD13" s="108" t="n"/>
      <c r="AE13" s="122">
        <f>AD13*100/$E$13</f>
        <v/>
      </c>
      <c r="AF13" s="108" t="n"/>
      <c r="AG13" s="122">
        <f>AF13*100/$E$13</f>
        <v/>
      </c>
      <c r="AH13" s="108" t="n"/>
      <c r="AI13" s="107">
        <f>AH13*100/$E$13</f>
        <v/>
      </c>
      <c r="AJ13" s="108" t="n"/>
      <c r="AK13" s="107">
        <f>AJ13*100/$E$13</f>
        <v/>
      </c>
      <c r="AL13" s="108" t="n"/>
      <c r="AM13" s="107">
        <f>AL13*100/$E$13</f>
        <v/>
      </c>
      <c r="AN13" s="108" t="n"/>
      <c r="AO13" s="107">
        <f>AN13*100/$E$13</f>
        <v/>
      </c>
      <c r="AP13" s="108" t="n"/>
      <c r="AQ13" s="107">
        <f>AP13*100/$E$13</f>
        <v/>
      </c>
      <c r="AR13" s="108" t="n"/>
      <c r="AS13" s="107">
        <f>AR13*100/$E$13</f>
        <v/>
      </c>
      <c r="AT13" s="108" t="n"/>
      <c r="AU13" s="90">
        <f>AT13*100/$E$13</f>
        <v/>
      </c>
      <c r="AV13" s="108" t="n"/>
      <c r="AW13" s="107">
        <f>AV13*100/$E$13</f>
        <v/>
      </c>
      <c r="AX13" s="108" t="n"/>
      <c r="AY13" s="107">
        <f>AX13*100/$E$13</f>
        <v/>
      </c>
      <c r="AZ13" s="108" t="n"/>
      <c r="BA13" s="107">
        <f>AZ13*100/$E$13</f>
        <v/>
      </c>
      <c r="BB13" s="108" t="n"/>
      <c r="BC13" s="107">
        <f>BB13*100/$E$13</f>
        <v/>
      </c>
      <c r="BD13" s="108" t="n"/>
      <c r="BE13" s="107">
        <f>BD13*100/$E$13</f>
        <v/>
      </c>
      <c r="BF13" s="108" t="n"/>
      <c r="BG13" s="107">
        <f>BF13*100/$E$13</f>
        <v/>
      </c>
      <c r="BH13" s="108" t="n"/>
      <c r="BI13" s="107">
        <f>BH13*100/$E$13</f>
        <v/>
      </c>
      <c r="BJ13" s="108" t="n"/>
      <c r="BK13" s="107">
        <f>BJ13*100/$E$13</f>
        <v/>
      </c>
      <c r="BL13" s="108" t="n"/>
      <c r="BM13" s="107">
        <f>BL13*100/$E$13</f>
        <v/>
      </c>
      <c r="BN13" s="108" t="n"/>
      <c r="BO13" s="107">
        <f>BN13*100/$E$13</f>
        <v/>
      </c>
      <c r="BP13" s="108" t="n"/>
      <c r="BQ13" s="107">
        <f>BP13*100/$E$13</f>
        <v/>
      </c>
      <c r="BR13" s="108" t="n"/>
      <c r="BS13" s="107">
        <f>BR13*100/$E$13</f>
        <v/>
      </c>
      <c r="BT13" s="108" t="n"/>
      <c r="BU13" s="107">
        <f>BT13*100/$E$13</f>
        <v/>
      </c>
      <c r="BV13" s="108" t="n"/>
      <c r="BW13" s="107">
        <f>BV13*100/$E$13</f>
        <v/>
      </c>
      <c r="BX13" s="108" t="n"/>
      <c r="BY13" s="107">
        <f>BX13*100/$E$13</f>
        <v/>
      </c>
      <c r="BZ13" s="108" t="n"/>
      <c r="CA13" s="107">
        <f>BZ13*100/$E$13</f>
        <v/>
      </c>
      <c r="CB13" s="108" t="n"/>
      <c r="CC13" s="107">
        <f>CB13*100/$E$13</f>
        <v/>
      </c>
      <c r="CD13" s="108" t="n"/>
      <c r="CE13" s="107">
        <f>CD13*100/$E$13</f>
        <v/>
      </c>
      <c r="CF13" s="108" t="n"/>
      <c r="CG13" s="107">
        <f>CF13*100/$E$13</f>
        <v/>
      </c>
      <c r="CH13" s="108" t="n"/>
      <c r="CI13" s="107">
        <f>CH13*100/$E$13</f>
        <v/>
      </c>
      <c r="CJ13" s="108" t="n"/>
      <c r="CK13" s="107">
        <f>CJ13*100/$E$13</f>
        <v/>
      </c>
      <c r="CL13" s="108" t="n"/>
      <c r="CM13" s="107">
        <f>CL13*100/$E$13</f>
        <v/>
      </c>
      <c r="CN13" s="108" t="n"/>
      <c r="CO13" s="122">
        <f>CN13*100/$E$13</f>
        <v/>
      </c>
      <c r="CP13" s="108" t="n"/>
      <c r="CQ13" s="107">
        <f>CP13*100/$E$13</f>
        <v/>
      </c>
      <c r="CR13" s="108" t="n"/>
      <c r="CS13" s="122">
        <f>CR13*100/$E$13</f>
        <v/>
      </c>
      <c r="CT13" s="108" t="n"/>
      <c r="CU13" s="122">
        <f>CT13*100/$E$13</f>
        <v/>
      </c>
      <c r="CV13" s="108" t="n"/>
      <c r="CW13" s="122">
        <f>CV13*100/$E$13</f>
        <v/>
      </c>
      <c r="CX13" s="108" t="n"/>
      <c r="CY13" s="122">
        <f>CX13*100/$E$13</f>
        <v/>
      </c>
      <c r="CZ13" s="108" t="n"/>
      <c r="DA13" s="122">
        <f>CZ13*100/$E$13</f>
        <v/>
      </c>
      <c r="DB13" s="108" t="n"/>
      <c r="DC13" s="122">
        <f>DB13*100/$E$13</f>
        <v/>
      </c>
      <c r="DD13" s="108" t="n"/>
      <c r="DE13" s="122">
        <f>DD13*100/$E$13</f>
        <v/>
      </c>
      <c r="DF13" s="108" t="n"/>
      <c r="DG13" s="122">
        <f>DF13*100/$E$13</f>
        <v/>
      </c>
      <c r="DH13" s="108" t="n"/>
      <c r="DI13" s="122">
        <f>DH13*100/$E$13</f>
        <v/>
      </c>
      <c r="DJ13" s="108" t="n"/>
      <c r="DK13" s="122">
        <f>DJ13*100/$E$13</f>
        <v/>
      </c>
      <c r="DL13" s="108" t="n"/>
      <c r="DM13" s="122">
        <f>DL13*100/$E$13</f>
        <v/>
      </c>
      <c r="DN13" s="108" t="n"/>
      <c r="DO13" s="122">
        <f>DN13*100/$E$13</f>
        <v/>
      </c>
      <c r="DP13" s="108" t="n"/>
      <c r="DQ13" s="122">
        <f>DP13*100/$E$13</f>
        <v/>
      </c>
      <c r="DR13" s="108" t="n"/>
      <c r="DS13" s="122">
        <f>DR13*100/$E$13</f>
        <v/>
      </c>
      <c r="DT13" s="108" t="n"/>
      <c r="DU13" s="122">
        <f>DT13*100/$E$13</f>
        <v/>
      </c>
      <c r="DV13" s="108" t="n"/>
      <c r="DW13" s="122">
        <f>DV13*100/$E$13</f>
        <v/>
      </c>
      <c r="DX13" s="108" t="n"/>
      <c r="DY13" s="122">
        <f>DX13*100/$E$13</f>
        <v/>
      </c>
      <c r="DZ13" s="108" t="n"/>
      <c r="EA13" s="122">
        <f>DZ13*100/$E$13</f>
        <v/>
      </c>
      <c r="EB13" s="108" t="n"/>
      <c r="EC13" s="122">
        <f>EB13*100/$E$13</f>
        <v/>
      </c>
      <c r="ED13" s="108" t="n"/>
      <c r="EE13" s="122">
        <f>ED13*100/$E$13</f>
        <v/>
      </c>
      <c r="EF13" s="108" t="n"/>
      <c r="EG13" s="122">
        <f>EF13*100/$E$13</f>
        <v/>
      </c>
      <c r="EH13" s="108" t="n"/>
      <c r="EI13" s="122">
        <f>EH13*100/$E$13</f>
        <v/>
      </c>
      <c r="EJ13" s="108" t="n"/>
      <c r="EK13" s="122">
        <f>EJ13*100/$E$13</f>
        <v/>
      </c>
      <c r="EL13" s="108" t="n"/>
      <c r="EM13" s="122">
        <f>EL13*100/$E$13</f>
        <v/>
      </c>
      <c r="EN13" s="108" t="n"/>
      <c r="EO13" s="122">
        <f>EN13*100/$E$13</f>
        <v/>
      </c>
      <c r="EP13" s="108" t="n"/>
      <c r="EQ13" s="122">
        <f>EP13*100/$E$13</f>
        <v/>
      </c>
      <c r="ER13" s="108" t="n"/>
      <c r="ES13" s="122">
        <f>ER13*100/$E$13</f>
        <v/>
      </c>
      <c r="ET13" s="108" t="n"/>
      <c r="EU13" s="122">
        <f>ET13*100/$E$13</f>
        <v/>
      </c>
      <c r="EV13" s="108" t="n"/>
      <c r="EW13" s="122">
        <f>EV13*100/$E$13</f>
        <v/>
      </c>
      <c r="EX13" s="108" t="n"/>
      <c r="EY13" s="122">
        <f>EX13*100/$E$13</f>
        <v/>
      </c>
      <c r="EZ13" s="108" t="n"/>
      <c r="FA13" s="122">
        <f>EZ13*100/$E$13</f>
        <v/>
      </c>
      <c r="FB13" s="108" t="n"/>
      <c r="FC13" s="122">
        <f>FB13*100/$E$13</f>
        <v/>
      </c>
      <c r="FD13" s="108" t="n"/>
      <c r="FE13" s="122">
        <f>FD13*100/$E$13</f>
        <v/>
      </c>
      <c r="FF13" s="108" t="n"/>
      <c r="FG13" s="122">
        <f>FF13*100/$E$13</f>
        <v/>
      </c>
      <c r="FH13" s="108" t="n"/>
      <c r="FI13" s="122">
        <f>FH13*100/$E$13</f>
        <v/>
      </c>
      <c r="FJ13" s="108" t="n"/>
      <c r="FK13" s="122">
        <f>FJ13*100/$E$13</f>
        <v/>
      </c>
      <c r="FL13" s="108" t="n"/>
      <c r="FM13" s="122">
        <f>FL13*100/$E$13</f>
        <v/>
      </c>
      <c r="FN13" s="108" t="n"/>
      <c r="FO13" s="122">
        <f>FN13*100/$E$13</f>
        <v/>
      </c>
      <c r="FP13" s="108" t="n"/>
      <c r="FQ13" s="122">
        <f>FP13*100/$E$13</f>
        <v/>
      </c>
      <c r="FR13" s="108" t="n"/>
      <c r="FS13" s="122">
        <f>FR13*100/$E$13</f>
        <v/>
      </c>
      <c r="FT13" s="108" t="n"/>
      <c r="FU13" s="122">
        <f>FT13*100/$E$13</f>
        <v/>
      </c>
      <c r="FV13" s="108" t="n"/>
      <c r="FW13" s="122">
        <f>FV13*100/$E$13</f>
        <v/>
      </c>
      <c r="FX13" s="108" t="n"/>
      <c r="FY13" s="107">
        <f>FX13*100/$E$13</f>
        <v/>
      </c>
      <c r="FZ13" s="108" t="n"/>
      <c r="GA13" s="107">
        <f>FZ13*100/$E$13</f>
        <v/>
      </c>
      <c r="GB13" s="108" t="n"/>
      <c r="GC13" s="107">
        <f>GB13*100/$E$13</f>
        <v/>
      </c>
      <c r="GD13" s="108" t="n"/>
      <c r="GE13" s="107">
        <f>GD13*100/$E$13</f>
        <v/>
      </c>
      <c r="GF13" s="108" t="n"/>
      <c r="GG13" s="107">
        <f>GF13*100/$E$13</f>
        <v/>
      </c>
      <c r="GH13" s="108" t="n"/>
      <c r="GI13" s="107">
        <f>GH13*100/$E$13</f>
        <v/>
      </c>
      <c r="GJ13" s="108" t="n"/>
      <c r="GK13" s="122">
        <f>GJ13*100/$E$13</f>
        <v/>
      </c>
      <c r="GL13" s="108" t="n"/>
      <c r="GM13" s="107">
        <f>GL13*100/$E$13</f>
        <v/>
      </c>
      <c r="GN13" s="108" t="n"/>
      <c r="GO13" s="122">
        <f>GN13*100/$E$13</f>
        <v/>
      </c>
      <c r="GP13" s="108" t="n"/>
      <c r="GQ13" s="107">
        <f>GP13*100/$E$13</f>
        <v/>
      </c>
      <c r="GR13" s="108" t="n"/>
      <c r="GS13" s="122">
        <f>GR13*100/$E$13</f>
        <v/>
      </c>
      <c r="GT13" s="108" t="n"/>
      <c r="GU13" s="122">
        <f>GT13*100/$E$13</f>
        <v/>
      </c>
      <c r="GV13" s="108" t="n"/>
      <c r="GW13" s="122">
        <f>GV13*100/$E$13</f>
        <v/>
      </c>
      <c r="GX13" s="108" t="n"/>
      <c r="GY13" s="107">
        <f>GX13*100/$E$13</f>
        <v/>
      </c>
      <c r="GZ13" s="108" t="n"/>
      <c r="HA13" s="107">
        <f>GZ13*100/$E$13</f>
        <v/>
      </c>
      <c r="HB13" s="108" t="n"/>
      <c r="HC13" s="107">
        <f>HB13*100/$E$13</f>
        <v/>
      </c>
      <c r="HD13" s="108" t="n"/>
      <c r="HE13" s="107">
        <f>HD13*100/$E$13</f>
        <v/>
      </c>
      <c r="HF13" s="108" t="n"/>
      <c r="HG13" s="107">
        <f>HF13*100/$E$13</f>
        <v/>
      </c>
      <c r="HH13" s="108" t="n"/>
      <c r="HI13" s="107">
        <f>HH13*100/$E$13</f>
        <v/>
      </c>
      <c r="HJ13" s="108" t="n"/>
      <c r="HK13" s="107">
        <f>HJ13*100/$E$13</f>
        <v/>
      </c>
      <c r="HL13" s="108" t="n"/>
      <c r="HM13" s="107">
        <f>HL13*100/$E$13</f>
        <v/>
      </c>
      <c r="HN13" s="108" t="n"/>
      <c r="HO13" s="107">
        <f>HN13*100/$E$13</f>
        <v/>
      </c>
      <c r="HP13" s="108" t="n"/>
      <c r="HQ13" s="107">
        <f>HP13*100/$E$13</f>
        <v/>
      </c>
      <c r="HR13" s="108" t="n"/>
      <c r="HS13" s="107">
        <f>HR13*100/$E$13</f>
        <v/>
      </c>
      <c r="HT13" s="108" t="n"/>
      <c r="HU13" s="107">
        <f>HT13*100/$E$13</f>
        <v/>
      </c>
      <c r="HV13" s="108" t="n"/>
      <c r="HW13" s="107">
        <f>HV13*100/$E$13</f>
        <v/>
      </c>
      <c r="HX13" s="108" t="n"/>
      <c r="HY13" s="107">
        <f>HX13*100/$E$13</f>
        <v/>
      </c>
      <c r="HZ13" s="108" t="n"/>
      <c r="IA13" s="122">
        <f>HZ13*100/$E$13</f>
        <v/>
      </c>
      <c r="IB13" s="108" t="n"/>
      <c r="IC13" s="122">
        <f>IB13*100/$E$13</f>
        <v/>
      </c>
      <c r="ID13" s="108" t="n"/>
      <c r="IE13" s="122">
        <f>ID13*100/$E$13</f>
        <v/>
      </c>
      <c r="IF13" s="108" t="n"/>
      <c r="IG13" s="122">
        <f>IF13*100/$E$13</f>
        <v/>
      </c>
      <c r="IH13" s="108" t="n"/>
      <c r="II13" s="122">
        <f>IH13*100/$E$13</f>
        <v/>
      </c>
      <c r="IJ13" s="108" t="n"/>
      <c r="IK13" s="122">
        <f>IJ13*100/$E$13</f>
        <v/>
      </c>
      <c r="IL13" s="108" t="n"/>
      <c r="IM13" s="107">
        <f>IL13*100/$E$13</f>
        <v/>
      </c>
      <c r="IN13" s="108" t="n"/>
      <c r="IO13" s="107">
        <f>IN13*100/$E$13</f>
        <v/>
      </c>
      <c r="IP13" s="108" t="n"/>
      <c r="IQ13" s="122">
        <f>IP13*100/$E$13</f>
        <v/>
      </c>
      <c r="IR13" s="108" t="n"/>
      <c r="IS13" s="122">
        <f>IR13*100/$E$13</f>
        <v/>
      </c>
      <c r="IT13" s="108" t="n"/>
      <c r="IU13" s="122">
        <f>IT13*100/$E$13</f>
        <v/>
      </c>
      <c r="IV13" s="108" t="n"/>
      <c r="IW13" s="122">
        <f>IV13*100/$E$13</f>
        <v/>
      </c>
      <c r="IX13" s="108" t="n"/>
      <c r="IY13" s="122">
        <f>IX13*100/$E$13</f>
        <v/>
      </c>
      <c r="IZ13" s="108" t="n"/>
      <c r="JA13" s="122">
        <f>IZ13*100/$E$13</f>
        <v/>
      </c>
      <c r="JB13" s="108" t="n"/>
      <c r="JC13" s="122">
        <f>JB13*100/$E$13</f>
        <v/>
      </c>
      <c r="JD13" s="108" t="n"/>
      <c r="JE13" s="122">
        <f>JD13*100/$E$13</f>
        <v/>
      </c>
      <c r="JF13" s="108" t="n"/>
      <c r="JG13" s="122">
        <f>JF13*100/$E$13</f>
        <v/>
      </c>
      <c r="JH13" s="108" t="n"/>
      <c r="JI13" s="122">
        <f>JH13*100/$E$13</f>
        <v/>
      </c>
      <c r="JJ13" s="108" t="n"/>
      <c r="JK13" s="122">
        <f>JJ13*100/$E$13</f>
        <v/>
      </c>
      <c r="JL13" s="108" t="n"/>
      <c r="JM13" s="122">
        <f>JL13*100/$E$13</f>
        <v/>
      </c>
      <c r="JN13" s="108" t="n"/>
      <c r="JO13" s="122">
        <f>JN13*100/$E$13</f>
        <v/>
      </c>
      <c r="JP13" s="108" t="n"/>
      <c r="JQ13" s="122">
        <f>JP13*100/$E$13</f>
        <v/>
      </c>
      <c r="JR13" s="108" t="n"/>
      <c r="JS13" s="122">
        <f>JR13*100/$E$13</f>
        <v/>
      </c>
      <c r="JT13" s="108" t="n"/>
      <c r="JU13" s="122">
        <f>JT13*100/$E$13</f>
        <v/>
      </c>
      <c r="JV13" s="108" t="n"/>
      <c r="JW13" s="122">
        <f>JV13*100/$E$13</f>
        <v/>
      </c>
      <c r="JX13" s="108" t="n"/>
      <c r="JY13" s="122">
        <f>JX13*100/$E$13</f>
        <v/>
      </c>
      <c r="JZ13" s="55">
        <f>JN13+JP13+JR13+JT13+JV13+JX13</f>
        <v/>
      </c>
      <c r="KA13" s="53">
        <f>JO13+JQ13+JS13+JU13+JW13+JY13</f>
        <v/>
      </c>
      <c r="KB13" s="64">
        <f>H13+J13+L13+N13+P13+R13+T13+V13+X13+Z13+AB13+AD13+AF13+AH13+AJ13+AL13+AN13+AP13+AR13+AT13+AV13+AX13+AZ13+BB13+BD13+BF13+BH13+BJ13+BL13+BN13+BP13+BR13+BT13+BV13+BX13+BZ13+CB13+CD13+CF13+CH13+CZ13+DB13+DD13+DF13+DH13+DJ13+DL13+DN13+DP13+DR13+DT13+DV13+DX13+DZ13+EB13+ED13+EF13+EH13+EJ13+EL13+EN13+EP13+ER13+ET13+EV13+FN13+FP13+FR13+FT13+FV13+FX13+FZ13+GB13+GD13+GF13+GH13+GJ13+GL13+GN13+GP13+GR13+GT13+GV13+GX13+GZ13+HB13+HD13+HF13+HH13+HJ13+HL13+HN13+HP13+HR13+HT13+HV13+HX13+HZ13+IB13+ID13+IF13+IH13+IJ13+IL13+IN13+IP13+IR13+IT13+IV13+IX13+IZ13+JB13+JD13+JF13+JH13+JJ13+JL13+JZ13+CJ13+CL13+CN13+CP13+CR13+CT13+CV13+CX13+EX13+EZ13+FB13+FD13+FF13+FH13+FJ13+FL13</f>
        <v/>
      </c>
      <c r="KC13" s="66">
        <f>I13+K13+M13+O13+Q13+S13+U13+W13+Y13+AA13+AC13+AE13+AG13+AI13+AK13+AM13+AO13+AQ13+AS13+AU13+AW13+AY13+BA13+BC13+BE13+BG13+BI13+BK13+BM13+BO13+BQ13+BS13+BU13+BW13+BY13+CA13+CC13+CE13+CG13+CI13+DA13+DC13+DE13+DG13+DI13+DK13+DM13+DO13+DQ13+DS13+DU13+DW13+DY13+EA13+EC13+EE13+EG13+EI13+EK13+EM13+EO13+EQ13+ES13+EU13+EW13+FO13+FS13+FU13+FW13+FQ13+FY13+GA13+GC13+GE13+GG13+GI13+GK13+GM13+GO13+GQ13+GS13+GU13+GW13+GY13+HA13+HC13+HE13+HG13+HI13+HK13+HM13+HO13+HQ13+HS13+HU13+HW13+HY13+IA13+IC13+IE13+IG13+II13+IK13+IM13+IO13+IQ13+IS13+IU13+IW13+IY13+JA13+JC13+JE13+JG13+JI13+JK13+JM13+KA13+CK13+CM13+CO13+CQ13+CS13+CU13+CW13+CY13+EY13+FA13+FC13+FE13+FG13+FI13+FK13+FM13</f>
        <v/>
      </c>
      <c r="KD13" s="44">
        <f>JO13+JQ13+JS13+JU13+JW13+JY13</f>
        <v/>
      </c>
      <c r="KE13" s="45">
        <f>KB13=E13</f>
        <v/>
      </c>
      <c r="KF13" s="101">
        <f>E13-KB13</f>
        <v/>
      </c>
      <c r="KG13" s="12" t="n"/>
      <c r="KH13" s="23" t="n"/>
      <c r="KI13" s="23" t="n"/>
      <c r="KJ13" s="23" t="n"/>
      <c r="KK13" s="23" t="n"/>
      <c r="KL13" s="23" t="n"/>
      <c r="KM13" s="23" t="n"/>
      <c r="KN13" s="23" t="n"/>
      <c r="KO13" s="23" t="n"/>
    </row>
    <row r="14" ht="21.75" customFormat="1" customHeight="1" s="23">
      <c r="A14" s="126">
        <f>A13+1</f>
        <v/>
      </c>
      <c r="B14" s="175" t="inlineStr">
        <is>
          <t>Войко А.Л.</t>
        </is>
      </c>
      <c r="C14" s="194" t="inlineStr">
        <is>
          <t>Фрезеровщик</t>
        </is>
      </c>
      <c r="D14" s="177">
        <f>$D$5</f>
        <v/>
      </c>
      <c r="E14" s="202" t="n"/>
      <c r="F14" s="191" t="n">
        <v>101150.05</v>
      </c>
      <c r="G14" s="52">
        <f>F14/D14</f>
        <v/>
      </c>
      <c r="H14" s="125" t="n"/>
      <c r="I14" s="107">
        <f>H14*100/$E$14</f>
        <v/>
      </c>
      <c r="J14" s="108" t="n"/>
      <c r="K14" s="107">
        <f>J14*100/$E$14</f>
        <v/>
      </c>
      <c r="L14" s="108" t="n"/>
      <c r="M14" s="107">
        <f>L14*100/$E$14</f>
        <v/>
      </c>
      <c r="N14" s="108" t="n"/>
      <c r="O14" s="107">
        <f>N14*100/$E$14</f>
        <v/>
      </c>
      <c r="P14" s="108" t="n"/>
      <c r="Q14" s="122">
        <f>P14*100/$E$14</f>
        <v/>
      </c>
      <c r="R14" s="108" t="n"/>
      <c r="S14" s="107">
        <f>R14*100/$E$14</f>
        <v/>
      </c>
      <c r="T14" s="108" t="n"/>
      <c r="U14" s="107">
        <f>T14*100/$E$14</f>
        <v/>
      </c>
      <c r="V14" s="108" t="n"/>
      <c r="W14" s="107">
        <f>V14*100/$E$14</f>
        <v/>
      </c>
      <c r="X14" s="108" t="n"/>
      <c r="Y14" s="107">
        <f>X14*100/$E$14</f>
        <v/>
      </c>
      <c r="Z14" s="108" t="n"/>
      <c r="AA14" s="107">
        <f>Z14*100/$E$14</f>
        <v/>
      </c>
      <c r="AB14" s="108" t="n"/>
      <c r="AC14" s="107">
        <f>AB14*100/$E$14</f>
        <v/>
      </c>
      <c r="AD14" s="108" t="n"/>
      <c r="AE14" s="107">
        <f>AD14*100/$E$14</f>
        <v/>
      </c>
      <c r="AF14" s="108" t="n"/>
      <c r="AG14" s="107">
        <f>AF14*100/$E$14</f>
        <v/>
      </c>
      <c r="AH14" s="108" t="n"/>
      <c r="AI14" s="107">
        <f>AH14*100/$E$14</f>
        <v/>
      </c>
      <c r="AJ14" s="108" t="n"/>
      <c r="AK14" s="107">
        <f>AJ14*100/$E$14</f>
        <v/>
      </c>
      <c r="AL14" s="108" t="n"/>
      <c r="AM14" s="107">
        <f>AL14*100/$E$14</f>
        <v/>
      </c>
      <c r="AN14" s="108" t="n"/>
      <c r="AO14" s="107">
        <f>AN14*100/$E$14</f>
        <v/>
      </c>
      <c r="AP14" s="108" t="n"/>
      <c r="AQ14" s="107">
        <f>AP14*100/$E$14</f>
        <v/>
      </c>
      <c r="AR14" s="108" t="n"/>
      <c r="AS14" s="107">
        <f>AR14*100/$E$14</f>
        <v/>
      </c>
      <c r="AT14" s="108" t="n"/>
      <c r="AU14" s="90">
        <f>AT14*100/$E$14</f>
        <v/>
      </c>
      <c r="AV14" s="108" t="n"/>
      <c r="AW14" s="107">
        <f>AV14*100/$E$14</f>
        <v/>
      </c>
      <c r="AX14" s="108" t="n"/>
      <c r="AY14" s="107">
        <f>AX14*100/$E$14</f>
        <v/>
      </c>
      <c r="AZ14" s="108" t="n"/>
      <c r="BA14" s="107">
        <f>AZ14*100/$E$14</f>
        <v/>
      </c>
      <c r="BB14" s="108" t="n"/>
      <c r="BC14" s="107">
        <f>BB14*100/$E$14</f>
        <v/>
      </c>
      <c r="BD14" s="108" t="n"/>
      <c r="BE14" s="107">
        <f>BD14*100/$E$14</f>
        <v/>
      </c>
      <c r="BF14" s="108" t="n"/>
      <c r="BG14" s="107">
        <f>BF14*100/$E$14</f>
        <v/>
      </c>
      <c r="BH14" s="108" t="n"/>
      <c r="BI14" s="107">
        <f>BH14*100/$E$14</f>
        <v/>
      </c>
      <c r="BJ14" s="108" t="n"/>
      <c r="BK14" s="107">
        <f>BJ14*100/$E$14</f>
        <v/>
      </c>
      <c r="BL14" s="108" t="n"/>
      <c r="BM14" s="107">
        <f>BL14*100/$E$14</f>
        <v/>
      </c>
      <c r="BN14" s="108" t="n"/>
      <c r="BO14" s="107">
        <f>BN14*100/$E$14</f>
        <v/>
      </c>
      <c r="BP14" s="108" t="n"/>
      <c r="BQ14" s="107">
        <f>BP14*100/$E$14</f>
        <v/>
      </c>
      <c r="BR14" s="108" t="n"/>
      <c r="BS14" s="107">
        <f>BR14*100/$E$14</f>
        <v/>
      </c>
      <c r="BT14" s="108" t="n"/>
      <c r="BU14" s="107">
        <f>BT14*100/$E$14</f>
        <v/>
      </c>
      <c r="BV14" s="108" t="n"/>
      <c r="BW14" s="107">
        <f>BV14*100/$E$14</f>
        <v/>
      </c>
      <c r="BX14" s="108" t="n"/>
      <c r="BY14" s="107">
        <f>BX14*100/$E$14</f>
        <v/>
      </c>
      <c r="BZ14" s="108" t="n"/>
      <c r="CA14" s="107">
        <f>BZ14*100/$E$14</f>
        <v/>
      </c>
      <c r="CB14" s="108" t="n"/>
      <c r="CC14" s="107">
        <f>CB14*100/$E$14</f>
        <v/>
      </c>
      <c r="CD14" s="108" t="n"/>
      <c r="CE14" s="107">
        <f>CD14*100/$E$14</f>
        <v/>
      </c>
      <c r="CF14" s="108" t="n"/>
      <c r="CG14" s="107">
        <f>CF14*100/$E$14</f>
        <v/>
      </c>
      <c r="CH14" s="108" t="n"/>
      <c r="CI14" s="107">
        <f>CH14*100/$E$14</f>
        <v/>
      </c>
      <c r="CJ14" s="108" t="n"/>
      <c r="CK14" s="107">
        <f>CJ14*100/$E$14</f>
        <v/>
      </c>
      <c r="CL14" s="108" t="n"/>
      <c r="CM14" s="107">
        <f>CL14*100/$E$14</f>
        <v/>
      </c>
      <c r="CN14" s="108" t="n"/>
      <c r="CO14" s="122">
        <f>CN14*100/$E$14</f>
        <v/>
      </c>
      <c r="CP14" s="108" t="n"/>
      <c r="CQ14" s="107">
        <f>CP14*100/$E$14</f>
        <v/>
      </c>
      <c r="CR14" s="108" t="n"/>
      <c r="CS14" s="122">
        <f>CR14*100/$E$14</f>
        <v/>
      </c>
      <c r="CT14" s="108" t="n"/>
      <c r="CU14" s="122">
        <f>CT14*100/$E$14</f>
        <v/>
      </c>
      <c r="CV14" s="108" t="n"/>
      <c r="CW14" s="122">
        <f>CV14*100/$E$14</f>
        <v/>
      </c>
      <c r="CX14" s="108" t="n"/>
      <c r="CY14" s="122">
        <f>CX14*100/$E$14</f>
        <v/>
      </c>
      <c r="CZ14" s="108" t="n"/>
      <c r="DA14" s="122">
        <f>CZ14*100/$E$14</f>
        <v/>
      </c>
      <c r="DB14" s="108" t="n"/>
      <c r="DC14" s="122">
        <f>DB14*100/$E$14</f>
        <v/>
      </c>
      <c r="DD14" s="108" t="n"/>
      <c r="DE14" s="122">
        <f>DD14*100/$E$14</f>
        <v/>
      </c>
      <c r="DF14" s="108" t="n"/>
      <c r="DG14" s="122">
        <f>DF14*100/$E$14</f>
        <v/>
      </c>
      <c r="DH14" s="108" t="n"/>
      <c r="DI14" s="122">
        <f>DH14*100/$E$14</f>
        <v/>
      </c>
      <c r="DJ14" s="108" t="n"/>
      <c r="DK14" s="122">
        <f>DJ14*100/$E$14</f>
        <v/>
      </c>
      <c r="DL14" s="108" t="n"/>
      <c r="DM14" s="122">
        <f>DL14*100/$E$14</f>
        <v/>
      </c>
      <c r="DN14" s="108" t="n"/>
      <c r="DO14" s="122">
        <f>DN14*100/$E$14</f>
        <v/>
      </c>
      <c r="DP14" s="108" t="n"/>
      <c r="DQ14" s="122">
        <f>DP14*100/$E$14</f>
        <v/>
      </c>
      <c r="DR14" s="108" t="n"/>
      <c r="DS14" s="107">
        <f>DR14*100/$E$14</f>
        <v/>
      </c>
      <c r="DT14" s="108" t="n"/>
      <c r="DU14" s="122">
        <f>DT14*100/$E$14</f>
        <v/>
      </c>
      <c r="DV14" s="108" t="n"/>
      <c r="DW14" s="122">
        <f>DV14*100/$E$14</f>
        <v/>
      </c>
      <c r="DX14" s="108" t="n"/>
      <c r="DY14" s="122">
        <f>DX14*100/$E$14</f>
        <v/>
      </c>
      <c r="DZ14" s="108" t="n"/>
      <c r="EA14" s="122">
        <f>DZ14*100/$E$14</f>
        <v/>
      </c>
      <c r="EB14" s="108" t="n"/>
      <c r="EC14" s="122">
        <f>EB14*100/$E$14</f>
        <v/>
      </c>
      <c r="ED14" s="108" t="n"/>
      <c r="EE14" s="122">
        <f>ED14*100/$E$14</f>
        <v/>
      </c>
      <c r="EF14" s="108" t="n"/>
      <c r="EG14" s="122">
        <f>EF14*100/$E$14</f>
        <v/>
      </c>
      <c r="EH14" s="108" t="n"/>
      <c r="EI14" s="107">
        <f>EH14*100/$E$14</f>
        <v/>
      </c>
      <c r="EJ14" s="108" t="n"/>
      <c r="EK14" s="107">
        <f>EJ14*100/$E$14</f>
        <v/>
      </c>
      <c r="EL14" s="108" t="n"/>
      <c r="EM14" s="107">
        <f>EL14*100/$E$14</f>
        <v/>
      </c>
      <c r="EN14" s="108" t="n"/>
      <c r="EO14" s="107">
        <f>EN14*100/$E$14</f>
        <v/>
      </c>
      <c r="EP14" s="108" t="n"/>
      <c r="EQ14" s="107">
        <f>EP14*100/$E$14</f>
        <v/>
      </c>
      <c r="ER14" s="108" t="n"/>
      <c r="ES14" s="107">
        <f>ER14*100/$E$14</f>
        <v/>
      </c>
      <c r="ET14" s="108" t="n"/>
      <c r="EU14" s="107">
        <f>ET14*100/$E$14</f>
        <v/>
      </c>
      <c r="EV14" s="108" t="n"/>
      <c r="EW14" s="122">
        <f>EV14*100/$E$14</f>
        <v/>
      </c>
      <c r="EX14" s="108" t="n"/>
      <c r="EY14" s="122">
        <f>EX14*100/$E$14</f>
        <v/>
      </c>
      <c r="EZ14" s="108" t="n"/>
      <c r="FA14" s="122">
        <f>EZ14*100/$E$14</f>
        <v/>
      </c>
      <c r="FB14" s="108" t="n"/>
      <c r="FC14" s="122">
        <f>FB14*100/$E$14</f>
        <v/>
      </c>
      <c r="FD14" s="108" t="n"/>
      <c r="FE14" s="122">
        <f>FD14*100/$E$14</f>
        <v/>
      </c>
      <c r="FF14" s="108" t="n"/>
      <c r="FG14" s="122">
        <f>FF14*100/$E$14</f>
        <v/>
      </c>
      <c r="FH14" s="108" t="n"/>
      <c r="FI14" s="122">
        <f>FH14*100/$E$14</f>
        <v/>
      </c>
      <c r="FJ14" s="108" t="n"/>
      <c r="FK14" s="122">
        <f>FJ14*100/$E$14</f>
        <v/>
      </c>
      <c r="FL14" s="108" t="n"/>
      <c r="FM14" s="122">
        <f>FL14*100/$E$14</f>
        <v/>
      </c>
      <c r="FN14" s="108" t="n"/>
      <c r="FO14" s="122">
        <f>FN14*100/$E$14</f>
        <v/>
      </c>
      <c r="FP14" s="108" t="n"/>
      <c r="FQ14" s="107">
        <f>FP14*100/$E$14</f>
        <v/>
      </c>
      <c r="FR14" s="108" t="n"/>
      <c r="FS14" s="107">
        <f>FR14*100/$E$14</f>
        <v/>
      </c>
      <c r="FT14" s="108" t="n"/>
      <c r="FU14" s="107">
        <f>FT14*100/$E$14</f>
        <v/>
      </c>
      <c r="FV14" s="108" t="n"/>
      <c r="FW14" s="107">
        <f>FV14*100/$E$14</f>
        <v/>
      </c>
      <c r="FX14" s="108" t="n"/>
      <c r="FY14" s="107">
        <f>FX14*100/$E$14</f>
        <v/>
      </c>
      <c r="FZ14" s="108" t="n"/>
      <c r="GA14" s="107">
        <f>FZ14*100/$E$14</f>
        <v/>
      </c>
      <c r="GB14" s="108" t="n"/>
      <c r="GC14" s="107">
        <f>GB14*100/$E$14</f>
        <v/>
      </c>
      <c r="GD14" s="108" t="n"/>
      <c r="GE14" s="107">
        <f>GD14*100/$E$14</f>
        <v/>
      </c>
      <c r="GF14" s="108" t="n"/>
      <c r="GG14" s="107">
        <f>GF14*100/$E$14</f>
        <v/>
      </c>
      <c r="GH14" s="108" t="n"/>
      <c r="GI14" s="107">
        <f>GH14*100/$E$14</f>
        <v/>
      </c>
      <c r="GJ14" s="108" t="n"/>
      <c r="GK14" s="122">
        <f>GJ14*100/$E$14</f>
        <v/>
      </c>
      <c r="GL14" s="108" t="n"/>
      <c r="GM14" s="107">
        <f>GL14*100/$E$14</f>
        <v/>
      </c>
      <c r="GN14" s="108" t="n"/>
      <c r="GO14" s="122">
        <f>GN14*100/$E$14</f>
        <v/>
      </c>
      <c r="GP14" s="108" t="n"/>
      <c r="GQ14" s="107">
        <f>GP14*100/$E$14</f>
        <v/>
      </c>
      <c r="GR14" s="108" t="n"/>
      <c r="GS14" s="122">
        <f>GR14*100/$E$14</f>
        <v/>
      </c>
      <c r="GT14" s="108" t="n"/>
      <c r="GU14" s="122">
        <f>GT14*100/$E$14</f>
        <v/>
      </c>
      <c r="GV14" s="108" t="n"/>
      <c r="GW14" s="107">
        <f>GV14*100/$E$14</f>
        <v/>
      </c>
      <c r="GX14" s="108" t="n"/>
      <c r="GY14" s="107">
        <f>GX14*100/$E$14</f>
        <v/>
      </c>
      <c r="GZ14" s="108" t="n"/>
      <c r="HA14" s="107">
        <f>GZ14*100/$E$14</f>
        <v/>
      </c>
      <c r="HB14" s="108" t="n"/>
      <c r="HC14" s="107">
        <f>HB14*100/$E$14</f>
        <v/>
      </c>
      <c r="HD14" s="108" t="n"/>
      <c r="HE14" s="107">
        <f>HD14*100/$E$14</f>
        <v/>
      </c>
      <c r="HF14" s="108" t="n"/>
      <c r="HG14" s="107">
        <f>HF14*100/$E$14</f>
        <v/>
      </c>
      <c r="HH14" s="108" t="n"/>
      <c r="HI14" s="107">
        <f>HH14*100/$E$14</f>
        <v/>
      </c>
      <c r="HJ14" s="108" t="n"/>
      <c r="HK14" s="107">
        <f>HJ14*100/$E$14</f>
        <v/>
      </c>
      <c r="HL14" s="108" t="n"/>
      <c r="HM14" s="107">
        <f>HL14*100/$E$14</f>
        <v/>
      </c>
      <c r="HN14" s="108" t="n"/>
      <c r="HO14" s="107">
        <f>HN14*100/$E$14</f>
        <v/>
      </c>
      <c r="HP14" s="108" t="n"/>
      <c r="HQ14" s="107">
        <f>HP14*100/$E$14</f>
        <v/>
      </c>
      <c r="HR14" s="108" t="n"/>
      <c r="HS14" s="107">
        <f>HR14*100/$E$14</f>
        <v/>
      </c>
      <c r="HT14" s="108" t="n"/>
      <c r="HU14" s="107">
        <f>HT14*100/$E$14</f>
        <v/>
      </c>
      <c r="HV14" s="108" t="n"/>
      <c r="HW14" s="107">
        <f>HV14*100/$E$14</f>
        <v/>
      </c>
      <c r="HX14" s="108" t="n"/>
      <c r="HY14" s="107">
        <f>HX14*100/$E$14</f>
        <v/>
      </c>
      <c r="HZ14" s="108" t="n"/>
      <c r="IA14" s="122">
        <f>HZ14*100/$E$14</f>
        <v/>
      </c>
      <c r="IB14" s="108" t="n"/>
      <c r="IC14" s="122">
        <f>IB14*100/$E$14</f>
        <v/>
      </c>
      <c r="ID14" s="108" t="n"/>
      <c r="IE14" s="122">
        <f>ID14*100/$E$14</f>
        <v/>
      </c>
      <c r="IF14" s="108" t="n"/>
      <c r="IG14" s="122">
        <f>IF14*100/$E$14</f>
        <v/>
      </c>
      <c r="IH14" s="108" t="n"/>
      <c r="II14" s="122">
        <f>IH14*100/$E$14</f>
        <v/>
      </c>
      <c r="IJ14" s="108" t="n"/>
      <c r="IK14" s="122">
        <f>IJ14*100/$E$14</f>
        <v/>
      </c>
      <c r="IL14" s="108" t="n"/>
      <c r="IM14" s="107">
        <f>IL14*100/$E$14</f>
        <v/>
      </c>
      <c r="IN14" s="108" t="n"/>
      <c r="IO14" s="107">
        <f>IN14*100/$E$14</f>
        <v/>
      </c>
      <c r="IP14" s="108" t="n"/>
      <c r="IQ14" s="122">
        <f>IP14*100/$E$14</f>
        <v/>
      </c>
      <c r="IR14" s="108" t="n"/>
      <c r="IS14" s="122">
        <f>IR14*100/$E$14</f>
        <v/>
      </c>
      <c r="IT14" s="108" t="n"/>
      <c r="IU14" s="122">
        <f>IT14*100/$E$14</f>
        <v/>
      </c>
      <c r="IV14" s="108" t="n"/>
      <c r="IW14" s="122">
        <f>IV14*100/$E$14</f>
        <v/>
      </c>
      <c r="IX14" s="108" t="n"/>
      <c r="IY14" s="122">
        <f>IX14*100/$E$14</f>
        <v/>
      </c>
      <c r="IZ14" s="108" t="n"/>
      <c r="JA14" s="122">
        <f>IZ14*100/$E$14</f>
        <v/>
      </c>
      <c r="JB14" s="108" t="n"/>
      <c r="JC14" s="122">
        <f>JB14*100/$E$14</f>
        <v/>
      </c>
      <c r="JD14" s="108" t="n"/>
      <c r="JE14" s="122">
        <f>JD14*100/$E$14</f>
        <v/>
      </c>
      <c r="JF14" s="108" t="n"/>
      <c r="JG14" s="107">
        <f>JF14*100/$E$14</f>
        <v/>
      </c>
      <c r="JH14" s="108" t="n"/>
      <c r="JI14" s="122">
        <f>JH14*100/$E$14</f>
        <v/>
      </c>
      <c r="JJ14" s="108" t="n"/>
      <c r="JK14" s="107">
        <f>JJ14*100/$E$14</f>
        <v/>
      </c>
      <c r="JL14" s="108" t="n"/>
      <c r="JM14" s="122">
        <f>JL14*100/$E$14</f>
        <v/>
      </c>
      <c r="JN14" s="108" t="n"/>
      <c r="JO14" s="122">
        <f>JN14*100/$E$14</f>
        <v/>
      </c>
      <c r="JP14" s="108" t="n"/>
      <c r="JQ14" s="122">
        <f>JP14*100/$E$14</f>
        <v/>
      </c>
      <c r="JR14" s="108" t="n"/>
      <c r="JS14" s="122">
        <f>JR14*100/$E$14</f>
        <v/>
      </c>
      <c r="JT14" s="108" t="n"/>
      <c r="JU14" s="122">
        <f>JT14*100/$E$14</f>
        <v/>
      </c>
      <c r="JV14" s="108" t="n"/>
      <c r="JW14" s="122">
        <f>JV14*100/$E$14</f>
        <v/>
      </c>
      <c r="JX14" s="108" t="n"/>
      <c r="JY14" s="122">
        <f>JX14*100/$E$14</f>
        <v/>
      </c>
      <c r="JZ14" s="55">
        <f>JN14+JP14+JR14+JT14+JV14+JX14</f>
        <v/>
      </c>
      <c r="KA14" s="53">
        <f>JO14+JQ14+JS14+JU14+JW14+JY14</f>
        <v/>
      </c>
      <c r="KB14" s="64">
        <f>H14+J14+L14+N14+P14+R14+T14+V14+X14+Z14+AB14+AD14+AF14+AH14+AJ14+AL14+AN14+AP14+AR14+AT14+AV14+AX14+AZ14+BB14+BD14+BF14+BH14+BJ14+BL14+BN14+BP14+BR14+BT14+BV14+BX14+BZ14+CB14+CD14+CF14+CH14+CZ14+DB14+DD14+DF14+DH14+DJ14+DL14+DN14+DP14+DR14+DT14+DV14+DX14+DZ14+EB14+ED14+EF14+EH14+EJ14+EL14+EN14+EP14+ER14+ET14+EV14+FN14+FP14+FR14+FT14+FV14+FX14+FZ14+GB14+GD14+GF14+GH14+GJ14+GL14+GN14+GP14+GR14+GT14+GV14+GX14+GZ14+HB14+HD14+HF14+HH14+HJ14+HL14+HN14+HP14+HR14+HT14+HV14+HX14+HZ14+IB14+ID14+IF14+IH14+IJ14+IL14+IN14+IP14+IR14+IT14+IV14+IX14+IZ14+JB14+JD14+JF14+JH14+JJ14+JL14+JZ14+CJ14+CL14+CN14+CP14+CR14+CT14+CV14+CX14+EX14+EZ14+FB14+FD14+FF14+FH14+FJ14+FL14</f>
        <v/>
      </c>
      <c r="KC14" s="66">
        <f>I14+K14+M14+O14+Q14+S14+U14+W14+Y14+AA14+AC14+AE14+AG14+AI14+AK14+AM14+AO14+AQ14+AS14+AU14+AW14+AY14+BA14+BC14+BE14+BG14+BI14+BK14+BM14+BO14+BQ14+BS14+BU14+BW14+BY14+CA14+CC14+CE14+CG14+CI14+DA14+DC14+DE14+DG14+DI14+DK14+DM14+DO14+DQ14+DS14+DU14+DW14+DY14+EA14+EC14+EE14+EG14+EI14+EK14+EM14+EO14+EQ14+ES14+EU14+EW14+FO14+FS14+FU14+FW14+FQ14+FY14+GA14+GC14+GE14+GG14+GI14+GK14+GM14+GO14+GQ14+GS14+GU14+GW14+GY14+HA14+HC14+HE14+HG14+HI14+HK14+HM14+HO14+HQ14+HS14+HU14+HW14+HY14+IA14+IC14+IE14+IG14+II14+IK14+IM14+IO14+IQ14+IS14+IU14+IW14+IY14+JA14+JC14+JE14+JG14+JI14+JK14+JM14+KA14+CK14+CM14+CO14+CQ14+CS14+CU14+CW14+CY14+EY14+FA14+FC14+FE14+FG14+FI14+FK14+FM14</f>
        <v/>
      </c>
      <c r="KD14" s="44">
        <f>JO14+JQ14+JS14+JU14+JW14+JY14</f>
        <v/>
      </c>
      <c r="KE14" s="45">
        <f>KB14=E14</f>
        <v/>
      </c>
      <c r="KF14" s="101">
        <f>E14-KB14</f>
        <v/>
      </c>
      <c r="KG14" s="12" t="n"/>
    </row>
    <row r="15" ht="21.75" customFormat="1" customHeight="1" s="12">
      <c r="A15" s="126">
        <f>A14+1</f>
        <v/>
      </c>
      <c r="B15" s="175" t="inlineStr">
        <is>
          <t>Войтехо М. Н.</t>
        </is>
      </c>
      <c r="C15" s="194" t="inlineStr">
        <is>
          <t>Слесарь МСР</t>
        </is>
      </c>
      <c r="D15" s="177">
        <f>$D$5</f>
        <v/>
      </c>
      <c r="E15" s="202" t="n"/>
      <c r="F15" s="190" t="n">
        <v>68902.87</v>
      </c>
      <c r="G15" s="52">
        <f>F15/D15</f>
        <v/>
      </c>
      <c r="H15" s="125" t="n"/>
      <c r="I15" s="107">
        <f>H15*100/$E$15</f>
        <v/>
      </c>
      <c r="J15" s="108" t="n"/>
      <c r="K15" s="107">
        <f>J15*100/$E$15</f>
        <v/>
      </c>
      <c r="L15" s="108" t="n"/>
      <c r="M15" s="107">
        <f>L15*100/$E$15</f>
        <v/>
      </c>
      <c r="N15" s="108" t="n"/>
      <c r="O15" s="107">
        <f>N15*100/$E$15</f>
        <v/>
      </c>
      <c r="P15" s="108" t="n"/>
      <c r="Q15" s="122">
        <f>P15*100/$E$15</f>
        <v/>
      </c>
      <c r="R15" s="108" t="n"/>
      <c r="S15" s="122">
        <f>R15*100/$E$15</f>
        <v/>
      </c>
      <c r="T15" s="108" t="n"/>
      <c r="U15" s="107">
        <f>T15*100/$E$15</f>
        <v/>
      </c>
      <c r="V15" s="108" t="n"/>
      <c r="W15" s="107">
        <f>V15*100/$E$15</f>
        <v/>
      </c>
      <c r="X15" s="108" t="n"/>
      <c r="Y15" s="107">
        <f>X15*100/$E$15</f>
        <v/>
      </c>
      <c r="Z15" s="108" t="n"/>
      <c r="AA15" s="107">
        <f>Z15*100/$E$15</f>
        <v/>
      </c>
      <c r="AB15" s="108" t="n"/>
      <c r="AC15" s="107">
        <f>AB15*100/$E$15</f>
        <v/>
      </c>
      <c r="AD15" s="108" t="n"/>
      <c r="AE15" s="122">
        <f>AD15*100/$E$15</f>
        <v/>
      </c>
      <c r="AF15" s="108" t="n"/>
      <c r="AG15" s="122">
        <f>AF15*100/$E$15</f>
        <v/>
      </c>
      <c r="AH15" s="108" t="n"/>
      <c r="AI15" s="107">
        <f>AH15*100/$E$15</f>
        <v/>
      </c>
      <c r="AJ15" s="108" t="n"/>
      <c r="AK15" s="107">
        <f>AJ15*100/$E$15</f>
        <v/>
      </c>
      <c r="AL15" s="108" t="n"/>
      <c r="AM15" s="107">
        <f>AL15*100/$E$15</f>
        <v/>
      </c>
      <c r="AN15" s="108" t="n"/>
      <c r="AO15" s="107">
        <f>AN15*100/$E$15</f>
        <v/>
      </c>
      <c r="AP15" s="108" t="n"/>
      <c r="AQ15" s="107">
        <f>AP15*100/$E$15</f>
        <v/>
      </c>
      <c r="AR15" s="108" t="n"/>
      <c r="AS15" s="107">
        <f>AR15*100/$E$15</f>
        <v/>
      </c>
      <c r="AT15" s="108" t="n"/>
      <c r="AU15" s="90">
        <f>AT15*100/$E$15</f>
        <v/>
      </c>
      <c r="AV15" s="108" t="n"/>
      <c r="AW15" s="107">
        <f>AV15*100/$E$15</f>
        <v/>
      </c>
      <c r="AX15" s="108" t="n"/>
      <c r="AY15" s="107">
        <f>AX15*100/$E$15</f>
        <v/>
      </c>
      <c r="AZ15" s="108" t="n"/>
      <c r="BA15" s="107">
        <f>AZ15*100/$E$15</f>
        <v/>
      </c>
      <c r="BB15" s="108" t="n"/>
      <c r="BC15" s="107">
        <f>BB15*100/$E$15</f>
        <v/>
      </c>
      <c r="BD15" s="108" t="n"/>
      <c r="BE15" s="107">
        <f>BD15*100/$E$15</f>
        <v/>
      </c>
      <c r="BF15" s="108" t="n"/>
      <c r="BG15" s="107">
        <f>BF15*100/$E$15</f>
        <v/>
      </c>
      <c r="BH15" s="108" t="n"/>
      <c r="BI15" s="107">
        <f>BH15*100/$E$15</f>
        <v/>
      </c>
      <c r="BJ15" s="108" t="n"/>
      <c r="BK15" s="107">
        <f>BJ15*100/$E$15</f>
        <v/>
      </c>
      <c r="BL15" s="108" t="n"/>
      <c r="BM15" s="107">
        <f>BL15*100/$E$15</f>
        <v/>
      </c>
      <c r="BN15" s="108" t="n"/>
      <c r="BO15" s="107">
        <f>BN15*100/$E$15</f>
        <v/>
      </c>
      <c r="BP15" s="108" t="n"/>
      <c r="BQ15" s="107">
        <f>BP15*100/$E$15</f>
        <v/>
      </c>
      <c r="BR15" s="108" t="n"/>
      <c r="BS15" s="107">
        <f>BR15*100/$E$15</f>
        <v/>
      </c>
      <c r="BT15" s="108" t="n"/>
      <c r="BU15" s="107">
        <f>BT15*100/$E$15</f>
        <v/>
      </c>
      <c r="BV15" s="108" t="n"/>
      <c r="BW15" s="107">
        <f>BV15*100/$E$15</f>
        <v/>
      </c>
      <c r="BX15" s="108" t="n"/>
      <c r="BY15" s="107">
        <f>BX15*100/$E$15</f>
        <v/>
      </c>
      <c r="BZ15" s="108" t="n"/>
      <c r="CA15" s="107">
        <f>BZ15*100/$E$15</f>
        <v/>
      </c>
      <c r="CB15" s="108" t="n"/>
      <c r="CC15" s="107">
        <f>CB15*100/$E$15</f>
        <v/>
      </c>
      <c r="CD15" s="108" t="n"/>
      <c r="CE15" s="107">
        <f>CD15*100/$E$15</f>
        <v/>
      </c>
      <c r="CF15" s="108" t="n"/>
      <c r="CG15" s="107">
        <f>CF15*100/$E$15</f>
        <v/>
      </c>
      <c r="CH15" s="108" t="n"/>
      <c r="CI15" s="107">
        <f>CH15*100/$E$15</f>
        <v/>
      </c>
      <c r="CJ15" s="108" t="n"/>
      <c r="CK15" s="107">
        <f>CJ15*100/$E$15</f>
        <v/>
      </c>
      <c r="CL15" s="108" t="n"/>
      <c r="CM15" s="107">
        <f>CL15*100/$E$15</f>
        <v/>
      </c>
      <c r="CN15" s="108" t="n"/>
      <c r="CO15" s="122">
        <f>CN15*100/$E$15</f>
        <v/>
      </c>
      <c r="CP15" s="108" t="n"/>
      <c r="CQ15" s="107">
        <f>CP15*100/$E$15</f>
        <v/>
      </c>
      <c r="CR15" s="108" t="n"/>
      <c r="CS15" s="122">
        <f>CR15*100/$E$15</f>
        <v/>
      </c>
      <c r="CT15" s="108" t="n"/>
      <c r="CU15" s="122">
        <f>CT15*100/$E$15</f>
        <v/>
      </c>
      <c r="CV15" s="108" t="n"/>
      <c r="CW15" s="122">
        <f>CV15*100/$E$15</f>
        <v/>
      </c>
      <c r="CX15" s="108" t="n"/>
      <c r="CY15" s="122">
        <f>CX15*100/$E$15</f>
        <v/>
      </c>
      <c r="CZ15" s="108" t="n"/>
      <c r="DA15" s="122">
        <f>CZ15*100/$E$15</f>
        <v/>
      </c>
      <c r="DB15" s="108" t="n"/>
      <c r="DC15" s="122">
        <f>DB15*100/$E$15</f>
        <v/>
      </c>
      <c r="DD15" s="108" t="n"/>
      <c r="DE15" s="122">
        <f>DD15*100/$E$15</f>
        <v/>
      </c>
      <c r="DF15" s="108" t="n"/>
      <c r="DG15" s="122">
        <f>DF15*100/$E$15</f>
        <v/>
      </c>
      <c r="DH15" s="108" t="n"/>
      <c r="DI15" s="122">
        <f>DH15*100/$E$15</f>
        <v/>
      </c>
      <c r="DJ15" s="108" t="n"/>
      <c r="DK15" s="122">
        <f>DJ15*100/$E$15</f>
        <v/>
      </c>
      <c r="DL15" s="108" t="n"/>
      <c r="DM15" s="122">
        <f>DL15*100/$E$15</f>
        <v/>
      </c>
      <c r="DN15" s="108" t="n"/>
      <c r="DO15" s="122">
        <f>DN15*100/$E$15</f>
        <v/>
      </c>
      <c r="DP15" s="108" t="n"/>
      <c r="DQ15" s="122">
        <f>DP15*100/$E$15</f>
        <v/>
      </c>
      <c r="DR15" s="108" t="n"/>
      <c r="DS15" s="122">
        <f>DR15*100/$E$15</f>
        <v/>
      </c>
      <c r="DT15" s="108" t="n"/>
      <c r="DU15" s="122">
        <f>DT15*100/$E$15</f>
        <v/>
      </c>
      <c r="DV15" s="108" t="n"/>
      <c r="DW15" s="122">
        <f>DV15*100/$E$15</f>
        <v/>
      </c>
      <c r="DX15" s="108" t="n"/>
      <c r="DY15" s="122">
        <f>DX15*100/$E$15</f>
        <v/>
      </c>
      <c r="DZ15" s="108" t="n"/>
      <c r="EA15" s="122">
        <f>DZ15*100/$E$15</f>
        <v/>
      </c>
      <c r="EB15" s="108" t="n"/>
      <c r="EC15" s="122">
        <f>EB15*100/$E$15</f>
        <v/>
      </c>
      <c r="ED15" s="108" t="n"/>
      <c r="EE15" s="122">
        <f>ED15*100/$E$15</f>
        <v/>
      </c>
      <c r="EF15" s="108" t="n"/>
      <c r="EG15" s="122">
        <f>EF15*100/$E$15</f>
        <v/>
      </c>
      <c r="EH15" s="108" t="n"/>
      <c r="EI15" s="122">
        <f>EH15*100/$E$15</f>
        <v/>
      </c>
      <c r="EJ15" s="108" t="n"/>
      <c r="EK15" s="122">
        <f>EJ15*100/$E$15</f>
        <v/>
      </c>
      <c r="EL15" s="108" t="n"/>
      <c r="EM15" s="122">
        <f>EL15*100/$E$15</f>
        <v/>
      </c>
      <c r="EN15" s="108" t="n"/>
      <c r="EO15" s="122">
        <f>EN15*100/$E$15</f>
        <v/>
      </c>
      <c r="EP15" s="108" t="n"/>
      <c r="EQ15" s="122">
        <f>EP15*100/$E$15</f>
        <v/>
      </c>
      <c r="ER15" s="108" t="n"/>
      <c r="ES15" s="122">
        <f>ER15*100/$E$15</f>
        <v/>
      </c>
      <c r="ET15" s="108" t="n"/>
      <c r="EU15" s="122">
        <f>ET15*100/$E$15</f>
        <v/>
      </c>
      <c r="EV15" s="108" t="n"/>
      <c r="EW15" s="122">
        <f>EV15*100/$E$15</f>
        <v/>
      </c>
      <c r="EX15" s="108" t="n"/>
      <c r="EY15" s="122">
        <f>EX15*100/$E$15</f>
        <v/>
      </c>
      <c r="EZ15" s="108" t="n"/>
      <c r="FA15" s="122">
        <f>EZ15*100/$E$15</f>
        <v/>
      </c>
      <c r="FB15" s="108" t="n"/>
      <c r="FC15" s="122">
        <f>FB15*100/$E$15</f>
        <v/>
      </c>
      <c r="FD15" s="108" t="n"/>
      <c r="FE15" s="122">
        <f>FD15*100/$E$15</f>
        <v/>
      </c>
      <c r="FF15" s="108" t="n"/>
      <c r="FG15" s="122">
        <f>FF15*100/$E$15</f>
        <v/>
      </c>
      <c r="FH15" s="108" t="n"/>
      <c r="FI15" s="122">
        <f>FH15*100/$E$15</f>
        <v/>
      </c>
      <c r="FJ15" s="108" t="n"/>
      <c r="FK15" s="122">
        <f>FJ15*100/$E$15</f>
        <v/>
      </c>
      <c r="FL15" s="108" t="n"/>
      <c r="FM15" s="122">
        <f>FL15*100/$E$15</f>
        <v/>
      </c>
      <c r="FN15" s="108" t="n"/>
      <c r="FO15" s="122">
        <f>FN15*100/$E$15</f>
        <v/>
      </c>
      <c r="FP15" s="108" t="n"/>
      <c r="FQ15" s="122">
        <f>FP15*100/$E$15</f>
        <v/>
      </c>
      <c r="FR15" s="108" t="n"/>
      <c r="FS15" s="122">
        <f>FR15*100/$E$15</f>
        <v/>
      </c>
      <c r="FT15" s="108" t="n"/>
      <c r="FU15" s="122">
        <f>FT15*100/$E$15</f>
        <v/>
      </c>
      <c r="FV15" s="108" t="n"/>
      <c r="FW15" s="122">
        <f>FV15*100/$E$15</f>
        <v/>
      </c>
      <c r="FX15" s="108" t="n"/>
      <c r="FY15" s="107">
        <f>FX15*100/$E$15</f>
        <v/>
      </c>
      <c r="FZ15" s="108" t="n"/>
      <c r="GA15" s="107">
        <f>FZ15*100/$E$15</f>
        <v/>
      </c>
      <c r="GB15" s="108" t="n"/>
      <c r="GC15" s="107">
        <f>GB15*100/$E$15</f>
        <v/>
      </c>
      <c r="GD15" s="108" t="n"/>
      <c r="GE15" s="107">
        <f>GD15*100/$E$15</f>
        <v/>
      </c>
      <c r="GF15" s="108" t="n"/>
      <c r="GG15" s="107">
        <f>GF15*100/$E$15</f>
        <v/>
      </c>
      <c r="GH15" s="108" t="n"/>
      <c r="GI15" s="107">
        <f>GH15*100/$E$15</f>
        <v/>
      </c>
      <c r="GJ15" s="108" t="n"/>
      <c r="GK15" s="122">
        <f>GJ15*100/$E$15</f>
        <v/>
      </c>
      <c r="GL15" s="108" t="n"/>
      <c r="GM15" s="107">
        <f>GL15*100/$E$15</f>
        <v/>
      </c>
      <c r="GN15" s="108" t="n"/>
      <c r="GO15" s="122">
        <f>GN15*100/$E$15</f>
        <v/>
      </c>
      <c r="GP15" s="108" t="n"/>
      <c r="GQ15" s="107">
        <f>GP15*100/$E$15</f>
        <v/>
      </c>
      <c r="GR15" s="108" t="n"/>
      <c r="GS15" s="122">
        <f>GR15*100/$E$15</f>
        <v/>
      </c>
      <c r="GT15" s="108" t="n"/>
      <c r="GU15" s="122">
        <f>GT15*100/$E$15</f>
        <v/>
      </c>
      <c r="GV15" s="108" t="n"/>
      <c r="GW15" s="122">
        <f>GV15*100/$E$15</f>
        <v/>
      </c>
      <c r="GX15" s="108" t="n"/>
      <c r="GY15" s="107">
        <f>GX15*100/$E$15</f>
        <v/>
      </c>
      <c r="GZ15" s="108" t="n"/>
      <c r="HA15" s="107">
        <f>GZ15*100/$E$15</f>
        <v/>
      </c>
      <c r="HB15" s="108" t="n"/>
      <c r="HC15" s="107">
        <f>HB15*100/$E$15</f>
        <v/>
      </c>
      <c r="HD15" s="108" t="n"/>
      <c r="HE15" s="107">
        <f>HD15*100/$E$15</f>
        <v/>
      </c>
      <c r="HF15" s="108" t="n"/>
      <c r="HG15" s="107">
        <f>HF15*100/$E$15</f>
        <v/>
      </c>
      <c r="HH15" s="108" t="n"/>
      <c r="HI15" s="107">
        <f>HH15*100/$E$15</f>
        <v/>
      </c>
      <c r="HJ15" s="108" t="n"/>
      <c r="HK15" s="107">
        <f>HJ15*100/$E$15</f>
        <v/>
      </c>
      <c r="HL15" s="108" t="n"/>
      <c r="HM15" s="107">
        <f>HL15*100/$E$15</f>
        <v/>
      </c>
      <c r="HN15" s="108" t="n"/>
      <c r="HO15" s="107">
        <f>HN15*100/$E$15</f>
        <v/>
      </c>
      <c r="HP15" s="108" t="n"/>
      <c r="HQ15" s="107">
        <f>HP15*100/$E$15</f>
        <v/>
      </c>
      <c r="HR15" s="108" t="n"/>
      <c r="HS15" s="107">
        <f>HR15*100/$E$15</f>
        <v/>
      </c>
      <c r="HT15" s="108" t="n"/>
      <c r="HU15" s="107">
        <f>HT15*100/$E$15</f>
        <v/>
      </c>
      <c r="HV15" s="108" t="n"/>
      <c r="HW15" s="107">
        <f>HV15*100/$E$15</f>
        <v/>
      </c>
      <c r="HX15" s="108" t="n"/>
      <c r="HY15" s="107">
        <f>HX15*100/$E$15</f>
        <v/>
      </c>
      <c r="HZ15" s="108" t="n"/>
      <c r="IA15" s="122">
        <f>HZ15*100/$E$15</f>
        <v/>
      </c>
      <c r="IB15" s="108" t="n"/>
      <c r="IC15" s="122">
        <f>IB15*100/$E$15</f>
        <v/>
      </c>
      <c r="ID15" s="108" t="n"/>
      <c r="IE15" s="122">
        <f>ID15*100/$E$15</f>
        <v/>
      </c>
      <c r="IF15" s="108" t="n"/>
      <c r="IG15" s="122">
        <f>IF15*100/$E$15</f>
        <v/>
      </c>
      <c r="IH15" s="108" t="n"/>
      <c r="II15" s="122">
        <f>IH15*100/$E$15</f>
        <v/>
      </c>
      <c r="IJ15" s="108" t="n"/>
      <c r="IK15" s="122">
        <f>IJ15*100/$E$15</f>
        <v/>
      </c>
      <c r="IL15" s="108" t="n"/>
      <c r="IM15" s="107">
        <f>IL15*100/$E$15</f>
        <v/>
      </c>
      <c r="IN15" s="108" t="n"/>
      <c r="IO15" s="107">
        <f>IN15*100/$E$15</f>
        <v/>
      </c>
      <c r="IP15" s="108" t="n"/>
      <c r="IQ15" s="122">
        <f>IP15*100/$E$15</f>
        <v/>
      </c>
      <c r="IR15" s="108" t="n"/>
      <c r="IS15" s="122">
        <f>IR15*100/$E$15</f>
        <v/>
      </c>
      <c r="IT15" s="108" t="n"/>
      <c r="IU15" s="122">
        <f>IT15*100/$E$15</f>
        <v/>
      </c>
      <c r="IV15" s="108" t="n"/>
      <c r="IW15" s="122">
        <f>IV15*100/$E$15</f>
        <v/>
      </c>
      <c r="IX15" s="108" t="n"/>
      <c r="IY15" s="122">
        <f>IX15*100/$E$15</f>
        <v/>
      </c>
      <c r="IZ15" s="108" t="n"/>
      <c r="JA15" s="122">
        <f>IZ15*100/$E$15</f>
        <v/>
      </c>
      <c r="JB15" s="108" t="n"/>
      <c r="JC15" s="122">
        <f>JB15*100/$E$15</f>
        <v/>
      </c>
      <c r="JD15" s="108" t="n"/>
      <c r="JE15" s="122">
        <f>JD15*100/$E$15</f>
        <v/>
      </c>
      <c r="JF15" s="108" t="n"/>
      <c r="JG15" s="122">
        <f>JF15*100/$E$15</f>
        <v/>
      </c>
      <c r="JH15" s="108" t="n"/>
      <c r="JI15" s="122">
        <f>JH15*100/$E$15</f>
        <v/>
      </c>
      <c r="JJ15" s="108" t="n"/>
      <c r="JK15" s="122">
        <f>JJ15*100/$E$15</f>
        <v/>
      </c>
      <c r="JL15" s="108" t="n"/>
      <c r="JM15" s="122">
        <f>JL15*100/$E$15</f>
        <v/>
      </c>
      <c r="JN15" s="108" t="n"/>
      <c r="JO15" s="122">
        <f>JN15*100/$E$15</f>
        <v/>
      </c>
      <c r="JP15" s="108" t="n"/>
      <c r="JQ15" s="122">
        <f>JP15*100/$E$15</f>
        <v/>
      </c>
      <c r="JR15" s="108" t="n"/>
      <c r="JS15" s="122">
        <f>JR15*100/$E$15</f>
        <v/>
      </c>
      <c r="JT15" s="108" t="n"/>
      <c r="JU15" s="122">
        <f>JT15*100/$E$15</f>
        <v/>
      </c>
      <c r="JV15" s="132" t="n"/>
      <c r="JW15" s="122">
        <f>JV15*100/$E$15</f>
        <v/>
      </c>
      <c r="JX15" s="132" t="n"/>
      <c r="JY15" s="122">
        <f>JX15*100/$E$15</f>
        <v/>
      </c>
      <c r="JZ15" s="55">
        <f>JN15+JP15+JR15+JT15+JV15+JX15</f>
        <v/>
      </c>
      <c r="KA15" s="53">
        <f>JO15+JQ15+JS15+JU15+JW15+JY15</f>
        <v/>
      </c>
      <c r="KB15" s="64">
        <f>H15+J15+L15+N15+P15+R15+T15+V15+X15+Z15+AB15+AD15+AF15+AH15+AJ15+AL15+AN15+AP15+AR15+AT15+AV15+AX15+AZ15+BB15+BD15+BF15+BH15+BJ15+BL15+BN15+BP15+BR15+BT15+BV15+BX15+BZ15+CB15+CD15+CF15+CH15+CZ15+DB15+DD15+DF15+DH15+DJ15+DL15+DN15+DP15+DR15+DT15+DV15+DX15+DZ15+EB15+ED15+EF15+EH15+EJ15+EL15+EN15+EP15+ER15+ET15+EV15+FN15+FP15+FR15+FT15+FV15+FX15+FZ15+GB15+GD15+GF15+GH15+GJ15+GL15+GN15+GP15+GR15+GT15+GV15+GX15+GZ15+HB15+HD15+HF15+HH15+HJ15+HL15+HN15+HP15+HR15+HT15+HV15+HX15+HZ15+IB15+ID15+IF15+IH15+IJ15+IL15+IN15+IP15+IR15+IT15+IV15+IX15+IZ15+JB15+JD15+JF15+JH15+JJ15+JL15+JZ15+CJ15+CL15+CN15+CP15+CR15+CT15+CV15+CX15+EX15+EZ15+FB15+FD15+FF15+FH15+FJ15+FL15</f>
        <v/>
      </c>
      <c r="KC15" s="66">
        <f>I15+K15+M15+O15+Q15+S15+U15+W15+Y15+AA15+AC15+AE15+AG15+AI15+AK15+AM15+AO15+AQ15+AS15+AU15+AW15+AY15+BA15+BC15+BE15+BG15+BI15+BK15+BM15+BO15+BQ15+BS15+BU15+BW15+BY15+CA15+CC15+CE15+CG15+CI15+DA15+DC15+DE15+DG15+DI15+DK15+DM15+DO15+DQ15+DS15+DU15+DW15+DY15+EA15+EC15+EE15+EG15+EI15+EK15+EM15+EO15+EQ15+ES15+EU15+EW15+FO15+FS15+FU15+FW15+FQ15+FY15+GA15+GC15+GE15+GG15+GI15+GK15+GM15+GO15+GQ15+GS15+GU15+GW15+GY15+HA15+HC15+HE15+HG15+HI15+HK15+HM15+HO15+HQ15+HS15+HU15+HW15+HY15+IA15+IC15+IE15+IG15+II15+IK15+IM15+IO15+IQ15+IS15+IU15+IW15+IY15+JA15+JC15+JE15+JG15+JI15+JK15+JM15+KA15+CK15+CM15+CO15+CQ15+CS15+CU15+CW15+CY15+EY15+FA15+FC15+FE15+FG15+FI15+FK15+FM15</f>
        <v/>
      </c>
      <c r="KD15" s="44">
        <f>JO15+JQ15+JS15+JU15+JW15+JY15</f>
        <v/>
      </c>
      <c r="KE15" s="45">
        <f>KB15=E15</f>
        <v/>
      </c>
      <c r="KF15" s="101">
        <f>E15-KB15</f>
        <v/>
      </c>
      <c r="KG15" s="14" t="n"/>
    </row>
    <row r="16" ht="21.75" customFormat="1" customHeight="1" s="12">
      <c r="A16" s="126">
        <f>A15+1</f>
        <v/>
      </c>
      <c r="B16" s="175" t="inlineStr">
        <is>
          <t>Волков М. А.</t>
        </is>
      </c>
      <c r="C16" s="176" t="inlineStr">
        <is>
          <t>Эл.сварщик</t>
        </is>
      </c>
      <c r="D16" s="177">
        <f>$D$5</f>
        <v/>
      </c>
      <c r="E16" s="202" t="n"/>
      <c r="F16" s="190" t="n">
        <v>55770</v>
      </c>
      <c r="G16" s="52">
        <f>F16/D16</f>
        <v/>
      </c>
      <c r="H16" s="125" t="n"/>
      <c r="I16" s="107">
        <f>H16*100/$E$16</f>
        <v/>
      </c>
      <c r="J16" s="108" t="n"/>
      <c r="K16" s="107">
        <f>J16*100/$E$16</f>
        <v/>
      </c>
      <c r="L16" s="108" t="n"/>
      <c r="M16" s="107">
        <f>L16*100/$E$16</f>
        <v/>
      </c>
      <c r="N16" s="108" t="n"/>
      <c r="O16" s="107">
        <f>N16*100/$E$16</f>
        <v/>
      </c>
      <c r="P16" s="108" t="n"/>
      <c r="Q16" s="122">
        <f>P16*100/$E$16</f>
        <v/>
      </c>
      <c r="R16" s="108" t="n"/>
      <c r="S16" s="107">
        <f>R16*100/$E$16</f>
        <v/>
      </c>
      <c r="T16" s="108" t="n"/>
      <c r="U16" s="107">
        <f>T16*100/$E$16</f>
        <v/>
      </c>
      <c r="V16" s="108" t="n"/>
      <c r="W16" s="107">
        <f>V16*100/$E$16</f>
        <v/>
      </c>
      <c r="X16" s="108" t="n"/>
      <c r="Y16" s="107">
        <f>X16*100/$E$16</f>
        <v/>
      </c>
      <c r="Z16" s="108" t="n"/>
      <c r="AA16" s="107">
        <f>Z16*100/$E$16</f>
        <v/>
      </c>
      <c r="AB16" s="108" t="n"/>
      <c r="AC16" s="107">
        <f>AB16*100/$E$16</f>
        <v/>
      </c>
      <c r="AD16" s="108" t="n"/>
      <c r="AE16" s="107">
        <f>AD16*100/$E$16</f>
        <v/>
      </c>
      <c r="AF16" s="108" t="n"/>
      <c r="AG16" s="107">
        <f>AF16*100/$E$16</f>
        <v/>
      </c>
      <c r="AH16" s="108" t="n"/>
      <c r="AI16" s="107">
        <f>AH16*100/$E$16</f>
        <v/>
      </c>
      <c r="AJ16" s="108" t="n"/>
      <c r="AK16" s="107">
        <f>AJ16*100/$E$16</f>
        <v/>
      </c>
      <c r="AL16" s="108" t="n"/>
      <c r="AM16" s="107">
        <f>AL16*100/$E$16</f>
        <v/>
      </c>
      <c r="AN16" s="108" t="n"/>
      <c r="AO16" s="107">
        <f>AN16*100/$E$16</f>
        <v/>
      </c>
      <c r="AP16" s="108" t="n"/>
      <c r="AQ16" s="107">
        <f>AP16*100/$E$16</f>
        <v/>
      </c>
      <c r="AR16" s="108" t="n"/>
      <c r="AS16" s="107">
        <f>AR16*100/$E$16</f>
        <v/>
      </c>
      <c r="AT16" s="108" t="n"/>
      <c r="AU16" s="90">
        <f>AT16*100/$E$16</f>
        <v/>
      </c>
      <c r="AV16" s="108" t="n"/>
      <c r="AW16" s="107">
        <f>AV16*100/$E$16</f>
        <v/>
      </c>
      <c r="AX16" s="108" t="n"/>
      <c r="AY16" s="107">
        <f>AX16*100/$E$16</f>
        <v/>
      </c>
      <c r="AZ16" s="108" t="n"/>
      <c r="BA16" s="107">
        <f>AZ16*100/$E$16</f>
        <v/>
      </c>
      <c r="BB16" s="108" t="n"/>
      <c r="BC16" s="107">
        <f>BB16*100/$E$16</f>
        <v/>
      </c>
      <c r="BD16" s="108" t="n"/>
      <c r="BE16" s="107">
        <f>BD16*100/$E$16</f>
        <v/>
      </c>
      <c r="BF16" s="108" t="n"/>
      <c r="BG16" s="107">
        <f>BF16*100/$E$16</f>
        <v/>
      </c>
      <c r="BH16" s="108" t="n"/>
      <c r="BI16" s="107">
        <f>BH16*100/$E$16</f>
        <v/>
      </c>
      <c r="BJ16" s="108" t="n"/>
      <c r="BK16" s="107">
        <f>BJ16*100/$E$16</f>
        <v/>
      </c>
      <c r="BL16" s="108" t="n"/>
      <c r="BM16" s="107">
        <f>BL16*100/$E$16</f>
        <v/>
      </c>
      <c r="BN16" s="108" t="n"/>
      <c r="BO16" s="107">
        <f>BN16*100/$E$16</f>
        <v/>
      </c>
      <c r="BP16" s="108" t="n"/>
      <c r="BQ16" s="107">
        <f>BP16*100/$E$16</f>
        <v/>
      </c>
      <c r="BR16" s="108" t="n"/>
      <c r="BS16" s="107">
        <f>BR16*100/$E$16</f>
        <v/>
      </c>
      <c r="BT16" s="108" t="n"/>
      <c r="BU16" s="107">
        <f>BT16*100/$E$16</f>
        <v/>
      </c>
      <c r="BV16" s="108" t="n"/>
      <c r="BW16" s="107">
        <f>BV16*100/$E$16</f>
        <v/>
      </c>
      <c r="BX16" s="108" t="n"/>
      <c r="BY16" s="107">
        <f>BX16*100/$E$16</f>
        <v/>
      </c>
      <c r="BZ16" s="108" t="n"/>
      <c r="CA16" s="107">
        <f>BZ16*100/$E$16</f>
        <v/>
      </c>
      <c r="CB16" s="108" t="n"/>
      <c r="CC16" s="107">
        <f>CB16*100/$E$16</f>
        <v/>
      </c>
      <c r="CD16" s="108" t="n"/>
      <c r="CE16" s="107">
        <f>CD16*100/$E$16</f>
        <v/>
      </c>
      <c r="CF16" s="108" t="n"/>
      <c r="CG16" s="107">
        <f>CF16*100/$E$16</f>
        <v/>
      </c>
      <c r="CH16" s="108" t="n"/>
      <c r="CI16" s="107">
        <f>CH16*100/$E$16</f>
        <v/>
      </c>
      <c r="CJ16" s="108" t="n"/>
      <c r="CK16" s="107">
        <f>CJ16*100/$E$16</f>
        <v/>
      </c>
      <c r="CL16" s="108" t="n"/>
      <c r="CM16" s="107">
        <f>CL16*100/$E$16</f>
        <v/>
      </c>
      <c r="CN16" s="108" t="n"/>
      <c r="CO16" s="122">
        <f>CN16*100/$E$16</f>
        <v/>
      </c>
      <c r="CP16" s="108" t="n"/>
      <c r="CQ16" s="107">
        <f>CP16*100/$E$16</f>
        <v/>
      </c>
      <c r="CR16" s="108" t="n"/>
      <c r="CS16" s="122">
        <f>CR16*100/$E$16</f>
        <v/>
      </c>
      <c r="CT16" s="108" t="n"/>
      <c r="CU16" s="122">
        <f>CT16*100/$E$16</f>
        <v/>
      </c>
      <c r="CV16" s="108" t="n"/>
      <c r="CW16" s="122">
        <f>CV16*100/$E$16</f>
        <v/>
      </c>
      <c r="CX16" s="108" t="n"/>
      <c r="CY16" s="122">
        <f>CX16*100/$E$16</f>
        <v/>
      </c>
      <c r="CZ16" s="108" t="n"/>
      <c r="DA16" s="122">
        <f>CZ16*100/$E$16</f>
        <v/>
      </c>
      <c r="DB16" s="108" t="n"/>
      <c r="DC16" s="122">
        <f>DB16*100/$E$16</f>
        <v/>
      </c>
      <c r="DD16" s="108" t="n"/>
      <c r="DE16" s="122">
        <f>DD16*100/$E$16</f>
        <v/>
      </c>
      <c r="DF16" s="108" t="n"/>
      <c r="DG16" s="122">
        <f>DF16*100/$E$16</f>
        <v/>
      </c>
      <c r="DH16" s="108" t="n"/>
      <c r="DI16" s="122">
        <f>DH16*100/$E$16</f>
        <v/>
      </c>
      <c r="DJ16" s="108" t="n"/>
      <c r="DK16" s="122">
        <f>DJ16*100/$E$16</f>
        <v/>
      </c>
      <c r="DL16" s="108" t="n"/>
      <c r="DM16" s="122">
        <f>DL16*100/$E$16</f>
        <v/>
      </c>
      <c r="DN16" s="108" t="n"/>
      <c r="DO16" s="122">
        <f>DN16*100/$E$16</f>
        <v/>
      </c>
      <c r="DP16" s="108" t="n"/>
      <c r="DQ16" s="122">
        <f>DP16*100/$E$16</f>
        <v/>
      </c>
      <c r="DR16" s="108" t="n"/>
      <c r="DS16" s="107">
        <f>DR16*100/$E$16</f>
        <v/>
      </c>
      <c r="DT16" s="108" t="n"/>
      <c r="DU16" s="122">
        <f>DT16*100/$E$16</f>
        <v/>
      </c>
      <c r="DV16" s="108" t="n"/>
      <c r="DW16" s="122">
        <f>DV16*100/$E$16</f>
        <v/>
      </c>
      <c r="DX16" s="108" t="n"/>
      <c r="DY16" s="122">
        <f>DX16*100/$E$16</f>
        <v/>
      </c>
      <c r="DZ16" s="108" t="n"/>
      <c r="EA16" s="122">
        <f>DZ16*100/$E$16</f>
        <v/>
      </c>
      <c r="EB16" s="108" t="n"/>
      <c r="EC16" s="122">
        <f>EB16*100/$E$16</f>
        <v/>
      </c>
      <c r="ED16" s="108" t="n"/>
      <c r="EE16" s="122">
        <f>ED16*100/$E$16</f>
        <v/>
      </c>
      <c r="EF16" s="108" t="n"/>
      <c r="EG16" s="122">
        <f>EF16*100/$E$16</f>
        <v/>
      </c>
      <c r="EH16" s="108" t="n"/>
      <c r="EI16" s="107">
        <f>EH16*100/$E$16</f>
        <v/>
      </c>
      <c r="EJ16" s="108" t="n"/>
      <c r="EK16" s="107">
        <f>EJ16*100/$E$16</f>
        <v/>
      </c>
      <c r="EL16" s="108" t="n"/>
      <c r="EM16" s="107">
        <f>EL16*100/$E$16</f>
        <v/>
      </c>
      <c r="EN16" s="108" t="n"/>
      <c r="EO16" s="107">
        <f>EN16*100/$E$16</f>
        <v/>
      </c>
      <c r="EP16" s="108" t="n"/>
      <c r="EQ16" s="107">
        <f>EP16*100/$E$16</f>
        <v/>
      </c>
      <c r="ER16" s="108" t="n"/>
      <c r="ES16" s="107">
        <f>ER16*100/$E$16</f>
        <v/>
      </c>
      <c r="ET16" s="108" t="n"/>
      <c r="EU16" s="107">
        <f>ET16*100/$E$16</f>
        <v/>
      </c>
      <c r="EV16" s="108" t="n"/>
      <c r="EW16" s="122">
        <f>EV16*100/$E$16</f>
        <v/>
      </c>
      <c r="EX16" s="108" t="n"/>
      <c r="EY16" s="122">
        <f>EX16*100/$E$16</f>
        <v/>
      </c>
      <c r="EZ16" s="108" t="n"/>
      <c r="FA16" s="122">
        <f>EZ16*100/$E$16</f>
        <v/>
      </c>
      <c r="FB16" s="108" t="n"/>
      <c r="FC16" s="122">
        <f>FB16*100/$E$16</f>
        <v/>
      </c>
      <c r="FD16" s="108" t="n"/>
      <c r="FE16" s="122">
        <f>FD16*100/$E$16</f>
        <v/>
      </c>
      <c r="FF16" s="108" t="n"/>
      <c r="FG16" s="122">
        <f>FF16*100/$E$16</f>
        <v/>
      </c>
      <c r="FH16" s="108" t="n"/>
      <c r="FI16" s="122">
        <f>FH16*100/$E$16</f>
        <v/>
      </c>
      <c r="FJ16" s="108" t="n"/>
      <c r="FK16" s="122">
        <f>FJ16*100/$E$16</f>
        <v/>
      </c>
      <c r="FL16" s="108" t="n"/>
      <c r="FM16" s="122">
        <f>FL16*100/$E$16</f>
        <v/>
      </c>
      <c r="FN16" s="108" t="n"/>
      <c r="FO16" s="122">
        <f>FN16*100/$E$16</f>
        <v/>
      </c>
      <c r="FP16" s="108" t="n"/>
      <c r="FQ16" s="107">
        <f>FP16*100/$E$16</f>
        <v/>
      </c>
      <c r="FR16" s="108" t="n"/>
      <c r="FS16" s="107">
        <f>FR16*100/$E$16</f>
        <v/>
      </c>
      <c r="FT16" s="108" t="n"/>
      <c r="FU16" s="107">
        <f>FT16*100/$E$16</f>
        <v/>
      </c>
      <c r="FV16" s="108" t="n"/>
      <c r="FW16" s="107">
        <f>FV16*100/$E$16</f>
        <v/>
      </c>
      <c r="FX16" s="108" t="n"/>
      <c r="FY16" s="107">
        <f>FX16*100/$E$16</f>
        <v/>
      </c>
      <c r="FZ16" s="108" t="n"/>
      <c r="GA16" s="107">
        <f>FZ16*100/$E$16</f>
        <v/>
      </c>
      <c r="GB16" s="108" t="n"/>
      <c r="GC16" s="107">
        <f>GB16*100/$E$16</f>
        <v/>
      </c>
      <c r="GD16" s="108" t="n"/>
      <c r="GE16" s="107">
        <f>GD16*100/$E$16</f>
        <v/>
      </c>
      <c r="GF16" s="108" t="n"/>
      <c r="GG16" s="107">
        <f>GF16*100/$E$16</f>
        <v/>
      </c>
      <c r="GH16" s="108" t="n"/>
      <c r="GI16" s="107">
        <f>GH16*100/$E$16</f>
        <v/>
      </c>
      <c r="GJ16" s="108" t="n"/>
      <c r="GK16" s="122">
        <f>GJ16*100/$E$16</f>
        <v/>
      </c>
      <c r="GL16" s="108" t="n"/>
      <c r="GM16" s="107">
        <f>GL16*100/$E$16</f>
        <v/>
      </c>
      <c r="GN16" s="108" t="n"/>
      <c r="GO16" s="122">
        <f>GN16*100/$E$16</f>
        <v/>
      </c>
      <c r="GP16" s="108" t="n"/>
      <c r="GQ16" s="107">
        <f>GP16*100/$E$16</f>
        <v/>
      </c>
      <c r="GR16" s="108" t="n"/>
      <c r="GS16" s="122">
        <f>GR16*100/$E$16</f>
        <v/>
      </c>
      <c r="GT16" s="108" t="n"/>
      <c r="GU16" s="122">
        <f>GT16*100/$E$16</f>
        <v/>
      </c>
      <c r="GV16" s="108" t="n"/>
      <c r="GW16" s="122">
        <f>GV16*100/$E$16</f>
        <v/>
      </c>
      <c r="GX16" s="108" t="n"/>
      <c r="GY16" s="107">
        <f>GX16*100/$E$16</f>
        <v/>
      </c>
      <c r="GZ16" s="108" t="n"/>
      <c r="HA16" s="107">
        <f>GZ16*100/$E$16</f>
        <v/>
      </c>
      <c r="HB16" s="108" t="n"/>
      <c r="HC16" s="107">
        <f>HB16*100/$E$16</f>
        <v/>
      </c>
      <c r="HD16" s="108" t="n"/>
      <c r="HE16" s="107">
        <f>HD16*100/$E$16</f>
        <v/>
      </c>
      <c r="HF16" s="108" t="n"/>
      <c r="HG16" s="107">
        <f>HF16*100/$E$16</f>
        <v/>
      </c>
      <c r="HH16" s="108" t="n"/>
      <c r="HI16" s="107">
        <f>HH16*100/$E$16</f>
        <v/>
      </c>
      <c r="HJ16" s="108" t="n"/>
      <c r="HK16" s="107">
        <f>HJ16*100/$E$16</f>
        <v/>
      </c>
      <c r="HL16" s="108" t="n"/>
      <c r="HM16" s="107">
        <f>HL16*100/$E$16</f>
        <v/>
      </c>
      <c r="HN16" s="108" t="n"/>
      <c r="HO16" s="107">
        <f>HN16*100/$E$16</f>
        <v/>
      </c>
      <c r="HP16" s="108" t="n"/>
      <c r="HQ16" s="107">
        <f>HP16*100/$E$16</f>
        <v/>
      </c>
      <c r="HR16" s="108" t="n"/>
      <c r="HS16" s="107">
        <f>HR16*100/$E$16</f>
        <v/>
      </c>
      <c r="HT16" s="108" t="n"/>
      <c r="HU16" s="107">
        <f>HT16*100/$E$16</f>
        <v/>
      </c>
      <c r="HV16" s="108" t="n"/>
      <c r="HW16" s="107">
        <f>HV16*100/$E$16</f>
        <v/>
      </c>
      <c r="HX16" s="108" t="n"/>
      <c r="HY16" s="107">
        <f>HX16*100/$E$16</f>
        <v/>
      </c>
      <c r="HZ16" s="108" t="n"/>
      <c r="IA16" s="122">
        <f>HZ16*100/$E$16</f>
        <v/>
      </c>
      <c r="IB16" s="108" t="n"/>
      <c r="IC16" s="122">
        <f>IB16*100/$E$16</f>
        <v/>
      </c>
      <c r="ID16" s="108" t="n"/>
      <c r="IE16" s="122">
        <f>ID16*100/$E$16</f>
        <v/>
      </c>
      <c r="IF16" s="108" t="n"/>
      <c r="IG16" s="122">
        <f>IF16*100/$E$16</f>
        <v/>
      </c>
      <c r="IH16" s="108" t="n"/>
      <c r="II16" s="122">
        <f>IH16*100/$E$16</f>
        <v/>
      </c>
      <c r="IJ16" s="108" t="n"/>
      <c r="IK16" s="122">
        <f>IJ16*100/$E$16</f>
        <v/>
      </c>
      <c r="IL16" s="108" t="n"/>
      <c r="IM16" s="107">
        <f>IL16*100/$E$16</f>
        <v/>
      </c>
      <c r="IN16" s="108" t="n"/>
      <c r="IO16" s="107">
        <f>IN16*100/$E$16</f>
        <v/>
      </c>
      <c r="IP16" s="108" t="n"/>
      <c r="IQ16" s="122">
        <f>IP16*100/$E$16</f>
        <v/>
      </c>
      <c r="IR16" s="108" t="n"/>
      <c r="IS16" s="122">
        <f>IR16*100/$E$16</f>
        <v/>
      </c>
      <c r="IT16" s="108" t="n"/>
      <c r="IU16" s="122">
        <f>IT16*100/$E$16</f>
        <v/>
      </c>
      <c r="IV16" s="108" t="n"/>
      <c r="IW16" s="122">
        <f>IV16*100/$E$16</f>
        <v/>
      </c>
      <c r="IX16" s="108" t="n"/>
      <c r="IY16" s="122">
        <f>IX16*100/$E$16</f>
        <v/>
      </c>
      <c r="IZ16" s="108" t="n"/>
      <c r="JA16" s="122">
        <f>IZ16*100/$E$16</f>
        <v/>
      </c>
      <c r="JB16" s="108" t="n"/>
      <c r="JC16" s="122">
        <f>JB16*100/$E$16</f>
        <v/>
      </c>
      <c r="JD16" s="108" t="n"/>
      <c r="JE16" s="122">
        <f>JD16*100/$E$16</f>
        <v/>
      </c>
      <c r="JF16" s="108" t="n"/>
      <c r="JG16" s="122">
        <f>JF16*100/$E$16</f>
        <v/>
      </c>
      <c r="JH16" s="108" t="n"/>
      <c r="JI16" s="122">
        <f>JH16*100/$E$16</f>
        <v/>
      </c>
      <c r="JJ16" s="108" t="n"/>
      <c r="JK16" s="122">
        <f>JJ16*100/$E$16</f>
        <v/>
      </c>
      <c r="JL16" s="108" t="n"/>
      <c r="JM16" s="122">
        <f>JL16*100/$E$16</f>
        <v/>
      </c>
      <c r="JN16" s="108" t="n"/>
      <c r="JO16" s="121">
        <f>JN16*100/$E$16</f>
        <v/>
      </c>
      <c r="JP16" s="108" t="n"/>
      <c r="JQ16" s="121">
        <f>JP16*100/$E$16</f>
        <v/>
      </c>
      <c r="JR16" s="108" t="n"/>
      <c r="JS16" s="121">
        <f>JR16*100/$E$16</f>
        <v/>
      </c>
      <c r="JT16" s="108" t="n"/>
      <c r="JU16" s="121">
        <f>JT16*100/$E$16</f>
        <v/>
      </c>
      <c r="JV16" s="108" t="n"/>
      <c r="JW16" s="121">
        <f>JV16*100/$E$16</f>
        <v/>
      </c>
      <c r="JX16" s="108" t="n"/>
      <c r="JY16" s="121">
        <f>JX16*100/$E$16</f>
        <v/>
      </c>
      <c r="JZ16" s="55">
        <f>JN16+JP16+JR16+JT16+JV16+JX16</f>
        <v/>
      </c>
      <c r="KA16" s="53">
        <f>JO16+JQ16+JS16+JU16+JW16+JY16</f>
        <v/>
      </c>
      <c r="KB16" s="64">
        <f>H16+J16+L16+N16+P16+R16+T16+V16+X16+Z16+AB16+AD16+AF16+AH16+AJ16+AL16+AN16+AP16+AR16+AT16+AV16+AX16+AZ16+BB16+BD16+BF16+BH16+BJ16+BL16+BN16+BP16+BR16+BT16+BV16+BX16+BZ16+CB16+CD16+CF16+CH16+CZ16+DB16+DD16+DF16+DH16+DJ16+DL16+DN16+DP16+DR16+DT16+DV16+DX16+DZ16+EB16+ED16+EF16+EH16+EJ16+EL16+EN16+EP16+ER16+ET16+EV16+FN16+FP16+FR16+FT16+FV16+FX16+FZ16+GB16+GD16+GF16+GH16+GJ16+GL16+GN16+GP16+GR16+GT16+GV16+GX16+GZ16+HB16+HD16+HF16+HH16+HJ16+HL16+HN16+HP16+HR16+HT16+HV16+HX16+HZ16+IB16+ID16+IF16+IH16+IJ16+IL16+IN16+IP16+IR16+IT16+IV16+IX16+IZ16+JB16+JD16+JF16+JH16+JJ16+JL16+JZ16+CJ16+CL16+CN16+CP16+CR16+CT16+CV16+CX16+EX16+EZ16+FB16+FD16+FF16+FH16+FJ16+FL16</f>
        <v/>
      </c>
      <c r="KC16" s="66">
        <f>I16+K16+M16+O16+Q16+S16+U16+W16+Y16+AA16+AC16+AE16+AG16+AI16+AK16+AM16+AO16+AQ16+AS16+AU16+AW16+AY16+BA16+BC16+BE16+BG16+BI16+BK16+BM16+BO16+BQ16+BS16+BU16+BW16+BY16+CA16+CC16+CE16+CG16+CI16+DA16+DC16+DE16+DG16+DI16+DK16+DM16+DO16+DQ16+DS16+DU16+DW16+DY16+EA16+EC16+EE16+EG16+EI16+EK16+EM16+EO16+EQ16+ES16+EU16+EW16+FO16+FS16+FU16+FW16+FQ16+FY16+GA16+GC16+GE16+GG16+GI16+GK16+GM16+GO16+GQ16+GS16+GU16+GW16+GY16+HA16+HC16+HE16+HG16+HI16+HK16+HM16+HO16+HQ16+HS16+HU16+HW16+HY16+IA16+IC16+IE16+IG16+II16+IK16+IM16+IO16+IQ16+IS16+IU16+IW16+IY16+JA16+JC16+JE16+JG16+JI16+JK16+JM16+KA16+CK16+CM16+CO16+CQ16+CS16+CU16+CW16+CY16+EY16+FA16+FC16+FE16+FG16+FI16+FK16+FM16</f>
        <v/>
      </c>
      <c r="KD16" s="44">
        <f>JO16+JQ16+JS16+JU16+JW16+JY16</f>
        <v/>
      </c>
      <c r="KE16" s="45">
        <f>KB16=E16</f>
        <v/>
      </c>
      <c r="KF16" s="101">
        <f>E16-KB16</f>
        <v/>
      </c>
      <c r="KG16" s="67" t="n"/>
    </row>
    <row r="17" ht="21.75" customFormat="1" customHeight="1" s="14">
      <c r="A17" s="126">
        <f>A16+1</f>
        <v/>
      </c>
      <c r="B17" s="175" t="inlineStr">
        <is>
          <t>Гринев В.Н.</t>
        </is>
      </c>
      <c r="C17" s="176" t="inlineStr">
        <is>
          <t>сварщик</t>
        </is>
      </c>
      <c r="D17" s="177">
        <f>$D$5</f>
        <v/>
      </c>
      <c r="E17" s="202" t="n"/>
      <c r="F17" s="190" t="n">
        <v>61252.7</v>
      </c>
      <c r="G17" s="52">
        <f>F17/D17</f>
        <v/>
      </c>
      <c r="H17" s="125" t="n"/>
      <c r="I17" s="107">
        <f>H17*100/$E$17</f>
        <v/>
      </c>
      <c r="J17" s="108" t="n"/>
      <c r="K17" s="107">
        <f>J17*100/$E$17</f>
        <v/>
      </c>
      <c r="L17" s="108" t="n"/>
      <c r="M17" s="107">
        <f>L17*100/$E$17</f>
        <v/>
      </c>
      <c r="N17" s="108" t="n"/>
      <c r="O17" s="107">
        <f>N17*100/$E$17</f>
        <v/>
      </c>
      <c r="P17" s="108" t="n"/>
      <c r="Q17" s="122">
        <f>P17*100/$E$17</f>
        <v/>
      </c>
      <c r="R17" s="108" t="n"/>
      <c r="S17" s="122">
        <f>R17*100/$E$17</f>
        <v/>
      </c>
      <c r="T17" s="108" t="n"/>
      <c r="U17" s="107">
        <f>T17*100/$E$17</f>
        <v/>
      </c>
      <c r="V17" s="108" t="n"/>
      <c r="W17" s="107">
        <f>V17*100/$E$17</f>
        <v/>
      </c>
      <c r="X17" s="108" t="n"/>
      <c r="Y17" s="107">
        <f>X17*100/$E$17</f>
        <v/>
      </c>
      <c r="Z17" s="108" t="n"/>
      <c r="AA17" s="107">
        <f>Z17*100/$E$17</f>
        <v/>
      </c>
      <c r="AB17" s="108" t="n"/>
      <c r="AC17" s="107">
        <f>AB17*100/$E$17</f>
        <v/>
      </c>
      <c r="AD17" s="108" t="n"/>
      <c r="AE17" s="122">
        <f>AD17*100/$E$17</f>
        <v/>
      </c>
      <c r="AF17" s="108" t="n"/>
      <c r="AG17" s="122">
        <f>AF17*100/$E$17</f>
        <v/>
      </c>
      <c r="AH17" s="108" t="n"/>
      <c r="AI17" s="107">
        <f>AH17*100/$E$17</f>
        <v/>
      </c>
      <c r="AJ17" s="108" t="n"/>
      <c r="AK17" s="107">
        <f>AJ17*100/$E$17</f>
        <v/>
      </c>
      <c r="AL17" s="108" t="n"/>
      <c r="AM17" s="107">
        <f>AL17*100/$E$17</f>
        <v/>
      </c>
      <c r="AN17" s="108" t="n"/>
      <c r="AO17" s="107">
        <f>AN17*100/$E$17</f>
        <v/>
      </c>
      <c r="AP17" s="108" t="n"/>
      <c r="AQ17" s="107">
        <f>AP17*100/$E$17</f>
        <v/>
      </c>
      <c r="AR17" s="108" t="n"/>
      <c r="AS17" s="107">
        <f>AR17*100/$E$17</f>
        <v/>
      </c>
      <c r="AT17" s="108" t="n"/>
      <c r="AU17" s="90">
        <f>AT17*100/$E$17</f>
        <v/>
      </c>
      <c r="AV17" s="108" t="n"/>
      <c r="AW17" s="107">
        <f>AV17*100/$E$17</f>
        <v/>
      </c>
      <c r="AX17" s="108" t="n"/>
      <c r="AY17" s="107">
        <f>AX17*100/$E$17</f>
        <v/>
      </c>
      <c r="AZ17" s="108" t="n"/>
      <c r="BA17" s="107">
        <f>AZ17*100/$E$17</f>
        <v/>
      </c>
      <c r="BB17" s="108" t="n"/>
      <c r="BC17" s="107">
        <f>BB17*100/$E$17</f>
        <v/>
      </c>
      <c r="BD17" s="108" t="n"/>
      <c r="BE17" s="107">
        <f>BD17*100/$E$17</f>
        <v/>
      </c>
      <c r="BF17" s="108" t="n"/>
      <c r="BG17" s="107">
        <f>BF17*100/$E$17</f>
        <v/>
      </c>
      <c r="BH17" s="108" t="n"/>
      <c r="BI17" s="107">
        <f>BH17*100/$E$17</f>
        <v/>
      </c>
      <c r="BJ17" s="108" t="n"/>
      <c r="BK17" s="107">
        <f>BJ17*100/$E$17</f>
        <v/>
      </c>
      <c r="BL17" s="108" t="n"/>
      <c r="BM17" s="107">
        <f>BL17*100/$E$17</f>
        <v/>
      </c>
      <c r="BN17" s="108" t="n"/>
      <c r="BO17" s="107">
        <f>BN17*100/$E$17</f>
        <v/>
      </c>
      <c r="BP17" s="108" t="n"/>
      <c r="BQ17" s="107">
        <f>BP17*100/$E$17</f>
        <v/>
      </c>
      <c r="BR17" s="108" t="n"/>
      <c r="BS17" s="107">
        <f>BR17*100/$E$17</f>
        <v/>
      </c>
      <c r="BT17" s="108" t="n"/>
      <c r="BU17" s="107">
        <f>BT17*100/$E$17</f>
        <v/>
      </c>
      <c r="BV17" s="108" t="n"/>
      <c r="BW17" s="107">
        <f>BV17*100/$E$17</f>
        <v/>
      </c>
      <c r="BX17" s="108" t="n"/>
      <c r="BY17" s="107">
        <f>BX17*100/$E$17</f>
        <v/>
      </c>
      <c r="BZ17" s="108" t="n"/>
      <c r="CA17" s="107">
        <f>BZ17*100/$E$17</f>
        <v/>
      </c>
      <c r="CB17" s="108" t="n"/>
      <c r="CC17" s="107">
        <f>CB17*100/$E$17</f>
        <v/>
      </c>
      <c r="CD17" s="108" t="n"/>
      <c r="CE17" s="107">
        <f>CD17*100/$E$17</f>
        <v/>
      </c>
      <c r="CF17" s="108" t="n"/>
      <c r="CG17" s="107">
        <f>CF17*100/$E$17</f>
        <v/>
      </c>
      <c r="CH17" s="108" t="n"/>
      <c r="CI17" s="107">
        <f>CH17*100/$E$17</f>
        <v/>
      </c>
      <c r="CJ17" s="108" t="n"/>
      <c r="CK17" s="107">
        <f>CJ17*100/$E$17</f>
        <v/>
      </c>
      <c r="CL17" s="108" t="n"/>
      <c r="CM17" s="107">
        <f>CL17*100/$E$17</f>
        <v/>
      </c>
      <c r="CN17" s="108" t="n"/>
      <c r="CO17" s="122">
        <f>CN17*100/$E$17</f>
        <v/>
      </c>
      <c r="CP17" s="108" t="n"/>
      <c r="CQ17" s="107">
        <f>CP17*100/$E$17</f>
        <v/>
      </c>
      <c r="CR17" s="108" t="n"/>
      <c r="CS17" s="122">
        <f>CR17*100/$E$17</f>
        <v/>
      </c>
      <c r="CT17" s="108" t="n"/>
      <c r="CU17" s="122">
        <f>CT17*100/$E$17</f>
        <v/>
      </c>
      <c r="CV17" s="108" t="n"/>
      <c r="CW17" s="122">
        <f>CV17*100/$E$17</f>
        <v/>
      </c>
      <c r="CX17" s="108" t="n"/>
      <c r="CY17" s="122">
        <f>CX17*100/$E$17</f>
        <v/>
      </c>
      <c r="CZ17" s="108" t="n"/>
      <c r="DA17" s="122">
        <f>CZ17*100/$E$17</f>
        <v/>
      </c>
      <c r="DB17" s="108" t="n"/>
      <c r="DC17" s="122">
        <f>DB17*100/$E$17</f>
        <v/>
      </c>
      <c r="DD17" s="108" t="n"/>
      <c r="DE17" s="122">
        <f>DD17*100/$E$17</f>
        <v/>
      </c>
      <c r="DF17" s="108" t="n"/>
      <c r="DG17" s="122">
        <f>DF17*100/$E$17</f>
        <v/>
      </c>
      <c r="DH17" s="108" t="n"/>
      <c r="DI17" s="122">
        <f>DH17*100/$E$17</f>
        <v/>
      </c>
      <c r="DJ17" s="108" t="n"/>
      <c r="DK17" s="122">
        <f>DJ17*100/$E$17</f>
        <v/>
      </c>
      <c r="DL17" s="108" t="n"/>
      <c r="DM17" s="122">
        <f>DL17*100/$E$17</f>
        <v/>
      </c>
      <c r="DN17" s="108" t="n"/>
      <c r="DO17" s="122">
        <f>DN17*100/$E$17</f>
        <v/>
      </c>
      <c r="DP17" s="108" t="n"/>
      <c r="DQ17" s="122">
        <f>DP17*100/$E$17</f>
        <v/>
      </c>
      <c r="DR17" s="108" t="n"/>
      <c r="DS17" s="122">
        <f>DR17*100/$E$17</f>
        <v/>
      </c>
      <c r="DT17" s="108" t="n"/>
      <c r="DU17" s="122">
        <f>DT17*100/$E$17</f>
        <v/>
      </c>
      <c r="DV17" s="108" t="n"/>
      <c r="DW17" s="122">
        <f>DV17*100/$E$17</f>
        <v/>
      </c>
      <c r="DX17" s="108" t="n"/>
      <c r="DY17" s="122">
        <f>DX17*100/$E$17</f>
        <v/>
      </c>
      <c r="DZ17" s="108" t="n"/>
      <c r="EA17" s="122">
        <f>DZ17*100/$E$17</f>
        <v/>
      </c>
      <c r="EB17" s="108" t="n"/>
      <c r="EC17" s="122">
        <f>EB17*100/$E$17</f>
        <v/>
      </c>
      <c r="ED17" s="108" t="n"/>
      <c r="EE17" s="122">
        <f>ED17*100/$E$17</f>
        <v/>
      </c>
      <c r="EF17" s="108" t="n"/>
      <c r="EG17" s="122">
        <f>EF17*100/$E$17</f>
        <v/>
      </c>
      <c r="EH17" s="108" t="n"/>
      <c r="EI17" s="122">
        <f>EH17*100/$E$17</f>
        <v/>
      </c>
      <c r="EJ17" s="108" t="n"/>
      <c r="EK17" s="122">
        <f>EJ17*100/$E$17</f>
        <v/>
      </c>
      <c r="EL17" s="108" t="n"/>
      <c r="EM17" s="122">
        <f>EL17*100/$E$17</f>
        <v/>
      </c>
      <c r="EN17" s="108" t="n"/>
      <c r="EO17" s="122">
        <f>EN17*100/$E$17</f>
        <v/>
      </c>
      <c r="EP17" s="108" t="n"/>
      <c r="EQ17" s="122">
        <f>EP17*100/$E$17</f>
        <v/>
      </c>
      <c r="ER17" s="108" t="n"/>
      <c r="ES17" s="122">
        <f>ER17*100/$E$17</f>
        <v/>
      </c>
      <c r="ET17" s="108" t="n"/>
      <c r="EU17" s="122">
        <f>ET17*100/$E$17</f>
        <v/>
      </c>
      <c r="EV17" s="108" t="n"/>
      <c r="EW17" s="122">
        <f>EV17*100/$E$17</f>
        <v/>
      </c>
      <c r="EX17" s="108" t="n"/>
      <c r="EY17" s="122">
        <f>EX17*100/$E$17</f>
        <v/>
      </c>
      <c r="EZ17" s="108" t="n"/>
      <c r="FA17" s="122">
        <f>EZ17*100/$E$17</f>
        <v/>
      </c>
      <c r="FB17" s="108" t="n"/>
      <c r="FC17" s="122">
        <f>FB17*100/$E$17</f>
        <v/>
      </c>
      <c r="FD17" s="108" t="n"/>
      <c r="FE17" s="122">
        <f>FD17*100/$E$17</f>
        <v/>
      </c>
      <c r="FF17" s="108" t="n"/>
      <c r="FG17" s="122">
        <f>FF17*100/$E$17</f>
        <v/>
      </c>
      <c r="FH17" s="108" t="n"/>
      <c r="FI17" s="122">
        <f>FH17*100/$E$17</f>
        <v/>
      </c>
      <c r="FJ17" s="108" t="n"/>
      <c r="FK17" s="122">
        <f>FJ17*100/$E$17</f>
        <v/>
      </c>
      <c r="FL17" s="108" t="n"/>
      <c r="FM17" s="122">
        <f>FL17*100/$E$17</f>
        <v/>
      </c>
      <c r="FN17" s="108" t="n"/>
      <c r="FO17" s="122">
        <f>FN17*100/$E$17</f>
        <v/>
      </c>
      <c r="FP17" s="108" t="n"/>
      <c r="FQ17" s="122">
        <f>FP17*100/$E$17</f>
        <v/>
      </c>
      <c r="FR17" s="108" t="n"/>
      <c r="FS17" s="122">
        <f>FR17*100/$E$17</f>
        <v/>
      </c>
      <c r="FT17" s="108" t="n"/>
      <c r="FU17" s="122">
        <f>FT17*100/$E$17</f>
        <v/>
      </c>
      <c r="FV17" s="108" t="n"/>
      <c r="FW17" s="122">
        <f>FV17*100/$E$17</f>
        <v/>
      </c>
      <c r="FX17" s="108" t="n"/>
      <c r="FY17" s="107">
        <f>FX17*100/$E$17</f>
        <v/>
      </c>
      <c r="FZ17" s="108" t="n"/>
      <c r="GA17" s="107">
        <f>FZ17*100/$E$17</f>
        <v/>
      </c>
      <c r="GB17" s="108" t="n"/>
      <c r="GC17" s="107">
        <f>GB17*100/$E$17</f>
        <v/>
      </c>
      <c r="GD17" s="108" t="n"/>
      <c r="GE17" s="107">
        <f>GD17*100/$E$17</f>
        <v/>
      </c>
      <c r="GF17" s="108" t="n"/>
      <c r="GG17" s="107">
        <f>GF17*100/$E$17</f>
        <v/>
      </c>
      <c r="GH17" s="108" t="n"/>
      <c r="GI17" s="107">
        <f>GH17*100/$E$17</f>
        <v/>
      </c>
      <c r="GJ17" s="108" t="n"/>
      <c r="GK17" s="122">
        <f>GJ17*100/$E$17</f>
        <v/>
      </c>
      <c r="GL17" s="108" t="n"/>
      <c r="GM17" s="107">
        <f>GL17*100/$E$17</f>
        <v/>
      </c>
      <c r="GN17" s="108" t="n"/>
      <c r="GO17" s="122">
        <f>GN17*100/$E$17</f>
        <v/>
      </c>
      <c r="GP17" s="108" t="n"/>
      <c r="GQ17" s="107">
        <f>GP17*100/$E$17</f>
        <v/>
      </c>
      <c r="GR17" s="108" t="n"/>
      <c r="GS17" s="122">
        <f>GR17*100/$E$17</f>
        <v/>
      </c>
      <c r="GT17" s="108" t="n"/>
      <c r="GU17" s="122">
        <f>GT17*100/$E$17</f>
        <v/>
      </c>
      <c r="GV17" s="108" t="n"/>
      <c r="GW17" s="122">
        <f>GV17*100/$E$17</f>
        <v/>
      </c>
      <c r="GX17" s="108" t="n"/>
      <c r="GY17" s="107">
        <f>GX17*100/$E$17</f>
        <v/>
      </c>
      <c r="GZ17" s="108" t="n"/>
      <c r="HA17" s="107">
        <f>GZ17*100/$E$17</f>
        <v/>
      </c>
      <c r="HB17" s="108" t="n"/>
      <c r="HC17" s="107">
        <f>HB17*100/$E$17</f>
        <v/>
      </c>
      <c r="HD17" s="108" t="n"/>
      <c r="HE17" s="107">
        <f>HD17*100/$E$17</f>
        <v/>
      </c>
      <c r="HF17" s="108" t="n"/>
      <c r="HG17" s="107">
        <f>HF17*100/$E$17</f>
        <v/>
      </c>
      <c r="HH17" s="108" t="n"/>
      <c r="HI17" s="107">
        <f>HH17*100/$E$17</f>
        <v/>
      </c>
      <c r="HJ17" s="108" t="n"/>
      <c r="HK17" s="107">
        <f>HJ17*100/$E$17</f>
        <v/>
      </c>
      <c r="HL17" s="108" t="n"/>
      <c r="HM17" s="107">
        <f>HL17*100/$E$17</f>
        <v/>
      </c>
      <c r="HN17" s="108" t="n"/>
      <c r="HO17" s="107">
        <f>HN17*100/$E$17</f>
        <v/>
      </c>
      <c r="HP17" s="108" t="n"/>
      <c r="HQ17" s="107">
        <f>HP17*100/$E$17</f>
        <v/>
      </c>
      <c r="HR17" s="108" t="n"/>
      <c r="HS17" s="107">
        <f>HR17*100/$E$17</f>
        <v/>
      </c>
      <c r="HT17" s="108" t="n"/>
      <c r="HU17" s="107">
        <f>HT17*100/$E$17</f>
        <v/>
      </c>
      <c r="HV17" s="108" t="n"/>
      <c r="HW17" s="107">
        <f>HV17*100/$E$17</f>
        <v/>
      </c>
      <c r="HX17" s="108" t="n"/>
      <c r="HY17" s="107">
        <f>HX17*100/$E$17</f>
        <v/>
      </c>
      <c r="HZ17" s="108" t="n"/>
      <c r="IA17" s="122">
        <f>HZ17*100/$E$17</f>
        <v/>
      </c>
      <c r="IB17" s="108" t="n"/>
      <c r="IC17" s="122">
        <f>IB17*100/$E$17</f>
        <v/>
      </c>
      <c r="ID17" s="108" t="n"/>
      <c r="IE17" s="122">
        <f>ID17*100/$E$17</f>
        <v/>
      </c>
      <c r="IF17" s="108" t="n"/>
      <c r="IG17" s="122">
        <f>IF17*100/$E$17</f>
        <v/>
      </c>
      <c r="IH17" s="108" t="n"/>
      <c r="II17" s="122">
        <f>IH17*100/$E$17</f>
        <v/>
      </c>
      <c r="IJ17" s="108" t="n"/>
      <c r="IK17" s="122">
        <f>IJ17*100/$E$17</f>
        <v/>
      </c>
      <c r="IL17" s="108" t="n"/>
      <c r="IM17" s="107">
        <f>IL17*100/E17</f>
        <v/>
      </c>
      <c r="IN17" s="108" t="n"/>
      <c r="IO17" s="107">
        <f>IN17*100/$E$17</f>
        <v/>
      </c>
      <c r="IP17" s="108" t="n"/>
      <c r="IQ17" s="122">
        <f>IP17*100/$E$17</f>
        <v/>
      </c>
      <c r="IR17" s="108" t="n"/>
      <c r="IS17" s="122">
        <f>IR17*100/$E$17</f>
        <v/>
      </c>
      <c r="IT17" s="108" t="n"/>
      <c r="IU17" s="122">
        <f>IT17*100/$E$17</f>
        <v/>
      </c>
      <c r="IV17" s="108" t="n"/>
      <c r="IW17" s="122">
        <f>IV17*100/$E$17</f>
        <v/>
      </c>
      <c r="IX17" s="108" t="n"/>
      <c r="IY17" s="122">
        <f>IX17*100/$E$17</f>
        <v/>
      </c>
      <c r="IZ17" s="108" t="n"/>
      <c r="JA17" s="122">
        <f>IZ17*100/$E$17</f>
        <v/>
      </c>
      <c r="JB17" s="108" t="n"/>
      <c r="JC17" s="122">
        <f>JB17*100/$E$17</f>
        <v/>
      </c>
      <c r="JD17" s="108" t="n"/>
      <c r="JE17" s="122">
        <f>JD17*100/$E$17</f>
        <v/>
      </c>
      <c r="JF17" s="108" t="n"/>
      <c r="JG17" s="122">
        <f>JF17*100/$E$17</f>
        <v/>
      </c>
      <c r="JH17" s="108" t="n"/>
      <c r="JI17" s="122">
        <f>JH17*100/$E$17</f>
        <v/>
      </c>
      <c r="JJ17" s="108" t="n"/>
      <c r="JK17" s="122">
        <f>JJ17*100/$E$17</f>
        <v/>
      </c>
      <c r="JL17" s="108" t="n"/>
      <c r="JM17" s="122">
        <f>JL17*100/$E$17</f>
        <v/>
      </c>
      <c r="JN17" s="108" t="n"/>
      <c r="JO17" s="121">
        <f>JN17*100/$E$17</f>
        <v/>
      </c>
      <c r="JP17" s="108" t="n"/>
      <c r="JQ17" s="121">
        <f>JP17*100/$E$17</f>
        <v/>
      </c>
      <c r="JR17" s="108" t="n"/>
      <c r="JS17" s="121">
        <f>JR17*100/$E$17</f>
        <v/>
      </c>
      <c r="JT17" s="108" t="n"/>
      <c r="JU17" s="121">
        <f>JT17*100/$E$17</f>
        <v/>
      </c>
      <c r="JV17" s="108" t="n"/>
      <c r="JW17" s="121">
        <f>JV17*100/$E$17</f>
        <v/>
      </c>
      <c r="JX17" s="108" t="n"/>
      <c r="JY17" s="121">
        <f>JX17*100/$E$17</f>
        <v/>
      </c>
      <c r="JZ17" s="55">
        <f>JN17+JP17+JR17+JT17+JV17+JX17</f>
        <v/>
      </c>
      <c r="KA17" s="53">
        <f>JO17+JQ17+JS17+JU17+JW17+JY17</f>
        <v/>
      </c>
      <c r="KB17" s="64">
        <f>H17+J17+L17+N17+P17+R17+T17+V17+X17+Z17+AB17+AD17+AF17+AH17+AJ17+AL17+AN17+AP17+AR17+AT17+AV17+AX17+AZ17+BB17+BD17+BF17+BH17+BJ17+BL17+BN17+BP17+BR17+BT17+BV17+BX17+BZ17+CB17+CD17+CF17+CH17+CZ17+DB17+DD17+DF17+DH17+DJ17+DL17+DN17+DP17+DR17+DT17+DV17+DX17+DZ17+EB17+ED17+EF17+EH17+EJ17+EL17+EN17+EP17+ER17+ET17+EV17+FN17+FP17+FR17+FT17+FV17+FX17+FZ17+GB17+GD17+GF17+GH17+GJ17+GL17+GN17+GP17+GR17+GT17+GV17+GX17+GZ17+HB17+HD17+HF17+HH17+HJ17+HL17+HN17+HP17+HR17+HT17+HV17+HX17+HZ17+IB17+ID17+IF17+IH17+IJ17+IL17+IN17+IP17+IR17+IT17+IV17+IX17+IZ17+JB17+JD17+JF17+JH17+JJ17+JL17+JZ17+CJ17+CL17+CN17+CP17+CR17+CT17+CV17+CX17+EX17+EZ17+FB17+FD17+FF17+FH17+FJ17+FL17</f>
        <v/>
      </c>
      <c r="KC17" s="66">
        <f>I17+K17+M17+O17+Q17+S17+U17+W17+Y17+AA17+AC17+AE17+AG17+AI17+AK17+AM17+AO17+AQ17+AS17+AU17+AW17+AY17+BA17+BC17+BE17+BG17+BI17+BK17+BM17+BO17+BQ17+BS17+BU17+BW17+BY17+CA17+CC17+CE17+CG17+CI17+DA17+DC17+DE17+DG17+DI17+DK17+DM17+DO17+DQ17+DS17+DU17+DW17+DY17+EA17+EC17+EE17+EG17+EI17+EK17+EM17+EO17+EQ17+ES17+EU17+EW17+FO17+FS17+FU17+FW17+FQ17+FY17+GA17+GC17+GE17+GG17+GI17+GK17+GM17+GO17+GQ17+GS17+GU17+GW17+GY17+HA17+HC17+HE17+HG17+HI17+HK17+HM17+HO17+HQ17+HS17+HU17+HW17+HY17+IA17+IC17+IE17+IG17+II17+IK17+IM17+IO17+IQ17+IS17+IU17+IW17+IY17+JA17+JC17+JE17+JG17+JI17+JK17+JM17+KA17+CK17+CM17+CO17+CQ17+CS17+CU17+CW17+CY17+EY17+FA17+FC17+FE17+FG17+FI17+FK17+FM17</f>
        <v/>
      </c>
      <c r="KD17" s="44">
        <f>JO17+JQ17+JS17+JU17+JW17+JY17</f>
        <v/>
      </c>
      <c r="KE17" s="45">
        <f>KB17=E17</f>
        <v/>
      </c>
      <c r="KF17" s="101">
        <f>E17-KB17</f>
        <v/>
      </c>
      <c r="KG17" s="15" t="n"/>
    </row>
    <row r="18" ht="21.75" customFormat="1" customHeight="1" s="15">
      <c r="A18" s="126">
        <f>A17+1</f>
        <v/>
      </c>
      <c r="B18" s="175" t="inlineStr">
        <is>
          <t>Гулиев Б.Н</t>
        </is>
      </c>
      <c r="C18" s="176" t="inlineStr">
        <is>
          <t>сварщик</t>
        </is>
      </c>
      <c r="D18" s="177">
        <f>$D$5</f>
        <v/>
      </c>
      <c r="E18" s="202" t="n"/>
      <c r="F18" s="190" t="n">
        <v>61252.7</v>
      </c>
      <c r="G18" s="52">
        <f>F18/D18</f>
        <v/>
      </c>
      <c r="H18" s="125" t="n"/>
      <c r="I18" s="107">
        <f>H18*100/$E$18</f>
        <v/>
      </c>
      <c r="J18" s="108" t="n"/>
      <c r="K18" s="107">
        <f>J18*100/$E$18</f>
        <v/>
      </c>
      <c r="L18" s="108" t="n"/>
      <c r="M18" s="107">
        <f>L18*100/$E$18</f>
        <v/>
      </c>
      <c r="N18" s="108" t="n"/>
      <c r="O18" s="107">
        <f>N18*100/$E$18</f>
        <v/>
      </c>
      <c r="P18" s="108" t="n"/>
      <c r="Q18" s="122">
        <f>P18*100/$E$18</f>
        <v/>
      </c>
      <c r="R18" s="108" t="n"/>
      <c r="S18" s="122">
        <f>R18*100/$E$18</f>
        <v/>
      </c>
      <c r="T18" s="108" t="n"/>
      <c r="U18" s="107">
        <f>T18*100/$E$18</f>
        <v/>
      </c>
      <c r="V18" s="108" t="n"/>
      <c r="W18" s="107">
        <f>V18*100/$E$18</f>
        <v/>
      </c>
      <c r="X18" s="108" t="n"/>
      <c r="Y18" s="107">
        <f>X18*100/$E$18</f>
        <v/>
      </c>
      <c r="Z18" s="108" t="n"/>
      <c r="AA18" s="107">
        <f>Z18*100/$E$18</f>
        <v/>
      </c>
      <c r="AB18" s="108" t="n"/>
      <c r="AC18" s="107">
        <f>AB18*100/$E$18</f>
        <v/>
      </c>
      <c r="AD18" s="108" t="n"/>
      <c r="AE18" s="122">
        <f>AD18*100/$E$18</f>
        <v/>
      </c>
      <c r="AF18" s="108" t="n"/>
      <c r="AG18" s="122">
        <f>AF18*100/$E$18</f>
        <v/>
      </c>
      <c r="AH18" s="108" t="n"/>
      <c r="AI18" s="107">
        <f>AH18*100/$E$18</f>
        <v/>
      </c>
      <c r="AJ18" s="108" t="n"/>
      <c r="AK18" s="107">
        <f>AJ18*100/$E$18</f>
        <v/>
      </c>
      <c r="AL18" s="108" t="n"/>
      <c r="AM18" s="107">
        <f>AL18*100/$E$18</f>
        <v/>
      </c>
      <c r="AN18" s="108" t="n"/>
      <c r="AO18" s="107">
        <f>AN18*100/$E$18</f>
        <v/>
      </c>
      <c r="AP18" s="108" t="n"/>
      <c r="AQ18" s="107">
        <f>AP18*100/$E$18</f>
        <v/>
      </c>
      <c r="AR18" s="108" t="n"/>
      <c r="AS18" s="107">
        <f>AR18*100/$E$18</f>
        <v/>
      </c>
      <c r="AT18" s="108" t="n"/>
      <c r="AU18" s="90">
        <f>AT18*100/$E$18</f>
        <v/>
      </c>
      <c r="AV18" s="108" t="n"/>
      <c r="AW18" s="107">
        <f>AV18*100/$E$18</f>
        <v/>
      </c>
      <c r="AX18" s="108" t="n"/>
      <c r="AY18" s="107">
        <f>AX18*100/$E$18</f>
        <v/>
      </c>
      <c r="AZ18" s="108" t="n"/>
      <c r="BA18" s="107">
        <f>AZ18*100/$E$18</f>
        <v/>
      </c>
      <c r="BB18" s="108" t="n"/>
      <c r="BC18" s="107">
        <f>BB18*100/$E$18</f>
        <v/>
      </c>
      <c r="BD18" s="108" t="n"/>
      <c r="BE18" s="107">
        <f>BD18*100/$E$18</f>
        <v/>
      </c>
      <c r="BF18" s="108" t="n"/>
      <c r="BG18" s="107">
        <f>BF18*100/$E$18</f>
        <v/>
      </c>
      <c r="BH18" s="108" t="n"/>
      <c r="BI18" s="107">
        <f>BH18*100/$E$18</f>
        <v/>
      </c>
      <c r="BJ18" s="108" t="n"/>
      <c r="BK18" s="107">
        <f>BJ18*100/$E$18</f>
        <v/>
      </c>
      <c r="BL18" s="108" t="n"/>
      <c r="BM18" s="107">
        <f>BL18*100/$E$18</f>
        <v/>
      </c>
      <c r="BN18" s="108" t="n"/>
      <c r="BO18" s="107">
        <f>BN18*100/$E$18</f>
        <v/>
      </c>
      <c r="BP18" s="108" t="n"/>
      <c r="BQ18" s="107">
        <f>BP18*100/$E$18</f>
        <v/>
      </c>
      <c r="BR18" s="108" t="n"/>
      <c r="BS18" s="107">
        <f>BR18*100/$E$18</f>
        <v/>
      </c>
      <c r="BT18" s="108" t="n"/>
      <c r="BU18" s="107">
        <f>BT18*100/$E$18</f>
        <v/>
      </c>
      <c r="BV18" s="108" t="n"/>
      <c r="BW18" s="107">
        <f>BV18*100/$E$18</f>
        <v/>
      </c>
      <c r="BX18" s="108" t="n"/>
      <c r="BY18" s="107">
        <f>BX18*100/$E$18</f>
        <v/>
      </c>
      <c r="BZ18" s="108" t="n"/>
      <c r="CA18" s="107">
        <f>BZ18*100/$E$18</f>
        <v/>
      </c>
      <c r="CB18" s="108" t="n"/>
      <c r="CC18" s="107">
        <f>CB18*100/$E$18</f>
        <v/>
      </c>
      <c r="CD18" s="108" t="n"/>
      <c r="CE18" s="107">
        <f>CD18*100/$E$18</f>
        <v/>
      </c>
      <c r="CF18" s="108" t="n"/>
      <c r="CG18" s="107">
        <f>CF18*100/$E$18</f>
        <v/>
      </c>
      <c r="CH18" s="108" t="n"/>
      <c r="CI18" s="107">
        <f>CH18*100/$E$18</f>
        <v/>
      </c>
      <c r="CJ18" s="108" t="n"/>
      <c r="CK18" s="107">
        <f>CJ18*100/$E$18</f>
        <v/>
      </c>
      <c r="CL18" s="108" t="n"/>
      <c r="CM18" s="107">
        <f>CL18*100/$E$18</f>
        <v/>
      </c>
      <c r="CN18" s="108" t="n"/>
      <c r="CO18" s="122">
        <f>CN18*100/$E$18</f>
        <v/>
      </c>
      <c r="CP18" s="108" t="n"/>
      <c r="CQ18" s="107">
        <f>CP18*100/$E$18</f>
        <v/>
      </c>
      <c r="CR18" s="108" t="n"/>
      <c r="CS18" s="122">
        <f>CR18*100/$E$18</f>
        <v/>
      </c>
      <c r="CT18" s="108" t="n"/>
      <c r="CU18" s="122">
        <f>CT18*100/$E$18</f>
        <v/>
      </c>
      <c r="CV18" s="108" t="n"/>
      <c r="CW18" s="122">
        <f>CV18*100/$E$18</f>
        <v/>
      </c>
      <c r="CX18" s="108" t="n"/>
      <c r="CY18" s="122">
        <f>CX18*100/$E$18</f>
        <v/>
      </c>
      <c r="CZ18" s="108" t="n"/>
      <c r="DA18" s="122">
        <f>CZ18*100/$E$18</f>
        <v/>
      </c>
      <c r="DB18" s="108" t="n"/>
      <c r="DC18" s="122">
        <f>DB18*100/$E$18</f>
        <v/>
      </c>
      <c r="DD18" s="108" t="n"/>
      <c r="DE18" s="122">
        <f>DD18*100/$E$18</f>
        <v/>
      </c>
      <c r="DF18" s="108" t="n"/>
      <c r="DG18" s="122">
        <f>DF18*100/$E$18</f>
        <v/>
      </c>
      <c r="DH18" s="108" t="n"/>
      <c r="DI18" s="122">
        <f>DH18*100/$E$18</f>
        <v/>
      </c>
      <c r="DJ18" s="108" t="n"/>
      <c r="DK18" s="122">
        <f>DJ18*100/$E$18</f>
        <v/>
      </c>
      <c r="DL18" s="108" t="n"/>
      <c r="DM18" s="122">
        <f>DL18*100/$E$18</f>
        <v/>
      </c>
      <c r="DN18" s="108" t="n"/>
      <c r="DO18" s="122">
        <f>DN18*100/$E$18</f>
        <v/>
      </c>
      <c r="DP18" s="108" t="n"/>
      <c r="DQ18" s="122">
        <f>DP18*100/$E$18</f>
        <v/>
      </c>
      <c r="DR18" s="108" t="n"/>
      <c r="DS18" s="122">
        <f>DR18*100/$E$18</f>
        <v/>
      </c>
      <c r="DT18" s="108" t="n"/>
      <c r="DU18" s="122">
        <f>DT18*100/$E$18</f>
        <v/>
      </c>
      <c r="DV18" s="108" t="n"/>
      <c r="DW18" s="122">
        <f>DV18*100/$E$18</f>
        <v/>
      </c>
      <c r="DX18" s="108" t="n"/>
      <c r="DY18" s="122">
        <f>DX18*100/$E$18</f>
        <v/>
      </c>
      <c r="DZ18" s="108" t="n"/>
      <c r="EA18" s="122">
        <f>DZ18*100/$E$18</f>
        <v/>
      </c>
      <c r="EB18" s="108" t="n"/>
      <c r="EC18" s="122">
        <f>EB18*100/$E$18</f>
        <v/>
      </c>
      <c r="ED18" s="108" t="n"/>
      <c r="EE18" s="122">
        <f>ED18*100/$E$18</f>
        <v/>
      </c>
      <c r="EF18" s="108" t="n"/>
      <c r="EG18" s="122">
        <f>EF18*100/$E$18</f>
        <v/>
      </c>
      <c r="EH18" s="108" t="n"/>
      <c r="EI18" s="122">
        <f>EH18*100/$E$18</f>
        <v/>
      </c>
      <c r="EJ18" s="108" t="n"/>
      <c r="EK18" s="122">
        <f>EJ18*100/$E$18</f>
        <v/>
      </c>
      <c r="EL18" s="108" t="n"/>
      <c r="EM18" s="122">
        <f>EL18*100/$E$18</f>
        <v/>
      </c>
      <c r="EN18" s="108" t="n"/>
      <c r="EO18" s="122">
        <f>EN18*100/$E$18</f>
        <v/>
      </c>
      <c r="EP18" s="108" t="n"/>
      <c r="EQ18" s="122">
        <f>EP18*100/$E$18</f>
        <v/>
      </c>
      <c r="ER18" s="108" t="n"/>
      <c r="ES18" s="122">
        <f>ER18*100/$E$18</f>
        <v/>
      </c>
      <c r="ET18" s="108" t="n"/>
      <c r="EU18" s="122">
        <f>ET18*100/$E$18</f>
        <v/>
      </c>
      <c r="EV18" s="108" t="n"/>
      <c r="EW18" s="122">
        <f>EV18*100/$E$18</f>
        <v/>
      </c>
      <c r="EX18" s="108" t="n"/>
      <c r="EY18" s="122">
        <f>EX18*100/$E$18</f>
        <v/>
      </c>
      <c r="EZ18" s="108" t="n"/>
      <c r="FA18" s="122">
        <f>EZ18*100/$E$18</f>
        <v/>
      </c>
      <c r="FB18" s="108" t="n"/>
      <c r="FC18" s="122">
        <f>FB18*100/$E$18</f>
        <v/>
      </c>
      <c r="FD18" s="108" t="n"/>
      <c r="FE18" s="122">
        <f>FD18*100/$E$18</f>
        <v/>
      </c>
      <c r="FF18" s="108" t="n"/>
      <c r="FG18" s="122">
        <f>FF18*100/$E$18</f>
        <v/>
      </c>
      <c r="FH18" s="108" t="n"/>
      <c r="FI18" s="122">
        <f>FH18*100/$E$18</f>
        <v/>
      </c>
      <c r="FJ18" s="108" t="n"/>
      <c r="FK18" s="122">
        <f>FJ18*100/$E$18</f>
        <v/>
      </c>
      <c r="FL18" s="108" t="n"/>
      <c r="FM18" s="122">
        <f>FL18*100/$E$18</f>
        <v/>
      </c>
      <c r="FN18" s="108" t="n"/>
      <c r="FO18" s="122">
        <f>FN18*100/$E$18</f>
        <v/>
      </c>
      <c r="FP18" s="108" t="n"/>
      <c r="FQ18" s="122">
        <f>FP18*100/$E$18</f>
        <v/>
      </c>
      <c r="FR18" s="108" t="n"/>
      <c r="FS18" s="122">
        <f>FR18*100/$E$18</f>
        <v/>
      </c>
      <c r="FT18" s="108" t="n"/>
      <c r="FU18" s="122">
        <f>FT18*100/$E$18</f>
        <v/>
      </c>
      <c r="FV18" s="108" t="n"/>
      <c r="FW18" s="122">
        <f>FV18*100/$E$18</f>
        <v/>
      </c>
      <c r="FX18" s="108" t="n"/>
      <c r="FY18" s="107">
        <f>FX18*100/$E$18</f>
        <v/>
      </c>
      <c r="FZ18" s="108" t="n"/>
      <c r="GA18" s="107">
        <f>FZ18*100/$E$18</f>
        <v/>
      </c>
      <c r="GB18" s="108" t="n"/>
      <c r="GC18" s="107">
        <f>GB18*100/$E$18</f>
        <v/>
      </c>
      <c r="GD18" s="108" t="n"/>
      <c r="GE18" s="107">
        <f>GD18*100/$E$18</f>
        <v/>
      </c>
      <c r="GF18" s="108" t="n"/>
      <c r="GG18" s="107">
        <f>GF18*100/$E$18</f>
        <v/>
      </c>
      <c r="GH18" s="108" t="n"/>
      <c r="GI18" s="107">
        <f>GH18*100/$E$18</f>
        <v/>
      </c>
      <c r="GJ18" s="108" t="n"/>
      <c r="GK18" s="122">
        <f>GJ18*100/$E$18</f>
        <v/>
      </c>
      <c r="GL18" s="108" t="n"/>
      <c r="GM18" s="107">
        <f>GL18*100/$E$18</f>
        <v/>
      </c>
      <c r="GN18" s="108" t="n"/>
      <c r="GO18" s="122">
        <f>GN18*100/$E$18</f>
        <v/>
      </c>
      <c r="GP18" s="108" t="n"/>
      <c r="GQ18" s="107">
        <f>GP18*100/$E$18</f>
        <v/>
      </c>
      <c r="GR18" s="108" t="n"/>
      <c r="GS18" s="122">
        <f>GR18*100/$E$18</f>
        <v/>
      </c>
      <c r="GT18" s="108" t="n"/>
      <c r="GU18" s="122">
        <f>GT18*100/$E$18</f>
        <v/>
      </c>
      <c r="GV18" s="108" t="n"/>
      <c r="GW18" s="122">
        <f>GV18*100/$E$18</f>
        <v/>
      </c>
      <c r="GX18" s="108" t="n"/>
      <c r="GY18" s="107">
        <f>GX18*100/$E$18</f>
        <v/>
      </c>
      <c r="GZ18" s="108" t="n"/>
      <c r="HA18" s="107">
        <f>GZ18*100/$E$18</f>
        <v/>
      </c>
      <c r="HB18" s="108" t="n"/>
      <c r="HC18" s="107">
        <f>HB18*100/$E$18</f>
        <v/>
      </c>
      <c r="HD18" s="108" t="n"/>
      <c r="HE18" s="107">
        <f>HD18*100/$E$18</f>
        <v/>
      </c>
      <c r="HF18" s="108" t="n"/>
      <c r="HG18" s="107">
        <f>HF18*100/$E$18</f>
        <v/>
      </c>
      <c r="HH18" s="108" t="n"/>
      <c r="HI18" s="107">
        <f>HH18*100/$E$18</f>
        <v/>
      </c>
      <c r="HJ18" s="108" t="n"/>
      <c r="HK18" s="107">
        <f>HJ18*100/$E$18</f>
        <v/>
      </c>
      <c r="HL18" s="108" t="n"/>
      <c r="HM18" s="107">
        <f>HL18*100/$E$18</f>
        <v/>
      </c>
      <c r="HN18" s="108" t="n"/>
      <c r="HO18" s="107">
        <f>HN18*100/$E$18</f>
        <v/>
      </c>
      <c r="HP18" s="108" t="n"/>
      <c r="HQ18" s="107">
        <f>HP18*100/$E$18</f>
        <v/>
      </c>
      <c r="HR18" s="108" t="n"/>
      <c r="HS18" s="107">
        <f>HR18*100/$E$18</f>
        <v/>
      </c>
      <c r="HT18" s="108" t="n"/>
      <c r="HU18" s="107">
        <f>HT18*100/$E$18</f>
        <v/>
      </c>
      <c r="HV18" s="108" t="n"/>
      <c r="HW18" s="107">
        <f>HV18*100/$E$18</f>
        <v/>
      </c>
      <c r="HX18" s="108" t="n"/>
      <c r="HY18" s="107">
        <f>HX18*100/$E$18</f>
        <v/>
      </c>
      <c r="HZ18" s="108" t="n"/>
      <c r="IA18" s="122">
        <f>HZ18*100/$E$18</f>
        <v/>
      </c>
      <c r="IB18" s="108" t="n"/>
      <c r="IC18" s="122">
        <f>IB18*100/$E$18</f>
        <v/>
      </c>
      <c r="ID18" s="108" t="n"/>
      <c r="IE18" s="122">
        <f>ID18*100/$E$18</f>
        <v/>
      </c>
      <c r="IF18" s="108" t="n"/>
      <c r="IG18" s="122">
        <f>IF18*100/$E$18</f>
        <v/>
      </c>
      <c r="IH18" s="108" t="n"/>
      <c r="II18" s="122">
        <f>IH18*100/$E$18</f>
        <v/>
      </c>
      <c r="IJ18" s="108" t="n"/>
      <c r="IK18" s="122">
        <f>IJ18*100/$E$18</f>
        <v/>
      </c>
      <c r="IL18" s="108" t="n"/>
      <c r="IM18" s="107">
        <f>IL18*100/E18</f>
        <v/>
      </c>
      <c r="IN18" s="108" t="n"/>
      <c r="IO18" s="107">
        <f>IN18*100/$E$18</f>
        <v/>
      </c>
      <c r="IP18" s="108" t="n"/>
      <c r="IQ18" s="122">
        <f>IP18*100/$E$18</f>
        <v/>
      </c>
      <c r="IR18" s="108" t="n"/>
      <c r="IS18" s="122">
        <f>IR18*100/$E$18</f>
        <v/>
      </c>
      <c r="IT18" s="108" t="n"/>
      <c r="IU18" s="122">
        <f>IT18*100/$E$18</f>
        <v/>
      </c>
      <c r="IV18" s="108" t="n"/>
      <c r="IW18" s="122">
        <f>IV18*100/$E$18</f>
        <v/>
      </c>
      <c r="IX18" s="108" t="n"/>
      <c r="IY18" s="122">
        <f>IX18*100/$E$18</f>
        <v/>
      </c>
      <c r="IZ18" s="108" t="n"/>
      <c r="JA18" s="122">
        <f>IZ18*100/$E$18</f>
        <v/>
      </c>
      <c r="JB18" s="108" t="n"/>
      <c r="JC18" s="122">
        <f>JB18*100/$E$18</f>
        <v/>
      </c>
      <c r="JD18" s="108" t="n"/>
      <c r="JE18" s="122">
        <f>JD18*100/$E$18</f>
        <v/>
      </c>
      <c r="JF18" s="108" t="n"/>
      <c r="JG18" s="122">
        <f>JF18*100/$E$18</f>
        <v/>
      </c>
      <c r="JH18" s="108" t="n"/>
      <c r="JI18" s="122">
        <f>JH18*100/$E$18</f>
        <v/>
      </c>
      <c r="JJ18" s="108" t="n"/>
      <c r="JK18" s="122">
        <f>JJ18*100/$E$18</f>
        <v/>
      </c>
      <c r="JL18" s="108" t="n"/>
      <c r="JM18" s="122">
        <f>JL18*100/$E$18</f>
        <v/>
      </c>
      <c r="JN18" s="108" t="n"/>
      <c r="JO18" s="122">
        <f>JN18*100/$E$18</f>
        <v/>
      </c>
      <c r="JP18" s="108" t="n"/>
      <c r="JQ18" s="122">
        <f>JP18*100/$E$18</f>
        <v/>
      </c>
      <c r="JR18" s="108" t="n"/>
      <c r="JS18" s="122">
        <f>JR18*100/$E$18</f>
        <v/>
      </c>
      <c r="JT18" s="108" t="n"/>
      <c r="JU18" s="122">
        <f>JT18*100/$E$18</f>
        <v/>
      </c>
      <c r="JV18" s="108" t="n"/>
      <c r="JW18" s="122">
        <f>JV18*100/$E$18</f>
        <v/>
      </c>
      <c r="JX18" s="108" t="n"/>
      <c r="JY18" s="122">
        <f>JX18*100/$E$18</f>
        <v/>
      </c>
      <c r="JZ18" s="55">
        <f>JN18+JP18+JR18+JT18+JV18+JX18</f>
        <v/>
      </c>
      <c r="KA18" s="53">
        <f>JO18+JQ18+JS18+JU18+JW18+JY18</f>
        <v/>
      </c>
      <c r="KB18" s="64">
        <f>H18+J18+L18+N18+P18+R18+T18+V18+X18+Z18+AB18+AD18+AF18+AH18+AJ18+AL18+AN18+AP18+AR18+AT18+AV18+AX18+AZ18+BB18+BD18+BF18+BH18+BJ18+BL18+BN18+BP18+BR18+BT18+BV18+BX18+BZ18+CB18+CD18+CF18+CH18+CZ18+DB18+DD18+DF18+DH18+DJ18+DL18+DN18+DP18+DR18+DT18+DV18+DX18+DZ18+EB18+ED18+EF18+EH18+EJ18+EL18+EN18+EP18+ER18+ET18+EV18+FN18+FP18+FR18+FT18+FV18+FX18+FZ18+GB18+GD18+GF18+GH18+GJ18+GL18+GN18+GP18+GR18+GT18+GV18+GX18+GZ18+HB18+HD18+HF18+HH18+HJ18+HL18+HN18+HP18+HR18+HT18+HV18+HX18+HZ18+IB18+ID18+IF18+IH18+IJ18+IL18+IN18+IP18+IR18+IT18+IV18+IX18+IZ18+JB18+JD18+JF18+JH18+JJ18+JL18+JZ18+CJ18+CL18+CN18+CP18+CR18+CT18+CV18+CX18+EX18+EZ18+FB18+FD18+FF18+FH18+FJ18+FL18</f>
        <v/>
      </c>
      <c r="KC18" s="66">
        <f>I18+K18+M18+O18+Q18+S18+U18+W18+Y18+AA18+AC18+AE18+AG18+AI18+AK18+AM18+AO18+AQ18+AS18+AU18+AW18+AY18+BA18+BC18+BE18+BG18+BI18+BK18+BM18+BO18+BQ18+BS18+BU18+BW18+BY18+CA18+CC18+CE18+CG18+CI18+DA18+DC18+DE18+DG18+DI18+DK18+DM18+DO18+DQ18+DS18+DU18+DW18+DY18+EA18+EC18+EE18+EG18+EI18+EK18+EM18+EO18+EQ18+ES18+EU18+EW18+FO18+FS18+FU18+FW18+FQ18+FY18+GA18+GC18+GE18+GG18+GI18+GK18+GM18+GO18+GQ18+GS18+GU18+GW18+GY18+HA18+HC18+HE18+HG18+HI18+HK18+HM18+HO18+HQ18+HS18+HU18+HW18+HY18+IA18+IC18+IE18+IG18+II18+IK18+IM18+IO18+IQ18+IS18+IU18+IW18+IY18+JA18+JC18+JE18+JG18+JI18+JK18+JM18+KA18+CK18+CM18+CO18+CQ18+CS18+CU18+CW18+CY18+EY18+FA18+FC18+FE18+FG18+FI18+FK18+FM18</f>
        <v/>
      </c>
      <c r="KD18" s="44">
        <f>JO18+JQ18+JS18+JU18+JW18+JY18</f>
        <v/>
      </c>
      <c r="KE18" s="45">
        <f>KB18=E18</f>
        <v/>
      </c>
      <c r="KF18" s="101">
        <f>E18-KB18</f>
        <v/>
      </c>
      <c r="KG18" s="14" t="n"/>
    </row>
    <row r="19" ht="21.75" customFormat="1" customHeight="1" s="16">
      <c r="A19" s="126">
        <f>A18+1</f>
        <v/>
      </c>
      <c r="B19" s="175" t="inlineStr">
        <is>
          <t>Демин С.С.</t>
        </is>
      </c>
      <c r="C19" s="176" t="inlineStr">
        <is>
          <t>слесарь МСР</t>
        </is>
      </c>
      <c r="D19" s="177">
        <f>$D$5</f>
        <v/>
      </c>
      <c r="E19" s="202" t="n"/>
      <c r="F19" s="190" t="n">
        <v>61252.7</v>
      </c>
      <c r="G19" s="52">
        <f>F19/D19</f>
        <v/>
      </c>
      <c r="H19" s="125" t="n"/>
      <c r="I19" s="107">
        <f>H19*100/$E$19</f>
        <v/>
      </c>
      <c r="J19" s="108" t="n"/>
      <c r="K19" s="107">
        <f>J19*100/$E$19</f>
        <v/>
      </c>
      <c r="L19" s="108" t="n"/>
      <c r="M19" s="107">
        <f>L19*100/$E$19</f>
        <v/>
      </c>
      <c r="N19" s="108" t="n"/>
      <c r="O19" s="107">
        <f>N19*100/$E$19</f>
        <v/>
      </c>
      <c r="P19" s="108" t="n"/>
      <c r="Q19" s="122">
        <f>P19*100/$E$19</f>
        <v/>
      </c>
      <c r="R19" s="108" t="n"/>
      <c r="S19" s="122">
        <f>R19*100/$E$19</f>
        <v/>
      </c>
      <c r="T19" s="108" t="n"/>
      <c r="U19" s="107">
        <f>T19*100/$E$19</f>
        <v/>
      </c>
      <c r="V19" s="108" t="n"/>
      <c r="W19" s="107">
        <f>V19*100/$E$19</f>
        <v/>
      </c>
      <c r="X19" s="108" t="n"/>
      <c r="Y19" s="107">
        <f>X19*100/$E$19</f>
        <v/>
      </c>
      <c r="Z19" s="108" t="n"/>
      <c r="AA19" s="107">
        <f>Z19*100/$E$19</f>
        <v/>
      </c>
      <c r="AB19" s="108" t="n"/>
      <c r="AC19" s="107">
        <f>AB19*100/$E$19</f>
        <v/>
      </c>
      <c r="AD19" s="108" t="n"/>
      <c r="AE19" s="122">
        <f>AD19*100/$E$19</f>
        <v/>
      </c>
      <c r="AF19" s="108" t="n"/>
      <c r="AG19" s="122">
        <f>AF19*100/$E$19</f>
        <v/>
      </c>
      <c r="AH19" s="108" t="n"/>
      <c r="AI19" s="107">
        <f>AH19*100/$E$19</f>
        <v/>
      </c>
      <c r="AJ19" s="108" t="n"/>
      <c r="AK19" s="107">
        <f>AJ19*100/$E$19</f>
        <v/>
      </c>
      <c r="AL19" s="108" t="n"/>
      <c r="AM19" s="122">
        <f>AL19*100/$E$19</f>
        <v/>
      </c>
      <c r="AN19" s="108" t="n"/>
      <c r="AO19" s="107">
        <f>AN19*100/$E$19</f>
        <v/>
      </c>
      <c r="AP19" s="108" t="n"/>
      <c r="AQ19" s="107">
        <f>AP19*100/$E$19</f>
        <v/>
      </c>
      <c r="AR19" s="108" t="n"/>
      <c r="AS19" s="107">
        <f>AR19*100/$E$19</f>
        <v/>
      </c>
      <c r="AT19" s="108" t="n"/>
      <c r="AU19" s="90">
        <f>AT19*100/$E$19</f>
        <v/>
      </c>
      <c r="AV19" s="108" t="n"/>
      <c r="AW19" s="107">
        <f>AV19*100/$E$19</f>
        <v/>
      </c>
      <c r="AX19" s="108" t="n"/>
      <c r="AY19" s="107">
        <f>AX19*100/$E$19</f>
        <v/>
      </c>
      <c r="AZ19" s="108" t="n"/>
      <c r="BA19" s="107">
        <f>AZ19*100/$E$19</f>
        <v/>
      </c>
      <c r="BB19" s="108" t="n"/>
      <c r="BC19" s="107">
        <f>BB19*100/$E$19</f>
        <v/>
      </c>
      <c r="BD19" s="108" t="n"/>
      <c r="BE19" s="107">
        <f>BD19*100/$E$19</f>
        <v/>
      </c>
      <c r="BF19" s="108" t="n"/>
      <c r="BG19" s="107">
        <f>BF19*100/$E$19</f>
        <v/>
      </c>
      <c r="BH19" s="108" t="n"/>
      <c r="BI19" s="107">
        <f>BH19*100/$E$19</f>
        <v/>
      </c>
      <c r="BJ19" s="108" t="n"/>
      <c r="BK19" s="107">
        <f>BJ19*100/$E$19</f>
        <v/>
      </c>
      <c r="BL19" s="108" t="n"/>
      <c r="BM19" s="107">
        <f>BL19*100/$E$19</f>
        <v/>
      </c>
      <c r="BN19" s="108" t="n"/>
      <c r="BO19" s="107">
        <f>BN19*100/$E$19</f>
        <v/>
      </c>
      <c r="BP19" s="108" t="n"/>
      <c r="BQ19" s="107">
        <f>BP19*100/$E$19</f>
        <v/>
      </c>
      <c r="BR19" s="108" t="n"/>
      <c r="BS19" s="107">
        <f>BR19*100/$E$19</f>
        <v/>
      </c>
      <c r="BT19" s="108" t="n"/>
      <c r="BU19" s="107">
        <f>BT19*100/$E$19</f>
        <v/>
      </c>
      <c r="BV19" s="108" t="n"/>
      <c r="BW19" s="107">
        <f>BV19*100/$E$19</f>
        <v/>
      </c>
      <c r="BX19" s="108" t="n"/>
      <c r="BY19" s="107">
        <f>BX19*100/$E$19</f>
        <v/>
      </c>
      <c r="BZ19" s="108" t="n"/>
      <c r="CA19" s="107">
        <f>BZ19*100/$E$19</f>
        <v/>
      </c>
      <c r="CB19" s="108" t="n"/>
      <c r="CC19" s="107">
        <f>CB19*100/$E$19</f>
        <v/>
      </c>
      <c r="CD19" s="108" t="n"/>
      <c r="CE19" s="107">
        <f>CD19*100/$E$19</f>
        <v/>
      </c>
      <c r="CF19" s="108" t="n"/>
      <c r="CG19" s="107">
        <f>CF19*100/$E$19</f>
        <v/>
      </c>
      <c r="CH19" s="108" t="n"/>
      <c r="CI19" s="107">
        <f>CH19*100/$E$19</f>
        <v/>
      </c>
      <c r="CJ19" s="108" t="n"/>
      <c r="CK19" s="107">
        <f>CJ19*100/$E$19</f>
        <v/>
      </c>
      <c r="CL19" s="108" t="n"/>
      <c r="CM19" s="107">
        <f>CL19*100/$E$19</f>
        <v/>
      </c>
      <c r="CN19" s="108" t="n"/>
      <c r="CO19" s="122">
        <f>CN19*100/$E$19</f>
        <v/>
      </c>
      <c r="CP19" s="108" t="n"/>
      <c r="CQ19" s="107">
        <f>CP19*100/$E$19</f>
        <v/>
      </c>
      <c r="CR19" s="108" t="n"/>
      <c r="CS19" s="122">
        <f>CR19*100/$E$19</f>
        <v/>
      </c>
      <c r="CT19" s="108" t="n"/>
      <c r="CU19" s="122">
        <f>CT19*100/$E$19</f>
        <v/>
      </c>
      <c r="CV19" s="108" t="n"/>
      <c r="CW19" s="122">
        <f>CV19*100/$E$19</f>
        <v/>
      </c>
      <c r="CX19" s="108" t="n"/>
      <c r="CY19" s="122">
        <f>CX19*100/$E$19</f>
        <v/>
      </c>
      <c r="CZ19" s="108" t="n"/>
      <c r="DA19" s="122">
        <f>CZ19*100/$E$19</f>
        <v/>
      </c>
      <c r="DB19" s="108" t="n"/>
      <c r="DC19" s="122">
        <f>DB19*100/$E$19</f>
        <v/>
      </c>
      <c r="DD19" s="108" t="n"/>
      <c r="DE19" s="122">
        <f>DD19*100/$E$19</f>
        <v/>
      </c>
      <c r="DF19" s="108" t="n"/>
      <c r="DG19" s="122">
        <f>DF19*100/$E$19</f>
        <v/>
      </c>
      <c r="DH19" s="108" t="n"/>
      <c r="DI19" s="122">
        <f>DH19*100/$E$19</f>
        <v/>
      </c>
      <c r="DJ19" s="108" t="n"/>
      <c r="DK19" s="122">
        <f>DJ19*100/$E$19</f>
        <v/>
      </c>
      <c r="DL19" s="108" t="n"/>
      <c r="DM19" s="122">
        <f>DL19*100/$E$19</f>
        <v/>
      </c>
      <c r="DN19" s="108" t="n"/>
      <c r="DO19" s="122">
        <f>DN19*100/$E$19</f>
        <v/>
      </c>
      <c r="DP19" s="108" t="n"/>
      <c r="DQ19" s="122">
        <f>DP19*100/$E$19</f>
        <v/>
      </c>
      <c r="DR19" s="108" t="n"/>
      <c r="DS19" s="122">
        <f>DR19*100/$E$19</f>
        <v/>
      </c>
      <c r="DT19" s="108" t="n"/>
      <c r="DU19" s="122">
        <f>DT19*100/$E$19</f>
        <v/>
      </c>
      <c r="DV19" s="108" t="n"/>
      <c r="DW19" s="122">
        <f>DV19*100/$E$19</f>
        <v/>
      </c>
      <c r="DX19" s="108" t="n"/>
      <c r="DY19" s="122">
        <f>DX19*100/$E$19</f>
        <v/>
      </c>
      <c r="DZ19" s="108" t="n"/>
      <c r="EA19" s="122">
        <f>DZ19*100/$E$19</f>
        <v/>
      </c>
      <c r="EB19" s="108" t="n"/>
      <c r="EC19" s="122">
        <f>EB19*100/$E$19</f>
        <v/>
      </c>
      <c r="ED19" s="108" t="n"/>
      <c r="EE19" s="122">
        <f>ED19*100/$E$19</f>
        <v/>
      </c>
      <c r="EF19" s="108" t="n"/>
      <c r="EG19" s="122">
        <f>EF19*100/$E$19</f>
        <v/>
      </c>
      <c r="EH19" s="108" t="n"/>
      <c r="EI19" s="122">
        <f>EH19*100/$E$19</f>
        <v/>
      </c>
      <c r="EJ19" s="108" t="n"/>
      <c r="EK19" s="122">
        <f>EJ19*100/$E$19</f>
        <v/>
      </c>
      <c r="EL19" s="108" t="n"/>
      <c r="EM19" s="122">
        <f>EL19*100/$E$19</f>
        <v/>
      </c>
      <c r="EN19" s="108" t="n"/>
      <c r="EO19" s="122">
        <f>EN19*100/$E$19</f>
        <v/>
      </c>
      <c r="EP19" s="108" t="n"/>
      <c r="EQ19" s="122">
        <f>EP19*100/$E$19</f>
        <v/>
      </c>
      <c r="ER19" s="108" t="n"/>
      <c r="ES19" s="122">
        <f>ER19*100/$E$19</f>
        <v/>
      </c>
      <c r="ET19" s="108" t="n"/>
      <c r="EU19" s="122">
        <f>ET19*100/$E$19</f>
        <v/>
      </c>
      <c r="EV19" s="108" t="n"/>
      <c r="EW19" s="122">
        <f>EV19*100/$E$19</f>
        <v/>
      </c>
      <c r="EX19" s="108" t="n"/>
      <c r="EY19" s="122">
        <f>EX19*100/$E$19</f>
        <v/>
      </c>
      <c r="EZ19" s="108" t="n"/>
      <c r="FA19" s="122">
        <f>EZ19*100/$E$19</f>
        <v/>
      </c>
      <c r="FB19" s="108" t="n"/>
      <c r="FC19" s="122">
        <f>FB19*100/$E$19</f>
        <v/>
      </c>
      <c r="FD19" s="108" t="n"/>
      <c r="FE19" s="122">
        <f>FD19*100/$E$19</f>
        <v/>
      </c>
      <c r="FF19" s="108" t="n"/>
      <c r="FG19" s="122">
        <f>FF19*100/$E$19</f>
        <v/>
      </c>
      <c r="FH19" s="108" t="n"/>
      <c r="FI19" s="122">
        <f>FH19*100/$E$19</f>
        <v/>
      </c>
      <c r="FJ19" s="108" t="n"/>
      <c r="FK19" s="122">
        <f>FJ19*100/$E$19</f>
        <v/>
      </c>
      <c r="FL19" s="108" t="n"/>
      <c r="FM19" s="122">
        <f>FL19*100/$E$19</f>
        <v/>
      </c>
      <c r="FN19" s="108" t="n"/>
      <c r="FO19" s="122">
        <f>FN19*100/$E$19</f>
        <v/>
      </c>
      <c r="FP19" s="108" t="n"/>
      <c r="FQ19" s="122">
        <f>FP19*100/$E$19</f>
        <v/>
      </c>
      <c r="FR19" s="108" t="n"/>
      <c r="FS19" s="122">
        <f>FR19*100/$E$19</f>
        <v/>
      </c>
      <c r="FT19" s="108" t="n"/>
      <c r="FU19" s="122">
        <f>FT19*100/$E$19</f>
        <v/>
      </c>
      <c r="FV19" s="108" t="n"/>
      <c r="FW19" s="122">
        <f>FV19*100/$E$19</f>
        <v/>
      </c>
      <c r="FX19" s="108" t="n"/>
      <c r="FY19" s="107">
        <f>FX19*100/$E$19</f>
        <v/>
      </c>
      <c r="FZ19" s="108" t="n"/>
      <c r="GA19" s="107">
        <f>FZ19*100/$E$19</f>
        <v/>
      </c>
      <c r="GB19" s="108" t="n"/>
      <c r="GC19" s="107">
        <f>GB19*100/$E$19</f>
        <v/>
      </c>
      <c r="GD19" s="108" t="n"/>
      <c r="GE19" s="107">
        <f>GD19*100/$E$19</f>
        <v/>
      </c>
      <c r="GF19" s="108" t="n"/>
      <c r="GG19" s="107">
        <f>GF19*100/$E$19</f>
        <v/>
      </c>
      <c r="GH19" s="108" t="n"/>
      <c r="GI19" s="107">
        <f>GH19*100/$E$19</f>
        <v/>
      </c>
      <c r="GJ19" s="108" t="n"/>
      <c r="GK19" s="122">
        <f>GJ19*100/$E$19</f>
        <v/>
      </c>
      <c r="GL19" s="108" t="n"/>
      <c r="GM19" s="107">
        <f>GL19*100/$E$19</f>
        <v/>
      </c>
      <c r="GN19" s="108" t="n"/>
      <c r="GO19" s="122">
        <f>GN19*100/$E$19</f>
        <v/>
      </c>
      <c r="GP19" s="108" t="n"/>
      <c r="GQ19" s="107">
        <f>GP19*100/$E$19</f>
        <v/>
      </c>
      <c r="GR19" s="108" t="n"/>
      <c r="GS19" s="122">
        <f>GR19*100/$E$19</f>
        <v/>
      </c>
      <c r="GT19" s="108" t="n"/>
      <c r="GU19" s="122">
        <f>GT19*100/$E$19</f>
        <v/>
      </c>
      <c r="GV19" s="108" t="n"/>
      <c r="GW19" s="122">
        <f>GV19*100/$E$19</f>
        <v/>
      </c>
      <c r="GX19" s="108" t="n"/>
      <c r="GY19" s="107">
        <f>GX19*100/$E$19</f>
        <v/>
      </c>
      <c r="GZ19" s="108" t="n"/>
      <c r="HA19" s="107">
        <f>GZ19*100/$E$19</f>
        <v/>
      </c>
      <c r="HB19" s="108" t="n"/>
      <c r="HC19" s="107">
        <f>HB19*100/$E$19</f>
        <v/>
      </c>
      <c r="HD19" s="108" t="n"/>
      <c r="HE19" s="107">
        <f>HD19*100/$E$19</f>
        <v/>
      </c>
      <c r="HF19" s="108" t="n"/>
      <c r="HG19" s="107">
        <f>HF19*100/$E$19</f>
        <v/>
      </c>
      <c r="HH19" s="108" t="n"/>
      <c r="HI19" s="107">
        <f>HH19*100/$E$19</f>
        <v/>
      </c>
      <c r="HJ19" s="108" t="n"/>
      <c r="HK19" s="107">
        <f>HJ19*100/$E$19</f>
        <v/>
      </c>
      <c r="HL19" s="108" t="n"/>
      <c r="HM19" s="107">
        <f>HL19*100/$E$19</f>
        <v/>
      </c>
      <c r="HN19" s="108" t="n"/>
      <c r="HO19" s="107">
        <f>HN19*100/$E$19</f>
        <v/>
      </c>
      <c r="HP19" s="108" t="n"/>
      <c r="HQ19" s="107">
        <f>HP19*100/$E$19</f>
        <v/>
      </c>
      <c r="HR19" s="108" t="n"/>
      <c r="HS19" s="107">
        <f>HR19*100/$E$19</f>
        <v/>
      </c>
      <c r="HT19" s="108" t="n"/>
      <c r="HU19" s="107">
        <f>HT19*100/$E$19</f>
        <v/>
      </c>
      <c r="HV19" s="108" t="n"/>
      <c r="HW19" s="107">
        <f>HV19*100/$E$19</f>
        <v/>
      </c>
      <c r="HX19" s="108" t="n"/>
      <c r="HY19" s="107">
        <f>HX19*100/$E$19</f>
        <v/>
      </c>
      <c r="HZ19" s="108" t="n"/>
      <c r="IA19" s="122">
        <f>HZ19*100/$E$19</f>
        <v/>
      </c>
      <c r="IB19" s="108" t="n"/>
      <c r="IC19" s="122">
        <f>IB19*100/$E$19</f>
        <v/>
      </c>
      <c r="ID19" s="108" t="n"/>
      <c r="IE19" s="122">
        <f>ID19*100/$E$19</f>
        <v/>
      </c>
      <c r="IF19" s="108" t="n"/>
      <c r="IG19" s="122">
        <f>IF19*100/$E$19</f>
        <v/>
      </c>
      <c r="IH19" s="108" t="n"/>
      <c r="II19" s="122">
        <f>IH19*100/$E$19</f>
        <v/>
      </c>
      <c r="IJ19" s="108" t="n"/>
      <c r="IK19" s="122">
        <f>IJ19*100/$E$19</f>
        <v/>
      </c>
      <c r="IL19" s="108" t="n"/>
      <c r="IM19" s="107">
        <f>IL19*100/$E$19</f>
        <v/>
      </c>
      <c r="IN19" s="108" t="n"/>
      <c r="IO19" s="107">
        <f>IN19*100/$E$19</f>
        <v/>
      </c>
      <c r="IP19" s="108" t="n"/>
      <c r="IQ19" s="122">
        <f>IP19*100/$E$19</f>
        <v/>
      </c>
      <c r="IR19" s="108" t="n"/>
      <c r="IS19" s="122">
        <f>IR19*100/$E$19</f>
        <v/>
      </c>
      <c r="IT19" s="108" t="n"/>
      <c r="IU19" s="122">
        <f>IT19*100/$E$19</f>
        <v/>
      </c>
      <c r="IV19" s="108" t="n"/>
      <c r="IW19" s="122">
        <f>IV19*100/$E$19</f>
        <v/>
      </c>
      <c r="IX19" s="108" t="n"/>
      <c r="IY19" s="122">
        <f>IX19*100/$E$19</f>
        <v/>
      </c>
      <c r="IZ19" s="108" t="n"/>
      <c r="JA19" s="122">
        <f>IZ19*100/$E$19</f>
        <v/>
      </c>
      <c r="JB19" s="108" t="n"/>
      <c r="JC19" s="122">
        <f>JB19*100/$E$19</f>
        <v/>
      </c>
      <c r="JD19" s="108" t="n"/>
      <c r="JE19" s="122">
        <f>JD19*100/$E$19</f>
        <v/>
      </c>
      <c r="JF19" s="108" t="n"/>
      <c r="JG19" s="122">
        <f>JF19*100/$E$19</f>
        <v/>
      </c>
      <c r="JH19" s="108" t="n"/>
      <c r="JI19" s="122">
        <f>JH19*100/$E$19</f>
        <v/>
      </c>
      <c r="JJ19" s="108" t="n"/>
      <c r="JK19" s="122">
        <f>JJ19*100/$E$19</f>
        <v/>
      </c>
      <c r="JL19" s="108" t="n"/>
      <c r="JM19" s="122">
        <f>JL19*100/$E$19</f>
        <v/>
      </c>
      <c r="JN19" s="108" t="n"/>
      <c r="JO19" s="122">
        <f>JN19*100/$E$19</f>
        <v/>
      </c>
      <c r="JP19" s="108" t="n"/>
      <c r="JQ19" s="122">
        <f>JP19*100/$E$19</f>
        <v/>
      </c>
      <c r="JR19" s="108" t="n"/>
      <c r="JS19" s="122">
        <f>JR19*100/$E$19</f>
        <v/>
      </c>
      <c r="JT19" s="108" t="n"/>
      <c r="JU19" s="122">
        <f>JT19*100/$E$19</f>
        <v/>
      </c>
      <c r="JV19" s="108" t="n"/>
      <c r="JW19" s="122">
        <f>JV19*100/$E$19</f>
        <v/>
      </c>
      <c r="JX19" s="108" t="n"/>
      <c r="JY19" s="122">
        <f>JX19*100/$E$19</f>
        <v/>
      </c>
      <c r="JZ19" s="55">
        <f>JN19+JP19+JR19+JT19+JV19+JX19</f>
        <v/>
      </c>
      <c r="KA19" s="53">
        <f>JO19+JQ19+JS19+JU19+JW19+JY19</f>
        <v/>
      </c>
      <c r="KB19" s="64">
        <f>H19+J19+L19+N19+P19+R19+T19+V19+X19+Z19+AB19+AD19+AF19+AH19+AJ19+AL19+AN19+AP19+AR19+AT19+AV19+AX19+AZ19+BB19+BD19+BF19+BH19+BJ19+BL19+BN19+BP19+BR19+BT19+BV19+BX19+BZ19+CB19+CD19+CF19+CH19+CZ19+DB19+DD19+DF19+DH19+DJ19+DL19+DN19+DP19+DR19+DT19+DV19+DX19+DZ19+EB19+ED19+EF19+EH19+EJ19+EL19+EN19+EP19+ER19+ET19+EV19+FN19+FP19+FR19+FT19+FV19+FX19+FZ19+GB19+GD19+GF19+GH19+GJ19+GL19+GN19+GP19+GR19+GT19+GV19+GX19+GZ19+HB19+HD19+HF19+HH19+HJ19+HL19+HN19+HP19+HR19+HT19+HV19+HX19+HZ19+IB19+ID19+IF19+IH19+IJ19+IL19+IN19+IP19+IR19+IT19+IV19+IX19+IZ19+JB19+JD19+JF19+JH19+JJ19+JL19+JZ19+CJ19+CL19+CN19+CP19+CR19+CT19+CV19+CX19+EX19+EZ19+FB19+FD19+FF19+FH19+FJ19+FL19</f>
        <v/>
      </c>
      <c r="KC19" s="66">
        <f>I19+K19+M19+O19+Q19+S19+U19+W19+Y19+AA19+AC19+AE19+AG19+AI19+AK19+AM19+AO19+AQ19+AS19+AU19+AW19+AY19+BA19+BC19+BE19+BG19+BI19+BK19+BM19+BO19+BQ19+BS19+BU19+BW19+BY19+CA19+CC19+CE19+CG19+CI19+DA19+DC19+DE19+DG19+DI19+DK19+DM19+DO19+DQ19+DS19+DU19+DW19+DY19+EA19+EC19+EE19+EG19+EI19+EK19+EM19+EO19+EQ19+ES19+EU19+EW19+FO19+FS19+FU19+FW19+FQ19+FY19+GA19+GC19+GE19+GG19+GI19+GK19+GM19+GO19+GQ19+GS19+GU19+GW19+GY19+HA19+HC19+HE19+HG19+HI19+HK19+HM19+HO19+HQ19+HS19+HU19+HW19+HY19+IA19+IC19+IE19+IG19+II19+IK19+IM19+IO19+IQ19+IS19+IU19+IW19+IY19+JA19+JC19+JE19+JG19+JI19+JK19+JM19+KA19+CK19+CM19+CO19+CQ19+CS19+CU19+CW19+CY19+EY19+FA19+FC19+FE19+FG19+FI19+FK19+FM19</f>
        <v/>
      </c>
      <c r="KD19" s="44">
        <f>JO19+JQ19+JS19+JU19+JW19+JY19</f>
        <v/>
      </c>
      <c r="KE19" s="45">
        <f>KB19=E19</f>
        <v/>
      </c>
      <c r="KF19" s="101">
        <f>E19-KB19</f>
        <v/>
      </c>
      <c r="KG19" s="14" t="n"/>
    </row>
    <row r="20" ht="21.75" customFormat="1" customHeight="1" s="14">
      <c r="A20" s="126">
        <f>A19+1</f>
        <v/>
      </c>
      <c r="B20" s="175" t="inlineStr">
        <is>
          <t>Евстратов Е.В.</t>
        </is>
      </c>
      <c r="C20" s="176" t="inlineStr">
        <is>
          <t>слесарь</t>
        </is>
      </c>
      <c r="D20" s="177">
        <f>$D$5</f>
        <v/>
      </c>
      <c r="E20" s="202" t="n"/>
      <c r="F20" s="190" t="n">
        <v>68902.87</v>
      </c>
      <c r="G20" s="52">
        <f>F20/D20</f>
        <v/>
      </c>
      <c r="H20" s="125" t="n"/>
      <c r="I20" s="107">
        <f>H20*100/$E$20</f>
        <v/>
      </c>
      <c r="J20" s="108" t="n"/>
      <c r="K20" s="107">
        <f>J20*100/$E$20</f>
        <v/>
      </c>
      <c r="L20" s="108" t="n"/>
      <c r="M20" s="107">
        <f>L20*100/$E$20</f>
        <v/>
      </c>
      <c r="N20" s="108" t="n"/>
      <c r="O20" s="107">
        <f>N20*100/$E$20</f>
        <v/>
      </c>
      <c r="P20" s="108" t="n"/>
      <c r="Q20" s="122">
        <f>P20*100/$E$20</f>
        <v/>
      </c>
      <c r="R20" s="108" t="n"/>
      <c r="S20" s="122">
        <f>R20*100/$E$20</f>
        <v/>
      </c>
      <c r="T20" s="108" t="n"/>
      <c r="U20" s="107">
        <f>T20*100/$E$20</f>
        <v/>
      </c>
      <c r="V20" s="108" t="n"/>
      <c r="W20" s="107">
        <f>V20*100/$E$20</f>
        <v/>
      </c>
      <c r="X20" s="108" t="n"/>
      <c r="Y20" s="107">
        <f>X20*100/$E$20</f>
        <v/>
      </c>
      <c r="Z20" s="108" t="n"/>
      <c r="AA20" s="107">
        <f>Z20*100/$E$20</f>
        <v/>
      </c>
      <c r="AB20" s="108" t="n"/>
      <c r="AC20" s="107">
        <f>AB20*100/$E$20</f>
        <v/>
      </c>
      <c r="AD20" s="108" t="n"/>
      <c r="AE20" s="122">
        <f>AD20*100/$E$20</f>
        <v/>
      </c>
      <c r="AF20" s="108" t="n"/>
      <c r="AG20" s="122">
        <f>AF20*100/$E$20</f>
        <v/>
      </c>
      <c r="AH20" s="108" t="n"/>
      <c r="AI20" s="107">
        <f>AH20*100/$E$20</f>
        <v/>
      </c>
      <c r="AJ20" s="108" t="n"/>
      <c r="AK20" s="107">
        <f>AJ20*100/$E$20</f>
        <v/>
      </c>
      <c r="AL20" s="108" t="n"/>
      <c r="AM20" s="107">
        <f>AL20*100/$E$20</f>
        <v/>
      </c>
      <c r="AN20" s="108" t="n"/>
      <c r="AO20" s="107">
        <f>AN20*100/$E$20</f>
        <v/>
      </c>
      <c r="AP20" s="108" t="n"/>
      <c r="AQ20" s="107">
        <f>AP20*100/$E$20</f>
        <v/>
      </c>
      <c r="AR20" s="108" t="n"/>
      <c r="AS20" s="107">
        <f>AR20*100/$E$20</f>
        <v/>
      </c>
      <c r="AT20" s="108" t="n"/>
      <c r="AU20" s="90">
        <f>AT20*100/$E$20</f>
        <v/>
      </c>
      <c r="AV20" s="108" t="n"/>
      <c r="AW20" s="107">
        <f>AV20*100/$E$20</f>
        <v/>
      </c>
      <c r="AX20" s="108" t="n"/>
      <c r="AY20" s="107">
        <f>AX20*100/$E$20</f>
        <v/>
      </c>
      <c r="AZ20" s="108" t="n"/>
      <c r="BA20" s="107">
        <f>AZ20*100/$E$20</f>
        <v/>
      </c>
      <c r="BB20" s="108" t="n"/>
      <c r="BC20" s="107">
        <f>BB20*100/$E$20</f>
        <v/>
      </c>
      <c r="BD20" s="108" t="n"/>
      <c r="BE20" s="107">
        <f>BD20*100/$E$20</f>
        <v/>
      </c>
      <c r="BF20" s="108" t="n"/>
      <c r="BG20" s="107">
        <f>BF20*100/$E$20</f>
        <v/>
      </c>
      <c r="BH20" s="108" t="n"/>
      <c r="BI20" s="107">
        <f>BH20*100/$E$20</f>
        <v/>
      </c>
      <c r="BJ20" s="108" t="n"/>
      <c r="BK20" s="107">
        <f>BJ20*100/$E$20</f>
        <v/>
      </c>
      <c r="BL20" s="108" t="n"/>
      <c r="BM20" s="107">
        <f>BL20*100/$E$20</f>
        <v/>
      </c>
      <c r="BN20" s="108" t="n"/>
      <c r="BO20" s="107">
        <f>BN20*100/$E$20</f>
        <v/>
      </c>
      <c r="BP20" s="108" t="n"/>
      <c r="BQ20" s="107">
        <f>BP20*100/$E$20</f>
        <v/>
      </c>
      <c r="BR20" s="108" t="n"/>
      <c r="BS20" s="107">
        <f>BR20*100/$E$20</f>
        <v/>
      </c>
      <c r="BT20" s="108" t="n"/>
      <c r="BU20" s="107">
        <f>BT20*100/$E$20</f>
        <v/>
      </c>
      <c r="BV20" s="108" t="n"/>
      <c r="BW20" s="107">
        <f>BV20*100/$E$20</f>
        <v/>
      </c>
      <c r="BX20" s="108" t="n"/>
      <c r="BY20" s="107">
        <f>BX20*100/$E$20</f>
        <v/>
      </c>
      <c r="BZ20" s="108" t="n"/>
      <c r="CA20" s="107">
        <f>BZ20*100/$E$20</f>
        <v/>
      </c>
      <c r="CB20" s="108" t="n"/>
      <c r="CC20" s="107">
        <f>CB20*100/$E$20</f>
        <v/>
      </c>
      <c r="CD20" s="108" t="n"/>
      <c r="CE20" s="107">
        <f>CD20*100/$E$20</f>
        <v/>
      </c>
      <c r="CF20" s="108" t="n"/>
      <c r="CG20" s="107">
        <f>CF20*100/$E$20</f>
        <v/>
      </c>
      <c r="CH20" s="108" t="n"/>
      <c r="CI20" s="107">
        <f>CH20*100/$E$20</f>
        <v/>
      </c>
      <c r="CJ20" s="108" t="n"/>
      <c r="CK20" s="107">
        <f>CJ20*100/$E$20</f>
        <v/>
      </c>
      <c r="CL20" s="108" t="n"/>
      <c r="CM20" s="107">
        <f>CL20*100/$E$20</f>
        <v/>
      </c>
      <c r="CN20" s="108" t="n"/>
      <c r="CO20" s="122">
        <f>CN20*100/$E$20</f>
        <v/>
      </c>
      <c r="CP20" s="108" t="n"/>
      <c r="CQ20" s="107">
        <f>CP20*100/$E$20</f>
        <v/>
      </c>
      <c r="CR20" s="108" t="n"/>
      <c r="CS20" s="122">
        <f>CR20*100/$E$20</f>
        <v/>
      </c>
      <c r="CT20" s="108" t="n"/>
      <c r="CU20" s="122">
        <f>CT20*100/$E$20</f>
        <v/>
      </c>
      <c r="CV20" s="108" t="n"/>
      <c r="CW20" s="122">
        <f>CV20*100/$E$20</f>
        <v/>
      </c>
      <c r="CX20" s="108" t="n"/>
      <c r="CY20" s="122">
        <f>CX20*100/$E$20</f>
        <v/>
      </c>
      <c r="CZ20" s="108" t="n"/>
      <c r="DA20" s="122">
        <f>CZ20*100/$E$20</f>
        <v/>
      </c>
      <c r="DB20" s="108" t="n"/>
      <c r="DC20" s="122">
        <f>DB20*100/$E$20</f>
        <v/>
      </c>
      <c r="DD20" s="108" t="n"/>
      <c r="DE20" s="122">
        <f>DD20*100/$E$20</f>
        <v/>
      </c>
      <c r="DF20" s="108" t="n"/>
      <c r="DG20" s="122">
        <f>DF20*100/$E$20</f>
        <v/>
      </c>
      <c r="DH20" s="108" t="n"/>
      <c r="DI20" s="122">
        <f>DH20*100/$E$20</f>
        <v/>
      </c>
      <c r="DJ20" s="108" t="n"/>
      <c r="DK20" s="122">
        <f>DJ20*100/$E$20</f>
        <v/>
      </c>
      <c r="DL20" s="108" t="n"/>
      <c r="DM20" s="122">
        <f>DL20*100/$E$20</f>
        <v/>
      </c>
      <c r="DN20" s="108" t="n"/>
      <c r="DO20" s="122">
        <f>DN20*100/$E$20</f>
        <v/>
      </c>
      <c r="DP20" s="108" t="n"/>
      <c r="DQ20" s="122">
        <f>DP20*100/$E$20</f>
        <v/>
      </c>
      <c r="DR20" s="108" t="n"/>
      <c r="DS20" s="122">
        <f>DR20*100/$E$20</f>
        <v/>
      </c>
      <c r="DT20" s="108" t="n"/>
      <c r="DU20" s="122">
        <f>DT20*100/$E$20</f>
        <v/>
      </c>
      <c r="DV20" s="108" t="n"/>
      <c r="DW20" s="122">
        <f>DV20*100/$E$20</f>
        <v/>
      </c>
      <c r="DX20" s="108" t="n"/>
      <c r="DY20" s="122">
        <f>DX20*100/$E$20</f>
        <v/>
      </c>
      <c r="DZ20" s="108" t="n"/>
      <c r="EA20" s="122">
        <f>DZ20*100/$E$20</f>
        <v/>
      </c>
      <c r="EB20" s="108" t="n"/>
      <c r="EC20" s="122">
        <f>EB20*100/$E$20</f>
        <v/>
      </c>
      <c r="ED20" s="108" t="n"/>
      <c r="EE20" s="122">
        <f>ED20*100/$E$20</f>
        <v/>
      </c>
      <c r="EF20" s="108" t="n"/>
      <c r="EG20" s="122">
        <f>EF20*100/$E$20</f>
        <v/>
      </c>
      <c r="EH20" s="108" t="n"/>
      <c r="EI20" s="122">
        <f>EH20*100/$E$20</f>
        <v/>
      </c>
      <c r="EJ20" s="108" t="n"/>
      <c r="EK20" s="122">
        <f>EJ20*100/$E$20</f>
        <v/>
      </c>
      <c r="EL20" s="108" t="n"/>
      <c r="EM20" s="122">
        <f>EL20*100/$E$20</f>
        <v/>
      </c>
      <c r="EN20" s="108" t="n"/>
      <c r="EO20" s="122">
        <f>EN20*100/$E$20</f>
        <v/>
      </c>
      <c r="EP20" s="108" t="n"/>
      <c r="EQ20" s="122">
        <f>EP20*100/$E$20</f>
        <v/>
      </c>
      <c r="ER20" s="108" t="n"/>
      <c r="ES20" s="122">
        <f>ER20*100/$E$20</f>
        <v/>
      </c>
      <c r="ET20" s="108" t="n"/>
      <c r="EU20" s="122">
        <f>ET20*100/$E$20</f>
        <v/>
      </c>
      <c r="EV20" s="108" t="n"/>
      <c r="EW20" s="122">
        <f>EV20*100/$E$20</f>
        <v/>
      </c>
      <c r="EX20" s="108" t="n"/>
      <c r="EY20" s="122">
        <f>EX20*100/$E$20</f>
        <v/>
      </c>
      <c r="EZ20" s="108" t="n"/>
      <c r="FA20" s="122">
        <f>EZ20*100/$E$20</f>
        <v/>
      </c>
      <c r="FB20" s="108" t="n"/>
      <c r="FC20" s="122">
        <f>FB20*100/$E$20</f>
        <v/>
      </c>
      <c r="FD20" s="108" t="n"/>
      <c r="FE20" s="122">
        <f>FD20*100/$E$20</f>
        <v/>
      </c>
      <c r="FF20" s="108" t="n"/>
      <c r="FG20" s="122">
        <f>FF20*100/$E$20</f>
        <v/>
      </c>
      <c r="FH20" s="108" t="n"/>
      <c r="FI20" s="122">
        <f>FH20*100/$E$20</f>
        <v/>
      </c>
      <c r="FJ20" s="108" t="n"/>
      <c r="FK20" s="122">
        <f>FJ20*100/$E$20</f>
        <v/>
      </c>
      <c r="FL20" s="108" t="n"/>
      <c r="FM20" s="122">
        <f>FL20*100/$E$20</f>
        <v/>
      </c>
      <c r="FN20" s="108" t="n"/>
      <c r="FO20" s="122">
        <f>FN20*100/$E$20</f>
        <v/>
      </c>
      <c r="FP20" s="108" t="n"/>
      <c r="FQ20" s="122">
        <f>FP20*100/$E$20</f>
        <v/>
      </c>
      <c r="FR20" s="108" t="n"/>
      <c r="FS20" s="122">
        <f>FR20*100/$E$20</f>
        <v/>
      </c>
      <c r="FT20" s="108" t="n"/>
      <c r="FU20" s="122">
        <f>FT20*100/$E$20</f>
        <v/>
      </c>
      <c r="FV20" s="108" t="n"/>
      <c r="FW20" s="122">
        <f>FV20*100/$E$20</f>
        <v/>
      </c>
      <c r="FX20" s="108" t="n"/>
      <c r="FY20" s="107">
        <f>FX20*100/$E$20</f>
        <v/>
      </c>
      <c r="FZ20" s="108" t="n"/>
      <c r="GA20" s="107">
        <f>FZ20*100/$E$20</f>
        <v/>
      </c>
      <c r="GB20" s="108" t="n"/>
      <c r="GC20" s="107">
        <f>GB20*100/$E$20</f>
        <v/>
      </c>
      <c r="GD20" s="108" t="n"/>
      <c r="GE20" s="107">
        <f>GD20*100/$E$20</f>
        <v/>
      </c>
      <c r="GF20" s="108" t="n"/>
      <c r="GG20" s="107">
        <f>GF20*100/$E$20</f>
        <v/>
      </c>
      <c r="GH20" s="108" t="n"/>
      <c r="GI20" s="107">
        <f>GH20*100/$E$20</f>
        <v/>
      </c>
      <c r="GJ20" s="108" t="n"/>
      <c r="GK20" s="122">
        <f>GJ20*100/$E$20</f>
        <v/>
      </c>
      <c r="GL20" s="108" t="n"/>
      <c r="GM20" s="107">
        <f>GL20*100/$E$20</f>
        <v/>
      </c>
      <c r="GN20" s="108" t="n"/>
      <c r="GO20" s="122">
        <f>GN20*100/$E$20</f>
        <v/>
      </c>
      <c r="GP20" s="108" t="n"/>
      <c r="GQ20" s="107">
        <f>GP20*100/$E$20</f>
        <v/>
      </c>
      <c r="GR20" s="108" t="n"/>
      <c r="GS20" s="122">
        <f>GR20*100/$E$20</f>
        <v/>
      </c>
      <c r="GT20" s="108" t="n"/>
      <c r="GU20" s="122">
        <f>GT20*100/$E$20</f>
        <v/>
      </c>
      <c r="GV20" s="108" t="n"/>
      <c r="GW20" s="122">
        <f>GV20*100/$E$20</f>
        <v/>
      </c>
      <c r="GX20" s="108" t="n"/>
      <c r="GY20" s="107">
        <f>GX20*100/$E$20</f>
        <v/>
      </c>
      <c r="GZ20" s="108" t="n"/>
      <c r="HA20" s="107">
        <f>GZ20*100/$E$20</f>
        <v/>
      </c>
      <c r="HB20" s="108" t="n"/>
      <c r="HC20" s="107">
        <f>HB20*100/$E$20</f>
        <v/>
      </c>
      <c r="HD20" s="108" t="n"/>
      <c r="HE20" s="107">
        <f>HD20*100/$E$20</f>
        <v/>
      </c>
      <c r="HF20" s="108" t="n"/>
      <c r="HG20" s="107">
        <f>HF20*100/$E$20</f>
        <v/>
      </c>
      <c r="HH20" s="108" t="n"/>
      <c r="HI20" s="107">
        <f>HH20*100/$E$20</f>
        <v/>
      </c>
      <c r="HJ20" s="108" t="n"/>
      <c r="HK20" s="107">
        <f>HJ20*100/$E$20</f>
        <v/>
      </c>
      <c r="HL20" s="108" t="n"/>
      <c r="HM20" s="107">
        <f>HL20*100/$E$20</f>
        <v/>
      </c>
      <c r="HN20" s="108" t="n"/>
      <c r="HO20" s="107">
        <f>HN20*100/$E$20</f>
        <v/>
      </c>
      <c r="HP20" s="108" t="n"/>
      <c r="HQ20" s="107">
        <f>HP20*100/$E$20</f>
        <v/>
      </c>
      <c r="HR20" s="108" t="n"/>
      <c r="HS20" s="107">
        <f>HR20*100/$E$20</f>
        <v/>
      </c>
      <c r="HT20" s="108" t="n"/>
      <c r="HU20" s="107">
        <f>HT20*100/$E$20</f>
        <v/>
      </c>
      <c r="HV20" s="108" t="n"/>
      <c r="HW20" s="107">
        <f>HV20*100/$E$20</f>
        <v/>
      </c>
      <c r="HX20" s="108" t="n"/>
      <c r="HY20" s="107">
        <f>HX20*100/$E$20</f>
        <v/>
      </c>
      <c r="HZ20" s="108" t="n"/>
      <c r="IA20" s="122">
        <f>HZ20*100/$E$20</f>
        <v/>
      </c>
      <c r="IB20" s="108" t="n"/>
      <c r="IC20" s="122">
        <f>IB20*100/$E$20</f>
        <v/>
      </c>
      <c r="ID20" s="108" t="n"/>
      <c r="IE20" s="122">
        <f>ID20*100/$E$20</f>
        <v/>
      </c>
      <c r="IF20" s="108" t="n"/>
      <c r="IG20" s="122">
        <f>IF20*100/$E$20</f>
        <v/>
      </c>
      <c r="IH20" s="108" t="n"/>
      <c r="II20" s="122">
        <f>IH20*100/$E$20</f>
        <v/>
      </c>
      <c r="IJ20" s="108" t="n"/>
      <c r="IK20" s="122">
        <f>IJ20*100/$E$20</f>
        <v/>
      </c>
      <c r="IL20" s="108" t="n"/>
      <c r="IM20" s="107">
        <f>IL20*100/$E$20</f>
        <v/>
      </c>
      <c r="IN20" s="108" t="n"/>
      <c r="IO20" s="107">
        <f>IN20*100/$E$20</f>
        <v/>
      </c>
      <c r="IP20" s="108" t="n"/>
      <c r="IQ20" s="122">
        <f>IP20*100/$E$20</f>
        <v/>
      </c>
      <c r="IR20" s="108" t="n"/>
      <c r="IS20" s="122">
        <f>IR20*100/$E$20</f>
        <v/>
      </c>
      <c r="IT20" s="108" t="n"/>
      <c r="IU20" s="122">
        <f>IT20*100/$E$20</f>
        <v/>
      </c>
      <c r="IV20" s="108" t="n"/>
      <c r="IW20" s="122">
        <f>IV20*100/$E$20</f>
        <v/>
      </c>
      <c r="IX20" s="108" t="n"/>
      <c r="IY20" s="122">
        <f>IX20*100/$E$20</f>
        <v/>
      </c>
      <c r="IZ20" s="108" t="n"/>
      <c r="JA20" s="122">
        <f>IZ20*100/$E$20</f>
        <v/>
      </c>
      <c r="JB20" s="108" t="n"/>
      <c r="JC20" s="122">
        <f>JB20*100/$E$20</f>
        <v/>
      </c>
      <c r="JD20" s="108" t="n"/>
      <c r="JE20" s="122">
        <f>JD20*100/$E$20</f>
        <v/>
      </c>
      <c r="JF20" s="108" t="n"/>
      <c r="JG20" s="122">
        <f>JF20*100/$E$20</f>
        <v/>
      </c>
      <c r="JH20" s="108" t="n"/>
      <c r="JI20" s="122">
        <f>JH20*100/$E$20</f>
        <v/>
      </c>
      <c r="JJ20" s="108" t="n"/>
      <c r="JK20" s="122">
        <f>JJ20*100/$E$20</f>
        <v/>
      </c>
      <c r="JL20" s="108" t="n"/>
      <c r="JM20" s="122">
        <f>JL20*100/$E$20</f>
        <v/>
      </c>
      <c r="JN20" s="108" t="n"/>
      <c r="JO20" s="122">
        <f>JN20*100/$E$20</f>
        <v/>
      </c>
      <c r="JP20" s="108" t="n"/>
      <c r="JQ20" s="122">
        <f>JP20*100/$E$20</f>
        <v/>
      </c>
      <c r="JR20" s="108" t="n"/>
      <c r="JS20" s="122">
        <f>JR20*100/$E$20</f>
        <v/>
      </c>
      <c r="JT20" s="108" t="n"/>
      <c r="JU20" s="122">
        <f>JT20*100/$E$20</f>
        <v/>
      </c>
      <c r="JV20" s="108" t="n"/>
      <c r="JW20" s="122">
        <f>JV20*100/$E$20</f>
        <v/>
      </c>
      <c r="JX20" s="108" t="n"/>
      <c r="JY20" s="122">
        <f>JX20*100/$E$20</f>
        <v/>
      </c>
      <c r="JZ20" s="55">
        <f>JN20+JP20+JR20+JT20+JV20+JX20</f>
        <v/>
      </c>
      <c r="KA20" s="53">
        <f>JO20+JQ20+JS20+JU20+JW20+JY20</f>
        <v/>
      </c>
      <c r="KB20" s="64">
        <f>H20+J20+L20+N20+P20+R20+T20+V20+X20+Z20+AB20+AD20+AF20+AH20+AJ20+AL20+AN20+AP20+AR20+AT20+AV20+AX20+AZ20+BB20+BD20+BF20+BH20+BJ20+BL20+BN20+BP20+BR20+BT20+BV20+BX20+BZ20+CB20+CD20+CF20+CH20+CZ20+DB20+DD20+DF20+DH20+DJ20+DL20+DN20+DP20+DR20+DT20+DV20+DX20+DZ20+EB20+ED20+EF20+EH20+EJ20+EL20+EN20+EP20+ER20+ET20+EV20+FN20+FP20+FR20+FT20+FV20+FX20+FZ20+GB20+GD20+GF20+GH20+GJ20+GL20+GN20+GP20+GR20+GT20+GV20+GX20+GZ20+HB20+HD20+HF20+HH20+HJ20+HL20+HN20+HP20+HR20+HT20+HV20+HX20+HZ20+IB20+ID20+IF20+IH20+IJ20+IL20+IN20+IP20+IR20+IT20+IV20+IX20+IZ20+JB20+JD20+JF20+JH20+JJ20+JL20+JZ20+CJ20+CL20+CN20+CP20+CR20+CT20+CV20+CX20+EX20+EZ20+FB20+FD20+FF20+FH20+FJ20+FL20</f>
        <v/>
      </c>
      <c r="KC20" s="66">
        <f>I20+K20+M20+O20+Q20+S20+U20+W20+Y20+AA20+AC20+AE20+AG20+AI20+AK20+AM20+AO20+AQ20+AS20+AU20+AW20+AY20+BA20+BC20+BE20+BG20+BI20+BK20+BM20+BO20+BQ20+BS20+BU20+BW20+BY20+CA20+CC20+CE20+CG20+CI20+DA20+DC20+DE20+DG20+DI20+DK20+DM20+DO20+DQ20+DS20+DU20+DW20+DY20+EA20+EC20+EE20+EG20+EI20+EK20+EM20+EO20+EQ20+ES20+EU20+EW20+FO20+FS20+FU20+FW20+FQ20+FY20+GA20+GC20+GE20+GG20+GI20+GK20+GM20+GO20+GQ20+GS20+GU20+GW20+GY20+HA20+HC20+HE20+HG20+HI20+HK20+HM20+HO20+HQ20+HS20+HU20+HW20+HY20+IA20+IC20+IE20+IG20+II20+IK20+IM20+IO20+IQ20+IS20+IU20+IW20+IY20+JA20+JC20+JE20+JG20+JI20+JK20+JM20+KA20+CK20+CM20+CO20+CQ20+CS20+CU20+CW20+CY20+EY20+FA20+FC20+FE20+FG20+FI20+FK20+FM20</f>
        <v/>
      </c>
      <c r="KD20" s="44">
        <f>JO20+JQ20+JS20+JU20+JW20+JY20</f>
        <v/>
      </c>
      <c r="KE20" s="45">
        <f>KB20=E20</f>
        <v/>
      </c>
      <c r="KF20" s="101">
        <f>E20-KB20</f>
        <v/>
      </c>
      <c r="KG20" s="17" t="n"/>
    </row>
    <row r="21" ht="21.75" customFormat="1" customHeight="1" s="67">
      <c r="A21" s="130">
        <f>A20+1</f>
        <v/>
      </c>
      <c r="B21" s="175" t="inlineStr">
        <is>
          <t>Еналов А.Д.</t>
        </is>
      </c>
      <c r="C21" s="176" t="inlineStr">
        <is>
          <t>слесарь</t>
        </is>
      </c>
      <c r="D21" s="177">
        <f>$D$5</f>
        <v/>
      </c>
      <c r="E21" s="202" t="n"/>
      <c r="F21" s="191" t="n">
        <v>68902.87</v>
      </c>
      <c r="G21" s="52">
        <f>F21/D21</f>
        <v/>
      </c>
      <c r="H21" s="125" t="n"/>
      <c r="I21" s="107">
        <f>H21*100/$E$21</f>
        <v/>
      </c>
      <c r="J21" s="108" t="n"/>
      <c r="K21" s="107">
        <f>J21*100/$E$21</f>
        <v/>
      </c>
      <c r="L21" s="108" t="n"/>
      <c r="M21" s="107">
        <f>L21*100/$E$21</f>
        <v/>
      </c>
      <c r="N21" s="108" t="n"/>
      <c r="O21" s="107">
        <f>N21*100/$E$21</f>
        <v/>
      </c>
      <c r="P21" s="108" t="n"/>
      <c r="Q21" s="122">
        <f>P21*100/$E$21</f>
        <v/>
      </c>
      <c r="R21" s="108" t="n"/>
      <c r="S21" s="122">
        <f>R21*100/$E$21</f>
        <v/>
      </c>
      <c r="T21" s="108" t="n"/>
      <c r="U21" s="122">
        <f>T21*100/$E$21</f>
        <v/>
      </c>
      <c r="V21" s="108" t="n"/>
      <c r="W21" s="122">
        <f>V21*100/$E$21</f>
        <v/>
      </c>
      <c r="X21" s="108" t="n"/>
      <c r="Y21" s="122">
        <f>X21*100/$E$21</f>
        <v/>
      </c>
      <c r="Z21" s="108" t="n"/>
      <c r="AA21" s="122">
        <f>Z21*100/$E$21</f>
        <v/>
      </c>
      <c r="AB21" s="108" t="n"/>
      <c r="AC21" s="122">
        <f>AB21*100/$E$21</f>
        <v/>
      </c>
      <c r="AD21" s="108" t="n"/>
      <c r="AE21" s="122">
        <f>AD21*100/$E$21</f>
        <v/>
      </c>
      <c r="AF21" s="108" t="n"/>
      <c r="AG21" s="122">
        <f>AF21*100/$E$21</f>
        <v/>
      </c>
      <c r="AH21" s="108" t="n"/>
      <c r="AI21" s="122">
        <f>AH21*100/$E$21</f>
        <v/>
      </c>
      <c r="AJ21" s="108" t="n"/>
      <c r="AK21" s="122">
        <f>AJ21*100/$E$21</f>
        <v/>
      </c>
      <c r="AL21" s="108" t="n"/>
      <c r="AM21" s="122">
        <f>AL21*100/$E$21</f>
        <v/>
      </c>
      <c r="AN21" s="108" t="n"/>
      <c r="AO21" s="122">
        <f>AN21*100/$E$21</f>
        <v/>
      </c>
      <c r="AP21" s="108" t="n"/>
      <c r="AQ21" s="122">
        <f>AP21*100/$E$21</f>
        <v/>
      </c>
      <c r="AR21" s="108" t="n"/>
      <c r="AS21" s="122">
        <f>AR21*100/$E$21</f>
        <v/>
      </c>
      <c r="AT21" s="108" t="n"/>
      <c r="AU21" s="90">
        <f>AT21*100/$E$21</f>
        <v/>
      </c>
      <c r="AV21" s="108" t="n"/>
      <c r="AW21" s="122">
        <f>AV21*100/$E$21</f>
        <v/>
      </c>
      <c r="AX21" s="108" t="n"/>
      <c r="AY21" s="122">
        <f>AX21*100/$E$21</f>
        <v/>
      </c>
      <c r="AZ21" s="108" t="n"/>
      <c r="BA21" s="122">
        <f>AZ21*100/$E$21</f>
        <v/>
      </c>
      <c r="BB21" s="108" t="n"/>
      <c r="BC21" s="122">
        <f>BB21*100/$E$21</f>
        <v/>
      </c>
      <c r="BD21" s="108" t="n"/>
      <c r="BE21" s="122">
        <f>BD21*100/$E$21</f>
        <v/>
      </c>
      <c r="BF21" s="108" t="n"/>
      <c r="BG21" s="122">
        <f>BF21*100/$E$21</f>
        <v/>
      </c>
      <c r="BH21" s="108" t="n"/>
      <c r="BI21" s="122">
        <f>BH21*100/$E$21</f>
        <v/>
      </c>
      <c r="BJ21" s="108" t="n"/>
      <c r="BK21" s="122">
        <f>BJ21*100/$E$21</f>
        <v/>
      </c>
      <c r="BL21" s="108" t="n"/>
      <c r="BM21" s="122">
        <f>BL21*100/$E$21</f>
        <v/>
      </c>
      <c r="BN21" s="108" t="n"/>
      <c r="BO21" s="122">
        <f>BN21*100/$E$21</f>
        <v/>
      </c>
      <c r="BP21" s="108" t="n"/>
      <c r="BQ21" s="122">
        <f>BP21*100/$E$21</f>
        <v/>
      </c>
      <c r="BR21" s="108" t="n"/>
      <c r="BS21" s="122">
        <f>BR21*100/$E$21</f>
        <v/>
      </c>
      <c r="BT21" s="108" t="n"/>
      <c r="BU21" s="122">
        <f>BT21*100/$E$21</f>
        <v/>
      </c>
      <c r="BV21" s="108" t="n"/>
      <c r="BW21" s="122">
        <f>BV21*100/$E$21</f>
        <v/>
      </c>
      <c r="BX21" s="108" t="n"/>
      <c r="BY21" s="122">
        <f>BX21*100/$E$21</f>
        <v/>
      </c>
      <c r="BZ21" s="108" t="n"/>
      <c r="CA21" s="122">
        <f>BZ21*100/$E$21</f>
        <v/>
      </c>
      <c r="CB21" s="108" t="n"/>
      <c r="CC21" s="122">
        <f>CB21*100/$E$21</f>
        <v/>
      </c>
      <c r="CD21" s="108" t="n"/>
      <c r="CE21" s="122">
        <f>CD21*100/$E$21</f>
        <v/>
      </c>
      <c r="CF21" s="108" t="n"/>
      <c r="CG21" s="122">
        <f>CF21*100/$E$21</f>
        <v/>
      </c>
      <c r="CH21" s="108" t="n"/>
      <c r="CI21" s="122">
        <f>CH21*100/$E$21</f>
        <v/>
      </c>
      <c r="CJ21" s="108" t="n"/>
      <c r="CK21" s="122">
        <f>CJ21*100/$E$21</f>
        <v/>
      </c>
      <c r="CL21" s="108" t="n"/>
      <c r="CM21" s="122">
        <f>CL21*100/$E$21</f>
        <v/>
      </c>
      <c r="CN21" s="108" t="n"/>
      <c r="CO21" s="122">
        <f>CN21*100/$E$21</f>
        <v/>
      </c>
      <c r="CP21" s="108" t="n"/>
      <c r="CQ21" s="122">
        <f>CP21*100/$E$21</f>
        <v/>
      </c>
      <c r="CR21" s="108" t="n"/>
      <c r="CS21" s="122">
        <f>CR21*100/$E$21</f>
        <v/>
      </c>
      <c r="CT21" s="108" t="n"/>
      <c r="CU21" s="122">
        <f>CT21*100/$E$21</f>
        <v/>
      </c>
      <c r="CV21" s="108" t="n"/>
      <c r="CW21" s="122">
        <f>CV21*100/$E$21</f>
        <v/>
      </c>
      <c r="CX21" s="108" t="n"/>
      <c r="CY21" s="122">
        <f>CX21*100/$E$21</f>
        <v/>
      </c>
      <c r="CZ21" s="108" t="n"/>
      <c r="DA21" s="122">
        <f>CZ21*100/$E$21</f>
        <v/>
      </c>
      <c r="DB21" s="108" t="n"/>
      <c r="DC21" s="122">
        <f>DB21*100/$E$21</f>
        <v/>
      </c>
      <c r="DD21" s="108" t="n"/>
      <c r="DE21" s="122">
        <f>DD21*100/$E$21</f>
        <v/>
      </c>
      <c r="DF21" s="108" t="n"/>
      <c r="DG21" s="122">
        <f>DF21*100/$E$21</f>
        <v/>
      </c>
      <c r="DH21" s="108" t="n"/>
      <c r="DI21" s="122">
        <f>DH21*100/$E$21</f>
        <v/>
      </c>
      <c r="DJ21" s="108" t="n"/>
      <c r="DK21" s="122">
        <f>DJ21*100/$E$21</f>
        <v/>
      </c>
      <c r="DL21" s="108" t="n"/>
      <c r="DM21" s="122">
        <f>DL21*100/$E$21</f>
        <v/>
      </c>
      <c r="DN21" s="108" t="n"/>
      <c r="DO21" s="122">
        <f>DN21*100/$E$21</f>
        <v/>
      </c>
      <c r="DP21" s="108" t="n"/>
      <c r="DQ21" s="122">
        <f>DP21*100/$E$21</f>
        <v/>
      </c>
      <c r="DR21" s="108" t="n"/>
      <c r="DS21" s="122">
        <f>DR21*100/$E$21</f>
        <v/>
      </c>
      <c r="DT21" s="108" t="n"/>
      <c r="DU21" s="122">
        <f>DT21*100/$E$21</f>
        <v/>
      </c>
      <c r="DV21" s="108" t="n"/>
      <c r="DW21" s="122">
        <f>DV21*100/$E$21</f>
        <v/>
      </c>
      <c r="DX21" s="108" t="n"/>
      <c r="DY21" s="122">
        <f>DX21*100/$E$21</f>
        <v/>
      </c>
      <c r="DZ21" s="108" t="n"/>
      <c r="EA21" s="122">
        <f>DZ21*100/$E$21</f>
        <v/>
      </c>
      <c r="EB21" s="108" t="n"/>
      <c r="EC21" s="122">
        <f>EB21*100/$E$21</f>
        <v/>
      </c>
      <c r="ED21" s="108" t="n"/>
      <c r="EE21" s="122">
        <f>ED21*100/$E$21</f>
        <v/>
      </c>
      <c r="EF21" s="108" t="n"/>
      <c r="EG21" s="122">
        <f>EF21*100/$E$21</f>
        <v/>
      </c>
      <c r="EH21" s="108" t="n"/>
      <c r="EI21" s="122">
        <f>EH21*100/$E$21</f>
        <v/>
      </c>
      <c r="EJ21" s="108" t="n"/>
      <c r="EK21" s="122">
        <f>EJ21*100/$E$21</f>
        <v/>
      </c>
      <c r="EL21" s="108" t="n"/>
      <c r="EM21" s="122">
        <f>EL21*100/$E$21</f>
        <v/>
      </c>
      <c r="EN21" s="108" t="n"/>
      <c r="EO21" s="122">
        <f>EN21*100/$E$21</f>
        <v/>
      </c>
      <c r="EP21" s="108" t="n"/>
      <c r="EQ21" s="122">
        <f>EP21*100/$E$21</f>
        <v/>
      </c>
      <c r="ER21" s="108" t="n"/>
      <c r="ES21" s="122">
        <f>ER21*100/$E$21</f>
        <v/>
      </c>
      <c r="ET21" s="108" t="n"/>
      <c r="EU21" s="122">
        <f>ET21*100/$E$21</f>
        <v/>
      </c>
      <c r="EV21" s="108" t="n"/>
      <c r="EW21" s="122">
        <f>EV21*100/$E$21</f>
        <v/>
      </c>
      <c r="EX21" s="108" t="n"/>
      <c r="EY21" s="122">
        <f>EX21*100/$E$21</f>
        <v/>
      </c>
      <c r="EZ21" s="108" t="n"/>
      <c r="FA21" s="122">
        <f>EZ21*100/$E$21</f>
        <v/>
      </c>
      <c r="FB21" s="108" t="n"/>
      <c r="FC21" s="122">
        <f>FB21*100/$E$21</f>
        <v/>
      </c>
      <c r="FD21" s="108" t="n"/>
      <c r="FE21" s="122">
        <f>FD21*100/$E$21</f>
        <v/>
      </c>
      <c r="FF21" s="108" t="n"/>
      <c r="FG21" s="122">
        <f>FF21*100/$E$21</f>
        <v/>
      </c>
      <c r="FH21" s="108" t="n"/>
      <c r="FI21" s="122">
        <f>FH21*100/$E$21</f>
        <v/>
      </c>
      <c r="FJ21" s="108" t="n"/>
      <c r="FK21" s="122">
        <f>FJ21*100/$E$21</f>
        <v/>
      </c>
      <c r="FL21" s="108" t="n"/>
      <c r="FM21" s="122">
        <f>FL21*100/$E$21</f>
        <v/>
      </c>
      <c r="FN21" s="108" t="n"/>
      <c r="FO21" s="122">
        <f>FN21*100/$E$21</f>
        <v/>
      </c>
      <c r="FP21" s="108" t="n"/>
      <c r="FQ21" s="122">
        <f>FP21*100/$E$21</f>
        <v/>
      </c>
      <c r="FR21" s="108" t="n"/>
      <c r="FS21" s="122">
        <f>FR21*100/$E$21</f>
        <v/>
      </c>
      <c r="FT21" s="108" t="n"/>
      <c r="FU21" s="122">
        <f>FT21*100/$E$21</f>
        <v/>
      </c>
      <c r="FV21" s="108" t="n"/>
      <c r="FW21" s="122">
        <f>FV21*100/$E$21</f>
        <v/>
      </c>
      <c r="FX21" s="108" t="n"/>
      <c r="FY21" s="122">
        <f>FX21*100/$E$21</f>
        <v/>
      </c>
      <c r="FZ21" s="108" t="n"/>
      <c r="GA21" s="122">
        <f>FZ21*100/$E$21</f>
        <v/>
      </c>
      <c r="GB21" s="108" t="n"/>
      <c r="GC21" s="122">
        <f>GB21*100/$E$21</f>
        <v/>
      </c>
      <c r="GD21" s="108" t="n"/>
      <c r="GE21" s="122">
        <f>GD21*100/$E$21</f>
        <v/>
      </c>
      <c r="GF21" s="108" t="n"/>
      <c r="GG21" s="122">
        <f>GF21*100/$E$21</f>
        <v/>
      </c>
      <c r="GH21" s="108" t="n"/>
      <c r="GI21" s="122">
        <f>GH21*100/$E$21</f>
        <v/>
      </c>
      <c r="GJ21" s="108" t="n"/>
      <c r="GK21" s="122">
        <f>GJ21*100/$E$21</f>
        <v/>
      </c>
      <c r="GL21" s="108" t="n"/>
      <c r="GM21" s="122">
        <f>GL21*100/$E$21</f>
        <v/>
      </c>
      <c r="GN21" s="108" t="n"/>
      <c r="GO21" s="122">
        <f>GN21*100/$E$21</f>
        <v/>
      </c>
      <c r="GP21" s="108" t="n"/>
      <c r="GQ21" s="122">
        <f>GP21*100/$E$21</f>
        <v/>
      </c>
      <c r="GR21" s="108" t="n"/>
      <c r="GS21" s="122">
        <f>GR21*100/$E$21</f>
        <v/>
      </c>
      <c r="GT21" s="108" t="n"/>
      <c r="GU21" s="122">
        <f>GT21*100/$E$21</f>
        <v/>
      </c>
      <c r="GV21" s="108" t="n"/>
      <c r="GW21" s="122">
        <f>GV21*100/$E$21</f>
        <v/>
      </c>
      <c r="GX21" s="108" t="n"/>
      <c r="GY21" s="122">
        <f>GX21*100/$E$21</f>
        <v/>
      </c>
      <c r="GZ21" s="108" t="n"/>
      <c r="HA21" s="122">
        <f>GZ21*100/$E$21</f>
        <v/>
      </c>
      <c r="HB21" s="108" t="n"/>
      <c r="HC21" s="122">
        <f>HB21*100/$E$21</f>
        <v/>
      </c>
      <c r="HD21" s="108" t="n"/>
      <c r="HE21" s="122">
        <f>HD21*100/$E$21</f>
        <v/>
      </c>
      <c r="HF21" s="108" t="n"/>
      <c r="HG21" s="122">
        <f>HF21*100/$E$21</f>
        <v/>
      </c>
      <c r="HH21" s="108" t="n"/>
      <c r="HI21" s="122">
        <f>HH21*100/$E$21</f>
        <v/>
      </c>
      <c r="HJ21" s="108" t="n"/>
      <c r="HK21" s="122">
        <f>HJ21*100/$E$21</f>
        <v/>
      </c>
      <c r="HL21" s="108" t="n"/>
      <c r="HM21" s="122">
        <f>HL21*100/$E$21</f>
        <v/>
      </c>
      <c r="HN21" s="108" t="n"/>
      <c r="HO21" s="122">
        <f>HN21*100/$E$21</f>
        <v/>
      </c>
      <c r="HP21" s="108" t="n"/>
      <c r="HQ21" s="122">
        <f>HP21*100/$E$21</f>
        <v/>
      </c>
      <c r="HR21" s="108" t="n"/>
      <c r="HS21" s="122">
        <f>HR21*100/$E$21</f>
        <v/>
      </c>
      <c r="HT21" s="108" t="n"/>
      <c r="HU21" s="122">
        <f>HT21*100/$E$21</f>
        <v/>
      </c>
      <c r="HV21" s="108" t="n"/>
      <c r="HW21" s="122">
        <f>HV21*100/$E$21</f>
        <v/>
      </c>
      <c r="HX21" s="108" t="n"/>
      <c r="HY21" s="122">
        <f>HX21*100/$E$21</f>
        <v/>
      </c>
      <c r="HZ21" s="108" t="n"/>
      <c r="IA21" s="122">
        <f>HZ21*100/$E$21</f>
        <v/>
      </c>
      <c r="IB21" s="108" t="n"/>
      <c r="IC21" s="122">
        <f>IB21*100/$E$21</f>
        <v/>
      </c>
      <c r="ID21" s="108" t="n"/>
      <c r="IE21" s="122">
        <f>ID21*100/$E$21</f>
        <v/>
      </c>
      <c r="IF21" s="108" t="n"/>
      <c r="IG21" s="122">
        <f>IF21*100/$E$21</f>
        <v/>
      </c>
      <c r="IH21" s="108" t="n"/>
      <c r="II21" s="122">
        <f>IH21*100/$E$21</f>
        <v/>
      </c>
      <c r="IJ21" s="108" t="n"/>
      <c r="IK21" s="122">
        <f>IJ21*100/$E$21</f>
        <v/>
      </c>
      <c r="IL21" s="108" t="n"/>
      <c r="IM21" s="122">
        <f>IL21*100/$E$21</f>
        <v/>
      </c>
      <c r="IN21" s="108" t="n"/>
      <c r="IO21" s="122">
        <f>IN21*100/$E$21</f>
        <v/>
      </c>
      <c r="IP21" s="108" t="n"/>
      <c r="IQ21" s="122">
        <f>IP21*100/$E$21</f>
        <v/>
      </c>
      <c r="IR21" s="108" t="n"/>
      <c r="IS21" s="122">
        <f>IR21*100/$E$21</f>
        <v/>
      </c>
      <c r="IT21" s="108" t="n"/>
      <c r="IU21" s="122">
        <f>IT21*100/$E$21</f>
        <v/>
      </c>
      <c r="IV21" s="108" t="n"/>
      <c r="IW21" s="122">
        <f>IV21*100/$E$21</f>
        <v/>
      </c>
      <c r="IX21" s="108" t="n"/>
      <c r="IY21" s="122">
        <f>IX21*100/$E$21</f>
        <v/>
      </c>
      <c r="IZ21" s="108" t="n"/>
      <c r="JA21" s="122">
        <f>IZ21*100/$E$21</f>
        <v/>
      </c>
      <c r="JB21" s="108" t="n"/>
      <c r="JC21" s="122">
        <f>JB21*100/$E$21</f>
        <v/>
      </c>
      <c r="JD21" s="108" t="n"/>
      <c r="JE21" s="122">
        <f>JD21*100/$E$21</f>
        <v/>
      </c>
      <c r="JF21" s="108" t="n"/>
      <c r="JG21" s="122">
        <f>JF21*100/$E$21</f>
        <v/>
      </c>
      <c r="JH21" s="108" t="n"/>
      <c r="JI21" s="122">
        <f>JH21*100/$E$21</f>
        <v/>
      </c>
      <c r="JJ21" s="108" t="n"/>
      <c r="JK21" s="122">
        <f>JJ21*100/$E$21</f>
        <v/>
      </c>
      <c r="JL21" s="108" t="n"/>
      <c r="JM21" s="122">
        <f>JL21*100/$E$21</f>
        <v/>
      </c>
      <c r="JN21" s="108" t="n"/>
      <c r="JO21" s="122">
        <f>JN21*100/$E$21</f>
        <v/>
      </c>
      <c r="JP21" s="108" t="n"/>
      <c r="JQ21" s="122">
        <f>JP21*100/$E$21</f>
        <v/>
      </c>
      <c r="JR21" s="108" t="n"/>
      <c r="JS21" s="122">
        <f>JR21*100/$E$21</f>
        <v/>
      </c>
      <c r="JT21" s="108" t="n"/>
      <c r="JU21" s="122">
        <f>JT21*100/$E$21</f>
        <v/>
      </c>
      <c r="JV21" s="108" t="n"/>
      <c r="JW21" s="122">
        <f>JV21*100/$E$21</f>
        <v/>
      </c>
      <c r="JX21" s="108" t="n"/>
      <c r="JY21" s="122">
        <f>JX21*100/$E$21</f>
        <v/>
      </c>
      <c r="JZ21" s="55">
        <f>JN21+JP21+JR21+JT21+JV21+JX21</f>
        <v/>
      </c>
      <c r="KA21" s="53">
        <f>JO21+JQ21+JS21+JU21+JW21+JY21</f>
        <v/>
      </c>
      <c r="KB21" s="64">
        <f>H21+J21+L21+N21+P21+R21+T21+V21+X21+Z21+AB21+AD21+AF21+AH21+AJ21+AL21+AN21+AP21+AR21+AT21+AV21+AX21+AZ21+BB21+BD21+BF21+BH21+BJ21+BL21+BN21+BP21+BR21+BT21+BV21+BX21+BZ21+CB21+CD21+CF21+CH21+CZ21+DB21+DD21+DF21+DH21+DJ21+DL21+DN21+DP21+DR21+DT21+DV21+DX21+DZ21+EB21+ED21+EF21+EH21+EJ21+EL21+EN21+EP21+ER21+ET21+EV21+FN21+FP21+FR21+FT21+FV21+FX21+FZ21+GB21+GD21+GF21+GH21+GJ21+GL21+GN21+GP21+GR21+GT21+GV21+GX21+GZ21+HB21+HD21+HF21+HH21+HJ21+HL21+HN21+HP21+HR21+HT21+HV21+HX21+HZ21+IB21+ID21+IF21+IH21+IJ21+IL21+IN21+IP21+IR21+IT21+IV21+IX21+IZ21+JB21+JD21+JF21+JH21+JJ21+JL21+JZ21+CJ21+CL21+CN21+CP21+CR21+CT21+CV21+CX21+EX21+EZ21+FB21+FD21+FF21+FH21+FJ21+FL21</f>
        <v/>
      </c>
      <c r="KC21" s="66">
        <f>I21+K21+M21+O21+Q21+S21+U21+W21+Y21+AA21+AC21+AE21+AG21+AI21+AK21+AM21+AO21+AQ21+AS21+AU21+AW21+AY21+BA21+BC21+BE21+BG21+BI21+BK21+BM21+BO21+BQ21+BS21+BU21+BW21+BY21+CA21+CC21+CE21+CG21+CI21+DA21+DC21+DE21+DG21+DI21+DK21+DM21+DO21+DQ21+DS21+DU21+DW21+DY21+EA21+EC21+EE21+EG21+EI21+EK21+EM21+EO21+EQ21+ES21+EU21+EW21+FO21+FS21+FU21+FW21+FQ21+FY21+GA21+GC21+GE21+GG21+GI21+GK21+GM21+GO21+GQ21+GS21+GU21+GW21+GY21+HA21+HC21+HE21+HG21+HI21+HK21+HM21+HO21+HQ21+HS21+HU21+HW21+HY21+IA21+IC21+IE21+IG21+II21+IK21+IM21+IO21+IQ21+IS21+IU21+IW21+IY21+JA21+JC21+JE21+JG21+JI21+JK21+JM21+KA21+CK21+CM21+CO21+CQ21+CS21+CU21+CW21+CY21+EY21+FA21+FC21+FE21+FG21+FI21+FK21+FM21</f>
        <v/>
      </c>
      <c r="KD21" s="44">
        <f>JO21+JQ21+JS21+JU21+JW21+JY21</f>
        <v/>
      </c>
      <c r="KE21" s="45">
        <f>KB21=E21</f>
        <v/>
      </c>
      <c r="KF21" s="101">
        <f>E21-KB21</f>
        <v/>
      </c>
      <c r="KG21" s="17" t="n"/>
    </row>
    <row r="22" ht="21.75" customFormat="1" customHeight="1" s="67">
      <c r="A22" s="130">
        <f>A21+1</f>
        <v/>
      </c>
      <c r="B22" s="175" t="inlineStr">
        <is>
          <t>Еналов Д.А.</t>
        </is>
      </c>
      <c r="C22" s="176" t="inlineStr">
        <is>
          <t>слесарь</t>
        </is>
      </c>
      <c r="D22" s="177">
        <f>$D$5</f>
        <v/>
      </c>
      <c r="E22" s="202" t="n"/>
      <c r="F22" s="191" t="n">
        <v>97702.28</v>
      </c>
      <c r="G22" s="52">
        <f>F22/D22</f>
        <v/>
      </c>
      <c r="H22" s="125" t="n"/>
      <c r="I22" s="107">
        <f>H22*100/$E$22</f>
        <v/>
      </c>
      <c r="J22" s="108" t="n"/>
      <c r="K22" s="107">
        <f>J22*100/$E$22</f>
        <v/>
      </c>
      <c r="L22" s="108" t="n"/>
      <c r="M22" s="107">
        <f>L22*100/$E$22</f>
        <v/>
      </c>
      <c r="N22" s="108" t="n"/>
      <c r="O22" s="107">
        <f>N22*100/$E$22</f>
        <v/>
      </c>
      <c r="P22" s="108" t="n"/>
      <c r="Q22" s="122">
        <f>P22*100/$E$22</f>
        <v/>
      </c>
      <c r="R22" s="108" t="n"/>
      <c r="S22" s="107">
        <f>R22*100/$E$22</f>
        <v/>
      </c>
      <c r="T22" s="108" t="n"/>
      <c r="U22" s="107">
        <f>T22*100/$E$22</f>
        <v/>
      </c>
      <c r="V22" s="108" t="n"/>
      <c r="W22" s="107">
        <f>V22*100/$E$22</f>
        <v/>
      </c>
      <c r="X22" s="108" t="n"/>
      <c r="Y22" s="107">
        <f>X22*100/$E$22</f>
        <v/>
      </c>
      <c r="Z22" s="108" t="n"/>
      <c r="AA22" s="107">
        <f>Z22*100/$E$22</f>
        <v/>
      </c>
      <c r="AB22" s="108" t="n"/>
      <c r="AC22" s="107">
        <f>AB22*100/$E$22</f>
        <v/>
      </c>
      <c r="AD22" s="108" t="n"/>
      <c r="AE22" s="107">
        <f>AD22*100/$E$22</f>
        <v/>
      </c>
      <c r="AF22" s="108" t="n"/>
      <c r="AG22" s="107">
        <f>AF22*100/$E$22</f>
        <v/>
      </c>
      <c r="AH22" s="108" t="n"/>
      <c r="AI22" s="107">
        <f>AH22*100/$E$22</f>
        <v/>
      </c>
      <c r="AJ22" s="108" t="n"/>
      <c r="AK22" s="107">
        <f>AJ22*100/$E$22</f>
        <v/>
      </c>
      <c r="AL22" s="108" t="n"/>
      <c r="AM22" s="107">
        <f>AL22*100/$E$22</f>
        <v/>
      </c>
      <c r="AN22" s="108" t="n"/>
      <c r="AO22" s="107">
        <f>AN22*100/$E$22</f>
        <v/>
      </c>
      <c r="AP22" s="108" t="n"/>
      <c r="AQ22" s="107">
        <f>AP22*100/$E$22</f>
        <v/>
      </c>
      <c r="AR22" s="108" t="n"/>
      <c r="AS22" s="107">
        <f>AR22*100/$E$22</f>
        <v/>
      </c>
      <c r="AT22" s="108" t="n"/>
      <c r="AU22" s="90">
        <f>AT22*100/$E$22</f>
        <v/>
      </c>
      <c r="AV22" s="108" t="n"/>
      <c r="AW22" s="107">
        <f>AV22*100/$E$22</f>
        <v/>
      </c>
      <c r="AX22" s="108" t="n"/>
      <c r="AY22" s="107">
        <f>AX22*100/$E$22</f>
        <v/>
      </c>
      <c r="AZ22" s="108" t="n"/>
      <c r="BA22" s="107">
        <f>AZ22*100/$E$22</f>
        <v/>
      </c>
      <c r="BB22" s="108" t="n"/>
      <c r="BC22" s="107">
        <f>BB22*100/$E$22</f>
        <v/>
      </c>
      <c r="BD22" s="108" t="n"/>
      <c r="BE22" s="107">
        <f>BD22*100/$E$22</f>
        <v/>
      </c>
      <c r="BF22" s="108" t="n"/>
      <c r="BG22" s="107">
        <f>BF22*100/$E$22</f>
        <v/>
      </c>
      <c r="BH22" s="108" t="n"/>
      <c r="BI22" s="107">
        <f>BH22*100/$E$22</f>
        <v/>
      </c>
      <c r="BJ22" s="108" t="n"/>
      <c r="BK22" s="107">
        <f>BJ22*100/$E$22</f>
        <v/>
      </c>
      <c r="BL22" s="108" t="n"/>
      <c r="BM22" s="107">
        <f>BL22*100/$E$22</f>
        <v/>
      </c>
      <c r="BN22" s="108" t="n"/>
      <c r="BO22" s="107">
        <f>BN22*100/$E$22</f>
        <v/>
      </c>
      <c r="BP22" s="108" t="n"/>
      <c r="BQ22" s="107">
        <f>BP22*100/$E$22</f>
        <v/>
      </c>
      <c r="BR22" s="108" t="n"/>
      <c r="BS22" s="107">
        <f>BR22*100/$E$22</f>
        <v/>
      </c>
      <c r="BT22" s="108" t="n"/>
      <c r="BU22" s="107">
        <f>BT22*100/$E$22</f>
        <v/>
      </c>
      <c r="BV22" s="108" t="n"/>
      <c r="BW22" s="107">
        <f>BV22*100/$E$22</f>
        <v/>
      </c>
      <c r="BX22" s="108" t="n"/>
      <c r="BY22" s="107">
        <f>BX22*100/$E$22</f>
        <v/>
      </c>
      <c r="BZ22" s="108" t="n"/>
      <c r="CA22" s="107">
        <f>BZ22*100/$E$22</f>
        <v/>
      </c>
      <c r="CB22" s="108" t="n"/>
      <c r="CC22" s="107">
        <f>CB22*100/$E$22</f>
        <v/>
      </c>
      <c r="CD22" s="108" t="n"/>
      <c r="CE22" s="107">
        <f>CD22*100/$E$22</f>
        <v/>
      </c>
      <c r="CF22" s="108" t="n"/>
      <c r="CG22" s="107">
        <f>CF22*100/$E$22</f>
        <v/>
      </c>
      <c r="CH22" s="108" t="n"/>
      <c r="CI22" s="107">
        <f>CH22*100/$E$22</f>
        <v/>
      </c>
      <c r="CJ22" s="108" t="n"/>
      <c r="CK22" s="107">
        <f>CJ22*100/$E$22</f>
        <v/>
      </c>
      <c r="CL22" s="108" t="n"/>
      <c r="CM22" s="107">
        <f>CL22*100/$E$22</f>
        <v/>
      </c>
      <c r="CN22" s="108" t="n"/>
      <c r="CO22" s="122">
        <f>CN22*100/$E$22</f>
        <v/>
      </c>
      <c r="CP22" s="108" t="n"/>
      <c r="CQ22" s="107">
        <f>CP22*100/$E$22</f>
        <v/>
      </c>
      <c r="CR22" s="108" t="n"/>
      <c r="CS22" s="122">
        <f>CR22*100/$E$22</f>
        <v/>
      </c>
      <c r="CT22" s="108" t="n"/>
      <c r="CU22" s="122">
        <f>CT22*100/$E$22</f>
        <v/>
      </c>
      <c r="CV22" s="108" t="n"/>
      <c r="CW22" s="122">
        <f>CV22*100/$E$22</f>
        <v/>
      </c>
      <c r="CX22" s="108" t="n"/>
      <c r="CY22" s="122">
        <f>CX22*100/$E$22</f>
        <v/>
      </c>
      <c r="CZ22" s="108" t="n"/>
      <c r="DA22" s="122">
        <f>CZ22*100/$E$22</f>
        <v/>
      </c>
      <c r="DB22" s="108" t="n"/>
      <c r="DC22" s="122">
        <f>DB22*100/$E$22</f>
        <v/>
      </c>
      <c r="DD22" s="108" t="n"/>
      <c r="DE22" s="122">
        <f>DD22*100/$E$22</f>
        <v/>
      </c>
      <c r="DF22" s="108" t="n"/>
      <c r="DG22" s="122">
        <f>DF22*100/$E$22</f>
        <v/>
      </c>
      <c r="DH22" s="108" t="n"/>
      <c r="DI22" s="122">
        <f>DH22*100/$E$22</f>
        <v/>
      </c>
      <c r="DJ22" s="108" t="n"/>
      <c r="DK22" s="122">
        <f>DJ22*100/$E$22</f>
        <v/>
      </c>
      <c r="DL22" s="108" t="n"/>
      <c r="DM22" s="122">
        <f>DL22*100/$E$22</f>
        <v/>
      </c>
      <c r="DN22" s="108" t="n"/>
      <c r="DO22" s="122">
        <f>DN22*100/$E$22</f>
        <v/>
      </c>
      <c r="DP22" s="108" t="n"/>
      <c r="DQ22" s="122">
        <f>DP22*100/$E$22</f>
        <v/>
      </c>
      <c r="DR22" s="108" t="n"/>
      <c r="DS22" s="107">
        <f>DR22*100/$E$22</f>
        <v/>
      </c>
      <c r="DT22" s="108" t="n"/>
      <c r="DU22" s="122">
        <f>DT22*100/$E$22</f>
        <v/>
      </c>
      <c r="DV22" s="108" t="n"/>
      <c r="DW22" s="122">
        <f>DV22*100/$E$22</f>
        <v/>
      </c>
      <c r="DX22" s="108" t="n"/>
      <c r="DY22" s="122">
        <f>DX22*100/$E$22</f>
        <v/>
      </c>
      <c r="DZ22" s="108" t="n"/>
      <c r="EA22" s="122">
        <f>DZ22*100/$E$22</f>
        <v/>
      </c>
      <c r="EB22" s="108" t="n"/>
      <c r="EC22" s="122">
        <f>EB22*100/$E$22</f>
        <v/>
      </c>
      <c r="ED22" s="108" t="n"/>
      <c r="EE22" s="122">
        <f>ED22*100/$E$22</f>
        <v/>
      </c>
      <c r="EF22" s="108" t="n"/>
      <c r="EG22" s="122">
        <f>EF22*100/$E$22</f>
        <v/>
      </c>
      <c r="EH22" s="108" t="n"/>
      <c r="EI22" s="107">
        <f>EH22*100/$E$22</f>
        <v/>
      </c>
      <c r="EJ22" s="108" t="n"/>
      <c r="EK22" s="107">
        <f>EJ22*100/$E$22</f>
        <v/>
      </c>
      <c r="EL22" s="108" t="n"/>
      <c r="EM22" s="107">
        <f>EL22*100/$E$22</f>
        <v/>
      </c>
      <c r="EN22" s="108" t="n"/>
      <c r="EO22" s="107">
        <f>EN22*100/$E$22</f>
        <v/>
      </c>
      <c r="EP22" s="108" t="n"/>
      <c r="EQ22" s="107">
        <f>EP22*100/$E$22</f>
        <v/>
      </c>
      <c r="ER22" s="108" t="n"/>
      <c r="ES22" s="107">
        <f>ER22*100/$E$22</f>
        <v/>
      </c>
      <c r="ET22" s="108" t="n"/>
      <c r="EU22" s="107">
        <f>ET22*100/$E$22</f>
        <v/>
      </c>
      <c r="EV22" s="108" t="n"/>
      <c r="EW22" s="122">
        <f>EV22*100/$E$22</f>
        <v/>
      </c>
      <c r="EX22" s="108" t="n"/>
      <c r="EY22" s="122">
        <f>EX22*100/$E$22</f>
        <v/>
      </c>
      <c r="EZ22" s="108" t="n"/>
      <c r="FA22" s="122">
        <f>EZ22*100/$E$22</f>
        <v/>
      </c>
      <c r="FB22" s="108" t="n"/>
      <c r="FC22" s="122">
        <f>FB22*100/$E$22</f>
        <v/>
      </c>
      <c r="FD22" s="108" t="n"/>
      <c r="FE22" s="122">
        <f>FD22*100/$E$22</f>
        <v/>
      </c>
      <c r="FF22" s="108" t="n"/>
      <c r="FG22" s="122">
        <f>FF22*100/$E$22</f>
        <v/>
      </c>
      <c r="FH22" s="108" t="n"/>
      <c r="FI22" s="122">
        <f>FH22*100/$E$22</f>
        <v/>
      </c>
      <c r="FJ22" s="108" t="n"/>
      <c r="FK22" s="122">
        <f>FJ22*100/$E$22</f>
        <v/>
      </c>
      <c r="FL22" s="108" t="n"/>
      <c r="FM22" s="122">
        <f>FL22*100/$E$22</f>
        <v/>
      </c>
      <c r="FN22" s="108" t="n"/>
      <c r="FO22" s="122">
        <f>FN22*100/$E$22</f>
        <v/>
      </c>
      <c r="FP22" s="108" t="n"/>
      <c r="FQ22" s="107">
        <f>FP22*100/$E$22</f>
        <v/>
      </c>
      <c r="FR22" s="108" t="n"/>
      <c r="FS22" s="107">
        <f>FR22*100/$E$22</f>
        <v/>
      </c>
      <c r="FT22" s="108" t="n"/>
      <c r="FU22" s="107">
        <f>FT22*100/$E$22</f>
        <v/>
      </c>
      <c r="FV22" s="108" t="n"/>
      <c r="FW22" s="107">
        <f>FV22*100/$E$22</f>
        <v/>
      </c>
      <c r="FX22" s="108" t="n"/>
      <c r="FY22" s="107">
        <f>FX22*100/$E$22</f>
        <v/>
      </c>
      <c r="FZ22" s="108" t="n"/>
      <c r="GA22" s="107">
        <f>FZ22*100/$E$22</f>
        <v/>
      </c>
      <c r="GB22" s="108" t="n"/>
      <c r="GC22" s="107">
        <f>GB22*100/$E$22</f>
        <v/>
      </c>
      <c r="GD22" s="108" t="n"/>
      <c r="GE22" s="107">
        <f>GD22*100/$E$22</f>
        <v/>
      </c>
      <c r="GF22" s="108" t="n"/>
      <c r="GG22" s="107">
        <f>GF22*100/$E$22</f>
        <v/>
      </c>
      <c r="GH22" s="108" t="n"/>
      <c r="GI22" s="107">
        <f>GH22*100/$E$22</f>
        <v/>
      </c>
      <c r="GJ22" s="108" t="n"/>
      <c r="GK22" s="122">
        <f>GJ22*100/$E$22</f>
        <v/>
      </c>
      <c r="GL22" s="108" t="n"/>
      <c r="GM22" s="107">
        <f>GL22*100/$E$22</f>
        <v/>
      </c>
      <c r="GN22" s="108" t="n"/>
      <c r="GO22" s="122">
        <f>GN22*100/$E$22</f>
        <v/>
      </c>
      <c r="GP22" s="108" t="n"/>
      <c r="GQ22" s="107">
        <f>GP22*100/$E$22</f>
        <v/>
      </c>
      <c r="GR22" s="108" t="n"/>
      <c r="GS22" s="122">
        <f>GR22*100/$E$22</f>
        <v/>
      </c>
      <c r="GT22" s="108" t="n"/>
      <c r="GU22" s="122">
        <f>GT22*100/$E$22</f>
        <v/>
      </c>
      <c r="GV22" s="108" t="n"/>
      <c r="GW22" s="107">
        <f>GV22*100/$E$22</f>
        <v/>
      </c>
      <c r="GX22" s="108" t="n"/>
      <c r="GY22" s="107">
        <f>GX22*100/$E$22</f>
        <v/>
      </c>
      <c r="GZ22" s="108" t="n"/>
      <c r="HA22" s="107">
        <f>GZ22*100/$E$22</f>
        <v/>
      </c>
      <c r="HB22" s="108" t="n"/>
      <c r="HC22" s="107">
        <f>HB22*100/$E$22</f>
        <v/>
      </c>
      <c r="HD22" s="108" t="n"/>
      <c r="HE22" s="107">
        <f>HD22*100/$E$22</f>
        <v/>
      </c>
      <c r="HF22" s="108" t="n"/>
      <c r="HG22" s="107">
        <f>HF22*100/$E$22</f>
        <v/>
      </c>
      <c r="HH22" s="108" t="n"/>
      <c r="HI22" s="107">
        <f>HH22*100/$E$22</f>
        <v/>
      </c>
      <c r="HJ22" s="108" t="n"/>
      <c r="HK22" s="107">
        <f>HJ22*100/$E$22</f>
        <v/>
      </c>
      <c r="HL22" s="108" t="n"/>
      <c r="HM22" s="107">
        <f>HL22*100/$E$22</f>
        <v/>
      </c>
      <c r="HN22" s="108" t="n"/>
      <c r="HO22" s="107">
        <f>HN22*100/$E$22</f>
        <v/>
      </c>
      <c r="HP22" s="108" t="n"/>
      <c r="HQ22" s="107">
        <f>HP22*100/$E$22</f>
        <v/>
      </c>
      <c r="HR22" s="108" t="n"/>
      <c r="HS22" s="107">
        <f>HR22*100/$E$22</f>
        <v/>
      </c>
      <c r="HT22" s="108" t="n"/>
      <c r="HU22" s="107">
        <f>HT22*100/$E$22</f>
        <v/>
      </c>
      <c r="HV22" s="108" t="n"/>
      <c r="HW22" s="107">
        <f>HV22*100/$E$22</f>
        <v/>
      </c>
      <c r="HX22" s="108" t="n"/>
      <c r="HY22" s="107">
        <f>HX22*100/$E$22</f>
        <v/>
      </c>
      <c r="HZ22" s="108" t="n"/>
      <c r="IA22" s="122">
        <f>HZ22*100/$E$22</f>
        <v/>
      </c>
      <c r="IB22" s="108" t="n"/>
      <c r="IC22" s="122">
        <f>IB22*100/$E$22</f>
        <v/>
      </c>
      <c r="ID22" s="108" t="n"/>
      <c r="IE22" s="122">
        <f>ID22*100/$E$22</f>
        <v/>
      </c>
      <c r="IF22" s="108" t="n"/>
      <c r="IG22" s="122">
        <f>IF22*100/$E$22</f>
        <v/>
      </c>
      <c r="IH22" s="108" t="n"/>
      <c r="II22" s="122">
        <f>IH22*100/$E$22</f>
        <v/>
      </c>
      <c r="IJ22" s="108" t="n"/>
      <c r="IK22" s="122">
        <f>IJ22*100/$E$22</f>
        <v/>
      </c>
      <c r="IL22" s="108" t="n"/>
      <c r="IM22" s="107">
        <f>IL22*100/$E$22</f>
        <v/>
      </c>
      <c r="IN22" s="108" t="n"/>
      <c r="IO22" s="107">
        <f>IN22*100/$E$22</f>
        <v/>
      </c>
      <c r="IP22" s="108" t="n"/>
      <c r="IQ22" s="122">
        <f>IP22*100/$E$22</f>
        <v/>
      </c>
      <c r="IR22" s="108" t="n"/>
      <c r="IS22" s="122">
        <f>IR22*100/$E$22</f>
        <v/>
      </c>
      <c r="IT22" s="108" t="n"/>
      <c r="IU22" s="122">
        <f>IT22*100/$E$22</f>
        <v/>
      </c>
      <c r="IV22" s="108" t="n"/>
      <c r="IW22" s="122">
        <f>IV22*100/$E$22</f>
        <v/>
      </c>
      <c r="IX22" s="108" t="n"/>
      <c r="IY22" s="122">
        <f>IX22*100/$E$22</f>
        <v/>
      </c>
      <c r="IZ22" s="108" t="n"/>
      <c r="JA22" s="122">
        <f>IZ22*100/$E$22</f>
        <v/>
      </c>
      <c r="JB22" s="108" t="n"/>
      <c r="JC22" s="122">
        <f>JB22*100/$E$22</f>
        <v/>
      </c>
      <c r="JD22" s="108" t="n"/>
      <c r="JE22" s="122">
        <f>JD22*100/$E$22</f>
        <v/>
      </c>
      <c r="JF22" s="108" t="n"/>
      <c r="JG22" s="107">
        <f>JF22*100/$E$22</f>
        <v/>
      </c>
      <c r="JH22" s="108" t="n"/>
      <c r="JI22" s="122">
        <f>JH22*100/$E$22</f>
        <v/>
      </c>
      <c r="JJ22" s="108" t="n"/>
      <c r="JK22" s="107">
        <f>JJ22*100/$E$22</f>
        <v/>
      </c>
      <c r="JL22" s="108" t="n"/>
      <c r="JM22" s="122">
        <f>JL22*100/$E$22</f>
        <v/>
      </c>
      <c r="JN22" s="108" t="n"/>
      <c r="JO22" s="107">
        <f>JN22*100/$E$22</f>
        <v/>
      </c>
      <c r="JP22" s="108" t="n"/>
      <c r="JQ22" s="107">
        <f>JP22*100/$E$22</f>
        <v/>
      </c>
      <c r="JR22" s="108" t="n"/>
      <c r="JS22" s="107">
        <f>JR22*100/$E$22</f>
        <v/>
      </c>
      <c r="JT22" s="108" t="n"/>
      <c r="JU22" s="107">
        <f>JT22*100/$E$22</f>
        <v/>
      </c>
      <c r="JV22" s="108" t="n"/>
      <c r="JW22" s="107">
        <f>JV22*100/$E$22</f>
        <v/>
      </c>
      <c r="JX22" s="108" t="n"/>
      <c r="JY22" s="107">
        <f>JX22*100/$E$22</f>
        <v/>
      </c>
      <c r="JZ22" s="55">
        <f>JN22+JP22+JR22+JT22+JV22+JX22</f>
        <v/>
      </c>
      <c r="KA22" s="53">
        <f>JO22+JQ22+JS22+JU22+JW22+JY22</f>
        <v/>
      </c>
      <c r="KB22" s="64">
        <f>H22+J22+L22+N22+P22+R22+T22+V22+X22+Z22+AB22+AD22+AF22+AH22+AJ22+AL22+AN22+AP22+AR22+AT22+AV22+AX22+AZ22+BB22+BD22+BF22+BH22+BJ22+BL22+BN22+BP22+BR22+BT22+BV22+BX22+BZ22+CB22+CD22+CF22+CH22+CZ22+DB22+DD22+DF22+DH22+DJ22+DL22+DN22+DP22+DR22+DT22+DV22+DX22+DZ22+EB22+ED22+EF22+EH22+EJ22+EL22+EN22+EP22+ER22+ET22+EV22+FN22+FP22+FR22+FT22+FV22+FX22+FZ22+GB22+GD22+GF22+GH22+GJ22+GL22+GN22+GP22+GR22+GT22+GV22+GX22+GZ22+HB22+HD22+HF22+HH22+HJ22+HL22+HN22+HP22+HR22+HT22+HV22+HX22+HZ22+IB22+ID22+IF22+IH22+IJ22+IL22+IN22+IP22+IR22+IT22+IV22+IX22+IZ22+JB22+JD22+JF22+JH22+JJ22+JL22+JZ22+CJ22+CL22+CN22+CP22+CR22+CT22+CV22+CX22+EX22+EZ22+FB22+FD22+FF22+FH22+FJ22+FL22</f>
        <v/>
      </c>
      <c r="KC22" s="66">
        <f>I22+K22+M22+O22+Q22+S22+U22+W22+Y22+AA22+AC22+AE22+AG22+AI22+AK22+AM22+AO22+AQ22+AS22+AU22+AW22+AY22+BA22+BC22+BE22+BG22+BI22+BK22+BM22+BO22+BQ22+BS22+BU22+BW22+BY22+CA22+CC22+CE22+CG22+CI22+DA22+DC22+DE22+DG22+DI22+DK22+DM22+DO22+DQ22+DS22+DU22+DW22+DY22+EA22+EC22+EE22+EG22+EI22+EK22+EM22+EO22+EQ22+ES22+EU22+EW22+FO22+FS22+FU22+FW22+FQ22+FY22+GA22+GC22+GE22+GG22+GI22+GK22+GM22+GO22+GQ22+GS22+GU22+GW22+GY22+HA22+HC22+HE22+HG22+HI22+HK22+HM22+HO22+HQ22+HS22+HU22+HW22+HY22+IA22+IC22+IE22+IG22+II22+IK22+IM22+IO22+IQ22+IS22+IU22+IW22+IY22+JA22+JC22+JE22+JG22+JI22+JK22+JM22+KA22+CK22+CM22+CO22+CQ22+CS22+CU22+CW22+CY22+EY22+FA22+FC22+FE22+FG22+FI22+FK22+FM22</f>
        <v/>
      </c>
      <c r="KD22" s="44">
        <f>JO22+JQ22+JS22+JU22+JW22+JY22</f>
        <v/>
      </c>
      <c r="KE22" s="45">
        <f>KB22=E22</f>
        <v/>
      </c>
      <c r="KF22" s="101">
        <f>E22-KB22</f>
        <v/>
      </c>
      <c r="KG22" s="17" t="n"/>
    </row>
    <row r="23" ht="21.75" customFormat="1" customHeight="1" s="17">
      <c r="A23" s="130">
        <f>A22+1</f>
        <v/>
      </c>
      <c r="B23" s="199" t="inlineStr">
        <is>
          <t>Енин К.С.</t>
        </is>
      </c>
      <c r="C23" s="200" t="inlineStr">
        <is>
          <t>токарь</t>
        </is>
      </c>
      <c r="D23" s="177">
        <f>$D$5</f>
        <v/>
      </c>
      <c r="E23" s="203" t="n"/>
      <c r="F23" s="178" t="n">
        <v>101150.45</v>
      </c>
      <c r="G23" s="52">
        <f>F23/D23</f>
        <v/>
      </c>
      <c r="H23" s="125" t="n"/>
      <c r="I23" s="107">
        <f>H23*100/$E$23</f>
        <v/>
      </c>
      <c r="J23" s="108" t="n"/>
      <c r="K23" s="107">
        <f>J23*100/$E$23</f>
        <v/>
      </c>
      <c r="L23" s="108" t="n"/>
      <c r="M23" s="107">
        <f>L23*100/$E$23</f>
        <v/>
      </c>
      <c r="N23" s="108" t="n"/>
      <c r="O23" s="107">
        <f>N23*100/$E$23</f>
        <v/>
      </c>
      <c r="P23" s="108" t="n"/>
      <c r="Q23" s="122">
        <f>P23*100/$E$23</f>
        <v/>
      </c>
      <c r="R23" s="108" t="n"/>
      <c r="S23" s="122">
        <f>R23*100/$E$23</f>
        <v/>
      </c>
      <c r="T23" s="108" t="n"/>
      <c r="U23" s="107">
        <f>T23*100/$E$23</f>
        <v/>
      </c>
      <c r="V23" s="108" t="n"/>
      <c r="W23" s="107">
        <f>V23*100/$E$23</f>
        <v/>
      </c>
      <c r="X23" s="108" t="n"/>
      <c r="Y23" s="107">
        <f>X23*100/$E$23</f>
        <v/>
      </c>
      <c r="Z23" s="108" t="n"/>
      <c r="AA23" s="107">
        <f>Z23*100/$E$23</f>
        <v/>
      </c>
      <c r="AB23" s="108" t="n"/>
      <c r="AC23" s="107">
        <f>AB23*100/$E$23</f>
        <v/>
      </c>
      <c r="AD23" s="108" t="n"/>
      <c r="AE23" s="122">
        <f>AD23*100/$E$23</f>
        <v/>
      </c>
      <c r="AF23" s="108" t="n"/>
      <c r="AG23" s="122">
        <f>AF23*100/$E$23</f>
        <v/>
      </c>
      <c r="AH23" s="108" t="n"/>
      <c r="AI23" s="107">
        <f>AH23*100/$E$23</f>
        <v/>
      </c>
      <c r="AJ23" s="108" t="n"/>
      <c r="AK23" s="107">
        <f>AJ23*100/$E$23</f>
        <v/>
      </c>
      <c r="AL23" s="108" t="n"/>
      <c r="AM23" s="107">
        <f>AL23*100/$E$23</f>
        <v/>
      </c>
      <c r="AN23" s="108" t="n"/>
      <c r="AO23" s="107">
        <f>AN23*100/$E$23</f>
        <v/>
      </c>
      <c r="AP23" s="108" t="n"/>
      <c r="AQ23" s="107">
        <f>AP23*100/$E$23</f>
        <v/>
      </c>
      <c r="AR23" s="108" t="n"/>
      <c r="AS23" s="107">
        <f>AR23*100/$E$23</f>
        <v/>
      </c>
      <c r="AT23" s="108" t="n"/>
      <c r="AU23" s="90">
        <f>AT23*100/$E$23</f>
        <v/>
      </c>
      <c r="AV23" s="108" t="n"/>
      <c r="AW23" s="107">
        <f>AV23*100/$E$23</f>
        <v/>
      </c>
      <c r="AX23" s="108" t="n"/>
      <c r="AY23" s="107">
        <f>AX23*100/$E$23</f>
        <v/>
      </c>
      <c r="AZ23" s="108" t="n"/>
      <c r="BA23" s="107">
        <f>AZ23*100/$E$23</f>
        <v/>
      </c>
      <c r="BB23" s="108" t="n"/>
      <c r="BC23" s="107">
        <f>BB23*100/$E$23</f>
        <v/>
      </c>
      <c r="BD23" s="108" t="n"/>
      <c r="BE23" s="107">
        <f>BD23*100/$E$23</f>
        <v/>
      </c>
      <c r="BF23" s="108" t="n"/>
      <c r="BG23" s="107">
        <f>BF23*100/$E$23</f>
        <v/>
      </c>
      <c r="BH23" s="108" t="n"/>
      <c r="BI23" s="107">
        <f>BH23*100/$E$23</f>
        <v/>
      </c>
      <c r="BJ23" s="108" t="n"/>
      <c r="BK23" s="107">
        <f>BJ23*100/$E$23</f>
        <v/>
      </c>
      <c r="BL23" s="108" t="n"/>
      <c r="BM23" s="107">
        <f>BL23*100/$E$23</f>
        <v/>
      </c>
      <c r="BN23" s="108" t="n"/>
      <c r="BO23" s="107">
        <f>BN23*100/$E$23</f>
        <v/>
      </c>
      <c r="BP23" s="108" t="n"/>
      <c r="BQ23" s="107">
        <f>BP23*100/$E$23</f>
        <v/>
      </c>
      <c r="BR23" s="108" t="n"/>
      <c r="BS23" s="107">
        <f>BR23*100/$E$23</f>
        <v/>
      </c>
      <c r="BT23" s="108" t="n"/>
      <c r="BU23" s="107">
        <f>BT23*100/$E$23</f>
        <v/>
      </c>
      <c r="BV23" s="108" t="n"/>
      <c r="BW23" s="107">
        <f>BV23*100/$E$23</f>
        <v/>
      </c>
      <c r="BX23" s="108" t="n"/>
      <c r="BY23" s="107">
        <f>BX23*100/$E$23</f>
        <v/>
      </c>
      <c r="BZ23" s="108" t="n"/>
      <c r="CA23" s="107">
        <f>BZ23*100/$E$23</f>
        <v/>
      </c>
      <c r="CB23" s="108" t="n"/>
      <c r="CC23" s="107">
        <f>CB23*100/$E$23</f>
        <v/>
      </c>
      <c r="CD23" s="108" t="n"/>
      <c r="CE23" s="107">
        <f>CD23*100/$E$23</f>
        <v/>
      </c>
      <c r="CF23" s="108" t="n"/>
      <c r="CG23" s="107">
        <f>CF23*100/$E$23</f>
        <v/>
      </c>
      <c r="CH23" s="108" t="n"/>
      <c r="CI23" s="107">
        <f>CH23*100/$E$23</f>
        <v/>
      </c>
      <c r="CJ23" s="108" t="n"/>
      <c r="CK23" s="107">
        <f>CJ23*100/$E$23</f>
        <v/>
      </c>
      <c r="CL23" s="108" t="n"/>
      <c r="CM23" s="107">
        <f>CL23*100/$E$23</f>
        <v/>
      </c>
      <c r="CN23" s="108" t="n"/>
      <c r="CO23" s="122">
        <f>CN23*100/$E$23</f>
        <v/>
      </c>
      <c r="CP23" s="108" t="n"/>
      <c r="CQ23" s="107">
        <f>CP23*100/$E$23</f>
        <v/>
      </c>
      <c r="CR23" s="108" t="n"/>
      <c r="CS23" s="122">
        <f>CR23*100/$E$23</f>
        <v/>
      </c>
      <c r="CT23" s="108" t="n"/>
      <c r="CU23" s="122">
        <f>CT23*100/$E$23</f>
        <v/>
      </c>
      <c r="CV23" s="108" t="n"/>
      <c r="CW23" s="122">
        <f>CV23*100/$E$23</f>
        <v/>
      </c>
      <c r="CX23" s="108" t="n"/>
      <c r="CY23" s="122">
        <f>CX23*100/$E$23</f>
        <v/>
      </c>
      <c r="CZ23" s="108" t="n"/>
      <c r="DA23" s="122">
        <f>CZ23*100/$E$23</f>
        <v/>
      </c>
      <c r="DB23" s="108" t="n"/>
      <c r="DC23" s="122">
        <f>DB23*100/$E$23</f>
        <v/>
      </c>
      <c r="DD23" s="108" t="n"/>
      <c r="DE23" s="122">
        <f>DD23*100/$E$23</f>
        <v/>
      </c>
      <c r="DF23" s="108" t="n"/>
      <c r="DG23" s="122">
        <f>DF23*100/$E$23</f>
        <v/>
      </c>
      <c r="DH23" s="108" t="n"/>
      <c r="DI23" s="122">
        <f>DH23*100/$E$23</f>
        <v/>
      </c>
      <c r="DJ23" s="108" t="n"/>
      <c r="DK23" s="122">
        <f>DJ23*100/$E$23</f>
        <v/>
      </c>
      <c r="DL23" s="108" t="n"/>
      <c r="DM23" s="122">
        <f>DL23*100/$E$23</f>
        <v/>
      </c>
      <c r="DN23" s="108" t="n"/>
      <c r="DO23" s="122">
        <f>DN23*100/$E$23</f>
        <v/>
      </c>
      <c r="DP23" s="108" t="n"/>
      <c r="DQ23" s="122">
        <f>DP23*100/$E$23</f>
        <v/>
      </c>
      <c r="DR23" s="108" t="n"/>
      <c r="DS23" s="122">
        <f>DR23*100/$E$23</f>
        <v/>
      </c>
      <c r="DT23" s="108" t="n"/>
      <c r="DU23" s="122">
        <f>DT23*100/$E$23</f>
        <v/>
      </c>
      <c r="DV23" s="108" t="n"/>
      <c r="DW23" s="122">
        <f>DV23*100/$E$23</f>
        <v/>
      </c>
      <c r="DX23" s="108" t="n"/>
      <c r="DY23" s="122">
        <f>DX23*100/$E$23</f>
        <v/>
      </c>
      <c r="DZ23" s="108" t="n"/>
      <c r="EA23" s="122">
        <f>DZ23*100/$E$23</f>
        <v/>
      </c>
      <c r="EB23" s="108" t="n"/>
      <c r="EC23" s="122">
        <f>EB23*100/$E$23</f>
        <v/>
      </c>
      <c r="ED23" s="108" t="n"/>
      <c r="EE23" s="122">
        <f>ED23*100/$E$23</f>
        <v/>
      </c>
      <c r="EF23" s="108" t="n"/>
      <c r="EG23" s="122">
        <f>EF23*100/$E$23</f>
        <v/>
      </c>
      <c r="EH23" s="108" t="n"/>
      <c r="EI23" s="122">
        <f>EH23*100/$E$23</f>
        <v/>
      </c>
      <c r="EJ23" s="108" t="n"/>
      <c r="EK23" s="122">
        <f>EJ23*100/$E$23</f>
        <v/>
      </c>
      <c r="EL23" s="108" t="n"/>
      <c r="EM23" s="122">
        <f>EL23*100/$E$23</f>
        <v/>
      </c>
      <c r="EN23" s="108" t="n"/>
      <c r="EO23" s="122">
        <f>EN23*100/$E$23</f>
        <v/>
      </c>
      <c r="EP23" s="108" t="n"/>
      <c r="EQ23" s="122">
        <f>EP23*100/$E$23</f>
        <v/>
      </c>
      <c r="ER23" s="108" t="n"/>
      <c r="ES23" s="122">
        <f>ER23*100/$E$23</f>
        <v/>
      </c>
      <c r="ET23" s="108" t="n"/>
      <c r="EU23" s="122">
        <f>ET23*100/$E$23</f>
        <v/>
      </c>
      <c r="EV23" s="108" t="n"/>
      <c r="EW23" s="122">
        <f>EV23*100/$E$23</f>
        <v/>
      </c>
      <c r="EX23" s="108" t="n"/>
      <c r="EY23" s="122">
        <f>EX23*100/$E$23</f>
        <v/>
      </c>
      <c r="EZ23" s="108" t="n"/>
      <c r="FA23" s="122">
        <f>EZ23*100/$E$23</f>
        <v/>
      </c>
      <c r="FB23" s="108" t="n"/>
      <c r="FC23" s="122">
        <f>FB23*100/$E$23</f>
        <v/>
      </c>
      <c r="FD23" s="108" t="n"/>
      <c r="FE23" s="122">
        <f>FD23*100/$E$23</f>
        <v/>
      </c>
      <c r="FF23" s="108" t="n"/>
      <c r="FG23" s="122">
        <f>FF23*100/$E$23</f>
        <v/>
      </c>
      <c r="FH23" s="108" t="n"/>
      <c r="FI23" s="122">
        <f>FH23*100/$E$23</f>
        <v/>
      </c>
      <c r="FJ23" s="108" t="n"/>
      <c r="FK23" s="122">
        <f>FJ23*100/$E$23</f>
        <v/>
      </c>
      <c r="FL23" s="108" t="n"/>
      <c r="FM23" s="122">
        <f>FL23*100/$E$23</f>
        <v/>
      </c>
      <c r="FN23" s="108" t="n"/>
      <c r="FO23" s="122">
        <f>FN23*100/$E$23</f>
        <v/>
      </c>
      <c r="FP23" s="108" t="n"/>
      <c r="FQ23" s="122">
        <f>FP23*100/$E$23</f>
        <v/>
      </c>
      <c r="FR23" s="108" t="n"/>
      <c r="FS23" s="122">
        <f>FR23*100/$E$23</f>
        <v/>
      </c>
      <c r="FT23" s="108" t="n"/>
      <c r="FU23" s="122">
        <f>FT23*100/$E$23</f>
        <v/>
      </c>
      <c r="FV23" s="108" t="n"/>
      <c r="FW23" s="122">
        <f>FV23*100/$E$23</f>
        <v/>
      </c>
      <c r="FX23" s="108" t="n"/>
      <c r="FY23" s="107">
        <f>FX23*100/$E$23</f>
        <v/>
      </c>
      <c r="FZ23" s="108" t="n"/>
      <c r="GA23" s="107">
        <f>FZ23*100/$E$23</f>
        <v/>
      </c>
      <c r="GB23" s="108" t="n"/>
      <c r="GC23" s="107">
        <f>GB23*100/$E$23</f>
        <v/>
      </c>
      <c r="GD23" s="108" t="n"/>
      <c r="GE23" s="107">
        <f>GD23*100/$E$23</f>
        <v/>
      </c>
      <c r="GF23" s="108" t="n"/>
      <c r="GG23" s="107">
        <f>GF23*100/$E$23</f>
        <v/>
      </c>
      <c r="GH23" s="108" t="n"/>
      <c r="GI23" s="107">
        <f>GH23*100/$E$23</f>
        <v/>
      </c>
      <c r="GJ23" s="108" t="n"/>
      <c r="GK23" s="122">
        <f>GJ23*100/$E$23</f>
        <v/>
      </c>
      <c r="GL23" s="108" t="n"/>
      <c r="GM23" s="107">
        <f>GL23*100/$E$23</f>
        <v/>
      </c>
      <c r="GN23" s="108" t="n"/>
      <c r="GO23" s="122">
        <f>GN23*100/$E$23</f>
        <v/>
      </c>
      <c r="GP23" s="108" t="n"/>
      <c r="GQ23" s="107">
        <f>GP23*100/$E$23</f>
        <v/>
      </c>
      <c r="GR23" s="108" t="n"/>
      <c r="GS23" s="122">
        <f>GR23*100/$E$23</f>
        <v/>
      </c>
      <c r="GT23" s="108" t="n"/>
      <c r="GU23" s="122">
        <f>GT23*100/$E$23</f>
        <v/>
      </c>
      <c r="GV23" s="108" t="n"/>
      <c r="GW23" s="122">
        <f>GV23*100/$E$23</f>
        <v/>
      </c>
      <c r="GX23" s="108" t="n"/>
      <c r="GY23" s="107">
        <f>GX23*100/$E$23</f>
        <v/>
      </c>
      <c r="GZ23" s="108" t="n"/>
      <c r="HA23" s="107">
        <f>GZ23*100/$E$23</f>
        <v/>
      </c>
      <c r="HB23" s="108" t="n"/>
      <c r="HC23" s="107">
        <f>HB23*100/$E$23</f>
        <v/>
      </c>
      <c r="HD23" s="108" t="n"/>
      <c r="HE23" s="107">
        <f>HD23*100/$E$23</f>
        <v/>
      </c>
      <c r="HF23" s="108" t="n"/>
      <c r="HG23" s="107">
        <f>HF23*100/$E$23</f>
        <v/>
      </c>
      <c r="HH23" s="108" t="n"/>
      <c r="HI23" s="107">
        <f>HH23*100/$E$23</f>
        <v/>
      </c>
      <c r="HJ23" s="108" t="n"/>
      <c r="HK23" s="107">
        <f>HJ23*100/$E$23</f>
        <v/>
      </c>
      <c r="HL23" s="108" t="n"/>
      <c r="HM23" s="107">
        <f>HL23*100/$E$23</f>
        <v/>
      </c>
      <c r="HN23" s="108" t="n"/>
      <c r="HO23" s="107">
        <f>HN23*100/$E$23</f>
        <v/>
      </c>
      <c r="HP23" s="108" t="n"/>
      <c r="HQ23" s="107">
        <f>HP23*100/$E$23</f>
        <v/>
      </c>
      <c r="HR23" s="108" t="n"/>
      <c r="HS23" s="107">
        <f>HR23*100/$E$23</f>
        <v/>
      </c>
      <c r="HT23" s="108" t="n"/>
      <c r="HU23" s="107">
        <f>HT23*100/$E$23</f>
        <v/>
      </c>
      <c r="HV23" s="108" t="n"/>
      <c r="HW23" s="107">
        <f>HV23*100/$E$23</f>
        <v/>
      </c>
      <c r="HX23" s="108" t="n"/>
      <c r="HY23" s="107">
        <f>HX23*100/$E$23</f>
        <v/>
      </c>
      <c r="HZ23" s="108" t="n"/>
      <c r="IA23" s="122">
        <f>HZ23*100/$E$23</f>
        <v/>
      </c>
      <c r="IB23" s="108" t="n"/>
      <c r="IC23" s="122">
        <f>IB23*100/$E$23</f>
        <v/>
      </c>
      <c r="ID23" s="108" t="n"/>
      <c r="IE23" s="122">
        <f>ID23*100/$E$23</f>
        <v/>
      </c>
      <c r="IF23" s="108" t="n"/>
      <c r="IG23" s="122">
        <f>IF23*100/$E$23</f>
        <v/>
      </c>
      <c r="IH23" s="108" t="n"/>
      <c r="II23" s="122">
        <f>IH23*100/$E$23</f>
        <v/>
      </c>
      <c r="IJ23" s="108" t="n"/>
      <c r="IK23" s="122">
        <f>IJ23*100/$E$23</f>
        <v/>
      </c>
      <c r="IL23" s="108" t="n"/>
      <c r="IM23" s="107">
        <f>IL23*100/$E$23</f>
        <v/>
      </c>
      <c r="IN23" s="108" t="n"/>
      <c r="IO23" s="107">
        <f>IN23*100/$E$23</f>
        <v/>
      </c>
      <c r="IP23" s="108" t="n"/>
      <c r="IQ23" s="122">
        <f>IP23*100/$E$23</f>
        <v/>
      </c>
      <c r="IR23" s="108" t="n"/>
      <c r="IS23" s="122">
        <f>IR23*100/$E$23</f>
        <v/>
      </c>
      <c r="IT23" s="108" t="n"/>
      <c r="IU23" s="122">
        <f>IT23*100/$E$23</f>
        <v/>
      </c>
      <c r="IV23" s="108" t="n"/>
      <c r="IW23" s="122">
        <f>IV23*100/$E$23</f>
        <v/>
      </c>
      <c r="IX23" s="108" t="n"/>
      <c r="IY23" s="122">
        <f>IX23*100/$E$23</f>
        <v/>
      </c>
      <c r="IZ23" s="108" t="n"/>
      <c r="JA23" s="122">
        <f>IZ23*100/$E$23</f>
        <v/>
      </c>
      <c r="JB23" s="108" t="n"/>
      <c r="JC23" s="122">
        <f>JB23*100/$E$23</f>
        <v/>
      </c>
      <c r="JD23" s="108" t="n"/>
      <c r="JE23" s="122">
        <f>JD23*100/$E$23</f>
        <v/>
      </c>
      <c r="JF23" s="108" t="n"/>
      <c r="JG23" s="122">
        <f>JF23*100/$E$23</f>
        <v/>
      </c>
      <c r="JH23" s="108" t="n"/>
      <c r="JI23" s="122">
        <f>JH23*100/$E$23</f>
        <v/>
      </c>
      <c r="JJ23" s="108" t="n"/>
      <c r="JK23" s="122">
        <f>JJ23*100/$E$23</f>
        <v/>
      </c>
      <c r="JL23" s="108" t="n"/>
      <c r="JM23" s="122">
        <f>JL23*100/$E$23</f>
        <v/>
      </c>
      <c r="JN23" s="108" t="n"/>
      <c r="JO23" s="122">
        <f>JN23*100/$E$23</f>
        <v/>
      </c>
      <c r="JP23" s="108" t="n"/>
      <c r="JQ23" s="122">
        <f>JP23*100/$E$23</f>
        <v/>
      </c>
      <c r="JR23" s="108" t="n"/>
      <c r="JS23" s="122">
        <f>JR23*100/$E$23</f>
        <v/>
      </c>
      <c r="JT23" s="108" t="n"/>
      <c r="JU23" s="122">
        <f>JT23*100/$E$23</f>
        <v/>
      </c>
      <c r="JV23" s="108" t="n"/>
      <c r="JW23" s="122">
        <f>JV23*100/$E$23</f>
        <v/>
      </c>
      <c r="JX23" s="108" t="n"/>
      <c r="JY23" s="122">
        <f>JX23*100/$E$23</f>
        <v/>
      </c>
      <c r="JZ23" s="55">
        <f>JN23+JP23+JR23+JT23+JV23+JX23</f>
        <v/>
      </c>
      <c r="KA23" s="53">
        <f>JO23+JQ23+JS23+JU23+JW23+JY23</f>
        <v/>
      </c>
      <c r="KB23" s="64">
        <f>H23+J23+L23+N23+P23+R23+T23+V23+X23+Z23+AB23+AD23+AF23+AH23+AJ23+AL23+AN23+AP23+AR23+AT23+AV23+AX23+AZ23+BB23+BD23+BF23+BH23+BJ23+BL23+BN23+BP23+BR23+BT23+BV23+BX23+BZ23+CB23+CD23+CF23+CH23+CZ23+DB23+DD23+DF23+DH23+DJ23+DL23+DN23+DP23+DR23+DT23+DV23+DX23+DZ23+EB23+ED23+EF23+EH23+EJ23+EL23+EN23+EP23+ER23+ET23+EV23+FN23+FP23+FR23+FT23+FV23+FX23+FZ23+GB23+GD23+GF23+GH23+GJ23+GL23+GN23+GP23+GR23+GT23+GV23+GX23+GZ23+HB23+HD23+HF23+HH23+HJ23+HL23+HN23+HP23+HR23+HT23+HV23+HX23+HZ23+IB23+ID23+IF23+IH23+IJ23+IL23+IN23+IP23+IR23+IT23+IV23+IX23+IZ23+JB23+JD23+JF23+JH23+JJ23+JL23+JZ23+CJ23+CL23+CN23+CP23+CR23+CT23+CV23+CX23+EX23+EZ23+FB23+FD23+FF23+FH23+FJ23+FL23</f>
        <v/>
      </c>
      <c r="KC23" s="66">
        <f>I23+K23+M23+O23+Q23+S23+U23+W23+Y23+AA23+AC23+AE23+AG23+AI23+AK23+AM23+AO23+AQ23+AS23+AU23+AW23+AY23+BA23+BC23+BE23+BG23+BI23+BK23+BM23+BO23+BQ23+BS23+BU23+BW23+BY23+CA23+CC23+CE23+CG23+CI23+DA23+DC23+DE23+DG23+DI23+DK23+DM23+DO23+DQ23+DS23+DU23+DW23+DY23+EA23+EC23+EE23+EG23+EI23+EK23+EM23+EO23+EQ23+ES23+EU23+EW23+FO23+FS23+FU23+FW23+FQ23+FY23+GA23+GC23+GE23+GG23+GI23+GK23+GM23+GO23+GQ23+GS23+GU23+GW23+GY23+HA23+HC23+HE23+HG23+HI23+HK23+HM23+HO23+HQ23+HS23+HU23+HW23+HY23+IA23+IC23+IE23+IG23+II23+IK23+IM23+IO23+IQ23+IS23+IU23+IW23+IY23+JA23+JC23+JE23+JG23+JI23+JK23+JM23+KA23+CK23+CM23+CO23+CQ23+CS23+CU23+CW23+CY23+EY23+FA23+FC23+FE23+FG23+FI23+FK23+FM23</f>
        <v/>
      </c>
      <c r="KD23" s="44">
        <f>JO23+JQ23+JS23+JU23+JW23+JY23</f>
        <v/>
      </c>
      <c r="KE23" s="45">
        <f>KB23=E23</f>
        <v/>
      </c>
      <c r="KF23" s="101">
        <f>E23-KB23</f>
        <v/>
      </c>
      <c r="KG23" s="14" t="n"/>
    </row>
    <row r="24" ht="21.75" customFormat="1" customHeight="1" s="17">
      <c r="A24" s="130">
        <f>A23+1</f>
        <v/>
      </c>
      <c r="B24" s="199" t="inlineStr">
        <is>
          <t>Иванов А.И.</t>
        </is>
      </c>
      <c r="C24" s="200" t="inlineStr">
        <is>
          <t>токарь</t>
        </is>
      </c>
      <c r="D24" s="177">
        <f>$D$5</f>
        <v/>
      </c>
      <c r="E24" s="203" t="n"/>
      <c r="F24" s="178" t="n">
        <v>101150.45</v>
      </c>
      <c r="G24" s="52">
        <f>F24/D24</f>
        <v/>
      </c>
      <c r="H24" s="125" t="n"/>
      <c r="I24" s="122">
        <f>H24*100/$E$24</f>
        <v/>
      </c>
      <c r="J24" s="108" t="n"/>
      <c r="K24" s="122">
        <f>J24*100/$E$24</f>
        <v/>
      </c>
      <c r="L24" s="108" t="n"/>
      <c r="M24" s="122">
        <f>L24*100/$E$24</f>
        <v/>
      </c>
      <c r="N24" s="108" t="n"/>
      <c r="O24" s="122">
        <f>N24*100/$E$24</f>
        <v/>
      </c>
      <c r="P24" s="108" t="n"/>
      <c r="Q24" s="122">
        <f>P24*100/$E$24</f>
        <v/>
      </c>
      <c r="R24" s="108" t="n"/>
      <c r="S24" s="122">
        <f>R24*100/$E$24</f>
        <v/>
      </c>
      <c r="T24" s="108" t="n"/>
      <c r="U24" s="122">
        <f>T24*100/$E$24</f>
        <v/>
      </c>
      <c r="V24" s="108" t="n"/>
      <c r="W24" s="122">
        <f>V24*100/$E$24</f>
        <v/>
      </c>
      <c r="X24" s="108" t="n"/>
      <c r="Y24" s="122">
        <f>X24*100/$E$24</f>
        <v/>
      </c>
      <c r="Z24" s="108" t="n"/>
      <c r="AA24" s="122">
        <f>Z24*100/$E$24</f>
        <v/>
      </c>
      <c r="AB24" s="108" t="n"/>
      <c r="AC24" s="122">
        <f>AB24*100/$E$24</f>
        <v/>
      </c>
      <c r="AD24" s="108" t="n"/>
      <c r="AE24" s="122">
        <f>AD24*100/$E$24</f>
        <v/>
      </c>
      <c r="AF24" s="108" t="n"/>
      <c r="AG24" s="122">
        <f>AF24*100/$E$24</f>
        <v/>
      </c>
      <c r="AH24" s="108" t="n"/>
      <c r="AI24" s="122">
        <f>AH24*100/$E$24</f>
        <v/>
      </c>
      <c r="AJ24" s="108" t="n"/>
      <c r="AK24" s="122">
        <f>AJ24*100/$E$24</f>
        <v/>
      </c>
      <c r="AL24" s="108" t="n"/>
      <c r="AM24" s="122">
        <f>AL24*100/$E$24</f>
        <v/>
      </c>
      <c r="AN24" s="108" t="n"/>
      <c r="AO24" s="122">
        <f>AN24*100/$E$24</f>
        <v/>
      </c>
      <c r="AP24" s="108" t="n"/>
      <c r="AQ24" s="122">
        <f>AP24*100/$E$24</f>
        <v/>
      </c>
      <c r="AR24" s="108" t="n"/>
      <c r="AS24" s="122">
        <f>AR24*100/$E$24</f>
        <v/>
      </c>
      <c r="AT24" s="108" t="n"/>
      <c r="AU24" s="90">
        <f>AT24*100/$E$24</f>
        <v/>
      </c>
      <c r="AV24" s="108" t="n"/>
      <c r="AW24" s="122">
        <f>AV24*100/$E$24</f>
        <v/>
      </c>
      <c r="AX24" s="108" t="n"/>
      <c r="AY24" s="122">
        <f>AX24*100/$E$24</f>
        <v/>
      </c>
      <c r="AZ24" s="108" t="n"/>
      <c r="BA24" s="122">
        <f>AZ24*100/$E$24</f>
        <v/>
      </c>
      <c r="BB24" s="108" t="n"/>
      <c r="BC24" s="122">
        <f>BB24*100/$E$24</f>
        <v/>
      </c>
      <c r="BD24" s="108" t="n"/>
      <c r="BE24" s="122">
        <f>BD24*100/$E$24</f>
        <v/>
      </c>
      <c r="BF24" s="108" t="n"/>
      <c r="BG24" s="122">
        <f>BF24*100/$E$24</f>
        <v/>
      </c>
      <c r="BH24" s="108" t="n"/>
      <c r="BI24" s="122">
        <f>BH24*100/$E$24</f>
        <v/>
      </c>
      <c r="BJ24" s="108" t="n"/>
      <c r="BK24" s="122">
        <f>BJ24*100/$E$24</f>
        <v/>
      </c>
      <c r="BL24" s="108" t="n"/>
      <c r="BM24" s="122">
        <f>BL24*100/$E$24</f>
        <v/>
      </c>
      <c r="BN24" s="108" t="n"/>
      <c r="BO24" s="122">
        <f>BN24*100/$E$24</f>
        <v/>
      </c>
      <c r="BP24" s="108" t="n"/>
      <c r="BQ24" s="122">
        <f>BP24*100/$E$24</f>
        <v/>
      </c>
      <c r="BR24" s="108" t="n"/>
      <c r="BS24" s="122">
        <f>BR24*100/$E$24</f>
        <v/>
      </c>
      <c r="BT24" s="108" t="n"/>
      <c r="BU24" s="122">
        <f>BT24*100/$E$24</f>
        <v/>
      </c>
      <c r="BV24" s="108" t="n"/>
      <c r="BW24" s="122">
        <f>BV24*100/$E$24</f>
        <v/>
      </c>
      <c r="BX24" s="108" t="n"/>
      <c r="BY24" s="122">
        <f>BX24*100/$E$24</f>
        <v/>
      </c>
      <c r="BZ24" s="108" t="n"/>
      <c r="CA24" s="122">
        <f>BZ24*100/$E$24</f>
        <v/>
      </c>
      <c r="CB24" s="108" t="n"/>
      <c r="CC24" s="122">
        <f>CB24*100/$E$24</f>
        <v/>
      </c>
      <c r="CD24" s="108" t="n"/>
      <c r="CE24" s="122">
        <f>CD24*100/$E$24</f>
        <v/>
      </c>
      <c r="CF24" s="108" t="n"/>
      <c r="CG24" s="122">
        <f>CF24*100/$E$24</f>
        <v/>
      </c>
      <c r="CH24" s="108" t="n"/>
      <c r="CI24" s="122">
        <f>CH24*100/$E$24</f>
        <v/>
      </c>
      <c r="CJ24" s="108" t="n"/>
      <c r="CK24" s="122">
        <f>CJ24*100/$E$24</f>
        <v/>
      </c>
      <c r="CL24" s="108" t="n"/>
      <c r="CM24" s="122">
        <f>CL24*100/$E$24</f>
        <v/>
      </c>
      <c r="CN24" s="108" t="n"/>
      <c r="CO24" s="122">
        <f>CN24*100/$E$24</f>
        <v/>
      </c>
      <c r="CP24" s="108" t="n"/>
      <c r="CQ24" s="122">
        <f>CP24*100/$E$24</f>
        <v/>
      </c>
      <c r="CR24" s="108" t="n"/>
      <c r="CS24" s="122">
        <f>CR24*100/$E$24</f>
        <v/>
      </c>
      <c r="CT24" s="108" t="n"/>
      <c r="CU24" s="122">
        <f>CT24*100/$E$24</f>
        <v/>
      </c>
      <c r="CV24" s="108" t="n"/>
      <c r="CW24" s="122">
        <f>CV24*100/$E$24</f>
        <v/>
      </c>
      <c r="CX24" s="108" t="n"/>
      <c r="CY24" s="122">
        <f>CX24*100/$E$24</f>
        <v/>
      </c>
      <c r="CZ24" s="108" t="n"/>
      <c r="DA24" s="122">
        <f>CZ24*100/$E$24</f>
        <v/>
      </c>
      <c r="DB24" s="108" t="n"/>
      <c r="DC24" s="122">
        <f>DB24*100/$E$24</f>
        <v/>
      </c>
      <c r="DD24" s="108" t="n"/>
      <c r="DE24" s="122">
        <f>DD24*100/$E$24</f>
        <v/>
      </c>
      <c r="DF24" s="108" t="n"/>
      <c r="DG24" s="122">
        <f>DF24*100/$E$24</f>
        <v/>
      </c>
      <c r="DH24" s="108" t="n"/>
      <c r="DI24" s="122">
        <f>DH24*100/$E$24</f>
        <v/>
      </c>
      <c r="DJ24" s="108" t="n"/>
      <c r="DK24" s="122">
        <f>DJ24*100/$E$24</f>
        <v/>
      </c>
      <c r="DL24" s="108" t="n"/>
      <c r="DM24" s="122">
        <f>DL24*100/$E$24</f>
        <v/>
      </c>
      <c r="DN24" s="108" t="n"/>
      <c r="DO24" s="122">
        <f>DN24*100/$E$24</f>
        <v/>
      </c>
      <c r="DP24" s="108" t="n"/>
      <c r="DQ24" s="122">
        <f>DP24*100/$E$24</f>
        <v/>
      </c>
      <c r="DR24" s="108" t="n"/>
      <c r="DS24" s="122">
        <f>DR24*100/$E$24</f>
        <v/>
      </c>
      <c r="DT24" s="108" t="n"/>
      <c r="DU24" s="122">
        <f>DT24*100/$E$24</f>
        <v/>
      </c>
      <c r="DV24" s="108" t="n"/>
      <c r="DW24" s="122">
        <f>DV24*100/$E$24</f>
        <v/>
      </c>
      <c r="DX24" s="108" t="n"/>
      <c r="DY24" s="122">
        <f>DX24*100/$E$24</f>
        <v/>
      </c>
      <c r="DZ24" s="108" t="n"/>
      <c r="EA24" s="122">
        <f>DZ24*100/$E$24</f>
        <v/>
      </c>
      <c r="EB24" s="108" t="n"/>
      <c r="EC24" s="122">
        <f>EB24*100/$E$24</f>
        <v/>
      </c>
      <c r="ED24" s="108" t="n"/>
      <c r="EE24" s="122">
        <f>ED24*100/$E$24</f>
        <v/>
      </c>
      <c r="EF24" s="108" t="n"/>
      <c r="EG24" s="122">
        <f>EF24*100/$E$24</f>
        <v/>
      </c>
      <c r="EH24" s="108" t="n"/>
      <c r="EI24" s="122">
        <f>EH24*100/$E$24</f>
        <v/>
      </c>
      <c r="EJ24" s="108" t="n"/>
      <c r="EK24" s="122">
        <f>EJ24*100/$E$24</f>
        <v/>
      </c>
      <c r="EL24" s="108" t="n"/>
      <c r="EM24" s="122">
        <f>EL24*100/$E$24</f>
        <v/>
      </c>
      <c r="EN24" s="108" t="n"/>
      <c r="EO24" s="122">
        <f>EN24*100/$E$24</f>
        <v/>
      </c>
      <c r="EP24" s="108" t="n"/>
      <c r="EQ24" s="122">
        <f>EP24*100/$E$24</f>
        <v/>
      </c>
      <c r="ER24" s="108" t="n"/>
      <c r="ES24" s="122">
        <f>ER24*100/$E$24</f>
        <v/>
      </c>
      <c r="ET24" s="108" t="n"/>
      <c r="EU24" s="122">
        <f>ET24*100/$E$24</f>
        <v/>
      </c>
      <c r="EV24" s="108" t="n"/>
      <c r="EW24" s="122">
        <f>EV24*100/$E$24</f>
        <v/>
      </c>
      <c r="EX24" s="108" t="n"/>
      <c r="EY24" s="122">
        <f>EX24*100/$E$24</f>
        <v/>
      </c>
      <c r="EZ24" s="108" t="n"/>
      <c r="FA24" s="122">
        <f>EZ24*100/$E$24</f>
        <v/>
      </c>
      <c r="FB24" s="108" t="n"/>
      <c r="FC24" s="122">
        <f>FB24*100/$E$24</f>
        <v/>
      </c>
      <c r="FD24" s="108" t="n"/>
      <c r="FE24" s="122">
        <f>FD24*100/$E$24</f>
        <v/>
      </c>
      <c r="FF24" s="108" t="n"/>
      <c r="FG24" s="122">
        <f>FF24*100/$E$24</f>
        <v/>
      </c>
      <c r="FH24" s="108" t="n"/>
      <c r="FI24" s="122">
        <f>FH24*100/$E$24</f>
        <v/>
      </c>
      <c r="FJ24" s="108" t="n"/>
      <c r="FK24" s="122">
        <f>FJ24*100/$E$24</f>
        <v/>
      </c>
      <c r="FL24" s="108" t="n"/>
      <c r="FM24" s="122">
        <f>FL24*100/$E$24</f>
        <v/>
      </c>
      <c r="FN24" s="108" t="n"/>
      <c r="FO24" s="122">
        <f>FN24*100/$E$24</f>
        <v/>
      </c>
      <c r="FP24" s="108" t="n"/>
      <c r="FQ24" s="122">
        <f>FP24*100/$E$24</f>
        <v/>
      </c>
      <c r="FR24" s="108" t="n"/>
      <c r="FS24" s="122">
        <f>FR24*100/$E$24</f>
        <v/>
      </c>
      <c r="FT24" s="108" t="n"/>
      <c r="FU24" s="122">
        <f>FT24*100/$E$24</f>
        <v/>
      </c>
      <c r="FV24" s="108" t="n"/>
      <c r="FW24" s="122">
        <f>FV24*100/$E$24</f>
        <v/>
      </c>
      <c r="FX24" s="108" t="n"/>
      <c r="FY24" s="122">
        <f>FX24*100/$E$24</f>
        <v/>
      </c>
      <c r="FZ24" s="108" t="n"/>
      <c r="GA24" s="122">
        <f>FZ24*100/$E$24</f>
        <v/>
      </c>
      <c r="GB24" s="108" t="n"/>
      <c r="GC24" s="122">
        <f>GB24*100/$E$24</f>
        <v/>
      </c>
      <c r="GD24" s="108" t="n"/>
      <c r="GE24" s="122">
        <f>GD24*100/$E$24</f>
        <v/>
      </c>
      <c r="GF24" s="108" t="n"/>
      <c r="GG24" s="122">
        <f>GF24*100/$E$24</f>
        <v/>
      </c>
      <c r="GH24" s="108" t="n"/>
      <c r="GI24" s="122">
        <f>GH24*100/$E$24</f>
        <v/>
      </c>
      <c r="GJ24" s="108" t="n"/>
      <c r="GK24" s="122">
        <f>GJ24*100/$E$24</f>
        <v/>
      </c>
      <c r="GL24" s="108" t="n"/>
      <c r="GM24" s="122">
        <f>GL24*100/$E$24</f>
        <v/>
      </c>
      <c r="GN24" s="108" t="n"/>
      <c r="GO24" s="122">
        <f>GN24*100/$E$24</f>
        <v/>
      </c>
      <c r="GP24" s="108" t="n"/>
      <c r="GQ24" s="122">
        <f>GP24*100/$E$24</f>
        <v/>
      </c>
      <c r="GR24" s="108" t="n"/>
      <c r="GS24" s="122">
        <f>GR24*100/$E$24</f>
        <v/>
      </c>
      <c r="GT24" s="108" t="n"/>
      <c r="GU24" s="122">
        <f>GT24*100/$E$24</f>
        <v/>
      </c>
      <c r="GV24" s="108" t="n"/>
      <c r="GW24" s="122">
        <f>GV24*100/$E$24</f>
        <v/>
      </c>
      <c r="GX24" s="108" t="n"/>
      <c r="GY24" s="122">
        <f>GX24*100/$E$24</f>
        <v/>
      </c>
      <c r="GZ24" s="108" t="n"/>
      <c r="HA24" s="122">
        <f>GZ24*100/$E$24</f>
        <v/>
      </c>
      <c r="HB24" s="108" t="n"/>
      <c r="HC24" s="122">
        <f>HB24*100/$E$24</f>
        <v/>
      </c>
      <c r="HD24" s="108" t="n"/>
      <c r="HE24" s="122">
        <f>HD24*100/$E$24</f>
        <v/>
      </c>
      <c r="HF24" s="108" t="n"/>
      <c r="HG24" s="122">
        <f>HF24*100/$E$24</f>
        <v/>
      </c>
      <c r="HH24" s="108" t="n"/>
      <c r="HI24" s="122">
        <f>HH24*100/$E$24</f>
        <v/>
      </c>
      <c r="HJ24" s="108" t="n"/>
      <c r="HK24" s="122">
        <f>HJ24*100/$E$24</f>
        <v/>
      </c>
      <c r="HL24" s="108" t="n"/>
      <c r="HM24" s="122">
        <f>HL24*100/$E$24</f>
        <v/>
      </c>
      <c r="HN24" s="108" t="n"/>
      <c r="HO24" s="122">
        <f>HN24*100/$E$24</f>
        <v/>
      </c>
      <c r="HP24" s="108" t="n"/>
      <c r="HQ24" s="122">
        <f>HP24*100/$E$24</f>
        <v/>
      </c>
      <c r="HR24" s="108" t="n"/>
      <c r="HS24" s="122">
        <f>HR24*100/$E$24</f>
        <v/>
      </c>
      <c r="HT24" s="108" t="n"/>
      <c r="HU24" s="122">
        <f>HT24*100/$E$24</f>
        <v/>
      </c>
      <c r="HV24" s="108" t="n"/>
      <c r="HW24" s="122">
        <f>HV24*100/$E$24</f>
        <v/>
      </c>
      <c r="HX24" s="108" t="n"/>
      <c r="HY24" s="122">
        <f>HX24*100/$E$24</f>
        <v/>
      </c>
      <c r="HZ24" s="108" t="n"/>
      <c r="IA24" s="122">
        <f>HZ24*100/$E$24</f>
        <v/>
      </c>
      <c r="IB24" s="108" t="n"/>
      <c r="IC24" s="122">
        <f>IB24*100/$E$24</f>
        <v/>
      </c>
      <c r="ID24" s="108" t="n"/>
      <c r="IE24" s="122">
        <f>ID24*100/$E$24</f>
        <v/>
      </c>
      <c r="IF24" s="108" t="n"/>
      <c r="IG24" s="122">
        <f>IF24*100/$E$24</f>
        <v/>
      </c>
      <c r="IH24" s="108" t="n"/>
      <c r="II24" s="122">
        <f>IH24*100/$E$24</f>
        <v/>
      </c>
      <c r="IJ24" s="108" t="n"/>
      <c r="IK24" s="122">
        <f>IJ24*100/$E$24</f>
        <v/>
      </c>
      <c r="IL24" s="108" t="n"/>
      <c r="IM24" s="122">
        <f>IL24*100/$E$24</f>
        <v/>
      </c>
      <c r="IN24" s="108" t="n"/>
      <c r="IO24" s="122">
        <f>IN24*100/$E$24</f>
        <v/>
      </c>
      <c r="IP24" s="108" t="n"/>
      <c r="IQ24" s="122">
        <f>IP24*100/$E$24</f>
        <v/>
      </c>
      <c r="IR24" s="108" t="n"/>
      <c r="IS24" s="122">
        <f>IR24*100/$E$24</f>
        <v/>
      </c>
      <c r="IT24" s="108" t="n"/>
      <c r="IU24" s="122">
        <f>IT24*100/$E$24</f>
        <v/>
      </c>
      <c r="IV24" s="108" t="n"/>
      <c r="IW24" s="122">
        <f>IV24*100/$E$24</f>
        <v/>
      </c>
      <c r="IX24" s="108" t="n"/>
      <c r="IY24" s="122">
        <f>IX24*100/$E$24</f>
        <v/>
      </c>
      <c r="IZ24" s="108" t="n"/>
      <c r="JA24" s="122">
        <f>IZ24*100/$E$24</f>
        <v/>
      </c>
      <c r="JB24" s="108" t="n"/>
      <c r="JC24" s="122">
        <f>JB24*100/$E$24</f>
        <v/>
      </c>
      <c r="JD24" s="108" t="n"/>
      <c r="JE24" s="122">
        <f>JD24*100/$E$24</f>
        <v/>
      </c>
      <c r="JF24" s="108" t="n"/>
      <c r="JG24" s="122">
        <f>JF24*100/$E$24</f>
        <v/>
      </c>
      <c r="JH24" s="108" t="n"/>
      <c r="JI24" s="122">
        <f>JH24*100/$E$24</f>
        <v/>
      </c>
      <c r="JJ24" s="108" t="n"/>
      <c r="JK24" s="122">
        <f>JJ24*100/$E$24</f>
        <v/>
      </c>
      <c r="JL24" s="108" t="n"/>
      <c r="JM24" s="122">
        <f>JL24*100/$E$24</f>
        <v/>
      </c>
      <c r="JN24" s="108" t="n"/>
      <c r="JO24" s="122">
        <f>JN24*100/$E$24</f>
        <v/>
      </c>
      <c r="JP24" s="108" t="n"/>
      <c r="JQ24" s="122">
        <f>JP24*100/$E$24</f>
        <v/>
      </c>
      <c r="JR24" s="108" t="n"/>
      <c r="JS24" s="122">
        <f>JR24*100/$E$24</f>
        <v/>
      </c>
      <c r="JT24" s="108" t="n"/>
      <c r="JU24" s="122">
        <f>JT24*100/$E$24</f>
        <v/>
      </c>
      <c r="JV24" s="108" t="n"/>
      <c r="JW24" s="122">
        <f>JV24*100/$E$24</f>
        <v/>
      </c>
      <c r="JX24" s="108" t="n"/>
      <c r="JY24" s="122">
        <f>JX24*100/$E$24</f>
        <v/>
      </c>
      <c r="JZ24" s="55">
        <f>JN24+JP24+JR24+JT24+JV24+JX24</f>
        <v/>
      </c>
      <c r="KA24" s="53">
        <f>JO24+JQ24+JS24+JU24+JW24+JY24</f>
        <v/>
      </c>
      <c r="KB24" s="64">
        <f>H24+J24+L24+N24+P24+R24+T24+V24+X24+Z24+AB24+AD24+AF24+AH24+AJ24+AL24+AN24+AP24+AR24+AT24+AV24+AX24+AZ24+BB24+BD24+BF24+BH24+BJ24+BL24+BN24+BP24+BR24+BT24+BV24+BX24+BZ24+CB24+CD24+CF24+CH24+CZ24+DB24+DD24+DF24+DH24+DJ24+DL24+DN24+DP24+DR24+DT24+DV24+DX24+DZ24+EB24+ED24+EF24+EH24+EJ24+EL24+EN24+EP24+ER24+ET24+EV24+FN24+FP24+FR24+FT24+FV24+FX24+FZ24+GB24+GD24+GF24+GH24+GJ24+GL24+GN24+GP24+GR24+GT24+GV24+GX24+GZ24+HB24+HD24+HF24+HH24+HJ24+HL24+HN24+HP24+HR24+HT24+HV24+HX24+HZ24+IB24+ID24+IF24+IH24+IJ24+IL24+IN24+IP24+IR24+IT24+IV24+IX24+IZ24+JB24+JD24+JF24+JH24+JJ24+JL24+JZ24+CJ24+CL24+CN24+CP24+CR24+CT24+CV24+CX24+EX24+EZ24+FB24+FD24+FF24+FH24+FJ24+FL24</f>
        <v/>
      </c>
      <c r="KC24" s="66">
        <f>I24+K24+M24+O24+Q24+S24+U24+W24+Y24+AA24+AC24+AE24+AG24+AI24+AK24+AM24+AO24+AQ24+AS24+AU24+AW24+AY24+BA24+BC24+BE24+BG24+BI24+BK24+BM24+BO24+BQ24+BS24+BU24+BW24+BY24+CA24+CC24+CE24+CG24+CI24+DA24+DC24+DE24+DG24+DI24+DK24+DM24+DO24+DQ24+DS24+DU24+DW24+DY24+EA24+EC24+EE24+EG24+EI24+EK24+EM24+EO24+EQ24+ES24+EU24+EW24+FO24+FS24+FU24+FW24+FQ24+FY24+GA24+GC24+GE24+GG24+GI24+GK24+GM24+GO24+GQ24+GS24+GU24+GW24+GY24+HA24+HC24+HE24+HG24+HI24+HK24+HM24+HO24+HQ24+HS24+HU24+HW24+HY24+IA24+IC24+IE24+IG24+II24+IK24+IM24+IO24+IQ24+IS24+IU24+IW24+IY24+JA24+JC24+JE24+JG24+JI24+JK24+JM24+KA24+CK24+CM24+CO24+CQ24+CS24+CU24+CW24+CY24+EY24+FA24+FC24+FE24+FG24+FI24+FK24+FM24</f>
        <v/>
      </c>
      <c r="KD24" s="44">
        <f>JO24+JQ24+JS24+JU24+JW24+JY24</f>
        <v/>
      </c>
      <c r="KE24" s="45">
        <f>KB24=E24</f>
        <v/>
      </c>
      <c r="KF24" s="101">
        <f>E24-KB24</f>
        <v/>
      </c>
      <c r="KG24" s="67" t="n"/>
    </row>
    <row r="25" ht="21.75" customFormat="1" customHeight="1" s="18">
      <c r="A25" s="130">
        <f>A24+1</f>
        <v/>
      </c>
      <c r="B25" s="199" t="inlineStr">
        <is>
          <t>Ившин К.С.</t>
        </is>
      </c>
      <c r="C25" s="176" t="inlineStr">
        <is>
          <t>сварщик</t>
        </is>
      </c>
      <c r="D25" s="177">
        <f>$D$5</f>
        <v/>
      </c>
      <c r="E25" s="202" t="n"/>
      <c r="F25" s="178" t="n">
        <v>61252.7</v>
      </c>
      <c r="G25" s="52">
        <f>F25/D25</f>
        <v/>
      </c>
      <c r="H25" s="125" t="n"/>
      <c r="I25" s="107">
        <f>H25*100/$E$25</f>
        <v/>
      </c>
      <c r="J25" s="108" t="n"/>
      <c r="K25" s="107">
        <f>J25*100/$E$25</f>
        <v/>
      </c>
      <c r="L25" s="108" t="n"/>
      <c r="M25" s="107">
        <f>L25*100/$E$25</f>
        <v/>
      </c>
      <c r="N25" s="108" t="n"/>
      <c r="O25" s="107">
        <f>N25*100/$E$25</f>
        <v/>
      </c>
      <c r="P25" s="108" t="n"/>
      <c r="Q25" s="122">
        <f>P25*100/$E$25</f>
        <v/>
      </c>
      <c r="R25" s="108" t="n"/>
      <c r="S25" s="122">
        <f>R25*100/$E$25</f>
        <v/>
      </c>
      <c r="T25" s="108" t="n"/>
      <c r="U25" s="107">
        <f>T25*100/$E$25</f>
        <v/>
      </c>
      <c r="V25" s="108" t="n"/>
      <c r="W25" s="107">
        <f>V25*100/$E$25</f>
        <v/>
      </c>
      <c r="X25" s="108" t="n"/>
      <c r="Y25" s="107">
        <f>X25*100/$E$25</f>
        <v/>
      </c>
      <c r="Z25" s="108" t="n"/>
      <c r="AA25" s="107">
        <f>Z25*100/$E$25</f>
        <v/>
      </c>
      <c r="AB25" s="108" t="n"/>
      <c r="AC25" s="107">
        <f>AB25*100/$E$25</f>
        <v/>
      </c>
      <c r="AD25" s="108" t="n"/>
      <c r="AE25" s="122">
        <f>AD25*100/$E$25</f>
        <v/>
      </c>
      <c r="AF25" s="108" t="n"/>
      <c r="AG25" s="122">
        <f>AF25*100/$E$25</f>
        <v/>
      </c>
      <c r="AH25" s="108" t="n"/>
      <c r="AI25" s="107">
        <f>AH25*100/$E$25</f>
        <v/>
      </c>
      <c r="AJ25" s="108" t="n"/>
      <c r="AK25" s="107">
        <f>AJ25*100/$E$25</f>
        <v/>
      </c>
      <c r="AL25" s="108" t="n"/>
      <c r="AM25" s="107">
        <f>AL25*100/$E$25</f>
        <v/>
      </c>
      <c r="AN25" s="108" t="n"/>
      <c r="AO25" s="107">
        <f>AN25*100/$E$25</f>
        <v/>
      </c>
      <c r="AP25" s="108" t="n"/>
      <c r="AQ25" s="107">
        <f>AP25*100/$E$25</f>
        <v/>
      </c>
      <c r="AR25" s="108" t="n"/>
      <c r="AS25" s="107">
        <f>AR25*100/$E$25</f>
        <v/>
      </c>
      <c r="AT25" s="108" t="n"/>
      <c r="AU25" s="90">
        <f>AT25*100/$E$25</f>
        <v/>
      </c>
      <c r="AV25" s="108" t="n"/>
      <c r="AW25" s="107">
        <f>AV25*100/$E$25</f>
        <v/>
      </c>
      <c r="AX25" s="108" t="n"/>
      <c r="AY25" s="107">
        <f>AX25*100/$E$25</f>
        <v/>
      </c>
      <c r="AZ25" s="108" t="n"/>
      <c r="BA25" s="107">
        <f>AZ25*100/$E$25</f>
        <v/>
      </c>
      <c r="BB25" s="108" t="n"/>
      <c r="BC25" s="107">
        <f>BB25*100/$E$25</f>
        <v/>
      </c>
      <c r="BD25" s="108" t="n"/>
      <c r="BE25" s="107">
        <f>BD25*100/$E$25</f>
        <v/>
      </c>
      <c r="BF25" s="108" t="n"/>
      <c r="BG25" s="107">
        <f>BF25*100/$E$25</f>
        <v/>
      </c>
      <c r="BH25" s="108" t="n"/>
      <c r="BI25" s="107">
        <f>BH25*100/$E$25</f>
        <v/>
      </c>
      <c r="BJ25" s="108" t="n"/>
      <c r="BK25" s="107">
        <f>BJ25*100/$E$25</f>
        <v/>
      </c>
      <c r="BL25" s="108" t="n"/>
      <c r="BM25" s="107">
        <f>BL25*100/$E$25</f>
        <v/>
      </c>
      <c r="BN25" s="108" t="n"/>
      <c r="BO25" s="107">
        <f>BN25*100/$E$25</f>
        <v/>
      </c>
      <c r="BP25" s="108" t="n"/>
      <c r="BQ25" s="107">
        <f>BP25*100/$E$25</f>
        <v/>
      </c>
      <c r="BR25" s="108" t="n"/>
      <c r="BS25" s="107">
        <f>BR25*100/$E$25</f>
        <v/>
      </c>
      <c r="BT25" s="108" t="n"/>
      <c r="BU25" s="107">
        <f>BT25*100/$E$25</f>
        <v/>
      </c>
      <c r="BV25" s="108" t="n"/>
      <c r="BW25" s="107">
        <f>BV25*100/$E$25</f>
        <v/>
      </c>
      <c r="BX25" s="108" t="n"/>
      <c r="BY25" s="107">
        <f>BX25*100/$E$25</f>
        <v/>
      </c>
      <c r="BZ25" s="108" t="n"/>
      <c r="CA25" s="107">
        <f>BZ25*100/$E$25</f>
        <v/>
      </c>
      <c r="CB25" s="108" t="n"/>
      <c r="CC25" s="107">
        <f>CB25*100/$E$25</f>
        <v/>
      </c>
      <c r="CD25" s="108" t="n"/>
      <c r="CE25" s="107">
        <f>CD25*100/$E$25</f>
        <v/>
      </c>
      <c r="CF25" s="108" t="n"/>
      <c r="CG25" s="107">
        <f>CF25*100/$E$25</f>
        <v/>
      </c>
      <c r="CH25" s="108" t="n"/>
      <c r="CI25" s="107">
        <f>CH25*100/$E$25</f>
        <v/>
      </c>
      <c r="CJ25" s="108" t="n"/>
      <c r="CK25" s="107">
        <f>CJ25*100/$E$25</f>
        <v/>
      </c>
      <c r="CL25" s="108" t="n"/>
      <c r="CM25" s="107">
        <f>CL25*100/$E$25</f>
        <v/>
      </c>
      <c r="CN25" s="108" t="n"/>
      <c r="CO25" s="122">
        <f>CN25*100/$E$25</f>
        <v/>
      </c>
      <c r="CP25" s="108" t="n"/>
      <c r="CQ25" s="107">
        <f>CP25*100/$E$25</f>
        <v/>
      </c>
      <c r="CR25" s="108" t="n"/>
      <c r="CS25" s="122">
        <f>CR25*100/$E$25</f>
        <v/>
      </c>
      <c r="CT25" s="108" t="n"/>
      <c r="CU25" s="122">
        <f>CT25*100/$E$25</f>
        <v/>
      </c>
      <c r="CV25" s="108" t="n"/>
      <c r="CW25" s="122">
        <f>CV25*100/$E$25</f>
        <v/>
      </c>
      <c r="CX25" s="108" t="n"/>
      <c r="CY25" s="122">
        <f>CX25*100/$E$25</f>
        <v/>
      </c>
      <c r="CZ25" s="108" t="n"/>
      <c r="DA25" s="122">
        <f>CZ25*100/$E$25</f>
        <v/>
      </c>
      <c r="DB25" s="108" t="n"/>
      <c r="DC25" s="122">
        <f>DB25*100/$E$25</f>
        <v/>
      </c>
      <c r="DD25" s="108" t="n"/>
      <c r="DE25" s="122">
        <f>DD25*100/$E$25</f>
        <v/>
      </c>
      <c r="DF25" s="108" t="n"/>
      <c r="DG25" s="122">
        <f>DF25*100/$E$25</f>
        <v/>
      </c>
      <c r="DH25" s="108" t="n"/>
      <c r="DI25" s="122">
        <f>DH25*100/$E$25</f>
        <v/>
      </c>
      <c r="DJ25" s="108" t="n"/>
      <c r="DK25" s="122">
        <f>DJ25*100/$E$25</f>
        <v/>
      </c>
      <c r="DL25" s="108" t="n"/>
      <c r="DM25" s="122">
        <f>DL25*100/$E$25</f>
        <v/>
      </c>
      <c r="DN25" s="108" t="n"/>
      <c r="DO25" s="122">
        <f>DN25*100/$E$25</f>
        <v/>
      </c>
      <c r="DP25" s="108" t="n"/>
      <c r="DQ25" s="122">
        <f>DP25*100/$E$25</f>
        <v/>
      </c>
      <c r="DR25" s="108" t="n"/>
      <c r="DS25" s="122">
        <f>DR25*100/$E$25</f>
        <v/>
      </c>
      <c r="DT25" s="108" t="n"/>
      <c r="DU25" s="122">
        <f>DT25*100/$E$25</f>
        <v/>
      </c>
      <c r="DV25" s="108" t="n"/>
      <c r="DW25" s="122">
        <f>DV25*100/$E$25</f>
        <v/>
      </c>
      <c r="DX25" s="108" t="n"/>
      <c r="DY25" s="122">
        <f>DX25*100/$E$25</f>
        <v/>
      </c>
      <c r="DZ25" s="108" t="n"/>
      <c r="EA25" s="122">
        <f>DZ25*100/$E$25</f>
        <v/>
      </c>
      <c r="EB25" s="108" t="n"/>
      <c r="EC25" s="122">
        <f>EB25*100/$E$25</f>
        <v/>
      </c>
      <c r="ED25" s="108" t="n"/>
      <c r="EE25" s="122">
        <f>ED25*100/$E$25</f>
        <v/>
      </c>
      <c r="EF25" s="108" t="n"/>
      <c r="EG25" s="122">
        <f>EF25*100/$E$25</f>
        <v/>
      </c>
      <c r="EH25" s="108" t="n"/>
      <c r="EI25" s="122">
        <f>EH25*100/$E$25</f>
        <v/>
      </c>
      <c r="EJ25" s="108" t="n"/>
      <c r="EK25" s="122">
        <f>EJ25*100/$E$25</f>
        <v/>
      </c>
      <c r="EL25" s="108" t="n"/>
      <c r="EM25" s="122">
        <f>EL25*100/$E$25</f>
        <v/>
      </c>
      <c r="EN25" s="108" t="n"/>
      <c r="EO25" s="122">
        <f>EN25*100/$E$25</f>
        <v/>
      </c>
      <c r="EP25" s="108" t="n"/>
      <c r="EQ25" s="122">
        <f>EP25*100/$E$25</f>
        <v/>
      </c>
      <c r="ER25" s="108" t="n"/>
      <c r="ES25" s="122">
        <f>ER25*100/$E$25</f>
        <v/>
      </c>
      <c r="ET25" s="108" t="n"/>
      <c r="EU25" s="122">
        <f>ET25*100/$E$25</f>
        <v/>
      </c>
      <c r="EV25" s="108" t="n"/>
      <c r="EW25" s="122">
        <f>EV25*100/$E$25</f>
        <v/>
      </c>
      <c r="EX25" s="108" t="n"/>
      <c r="EY25" s="122">
        <f>EX25*100/$E$25</f>
        <v/>
      </c>
      <c r="EZ25" s="108" t="n"/>
      <c r="FA25" s="122">
        <f>EZ25*100/$E$25</f>
        <v/>
      </c>
      <c r="FB25" s="108" t="n"/>
      <c r="FC25" s="122">
        <f>FB25*100/$E$25</f>
        <v/>
      </c>
      <c r="FD25" s="108" t="n"/>
      <c r="FE25" s="122">
        <f>FD25*100/$E$25</f>
        <v/>
      </c>
      <c r="FF25" s="108" t="n"/>
      <c r="FG25" s="122">
        <f>FF25*100/$E$25</f>
        <v/>
      </c>
      <c r="FH25" s="108" t="n"/>
      <c r="FI25" s="122">
        <f>FH25*100/$E$25</f>
        <v/>
      </c>
      <c r="FJ25" s="108" t="n"/>
      <c r="FK25" s="122">
        <f>FJ25*100/$E$25</f>
        <v/>
      </c>
      <c r="FL25" s="108" t="n"/>
      <c r="FM25" s="122">
        <f>FL25*100/$E$25</f>
        <v/>
      </c>
      <c r="FN25" s="108" t="n"/>
      <c r="FO25" s="122">
        <f>FN25*100/$E$25</f>
        <v/>
      </c>
      <c r="FP25" s="108" t="n"/>
      <c r="FQ25" s="122">
        <f>FP25*100/$E$25</f>
        <v/>
      </c>
      <c r="FR25" s="108" t="n"/>
      <c r="FS25" s="122">
        <f>FR25*100/$E$25</f>
        <v/>
      </c>
      <c r="FT25" s="108" t="n"/>
      <c r="FU25" s="122">
        <f>FT25*100/$E$25</f>
        <v/>
      </c>
      <c r="FV25" s="108" t="n"/>
      <c r="FW25" s="122">
        <f>FV25*100/$E$25</f>
        <v/>
      </c>
      <c r="FX25" s="108" t="n"/>
      <c r="FY25" s="107">
        <f>FX25*100/$E$25</f>
        <v/>
      </c>
      <c r="FZ25" s="108" t="n"/>
      <c r="GA25" s="107">
        <f>FZ25*100/$E$25</f>
        <v/>
      </c>
      <c r="GB25" s="108" t="n"/>
      <c r="GC25" s="107">
        <f>GB25*100/$E$25</f>
        <v/>
      </c>
      <c r="GD25" s="108" t="n"/>
      <c r="GE25" s="107">
        <f>GD25*100/$E$25</f>
        <v/>
      </c>
      <c r="GF25" s="108" t="n"/>
      <c r="GG25" s="107">
        <f>GF25*100/$E$25</f>
        <v/>
      </c>
      <c r="GH25" s="108" t="n"/>
      <c r="GI25" s="107">
        <f>GH25*100/$E$25</f>
        <v/>
      </c>
      <c r="GJ25" s="108" t="n"/>
      <c r="GK25" s="122">
        <f>GJ25*100/$E$25</f>
        <v/>
      </c>
      <c r="GL25" s="108" t="n"/>
      <c r="GM25" s="107">
        <f>GL25*100/$E$25</f>
        <v/>
      </c>
      <c r="GN25" s="108" t="n"/>
      <c r="GO25" s="122">
        <f>GN25*100/$E$25</f>
        <v/>
      </c>
      <c r="GP25" s="108" t="n"/>
      <c r="GQ25" s="107">
        <f>GP25*100/$E$25</f>
        <v/>
      </c>
      <c r="GR25" s="108" t="n"/>
      <c r="GS25" s="122">
        <f>GR25*100/$E$25</f>
        <v/>
      </c>
      <c r="GT25" s="108" t="n"/>
      <c r="GU25" s="122">
        <f>GT25*100/$E$25</f>
        <v/>
      </c>
      <c r="GV25" s="108" t="n"/>
      <c r="GW25" s="122">
        <f>GV25*100/$E$25</f>
        <v/>
      </c>
      <c r="GX25" s="108" t="n"/>
      <c r="GY25" s="107">
        <f>GX25*100/$E$25</f>
        <v/>
      </c>
      <c r="GZ25" s="108" t="n"/>
      <c r="HA25" s="107">
        <f>GZ25*100/$E$25</f>
        <v/>
      </c>
      <c r="HB25" s="108" t="n"/>
      <c r="HC25" s="107">
        <f>HB25*100/$E$25</f>
        <v/>
      </c>
      <c r="HD25" s="108" t="n"/>
      <c r="HE25" s="107">
        <f>HD25*100/$E$25</f>
        <v/>
      </c>
      <c r="HF25" s="108" t="n"/>
      <c r="HG25" s="107">
        <f>HF25*100/$E$25</f>
        <v/>
      </c>
      <c r="HH25" s="108" t="n"/>
      <c r="HI25" s="107">
        <f>HH25*100/$E$25</f>
        <v/>
      </c>
      <c r="HJ25" s="108" t="n"/>
      <c r="HK25" s="107">
        <f>HJ25*100/$E$25</f>
        <v/>
      </c>
      <c r="HL25" s="108" t="n"/>
      <c r="HM25" s="107">
        <f>HL25*100/$E$25</f>
        <v/>
      </c>
      <c r="HN25" s="108" t="n"/>
      <c r="HO25" s="107">
        <f>HN25*100/$E$25</f>
        <v/>
      </c>
      <c r="HP25" s="108" t="n"/>
      <c r="HQ25" s="107">
        <f>HP25*100/$E$25</f>
        <v/>
      </c>
      <c r="HR25" s="108" t="n"/>
      <c r="HS25" s="107">
        <f>HR25*100/$E$25</f>
        <v/>
      </c>
      <c r="HT25" s="108" t="n"/>
      <c r="HU25" s="107">
        <f>HT25*100/$E$25</f>
        <v/>
      </c>
      <c r="HV25" s="108" t="n"/>
      <c r="HW25" s="107">
        <f>HV25*100/$E$25</f>
        <v/>
      </c>
      <c r="HX25" s="108" t="n"/>
      <c r="HY25" s="107">
        <f>HX25*100/$E$25</f>
        <v/>
      </c>
      <c r="HZ25" s="108" t="n"/>
      <c r="IA25" s="122">
        <f>HZ25*100/$E$25</f>
        <v/>
      </c>
      <c r="IB25" s="108" t="n"/>
      <c r="IC25" s="122">
        <f>IB25*100/$E$25</f>
        <v/>
      </c>
      <c r="ID25" s="108" t="n"/>
      <c r="IE25" s="122">
        <f>ID25*100/$E$25</f>
        <v/>
      </c>
      <c r="IF25" s="108" t="n"/>
      <c r="IG25" s="122">
        <f>IF25*100/$E$25</f>
        <v/>
      </c>
      <c r="IH25" s="108" t="n"/>
      <c r="II25" s="122">
        <f>IH25*100/$E$25</f>
        <v/>
      </c>
      <c r="IJ25" s="108" t="n"/>
      <c r="IK25" s="122">
        <f>IJ25*100/$E$25</f>
        <v/>
      </c>
      <c r="IL25" s="108" t="n"/>
      <c r="IM25" s="107">
        <f>IL25*100/$E$25</f>
        <v/>
      </c>
      <c r="IN25" s="108" t="n"/>
      <c r="IO25" s="107">
        <f>IN25*100/$E$25</f>
        <v/>
      </c>
      <c r="IP25" s="108" t="n"/>
      <c r="IQ25" s="122">
        <f>IP25*100/$E$25</f>
        <v/>
      </c>
      <c r="IR25" s="108" t="n"/>
      <c r="IS25" s="122">
        <f>IR25*100/$E$25</f>
        <v/>
      </c>
      <c r="IT25" s="108" t="n"/>
      <c r="IU25" s="122">
        <f>IT25*100/$E$25</f>
        <v/>
      </c>
      <c r="IV25" s="108" t="n"/>
      <c r="IW25" s="122">
        <f>IV25*100/$E$25</f>
        <v/>
      </c>
      <c r="IX25" s="108" t="n"/>
      <c r="IY25" s="122">
        <f>IX25*100/$E$25</f>
        <v/>
      </c>
      <c r="IZ25" s="108" t="n"/>
      <c r="JA25" s="122">
        <f>IZ25*100/$E$25</f>
        <v/>
      </c>
      <c r="JB25" s="108" t="n"/>
      <c r="JC25" s="122">
        <f>JB25*100/$E$25</f>
        <v/>
      </c>
      <c r="JD25" s="108" t="n"/>
      <c r="JE25" s="122">
        <f>JD25*100/$E$25</f>
        <v/>
      </c>
      <c r="JF25" s="108" t="n"/>
      <c r="JG25" s="122">
        <f>JF25*100/$E$25</f>
        <v/>
      </c>
      <c r="JH25" s="108" t="n"/>
      <c r="JI25" s="122">
        <f>JH25*100/$E$25</f>
        <v/>
      </c>
      <c r="JJ25" s="108" t="n"/>
      <c r="JK25" s="122">
        <f>JJ25*100/$E$25</f>
        <v/>
      </c>
      <c r="JL25" s="108" t="n"/>
      <c r="JM25" s="122">
        <f>JL25*100/$E$25</f>
        <v/>
      </c>
      <c r="JN25" s="108" t="n"/>
      <c r="JO25" s="122">
        <f>JN25*100/$E$25</f>
        <v/>
      </c>
      <c r="JP25" s="108" t="n"/>
      <c r="JQ25" s="122">
        <f>JP25*100/$E$25</f>
        <v/>
      </c>
      <c r="JR25" s="108" t="n"/>
      <c r="JS25" s="122">
        <f>JR25*100/$E$25</f>
        <v/>
      </c>
      <c r="JT25" s="108" t="n"/>
      <c r="JU25" s="122">
        <f>JT25*100/$E$25</f>
        <v/>
      </c>
      <c r="JV25" s="108" t="n"/>
      <c r="JW25" s="122">
        <f>JV25*100/$E$25</f>
        <v/>
      </c>
      <c r="JX25" s="108" t="n"/>
      <c r="JY25" s="122">
        <f>JX25*100/$E$25</f>
        <v/>
      </c>
      <c r="JZ25" s="55">
        <f>JN25+JP25+JR25+JT25+JV25+JX25</f>
        <v/>
      </c>
      <c r="KA25" s="53">
        <f>JO25+JQ25+JS25+JU25+JW25+JY25</f>
        <v/>
      </c>
      <c r="KB25" s="64">
        <f>H25+J25+L25+N25+P25+R25+T25+V25+X25+Z25+AB25+AD25+AF25+AH25+AJ25+AL25+AN25+AP25+AR25+AT25+AV25+AX25+AZ25+BB25+BD25+BF25+BH25+BJ25+BL25+BN25+BP25+BR25+BT25+BV25+BX25+BZ25+CB25+CD25+CF25+CH25+CZ25+DB25+DD25+DF25+DH25+DJ25+DL25+DN25+DP25+DR25+DT25+DV25+DX25+DZ25+EB25+ED25+EF25+EH25+EJ25+EL25+EN25+EP25+ER25+ET25+EV25+FN25+FP25+FR25+FT25+FV25+FX25+FZ25+GB25+GD25+GF25+GH25+GJ25+GL25+GN25+GP25+GR25+GT25+GV25+GX25+GZ25+HB25+HD25+HF25+HH25+HJ25+HL25+HN25+HP25+HR25+HT25+HV25+HX25+HZ25+IB25+ID25+IF25+IH25+IJ25+IL25+IN25+IP25+IR25+IT25+IV25+IX25+IZ25+JB25+JD25+JF25+JH25+JJ25+JL25+JZ25+CJ25+CL25+CN25+CP25+CR25+CT25+CV25+CX25+EX25+EZ25+FB25+FD25+FF25+FH25+FJ25+FL25</f>
        <v/>
      </c>
      <c r="KC25" s="66">
        <f>I25+K25+M25+O25+Q25+S25+U25+W25+Y25+AA25+AC25+AE25+AG25+AI25+AK25+AM25+AO25+AQ25+AS25+AU25+AW25+AY25+BA25+BC25+BE25+BG25+BI25+BK25+BM25+BO25+BQ25+BS25+BU25+BW25+BY25+CA25+CC25+CE25+CG25+CI25+DA25+DC25+DE25+DG25+DI25+DK25+DM25+DO25+DQ25+DS25+DU25+DW25+DY25+EA25+EC25+EE25+EG25+EI25+EK25+EM25+EO25+EQ25+ES25+EU25+EW25+FO25+FS25+FU25+FW25+FQ25+FY25+GA25+GC25+GE25+GG25+GI25+GK25+GM25+GO25+GQ25+GS25+GU25+GW25+GY25+HA25+HC25+HE25+HG25+HI25+HK25+HM25+HO25+HQ25+HS25+HU25+HW25+HY25+IA25+IC25+IE25+IG25+II25+IK25+IM25+IO25+IQ25+IS25+IU25+IW25+IY25+JA25+JC25+JE25+JG25+JI25+JK25+JM25+KA25+CK25+CM25+CO25+CQ25+CS25+CU25+CW25+CY25+EY25+FA25+FC25+FE25+FG25+FI25+FK25+FM25</f>
        <v/>
      </c>
      <c r="KD25" s="44">
        <f>JO25+JQ25+JS25+JU25+JW25+JY25</f>
        <v/>
      </c>
      <c r="KE25" s="46">
        <f>KB25=E25</f>
        <v/>
      </c>
      <c r="KF25" s="101">
        <f>E25-KB25</f>
        <v/>
      </c>
      <c r="KG25" s="19" t="n"/>
      <c r="KH25" s="11" t="n"/>
      <c r="KI25" s="11" t="n"/>
      <c r="KJ25" s="11" t="n"/>
      <c r="KK25" s="11" t="n"/>
      <c r="KL25" s="11" t="n"/>
      <c r="KM25" s="11" t="n"/>
      <c r="KN25" s="11" t="n"/>
      <c r="KO25" s="11" t="n"/>
    </row>
    <row r="26" ht="21.75" customFormat="1" customHeight="1" s="19">
      <c r="A26" s="126">
        <f>A25+1</f>
        <v/>
      </c>
      <c r="B26" s="192" t="inlineStr">
        <is>
          <t>Капичников А.С.</t>
        </is>
      </c>
      <c r="C26" s="176" t="inlineStr">
        <is>
          <t>слесарь</t>
        </is>
      </c>
      <c r="D26" s="177">
        <f>$D$5</f>
        <v/>
      </c>
      <c r="E26" s="202" t="n"/>
      <c r="F26" s="178" t="n">
        <v>68902.87</v>
      </c>
      <c r="G26" s="52">
        <f>F26/D26</f>
        <v/>
      </c>
      <c r="H26" s="125" t="n"/>
      <c r="I26" s="107">
        <f>H26*100/$E$26</f>
        <v/>
      </c>
      <c r="J26" s="108" t="n"/>
      <c r="K26" s="107">
        <f>J26*100/$E$26</f>
        <v/>
      </c>
      <c r="L26" s="108" t="n"/>
      <c r="M26" s="107">
        <f>L26*100/$E$26</f>
        <v/>
      </c>
      <c r="N26" s="108" t="n"/>
      <c r="O26" s="107">
        <f>N26*100/$E$26</f>
        <v/>
      </c>
      <c r="P26" s="108" t="n"/>
      <c r="Q26" s="122">
        <f>P26*100/$E$26</f>
        <v/>
      </c>
      <c r="R26" s="108" t="n"/>
      <c r="S26" s="122">
        <f>R26*100/$E$26</f>
        <v/>
      </c>
      <c r="T26" s="108" t="n"/>
      <c r="U26" s="107">
        <f>T26*100/$E$26</f>
        <v/>
      </c>
      <c r="V26" s="108" t="n"/>
      <c r="W26" s="107">
        <f>V26*100/$E$26</f>
        <v/>
      </c>
      <c r="X26" s="108" t="n"/>
      <c r="Y26" s="107">
        <f>X26*100/$E$26</f>
        <v/>
      </c>
      <c r="Z26" s="108" t="n"/>
      <c r="AA26" s="107">
        <f>Z26*100/$E$26</f>
        <v/>
      </c>
      <c r="AB26" s="108" t="n"/>
      <c r="AC26" s="107">
        <f>AB26*100/$E$26</f>
        <v/>
      </c>
      <c r="AD26" s="108" t="n"/>
      <c r="AE26" s="122">
        <f>AD26*100/$E$26</f>
        <v/>
      </c>
      <c r="AF26" s="108" t="n"/>
      <c r="AG26" s="122">
        <f>AF26*100/$E$26</f>
        <v/>
      </c>
      <c r="AH26" s="108" t="n"/>
      <c r="AI26" s="107">
        <f>AH26*100/$E$26</f>
        <v/>
      </c>
      <c r="AJ26" s="108" t="n"/>
      <c r="AK26" s="107">
        <f>AJ26*100/$E$26</f>
        <v/>
      </c>
      <c r="AL26" s="108" t="n"/>
      <c r="AM26" s="107">
        <f>AL26*100/$E$26</f>
        <v/>
      </c>
      <c r="AN26" s="108" t="n"/>
      <c r="AO26" s="107">
        <f>AN26*100/$E$26</f>
        <v/>
      </c>
      <c r="AP26" s="108" t="n"/>
      <c r="AQ26" s="107">
        <f>AP26*100/$E$26</f>
        <v/>
      </c>
      <c r="AR26" s="108" t="n"/>
      <c r="AS26" s="107">
        <f>AR26*100/$E$26</f>
        <v/>
      </c>
      <c r="AT26" s="108" t="n"/>
      <c r="AU26" s="90">
        <f>AT26*100/$E$26</f>
        <v/>
      </c>
      <c r="AV26" s="108" t="n"/>
      <c r="AW26" s="107">
        <f>AV26*100/$E$26</f>
        <v/>
      </c>
      <c r="AX26" s="108" t="n"/>
      <c r="AY26" s="107">
        <f>AX26*100/$E$26</f>
        <v/>
      </c>
      <c r="AZ26" s="108" t="n"/>
      <c r="BA26" s="107">
        <f>AZ26*100/$E$26</f>
        <v/>
      </c>
      <c r="BB26" s="108" t="n"/>
      <c r="BC26" s="107">
        <f>BB26*100/$E$26</f>
        <v/>
      </c>
      <c r="BD26" s="108" t="n"/>
      <c r="BE26" s="107">
        <f>BD26*100/$E$26</f>
        <v/>
      </c>
      <c r="BF26" s="108" t="n"/>
      <c r="BG26" s="107">
        <f>BF26*100/$E$26</f>
        <v/>
      </c>
      <c r="BH26" s="108" t="n"/>
      <c r="BI26" s="107">
        <f>BH26*100/$E$26</f>
        <v/>
      </c>
      <c r="BJ26" s="108" t="n"/>
      <c r="BK26" s="107">
        <f>BJ26*100/$E$26</f>
        <v/>
      </c>
      <c r="BL26" s="108" t="n"/>
      <c r="BM26" s="107">
        <f>BL26*100/$E$26</f>
        <v/>
      </c>
      <c r="BN26" s="108" t="n"/>
      <c r="BO26" s="107">
        <f>BN26*100/$E$26</f>
        <v/>
      </c>
      <c r="BP26" s="108" t="n"/>
      <c r="BQ26" s="107">
        <f>BP26*100/$E$26</f>
        <v/>
      </c>
      <c r="BR26" s="108" t="n"/>
      <c r="BS26" s="107">
        <f>BR26*100/$E$26</f>
        <v/>
      </c>
      <c r="BT26" s="108" t="n"/>
      <c r="BU26" s="107">
        <f>BT26*100/$E$26</f>
        <v/>
      </c>
      <c r="BV26" s="108" t="n"/>
      <c r="BW26" s="107">
        <f>BV26*100/$E$26</f>
        <v/>
      </c>
      <c r="BX26" s="108" t="n"/>
      <c r="BY26" s="107">
        <f>BX26*100/$E$26</f>
        <v/>
      </c>
      <c r="BZ26" s="108" t="n"/>
      <c r="CA26" s="107">
        <f>BZ26*100/$E$26</f>
        <v/>
      </c>
      <c r="CB26" s="108" t="n"/>
      <c r="CC26" s="107">
        <f>CB26*100/$E$26</f>
        <v/>
      </c>
      <c r="CD26" s="108" t="n"/>
      <c r="CE26" s="107">
        <f>CD26*100/$E$26</f>
        <v/>
      </c>
      <c r="CF26" s="108" t="n"/>
      <c r="CG26" s="107">
        <f>CF26*100/$E$26</f>
        <v/>
      </c>
      <c r="CH26" s="108" t="n"/>
      <c r="CI26" s="107">
        <f>CH26*100/$E$26</f>
        <v/>
      </c>
      <c r="CJ26" s="108" t="n"/>
      <c r="CK26" s="107">
        <f>CJ26*100/$E$26</f>
        <v/>
      </c>
      <c r="CL26" s="108" t="n"/>
      <c r="CM26" s="107">
        <f>CL26*100/$E$26</f>
        <v/>
      </c>
      <c r="CN26" s="108" t="n"/>
      <c r="CO26" s="122">
        <f>CN26*100/$E$26</f>
        <v/>
      </c>
      <c r="CP26" s="108" t="n"/>
      <c r="CQ26" s="107">
        <f>CP26*100/$E$26</f>
        <v/>
      </c>
      <c r="CR26" s="108" t="n"/>
      <c r="CS26" s="122">
        <f>CR26*100/$E$26</f>
        <v/>
      </c>
      <c r="CT26" s="108" t="n"/>
      <c r="CU26" s="122">
        <f>CT26*100/$E$26</f>
        <v/>
      </c>
      <c r="CV26" s="108" t="n"/>
      <c r="CW26" s="122">
        <f>CV26*100/$E$26</f>
        <v/>
      </c>
      <c r="CX26" s="108" t="n"/>
      <c r="CY26" s="122">
        <f>CX26*100/$E$26</f>
        <v/>
      </c>
      <c r="CZ26" s="108" t="n"/>
      <c r="DA26" s="122">
        <f>CZ26*100/$E$26</f>
        <v/>
      </c>
      <c r="DB26" s="108" t="n"/>
      <c r="DC26" s="122">
        <f>DB26*100/$E$26</f>
        <v/>
      </c>
      <c r="DD26" s="108" t="n"/>
      <c r="DE26" s="122">
        <f>DD26*100/$E$26</f>
        <v/>
      </c>
      <c r="DF26" s="108" t="n"/>
      <c r="DG26" s="122">
        <f>DF26*100/$E$26</f>
        <v/>
      </c>
      <c r="DH26" s="108" t="n"/>
      <c r="DI26" s="122">
        <f>DH26*100/$E$26</f>
        <v/>
      </c>
      <c r="DJ26" s="108" t="n"/>
      <c r="DK26" s="122">
        <f>DJ26*100/$E$26</f>
        <v/>
      </c>
      <c r="DL26" s="108" t="n"/>
      <c r="DM26" s="122">
        <f>DL26*100/$E$26</f>
        <v/>
      </c>
      <c r="DN26" s="108" t="n"/>
      <c r="DO26" s="122">
        <f>DN26*100/$E$26</f>
        <v/>
      </c>
      <c r="DP26" s="108" t="n"/>
      <c r="DQ26" s="122">
        <f>DP26*100/$E$26</f>
        <v/>
      </c>
      <c r="DR26" s="108" t="n"/>
      <c r="DS26" s="122">
        <f>DR26*100/$E$26</f>
        <v/>
      </c>
      <c r="DT26" s="108" t="n"/>
      <c r="DU26" s="122">
        <f>DT26*100/$E$26</f>
        <v/>
      </c>
      <c r="DV26" s="108" t="n"/>
      <c r="DW26" s="122">
        <f>DV26*100/$E$26</f>
        <v/>
      </c>
      <c r="DX26" s="108" t="n"/>
      <c r="DY26" s="122">
        <f>DX26*100/$E$26</f>
        <v/>
      </c>
      <c r="DZ26" s="108" t="n"/>
      <c r="EA26" s="122">
        <f>DZ26*100/$E$26</f>
        <v/>
      </c>
      <c r="EB26" s="108" t="n"/>
      <c r="EC26" s="122">
        <f>EB26*100/$E$26</f>
        <v/>
      </c>
      <c r="ED26" s="108" t="n"/>
      <c r="EE26" s="122">
        <f>ED26*100/$E$26</f>
        <v/>
      </c>
      <c r="EF26" s="108" t="n"/>
      <c r="EG26" s="122">
        <f>EF26*100/$E$26</f>
        <v/>
      </c>
      <c r="EH26" s="108" t="n"/>
      <c r="EI26" s="122">
        <f>EH26*100/$E$26</f>
        <v/>
      </c>
      <c r="EJ26" s="108" t="n"/>
      <c r="EK26" s="122">
        <f>EJ26*100/$E$26</f>
        <v/>
      </c>
      <c r="EL26" s="108" t="n"/>
      <c r="EM26" s="122">
        <f>EL26*100/$E$26</f>
        <v/>
      </c>
      <c r="EN26" s="108" t="n"/>
      <c r="EO26" s="122">
        <f>EN26*100/$E$26</f>
        <v/>
      </c>
      <c r="EP26" s="108" t="n"/>
      <c r="EQ26" s="122">
        <f>EP26*100/$E$26</f>
        <v/>
      </c>
      <c r="ER26" s="108" t="n"/>
      <c r="ES26" s="122">
        <f>ER26*100/$E$26</f>
        <v/>
      </c>
      <c r="ET26" s="108" t="n"/>
      <c r="EU26" s="122">
        <f>ET26*100/$E$26</f>
        <v/>
      </c>
      <c r="EV26" s="108" t="n"/>
      <c r="EW26" s="122">
        <f>EV26*100/$E$26</f>
        <v/>
      </c>
      <c r="EX26" s="108" t="n"/>
      <c r="EY26" s="122">
        <f>EX26*100/$E$26</f>
        <v/>
      </c>
      <c r="EZ26" s="108" t="n"/>
      <c r="FA26" s="122">
        <f>EZ26*100/$E$26</f>
        <v/>
      </c>
      <c r="FB26" s="108" t="n"/>
      <c r="FC26" s="122">
        <f>FB26*100/$E$26</f>
        <v/>
      </c>
      <c r="FD26" s="108" t="n"/>
      <c r="FE26" s="122">
        <f>FD26*100/$E$26</f>
        <v/>
      </c>
      <c r="FF26" s="108" t="n"/>
      <c r="FG26" s="122">
        <f>FF26*100/$E$26</f>
        <v/>
      </c>
      <c r="FH26" s="108" t="n"/>
      <c r="FI26" s="122">
        <f>FH26*100/$E$26</f>
        <v/>
      </c>
      <c r="FJ26" s="108" t="n"/>
      <c r="FK26" s="122">
        <f>FJ26*100/$E$26</f>
        <v/>
      </c>
      <c r="FL26" s="108" t="n"/>
      <c r="FM26" s="122">
        <f>FL26*100/$E$26</f>
        <v/>
      </c>
      <c r="FN26" s="108" t="n"/>
      <c r="FO26" s="122">
        <f>FN26*100/$E$26</f>
        <v/>
      </c>
      <c r="FP26" s="108" t="n"/>
      <c r="FQ26" s="122">
        <f>FP26*100/$E$26</f>
        <v/>
      </c>
      <c r="FR26" s="108" t="n"/>
      <c r="FS26" s="122">
        <f>FR26*100/$E$26</f>
        <v/>
      </c>
      <c r="FT26" s="108" t="n"/>
      <c r="FU26" s="122">
        <f>FT26*100/$E$26</f>
        <v/>
      </c>
      <c r="FV26" s="108" t="n"/>
      <c r="FW26" s="122">
        <f>FV26*100/$E$26</f>
        <v/>
      </c>
      <c r="FX26" s="108" t="n"/>
      <c r="FY26" s="107">
        <f>FX26*100/$E$26</f>
        <v/>
      </c>
      <c r="FZ26" s="108" t="n"/>
      <c r="GA26" s="107">
        <f>FZ26*100/$E$26</f>
        <v/>
      </c>
      <c r="GB26" s="108" t="n"/>
      <c r="GC26" s="107">
        <f>GB26*100/$E$26</f>
        <v/>
      </c>
      <c r="GD26" s="108" t="n"/>
      <c r="GE26" s="107">
        <f>GD26*100/$E$26</f>
        <v/>
      </c>
      <c r="GF26" s="108" t="n"/>
      <c r="GG26" s="107">
        <f>GF26*100/$E$26</f>
        <v/>
      </c>
      <c r="GH26" s="108" t="n"/>
      <c r="GI26" s="107">
        <f>GH26*100/$E$26</f>
        <v/>
      </c>
      <c r="GJ26" s="108" t="n"/>
      <c r="GK26" s="122">
        <f>GJ26*100/$E$26</f>
        <v/>
      </c>
      <c r="GL26" s="108" t="n"/>
      <c r="GM26" s="107">
        <f>GL26*100/$E$26</f>
        <v/>
      </c>
      <c r="GN26" s="108" t="n"/>
      <c r="GO26" s="122">
        <f>GN26*100/$E$26</f>
        <v/>
      </c>
      <c r="GP26" s="108" t="n"/>
      <c r="GQ26" s="107">
        <f>GP26*100/$E$26</f>
        <v/>
      </c>
      <c r="GR26" s="108" t="n"/>
      <c r="GS26" s="122">
        <f>GR26*100/$E$26</f>
        <v/>
      </c>
      <c r="GT26" s="108" t="n"/>
      <c r="GU26" s="122">
        <f>GT26*100/$E$26</f>
        <v/>
      </c>
      <c r="GV26" s="108" t="n"/>
      <c r="GW26" s="122">
        <f>GV26*100/$E$26</f>
        <v/>
      </c>
      <c r="GX26" s="108" t="n"/>
      <c r="GY26" s="107">
        <f>GX26*100/$E$26</f>
        <v/>
      </c>
      <c r="GZ26" s="108" t="n"/>
      <c r="HA26" s="107">
        <f>GZ26*100/$E$26</f>
        <v/>
      </c>
      <c r="HB26" s="108" t="n"/>
      <c r="HC26" s="107">
        <f>HB26*100/$E$26</f>
        <v/>
      </c>
      <c r="HD26" s="108" t="n"/>
      <c r="HE26" s="107">
        <f>HD26*100/$E$26</f>
        <v/>
      </c>
      <c r="HF26" s="108" t="n"/>
      <c r="HG26" s="107">
        <f>HF26*100/$E$26</f>
        <v/>
      </c>
      <c r="HH26" s="108" t="n"/>
      <c r="HI26" s="107">
        <f>HH26*100/$E$26</f>
        <v/>
      </c>
      <c r="HJ26" s="108" t="n"/>
      <c r="HK26" s="107">
        <f>HJ26*100/$E$26</f>
        <v/>
      </c>
      <c r="HL26" s="108" t="n"/>
      <c r="HM26" s="107">
        <f>HL26*100/$E$26</f>
        <v/>
      </c>
      <c r="HN26" s="108" t="n"/>
      <c r="HO26" s="107">
        <f>HN26*100/$E$26</f>
        <v/>
      </c>
      <c r="HP26" s="108" t="n"/>
      <c r="HQ26" s="107">
        <f>HP26*100/$E$26</f>
        <v/>
      </c>
      <c r="HR26" s="108" t="n"/>
      <c r="HS26" s="107">
        <f>HR26*100/$E$26</f>
        <v/>
      </c>
      <c r="HT26" s="108" t="n"/>
      <c r="HU26" s="107">
        <f>HT26*100/$E$26</f>
        <v/>
      </c>
      <c r="HV26" s="108" t="n"/>
      <c r="HW26" s="107">
        <f>HV26*100/$E$26</f>
        <v/>
      </c>
      <c r="HX26" s="108" t="n"/>
      <c r="HY26" s="107">
        <f>HX26*100/$E$26</f>
        <v/>
      </c>
      <c r="HZ26" s="108" t="n"/>
      <c r="IA26" s="122">
        <f>HZ26*100/$E$26</f>
        <v/>
      </c>
      <c r="IB26" s="108" t="n"/>
      <c r="IC26" s="122">
        <f>IB26*100/$E$26</f>
        <v/>
      </c>
      <c r="ID26" s="108" t="n"/>
      <c r="IE26" s="122">
        <f>ID26*100/$E$26</f>
        <v/>
      </c>
      <c r="IF26" s="108" t="n"/>
      <c r="IG26" s="122">
        <f>IF26*100/$E$26</f>
        <v/>
      </c>
      <c r="IH26" s="108" t="n"/>
      <c r="II26" s="122">
        <f>IH26*100/$E$26</f>
        <v/>
      </c>
      <c r="IJ26" s="108" t="n"/>
      <c r="IK26" s="122">
        <f>IJ26*100/$E$26</f>
        <v/>
      </c>
      <c r="IL26" s="108" t="n"/>
      <c r="IM26" s="107">
        <f>IL26*100/$E$26</f>
        <v/>
      </c>
      <c r="IN26" s="108" t="n"/>
      <c r="IO26" s="107">
        <f>IN26*100/$E$26</f>
        <v/>
      </c>
      <c r="IP26" s="108" t="n"/>
      <c r="IQ26" s="122">
        <f>IP26*100/$E$26</f>
        <v/>
      </c>
      <c r="IR26" s="108" t="n"/>
      <c r="IS26" s="122">
        <f>IR26*100/$E$26</f>
        <v/>
      </c>
      <c r="IT26" s="108" t="n"/>
      <c r="IU26" s="122">
        <f>IT26*100/$E$26</f>
        <v/>
      </c>
      <c r="IV26" s="108" t="n"/>
      <c r="IW26" s="122">
        <f>IV26*100/$E$26</f>
        <v/>
      </c>
      <c r="IX26" s="108" t="n"/>
      <c r="IY26" s="122">
        <f>IX26*100/$E$26</f>
        <v/>
      </c>
      <c r="IZ26" s="108" t="n"/>
      <c r="JA26" s="122">
        <f>IZ26*100/$E$26</f>
        <v/>
      </c>
      <c r="JB26" s="108" t="n"/>
      <c r="JC26" s="122">
        <f>JB26*100/$E$26</f>
        <v/>
      </c>
      <c r="JD26" s="108" t="n"/>
      <c r="JE26" s="122">
        <f>JD26*100/$E$26</f>
        <v/>
      </c>
      <c r="JF26" s="108" t="n"/>
      <c r="JG26" s="122">
        <f>JF26*100/$E$26</f>
        <v/>
      </c>
      <c r="JH26" s="108" t="n"/>
      <c r="JI26" s="122">
        <f>JH26*100/$E$26</f>
        <v/>
      </c>
      <c r="JJ26" s="108" t="n"/>
      <c r="JK26" s="122">
        <f>JJ26*100/$E$26</f>
        <v/>
      </c>
      <c r="JL26" s="108" t="n"/>
      <c r="JM26" s="122">
        <f>JL26*100/$E$26</f>
        <v/>
      </c>
      <c r="JN26" s="108" t="n"/>
      <c r="JO26" s="122">
        <f>JN26*100/$E$26</f>
        <v/>
      </c>
      <c r="JP26" s="108" t="n"/>
      <c r="JQ26" s="122">
        <f>JP26*100/$E$26</f>
        <v/>
      </c>
      <c r="JR26" s="108" t="n"/>
      <c r="JS26" s="122">
        <f>JR26*100/$E$26</f>
        <v/>
      </c>
      <c r="JT26" s="108" t="n"/>
      <c r="JU26" s="122">
        <f>JT26*100/$E$26</f>
        <v/>
      </c>
      <c r="JV26" s="132" t="n"/>
      <c r="JW26" s="122">
        <f>JV26*100/$E$26</f>
        <v/>
      </c>
      <c r="JX26" s="132" t="n"/>
      <c r="JY26" s="122">
        <f>JX26*100/$E$26</f>
        <v/>
      </c>
      <c r="JZ26" s="55">
        <f>JN26+JP26+JR26+JT26+JV26+JX26</f>
        <v/>
      </c>
      <c r="KA26" s="53">
        <f>JO26+JQ26+JS26+JU26+JW26+JY26</f>
        <v/>
      </c>
      <c r="KB26" s="64">
        <f>H26+J26+L26+N26+P26+R26+T26+V26+X26+Z26+AB26+AD26+AF26+AH26+AJ26+AL26+AN26+AP26+AR26+AT26+AV26+AX26+AZ26+BB26+BD26+BF26+BH26+BJ26+BL26+BN26+BP26+BR26+BT26+BV26+BX26+BZ26+CB26+CD26+CF26+CH26+CZ26+DB26+DD26+DF26+DH26+DJ26+DL26+DN26+DP26+DR26+DT26+DV26+DX26+DZ26+EB26+ED26+EF26+EH26+EJ26+EL26+EN26+EP26+ER26+ET26+EV26+FN26+FP26+FR26+FT26+FV26+FX26+FZ26+GB26+GD26+GF26+GH26+GJ26+GL26+GN26+GP26+GR26+GT26+GV26+GX26+GZ26+HB26+HD26+HF26+HH26+HJ26+HL26+HN26+HP26+HR26+HT26+HV26+HX26+HZ26+IB26+ID26+IF26+IH26+IJ26+IL26+IN26+IP26+IR26+IT26+IV26+IX26+IZ26+JB26+JD26+JF26+JH26+JJ26+JL26+JZ26+CJ26+CL26+CN26+CP26+CR26+CT26+CV26+CX26+EX26+EZ26+FB26+FD26+FF26+FH26+FJ26+FL26</f>
        <v/>
      </c>
      <c r="KC26" s="66">
        <f>I26+K26+M26+O26+Q26+S26+U26+W26+Y26+AA26+AC26+AE26+AG26+AI26+AK26+AM26+AO26+AQ26+AS26+AU26+AW26+AY26+BA26+BC26+BE26+BG26+BI26+BK26+BM26+BO26+BQ26+BS26+BU26+BW26+BY26+CA26+CC26+CE26+CG26+CI26+DA26+DC26+DE26+DG26+DI26+DK26+DM26+DO26+DQ26+DS26+DU26+DW26+DY26+EA26+EC26+EE26+EG26+EI26+EK26+EM26+EO26+EQ26+ES26+EU26+EW26+FO26+FS26+FU26+FW26+FQ26+FY26+GA26+GC26+GE26+GG26+GI26+GK26+GM26+GO26+GQ26+GS26+GU26+GW26+GY26+HA26+HC26+HE26+HG26+HI26+HK26+HM26+HO26+HQ26+HS26+HU26+HW26+HY26+IA26+IC26+IE26+IG26+II26+IK26+IM26+IO26+IQ26+IS26+IU26+IW26+IY26+JA26+JC26+JE26+JG26+JI26+JK26+JM26+KA26+CK26+CM26+CO26+CQ26+CS26+CU26+CW26+CY26+EY26+FA26+FC26+FE26+FG26+FI26+FK26+FM26</f>
        <v/>
      </c>
      <c r="KD26" s="44">
        <f>JO26+JQ26+JS26+JU26+JW26+JY26</f>
        <v/>
      </c>
      <c r="KE26" s="46">
        <f>KB26=E26</f>
        <v/>
      </c>
      <c r="KF26" s="101">
        <f>E26-KB26</f>
        <v/>
      </c>
      <c r="KG26" s="20" t="n"/>
    </row>
    <row r="27" ht="21.75" customFormat="1" customHeight="1" s="19">
      <c r="A27" s="126">
        <f>A26+1</f>
        <v/>
      </c>
      <c r="B27" s="192" t="inlineStr">
        <is>
          <t>Кожемякин Е.А.</t>
        </is>
      </c>
      <c r="C27" s="176" t="inlineStr">
        <is>
          <t>сварщик</t>
        </is>
      </c>
      <c r="D27" s="177">
        <f>$D$5</f>
        <v/>
      </c>
      <c r="E27" s="202" t="n"/>
      <c r="F27" s="193" t="n">
        <v>61252.7</v>
      </c>
      <c r="G27" s="52">
        <f>F27/D27</f>
        <v/>
      </c>
      <c r="H27" s="125" t="n"/>
      <c r="I27" s="107">
        <f>H27*100/$E$27</f>
        <v/>
      </c>
      <c r="J27" s="108" t="n"/>
      <c r="K27" s="122">
        <f>J27*100/$E$27</f>
        <v/>
      </c>
      <c r="L27" s="108" t="n"/>
      <c r="M27" s="122">
        <f>L27*100/$E$27</f>
        <v/>
      </c>
      <c r="N27" s="108" t="n"/>
      <c r="O27" s="122">
        <f>N27*100/$E$27</f>
        <v/>
      </c>
      <c r="P27" s="108" t="n"/>
      <c r="Q27" s="122">
        <f>P27*100/$E$27</f>
        <v/>
      </c>
      <c r="R27" s="108" t="n"/>
      <c r="S27" s="122">
        <f>R27*100/$E$27</f>
        <v/>
      </c>
      <c r="T27" s="108" t="n"/>
      <c r="U27" s="122">
        <f>T27*100/$E$27</f>
        <v/>
      </c>
      <c r="V27" s="108" t="n"/>
      <c r="W27" s="107">
        <f>V27*100/$E$27</f>
        <v/>
      </c>
      <c r="X27" s="108" t="n"/>
      <c r="Y27" s="107">
        <f>X27*100/$E$27</f>
        <v/>
      </c>
      <c r="Z27" s="108" t="n"/>
      <c r="AA27" s="122">
        <f>Z27*100/$E$27</f>
        <v/>
      </c>
      <c r="AB27" s="108" t="n"/>
      <c r="AC27" s="107">
        <f>AB27*100/$E$27</f>
        <v/>
      </c>
      <c r="AD27" s="108" t="n"/>
      <c r="AE27" s="122">
        <f>AD27*100/$E$27</f>
        <v/>
      </c>
      <c r="AF27" s="108" t="n"/>
      <c r="AG27" s="107">
        <f>AF27*100/$E$27</f>
        <v/>
      </c>
      <c r="AH27" s="108" t="n"/>
      <c r="AI27" s="107">
        <f>AH27*100/$E$27</f>
        <v/>
      </c>
      <c r="AJ27" s="108" t="n"/>
      <c r="AK27" s="107">
        <f>AJ27*100/$E$27</f>
        <v/>
      </c>
      <c r="AL27" s="108" t="n"/>
      <c r="AM27" s="107">
        <f>AL27*100/$E$27</f>
        <v/>
      </c>
      <c r="AN27" s="108" t="n"/>
      <c r="AO27" s="107">
        <f>AN27*100/$E$27</f>
        <v/>
      </c>
      <c r="AP27" s="108" t="n"/>
      <c r="AQ27" s="107">
        <f>AP27*100/$E$27</f>
        <v/>
      </c>
      <c r="AR27" s="108" t="n"/>
      <c r="AS27" s="107">
        <f>AR27*100/$E$27</f>
        <v/>
      </c>
      <c r="AT27" s="108" t="n"/>
      <c r="AU27" s="90">
        <f>AT27*100/$E$27</f>
        <v/>
      </c>
      <c r="AV27" s="108" t="n"/>
      <c r="AW27" s="107">
        <f>AV27*100/$E$27</f>
        <v/>
      </c>
      <c r="AX27" s="108" t="n"/>
      <c r="AY27" s="107">
        <f>AX27*100/$E$27</f>
        <v/>
      </c>
      <c r="AZ27" s="108" t="n"/>
      <c r="BA27" s="107">
        <f>AZ27*100/$E$27</f>
        <v/>
      </c>
      <c r="BB27" s="108" t="n"/>
      <c r="BC27" s="107">
        <f>BB27*100/$E$27</f>
        <v/>
      </c>
      <c r="BD27" s="108" t="n"/>
      <c r="BE27" s="107">
        <f>BD27*100/$E$27</f>
        <v/>
      </c>
      <c r="BF27" s="108" t="n"/>
      <c r="BG27" s="139">
        <f>BF27*100/$E$27</f>
        <v/>
      </c>
      <c r="BH27" s="108" t="n"/>
      <c r="BI27" s="107">
        <f>BH27*100/$E$27</f>
        <v/>
      </c>
      <c r="BJ27" s="108" t="n"/>
      <c r="BK27" s="107">
        <f>BJ27*100/$E$27</f>
        <v/>
      </c>
      <c r="BL27" s="108" t="n"/>
      <c r="BM27" s="107">
        <f>BL27*100/$E$27</f>
        <v/>
      </c>
      <c r="BN27" s="108" t="n"/>
      <c r="BO27" s="107">
        <f>BN27*100/$E$27</f>
        <v/>
      </c>
      <c r="BP27" s="108" t="n"/>
      <c r="BQ27" s="107">
        <f>BP27*100/$E$27</f>
        <v/>
      </c>
      <c r="BR27" s="108" t="n"/>
      <c r="BS27" s="107">
        <f>BR27*100/$E$27</f>
        <v/>
      </c>
      <c r="BT27" s="108" t="n"/>
      <c r="BU27" s="107">
        <f>BT27*100/$E$27</f>
        <v/>
      </c>
      <c r="BV27" s="108" t="n"/>
      <c r="BW27" s="107">
        <f>BV27*100/$E$27</f>
        <v/>
      </c>
      <c r="BX27" s="108" t="n"/>
      <c r="BY27" s="107">
        <f>BX27*100/$E$27</f>
        <v/>
      </c>
      <c r="BZ27" s="108" t="n"/>
      <c r="CA27" s="107">
        <f>BZ27*100/$E$27</f>
        <v/>
      </c>
      <c r="CB27" s="108" t="n"/>
      <c r="CC27" s="107">
        <f>CB27*100/$E$27</f>
        <v/>
      </c>
      <c r="CD27" s="108" t="n"/>
      <c r="CE27" s="139">
        <f>CD27*100/$E$27</f>
        <v/>
      </c>
      <c r="CF27" s="108" t="n"/>
      <c r="CG27" s="107">
        <f>CF27*100/$E$27</f>
        <v/>
      </c>
      <c r="CH27" s="108" t="n"/>
      <c r="CI27" s="107">
        <f>CH27*100/$E$27</f>
        <v/>
      </c>
      <c r="CJ27" s="108" t="n"/>
      <c r="CK27" s="107">
        <f>CJ27*100/$E$27</f>
        <v/>
      </c>
      <c r="CL27" s="108" t="n"/>
      <c r="CM27" s="107">
        <f>CL27*100/$E$27</f>
        <v/>
      </c>
      <c r="CN27" s="108" t="n"/>
      <c r="CO27" s="122">
        <f>CN27*100/$E$27</f>
        <v/>
      </c>
      <c r="CP27" s="108" t="n"/>
      <c r="CQ27" s="107">
        <f>CP27*100/$E$27</f>
        <v/>
      </c>
      <c r="CR27" s="108" t="n"/>
      <c r="CS27" s="122">
        <f>CR27*100/$E$27</f>
        <v/>
      </c>
      <c r="CT27" s="108" t="n"/>
      <c r="CU27" s="122">
        <f>CT27*100/$E$27</f>
        <v/>
      </c>
      <c r="CV27" s="108" t="n"/>
      <c r="CW27" s="122">
        <f>CV27*100/$E$27</f>
        <v/>
      </c>
      <c r="CX27" s="108" t="n"/>
      <c r="CY27" s="122">
        <f>CX27*100/$E$27</f>
        <v/>
      </c>
      <c r="CZ27" s="108" t="n"/>
      <c r="DA27" s="122">
        <f>CZ27*100/$E$27</f>
        <v/>
      </c>
      <c r="DB27" s="108" t="n"/>
      <c r="DC27" s="122">
        <f>DB27*100/$E$27</f>
        <v/>
      </c>
      <c r="DD27" s="108" t="n"/>
      <c r="DE27" s="122">
        <f>DD27*100/$E$27</f>
        <v/>
      </c>
      <c r="DF27" s="108" t="n"/>
      <c r="DG27" s="122">
        <f>DF27*100/$E$27</f>
        <v/>
      </c>
      <c r="DH27" s="108" t="n"/>
      <c r="DI27" s="122">
        <f>DH27*100/$E$27</f>
        <v/>
      </c>
      <c r="DJ27" s="108" t="n"/>
      <c r="DK27" s="122">
        <f>DJ27*100/$E$27</f>
        <v/>
      </c>
      <c r="DL27" s="108" t="n"/>
      <c r="DM27" s="122">
        <f>DL27*100/$E$27</f>
        <v/>
      </c>
      <c r="DN27" s="108" t="n"/>
      <c r="DO27" s="122">
        <f>DN27*100/$E$27</f>
        <v/>
      </c>
      <c r="DP27" s="108" t="n"/>
      <c r="DQ27" s="122">
        <f>DP27*100/$E$27</f>
        <v/>
      </c>
      <c r="DR27" s="108" t="n"/>
      <c r="DS27" s="139">
        <f>DR27*100/$E$27</f>
        <v/>
      </c>
      <c r="DT27" s="108" t="n"/>
      <c r="DU27" s="122">
        <f>DT27*100/$E$27</f>
        <v/>
      </c>
      <c r="DV27" s="108" t="n"/>
      <c r="DW27" s="122">
        <f>DV27*100/$E$27</f>
        <v/>
      </c>
      <c r="DX27" s="108" t="n"/>
      <c r="DY27" s="122">
        <f>DX27*100/$E$27</f>
        <v/>
      </c>
      <c r="DZ27" s="108" t="n"/>
      <c r="EA27" s="122">
        <f>DZ27*100/$E$27</f>
        <v/>
      </c>
      <c r="EB27" s="108" t="n"/>
      <c r="EC27" s="122">
        <f>EB27*100/$E$27</f>
        <v/>
      </c>
      <c r="ED27" s="108" t="n"/>
      <c r="EE27" s="122">
        <f>ED27*100/$E$27</f>
        <v/>
      </c>
      <c r="EF27" s="108" t="n"/>
      <c r="EG27" s="122">
        <f>EF27*100/$E$27</f>
        <v/>
      </c>
      <c r="EH27" s="108" t="n"/>
      <c r="EI27" s="139">
        <f>EH27*100/$E$27</f>
        <v/>
      </c>
      <c r="EJ27" s="108" t="n"/>
      <c r="EK27" s="139">
        <f>EJ27*100/$E$27</f>
        <v/>
      </c>
      <c r="EL27" s="108" t="n"/>
      <c r="EM27" s="139">
        <f>EL27*100/$E$27</f>
        <v/>
      </c>
      <c r="EN27" s="108" t="n"/>
      <c r="EO27" s="139">
        <f>EN27*100/$E$27</f>
        <v/>
      </c>
      <c r="EP27" s="108" t="n"/>
      <c r="EQ27" s="139">
        <f>EP27*100/$E$27</f>
        <v/>
      </c>
      <c r="ER27" s="108" t="n"/>
      <c r="ES27" s="139">
        <f>ER27*100/$E$27</f>
        <v/>
      </c>
      <c r="ET27" s="108" t="n"/>
      <c r="EU27" s="140">
        <f>ET27*100/$E$27</f>
        <v/>
      </c>
      <c r="EV27" s="108" t="n"/>
      <c r="EW27" s="122">
        <f>EV27*100/$E$27</f>
        <v/>
      </c>
      <c r="EX27" s="108" t="n"/>
      <c r="EY27" s="122">
        <f>EX27*100/$E$27</f>
        <v/>
      </c>
      <c r="EZ27" s="108" t="n"/>
      <c r="FA27" s="122">
        <f>EZ27*100/$E$27</f>
        <v/>
      </c>
      <c r="FB27" s="108" t="n"/>
      <c r="FC27" s="122">
        <f>FB27*100/$E$27</f>
        <v/>
      </c>
      <c r="FD27" s="108" t="n"/>
      <c r="FE27" s="122">
        <f>FD27*100/$E$27</f>
        <v/>
      </c>
      <c r="FF27" s="108" t="n"/>
      <c r="FG27" s="122">
        <f>FF27*100/$E$27</f>
        <v/>
      </c>
      <c r="FH27" s="108" t="n"/>
      <c r="FI27" s="122">
        <f>FH27*100/$E$27</f>
        <v/>
      </c>
      <c r="FJ27" s="108" t="n"/>
      <c r="FK27" s="122">
        <f>FJ27*100/$E$27</f>
        <v/>
      </c>
      <c r="FL27" s="108" t="n"/>
      <c r="FM27" s="122">
        <f>FL27*100/$E$27</f>
        <v/>
      </c>
      <c r="FN27" s="108" t="n"/>
      <c r="FO27" s="122">
        <f>FN27*100/$E$27</f>
        <v/>
      </c>
      <c r="FP27" s="108" t="n"/>
      <c r="FQ27" s="139">
        <f>FP27*100/$E$27</f>
        <v/>
      </c>
      <c r="FR27" s="108" t="n"/>
      <c r="FS27" s="139">
        <f>FR27*100/$E$27</f>
        <v/>
      </c>
      <c r="FT27" s="108" t="n"/>
      <c r="FU27" s="139">
        <f>FT27*100/$E$27</f>
        <v/>
      </c>
      <c r="FV27" s="108" t="n"/>
      <c r="FW27" s="139">
        <f>FV27*100/$E$27</f>
        <v/>
      </c>
      <c r="FX27" s="108" t="n"/>
      <c r="FY27" s="139">
        <f>FX27*100/$E$27</f>
        <v/>
      </c>
      <c r="FZ27" s="108" t="n"/>
      <c r="GA27" s="140">
        <f>FZ27*100/$E$27</f>
        <v/>
      </c>
      <c r="GB27" s="108" t="n"/>
      <c r="GC27" s="140">
        <f>GB27*100/$E$27</f>
        <v/>
      </c>
      <c r="GD27" s="108" t="n"/>
      <c r="GE27" s="139">
        <f>GD27*100/$E$27</f>
        <v/>
      </c>
      <c r="GF27" s="108" t="n"/>
      <c r="GG27" s="140">
        <f>GF27*100/$E$27</f>
        <v/>
      </c>
      <c r="GH27" s="108" t="n"/>
      <c r="GI27" s="139">
        <f>GH27*100/$E$27</f>
        <v/>
      </c>
      <c r="GJ27" s="108" t="n"/>
      <c r="GK27" s="122">
        <f>GJ27*100/$E$27</f>
        <v/>
      </c>
      <c r="GL27" s="108" t="n"/>
      <c r="GM27" s="139">
        <f>GL27*100/$E$27</f>
        <v/>
      </c>
      <c r="GN27" s="133" t="n"/>
      <c r="GO27" s="122">
        <f>GN27*100/$E$27</f>
        <v/>
      </c>
      <c r="GP27" s="133" t="n"/>
      <c r="GQ27" s="139">
        <f>GP27*100/$E$27</f>
        <v/>
      </c>
      <c r="GR27" s="133" t="n"/>
      <c r="GS27" s="122">
        <f>GR27*100/$E$27</f>
        <v/>
      </c>
      <c r="GT27" s="133" t="n"/>
      <c r="GU27" s="122">
        <f>GT27*100/$E$27</f>
        <v/>
      </c>
      <c r="GV27" s="133" t="n"/>
      <c r="GW27" s="139">
        <f>GV27*100/$E$27</f>
        <v/>
      </c>
      <c r="GX27" s="133" t="n"/>
      <c r="GY27" s="139">
        <f>GX27*100/$E$27</f>
        <v/>
      </c>
      <c r="GZ27" s="133" t="n"/>
      <c r="HA27" s="139">
        <f>GZ27*100/$E$27</f>
        <v/>
      </c>
      <c r="HB27" s="133" t="n"/>
      <c r="HC27" s="139">
        <f>HB27*100/$E$27</f>
        <v/>
      </c>
      <c r="HD27" s="133" t="n"/>
      <c r="HE27" s="139">
        <f>HD27*100/$E$27</f>
        <v/>
      </c>
      <c r="HF27" s="133" t="n"/>
      <c r="HG27" s="140">
        <f>HF27*100/$E$27</f>
        <v/>
      </c>
      <c r="HH27" s="133" t="n"/>
      <c r="HI27" s="140">
        <f>HH27*100/$E$27</f>
        <v/>
      </c>
      <c r="HJ27" s="133" t="n"/>
      <c r="HK27" s="139">
        <f>HJ27*100/$E$27</f>
        <v/>
      </c>
      <c r="HL27" s="133" t="n"/>
      <c r="HM27" s="140">
        <f>HL27*100/$E$27</f>
        <v/>
      </c>
      <c r="HN27" s="133" t="n"/>
      <c r="HO27" s="139">
        <f>HN27*100/$E$27</f>
        <v/>
      </c>
      <c r="HP27" s="133" t="n"/>
      <c r="HQ27" s="140">
        <f>HP27*100/$E$27</f>
        <v/>
      </c>
      <c r="HR27" s="133" t="n"/>
      <c r="HS27" s="139">
        <f>HR27*100/$E$27</f>
        <v/>
      </c>
      <c r="HT27" s="133" t="n"/>
      <c r="HU27" s="140">
        <f>HT27*100/$E$27</f>
        <v/>
      </c>
      <c r="HV27" s="133" t="n"/>
      <c r="HW27" s="139">
        <f>HV27*100/$E$27</f>
        <v/>
      </c>
      <c r="HX27" s="108" t="n"/>
      <c r="HY27" s="140">
        <f>HX27*100/$E$27</f>
        <v/>
      </c>
      <c r="HZ27" s="108" t="n"/>
      <c r="IA27" s="122">
        <f>HZ27*100/$E$27</f>
        <v/>
      </c>
      <c r="IB27" s="108" t="n"/>
      <c r="IC27" s="122">
        <f>IB27*100/$E$27</f>
        <v/>
      </c>
      <c r="ID27" s="133" t="n"/>
      <c r="IE27" s="122">
        <f>ID27*100/$E$27</f>
        <v/>
      </c>
      <c r="IF27" s="108" t="n"/>
      <c r="IG27" s="122">
        <f>IF27*100/$E$27</f>
        <v/>
      </c>
      <c r="IH27" s="108" t="n"/>
      <c r="II27" s="122">
        <f>IH27*100/$E$27</f>
        <v/>
      </c>
      <c r="IJ27" s="108" t="n"/>
      <c r="IK27" s="122">
        <f>IJ27*100/$E$27</f>
        <v/>
      </c>
      <c r="IL27" s="108" t="n"/>
      <c r="IM27" s="140">
        <f>IL27*100/$E$27</f>
        <v/>
      </c>
      <c r="IN27" s="108" t="n"/>
      <c r="IO27" s="140">
        <f>IN27*100/$E$27</f>
        <v/>
      </c>
      <c r="IP27" s="108" t="n"/>
      <c r="IQ27" s="122">
        <f>IP27*100/$E$27</f>
        <v/>
      </c>
      <c r="IR27" s="108" t="n"/>
      <c r="IS27" s="122">
        <f>IR27*100/$E$27</f>
        <v/>
      </c>
      <c r="IT27" s="108" t="n"/>
      <c r="IU27" s="122">
        <f>IT27*100/$E$27</f>
        <v/>
      </c>
      <c r="IV27" s="133" t="n"/>
      <c r="IW27" s="122">
        <f>IV27*100/$E$27</f>
        <v/>
      </c>
      <c r="IX27" s="133" t="n"/>
      <c r="IY27" s="122">
        <f>IX27*100/$E$27</f>
        <v/>
      </c>
      <c r="IZ27" s="133" t="n"/>
      <c r="JA27" s="122">
        <f>IZ27*100/$E$27</f>
        <v/>
      </c>
      <c r="JB27" s="108" t="n"/>
      <c r="JC27" s="122">
        <f>JB27*100/$E$27</f>
        <v/>
      </c>
      <c r="JD27" s="108" t="n"/>
      <c r="JE27" s="122">
        <f>JD27*100/$E$27</f>
        <v/>
      </c>
      <c r="JF27" s="133" t="n"/>
      <c r="JG27" s="139">
        <f>JF27*100/$E$27</f>
        <v/>
      </c>
      <c r="JH27" s="133" t="n"/>
      <c r="JI27" s="122">
        <f>JH27*100/$E$27</f>
        <v/>
      </c>
      <c r="JJ27" s="133" t="n"/>
      <c r="JK27" s="139">
        <f>JJ27*100/$E$27</f>
        <v/>
      </c>
      <c r="JL27" s="108" t="n"/>
      <c r="JM27" s="122">
        <f>JL27*100/$E$27</f>
        <v/>
      </c>
      <c r="JN27" s="108" t="n"/>
      <c r="JO27" s="122">
        <f>JN27*100/$E$27</f>
        <v/>
      </c>
      <c r="JP27" s="108" t="n"/>
      <c r="JQ27" s="122">
        <f>JP27*100/$E$27</f>
        <v/>
      </c>
      <c r="JR27" s="108" t="n"/>
      <c r="JS27" s="122">
        <f>JR27*100/$E$27</f>
        <v/>
      </c>
      <c r="JT27" s="108" t="n"/>
      <c r="JU27" s="122">
        <f>JT27*100/$E$27</f>
        <v/>
      </c>
      <c r="JV27" s="108" t="n"/>
      <c r="JW27" s="122">
        <f>JV27*100/$E$27</f>
        <v/>
      </c>
      <c r="JX27" s="108" t="n"/>
      <c r="JY27" s="122">
        <f>JX27*100/$E$27</f>
        <v/>
      </c>
      <c r="JZ27" s="55">
        <f>JN27+JP27+JR27+JT27+JV27+JX27</f>
        <v/>
      </c>
      <c r="KA27" s="53">
        <f>JO27+JQ27+JS27+JU27+JW27+JY27</f>
        <v/>
      </c>
      <c r="KB27" s="64">
        <f>H27+J27+L27+N27+P27+R27+T27+V27+X27+Z27+AB27+AD27+AF27+AH27+AJ27+AL27+AN27+AP27+AR27+AT27+AV27+AX27+AZ27+BB27+BD27+BF27+BH27+BJ27+BL27+BN27+BP27+BR27+BT27+BV27+BX27+BZ27+CB27+CD27+CF27+CH27+CZ27+DB27+DD27+DF27+DH27+DJ27+DL27+DN27+DP27+DR27+DT27+DV27+DX27+DZ27+EB27+ED27+EF27+EH27+EJ27+EL27+EN27+EP27+ER27+ET27+EV27+FN27+FP27+FR27+FT27+FV27+FX27+FZ27+GB27+GD27+GF27+GH27+GJ27+GL27+GN27+GP27+GR27+GT27+GV27+GX27+GZ27+HB27+HD27+HF27+HH27+HJ27+HL27+HN27+HP27+HR27+HT27+HV27+HX27+HZ27+IB27+ID27+IF27+IH27+IJ27+IL27+IN27+IP27+IR27+IT27+IV27+IX27+IZ27+JB27+JD27+JF27+JH27+JJ27+JL27+JZ27+CJ27+CL27+CN27+CP27+CR27+CT27+CV27+CX27+EX27+EZ27+FB27+FD27+FF27+FH27+FJ27+FL27</f>
        <v/>
      </c>
      <c r="KC27" s="66">
        <f>I27+K27+M27+O27+Q27+S27+U27+W27+Y27+AA27+AC27+AE27+AG27+AI27+AK27+AM27+AO27+AQ27+AS27+AU27+AW27+AY27+BA27+BC27+BE27+BG27+BI27+BK27+BM27+BO27+BQ27+BS27+BU27+BW27+BY27+CA27+CC27+CE27+CG27+CI27+DA27+DC27+DE27+DG27+DI27+DK27+DM27+DO27+DQ27+DS27+DU27+DW27+DY27+EA27+EC27+EE27+EG27+EI27+EK27+EM27+EO27+EQ27+ES27+EU27+EW27+FO27+FS27+FU27+FW27+FQ27+FY27+GA27+GC27+GE27+GG27+GI27+GK27+GM27+GO27+GQ27+GS27+GU27+GW27+GY27+HA27+HC27+HE27+HG27+HI27+HK27+HM27+HO27+HQ27+HS27+HU27+HW27+HY27+IA27+IC27+IE27+IG27+II27+IK27+IM27+IO27+IQ27+IS27+IU27+IW27+IY27+JA27+JC27+JE27+JG27+JI27+JK27+JM27+KA27+CK27+CM27+CO27+CQ27+CS27+CU27+CW27+CY27+EY27+FA27+FC27+FE27+FG27+FI27+FK27+FM27</f>
        <v/>
      </c>
      <c r="KD27" s="44">
        <f>JO27+JQ27+JS27+JU27+JW27+JY27</f>
        <v/>
      </c>
      <c r="KE27" s="46">
        <f>KB27=E27</f>
        <v/>
      </c>
      <c r="KF27" s="101">
        <f>E27-KB27</f>
        <v/>
      </c>
      <c r="KG27" s="138" t="n"/>
    </row>
    <row r="28" ht="21.75" customFormat="1" customHeight="1" s="15">
      <c r="A28" s="126">
        <f>A27+1</f>
        <v/>
      </c>
      <c r="B28" s="175" t="inlineStr">
        <is>
          <t>Корюков А.А.</t>
        </is>
      </c>
      <c r="C28" s="176" t="inlineStr">
        <is>
          <t>токарь</t>
        </is>
      </c>
      <c r="D28" s="177">
        <f>$D$5</f>
        <v/>
      </c>
      <c r="E28" s="202" t="n"/>
      <c r="F28" s="193" t="n">
        <v>126438.55</v>
      </c>
      <c r="G28" s="52">
        <f>F28/D28</f>
        <v/>
      </c>
      <c r="H28" s="125" t="n"/>
      <c r="I28" s="107">
        <f>H28*100/$E$28</f>
        <v/>
      </c>
      <c r="J28" s="108" t="n"/>
      <c r="K28" s="107">
        <f>J28*100/$E$28</f>
        <v/>
      </c>
      <c r="L28" s="108" t="n"/>
      <c r="M28" s="107">
        <f>L28*100/$E$28</f>
        <v/>
      </c>
      <c r="N28" s="108" t="n"/>
      <c r="O28" s="107">
        <f>N28*100/$E$28</f>
        <v/>
      </c>
      <c r="P28" s="108" t="n"/>
      <c r="Q28" s="122">
        <f>P28*100/$E$28</f>
        <v/>
      </c>
      <c r="R28" s="108" t="n"/>
      <c r="S28" s="122">
        <f>R28*100/$E$28</f>
        <v/>
      </c>
      <c r="T28" s="108" t="n"/>
      <c r="U28" s="107">
        <f>T28*100/$E$28</f>
        <v/>
      </c>
      <c r="V28" s="108" t="n"/>
      <c r="W28" s="107">
        <f>V28*100/$E$28</f>
        <v/>
      </c>
      <c r="X28" s="108" t="n"/>
      <c r="Y28" s="107">
        <f>X28*100/$E$28</f>
        <v/>
      </c>
      <c r="Z28" s="108" t="n"/>
      <c r="AA28" s="107">
        <f>Z28*100/$E$28</f>
        <v/>
      </c>
      <c r="AB28" s="108" t="n"/>
      <c r="AC28" s="107">
        <f>AB28*100/$E$28</f>
        <v/>
      </c>
      <c r="AD28" s="108" t="n"/>
      <c r="AE28" s="122">
        <f>AD28*100/$E$28</f>
        <v/>
      </c>
      <c r="AF28" s="108" t="n"/>
      <c r="AG28" s="122">
        <f>AF28*100/$E$28</f>
        <v/>
      </c>
      <c r="AH28" s="108" t="n"/>
      <c r="AI28" s="107">
        <f>AH28*100/$E$28</f>
        <v/>
      </c>
      <c r="AJ28" s="108" t="n"/>
      <c r="AK28" s="107">
        <f>AJ28*100/$E$28</f>
        <v/>
      </c>
      <c r="AL28" s="108" t="n"/>
      <c r="AM28" s="107">
        <f>AL28*100/$E$28</f>
        <v/>
      </c>
      <c r="AN28" s="108" t="n"/>
      <c r="AO28" s="107">
        <f>AN28*100/$E$28</f>
        <v/>
      </c>
      <c r="AP28" s="108" t="n"/>
      <c r="AQ28" s="107">
        <f>AP28*100/$E$28</f>
        <v/>
      </c>
      <c r="AR28" s="108" t="n"/>
      <c r="AS28" s="107">
        <f>AR28*100/$E$28</f>
        <v/>
      </c>
      <c r="AT28" s="108" t="n"/>
      <c r="AU28" s="90">
        <f>AT28*100/$E$28</f>
        <v/>
      </c>
      <c r="AV28" s="108" t="n"/>
      <c r="AW28" s="107">
        <f>AV28*100/$E$28</f>
        <v/>
      </c>
      <c r="AX28" s="108" t="n"/>
      <c r="AY28" s="107">
        <f>AX28*100/$E$28</f>
        <v/>
      </c>
      <c r="AZ28" s="108" t="n"/>
      <c r="BA28" s="107">
        <f>AZ28*100/$E$28</f>
        <v/>
      </c>
      <c r="BB28" s="108" t="n"/>
      <c r="BC28" s="107">
        <f>BB28*100/$E$28</f>
        <v/>
      </c>
      <c r="BD28" s="108" t="n"/>
      <c r="BE28" s="107">
        <f>BD28*100/$E$28</f>
        <v/>
      </c>
      <c r="BF28" s="108" t="n"/>
      <c r="BG28" s="107">
        <f>BF28*100/$E$28</f>
        <v/>
      </c>
      <c r="BH28" s="108" t="n"/>
      <c r="BI28" s="107">
        <f>BH28*100/$E$28</f>
        <v/>
      </c>
      <c r="BJ28" s="108" t="n"/>
      <c r="BK28" s="107">
        <f>BJ28*100/$E$28</f>
        <v/>
      </c>
      <c r="BL28" s="108" t="n"/>
      <c r="BM28" s="107">
        <f>BL28*100/$E$28</f>
        <v/>
      </c>
      <c r="BN28" s="108" t="n"/>
      <c r="BO28" s="107">
        <f>BN28*100/$E$28</f>
        <v/>
      </c>
      <c r="BP28" s="108" t="n"/>
      <c r="BQ28" s="107">
        <f>BP28*100/$E$28</f>
        <v/>
      </c>
      <c r="BR28" s="108" t="n"/>
      <c r="BS28" s="107">
        <f>BR28*100/$E$28</f>
        <v/>
      </c>
      <c r="BT28" s="108" t="n"/>
      <c r="BU28" s="107">
        <f>BT28*100/$E$28</f>
        <v/>
      </c>
      <c r="BV28" s="108" t="n"/>
      <c r="BW28" s="107">
        <f>BV28*100/$E$28</f>
        <v/>
      </c>
      <c r="BX28" s="108" t="n"/>
      <c r="BY28" s="107">
        <f>BX28*100/$E$28</f>
        <v/>
      </c>
      <c r="BZ28" s="108" t="n"/>
      <c r="CA28" s="107">
        <f>BZ28*100/$E$28</f>
        <v/>
      </c>
      <c r="CB28" s="108" t="n"/>
      <c r="CC28" s="107">
        <f>CB28*100/$E$28</f>
        <v/>
      </c>
      <c r="CD28" s="108" t="n"/>
      <c r="CE28" s="107">
        <f>CD28*100/$E$28</f>
        <v/>
      </c>
      <c r="CF28" s="108" t="n"/>
      <c r="CG28" s="107">
        <f>CF28*100/$E$28</f>
        <v/>
      </c>
      <c r="CH28" s="108" t="n"/>
      <c r="CI28" s="107">
        <f>CH28*100/$E$28</f>
        <v/>
      </c>
      <c r="CJ28" s="108" t="n"/>
      <c r="CK28" s="107">
        <f>CJ28*100/$E$28</f>
        <v/>
      </c>
      <c r="CL28" s="108" t="n"/>
      <c r="CM28" s="107">
        <f>CL28*100/$E$28</f>
        <v/>
      </c>
      <c r="CN28" s="108" t="n"/>
      <c r="CO28" s="122">
        <f>CN28*100/$E$28</f>
        <v/>
      </c>
      <c r="CP28" s="108" t="n"/>
      <c r="CQ28" s="107">
        <f>CP28*100/$E$28</f>
        <v/>
      </c>
      <c r="CR28" s="108" t="n"/>
      <c r="CS28" s="122">
        <f>CR28*100/$E$28</f>
        <v/>
      </c>
      <c r="CT28" s="108" t="n"/>
      <c r="CU28" s="122">
        <f>CT28*100/$E$28</f>
        <v/>
      </c>
      <c r="CV28" s="108" t="n"/>
      <c r="CW28" s="122">
        <f>CV28*100/$E$28</f>
        <v/>
      </c>
      <c r="CX28" s="108" t="n"/>
      <c r="CY28" s="122">
        <f>CX28*100/$E$28</f>
        <v/>
      </c>
      <c r="CZ28" s="108" t="n"/>
      <c r="DA28" s="122">
        <f>CZ28*100/$E$28</f>
        <v/>
      </c>
      <c r="DB28" s="108" t="n"/>
      <c r="DC28" s="122">
        <f>DB28*100/$E$28</f>
        <v/>
      </c>
      <c r="DD28" s="108" t="n"/>
      <c r="DE28" s="122">
        <f>DD28*100/$E$28</f>
        <v/>
      </c>
      <c r="DF28" s="108" t="n"/>
      <c r="DG28" s="122">
        <f>DF28*100/$E$28</f>
        <v/>
      </c>
      <c r="DH28" s="108" t="n"/>
      <c r="DI28" s="122">
        <f>DH28*100/$E$28</f>
        <v/>
      </c>
      <c r="DJ28" s="108" t="n"/>
      <c r="DK28" s="122">
        <f>DJ28*100/$E$28</f>
        <v/>
      </c>
      <c r="DL28" s="108" t="n"/>
      <c r="DM28" s="122">
        <f>DL28*100/$E$28</f>
        <v/>
      </c>
      <c r="DN28" s="108" t="n"/>
      <c r="DO28" s="122">
        <f>DN28*100/$E$28</f>
        <v/>
      </c>
      <c r="DP28" s="108" t="n"/>
      <c r="DQ28" s="122">
        <f>DP28*100/$E$28</f>
        <v/>
      </c>
      <c r="DR28" s="108" t="n"/>
      <c r="DS28" s="122">
        <f>DR28*100/$E$28</f>
        <v/>
      </c>
      <c r="DT28" s="108" t="n"/>
      <c r="DU28" s="122">
        <f>DT28*100/$E$28</f>
        <v/>
      </c>
      <c r="DV28" s="108" t="n"/>
      <c r="DW28" s="122">
        <f>DV28*100/$E$28</f>
        <v/>
      </c>
      <c r="DX28" s="108" t="n"/>
      <c r="DY28" s="122">
        <f>DX28*100/$E$28</f>
        <v/>
      </c>
      <c r="DZ28" s="108" t="n"/>
      <c r="EA28" s="122">
        <f>DZ28*100/$E$28</f>
        <v/>
      </c>
      <c r="EB28" s="108" t="n"/>
      <c r="EC28" s="122">
        <f>EB28*100/$E$28</f>
        <v/>
      </c>
      <c r="ED28" s="108" t="n"/>
      <c r="EE28" s="122">
        <f>ED28*100/$E$28</f>
        <v/>
      </c>
      <c r="EF28" s="108" t="n"/>
      <c r="EG28" s="122">
        <f>EF28*100/$E$28</f>
        <v/>
      </c>
      <c r="EH28" s="108" t="n"/>
      <c r="EI28" s="122">
        <f>EH28*100/$E$28</f>
        <v/>
      </c>
      <c r="EJ28" s="108" t="n"/>
      <c r="EK28" s="122">
        <f>EJ28*100/$E$28</f>
        <v/>
      </c>
      <c r="EL28" s="108" t="n"/>
      <c r="EM28" s="122">
        <f>EL28*100/$E$28</f>
        <v/>
      </c>
      <c r="EN28" s="108" t="n"/>
      <c r="EO28" s="122">
        <f>EN28*100/$E$28</f>
        <v/>
      </c>
      <c r="EP28" s="108" t="n"/>
      <c r="EQ28" s="122">
        <f>EP28*100/$E$28</f>
        <v/>
      </c>
      <c r="ER28" s="108" t="n"/>
      <c r="ES28" s="122">
        <f>ER28*100/$E$28</f>
        <v/>
      </c>
      <c r="ET28" s="108" t="n"/>
      <c r="EU28" s="122">
        <f>ET28*100/$E$28</f>
        <v/>
      </c>
      <c r="EV28" s="108" t="n"/>
      <c r="EW28" s="122">
        <f>EV28*100/$E$28</f>
        <v/>
      </c>
      <c r="EX28" s="108" t="n"/>
      <c r="EY28" s="122">
        <f>EX28*100/$E$28</f>
        <v/>
      </c>
      <c r="EZ28" s="108" t="n"/>
      <c r="FA28" s="122">
        <f>EZ28*100/$E$28</f>
        <v/>
      </c>
      <c r="FB28" s="108" t="n"/>
      <c r="FC28" s="122">
        <f>FB28*100/$E$28</f>
        <v/>
      </c>
      <c r="FD28" s="108" t="n"/>
      <c r="FE28" s="122">
        <f>FD28*100/$E$28</f>
        <v/>
      </c>
      <c r="FF28" s="108" t="n"/>
      <c r="FG28" s="122">
        <f>FF28*100/$E$28</f>
        <v/>
      </c>
      <c r="FH28" s="108" t="n"/>
      <c r="FI28" s="122">
        <f>FH28*100/$E$28</f>
        <v/>
      </c>
      <c r="FJ28" s="108" t="n"/>
      <c r="FK28" s="122">
        <f>FJ28*100/$E$28</f>
        <v/>
      </c>
      <c r="FL28" s="108" t="n"/>
      <c r="FM28" s="122">
        <f>FL28*100/$E$28</f>
        <v/>
      </c>
      <c r="FN28" s="108" t="n"/>
      <c r="FO28" s="122">
        <f>FN28*100/$E$28</f>
        <v/>
      </c>
      <c r="FP28" s="108" t="n"/>
      <c r="FQ28" s="122">
        <f>FP28*100/$E$28</f>
        <v/>
      </c>
      <c r="FR28" s="108" t="n"/>
      <c r="FS28" s="122">
        <f>FR28*100/$E$28</f>
        <v/>
      </c>
      <c r="FT28" s="108" t="n"/>
      <c r="FU28" s="122">
        <f>FT28*100/$E$28</f>
        <v/>
      </c>
      <c r="FV28" s="108" t="n"/>
      <c r="FW28" s="122">
        <f>FV28*100/$E$28</f>
        <v/>
      </c>
      <c r="FX28" s="108" t="n"/>
      <c r="FY28" s="107">
        <f>FX28*100/$E$28</f>
        <v/>
      </c>
      <c r="FZ28" s="108" t="n"/>
      <c r="GA28" s="107">
        <f>FZ28*100/$E$28</f>
        <v/>
      </c>
      <c r="GB28" s="108" t="n"/>
      <c r="GC28" s="107">
        <f>GB28*100/$E$28</f>
        <v/>
      </c>
      <c r="GD28" s="108" t="n"/>
      <c r="GE28" s="107">
        <f>GD28*100/$E$28</f>
        <v/>
      </c>
      <c r="GF28" s="108" t="n"/>
      <c r="GG28" s="107">
        <f>GF28*100/$E$28</f>
        <v/>
      </c>
      <c r="GH28" s="108" t="n"/>
      <c r="GI28" s="107">
        <f>GH28*100/$E$28</f>
        <v/>
      </c>
      <c r="GJ28" s="108" t="n"/>
      <c r="GK28" s="122">
        <f>GJ28*100/$E$28</f>
        <v/>
      </c>
      <c r="GL28" s="108" t="n"/>
      <c r="GM28" s="107">
        <f>GL28*100/$E$28</f>
        <v/>
      </c>
      <c r="GN28" s="108" t="n"/>
      <c r="GO28" s="122">
        <f>GN28*100/$E$28</f>
        <v/>
      </c>
      <c r="GP28" s="108" t="n"/>
      <c r="GQ28" s="107">
        <f>GP28*100/$E$28</f>
        <v/>
      </c>
      <c r="GR28" s="108" t="n"/>
      <c r="GS28" s="122">
        <f>GR28*100/$E$28</f>
        <v/>
      </c>
      <c r="GT28" s="108" t="n"/>
      <c r="GU28" s="122">
        <f>GT28*100/$E$28</f>
        <v/>
      </c>
      <c r="GV28" s="108" t="n"/>
      <c r="GW28" s="122">
        <f>GV28*100/$E$28</f>
        <v/>
      </c>
      <c r="GX28" s="108" t="n"/>
      <c r="GY28" s="107">
        <f>GX28*100/$E$28</f>
        <v/>
      </c>
      <c r="GZ28" s="108" t="n"/>
      <c r="HA28" s="107">
        <f>GZ28*100/$E$28</f>
        <v/>
      </c>
      <c r="HB28" s="108" t="n"/>
      <c r="HC28" s="107">
        <f>HB28*100/$E$28</f>
        <v/>
      </c>
      <c r="HD28" s="108" t="n"/>
      <c r="HE28" s="107">
        <f>HD28*100/$E$28</f>
        <v/>
      </c>
      <c r="HF28" s="108" t="n"/>
      <c r="HG28" s="107">
        <f>HF28*100/$E$28</f>
        <v/>
      </c>
      <c r="HH28" s="108" t="n"/>
      <c r="HI28" s="107">
        <f>HH28*100/$E$28</f>
        <v/>
      </c>
      <c r="HJ28" s="108" t="n"/>
      <c r="HK28" s="107">
        <f>HJ28*100/$E$28</f>
        <v/>
      </c>
      <c r="HL28" s="108" t="n"/>
      <c r="HM28" s="107">
        <f>HL28*100/$E$28</f>
        <v/>
      </c>
      <c r="HN28" s="108" t="n"/>
      <c r="HO28" s="107">
        <f>HN28*100/$E$28</f>
        <v/>
      </c>
      <c r="HP28" s="108" t="n"/>
      <c r="HQ28" s="107">
        <f>HP28*100/$E$28</f>
        <v/>
      </c>
      <c r="HR28" s="108" t="n"/>
      <c r="HS28" s="107">
        <f>HR28*100/$E$28</f>
        <v/>
      </c>
      <c r="HT28" s="108" t="n"/>
      <c r="HU28" s="107">
        <f>HT28*100/$E$28</f>
        <v/>
      </c>
      <c r="HV28" s="108" t="n"/>
      <c r="HW28" s="107">
        <f>HV28*100/$E$28</f>
        <v/>
      </c>
      <c r="HX28" s="108" t="n"/>
      <c r="HY28" s="107">
        <f>HX28*100/$E$28</f>
        <v/>
      </c>
      <c r="HZ28" s="108" t="n"/>
      <c r="IA28" s="122">
        <f>HZ28*100/$E$28</f>
        <v/>
      </c>
      <c r="IB28" s="108" t="n"/>
      <c r="IC28" s="122">
        <f>IB28*100/$E$28</f>
        <v/>
      </c>
      <c r="ID28" s="108" t="n"/>
      <c r="IE28" s="122">
        <f>ID28*100/$E$28</f>
        <v/>
      </c>
      <c r="IF28" s="108" t="n"/>
      <c r="IG28" s="122">
        <f>IF28*100/$E$28</f>
        <v/>
      </c>
      <c r="IH28" s="108" t="n"/>
      <c r="II28" s="122">
        <f>IH28*100/$E$28</f>
        <v/>
      </c>
      <c r="IJ28" s="108" t="n"/>
      <c r="IK28" s="122">
        <f>IJ28*100/$E$28</f>
        <v/>
      </c>
      <c r="IL28" s="108" t="n"/>
      <c r="IM28" s="107">
        <f>IL28*100/$E$28</f>
        <v/>
      </c>
      <c r="IN28" s="108" t="n"/>
      <c r="IO28" s="107">
        <f>IN28*100/$E$28</f>
        <v/>
      </c>
      <c r="IP28" s="108" t="n"/>
      <c r="IQ28" s="122">
        <f>IP28*100/$E$28</f>
        <v/>
      </c>
      <c r="IR28" s="108" t="n"/>
      <c r="IS28" s="122">
        <f>IR28*100/$E$28</f>
        <v/>
      </c>
      <c r="IT28" s="108" t="n"/>
      <c r="IU28" s="122">
        <f>IT28*100/$E$28</f>
        <v/>
      </c>
      <c r="IV28" s="108" t="n"/>
      <c r="IW28" s="122">
        <f>IV28*100/$E$28</f>
        <v/>
      </c>
      <c r="IX28" s="108" t="n"/>
      <c r="IY28" s="122">
        <f>IX28*100/$E$28</f>
        <v/>
      </c>
      <c r="IZ28" s="108" t="n"/>
      <c r="JA28" s="122">
        <f>IZ28*100/$E$28</f>
        <v/>
      </c>
      <c r="JB28" s="108" t="n"/>
      <c r="JC28" s="122">
        <f>JB28*100/$E$28</f>
        <v/>
      </c>
      <c r="JD28" s="108" t="n"/>
      <c r="JE28" s="122">
        <f>JD28*100/$E$28</f>
        <v/>
      </c>
      <c r="JF28" s="108" t="n"/>
      <c r="JG28" s="122">
        <f>JF28*100/$E$28</f>
        <v/>
      </c>
      <c r="JH28" s="108" t="n"/>
      <c r="JI28" s="122">
        <f>JH28*100/$E$28</f>
        <v/>
      </c>
      <c r="JJ28" s="108" t="n"/>
      <c r="JK28" s="122">
        <f>JJ28*100/$E$28</f>
        <v/>
      </c>
      <c r="JL28" s="108" t="n"/>
      <c r="JM28" s="122">
        <f>JL28*100/$E$28</f>
        <v/>
      </c>
      <c r="JN28" s="108" t="n"/>
      <c r="JO28" s="121">
        <f>JN28*100/$E$28</f>
        <v/>
      </c>
      <c r="JP28" s="108" t="n"/>
      <c r="JQ28" s="121">
        <f>JP28*100/$E$28</f>
        <v/>
      </c>
      <c r="JR28" s="108" t="n"/>
      <c r="JS28" s="121">
        <f>JR28*100/$E$28</f>
        <v/>
      </c>
      <c r="JT28" s="108" t="n"/>
      <c r="JU28" s="121">
        <f>JT28*100/$E$28</f>
        <v/>
      </c>
      <c r="JV28" s="108" t="n"/>
      <c r="JW28" s="121">
        <f>JV28*100/$E$28</f>
        <v/>
      </c>
      <c r="JX28" s="108" t="n"/>
      <c r="JY28" s="121">
        <f>JX28*100/$E$28</f>
        <v/>
      </c>
      <c r="JZ28" s="55">
        <f>JN28+JP28+JR28+JT28+JV28+JX28</f>
        <v/>
      </c>
      <c r="KA28" s="53">
        <f>JO28+JQ28+JS28+JU28+JW28+JY28</f>
        <v/>
      </c>
      <c r="KB28" s="64">
        <f>H28+J28+L28+N28+P28+R28+T28+V28+X28+Z28+AB28+AD28+AF28+AH28+AJ28+AL28+AN28+AP28+AR28+AT28+AV28+AX28+AZ28+BB28+BD28+BF28+BH28+BJ28+BL28+BN28+BP28+BR28+BT28+BV28+BX28+BZ28+CB28+CD28+CF28+CH28+CZ28+DB28+DD28+DF28+DH28+DJ28+DL28+DN28+DP28+DR28+DT28+DV28+DX28+DZ28+EB28+ED28+EF28+EH28+EJ28+EL28+EN28+EP28+ER28+ET28+EV28+FN28+FP28+FR28+FT28+FV28+FX28+FZ28+GB28+GD28+GF28+GH28+GJ28+GL28+GN28+GP28+GR28+GT28+GV28+GX28+GZ28+HB28+HD28+HF28+HH28+HJ28+HL28+HN28+HP28+HR28+HT28+HV28+HX28+HZ28+IB28+ID28+IF28+IH28+IJ28+IL28+IN28+IP28+IR28+IT28+IV28+IX28+IZ28+JB28+JD28+JF28+JH28+JJ28+JL28+JZ28+CJ28+CL28+CN28+CP28+CR28+CT28+CV28+CX28+EX28+EZ28+FB28+FD28+FF28+FH28+FJ28+FL28</f>
        <v/>
      </c>
      <c r="KC28" s="66">
        <f>I28+K28+M28+O28+Q28+S28+U28+W28+Y28+AA28+AC28+AE28+AG28+AI28+AK28+AM28+AO28+AQ28+AS28+AU28+AW28+AY28+BA28+BC28+BE28+BG28+BI28+BK28+BM28+BO28+BQ28+BS28+BU28+BW28+BY28+CA28+CC28+CE28+CG28+CI28+DA28+DC28+DE28+DG28+DI28+DK28+DM28+DO28+DQ28+DS28+DU28+DW28+DY28+EA28+EC28+EE28+EG28+EI28+EK28+EM28+EO28+EQ28+ES28+EU28+EW28+FO28+FS28+FU28+FW28+FQ28+FY28+GA28+GC28+GE28+GG28+GI28+GK28+GM28+GO28+GQ28+GS28+GU28+GW28+GY28+HA28+HC28+HE28+HG28+HI28+HK28+HM28+HO28+HQ28+HS28+HU28+HW28+HY28+IA28+IC28+IE28+IG28+II28+IK28+IM28+IO28+IQ28+IS28+IU28+IW28+IY28+JA28+JC28+JE28+JG28+JI28+JK28+JM28+KA28+CK28+CM28+CO28+CQ28+CS28+CU28+CW28+CY28+EY28+FA28+FC28+FE28+FG28+FI28+FK28+FM28</f>
        <v/>
      </c>
      <c r="KD28" s="44">
        <f>JO28+JQ28+JS28+JU28+JW28+JY28</f>
        <v/>
      </c>
      <c r="KE28" s="45">
        <f>KB28=E28</f>
        <v/>
      </c>
      <c r="KF28" s="101">
        <f>E28-KB28</f>
        <v/>
      </c>
      <c r="KG28" s="21" t="n"/>
    </row>
    <row r="29" ht="21.75" customFormat="1" customHeight="1" s="22">
      <c r="A29" s="126">
        <f>A28+1</f>
        <v/>
      </c>
      <c r="B29" s="175" t="inlineStr">
        <is>
          <t>Кузнецов И.Р.</t>
        </is>
      </c>
      <c r="C29" s="194" t="inlineStr">
        <is>
          <t>слесарь</t>
        </is>
      </c>
      <c r="D29" s="177">
        <f>$D$5</f>
        <v/>
      </c>
      <c r="E29" s="202" t="n"/>
      <c r="F29" s="193" t="n">
        <v>49335</v>
      </c>
      <c r="G29" s="52">
        <f>F29/D29</f>
        <v/>
      </c>
      <c r="H29" s="125" t="n"/>
      <c r="I29" s="107">
        <f>H29*100/$E$29</f>
        <v/>
      </c>
      <c r="J29" s="108" t="n"/>
      <c r="K29" s="107">
        <f>J29*100/$E$29</f>
        <v/>
      </c>
      <c r="L29" s="108" t="n"/>
      <c r="M29" s="107">
        <f>L29*100/$E$29</f>
        <v/>
      </c>
      <c r="N29" s="108" t="n"/>
      <c r="O29" s="107">
        <f>N29*100/$E$29</f>
        <v/>
      </c>
      <c r="P29" s="108" t="n"/>
      <c r="Q29" s="122">
        <f>P29*100/$E$29</f>
        <v/>
      </c>
      <c r="R29" s="108" t="n"/>
      <c r="S29" s="122">
        <f>R29*100/$E$29</f>
        <v/>
      </c>
      <c r="T29" s="108" t="n"/>
      <c r="U29" s="107">
        <f>T29*100/$E$29</f>
        <v/>
      </c>
      <c r="V29" s="108" t="n"/>
      <c r="W29" s="107">
        <f>V29*100/$E$29</f>
        <v/>
      </c>
      <c r="X29" s="108" t="n"/>
      <c r="Y29" s="107">
        <f>X29*100/$E$29</f>
        <v/>
      </c>
      <c r="Z29" s="108" t="n"/>
      <c r="AA29" s="107">
        <f>Z29*100/$E$29</f>
        <v/>
      </c>
      <c r="AB29" s="108" t="n"/>
      <c r="AC29" s="107">
        <f>AB29*100/$E$29</f>
        <v/>
      </c>
      <c r="AD29" s="108" t="n"/>
      <c r="AE29" s="122">
        <f>AD29*100/$E$29</f>
        <v/>
      </c>
      <c r="AF29" s="108" t="n"/>
      <c r="AG29" s="122">
        <f>AF29*100/$E$29</f>
        <v/>
      </c>
      <c r="AH29" s="108" t="n"/>
      <c r="AI29" s="107">
        <f>AH29*100/$E$29</f>
        <v/>
      </c>
      <c r="AJ29" s="108" t="n"/>
      <c r="AK29" s="107">
        <f>AJ29*100/$E$29</f>
        <v/>
      </c>
      <c r="AL29" s="108" t="n"/>
      <c r="AM29" s="107">
        <f>AL29*100/$E$29</f>
        <v/>
      </c>
      <c r="AN29" s="108" t="n"/>
      <c r="AO29" s="107">
        <f>AN29*100/$E$29</f>
        <v/>
      </c>
      <c r="AP29" s="108" t="n"/>
      <c r="AQ29" s="107">
        <f>AP29*100/$E$29</f>
        <v/>
      </c>
      <c r="AR29" s="108" t="n"/>
      <c r="AS29" s="107">
        <f>AR29*100/$E$29</f>
        <v/>
      </c>
      <c r="AT29" s="108" t="n"/>
      <c r="AU29" s="90">
        <f>AT29*100/$E$29</f>
        <v/>
      </c>
      <c r="AV29" s="108" t="n"/>
      <c r="AW29" s="107">
        <f>AV29*100/$E$29</f>
        <v/>
      </c>
      <c r="AX29" s="108" t="n"/>
      <c r="AY29" s="107">
        <f>AX29*100/$E$29</f>
        <v/>
      </c>
      <c r="AZ29" s="108" t="n"/>
      <c r="BA29" s="107">
        <f>AZ29*100/$E$29</f>
        <v/>
      </c>
      <c r="BB29" s="108" t="n"/>
      <c r="BC29" s="107">
        <f>BB29*100/$E$29</f>
        <v/>
      </c>
      <c r="BD29" s="108" t="n"/>
      <c r="BE29" s="107">
        <f>BD29*100/$E$29</f>
        <v/>
      </c>
      <c r="BF29" s="108" t="n"/>
      <c r="BG29" s="107">
        <f>BF29*100/$E$29</f>
        <v/>
      </c>
      <c r="BH29" s="108" t="n"/>
      <c r="BI29" s="107">
        <f>BH29*100/$E$29</f>
        <v/>
      </c>
      <c r="BJ29" s="108" t="n"/>
      <c r="BK29" s="107">
        <f>BJ29*100/$E$29</f>
        <v/>
      </c>
      <c r="BL29" s="108" t="n"/>
      <c r="BM29" s="107">
        <f>BL29*100/$E$29</f>
        <v/>
      </c>
      <c r="BN29" s="108" t="n"/>
      <c r="BO29" s="107">
        <f>BN29*100/$E$29</f>
        <v/>
      </c>
      <c r="BP29" s="108" t="n"/>
      <c r="BQ29" s="107">
        <f>BP29*100/$E$29</f>
        <v/>
      </c>
      <c r="BR29" s="108" t="n"/>
      <c r="BS29" s="107">
        <f>BR29*100/$E$29</f>
        <v/>
      </c>
      <c r="BT29" s="108" t="n"/>
      <c r="BU29" s="107">
        <f>BT29*100/$E$29</f>
        <v/>
      </c>
      <c r="BV29" s="108" t="n"/>
      <c r="BW29" s="107">
        <f>BV29*100/$E$29</f>
        <v/>
      </c>
      <c r="BX29" s="108" t="n"/>
      <c r="BY29" s="107">
        <f>BX29*100/$E$29</f>
        <v/>
      </c>
      <c r="BZ29" s="108" t="n"/>
      <c r="CA29" s="107">
        <f>BZ29*100/$E$29</f>
        <v/>
      </c>
      <c r="CB29" s="108" t="n"/>
      <c r="CC29" s="107">
        <f>CB29*100/$E$29</f>
        <v/>
      </c>
      <c r="CD29" s="108" t="n"/>
      <c r="CE29" s="107">
        <f>CD29*100/$E$29</f>
        <v/>
      </c>
      <c r="CF29" s="108" t="n"/>
      <c r="CG29" s="107">
        <f>CF29*100/$E$29</f>
        <v/>
      </c>
      <c r="CH29" s="108" t="n"/>
      <c r="CI29" s="107">
        <f>CH29*100/$E$29</f>
        <v/>
      </c>
      <c r="CJ29" s="108" t="n"/>
      <c r="CK29" s="107">
        <f>CJ29*100/$E$29</f>
        <v/>
      </c>
      <c r="CL29" s="108" t="n"/>
      <c r="CM29" s="107">
        <f>CL29*100/$E$29</f>
        <v/>
      </c>
      <c r="CN29" s="108" t="n"/>
      <c r="CO29" s="122">
        <f>CN29*100/$E$29</f>
        <v/>
      </c>
      <c r="CP29" s="108" t="n"/>
      <c r="CQ29" s="107">
        <f>CP29*100/$E$29</f>
        <v/>
      </c>
      <c r="CR29" s="108" t="n"/>
      <c r="CS29" s="122">
        <f>CR29*100/$E$29</f>
        <v/>
      </c>
      <c r="CT29" s="108" t="n"/>
      <c r="CU29" s="122">
        <f>CT29*100/$E$29</f>
        <v/>
      </c>
      <c r="CV29" s="108" t="n"/>
      <c r="CW29" s="122">
        <f>CV29*100/$E$29</f>
        <v/>
      </c>
      <c r="CX29" s="108" t="n"/>
      <c r="CY29" s="122">
        <f>CX29*100/$E$29</f>
        <v/>
      </c>
      <c r="CZ29" s="108" t="n"/>
      <c r="DA29" s="122">
        <f>CZ29*100/$E$29</f>
        <v/>
      </c>
      <c r="DB29" s="108" t="n"/>
      <c r="DC29" s="122">
        <f>DB29*100/$E$29</f>
        <v/>
      </c>
      <c r="DD29" s="108" t="n"/>
      <c r="DE29" s="122">
        <f>DD29*100/$E$29</f>
        <v/>
      </c>
      <c r="DF29" s="108" t="n"/>
      <c r="DG29" s="122">
        <f>DF29*100/$E$29</f>
        <v/>
      </c>
      <c r="DH29" s="108" t="n"/>
      <c r="DI29" s="122">
        <f>DH29*100/$E$29</f>
        <v/>
      </c>
      <c r="DJ29" s="108" t="n"/>
      <c r="DK29" s="122">
        <f>DJ29*100/$E$29</f>
        <v/>
      </c>
      <c r="DL29" s="108" t="n"/>
      <c r="DM29" s="122">
        <f>DL29*100/$E$29</f>
        <v/>
      </c>
      <c r="DN29" s="108" t="n"/>
      <c r="DO29" s="122">
        <f>DN29*100/$E$29</f>
        <v/>
      </c>
      <c r="DP29" s="108" t="n"/>
      <c r="DQ29" s="122">
        <f>DP29*100/$E$29</f>
        <v/>
      </c>
      <c r="DR29" s="108" t="n"/>
      <c r="DS29" s="122">
        <f>DR29*100/E29</f>
        <v/>
      </c>
      <c r="DT29" s="108" t="n"/>
      <c r="DU29" s="122">
        <f>DT29*100/$E$29</f>
        <v/>
      </c>
      <c r="DV29" s="108" t="n"/>
      <c r="DW29" s="122">
        <f>DV29*100/$E$29</f>
        <v/>
      </c>
      <c r="DX29" s="108" t="n"/>
      <c r="DY29" s="122">
        <f>DX29*100/$E$29</f>
        <v/>
      </c>
      <c r="DZ29" s="108" t="n"/>
      <c r="EA29" s="122">
        <f>DZ29*100/$E$29</f>
        <v/>
      </c>
      <c r="EB29" s="108" t="n"/>
      <c r="EC29" s="122">
        <f>EB29*100/$E$29</f>
        <v/>
      </c>
      <c r="ED29" s="108" t="n"/>
      <c r="EE29" s="122">
        <f>ED29*100/$E$29</f>
        <v/>
      </c>
      <c r="EF29" s="108" t="n"/>
      <c r="EG29" s="122">
        <f>EF29*100/$E$29</f>
        <v/>
      </c>
      <c r="EH29" s="108" t="n"/>
      <c r="EI29" s="122">
        <f>EH29*100/$E$29</f>
        <v/>
      </c>
      <c r="EJ29" s="108" t="n"/>
      <c r="EK29" s="122">
        <f>EJ29*100/$E$29</f>
        <v/>
      </c>
      <c r="EL29" s="108" t="n"/>
      <c r="EM29" s="122">
        <f>EL29*100/$E$29</f>
        <v/>
      </c>
      <c r="EN29" s="108" t="n"/>
      <c r="EO29" s="122">
        <f>EN29*100/$E$29</f>
        <v/>
      </c>
      <c r="EP29" s="108" t="n"/>
      <c r="EQ29" s="122">
        <f>EP29*100/$E$29</f>
        <v/>
      </c>
      <c r="ER29" s="108" t="n"/>
      <c r="ES29" s="122">
        <f>ER29*100/$E$29</f>
        <v/>
      </c>
      <c r="ET29" s="108" t="n"/>
      <c r="EU29" s="122">
        <f>ET29*100/$E$29</f>
        <v/>
      </c>
      <c r="EV29" s="108" t="n"/>
      <c r="EW29" s="122">
        <f>EV29*100/$E$29</f>
        <v/>
      </c>
      <c r="EX29" s="108" t="n"/>
      <c r="EY29" s="122">
        <f>EX29*100/$E$29</f>
        <v/>
      </c>
      <c r="EZ29" s="108" t="n"/>
      <c r="FA29" s="122">
        <f>EZ29*100/$E$29</f>
        <v/>
      </c>
      <c r="FB29" s="108" t="n"/>
      <c r="FC29" s="122">
        <f>FB29*100/$E$29</f>
        <v/>
      </c>
      <c r="FD29" s="108" t="n"/>
      <c r="FE29" s="122">
        <f>FD29*100/$E$29</f>
        <v/>
      </c>
      <c r="FF29" s="108" t="n"/>
      <c r="FG29" s="122">
        <f>FF29*100/$E$29</f>
        <v/>
      </c>
      <c r="FH29" s="108" t="n"/>
      <c r="FI29" s="122">
        <f>FH29*100/$E$29</f>
        <v/>
      </c>
      <c r="FJ29" s="108" t="n"/>
      <c r="FK29" s="122">
        <f>FJ29*100/$E$29</f>
        <v/>
      </c>
      <c r="FL29" s="108" t="n"/>
      <c r="FM29" s="122">
        <f>FL29*100/$E$29</f>
        <v/>
      </c>
      <c r="FN29" s="108" t="n"/>
      <c r="FO29" s="122">
        <f>FN29*100/$E$29</f>
        <v/>
      </c>
      <c r="FP29" s="108" t="n"/>
      <c r="FQ29" s="122">
        <f>FP29*100/$E$29</f>
        <v/>
      </c>
      <c r="FR29" s="108" t="n"/>
      <c r="FS29" s="122">
        <f>FR29*100/$E$29</f>
        <v/>
      </c>
      <c r="FT29" s="108" t="n"/>
      <c r="FU29" s="122">
        <f>FT29*100/$E$29</f>
        <v/>
      </c>
      <c r="FV29" s="108" t="n"/>
      <c r="FW29" s="122">
        <f>FV29*100/$E$29</f>
        <v/>
      </c>
      <c r="FX29" s="108" t="n"/>
      <c r="FY29" s="107">
        <f>FX29*100/$E$29</f>
        <v/>
      </c>
      <c r="FZ29" s="108" t="n"/>
      <c r="GA29" s="107">
        <f>FZ29*100/$E$29</f>
        <v/>
      </c>
      <c r="GB29" s="108" t="n"/>
      <c r="GC29" s="107">
        <f>GB29*100/$E$29</f>
        <v/>
      </c>
      <c r="GD29" s="108" t="n"/>
      <c r="GE29" s="107">
        <f>GD29*100/$E$29</f>
        <v/>
      </c>
      <c r="GF29" s="108" t="n"/>
      <c r="GG29" s="107">
        <f>GF29*100/$E$29</f>
        <v/>
      </c>
      <c r="GH29" s="108" t="n"/>
      <c r="GI29" s="107">
        <f>GH29*100/$E$29</f>
        <v/>
      </c>
      <c r="GJ29" s="108" t="n"/>
      <c r="GK29" s="122">
        <f>GJ29*100/$E$29</f>
        <v/>
      </c>
      <c r="GL29" s="108" t="n"/>
      <c r="GM29" s="107">
        <f>GL29*100/$E$29</f>
        <v/>
      </c>
      <c r="GN29" s="108" t="n"/>
      <c r="GO29" s="122">
        <f>GN29*100/$E$29</f>
        <v/>
      </c>
      <c r="GP29" s="108" t="n"/>
      <c r="GQ29" s="107">
        <f>GP29*100/$E$29</f>
        <v/>
      </c>
      <c r="GR29" s="108" t="n"/>
      <c r="GS29" s="122">
        <f>GR29*100/$E$29</f>
        <v/>
      </c>
      <c r="GT29" s="108" t="n"/>
      <c r="GU29" s="122">
        <f>GT29*100/$E$29</f>
        <v/>
      </c>
      <c r="GV29" s="108" t="n"/>
      <c r="GW29" s="122">
        <f>GV29*100/$E$29</f>
        <v/>
      </c>
      <c r="GX29" s="108" t="n"/>
      <c r="GY29" s="107">
        <f>GX29*100/$E$29</f>
        <v/>
      </c>
      <c r="GZ29" s="108" t="n"/>
      <c r="HA29" s="107">
        <f>GZ29*100/$E$29</f>
        <v/>
      </c>
      <c r="HB29" s="108" t="n"/>
      <c r="HC29" s="107">
        <f>HB29*100/$E$29</f>
        <v/>
      </c>
      <c r="HD29" s="108" t="n"/>
      <c r="HE29" s="107">
        <f>HD29*100/$E$29</f>
        <v/>
      </c>
      <c r="HF29" s="108" t="n"/>
      <c r="HG29" s="107">
        <f>HF29*100/$E$29</f>
        <v/>
      </c>
      <c r="HH29" s="108" t="n"/>
      <c r="HI29" s="107">
        <f>HH29*100/$E$29</f>
        <v/>
      </c>
      <c r="HJ29" s="108" t="n"/>
      <c r="HK29" s="107">
        <f>HJ29*100/$E$29</f>
        <v/>
      </c>
      <c r="HL29" s="108" t="n"/>
      <c r="HM29" s="107">
        <f>HL29*100/$E$29</f>
        <v/>
      </c>
      <c r="HN29" s="108" t="n"/>
      <c r="HO29" s="107">
        <f>HN29*100/$E$29</f>
        <v/>
      </c>
      <c r="HP29" s="108" t="n"/>
      <c r="HQ29" s="107">
        <f>HP29*100/$E$29</f>
        <v/>
      </c>
      <c r="HR29" s="108" t="n"/>
      <c r="HS29" s="107">
        <f>HR29*100/$E$29</f>
        <v/>
      </c>
      <c r="HT29" s="108" t="n"/>
      <c r="HU29" s="107">
        <f>HT29*100/$E$29</f>
        <v/>
      </c>
      <c r="HV29" s="108" t="n"/>
      <c r="HW29" s="107">
        <f>HV29*100/$E$29</f>
        <v/>
      </c>
      <c r="HX29" s="108" t="n"/>
      <c r="HY29" s="107">
        <f>HX29*100/$E$29</f>
        <v/>
      </c>
      <c r="HZ29" s="108" t="n"/>
      <c r="IA29" s="122">
        <f>HZ29*100/$E$29</f>
        <v/>
      </c>
      <c r="IB29" s="108" t="n"/>
      <c r="IC29" s="122">
        <f>IB29*100/$E$29</f>
        <v/>
      </c>
      <c r="ID29" s="108" t="n"/>
      <c r="IE29" s="122">
        <f>ID29*100/$E$29</f>
        <v/>
      </c>
      <c r="IF29" s="108" t="n"/>
      <c r="IG29" s="122">
        <f>IF29*100/$E$29</f>
        <v/>
      </c>
      <c r="IH29" s="108" t="n"/>
      <c r="II29" s="122">
        <f>IH29*100/$E$29</f>
        <v/>
      </c>
      <c r="IJ29" s="108" t="n"/>
      <c r="IK29" s="122">
        <f>IJ29*100/$E$29</f>
        <v/>
      </c>
      <c r="IL29" s="108" t="n"/>
      <c r="IM29" s="107">
        <f>IL29*100/$E$29</f>
        <v/>
      </c>
      <c r="IN29" s="108" t="n"/>
      <c r="IO29" s="107">
        <f>IN29*100/$E$29</f>
        <v/>
      </c>
      <c r="IP29" s="108" t="n"/>
      <c r="IQ29" s="122">
        <f>IP29*100/$E$29</f>
        <v/>
      </c>
      <c r="IR29" s="108" t="n"/>
      <c r="IS29" s="122">
        <f>IR29*100/$E$29</f>
        <v/>
      </c>
      <c r="IT29" s="108" t="n"/>
      <c r="IU29" s="122">
        <f>IT29*100/$E$29</f>
        <v/>
      </c>
      <c r="IV29" s="108" t="n"/>
      <c r="IW29" s="122">
        <f>IV29*100/$E$29</f>
        <v/>
      </c>
      <c r="IX29" s="108" t="n"/>
      <c r="IY29" s="122">
        <f>IX29*100/$E$29</f>
        <v/>
      </c>
      <c r="IZ29" s="108" t="n"/>
      <c r="JA29" s="122">
        <f>IZ29*100/$E$29</f>
        <v/>
      </c>
      <c r="JB29" s="108" t="n"/>
      <c r="JC29" s="122">
        <f>JB29*100/$E$29</f>
        <v/>
      </c>
      <c r="JD29" s="108" t="n"/>
      <c r="JE29" s="122">
        <f>JD29*100/$E$29</f>
        <v/>
      </c>
      <c r="JF29" s="108" t="n"/>
      <c r="JG29" s="122">
        <f>JF29*100/$E$29</f>
        <v/>
      </c>
      <c r="JH29" s="108" t="n"/>
      <c r="JI29" s="122">
        <f>JH29*100/$E$29</f>
        <v/>
      </c>
      <c r="JJ29" s="108" t="n"/>
      <c r="JK29" s="122">
        <f>JJ29*100/$E$29</f>
        <v/>
      </c>
      <c r="JL29" s="108" t="n"/>
      <c r="JM29" s="122">
        <f>JL29*100/$E$29</f>
        <v/>
      </c>
      <c r="JN29" s="108" t="n"/>
      <c r="JO29" s="121">
        <f>JN29*100/$E$29</f>
        <v/>
      </c>
      <c r="JP29" s="108" t="n"/>
      <c r="JQ29" s="121">
        <f>JP29*100/$E$29</f>
        <v/>
      </c>
      <c r="JR29" s="108" t="n"/>
      <c r="JS29" s="121">
        <f>JR29*100/$E$29</f>
        <v/>
      </c>
      <c r="JT29" s="108" t="n"/>
      <c r="JU29" s="121">
        <f>JT29*100/$E$29</f>
        <v/>
      </c>
      <c r="JV29" s="108" t="n"/>
      <c r="JW29" s="121">
        <f>JV29*100/$E$29</f>
        <v/>
      </c>
      <c r="JX29" s="108" t="n"/>
      <c r="JY29" s="121">
        <f>JX29*100/$E$29</f>
        <v/>
      </c>
      <c r="JZ29" s="55">
        <f>JN29+JP29+JR29+JT29+JV29+JX29</f>
        <v/>
      </c>
      <c r="KA29" s="53">
        <f>JO29+JQ29+JS29+JU29+JW29+JY29</f>
        <v/>
      </c>
      <c r="KB29" s="64">
        <f>H29+J29+L29+N29+P29+R29+T29+V29+X29+Z29+AB29+AD29+AF29+AH29+AJ29+AL29+AN29+AP29+AR29+AT29+AV29+AX29+AZ29+BB29+BD29+BF29+BH29+BJ29+BL29+BN29+BP29+BR29+BT29+BV29+BX29+BZ29+CB29+CD29+CF29+CH29+CZ29+DB29+DD29+DF29+DH29+DJ29+DL29+DN29+DP29+DR29+DT29+DV29+DX29+DZ29+EB29+ED29+EF29+EH29+EJ29+EL29+EN29+EP29+ER29+ET29+EV29+FN29+FP29+FR29+FT29+FV29+FX29+FZ29+GB29+GD29+GF29+GH29+GJ29+GL29+GN29+GP29+GR29+GT29+GV29+GX29+GZ29+HB29+HD29+HF29+HH29+HJ29+HL29+HN29+HP29+HR29+HT29+HV29+HX29+HZ29+IB29+ID29+IF29+IH29+IJ29+IL29+IN29+IP29+IR29+IT29+IV29+IX29+IZ29+JB29+JD29+JF29+JH29+JJ29+JL29+JZ29+CJ29+CL29+CN29+CP29+CR29+CT29+CV29+CX29+EX29+EZ29+FB29+FD29+FF29+FH29+FJ29+FL29</f>
        <v/>
      </c>
      <c r="KC29" s="66">
        <f>I29+K29+M29+O29+Q29+S29+U29+W29+Y29+AA29+AC29+AE29+AG29+AI29+AK29+AM29+AO29+AQ29+AS29+AU29+AW29+AY29+BA29+BC29+BE29+BG29+BI29+BK29+BM29+BO29+BQ29+BS29+BU29+BW29+BY29+CA29+CC29+CE29+CG29+CI29+DA29+DC29+DE29+DG29+DI29+DK29+DM29+DO29+DQ29+DS29+DU29+DW29+DY29+EA29+EC29+EE29+EG29+EI29+EK29+EM29+EO29+EQ29+ES29+EU29+EW29+FO29+FS29+FU29+FW29+FQ29+FY29+GA29+GC29+GE29+GG29+GI29+GK29+GM29+GO29+GQ29+GS29+GU29+GW29+GY29+HA29+HC29+HE29+HG29+HI29+HK29+HM29+HO29+HQ29+HS29+HU29+HW29+HY29+IA29+IC29+IE29+IG29+II29+IK29+IM29+IO29+IQ29+IS29+IU29+IW29+IY29+JA29+JC29+JE29+JG29+JI29+JK29+JM29+KA29+CK29+CM29+CO29+CQ29+CS29+CU29+CW29+CY29+EY29+FA29+FC29+FE29+FG29+FI29+FK29+FM29</f>
        <v/>
      </c>
      <c r="KD29" s="44">
        <f>JO29+JQ29+JS29+JU29+JW29+JY29</f>
        <v/>
      </c>
      <c r="KE29" s="45">
        <f>KB29=E29</f>
        <v/>
      </c>
      <c r="KF29" s="101">
        <f>E29-KB29</f>
        <v/>
      </c>
      <c r="KG29" s="21" t="n"/>
    </row>
    <row r="30" ht="21.75" customFormat="1" customHeight="1" s="22">
      <c r="A30" s="126">
        <f>A29+1</f>
        <v/>
      </c>
      <c r="B30" s="175" t="inlineStr">
        <is>
          <t>Кузнецов Р.А.</t>
        </is>
      </c>
      <c r="C30" s="176" t="inlineStr">
        <is>
          <t>сварщик</t>
        </is>
      </c>
      <c r="D30" s="177">
        <f>$D$5</f>
        <v/>
      </c>
      <c r="E30" s="202" t="n"/>
      <c r="F30" s="193" t="n">
        <v>84149.67999999999</v>
      </c>
      <c r="G30" s="52">
        <f>F30/D30</f>
        <v/>
      </c>
      <c r="H30" s="108" t="n"/>
      <c r="I30" s="122">
        <f>H30*100/$E$30</f>
        <v/>
      </c>
      <c r="J30" s="108" t="n"/>
      <c r="K30" s="122">
        <f>J30*100/$E$30</f>
        <v/>
      </c>
      <c r="L30" s="108" t="n"/>
      <c r="M30" s="122">
        <f>L30*100/$E$30</f>
        <v/>
      </c>
      <c r="N30" s="108" t="n"/>
      <c r="O30" s="122">
        <f>N30*100/$E$30</f>
        <v/>
      </c>
      <c r="P30" s="108" t="n"/>
      <c r="Q30" s="122">
        <f>P30*100/$E$30</f>
        <v/>
      </c>
      <c r="R30" s="108" t="n"/>
      <c r="S30" s="122">
        <f>R30*100/$E$30</f>
        <v/>
      </c>
      <c r="T30" s="108" t="n"/>
      <c r="U30" s="122">
        <f>T30*100/$E$30</f>
        <v/>
      </c>
      <c r="V30" s="108" t="n"/>
      <c r="W30" s="122">
        <f>V30*100/$E$30</f>
        <v/>
      </c>
      <c r="X30" s="108" t="n"/>
      <c r="Y30" s="122">
        <f>X30*100/$E$30</f>
        <v/>
      </c>
      <c r="Z30" s="108" t="n"/>
      <c r="AA30" s="122">
        <f>Z30*100/$E$30</f>
        <v/>
      </c>
      <c r="AB30" s="108" t="n"/>
      <c r="AC30" s="122">
        <f>AB30*100/$E$30</f>
        <v/>
      </c>
      <c r="AD30" s="108" t="n"/>
      <c r="AE30" s="122">
        <f>AD30*100/$E$30</f>
        <v/>
      </c>
      <c r="AF30" s="108" t="n"/>
      <c r="AG30" s="122">
        <f>AF30*100/$E$30</f>
        <v/>
      </c>
      <c r="AH30" s="108" t="n"/>
      <c r="AI30" s="122">
        <f>AH30*100/$E$30</f>
        <v/>
      </c>
      <c r="AJ30" s="108" t="n"/>
      <c r="AK30" s="122">
        <f>AJ30*100/$E$30</f>
        <v/>
      </c>
      <c r="AL30" s="108" t="n"/>
      <c r="AM30" s="122">
        <f>AL30*100/$E$30</f>
        <v/>
      </c>
      <c r="AN30" s="108" t="n"/>
      <c r="AO30" s="122">
        <f>AN30*100/$E$30</f>
        <v/>
      </c>
      <c r="AP30" s="108" t="n"/>
      <c r="AQ30" s="122">
        <f>AP30*100/$E$30</f>
        <v/>
      </c>
      <c r="AR30" s="108" t="n"/>
      <c r="AS30" s="122">
        <f>AR30*100/$E$30</f>
        <v/>
      </c>
      <c r="AT30" s="108" t="n"/>
      <c r="AU30" s="90">
        <f>AT30*100/$E$30</f>
        <v/>
      </c>
      <c r="AV30" s="108" t="n"/>
      <c r="AW30" s="122">
        <f>AV30*100/$E$30</f>
        <v/>
      </c>
      <c r="AX30" s="108" t="n"/>
      <c r="AY30" s="122">
        <f>AX30*100/$E$30</f>
        <v/>
      </c>
      <c r="AZ30" s="108" t="n"/>
      <c r="BA30" s="122">
        <f>AZ30*100/$E$30</f>
        <v/>
      </c>
      <c r="BB30" s="108" t="n"/>
      <c r="BC30" s="122">
        <f>BB30*100/$E$30</f>
        <v/>
      </c>
      <c r="BD30" s="108" t="n"/>
      <c r="BE30" s="122">
        <f>BD30*100/$E$30</f>
        <v/>
      </c>
      <c r="BF30" s="108" t="n"/>
      <c r="BG30" s="122">
        <f>BF30*100/$E$30</f>
        <v/>
      </c>
      <c r="BH30" s="108" t="n"/>
      <c r="BI30" s="122">
        <f>BH30*100/$E$30</f>
        <v/>
      </c>
      <c r="BJ30" s="108" t="n"/>
      <c r="BK30" s="122">
        <f>BJ30*100/$E$30</f>
        <v/>
      </c>
      <c r="BL30" s="108" t="n"/>
      <c r="BM30" s="122">
        <f>BL30*100/$E$30</f>
        <v/>
      </c>
      <c r="BN30" s="108" t="n"/>
      <c r="BO30" s="122">
        <f>BN30*100/$E$30</f>
        <v/>
      </c>
      <c r="BP30" s="108" t="n"/>
      <c r="BQ30" s="122">
        <f>BP30*100/$E$30</f>
        <v/>
      </c>
      <c r="BR30" s="108" t="n"/>
      <c r="BS30" s="122">
        <f>BR30*100/$E$30</f>
        <v/>
      </c>
      <c r="BT30" s="108" t="n"/>
      <c r="BU30" s="122">
        <f>BT30*100/$E$30</f>
        <v/>
      </c>
      <c r="BV30" s="108" t="n"/>
      <c r="BW30" s="122">
        <f>BV30*100/$E$30</f>
        <v/>
      </c>
      <c r="BX30" s="108" t="n"/>
      <c r="BY30" s="122">
        <f>BX30*100/$E$30</f>
        <v/>
      </c>
      <c r="BZ30" s="108" t="n"/>
      <c r="CA30" s="122">
        <f>BZ30*100/$E$30</f>
        <v/>
      </c>
      <c r="CB30" s="108" t="n"/>
      <c r="CC30" s="122">
        <f>CB30*100/$E$30</f>
        <v/>
      </c>
      <c r="CD30" s="108" t="n"/>
      <c r="CE30" s="122">
        <f>CD30*100/$E$30</f>
        <v/>
      </c>
      <c r="CF30" s="108" t="n"/>
      <c r="CG30" s="122">
        <f>CF30*100/$E$30</f>
        <v/>
      </c>
      <c r="CH30" s="108" t="n"/>
      <c r="CI30" s="122">
        <f>CH30*100/$E$30</f>
        <v/>
      </c>
      <c r="CJ30" s="108" t="n"/>
      <c r="CK30" s="122">
        <f>CJ30*100/$E$30</f>
        <v/>
      </c>
      <c r="CL30" s="108" t="n"/>
      <c r="CM30" s="122">
        <f>CL30*100/$E$30</f>
        <v/>
      </c>
      <c r="CN30" s="108" t="n"/>
      <c r="CO30" s="122">
        <f>CN30*100/$E$30</f>
        <v/>
      </c>
      <c r="CP30" s="108" t="n"/>
      <c r="CQ30" s="122">
        <f>CP30*100/$E$30</f>
        <v/>
      </c>
      <c r="CR30" s="108" t="n"/>
      <c r="CS30" s="122">
        <f>CR30*100/$E$30</f>
        <v/>
      </c>
      <c r="CT30" s="108" t="n"/>
      <c r="CU30" s="122">
        <f>CT30*100/$E$30</f>
        <v/>
      </c>
      <c r="CV30" s="108" t="n"/>
      <c r="CW30" s="122">
        <f>CV30*100/$E$30</f>
        <v/>
      </c>
      <c r="CX30" s="108" t="n"/>
      <c r="CY30" s="122">
        <f>CX30*100/$E$30</f>
        <v/>
      </c>
      <c r="CZ30" s="108" t="n"/>
      <c r="DA30" s="122">
        <f>CZ30*100/$E$30</f>
        <v/>
      </c>
      <c r="DB30" s="108" t="n"/>
      <c r="DC30" s="122">
        <f>DB30*100/$E$30</f>
        <v/>
      </c>
      <c r="DD30" s="108" t="n"/>
      <c r="DE30" s="122">
        <f>DD30*100/$E$30</f>
        <v/>
      </c>
      <c r="DF30" s="108" t="n"/>
      <c r="DG30" s="122">
        <f>DF30*100/$E$30</f>
        <v/>
      </c>
      <c r="DH30" s="108" t="n"/>
      <c r="DI30" s="122">
        <f>DH30*100/$E$30</f>
        <v/>
      </c>
      <c r="DJ30" s="108" t="n"/>
      <c r="DK30" s="122">
        <f>DJ30*100/$E$30</f>
        <v/>
      </c>
      <c r="DL30" s="108" t="n"/>
      <c r="DM30" s="122">
        <f>DL30*100/$E$30</f>
        <v/>
      </c>
      <c r="DN30" s="108" t="n"/>
      <c r="DO30" s="122">
        <f>DN30*100/$E$30</f>
        <v/>
      </c>
      <c r="DP30" s="108" t="n"/>
      <c r="DQ30" s="122">
        <f>DP30*100/$E$30</f>
        <v/>
      </c>
      <c r="DR30" s="108" t="n"/>
      <c r="DS30" s="122">
        <f>DR30*100/$E$30</f>
        <v/>
      </c>
      <c r="DT30" s="108" t="n"/>
      <c r="DU30" s="122">
        <f>DT30*100/$E$30</f>
        <v/>
      </c>
      <c r="DV30" s="108" t="n"/>
      <c r="DW30" s="122">
        <f>DV30*100/$E$30</f>
        <v/>
      </c>
      <c r="DX30" s="108" t="n"/>
      <c r="DY30" s="122">
        <f>DX30*100/$E$30</f>
        <v/>
      </c>
      <c r="DZ30" s="108" t="n"/>
      <c r="EA30" s="122">
        <f>DZ30*100/$E$30</f>
        <v/>
      </c>
      <c r="EB30" s="108" t="n"/>
      <c r="EC30" s="122">
        <f>EB30*100/$E$30</f>
        <v/>
      </c>
      <c r="ED30" s="108" t="n"/>
      <c r="EE30" s="122">
        <f>ED30*100/$E$30</f>
        <v/>
      </c>
      <c r="EF30" s="108" t="n"/>
      <c r="EG30" s="122">
        <f>EF30*100/$E$30</f>
        <v/>
      </c>
      <c r="EH30" s="108" t="n"/>
      <c r="EI30" s="122">
        <f>EH30*100/$E$30</f>
        <v/>
      </c>
      <c r="EJ30" s="108" t="n"/>
      <c r="EK30" s="122">
        <f>EJ30*100/$E$30</f>
        <v/>
      </c>
      <c r="EL30" s="108" t="n"/>
      <c r="EM30" s="122">
        <f>EL30*100/$E$30</f>
        <v/>
      </c>
      <c r="EN30" s="108" t="n"/>
      <c r="EO30" s="122">
        <f>EN30*100/$E$30</f>
        <v/>
      </c>
      <c r="EP30" s="108" t="n"/>
      <c r="EQ30" s="122">
        <f>EP30*100/$E$30</f>
        <v/>
      </c>
      <c r="ER30" s="108" t="n"/>
      <c r="ES30" s="122">
        <f>ER30*100/$E$30</f>
        <v/>
      </c>
      <c r="ET30" s="108" t="n"/>
      <c r="EU30" s="122">
        <f>ET30*100/$E$30</f>
        <v/>
      </c>
      <c r="EV30" s="108" t="n"/>
      <c r="EW30" s="122">
        <f>EV30*100/$E$30</f>
        <v/>
      </c>
      <c r="EX30" s="108" t="n"/>
      <c r="EY30" s="122">
        <f>EX30*100/$E$30</f>
        <v/>
      </c>
      <c r="EZ30" s="108" t="n"/>
      <c r="FA30" s="122">
        <f>EZ30*100/$E$30</f>
        <v/>
      </c>
      <c r="FB30" s="108" t="n"/>
      <c r="FC30" s="122">
        <f>FB30*100/$E$30</f>
        <v/>
      </c>
      <c r="FD30" s="108" t="n"/>
      <c r="FE30" s="122">
        <f>FD30*100/$E$30</f>
        <v/>
      </c>
      <c r="FF30" s="108" t="n"/>
      <c r="FG30" s="122">
        <f>FF30*100/$E$30</f>
        <v/>
      </c>
      <c r="FH30" s="108" t="n"/>
      <c r="FI30" s="122">
        <f>FH30*100/$E$30</f>
        <v/>
      </c>
      <c r="FJ30" s="108" t="n"/>
      <c r="FK30" s="122">
        <f>FJ30*100/$E$30</f>
        <v/>
      </c>
      <c r="FL30" s="108" t="n"/>
      <c r="FM30" s="122">
        <f>FL30*100/$E$30</f>
        <v/>
      </c>
      <c r="FN30" s="108" t="n"/>
      <c r="FO30" s="122">
        <f>FN30*100/$E$30</f>
        <v/>
      </c>
      <c r="FP30" s="108" t="n"/>
      <c r="FQ30" s="122">
        <f>FP30*100/$E$30</f>
        <v/>
      </c>
      <c r="FR30" s="108" t="n"/>
      <c r="FS30" s="122">
        <f>FR30*100/$E$30</f>
        <v/>
      </c>
      <c r="FT30" s="108" t="n"/>
      <c r="FU30" s="122">
        <f>FT30*100/$E$30</f>
        <v/>
      </c>
      <c r="FV30" s="108" t="n"/>
      <c r="FW30" s="122">
        <f>FV30*100/$E$30</f>
        <v/>
      </c>
      <c r="FX30" s="108" t="n"/>
      <c r="FY30" s="122">
        <f>FX30*100/$E$30</f>
        <v/>
      </c>
      <c r="FZ30" s="108" t="n"/>
      <c r="GA30" s="122">
        <f>FZ30*100/$E$30</f>
        <v/>
      </c>
      <c r="GB30" s="108" t="n"/>
      <c r="GC30" s="122">
        <f>GB30*100/$E$30</f>
        <v/>
      </c>
      <c r="GD30" s="108" t="n"/>
      <c r="GE30" s="122">
        <f>GD30*100/$E$30</f>
        <v/>
      </c>
      <c r="GF30" s="108" t="n"/>
      <c r="GG30" s="122">
        <f>GF30*100/$E$30</f>
        <v/>
      </c>
      <c r="GH30" s="108" t="n"/>
      <c r="GI30" s="122">
        <f>GH30*100/$E$30</f>
        <v/>
      </c>
      <c r="GJ30" s="108" t="n"/>
      <c r="GK30" s="122">
        <f>GJ30*100/$E$30</f>
        <v/>
      </c>
      <c r="GL30" s="108" t="n"/>
      <c r="GM30" s="122">
        <f>GL30*100/$E$30</f>
        <v/>
      </c>
      <c r="GN30" s="108" t="n"/>
      <c r="GO30" s="122">
        <f>GN30*100/$E$30</f>
        <v/>
      </c>
      <c r="GP30" s="108" t="n"/>
      <c r="GQ30" s="122">
        <f>GP30*100/$E$30</f>
        <v/>
      </c>
      <c r="GR30" s="108" t="n"/>
      <c r="GS30" s="122">
        <f>GR30*100/$E$30</f>
        <v/>
      </c>
      <c r="GT30" s="108" t="n"/>
      <c r="GU30" s="122">
        <f>GT30*100/$E$30</f>
        <v/>
      </c>
      <c r="GV30" s="108" t="n"/>
      <c r="GW30" s="122">
        <f>GV30*100/$E$30</f>
        <v/>
      </c>
      <c r="GX30" s="108" t="n"/>
      <c r="GY30" s="122">
        <f>GX30*100/$E$30</f>
        <v/>
      </c>
      <c r="GZ30" s="108" t="n"/>
      <c r="HA30" s="122">
        <f>GZ30*100/$E$30</f>
        <v/>
      </c>
      <c r="HB30" s="108" t="n"/>
      <c r="HC30" s="122">
        <f>HB30*100/$E$30</f>
        <v/>
      </c>
      <c r="HD30" s="108" t="n"/>
      <c r="HE30" s="122">
        <f>HD30*100/$E$30</f>
        <v/>
      </c>
      <c r="HF30" s="108" t="n"/>
      <c r="HG30" s="122">
        <f>HF30*100/$E$30</f>
        <v/>
      </c>
      <c r="HH30" s="108" t="n"/>
      <c r="HI30" s="122">
        <f>HH30*100/$E$30</f>
        <v/>
      </c>
      <c r="HJ30" s="108" t="n"/>
      <c r="HK30" s="122">
        <f>HJ30*100/$E$30</f>
        <v/>
      </c>
      <c r="HL30" s="108" t="n"/>
      <c r="HM30" s="122">
        <f>HL30*100/$E$30</f>
        <v/>
      </c>
      <c r="HN30" s="108" t="n"/>
      <c r="HO30" s="122">
        <f>HN30*100/$E$30</f>
        <v/>
      </c>
      <c r="HP30" s="108" t="n"/>
      <c r="HQ30" s="122">
        <f>HP30*100/$E$30</f>
        <v/>
      </c>
      <c r="HR30" s="108" t="n"/>
      <c r="HS30" s="122">
        <f>HR30*100/$E$30</f>
        <v/>
      </c>
      <c r="HT30" s="108" t="n"/>
      <c r="HU30" s="122">
        <f>HT30*100/$E$30</f>
        <v/>
      </c>
      <c r="HV30" s="108" t="n"/>
      <c r="HW30" s="122">
        <f>HV30*100/$E$30</f>
        <v/>
      </c>
      <c r="HX30" s="108" t="n"/>
      <c r="HY30" s="122">
        <f>HX30*100/$E$30</f>
        <v/>
      </c>
      <c r="HZ30" s="108" t="n"/>
      <c r="IA30" s="122">
        <f>HZ30*100/$E$30</f>
        <v/>
      </c>
      <c r="IB30" s="108" t="n"/>
      <c r="IC30" s="122">
        <f>IB30*100/$E$30</f>
        <v/>
      </c>
      <c r="ID30" s="108" t="n"/>
      <c r="IE30" s="122">
        <f>ID30*100/$E$30</f>
        <v/>
      </c>
      <c r="IF30" s="108" t="n"/>
      <c r="IG30" s="122">
        <f>IF30*100/$E$30</f>
        <v/>
      </c>
      <c r="IH30" s="108" t="n"/>
      <c r="II30" s="122">
        <f>IH30*100/$E$30</f>
        <v/>
      </c>
      <c r="IJ30" s="108" t="n"/>
      <c r="IK30" s="122">
        <f>IJ30*100/$E$30</f>
        <v/>
      </c>
      <c r="IL30" s="108" t="n"/>
      <c r="IM30" s="122">
        <f>IL30*100/$E$30</f>
        <v/>
      </c>
      <c r="IN30" s="108" t="n"/>
      <c r="IO30" s="122">
        <f>IN30*100/$E$30</f>
        <v/>
      </c>
      <c r="IP30" s="108" t="n"/>
      <c r="IQ30" s="122">
        <f>IP30*100/$E$30</f>
        <v/>
      </c>
      <c r="IR30" s="108" t="n"/>
      <c r="IS30" s="122">
        <f>IR30*100/$E$30</f>
        <v/>
      </c>
      <c r="IT30" s="108" t="n"/>
      <c r="IU30" s="122">
        <f>IT30*100/$E$30</f>
        <v/>
      </c>
      <c r="IV30" s="108" t="n"/>
      <c r="IW30" s="122">
        <f>IV30*100/$E$30</f>
        <v/>
      </c>
      <c r="IX30" s="108" t="n"/>
      <c r="IY30" s="122">
        <f>IX30*100/$E$30</f>
        <v/>
      </c>
      <c r="IZ30" s="108" t="n"/>
      <c r="JA30" s="122">
        <f>IZ30*100/$E$30</f>
        <v/>
      </c>
      <c r="JB30" s="108" t="n"/>
      <c r="JC30" s="122">
        <f>JB30*100/$E$30</f>
        <v/>
      </c>
      <c r="JD30" s="108" t="n"/>
      <c r="JE30" s="122">
        <f>JD30*100/$E$30</f>
        <v/>
      </c>
      <c r="JF30" s="108" t="n"/>
      <c r="JG30" s="122">
        <f>JF30*100/$E$30</f>
        <v/>
      </c>
      <c r="JH30" s="108" t="n"/>
      <c r="JI30" s="122">
        <f>JH30*100/$E$30</f>
        <v/>
      </c>
      <c r="JJ30" s="108" t="n"/>
      <c r="JK30" s="122">
        <f>JJ30*100/$E$30</f>
        <v/>
      </c>
      <c r="JL30" s="108" t="n"/>
      <c r="JM30" s="122">
        <f>JL30*100/$E$30</f>
        <v/>
      </c>
      <c r="JN30" s="108" t="n"/>
      <c r="JO30" s="122">
        <f>JN30*100/$E$30</f>
        <v/>
      </c>
      <c r="JP30" s="108" t="n"/>
      <c r="JQ30" s="122">
        <f>JP30*100/$E$30</f>
        <v/>
      </c>
      <c r="JR30" s="108" t="n"/>
      <c r="JS30" s="122">
        <f>JR30*100/$E$30</f>
        <v/>
      </c>
      <c r="JT30" s="108" t="n"/>
      <c r="JU30" s="122">
        <f>JT30*100/$E$30</f>
        <v/>
      </c>
      <c r="JV30" s="108" t="n"/>
      <c r="JW30" s="122">
        <f>JV30*100/$E$30</f>
        <v/>
      </c>
      <c r="JX30" s="108" t="n"/>
      <c r="JY30" s="122">
        <f>JX30*100/$E$30</f>
        <v/>
      </c>
      <c r="JZ30" s="55">
        <f>JN30+JP30+JR30+JT30+JV30+JX30</f>
        <v/>
      </c>
      <c r="KA30" s="53">
        <f>JO30+JQ30+JS30+JU30+JW30+JY30</f>
        <v/>
      </c>
      <c r="KB30" s="64">
        <f>H30+J30+L30+N30+P30+R30+T30+V30+X30+Z30+AB30+AD30+AF30+AH30+AJ30+AL30+AN30+AP30+AR30+AT30+AV30+AX30+AZ30+BB30+BD30+BF30+BH30+BJ30+BL30+BN30+BP30+BR30+BT30+BV30+BX30+BZ30+CB30+CD30+CF30+CH30+CZ30+DB30+DD30+DF30+DH30+DJ30+DL30+DN30+DP30+DR30+DT30+DV30+DX30+DZ30+EB30+ED30+EF30+EH30+EJ30+EL30+EN30+EP30+ER30+ET30+EV30+FN30+FP30+FR30+FT30+FV30+FX30+FZ30+GB30+GD30+GF30+GH30+GJ30+GL30+GN30+GP30+GR30+GT30+GV30+GX30+GZ30+HB30+HD30+HF30+HH30+HJ30+HL30+HN30+HP30+HR30+HT30+HV30+HX30+HZ30+IB30+ID30+IF30+IH30+IJ30+IL30+IN30+IP30+IR30+IT30+IV30+IX30+IZ30+JB30+JD30+JF30+JH30+JJ30+JL30+JZ30+CJ30+CL30+CN30+CP30+CR30+CT30+CV30+CX30+EX30+EZ30+FB30+FD30+FF30+FH30+FJ30+FL30</f>
        <v/>
      </c>
      <c r="KC30" s="66">
        <f>I30+K30+M30+O30+Q30+S30+U30+W30+Y30+AA30+AC30+AE30+AG30+AI30+AK30+AM30+AO30+AQ30+AS30+AU30+AW30+AY30+BA30+BC30+BE30+BG30+BI30+BK30+BM30+BO30+BQ30+BS30+BU30+BW30+BY30+CA30+CC30+CE30+CG30+CI30+DA30+DC30+DE30+DG30+DI30+DK30+DM30+DO30+DQ30+DS30+DU30+DW30+DY30+EA30+EC30+EE30+EG30+EI30+EK30+EM30+EO30+EQ30+ES30+EU30+EW30+FO30+FS30+FU30+FW30+FQ30+FY30+GA30+GC30+GE30+GG30+GI30+GK30+GM30+GO30+GQ30+GS30+GU30+GW30+GY30+HA30+HC30+HE30+HG30+HI30+HK30+HM30+HO30+HQ30+HS30+HU30+HW30+HY30+IA30+IC30+IE30+IG30+II30+IK30+IM30+IO30+IQ30+IS30+IU30+IW30+IY30+JA30+JC30+JE30+JG30+JI30+JK30+JM30+KA30+CK30+CM30+CO30+CQ30+CS30+CU30+CW30+CY30+EY30+FA30+FC30+FE30+FG30+FI30+FK30+FM30</f>
        <v/>
      </c>
      <c r="KD30" s="44">
        <f>JO30+JQ30+JS30+JU30+JW30+JY30</f>
        <v/>
      </c>
      <c r="KE30" s="45">
        <f>KB30=E30</f>
        <v/>
      </c>
      <c r="KF30" s="101">
        <f>E30-KB30</f>
        <v/>
      </c>
      <c r="KG30" s="21" t="n"/>
    </row>
    <row r="31" ht="29.25" customFormat="1" customHeight="1" s="21">
      <c r="A31" s="126">
        <f>A30+1</f>
        <v/>
      </c>
      <c r="B31" s="175" t="inlineStr">
        <is>
          <t>Ленинг И.Н.</t>
        </is>
      </c>
      <c r="C31" s="176" t="inlineStr">
        <is>
          <t xml:space="preserve">Оператор СПУ </t>
        </is>
      </c>
      <c r="D31" s="177">
        <f>$D$5</f>
        <v/>
      </c>
      <c r="E31" s="202" t="n"/>
      <c r="F31" s="193" t="n">
        <v>126855.63</v>
      </c>
      <c r="G31" s="52">
        <f>F31/D31</f>
        <v/>
      </c>
      <c r="H31" s="125" t="n"/>
      <c r="I31" s="107">
        <f>H31*100/$E$31</f>
        <v/>
      </c>
      <c r="J31" s="108" t="n"/>
      <c r="K31" s="107">
        <f>J31*100/$E$31</f>
        <v/>
      </c>
      <c r="L31" s="108" t="n"/>
      <c r="M31" s="107">
        <f>L31*100/$E$31</f>
        <v/>
      </c>
      <c r="N31" s="108" t="n"/>
      <c r="O31" s="107">
        <f>N31*100/$E$31</f>
        <v/>
      </c>
      <c r="P31" s="108" t="n"/>
      <c r="Q31" s="122">
        <f>P31*100/$E$31</f>
        <v/>
      </c>
      <c r="R31" s="108" t="n"/>
      <c r="S31" s="122">
        <f>R31*100/$E$31</f>
        <v/>
      </c>
      <c r="T31" s="108" t="n"/>
      <c r="U31" s="107">
        <f>T31*100/$E$31</f>
        <v/>
      </c>
      <c r="V31" s="108" t="n"/>
      <c r="W31" s="107">
        <f>V31*100/$E$31</f>
        <v/>
      </c>
      <c r="X31" s="108" t="n"/>
      <c r="Y31" s="107">
        <f>X31*100/$E$31</f>
        <v/>
      </c>
      <c r="Z31" s="108" t="n"/>
      <c r="AA31" s="107">
        <f>Z31*100/$E$31</f>
        <v/>
      </c>
      <c r="AB31" s="108" t="n"/>
      <c r="AC31" s="107">
        <f>AB31*100/$E$31</f>
        <v/>
      </c>
      <c r="AD31" s="108" t="n"/>
      <c r="AE31" s="122">
        <f>AD31*100/$E$31</f>
        <v/>
      </c>
      <c r="AF31" s="108" t="n"/>
      <c r="AG31" s="122">
        <f>AF31*100/$E$31</f>
        <v/>
      </c>
      <c r="AH31" s="108" t="n"/>
      <c r="AI31" s="107">
        <f>AH31*100/$E$31</f>
        <v/>
      </c>
      <c r="AJ31" s="108" t="n"/>
      <c r="AK31" s="107">
        <f>AJ31*100/$E$31</f>
        <v/>
      </c>
      <c r="AL31" s="108" t="n"/>
      <c r="AM31" s="107">
        <f>AL31*100/$E$31</f>
        <v/>
      </c>
      <c r="AN31" s="108" t="n"/>
      <c r="AO31" s="107">
        <f>AN31*100/$E$31</f>
        <v/>
      </c>
      <c r="AP31" s="108" t="n"/>
      <c r="AQ31" s="107">
        <f>AP31*100/$E$31</f>
        <v/>
      </c>
      <c r="AR31" s="108" t="n"/>
      <c r="AS31" s="107">
        <f>AR31*100/$E$31</f>
        <v/>
      </c>
      <c r="AT31" s="108" t="n"/>
      <c r="AU31" s="90">
        <f>AT31*100/$E$31</f>
        <v/>
      </c>
      <c r="AV31" s="108" t="n"/>
      <c r="AW31" s="107">
        <f>AV31*100/$E$31</f>
        <v/>
      </c>
      <c r="AX31" s="108" t="n"/>
      <c r="AY31" s="107">
        <f>AX31*100/$E$31</f>
        <v/>
      </c>
      <c r="AZ31" s="108" t="n"/>
      <c r="BA31" s="107">
        <f>AZ31*100/$E$31</f>
        <v/>
      </c>
      <c r="BB31" s="108" t="n"/>
      <c r="BC31" s="107">
        <f>BB31*100/$E$31</f>
        <v/>
      </c>
      <c r="BD31" s="108" t="n"/>
      <c r="BE31" s="107">
        <f>BD31*100/$E$31</f>
        <v/>
      </c>
      <c r="BF31" s="108" t="n"/>
      <c r="BG31" s="107">
        <f>BF31*100/$E$31</f>
        <v/>
      </c>
      <c r="BH31" s="108" t="n"/>
      <c r="BI31" s="107">
        <f>BH31*100/$E$31</f>
        <v/>
      </c>
      <c r="BJ31" s="108" t="n"/>
      <c r="BK31" s="107">
        <f>BJ31*100/$E$31</f>
        <v/>
      </c>
      <c r="BL31" s="108" t="n"/>
      <c r="BM31" s="107">
        <f>BL31*100/$E$31</f>
        <v/>
      </c>
      <c r="BN31" s="108" t="n"/>
      <c r="BO31" s="107">
        <f>BN31*100/$E$31</f>
        <v/>
      </c>
      <c r="BP31" s="108" t="n"/>
      <c r="BQ31" s="107">
        <f>BP31*100/$E$31</f>
        <v/>
      </c>
      <c r="BR31" s="108" t="n"/>
      <c r="BS31" s="107">
        <f>BR31*100/$E$31</f>
        <v/>
      </c>
      <c r="BT31" s="108" t="n"/>
      <c r="BU31" s="107">
        <f>BT31*100/$E$31</f>
        <v/>
      </c>
      <c r="BV31" s="108" t="n"/>
      <c r="BW31" s="107">
        <f>BV31*100/$E$31</f>
        <v/>
      </c>
      <c r="BX31" s="108" t="n"/>
      <c r="BY31" s="107">
        <f>BX31*100/$E$31</f>
        <v/>
      </c>
      <c r="BZ31" s="108" t="n"/>
      <c r="CA31" s="107">
        <f>BZ31*100/$E$31</f>
        <v/>
      </c>
      <c r="CB31" s="108" t="n"/>
      <c r="CC31" s="107">
        <f>CB31*100/$E$31</f>
        <v/>
      </c>
      <c r="CD31" s="108" t="n"/>
      <c r="CE31" s="107">
        <f>CD31*100/$E$31</f>
        <v/>
      </c>
      <c r="CF31" s="108" t="n"/>
      <c r="CG31" s="107">
        <f>CF31*100/$E$31</f>
        <v/>
      </c>
      <c r="CH31" s="108" t="n"/>
      <c r="CI31" s="107">
        <f>CH31*100/$E$31</f>
        <v/>
      </c>
      <c r="CJ31" s="108" t="n"/>
      <c r="CK31" s="107">
        <f>CJ31*100/$E$31</f>
        <v/>
      </c>
      <c r="CL31" s="108" t="n"/>
      <c r="CM31" s="107">
        <f>CL31*100/$E$31</f>
        <v/>
      </c>
      <c r="CN31" s="108" t="n"/>
      <c r="CO31" s="122">
        <f>CN31*100/$E$31</f>
        <v/>
      </c>
      <c r="CP31" s="108" t="n"/>
      <c r="CQ31" s="107">
        <f>CP31*100/$E$31</f>
        <v/>
      </c>
      <c r="CR31" s="108" t="n"/>
      <c r="CS31" s="122">
        <f>CR31*100/$E$31</f>
        <v/>
      </c>
      <c r="CT31" s="108" t="n"/>
      <c r="CU31" s="122">
        <f>CT31*100/$E$31</f>
        <v/>
      </c>
      <c r="CV31" s="108" t="n"/>
      <c r="CW31" s="122">
        <f>CV31*100/$E$31</f>
        <v/>
      </c>
      <c r="CX31" s="108" t="n"/>
      <c r="CY31" s="122">
        <f>CX31*100/$E$31</f>
        <v/>
      </c>
      <c r="CZ31" s="108" t="n"/>
      <c r="DA31" s="122">
        <f>CZ31*100/$E$31</f>
        <v/>
      </c>
      <c r="DB31" s="108" t="n"/>
      <c r="DC31" s="122">
        <f>DB31*100/$E$31</f>
        <v/>
      </c>
      <c r="DD31" s="108" t="n"/>
      <c r="DE31" s="122">
        <f>DD31*100/$E$31</f>
        <v/>
      </c>
      <c r="DF31" s="108" t="n"/>
      <c r="DG31" s="122">
        <f>DF31*100/$E$31</f>
        <v/>
      </c>
      <c r="DH31" s="108" t="n"/>
      <c r="DI31" s="122">
        <f>DH31*100/$E$31</f>
        <v/>
      </c>
      <c r="DJ31" s="108" t="n"/>
      <c r="DK31" s="122">
        <f>DJ31*100/$E$31</f>
        <v/>
      </c>
      <c r="DL31" s="108" t="n"/>
      <c r="DM31" s="122">
        <f>DL31*100/$E$31</f>
        <v/>
      </c>
      <c r="DN31" s="108" t="n"/>
      <c r="DO31" s="122">
        <f>DN31*100/$E$31</f>
        <v/>
      </c>
      <c r="DP31" s="108" t="n"/>
      <c r="DQ31" s="122">
        <f>DP31*100/$E$31</f>
        <v/>
      </c>
      <c r="DR31" s="108" t="n"/>
      <c r="DS31" s="122">
        <f>DR31*100/$E$31</f>
        <v/>
      </c>
      <c r="DT31" s="108" t="n"/>
      <c r="DU31" s="122">
        <f>DT31*100/$E$31</f>
        <v/>
      </c>
      <c r="DV31" s="108" t="n"/>
      <c r="DW31" s="122">
        <f>DV31*100/$E$31</f>
        <v/>
      </c>
      <c r="DX31" s="108" t="n"/>
      <c r="DY31" s="122">
        <f>DX31*100/$E$31</f>
        <v/>
      </c>
      <c r="DZ31" s="108" t="n"/>
      <c r="EA31" s="122">
        <f>DZ31*100/$E$31</f>
        <v/>
      </c>
      <c r="EB31" s="108" t="n"/>
      <c r="EC31" s="122">
        <f>EB31*100/$E$31</f>
        <v/>
      </c>
      <c r="ED31" s="108" t="n"/>
      <c r="EE31" s="122">
        <f>ED31*100/$E$31</f>
        <v/>
      </c>
      <c r="EF31" s="108" t="n"/>
      <c r="EG31" s="122">
        <f>EF31*100/$E$31</f>
        <v/>
      </c>
      <c r="EH31" s="108" t="n"/>
      <c r="EI31" s="122">
        <f>EH31*100/$E$31</f>
        <v/>
      </c>
      <c r="EJ31" s="108" t="n"/>
      <c r="EK31" s="122">
        <f>EJ31*100/$E$31</f>
        <v/>
      </c>
      <c r="EL31" s="108" t="n"/>
      <c r="EM31" s="122">
        <f>EL31*100/$E$31</f>
        <v/>
      </c>
      <c r="EN31" s="108" t="n"/>
      <c r="EO31" s="122">
        <f>EN31*100/$E$31</f>
        <v/>
      </c>
      <c r="EP31" s="108" t="n"/>
      <c r="EQ31" s="122">
        <f>EP31*100/$E$31</f>
        <v/>
      </c>
      <c r="ER31" s="108" t="n"/>
      <c r="ES31" s="122">
        <f>ER31*100/$E$31</f>
        <v/>
      </c>
      <c r="ET31" s="108" t="n"/>
      <c r="EU31" s="122">
        <f>ET31*100/$E$31</f>
        <v/>
      </c>
      <c r="EV31" s="108" t="n"/>
      <c r="EW31" s="122">
        <f>EV31*100/$E$31</f>
        <v/>
      </c>
      <c r="EX31" s="108" t="n"/>
      <c r="EY31" s="122">
        <f>EX31*100/$E$31</f>
        <v/>
      </c>
      <c r="EZ31" s="108" t="n"/>
      <c r="FA31" s="122">
        <f>EZ31*100/$E$31</f>
        <v/>
      </c>
      <c r="FB31" s="108" t="n"/>
      <c r="FC31" s="122">
        <f>FB31*100/$E$31</f>
        <v/>
      </c>
      <c r="FD31" s="108" t="n"/>
      <c r="FE31" s="122">
        <f>FD31*100/$E$31</f>
        <v/>
      </c>
      <c r="FF31" s="108" t="n"/>
      <c r="FG31" s="122">
        <f>FF31*100/$E$31</f>
        <v/>
      </c>
      <c r="FH31" s="108" t="n"/>
      <c r="FI31" s="122">
        <f>FH31*100/$E$31</f>
        <v/>
      </c>
      <c r="FJ31" s="108" t="n"/>
      <c r="FK31" s="122">
        <f>FJ31*100/$E$31</f>
        <v/>
      </c>
      <c r="FL31" s="108" t="n"/>
      <c r="FM31" s="122">
        <f>FL31*100/$E$31</f>
        <v/>
      </c>
      <c r="FN31" s="108" t="n"/>
      <c r="FO31" s="122">
        <f>FN31*100/$E$31</f>
        <v/>
      </c>
      <c r="FP31" s="108" t="n"/>
      <c r="FQ31" s="122">
        <f>FP31*100/$E$31</f>
        <v/>
      </c>
      <c r="FR31" s="108" t="n"/>
      <c r="FS31" s="122">
        <f>FR31*100/$E$31</f>
        <v/>
      </c>
      <c r="FT31" s="108" t="n"/>
      <c r="FU31" s="122">
        <f>FT31*100/$E$31</f>
        <v/>
      </c>
      <c r="FV31" s="108" t="n"/>
      <c r="FW31" s="122">
        <f>FV31*100/$E$31</f>
        <v/>
      </c>
      <c r="FX31" s="108" t="n"/>
      <c r="FY31" s="107">
        <f>FX31*100/$E$31</f>
        <v/>
      </c>
      <c r="FZ31" s="108" t="n"/>
      <c r="GA31" s="107">
        <f>FZ31*100/$E$31</f>
        <v/>
      </c>
      <c r="GB31" s="108" t="n"/>
      <c r="GC31" s="107">
        <f>GB31*100/$E$31</f>
        <v/>
      </c>
      <c r="GD31" s="108" t="n"/>
      <c r="GE31" s="107">
        <f>GD31*100/$E$31</f>
        <v/>
      </c>
      <c r="GF31" s="108" t="n"/>
      <c r="GG31" s="107">
        <f>GF31*100/$E$31</f>
        <v/>
      </c>
      <c r="GH31" s="108" t="n"/>
      <c r="GI31" s="107">
        <f>GH31*100/$E$31</f>
        <v/>
      </c>
      <c r="GJ31" s="108" t="n"/>
      <c r="GK31" s="122">
        <f>GJ31*100/$E$31</f>
        <v/>
      </c>
      <c r="GL31" s="108" t="n"/>
      <c r="GM31" s="107">
        <f>GL31*100/$E$31</f>
        <v/>
      </c>
      <c r="GN31" s="108" t="n"/>
      <c r="GO31" s="122">
        <f>GN31*100/$E$31</f>
        <v/>
      </c>
      <c r="GP31" s="108" t="n"/>
      <c r="GQ31" s="107">
        <f>GP31*100/$E$31</f>
        <v/>
      </c>
      <c r="GR31" s="108" t="n"/>
      <c r="GS31" s="122">
        <f>GR31*100/$E$31</f>
        <v/>
      </c>
      <c r="GT31" s="108" t="n"/>
      <c r="GU31" s="122">
        <f>GT31*100/$E$31</f>
        <v/>
      </c>
      <c r="GV31" s="108" t="n"/>
      <c r="GW31" s="122">
        <f>GV31*100/$E$31</f>
        <v/>
      </c>
      <c r="GX31" s="108" t="n"/>
      <c r="GY31" s="107">
        <f>GX31*100/$E$31</f>
        <v/>
      </c>
      <c r="GZ31" s="108" t="n"/>
      <c r="HA31" s="107">
        <f>GZ31*100/$E$31</f>
        <v/>
      </c>
      <c r="HB31" s="108" t="n"/>
      <c r="HC31" s="107">
        <f>HB31*100/$E$31</f>
        <v/>
      </c>
      <c r="HD31" s="108" t="n"/>
      <c r="HE31" s="107">
        <f>HD31*100/$E$31</f>
        <v/>
      </c>
      <c r="HF31" s="108" t="n"/>
      <c r="HG31" s="107">
        <f>HF31*100/$E$31</f>
        <v/>
      </c>
      <c r="HH31" s="108" t="n"/>
      <c r="HI31" s="107">
        <f>HH31*100/$E$31</f>
        <v/>
      </c>
      <c r="HJ31" s="108" t="n"/>
      <c r="HK31" s="107">
        <f>HJ31*100/$E$31</f>
        <v/>
      </c>
      <c r="HL31" s="108" t="n"/>
      <c r="HM31" s="107">
        <f>HL31*100/$E$31</f>
        <v/>
      </c>
      <c r="HN31" s="108" t="n"/>
      <c r="HO31" s="107">
        <f>HN31*100/$E$31</f>
        <v/>
      </c>
      <c r="HP31" s="108" t="n"/>
      <c r="HQ31" s="107">
        <f>HP31*100/$E$31</f>
        <v/>
      </c>
      <c r="HR31" s="108" t="n"/>
      <c r="HS31" s="107">
        <f>HR31*100/$E$31</f>
        <v/>
      </c>
      <c r="HT31" s="108" t="n"/>
      <c r="HU31" s="107">
        <f>HT31*100/$E$31</f>
        <v/>
      </c>
      <c r="HV31" s="108" t="n"/>
      <c r="HW31" s="107">
        <f>HV31*100/$E$31</f>
        <v/>
      </c>
      <c r="HX31" s="108" t="n"/>
      <c r="HY31" s="107">
        <f>HX31*100/$E$31</f>
        <v/>
      </c>
      <c r="HZ31" s="108" t="n"/>
      <c r="IA31" s="122">
        <f>HZ31*100/$E$31</f>
        <v/>
      </c>
      <c r="IB31" s="108" t="n"/>
      <c r="IC31" s="122">
        <f>IB31*100/$E$31</f>
        <v/>
      </c>
      <c r="ID31" s="108" t="n"/>
      <c r="IE31" s="122">
        <f>ID31*100/$E$31</f>
        <v/>
      </c>
      <c r="IF31" s="108" t="n"/>
      <c r="IG31" s="122">
        <f>IF31*100/$E$31</f>
        <v/>
      </c>
      <c r="IH31" s="108" t="n"/>
      <c r="II31" s="122">
        <f>IH31*100/$E$31</f>
        <v/>
      </c>
      <c r="IJ31" s="108" t="n"/>
      <c r="IK31" s="122">
        <f>IJ31*100/$E$31</f>
        <v/>
      </c>
      <c r="IL31" s="108" t="n"/>
      <c r="IM31" s="107">
        <f>IL31*100/$E$31</f>
        <v/>
      </c>
      <c r="IN31" s="108" t="n"/>
      <c r="IO31" s="107">
        <f>IN31*100/$E$31</f>
        <v/>
      </c>
      <c r="IP31" s="108" t="n"/>
      <c r="IQ31" s="122">
        <f>IP31*100/$E$31</f>
        <v/>
      </c>
      <c r="IR31" s="108" t="n"/>
      <c r="IS31" s="122">
        <f>IR31*100/$E$31</f>
        <v/>
      </c>
      <c r="IT31" s="108" t="n"/>
      <c r="IU31" s="122">
        <f>IT31*100/$E$31</f>
        <v/>
      </c>
      <c r="IV31" s="108" t="n"/>
      <c r="IW31" s="122">
        <f>IV31*100/$E$31</f>
        <v/>
      </c>
      <c r="IX31" s="108" t="n"/>
      <c r="IY31" s="122">
        <f>IX31*100/$E$31</f>
        <v/>
      </c>
      <c r="IZ31" s="108" t="n"/>
      <c r="JA31" s="122">
        <f>IZ31*100/$E$31</f>
        <v/>
      </c>
      <c r="JB31" s="108" t="n"/>
      <c r="JC31" s="122">
        <f>JB31*100/$E$31</f>
        <v/>
      </c>
      <c r="JD31" s="108" t="n"/>
      <c r="JE31" s="122">
        <f>JD31*100/$E$31</f>
        <v/>
      </c>
      <c r="JF31" s="108" t="n"/>
      <c r="JG31" s="122">
        <f>JF31*100/$E$31</f>
        <v/>
      </c>
      <c r="JH31" s="108" t="n"/>
      <c r="JI31" s="122">
        <f>JH31*100/$E$31</f>
        <v/>
      </c>
      <c r="JJ31" s="108" t="n"/>
      <c r="JK31" s="122">
        <f>JJ31*100/$E$31</f>
        <v/>
      </c>
      <c r="JL31" s="108" t="n"/>
      <c r="JM31" s="122">
        <f>JL31*100/$E$31</f>
        <v/>
      </c>
      <c r="JN31" s="132" t="n"/>
      <c r="JO31" s="121">
        <f>JN31*100/$E$31</f>
        <v/>
      </c>
      <c r="JP31" s="132" t="n"/>
      <c r="JQ31" s="121">
        <f>JP31*100/$E$31</f>
        <v/>
      </c>
      <c r="JR31" s="132" t="n"/>
      <c r="JS31" s="121">
        <f>JR31*100/$E$31</f>
        <v/>
      </c>
      <c r="JT31" s="132" t="n"/>
      <c r="JU31" s="121">
        <f>JT31*100/$E$31</f>
        <v/>
      </c>
      <c r="JV31" s="108" t="n"/>
      <c r="JW31" s="121">
        <f>JV31*100/$E$31</f>
        <v/>
      </c>
      <c r="JX31" s="108" t="n"/>
      <c r="JY31" s="121">
        <f>JX31*100/$E$31</f>
        <v/>
      </c>
      <c r="JZ31" s="55">
        <f>JN31+JP31+JR31+JT31+JV31+JX31</f>
        <v/>
      </c>
      <c r="KA31" s="53">
        <f>JO31+JQ31+JS31+JU31+JW31+JY31</f>
        <v/>
      </c>
      <c r="KB31" s="64">
        <f>H31+J31+L31+N31+P31+R31+T31+V31+X31+Z31+AB31+AD31+AF31+AH31+AJ31+AL31+AN31+AP31+AR31+AT31+AV31+AX31+AZ31+BB31+BD31+BF31+BH31+BJ31+BL31+BN31+BP31+BR31+BT31+BV31+BX31+BZ31+CB31+CD31+CF31+CH31+CZ31+DB31+DD31+DF31+DH31+DJ31+DL31+DN31+DP31+DR31+DT31+DV31+DX31+DZ31+EB31+ED31+EF31+EH31+EJ31+EL31+EN31+EP31+ER31+ET31+EV31+FN31+FP31+FR31+FT31+FV31+FX31+FZ31+GB31+GD31+GF31+GH31+GJ31+GL31+GN31+GP31+GR31+GT31+GV31+GX31+GZ31+HB31+HD31+HF31+HH31+HJ31+HL31+HN31+HP31+HR31+HT31+HV31+HX31+HZ31+IB31+ID31+IF31+IH31+IJ31+IL31+IN31+IP31+IR31+IT31+IV31+IX31+IZ31+JB31+JD31+JF31+JH31+JJ31+JL31+JZ31+CJ31+CL31+CN31+CP31+CR31+CT31+CV31+CX31+EX31+EZ31+FB31+FD31+FF31+FH31+FJ31+FL31</f>
        <v/>
      </c>
      <c r="KC31" s="66">
        <f>I31+K31+M31+O31+Q31+S31+U31+W31+Y31+AA31+AC31+AE31+AG31+AI31+AK31+AM31+AO31+AQ31+AS31+AU31+AW31+AY31+BA31+BC31+BE31+BG31+BI31+BK31+BM31+BO31+BQ31+BS31+BU31+BW31+BY31+CA31+CC31+CE31+CG31+CI31+DA31+DC31+DE31+DG31+DI31+DK31+DM31+DO31+DQ31+DS31+DU31+DW31+DY31+EA31+EC31+EE31+EG31+EI31+EK31+EM31+EO31+EQ31+ES31+EU31+EW31+FO31+FS31+FU31+FW31+FQ31+FY31+GA31+GC31+GE31+GG31+GI31+GK31+GM31+GO31+GQ31+GS31+GU31+GW31+GY31+HA31+HC31+HE31+HG31+HI31+HK31+HM31+HO31+HQ31+HS31+HU31+HW31+HY31+IA31+IC31+IE31+IG31+II31+IK31+IM31+IO31+IQ31+IS31+IU31+IW31+IY31+JA31+JC31+JE31+JG31+JI31+JK31+JM31+KA31+CK31+CM31+CO31+CQ31+CS31+CU31+CW31+CY31+EY31+FA31+FC31+FE31+FG31+FI31+FK31+FM31</f>
        <v/>
      </c>
      <c r="KD31" s="44">
        <f>JO31+JQ31+JS31+JU31+JW31+JY31</f>
        <v/>
      </c>
      <c r="KE31" s="45">
        <f>KB31=E31</f>
        <v/>
      </c>
      <c r="KF31" s="101">
        <f>E31-KB31</f>
        <v/>
      </c>
      <c r="KG31" s="23" t="n"/>
    </row>
    <row r="32" ht="21.75" customFormat="1" customHeight="1" s="21">
      <c r="A32" s="126">
        <f>A31+1</f>
        <v/>
      </c>
      <c r="B32" s="175" t="inlineStr">
        <is>
          <t>Маргиани Г.И.</t>
        </is>
      </c>
      <c r="C32" s="176" t="inlineStr">
        <is>
          <t xml:space="preserve">Оператор СПУ </t>
        </is>
      </c>
      <c r="D32" s="177">
        <f>$D$5</f>
        <v/>
      </c>
      <c r="E32" s="202" t="n"/>
      <c r="F32" s="193" t="n">
        <v>113793.54</v>
      </c>
      <c r="G32" s="52">
        <f>F32/D32</f>
        <v/>
      </c>
      <c r="H32" s="125" t="n"/>
      <c r="I32" s="107">
        <f>H32*100/$E$32</f>
        <v/>
      </c>
      <c r="J32" s="108" t="n"/>
      <c r="K32" s="107">
        <f>J32*100/$E$32</f>
        <v/>
      </c>
      <c r="L32" s="108" t="n"/>
      <c r="M32" s="107">
        <f>L32*100/$E$32</f>
        <v/>
      </c>
      <c r="N32" s="108" t="n"/>
      <c r="O32" s="107">
        <f>N32*100/$E$32</f>
        <v/>
      </c>
      <c r="P32" s="108" t="n"/>
      <c r="Q32" s="122">
        <f>P32*100/$E$32</f>
        <v/>
      </c>
      <c r="R32" s="108" t="n"/>
      <c r="S32" s="122">
        <f>R32*100/$E$32</f>
        <v/>
      </c>
      <c r="T32" s="108" t="n"/>
      <c r="U32" s="107">
        <f>T32*100/$E$32</f>
        <v/>
      </c>
      <c r="V32" s="108" t="n"/>
      <c r="W32" s="107">
        <f>V32*100/$E$32</f>
        <v/>
      </c>
      <c r="X32" s="108" t="n"/>
      <c r="Y32" s="107">
        <f>X32*100/$E$32</f>
        <v/>
      </c>
      <c r="Z32" s="108" t="n"/>
      <c r="AA32" s="107">
        <f>Z32*100/$E$32</f>
        <v/>
      </c>
      <c r="AB32" s="108" t="n"/>
      <c r="AC32" s="107">
        <f>AB32*100/$E$32</f>
        <v/>
      </c>
      <c r="AD32" s="108" t="n"/>
      <c r="AE32" s="122">
        <f>AD32*100/$E$32</f>
        <v/>
      </c>
      <c r="AF32" s="108" t="n"/>
      <c r="AG32" s="122">
        <f>AF32*100/$E$32</f>
        <v/>
      </c>
      <c r="AH32" s="108" t="n"/>
      <c r="AI32" s="107">
        <f>AH32*100/$E$32</f>
        <v/>
      </c>
      <c r="AJ32" s="108" t="n"/>
      <c r="AK32" s="107">
        <f>AJ32*100/$E$32</f>
        <v/>
      </c>
      <c r="AL32" s="108" t="n"/>
      <c r="AM32" s="107">
        <f>AL32*100/$E$32</f>
        <v/>
      </c>
      <c r="AN32" s="108" t="n"/>
      <c r="AO32" s="107">
        <f>AN32*100/$E$32</f>
        <v/>
      </c>
      <c r="AP32" s="108" t="n"/>
      <c r="AQ32" s="107">
        <f>AP32*100/$E$32</f>
        <v/>
      </c>
      <c r="AR32" s="108" t="n"/>
      <c r="AS32" s="107">
        <f>AR32*100/$E$32</f>
        <v/>
      </c>
      <c r="AT32" s="108" t="n"/>
      <c r="AU32" s="90">
        <f>AT32*100/$E$32</f>
        <v/>
      </c>
      <c r="AV32" s="108" t="n"/>
      <c r="AW32" s="107">
        <f>AV32*100/$E$32</f>
        <v/>
      </c>
      <c r="AX32" s="108" t="n"/>
      <c r="AY32" s="107">
        <f>AX32*100/$E$32</f>
        <v/>
      </c>
      <c r="AZ32" s="108" t="n"/>
      <c r="BA32" s="122">
        <f>AZ32*100/$E$32</f>
        <v/>
      </c>
      <c r="BB32" s="108" t="n"/>
      <c r="BC32" s="107">
        <f>BB32*100/$E$32</f>
        <v/>
      </c>
      <c r="BD32" s="108" t="n"/>
      <c r="BE32" s="107">
        <f>BD32*100/$E$32</f>
        <v/>
      </c>
      <c r="BF32" s="108" t="n"/>
      <c r="BG32" s="107">
        <f>BF32*100/$E$32</f>
        <v/>
      </c>
      <c r="BH32" s="108" t="n"/>
      <c r="BI32" s="107">
        <f>BH32*100/$E$32</f>
        <v/>
      </c>
      <c r="BJ32" s="108" t="n"/>
      <c r="BK32" s="107">
        <f>BJ32*100/$E$32</f>
        <v/>
      </c>
      <c r="BL32" s="108" t="n"/>
      <c r="BM32" s="107">
        <f>BL32*100/$E$32</f>
        <v/>
      </c>
      <c r="BN32" s="108" t="n"/>
      <c r="BO32" s="107">
        <f>BN32*100/$E$32</f>
        <v/>
      </c>
      <c r="BP32" s="108" t="n"/>
      <c r="BQ32" s="107">
        <f>BP32*100/$E$32</f>
        <v/>
      </c>
      <c r="BR32" s="108" t="n"/>
      <c r="BS32" s="107">
        <f>BR32*100/$E$32</f>
        <v/>
      </c>
      <c r="BT32" s="108" t="n"/>
      <c r="BU32" s="107">
        <f>BT32*100/$E$32</f>
        <v/>
      </c>
      <c r="BV32" s="108" t="n"/>
      <c r="BW32" s="107">
        <f>BV32*100/$E$32</f>
        <v/>
      </c>
      <c r="BX32" s="108" t="n"/>
      <c r="BY32" s="107">
        <f>BX32*100/$E$32</f>
        <v/>
      </c>
      <c r="BZ32" s="108" t="n"/>
      <c r="CA32" s="107">
        <f>BZ32*100/$E$32</f>
        <v/>
      </c>
      <c r="CB32" s="108" t="n"/>
      <c r="CC32" s="107">
        <f>CB32*100/$E$32</f>
        <v/>
      </c>
      <c r="CD32" s="108" t="n"/>
      <c r="CE32" s="107">
        <f>CD32*100/$E$32</f>
        <v/>
      </c>
      <c r="CF32" s="108" t="n"/>
      <c r="CG32" s="107">
        <f>CF32*100/$E$32</f>
        <v/>
      </c>
      <c r="CH32" s="108" t="n"/>
      <c r="CI32" s="107">
        <f>CH32*100/$E$32</f>
        <v/>
      </c>
      <c r="CJ32" s="108" t="n"/>
      <c r="CK32" s="107">
        <f>CJ32*100/$E$32</f>
        <v/>
      </c>
      <c r="CL32" s="108" t="n"/>
      <c r="CM32" s="107">
        <f>CL32*100/$E$32</f>
        <v/>
      </c>
      <c r="CN32" s="108" t="n"/>
      <c r="CO32" s="122">
        <f>CN32*100/$E$32</f>
        <v/>
      </c>
      <c r="CP32" s="108" t="n"/>
      <c r="CQ32" s="107">
        <f>CP32*100/$E$32</f>
        <v/>
      </c>
      <c r="CR32" s="108" t="n"/>
      <c r="CS32" s="122">
        <f>CR32*100/$E$32</f>
        <v/>
      </c>
      <c r="CT32" s="108" t="n"/>
      <c r="CU32" s="122">
        <f>CT32*100/$E$32</f>
        <v/>
      </c>
      <c r="CV32" s="108" t="n"/>
      <c r="CW32" s="122">
        <f>CV32*100/$E$32</f>
        <v/>
      </c>
      <c r="CX32" s="108" t="n"/>
      <c r="CY32" s="122">
        <f>CX32*100/$E$32</f>
        <v/>
      </c>
      <c r="CZ32" s="108" t="n"/>
      <c r="DA32" s="122">
        <f>CZ32*100/$E$32</f>
        <v/>
      </c>
      <c r="DB32" s="108" t="n"/>
      <c r="DC32" s="122">
        <f>DB32*100/$E$32</f>
        <v/>
      </c>
      <c r="DD32" s="108" t="n"/>
      <c r="DE32" s="122">
        <f>DD32*100/$E$32</f>
        <v/>
      </c>
      <c r="DF32" s="108" t="n"/>
      <c r="DG32" s="122">
        <f>DF32*100/$E$32</f>
        <v/>
      </c>
      <c r="DH32" s="108" t="n"/>
      <c r="DI32" s="122">
        <f>DH32*100/$E$32</f>
        <v/>
      </c>
      <c r="DJ32" s="108" t="n"/>
      <c r="DK32" s="122">
        <f>DJ32*100/$E$32</f>
        <v/>
      </c>
      <c r="DL32" s="108" t="n"/>
      <c r="DM32" s="122">
        <f>DL32*100/$E$32</f>
        <v/>
      </c>
      <c r="DN32" s="108" t="n"/>
      <c r="DO32" s="122">
        <f>DN32*100/$E$32</f>
        <v/>
      </c>
      <c r="DP32" s="108" t="n"/>
      <c r="DQ32" s="122">
        <f>DP32*100/$E$32</f>
        <v/>
      </c>
      <c r="DR32" s="108" t="n"/>
      <c r="DS32" s="107">
        <f>DR32*100/$E$32</f>
        <v/>
      </c>
      <c r="DT32" s="108" t="n"/>
      <c r="DU32" s="122">
        <f>DT32*100/$E$32</f>
        <v/>
      </c>
      <c r="DV32" s="108" t="n"/>
      <c r="DW32" s="122">
        <f>DV32*100/$E$32</f>
        <v/>
      </c>
      <c r="DX32" s="108" t="n"/>
      <c r="DY32" s="122">
        <f>DX32*100/$E$32</f>
        <v/>
      </c>
      <c r="DZ32" s="108" t="n"/>
      <c r="EA32" s="122">
        <f>DZ32*100/$E$32</f>
        <v/>
      </c>
      <c r="EB32" s="108" t="n"/>
      <c r="EC32" s="122">
        <f>EB32*100/$E$32</f>
        <v/>
      </c>
      <c r="ED32" s="108" t="n"/>
      <c r="EE32" s="122">
        <f>ED32*100/$E$32</f>
        <v/>
      </c>
      <c r="EF32" s="108" t="n"/>
      <c r="EG32" s="122">
        <f>EF32*100/$E$32</f>
        <v/>
      </c>
      <c r="EH32" s="108" t="n"/>
      <c r="EI32" s="122">
        <f>EH32*100/$E$32</f>
        <v/>
      </c>
      <c r="EJ32" s="108" t="n"/>
      <c r="EK32" s="122">
        <f>EJ32*100/$E$32</f>
        <v/>
      </c>
      <c r="EL32" s="108" t="n"/>
      <c r="EM32" s="122">
        <f>EL32*100/$E$32</f>
        <v/>
      </c>
      <c r="EN32" s="108" t="n"/>
      <c r="EO32" s="122">
        <f>EN32*100/$E$32</f>
        <v/>
      </c>
      <c r="EP32" s="108" t="n"/>
      <c r="EQ32" s="122">
        <f>EP32*100/$E$32</f>
        <v/>
      </c>
      <c r="ER32" s="108" t="n"/>
      <c r="ES32" s="107">
        <f>ER32*100/$E$32</f>
        <v/>
      </c>
      <c r="ET32" s="108" t="n"/>
      <c r="EU32" s="107">
        <f>ET32*100/$E$32</f>
        <v/>
      </c>
      <c r="EV32" s="108" t="n"/>
      <c r="EW32" s="122">
        <f>EV32*100/$E$32</f>
        <v/>
      </c>
      <c r="EX32" s="108" t="n"/>
      <c r="EY32" s="122">
        <f>EX32*100/$E$32</f>
        <v/>
      </c>
      <c r="EZ32" s="108" t="n"/>
      <c r="FA32" s="122">
        <f>EZ32*100/$E$32</f>
        <v/>
      </c>
      <c r="FB32" s="108" t="n"/>
      <c r="FC32" s="122">
        <f>FB32*100/$E$32</f>
        <v/>
      </c>
      <c r="FD32" s="108" t="n"/>
      <c r="FE32" s="122">
        <f>FD32*100/$E$32</f>
        <v/>
      </c>
      <c r="FF32" s="108" t="n"/>
      <c r="FG32" s="122">
        <f>FF32*100/$E$32</f>
        <v/>
      </c>
      <c r="FH32" s="108" t="n"/>
      <c r="FI32" s="122">
        <f>FH32*100/$E$32</f>
        <v/>
      </c>
      <c r="FJ32" s="108" t="n"/>
      <c r="FK32" s="122">
        <f>FJ32*100/$E$32</f>
        <v/>
      </c>
      <c r="FL32" s="108" t="n"/>
      <c r="FM32" s="122">
        <f>FL32*100/$E$32</f>
        <v/>
      </c>
      <c r="FN32" s="108" t="n"/>
      <c r="FO32" s="122">
        <f>FN32*100/$E$32</f>
        <v/>
      </c>
      <c r="FP32" s="108" t="n"/>
      <c r="FQ32" s="122">
        <f>FP32*100/$E$32</f>
        <v/>
      </c>
      <c r="FR32" s="108" t="n"/>
      <c r="FS32" s="122">
        <f>FR32*100/$E$32</f>
        <v/>
      </c>
      <c r="FT32" s="108" t="n"/>
      <c r="FU32" s="122">
        <f>FT32*100/$E$32</f>
        <v/>
      </c>
      <c r="FV32" s="108" t="n"/>
      <c r="FW32" s="122">
        <f>FV32*100/$E$32</f>
        <v/>
      </c>
      <c r="FX32" s="108" t="n"/>
      <c r="FY32" s="122">
        <f>FX32*100/$E$32</f>
        <v/>
      </c>
      <c r="FZ32" s="108" t="n"/>
      <c r="GA32" s="122">
        <f>FZ32*100/$E$32</f>
        <v/>
      </c>
      <c r="GB32" s="108" t="n"/>
      <c r="GC32" s="107">
        <f>GB32*100/$E$32</f>
        <v/>
      </c>
      <c r="GD32" s="108" t="n"/>
      <c r="GE32" s="107">
        <f>GD32*100/$E$32</f>
        <v/>
      </c>
      <c r="GF32" s="108" t="n"/>
      <c r="GG32" s="107">
        <f>GF32*100/$E$32</f>
        <v/>
      </c>
      <c r="GH32" s="108" t="n"/>
      <c r="GI32" s="107">
        <f>GH32*100/$E$32</f>
        <v/>
      </c>
      <c r="GJ32" s="108" t="n"/>
      <c r="GK32" s="122">
        <f>GJ32*100/$E$32</f>
        <v/>
      </c>
      <c r="GL32" s="108" t="n"/>
      <c r="GM32" s="107">
        <f>GL32*100/$E$32</f>
        <v/>
      </c>
      <c r="GN32" s="108" t="n"/>
      <c r="GO32" s="122">
        <f>GN32*100/$E$32</f>
        <v/>
      </c>
      <c r="GP32" s="125" t="n"/>
      <c r="GQ32" s="122">
        <f>GP32*100/$E$32</f>
        <v/>
      </c>
      <c r="GR32" s="108" t="n"/>
      <c r="GS32" s="122">
        <f>GR32*100/$E$32</f>
        <v/>
      </c>
      <c r="GT32" s="108" t="n"/>
      <c r="GU32" s="122">
        <f>GT32*100/$E$32</f>
        <v/>
      </c>
      <c r="GV32" s="108" t="n"/>
      <c r="GW32" s="107">
        <f>GV32*100/$E$32</f>
        <v/>
      </c>
      <c r="GX32" s="108" t="n"/>
      <c r="GY32" s="107">
        <f>GX32*100/$E$32</f>
        <v/>
      </c>
      <c r="GZ32" s="108" t="n"/>
      <c r="HA32" s="122">
        <f>GZ32*100/$E$32</f>
        <v/>
      </c>
      <c r="HB32" s="108" t="n"/>
      <c r="HC32" s="122">
        <f>HB32*100/$E$32</f>
        <v/>
      </c>
      <c r="HD32" s="108" t="n"/>
      <c r="HE32" s="122">
        <f>HD32*100/$E$32</f>
        <v/>
      </c>
      <c r="HF32" s="108" t="n"/>
      <c r="HG32" s="122">
        <f>HF32*100/$E$32</f>
        <v/>
      </c>
      <c r="HH32" s="108" t="n"/>
      <c r="HI32" s="122">
        <f>HH32*100/$E$32</f>
        <v/>
      </c>
      <c r="HJ32" s="108" t="n"/>
      <c r="HK32" s="122">
        <f>HJ32*100/$E$32</f>
        <v/>
      </c>
      <c r="HL32" s="108" t="n"/>
      <c r="HM32" s="107">
        <f>HL32*100/$E$32</f>
        <v/>
      </c>
      <c r="HN32" s="108" t="n"/>
      <c r="HO32" s="107">
        <f>HN32*100/$E$32</f>
        <v/>
      </c>
      <c r="HP32" s="108" t="n"/>
      <c r="HQ32" s="107">
        <f>HP32*100/$E$32</f>
        <v/>
      </c>
      <c r="HR32" s="108" t="n"/>
      <c r="HS32" s="107">
        <f>HR32*100/$E$32</f>
        <v/>
      </c>
      <c r="HT32" s="108" t="n"/>
      <c r="HU32" s="107">
        <f>HT32*100/$E$32</f>
        <v/>
      </c>
      <c r="HV32" s="108" t="n"/>
      <c r="HW32" s="107">
        <f>HV32*100/$E$32</f>
        <v/>
      </c>
      <c r="HX32" s="108" t="n"/>
      <c r="HY32" s="122">
        <f>HX32*100/$E$32</f>
        <v/>
      </c>
      <c r="HZ32" s="108" t="n"/>
      <c r="IA32" s="122">
        <f>HZ32*100/$E$32</f>
        <v/>
      </c>
      <c r="IB32" s="108" t="n"/>
      <c r="IC32" s="122">
        <f>IB32*100/$E$32</f>
        <v/>
      </c>
      <c r="ID32" s="108" t="n"/>
      <c r="IE32" s="122">
        <f>ID32*100/$E$32</f>
        <v/>
      </c>
      <c r="IF32" s="108" t="n"/>
      <c r="IG32" s="122">
        <f>IF32*100/$E$32</f>
        <v/>
      </c>
      <c r="IH32" s="108" t="n"/>
      <c r="II32" s="122">
        <f>IH32*100/$E$32</f>
        <v/>
      </c>
      <c r="IJ32" s="108" t="n"/>
      <c r="IK32" s="122">
        <f>IJ32*100/$E$32</f>
        <v/>
      </c>
      <c r="IL32" s="108" t="n"/>
      <c r="IM32" s="122">
        <f>IL32*100/$E$32</f>
        <v/>
      </c>
      <c r="IN32" s="108" t="n"/>
      <c r="IO32" s="122">
        <f>IN32*100/$E$32</f>
        <v/>
      </c>
      <c r="IP32" s="108" t="n"/>
      <c r="IQ32" s="122">
        <f>IP32*100/$E$32</f>
        <v/>
      </c>
      <c r="IR32" s="108" t="n"/>
      <c r="IS32" s="122">
        <f>IR32*100/$E$32</f>
        <v/>
      </c>
      <c r="IT32" s="108" t="n"/>
      <c r="IU32" s="122">
        <f>IT32*100/$E$32</f>
        <v/>
      </c>
      <c r="IV32" s="108" t="n"/>
      <c r="IW32" s="122">
        <f>IV32*100/$E$32</f>
        <v/>
      </c>
      <c r="IX32" s="108" t="n"/>
      <c r="IY32" s="122">
        <f>IX32*100/$E$32</f>
        <v/>
      </c>
      <c r="IZ32" s="108" t="n"/>
      <c r="JA32" s="122">
        <f>IZ32*100/$E$32</f>
        <v/>
      </c>
      <c r="JB32" s="108" t="n"/>
      <c r="JC32" s="122">
        <f>JB32*100/$E$32</f>
        <v/>
      </c>
      <c r="JD32" s="108" t="n"/>
      <c r="JE32" s="122">
        <f>JD32*100/$E$32</f>
        <v/>
      </c>
      <c r="JF32" s="108" t="n"/>
      <c r="JG32" s="107">
        <f>JF32*100/$E$32</f>
        <v/>
      </c>
      <c r="JH32" s="108" t="n"/>
      <c r="JI32" s="122">
        <f>JH32*100/$E$32</f>
        <v/>
      </c>
      <c r="JJ32" s="125" t="n"/>
      <c r="JK32" s="122">
        <f>JJ32*100/$E$32</f>
        <v/>
      </c>
      <c r="JL32" s="108" t="n"/>
      <c r="JM32" s="122">
        <f>JL32*100/$E$32</f>
        <v/>
      </c>
      <c r="JN32" s="108" t="n"/>
      <c r="JO32" s="107">
        <f>JN32*100/$E$32</f>
        <v/>
      </c>
      <c r="JP32" s="108" t="n"/>
      <c r="JQ32" s="107">
        <f>JP32*100/$E$32</f>
        <v/>
      </c>
      <c r="JR32" s="108" t="n"/>
      <c r="JS32" s="107">
        <f>JR32*100/$E$32</f>
        <v/>
      </c>
      <c r="JT32" s="108" t="n"/>
      <c r="JU32" s="122">
        <f>JT32*100/$E$32</f>
        <v/>
      </c>
      <c r="JV32" s="108" t="n"/>
      <c r="JW32" s="122">
        <f>JV32*100/$E$32</f>
        <v/>
      </c>
      <c r="JX32" s="108" t="n"/>
      <c r="JY32" s="122">
        <f>JX32*100/$E$32</f>
        <v/>
      </c>
      <c r="JZ32" s="55">
        <f>JN32+JP32+JR32+JT32+JV32+JX32</f>
        <v/>
      </c>
      <c r="KA32" s="53">
        <f>JO32+JQ32+JS32+JU32+JW32+JY32</f>
        <v/>
      </c>
      <c r="KB32" s="64">
        <f>H32+J32+L32+N32+P32+R32+T32+V32+X32+Z32+AB32+AD32+AF32+AH32+AJ32+AL32+AN32+AP32+AR32+AT32+AV32+AX32+AZ32+BB32+BD32+BF32+BH32+BJ32+BL32+BN32+BP32+BR32+BT32+BV32+BX32+BZ32+CB32+CD32+CF32+CH32+CZ32+DB32+DD32+DF32+DH32+DJ32+DL32+DN32+DP32+DR32+DT32+DV32+DX32+DZ32+EB32+ED32+EF32+EH32+EJ32+EL32+EN32+EP32+ER32+ET32+EV32+FN32+FP32+FR32+FT32+FV32+FX32+FZ32+GB32+GD32+GF32+GH32+GJ32+GL32+GN32+GP32+GR32+GT32+GV32+GX32+GZ32+HB32+HD32+HF32+HH32+HJ32+HL32+HN32+HP32+HR32+HT32+HV32+HX32+HZ32+IB32+ID32+IF32+IH32+IJ32+IL32+IN32+IP32+IR32+IT32+IV32+IX32+IZ32+JB32+JD32+JF32+JH32+JJ32+JL32+JZ32+CJ32+CL32+CN32+CP32+CR32+CT32+CV32+CX32+EX32+EZ32+FB32+FD32+FF32+FH32+FJ32+FL32</f>
        <v/>
      </c>
      <c r="KC32" s="66">
        <f>I32+K32+M32+O32+Q32+S32+U32+W32+Y32+AA32+AC32+AE32+AG32+AI32+AK32+AM32+AO32+AQ32+AS32+AU32+AW32+AY32+BA32+BC32+BE32+BG32+BI32+BK32+BM32+BO32+BQ32+BS32+BU32+BW32+BY32+CA32+CC32+CE32+CG32+CI32+DA32+DC32+DE32+DG32+DI32+DK32+DM32+DO32+DQ32+DS32+DU32+DW32+DY32+EA32+EC32+EE32+EG32+EI32+EK32+EM32+EO32+EQ32+ES32+EU32+EW32+FO32+FS32+FU32+FW32+FQ32+FY32+GA32+GC32+GE32+GG32+GI32+GK32+GM32+GO32+GQ32+GS32+GU32+GW32+GY32+HA32+HC32+HE32+HG32+HI32+HK32+HM32+HO32+HQ32+HS32+HU32+HW32+HY32+IA32+IC32+IE32+IG32+II32+IK32+IM32+IO32+IQ32+IS32+IU32+IW32+IY32+JA32+JC32+JE32+JG32+JI32+JK32+JM32+KA32+CK32+CM32+CO32+CQ32+CS32+CU32+CW32+CY32+EY32+FA32+FC32+FE32+FG32+FI32+FK32+FM32</f>
        <v/>
      </c>
      <c r="KD32" s="44">
        <f>JO32+JQ32+JS32+JU32+JW32+JY32</f>
        <v/>
      </c>
      <c r="KE32" s="45">
        <f>KB32=E32</f>
        <v/>
      </c>
      <c r="KF32" s="101">
        <f>E32-KB32</f>
        <v/>
      </c>
      <c r="KG32" s="23" t="n"/>
    </row>
    <row r="33" ht="21.75" customFormat="1" customHeight="1" s="23">
      <c r="A33" s="126">
        <f>A32+1</f>
        <v/>
      </c>
      <c r="B33" s="175" t="inlineStr">
        <is>
          <t>Михеев В.О.</t>
        </is>
      </c>
      <c r="C33" s="194" t="inlineStr">
        <is>
          <t>электрогазосварщик</t>
        </is>
      </c>
      <c r="D33" s="177">
        <f>$D$5</f>
        <v/>
      </c>
      <c r="E33" s="202" t="n"/>
      <c r="F33" s="193" t="n">
        <v>55633.55</v>
      </c>
      <c r="G33" s="52">
        <f>F33/D33</f>
        <v/>
      </c>
      <c r="H33" s="125" t="n"/>
      <c r="I33" s="107">
        <f>H33*100/$E$33</f>
        <v/>
      </c>
      <c r="J33" s="108" t="n"/>
      <c r="K33" s="107">
        <f>J33*100/$E$33</f>
        <v/>
      </c>
      <c r="L33" s="108" t="n"/>
      <c r="M33" s="107">
        <f>L33*100/$E$33</f>
        <v/>
      </c>
      <c r="N33" s="108" t="n"/>
      <c r="O33" s="107">
        <f>N33*100/$E$33</f>
        <v/>
      </c>
      <c r="P33" s="108" t="n"/>
      <c r="Q33" s="122">
        <f>P33*100/$E$33</f>
        <v/>
      </c>
      <c r="R33" s="108" t="n"/>
      <c r="S33" s="122">
        <f>R33*100/$E$33</f>
        <v/>
      </c>
      <c r="T33" s="108" t="n"/>
      <c r="U33" s="107">
        <f>T33*100/$E$33</f>
        <v/>
      </c>
      <c r="V33" s="108" t="n"/>
      <c r="W33" s="107">
        <f>V33*100/$E$33</f>
        <v/>
      </c>
      <c r="X33" s="108" t="n"/>
      <c r="Y33" s="107">
        <f>X33*100/$E$33</f>
        <v/>
      </c>
      <c r="Z33" s="108" t="n"/>
      <c r="AA33" s="107">
        <f>Z33*100/$E$33</f>
        <v/>
      </c>
      <c r="AB33" s="108" t="n"/>
      <c r="AC33" s="107">
        <f>AB33*100/$E$33</f>
        <v/>
      </c>
      <c r="AD33" s="108" t="n"/>
      <c r="AE33" s="122">
        <f>AD33*100/$E$33</f>
        <v/>
      </c>
      <c r="AF33" s="108" t="n"/>
      <c r="AG33" s="122">
        <f>AF33*100/$E$33</f>
        <v/>
      </c>
      <c r="AH33" s="108" t="n"/>
      <c r="AI33" s="107">
        <f>AH33*100/$E$33</f>
        <v/>
      </c>
      <c r="AJ33" s="108" t="n"/>
      <c r="AK33" s="107">
        <f>AJ33*100/$E$33</f>
        <v/>
      </c>
      <c r="AL33" s="108" t="n"/>
      <c r="AM33" s="107">
        <f>AL33*100/$E$33</f>
        <v/>
      </c>
      <c r="AN33" s="108" t="n"/>
      <c r="AO33" s="107">
        <f>AN33*100/$E$33</f>
        <v/>
      </c>
      <c r="AP33" s="108" t="n"/>
      <c r="AQ33" s="107">
        <f>AP33*100/$E$33</f>
        <v/>
      </c>
      <c r="AR33" s="108" t="n"/>
      <c r="AS33" s="107">
        <f>AR33*100/$E$33</f>
        <v/>
      </c>
      <c r="AT33" s="108" t="n"/>
      <c r="AU33" s="90">
        <f>AT33*100/$E$33</f>
        <v/>
      </c>
      <c r="AV33" s="108" t="n"/>
      <c r="AW33" s="107">
        <f>AV33*100/$E$33</f>
        <v/>
      </c>
      <c r="AX33" s="108" t="n"/>
      <c r="AY33" s="107">
        <f>AX33*100/$E$33</f>
        <v/>
      </c>
      <c r="AZ33" s="108" t="n"/>
      <c r="BA33" s="107">
        <f>AZ33*100/$E$33</f>
        <v/>
      </c>
      <c r="BB33" s="108" t="n"/>
      <c r="BC33" s="107">
        <f>BB33*100/$E$33</f>
        <v/>
      </c>
      <c r="BD33" s="108" t="n"/>
      <c r="BE33" s="107">
        <f>BD33*100/$E$33</f>
        <v/>
      </c>
      <c r="BF33" s="108" t="n"/>
      <c r="BG33" s="107">
        <f>BF33*100/$E$33</f>
        <v/>
      </c>
      <c r="BH33" s="108" t="n"/>
      <c r="BI33" s="107">
        <f>BH33*100/$E$33</f>
        <v/>
      </c>
      <c r="BJ33" s="108" t="n"/>
      <c r="BK33" s="107">
        <f>BJ33*100/$E$33</f>
        <v/>
      </c>
      <c r="BL33" s="108" t="n"/>
      <c r="BM33" s="107">
        <f>BL33*100/$E$33</f>
        <v/>
      </c>
      <c r="BN33" s="108" t="n"/>
      <c r="BO33" s="107">
        <f>BN33*100/$E$33</f>
        <v/>
      </c>
      <c r="BP33" s="108" t="n"/>
      <c r="BQ33" s="107">
        <f>BP33*100/$E$33</f>
        <v/>
      </c>
      <c r="BR33" s="108" t="n"/>
      <c r="BS33" s="107">
        <f>BR33*100/$E$33</f>
        <v/>
      </c>
      <c r="BT33" s="108" t="n"/>
      <c r="BU33" s="107">
        <f>BT33*100/$E$33</f>
        <v/>
      </c>
      <c r="BV33" s="108" t="n"/>
      <c r="BW33" s="107">
        <f>BV33*100/$E$33</f>
        <v/>
      </c>
      <c r="BX33" s="108" t="n"/>
      <c r="BY33" s="107">
        <f>BX33*100/$E$33</f>
        <v/>
      </c>
      <c r="BZ33" s="108" t="n"/>
      <c r="CA33" s="107">
        <f>BZ33*100/$E$33</f>
        <v/>
      </c>
      <c r="CB33" s="108" t="n"/>
      <c r="CC33" s="107">
        <f>CB33*100/$E$33</f>
        <v/>
      </c>
      <c r="CD33" s="108" t="n"/>
      <c r="CE33" s="107">
        <f>CD33*100/$E$33</f>
        <v/>
      </c>
      <c r="CF33" s="108" t="n"/>
      <c r="CG33" s="107">
        <f>CF33*100/$E$33</f>
        <v/>
      </c>
      <c r="CH33" s="108" t="n"/>
      <c r="CI33" s="107">
        <f>CH33*100/$E$33</f>
        <v/>
      </c>
      <c r="CJ33" s="108" t="n"/>
      <c r="CK33" s="107">
        <f>CJ33*100/$E$33</f>
        <v/>
      </c>
      <c r="CL33" s="108" t="n"/>
      <c r="CM33" s="107">
        <f>CL33*100/$E$33</f>
        <v/>
      </c>
      <c r="CN33" s="108" t="n"/>
      <c r="CO33" s="122">
        <f>CN33*100/$E$33</f>
        <v/>
      </c>
      <c r="CP33" s="108" t="n"/>
      <c r="CQ33" s="107">
        <f>CP33*100/$E$33</f>
        <v/>
      </c>
      <c r="CR33" s="108" t="n"/>
      <c r="CS33" s="122">
        <f>CR33*100/$E$33</f>
        <v/>
      </c>
      <c r="CT33" s="108" t="n"/>
      <c r="CU33" s="122">
        <f>CT33*100/$E$33</f>
        <v/>
      </c>
      <c r="CV33" s="108" t="n"/>
      <c r="CW33" s="122">
        <f>CV33*100/$E$33</f>
        <v/>
      </c>
      <c r="CX33" s="108" t="n"/>
      <c r="CY33" s="122">
        <f>CX33*100/$E$33</f>
        <v/>
      </c>
      <c r="CZ33" s="108" t="n"/>
      <c r="DA33" s="122">
        <f>CZ33*100/$E$33</f>
        <v/>
      </c>
      <c r="DB33" s="108" t="n"/>
      <c r="DC33" s="122">
        <f>DB33*100/$E$33</f>
        <v/>
      </c>
      <c r="DD33" s="108" t="n"/>
      <c r="DE33" s="122">
        <f>DD33*100/$E$33</f>
        <v/>
      </c>
      <c r="DF33" s="108" t="n"/>
      <c r="DG33" s="122">
        <f>DF33*100/$E$33</f>
        <v/>
      </c>
      <c r="DH33" s="108" t="n"/>
      <c r="DI33" s="122">
        <f>DH33*100/$E$33</f>
        <v/>
      </c>
      <c r="DJ33" s="108" t="n"/>
      <c r="DK33" s="122">
        <f>DJ33*100/$E$33</f>
        <v/>
      </c>
      <c r="DL33" s="108" t="n"/>
      <c r="DM33" s="122">
        <f>DL33*100/$E$33</f>
        <v/>
      </c>
      <c r="DN33" s="108" t="n"/>
      <c r="DO33" s="122">
        <f>DN33*100/$E$33</f>
        <v/>
      </c>
      <c r="DP33" s="108" t="n"/>
      <c r="DQ33" s="122">
        <f>DP33*100/$E$33</f>
        <v/>
      </c>
      <c r="DR33" s="108" t="n"/>
      <c r="DS33" s="122">
        <f>DR33*100/$E$33</f>
        <v/>
      </c>
      <c r="DT33" s="108" t="n"/>
      <c r="DU33" s="122">
        <f>DT33*100/$E$33</f>
        <v/>
      </c>
      <c r="DV33" s="108" t="n"/>
      <c r="DW33" s="122">
        <f>DV33*100/$E$33</f>
        <v/>
      </c>
      <c r="DX33" s="108" t="n"/>
      <c r="DY33" s="122">
        <f>DX33*100/$E$33</f>
        <v/>
      </c>
      <c r="DZ33" s="108" t="n"/>
      <c r="EA33" s="122">
        <f>DZ33*100/$E$33</f>
        <v/>
      </c>
      <c r="EB33" s="108" t="n"/>
      <c r="EC33" s="122">
        <f>EB33*100/$E$33</f>
        <v/>
      </c>
      <c r="ED33" s="108" t="n"/>
      <c r="EE33" s="122">
        <f>ED33*100/$E$33</f>
        <v/>
      </c>
      <c r="EF33" s="108" t="n"/>
      <c r="EG33" s="122">
        <f>EF33*100/$E$33</f>
        <v/>
      </c>
      <c r="EH33" s="108" t="n"/>
      <c r="EI33" s="122">
        <f>EH33*100/$E$33</f>
        <v/>
      </c>
      <c r="EJ33" s="108" t="n"/>
      <c r="EK33" s="122">
        <f>EJ33*100/$E$33</f>
        <v/>
      </c>
      <c r="EL33" s="108" t="n"/>
      <c r="EM33" s="122">
        <f>EL33*100/$E$33</f>
        <v/>
      </c>
      <c r="EN33" s="108" t="n"/>
      <c r="EO33" s="122">
        <f>EN33*100/$E$33</f>
        <v/>
      </c>
      <c r="EP33" s="108" t="n"/>
      <c r="EQ33" s="122">
        <f>EP33*100/$E$33</f>
        <v/>
      </c>
      <c r="ER33" s="108" t="n"/>
      <c r="ES33" s="122">
        <f>ER33*100/$E$33</f>
        <v/>
      </c>
      <c r="ET33" s="108" t="n"/>
      <c r="EU33" s="122">
        <f>ET33*100/$E$33</f>
        <v/>
      </c>
      <c r="EV33" s="108" t="n"/>
      <c r="EW33" s="122">
        <f>EV33*100/$E$33</f>
        <v/>
      </c>
      <c r="EX33" s="108" t="n"/>
      <c r="EY33" s="122">
        <f>EX33*100/$E$33</f>
        <v/>
      </c>
      <c r="EZ33" s="108" t="n"/>
      <c r="FA33" s="122">
        <f>EZ33*100/$E$33</f>
        <v/>
      </c>
      <c r="FB33" s="108" t="n"/>
      <c r="FC33" s="122">
        <f>FB33*100/$E$33</f>
        <v/>
      </c>
      <c r="FD33" s="108" t="n"/>
      <c r="FE33" s="122">
        <f>FD33*100/$E$33</f>
        <v/>
      </c>
      <c r="FF33" s="108" t="n"/>
      <c r="FG33" s="122">
        <f>FF33*100/$E$33</f>
        <v/>
      </c>
      <c r="FH33" s="108" t="n"/>
      <c r="FI33" s="122">
        <f>FH33*100/$E$33</f>
        <v/>
      </c>
      <c r="FJ33" s="108" t="n"/>
      <c r="FK33" s="122">
        <f>FJ33*100/$E$33</f>
        <v/>
      </c>
      <c r="FL33" s="108" t="n"/>
      <c r="FM33" s="122">
        <f>FL33*100/$E$33</f>
        <v/>
      </c>
      <c r="FN33" s="108" t="n"/>
      <c r="FO33" s="122">
        <f>FN33*100/$E$33</f>
        <v/>
      </c>
      <c r="FP33" s="108" t="n"/>
      <c r="FQ33" s="122">
        <f>FP33*100/$E$33</f>
        <v/>
      </c>
      <c r="FR33" s="108" t="n"/>
      <c r="FS33" s="122">
        <f>FR33*100/$E$33</f>
        <v/>
      </c>
      <c r="FT33" s="108" t="n"/>
      <c r="FU33" s="122">
        <f>FT33*100/$E$33</f>
        <v/>
      </c>
      <c r="FV33" s="108" t="n"/>
      <c r="FW33" s="122">
        <f>FV33*100/$E$33</f>
        <v/>
      </c>
      <c r="FX33" s="108" t="n"/>
      <c r="FY33" s="107">
        <f>FX33*100/$E$33</f>
        <v/>
      </c>
      <c r="FZ33" s="108" t="n"/>
      <c r="GA33" s="107">
        <f>FZ33*100/$E$33</f>
        <v/>
      </c>
      <c r="GB33" s="108" t="n"/>
      <c r="GC33" s="107">
        <f>GB33*100/$E$33</f>
        <v/>
      </c>
      <c r="GD33" s="108" t="n"/>
      <c r="GE33" s="107">
        <f>GD33*100/$E$33</f>
        <v/>
      </c>
      <c r="GF33" s="108" t="n"/>
      <c r="GG33" s="107">
        <f>GF33*100/$E$33</f>
        <v/>
      </c>
      <c r="GH33" s="108" t="n"/>
      <c r="GI33" s="107">
        <f>GH33*100/$E$33</f>
        <v/>
      </c>
      <c r="GJ33" s="108" t="n"/>
      <c r="GK33" s="122">
        <f>GJ33*100/$E$33</f>
        <v/>
      </c>
      <c r="GL33" s="108" t="n"/>
      <c r="GM33" s="107">
        <f>GL33*100/$E$33</f>
        <v/>
      </c>
      <c r="GN33" s="108" t="n"/>
      <c r="GO33" s="122">
        <f>GN33*100/$E$33</f>
        <v/>
      </c>
      <c r="GP33" s="108" t="n"/>
      <c r="GQ33" s="107">
        <f>GP33*100/$E$33</f>
        <v/>
      </c>
      <c r="GR33" s="108" t="n"/>
      <c r="GS33" s="122">
        <f>GR33*100/$E$33</f>
        <v/>
      </c>
      <c r="GT33" s="108" t="n"/>
      <c r="GU33" s="122">
        <f>GT33*100/$E$33</f>
        <v/>
      </c>
      <c r="GV33" s="108" t="n"/>
      <c r="GW33" s="122">
        <f>GV33*100/$E$33</f>
        <v/>
      </c>
      <c r="GX33" s="108" t="n"/>
      <c r="GY33" s="107">
        <f>GX33*100/$E$33</f>
        <v/>
      </c>
      <c r="GZ33" s="108" t="n"/>
      <c r="HA33" s="107">
        <f>GZ33*100/$E$33</f>
        <v/>
      </c>
      <c r="HB33" s="108" t="n"/>
      <c r="HC33" s="107">
        <f>HB33*100/$E$33</f>
        <v/>
      </c>
      <c r="HD33" s="108" t="n"/>
      <c r="HE33" s="107">
        <f>HD33*100/$E$33</f>
        <v/>
      </c>
      <c r="HF33" s="108" t="n"/>
      <c r="HG33" s="107">
        <f>HF33*100/$E$33</f>
        <v/>
      </c>
      <c r="HH33" s="108" t="n"/>
      <c r="HI33" s="107">
        <f>HH33*100/$E$33</f>
        <v/>
      </c>
      <c r="HJ33" s="108" t="n"/>
      <c r="HK33" s="107">
        <f>HJ33*100/$E$33</f>
        <v/>
      </c>
      <c r="HL33" s="108" t="n"/>
      <c r="HM33" s="107">
        <f>HL33*100/$E$33</f>
        <v/>
      </c>
      <c r="HN33" s="108" t="n"/>
      <c r="HO33" s="107">
        <f>HN33*100/$E$33</f>
        <v/>
      </c>
      <c r="HP33" s="108" t="n"/>
      <c r="HQ33" s="107">
        <f>HP33*100/$E$33</f>
        <v/>
      </c>
      <c r="HR33" s="108" t="n"/>
      <c r="HS33" s="107">
        <f>HR33*100/$E$33</f>
        <v/>
      </c>
      <c r="HT33" s="108" t="n"/>
      <c r="HU33" s="107">
        <f>HT33*100/$E$33</f>
        <v/>
      </c>
      <c r="HV33" s="108" t="n"/>
      <c r="HW33" s="107">
        <f>HV33*100/$E$33</f>
        <v/>
      </c>
      <c r="HX33" s="108" t="n"/>
      <c r="HY33" s="107">
        <f>HX33*100/$E$33</f>
        <v/>
      </c>
      <c r="HZ33" s="108" t="n"/>
      <c r="IA33" s="122">
        <f>HZ33*100/$E$33</f>
        <v/>
      </c>
      <c r="IB33" s="108" t="n"/>
      <c r="IC33" s="122">
        <f>IB33*100/$E$33</f>
        <v/>
      </c>
      <c r="ID33" s="108" t="n"/>
      <c r="IE33" s="122">
        <f>ID33*100/$E$33</f>
        <v/>
      </c>
      <c r="IF33" s="108" t="n"/>
      <c r="IG33" s="122">
        <f>IF33*100/$E$33</f>
        <v/>
      </c>
      <c r="IH33" s="108" t="n"/>
      <c r="II33" s="122">
        <f>IH33*100/$E$33</f>
        <v/>
      </c>
      <c r="IJ33" s="108" t="n"/>
      <c r="IK33" s="122">
        <f>IJ33*100/$E$33</f>
        <v/>
      </c>
      <c r="IL33" s="108" t="n"/>
      <c r="IM33" s="107">
        <f>IL33*100/$E$33</f>
        <v/>
      </c>
      <c r="IN33" s="108" t="n"/>
      <c r="IO33" s="107">
        <f>IN33*100/$E$33</f>
        <v/>
      </c>
      <c r="IP33" s="108" t="n"/>
      <c r="IQ33" s="122">
        <f>IP33*100/$E$33</f>
        <v/>
      </c>
      <c r="IR33" s="108" t="n"/>
      <c r="IS33" s="122">
        <f>IR33*100/$E$33</f>
        <v/>
      </c>
      <c r="IT33" s="108" t="n"/>
      <c r="IU33" s="122">
        <f>IT33*100/$E$33</f>
        <v/>
      </c>
      <c r="IV33" s="108" t="n"/>
      <c r="IW33" s="122">
        <f>IV33*100/$E$33</f>
        <v/>
      </c>
      <c r="IX33" s="108" t="n"/>
      <c r="IY33" s="122">
        <f>IX33*100/$E$33</f>
        <v/>
      </c>
      <c r="IZ33" s="108" t="n"/>
      <c r="JA33" s="122">
        <f>IZ33*100/$E$33</f>
        <v/>
      </c>
      <c r="JB33" s="108" t="n"/>
      <c r="JC33" s="122">
        <f>JB33*100/$E$33</f>
        <v/>
      </c>
      <c r="JD33" s="108" t="n"/>
      <c r="JE33" s="122">
        <f>JD33*100/$E$33</f>
        <v/>
      </c>
      <c r="JF33" s="108" t="n"/>
      <c r="JG33" s="122">
        <f>JF33*100/$E$33</f>
        <v/>
      </c>
      <c r="JH33" s="108" t="n"/>
      <c r="JI33" s="122">
        <f>JH33*100/$E$33</f>
        <v/>
      </c>
      <c r="JJ33" s="108" t="n"/>
      <c r="JK33" s="122">
        <f>JJ33*100/$E$33</f>
        <v/>
      </c>
      <c r="JL33" s="108" t="n"/>
      <c r="JM33" s="122">
        <f>JL33*100/$E$33</f>
        <v/>
      </c>
      <c r="JN33" s="108" t="n"/>
      <c r="JO33" s="121">
        <f>JN33*100/$E$33</f>
        <v/>
      </c>
      <c r="JP33" s="108" t="n"/>
      <c r="JQ33" s="121">
        <f>JP33*100/$E$33</f>
        <v/>
      </c>
      <c r="JR33" s="108" t="n"/>
      <c r="JS33" s="121">
        <f>JR33*100/$E$33</f>
        <v/>
      </c>
      <c r="JT33" s="108" t="n"/>
      <c r="JU33" s="121">
        <f>JT33*100/$E$33</f>
        <v/>
      </c>
      <c r="JV33" s="108" t="n"/>
      <c r="JW33" s="121">
        <f>JV33*100/$E$33</f>
        <v/>
      </c>
      <c r="JX33" s="108" t="n"/>
      <c r="JY33" s="121">
        <f>JX33*100/$E$33</f>
        <v/>
      </c>
      <c r="JZ33" s="55">
        <f>JN33+JP33+JR33+JT33+JV33+JX33</f>
        <v/>
      </c>
      <c r="KA33" s="53">
        <f>JO33+JQ33+JS33+JU33+JW33+JY33</f>
        <v/>
      </c>
      <c r="KB33" s="64">
        <f>H33+J33+L33+N33+P33+R33+T33+V33+X33+Z33+AB33+AD33+AF33+AH33+AJ33+AL33+AN33+AP33+AR33+AT33+AV33+AX33+AZ33+BB33+BD33+BF33+BH33+BJ33+BL33+BN33+BP33+BR33+BT33+BV33+BX33+BZ33+CB33+CD33+CF33+CH33+CZ33+DB33+DD33+DF33+DH33+DJ33+DL33+DN33+DP33+DR33+DT33+DV33+DX33+DZ33+EB33+ED33+EF33+EH33+EJ33+EL33+EN33+EP33+ER33+ET33+EV33+FN33+FP33+FR33+FT33+FV33+FX33+FZ33+GB33+GD33+GF33+GH33+GJ33+GL33+GN33+GP33+GR33+GT33+GV33+GX33+GZ33+HB33+HD33+HF33+HH33+HJ33+HL33+HN33+HP33+HR33+HT33+HV33+HX33+HZ33+IB33+ID33+IF33+IH33+IJ33+IL33+IN33+IP33+IR33+IT33+IV33+IX33+IZ33+JB33+JD33+JF33+JH33+JJ33+JL33+JZ33+CJ33+CL33+CN33+CP33+CR33+CT33+CV33+CX33+EX33+EZ33+FB33+FD33+FF33+FH33+FJ33+FL33</f>
        <v/>
      </c>
      <c r="KC33" s="66">
        <f>I33+K33+M33+O33+Q33+S33+U33+W33+Y33+AA33+AC33+AE33+AG33+AI33+AK33+AM33+AO33+AQ33+AS33+AU33+AW33+AY33+BA33+BC33+BE33+BG33+BI33+BK33+BM33+BO33+BQ33+BS33+BU33+BW33+BY33+CA33+CC33+CE33+CG33+CI33+DA33+DC33+DE33+DG33+DI33+DK33+DM33+DO33+DQ33+DS33+DU33+DW33+DY33+EA33+EC33+EE33+EG33+EI33+EK33+EM33+EO33+EQ33+ES33+EU33+EW33+FO33+FS33+FU33+FW33+FQ33+FY33+GA33+GC33+GE33+GG33+GI33+GK33+GM33+GO33+GQ33+GS33+GU33+GW33+GY33+HA33+HC33+HE33+HG33+HI33+HK33+HM33+HO33+HQ33+HS33+HU33+HW33+HY33+IA33+IC33+IE33+IG33+II33+IK33+IM33+IO33+IQ33+IS33+IU33+IW33+IY33+JA33+JC33+JE33+JG33+JI33+JK33+JM33+KA33+CK33+CM33+CO33+CQ33+CS33+CU33+CW33+CY33+EY33+FA33+FC33+FE33+FG33+FI33+FK33+FM33</f>
        <v/>
      </c>
      <c r="KD33" s="44">
        <f>JO33+JQ33+JS33+JU33+JW33+JY33</f>
        <v/>
      </c>
      <c r="KE33" s="45">
        <f>KB33=E33</f>
        <v/>
      </c>
      <c r="KF33" s="101">
        <f>E33-KB33</f>
        <v/>
      </c>
      <c r="KG33" s="11" t="n"/>
    </row>
    <row r="34" ht="21.75" customFormat="1" customHeight="1" s="11">
      <c r="A34" s="126">
        <f>A33+1</f>
        <v/>
      </c>
      <c r="B34" s="201" t="inlineStr">
        <is>
          <t>Неверов Г.А.</t>
        </is>
      </c>
      <c r="C34" s="194" t="inlineStr">
        <is>
          <t>слесарь</t>
        </is>
      </c>
      <c r="D34" s="177">
        <f>$D$5</f>
        <v/>
      </c>
      <c r="E34" s="202" t="n"/>
      <c r="F34" s="193" t="n">
        <v>68902.87</v>
      </c>
      <c r="G34" s="52">
        <f>F34/D34</f>
        <v/>
      </c>
      <c r="H34" s="125" t="n"/>
      <c r="I34" s="107">
        <f>H34*100/$E$34</f>
        <v/>
      </c>
      <c r="J34" s="108" t="n"/>
      <c r="K34" s="107">
        <f>J34*100/$E$34</f>
        <v/>
      </c>
      <c r="L34" s="108" t="n"/>
      <c r="M34" s="107">
        <f>L34*100/$E$34</f>
        <v/>
      </c>
      <c r="N34" s="108" t="n"/>
      <c r="O34" s="107">
        <f>N34*100/$E$34</f>
        <v/>
      </c>
      <c r="P34" s="108" t="n"/>
      <c r="Q34" s="122">
        <f>P34*100/$E$34</f>
        <v/>
      </c>
      <c r="R34" s="108" t="n"/>
      <c r="S34" s="122">
        <f>R34*100/$E$34</f>
        <v/>
      </c>
      <c r="T34" s="108" t="n"/>
      <c r="U34" s="107">
        <f>T34*100/$E$34</f>
        <v/>
      </c>
      <c r="V34" s="108" t="n"/>
      <c r="W34" s="107">
        <f>V34*100/$E$34</f>
        <v/>
      </c>
      <c r="X34" s="108" t="n"/>
      <c r="Y34" s="107">
        <f>X34*100/$E$34</f>
        <v/>
      </c>
      <c r="Z34" s="108" t="n"/>
      <c r="AA34" s="107">
        <f>Z34*100/$E$34</f>
        <v/>
      </c>
      <c r="AB34" s="108" t="n"/>
      <c r="AC34" s="107">
        <f>AB34*100/$E$34</f>
        <v/>
      </c>
      <c r="AD34" s="108" t="n"/>
      <c r="AE34" s="122">
        <f>AD34*100/$E$34</f>
        <v/>
      </c>
      <c r="AF34" s="108" t="n"/>
      <c r="AG34" s="122">
        <f>AF34*100/$E$34</f>
        <v/>
      </c>
      <c r="AH34" s="108" t="n"/>
      <c r="AI34" s="107">
        <f>AH34*100/$E$34</f>
        <v/>
      </c>
      <c r="AJ34" s="108" t="n"/>
      <c r="AK34" s="107">
        <f>AJ34*100/$E$34</f>
        <v/>
      </c>
      <c r="AL34" s="108" t="n"/>
      <c r="AM34" s="107">
        <f>AL34*100/$E$34</f>
        <v/>
      </c>
      <c r="AN34" s="108" t="n"/>
      <c r="AO34" s="107">
        <f>AN34*100/$E$34</f>
        <v/>
      </c>
      <c r="AP34" s="108" t="n"/>
      <c r="AQ34" s="107">
        <f>AP34*100/$E$34</f>
        <v/>
      </c>
      <c r="AR34" s="108" t="n"/>
      <c r="AS34" s="107">
        <f>AR34*100/$E$34</f>
        <v/>
      </c>
      <c r="AT34" s="108" t="n"/>
      <c r="AU34" s="90">
        <f>AT34*100/$E$34</f>
        <v/>
      </c>
      <c r="AV34" s="108" t="n"/>
      <c r="AW34" s="107">
        <f>AV34*100/$E$34</f>
        <v/>
      </c>
      <c r="AX34" s="108" t="n"/>
      <c r="AY34" s="107">
        <f>AX34*100/$E$34</f>
        <v/>
      </c>
      <c r="AZ34" s="108" t="n"/>
      <c r="BA34" s="107">
        <f>AZ34*100/$E$34</f>
        <v/>
      </c>
      <c r="BB34" s="108" t="n"/>
      <c r="BC34" s="107">
        <f>BB34*100/$E$34</f>
        <v/>
      </c>
      <c r="BD34" s="108" t="n"/>
      <c r="BE34" s="107">
        <f>BD34*100/$E$34</f>
        <v/>
      </c>
      <c r="BF34" s="108" t="n"/>
      <c r="BG34" s="107">
        <f>BF34*100/$E$34</f>
        <v/>
      </c>
      <c r="BH34" s="108" t="n"/>
      <c r="BI34" s="107">
        <f>BH34*100/$E$34</f>
        <v/>
      </c>
      <c r="BJ34" s="108" t="n"/>
      <c r="BK34" s="107">
        <f>BJ34*100/$E$34</f>
        <v/>
      </c>
      <c r="BL34" s="108" t="n"/>
      <c r="BM34" s="107">
        <f>BL34*100/$E$34</f>
        <v/>
      </c>
      <c r="BN34" s="108" t="n"/>
      <c r="BO34" s="107">
        <f>BN34*100/$E$34</f>
        <v/>
      </c>
      <c r="BP34" s="108" t="n"/>
      <c r="BQ34" s="107">
        <f>BP34*100/$E$34</f>
        <v/>
      </c>
      <c r="BR34" s="108" t="n"/>
      <c r="BS34" s="107">
        <f>BR34*100/$E$34</f>
        <v/>
      </c>
      <c r="BT34" s="108" t="n"/>
      <c r="BU34" s="107">
        <f>BT34*100/$E$34</f>
        <v/>
      </c>
      <c r="BV34" s="108" t="n"/>
      <c r="BW34" s="107">
        <f>BV34*100/$E$34</f>
        <v/>
      </c>
      <c r="BX34" s="108" t="n"/>
      <c r="BY34" s="107">
        <f>BX34*100/$E$34</f>
        <v/>
      </c>
      <c r="BZ34" s="108" t="n"/>
      <c r="CA34" s="107">
        <f>BZ34*100/$E$34</f>
        <v/>
      </c>
      <c r="CB34" s="108" t="n"/>
      <c r="CC34" s="107">
        <f>CB34*100/$E$34</f>
        <v/>
      </c>
      <c r="CD34" s="108" t="n"/>
      <c r="CE34" s="107">
        <f>CD34*100/$E$34</f>
        <v/>
      </c>
      <c r="CF34" s="108" t="n"/>
      <c r="CG34" s="107">
        <f>CF34*100/$E$34</f>
        <v/>
      </c>
      <c r="CH34" s="108" t="n"/>
      <c r="CI34" s="107">
        <f>CH34*100/$E$34</f>
        <v/>
      </c>
      <c r="CJ34" s="108" t="n"/>
      <c r="CK34" s="107">
        <f>CJ34*100/$E$34</f>
        <v/>
      </c>
      <c r="CL34" s="108" t="n"/>
      <c r="CM34" s="107">
        <f>CL34*100/$E$34</f>
        <v/>
      </c>
      <c r="CN34" s="108" t="n"/>
      <c r="CO34" s="122">
        <f>CN34*100/$E$34</f>
        <v/>
      </c>
      <c r="CP34" s="108" t="n"/>
      <c r="CQ34" s="107">
        <f>CP34*100/$E$34</f>
        <v/>
      </c>
      <c r="CR34" s="108" t="n"/>
      <c r="CS34" s="122">
        <f>CR34*100/$E$34</f>
        <v/>
      </c>
      <c r="CT34" s="108" t="n"/>
      <c r="CU34" s="122">
        <f>CT34*100/$E$34</f>
        <v/>
      </c>
      <c r="CV34" s="108" t="n"/>
      <c r="CW34" s="122">
        <f>CV34*100/$E$34</f>
        <v/>
      </c>
      <c r="CX34" s="108" t="n"/>
      <c r="CY34" s="122">
        <f>CX34*100/$E$34</f>
        <v/>
      </c>
      <c r="CZ34" s="108" t="n"/>
      <c r="DA34" s="122">
        <f>CZ34*100/$E$34</f>
        <v/>
      </c>
      <c r="DB34" s="108" t="n"/>
      <c r="DC34" s="122">
        <f>DB34*100/$E$34</f>
        <v/>
      </c>
      <c r="DD34" s="108" t="n"/>
      <c r="DE34" s="122">
        <f>DD34*100/$E$34</f>
        <v/>
      </c>
      <c r="DF34" s="108" t="n"/>
      <c r="DG34" s="122">
        <f>DF34*100/$E$34</f>
        <v/>
      </c>
      <c r="DH34" s="108" t="n"/>
      <c r="DI34" s="122">
        <f>DH34*100/$E$34</f>
        <v/>
      </c>
      <c r="DJ34" s="108" t="n"/>
      <c r="DK34" s="122">
        <f>DJ34*100/$E$34</f>
        <v/>
      </c>
      <c r="DL34" s="108" t="n"/>
      <c r="DM34" s="122">
        <f>DL34*100/$E$34</f>
        <v/>
      </c>
      <c r="DN34" s="108" t="n"/>
      <c r="DO34" s="122">
        <f>DN34*100/$E$34</f>
        <v/>
      </c>
      <c r="DP34" s="108" t="n"/>
      <c r="DQ34" s="122">
        <f>DP34*100/$E$34</f>
        <v/>
      </c>
      <c r="DR34" s="108" t="n"/>
      <c r="DS34" s="122">
        <f>DR34*100/$E$34</f>
        <v/>
      </c>
      <c r="DT34" s="108" t="n"/>
      <c r="DU34" s="122">
        <f>DT34*100/$E$34</f>
        <v/>
      </c>
      <c r="DV34" s="108" t="n"/>
      <c r="DW34" s="122">
        <f>DV34*100/$E$34</f>
        <v/>
      </c>
      <c r="DX34" s="108" t="n"/>
      <c r="DY34" s="122">
        <f>DX34*100/$E$34</f>
        <v/>
      </c>
      <c r="DZ34" s="108" t="n"/>
      <c r="EA34" s="122">
        <f>DZ34*100/$E$34</f>
        <v/>
      </c>
      <c r="EB34" s="108" t="n"/>
      <c r="EC34" s="122">
        <f>EB34*100/$E$34</f>
        <v/>
      </c>
      <c r="ED34" s="108" t="n"/>
      <c r="EE34" s="122">
        <f>ED34*100/$E$34</f>
        <v/>
      </c>
      <c r="EF34" s="108" t="n"/>
      <c r="EG34" s="122">
        <f>EF34*100/$E$34</f>
        <v/>
      </c>
      <c r="EH34" s="108" t="n"/>
      <c r="EI34" s="122">
        <f>EH34*100/$E$34</f>
        <v/>
      </c>
      <c r="EJ34" s="108" t="n"/>
      <c r="EK34" s="122">
        <f>EJ34*100/$E$34</f>
        <v/>
      </c>
      <c r="EL34" s="108" t="n"/>
      <c r="EM34" s="122">
        <f>EL34*100/$E$34</f>
        <v/>
      </c>
      <c r="EN34" s="108" t="n"/>
      <c r="EO34" s="122">
        <f>EN34*100/$E$34</f>
        <v/>
      </c>
      <c r="EP34" s="108" t="n"/>
      <c r="EQ34" s="122">
        <f>EP34*100/$E$34</f>
        <v/>
      </c>
      <c r="ER34" s="108" t="n"/>
      <c r="ES34" s="122">
        <f>ER34*100/$E$34</f>
        <v/>
      </c>
      <c r="ET34" s="108" t="n"/>
      <c r="EU34" s="122">
        <f>ET34*100/$E$34</f>
        <v/>
      </c>
      <c r="EV34" s="108" t="n"/>
      <c r="EW34" s="122">
        <f>EV34*100/$E$34</f>
        <v/>
      </c>
      <c r="EX34" s="108" t="n"/>
      <c r="EY34" s="122">
        <f>EX34*100/$E$34</f>
        <v/>
      </c>
      <c r="EZ34" s="108" t="n"/>
      <c r="FA34" s="122">
        <f>EZ34*100/$E$34</f>
        <v/>
      </c>
      <c r="FB34" s="108" t="n"/>
      <c r="FC34" s="122">
        <f>FB34*100/$E$34</f>
        <v/>
      </c>
      <c r="FD34" s="108" t="n"/>
      <c r="FE34" s="122">
        <f>FD34*100/$E$34</f>
        <v/>
      </c>
      <c r="FF34" s="108" t="n"/>
      <c r="FG34" s="122">
        <f>FF34*100/$E$34</f>
        <v/>
      </c>
      <c r="FH34" s="108" t="n"/>
      <c r="FI34" s="122">
        <f>FH34*100/$E$34</f>
        <v/>
      </c>
      <c r="FJ34" s="108" t="n"/>
      <c r="FK34" s="122">
        <f>FJ34*100/$E$34</f>
        <v/>
      </c>
      <c r="FL34" s="108" t="n"/>
      <c r="FM34" s="122">
        <f>FL34*100/$E$34</f>
        <v/>
      </c>
      <c r="FN34" s="108" t="n"/>
      <c r="FO34" s="122">
        <f>FN34*100/$E$34</f>
        <v/>
      </c>
      <c r="FP34" s="108" t="n"/>
      <c r="FQ34" s="122">
        <f>FP34*100/$E$34</f>
        <v/>
      </c>
      <c r="FR34" s="108" t="n"/>
      <c r="FS34" s="122">
        <f>FR34*100/$E$34</f>
        <v/>
      </c>
      <c r="FT34" s="108" t="n"/>
      <c r="FU34" s="122">
        <f>FT34*100/$E$34</f>
        <v/>
      </c>
      <c r="FV34" s="108" t="n"/>
      <c r="FW34" s="122">
        <f>FV34*100/$E$34</f>
        <v/>
      </c>
      <c r="FX34" s="108" t="n"/>
      <c r="FY34" s="107">
        <f>FX34*100/$E$34</f>
        <v/>
      </c>
      <c r="FZ34" s="108" t="n"/>
      <c r="GA34" s="107">
        <f>FZ34*100/$E$34</f>
        <v/>
      </c>
      <c r="GB34" s="108" t="n"/>
      <c r="GC34" s="107">
        <f>GB34*100/$E$34</f>
        <v/>
      </c>
      <c r="GD34" s="108" t="n"/>
      <c r="GE34" s="107">
        <f>GD34*100/$E$34</f>
        <v/>
      </c>
      <c r="GF34" s="108" t="n"/>
      <c r="GG34" s="107">
        <f>GF34*100/$E$34</f>
        <v/>
      </c>
      <c r="GH34" s="108" t="n"/>
      <c r="GI34" s="107">
        <f>GH34*100/$E$34</f>
        <v/>
      </c>
      <c r="GJ34" s="108" t="n"/>
      <c r="GK34" s="122">
        <f>GJ34*100/$E$34</f>
        <v/>
      </c>
      <c r="GL34" s="108" t="n"/>
      <c r="GM34" s="107">
        <f>GL34*100/$E$34</f>
        <v/>
      </c>
      <c r="GN34" s="108" t="n"/>
      <c r="GO34" s="122">
        <f>GN34*100/$E$34</f>
        <v/>
      </c>
      <c r="GP34" s="108" t="n"/>
      <c r="GQ34" s="107">
        <f>GP34*100/$E$34</f>
        <v/>
      </c>
      <c r="GR34" s="108" t="n"/>
      <c r="GS34" s="122">
        <f>GR34*100/$E$34</f>
        <v/>
      </c>
      <c r="GT34" s="108" t="n"/>
      <c r="GU34" s="122">
        <f>GT34*100/$E$34</f>
        <v/>
      </c>
      <c r="GV34" s="108" t="n"/>
      <c r="GW34" s="122">
        <f>GV34*100/$E$34</f>
        <v/>
      </c>
      <c r="GX34" s="108" t="n"/>
      <c r="GY34" s="107">
        <f>GX34*100/$E$34</f>
        <v/>
      </c>
      <c r="GZ34" s="108" t="n"/>
      <c r="HA34" s="107">
        <f>GZ34*100/$E$34</f>
        <v/>
      </c>
      <c r="HB34" s="108" t="n"/>
      <c r="HC34" s="107">
        <f>HB34*100/$E$34</f>
        <v/>
      </c>
      <c r="HD34" s="108" t="n"/>
      <c r="HE34" s="107">
        <f>HD34*100/$E$34</f>
        <v/>
      </c>
      <c r="HF34" s="108" t="n"/>
      <c r="HG34" s="107">
        <f>HF34*100/$E$34</f>
        <v/>
      </c>
      <c r="HH34" s="108" t="n"/>
      <c r="HI34" s="107">
        <f>HH34*100/$E$34</f>
        <v/>
      </c>
      <c r="HJ34" s="108" t="n"/>
      <c r="HK34" s="107">
        <f>HJ34*100/$E$34</f>
        <v/>
      </c>
      <c r="HL34" s="108" t="n"/>
      <c r="HM34" s="107">
        <f>HL34*100/$E$34</f>
        <v/>
      </c>
      <c r="HN34" s="108" t="n"/>
      <c r="HO34" s="107">
        <f>HN34*100/$E$34</f>
        <v/>
      </c>
      <c r="HP34" s="108" t="n"/>
      <c r="HQ34" s="107">
        <f>HP34*100/$E$34</f>
        <v/>
      </c>
      <c r="HR34" s="108" t="n"/>
      <c r="HS34" s="107">
        <f>HR34*100/$E$34</f>
        <v/>
      </c>
      <c r="HT34" s="108" t="n"/>
      <c r="HU34" s="107">
        <f>HT34*100/$E$34</f>
        <v/>
      </c>
      <c r="HV34" s="108" t="n"/>
      <c r="HW34" s="107">
        <f>HV34*100/$E$34</f>
        <v/>
      </c>
      <c r="HX34" s="108" t="n"/>
      <c r="HY34" s="107">
        <f>HX34*100/$E$34</f>
        <v/>
      </c>
      <c r="HZ34" s="108" t="n"/>
      <c r="IA34" s="122">
        <f>HZ34*100/$E$34</f>
        <v/>
      </c>
      <c r="IB34" s="108" t="n"/>
      <c r="IC34" s="122">
        <f>IB34*100/$E$34</f>
        <v/>
      </c>
      <c r="ID34" s="108" t="n"/>
      <c r="IE34" s="122">
        <f>ID34*100/$E$34</f>
        <v/>
      </c>
      <c r="IF34" s="108" t="n"/>
      <c r="IG34" s="122">
        <f>IF34*100/$E$34</f>
        <v/>
      </c>
      <c r="IH34" s="108" t="n"/>
      <c r="II34" s="122">
        <f>IH34*100/$E$34</f>
        <v/>
      </c>
      <c r="IJ34" s="108" t="n"/>
      <c r="IK34" s="122">
        <f>IJ34*100/$E$34</f>
        <v/>
      </c>
      <c r="IL34" s="108" t="n"/>
      <c r="IM34" s="107">
        <f>IL34*100/$E$34</f>
        <v/>
      </c>
      <c r="IN34" s="108" t="n"/>
      <c r="IO34" s="107">
        <f>IN34*100/$E$34</f>
        <v/>
      </c>
      <c r="IP34" s="108" t="n"/>
      <c r="IQ34" s="122">
        <f>IP34*100/$E$34</f>
        <v/>
      </c>
      <c r="IR34" s="108" t="n"/>
      <c r="IS34" s="122">
        <f>IR34*100/$E$34</f>
        <v/>
      </c>
      <c r="IT34" s="108" t="n"/>
      <c r="IU34" s="122">
        <f>IT34*100/$E$34</f>
        <v/>
      </c>
      <c r="IV34" s="108" t="n"/>
      <c r="IW34" s="122">
        <f>IV34*100/$E$34</f>
        <v/>
      </c>
      <c r="IX34" s="108" t="n"/>
      <c r="IY34" s="122">
        <f>IX34*100/$E$34</f>
        <v/>
      </c>
      <c r="IZ34" s="108" t="n"/>
      <c r="JA34" s="122">
        <f>IZ34*100/$E$34</f>
        <v/>
      </c>
      <c r="JB34" s="108" t="n"/>
      <c r="JC34" s="122">
        <f>JB34*100/$E$34</f>
        <v/>
      </c>
      <c r="JD34" s="108" t="n"/>
      <c r="JE34" s="122">
        <f>JD34*100/$E$34</f>
        <v/>
      </c>
      <c r="JF34" s="108" t="n"/>
      <c r="JG34" s="122">
        <f>JF34*100/$E$34</f>
        <v/>
      </c>
      <c r="JH34" s="108" t="n"/>
      <c r="JI34" s="122">
        <f>JH34*100/$E$34</f>
        <v/>
      </c>
      <c r="JJ34" s="108" t="n"/>
      <c r="JK34" s="122">
        <f>JJ34*100/$E$34</f>
        <v/>
      </c>
      <c r="JL34" s="108" t="n"/>
      <c r="JM34" s="122">
        <f>JL34*100/$E$34</f>
        <v/>
      </c>
      <c r="JN34" s="108" t="n"/>
      <c r="JO34" s="121">
        <f>JN34*100/$E$34</f>
        <v/>
      </c>
      <c r="JP34" s="108" t="n"/>
      <c r="JQ34" s="121">
        <f>JP34*100/$E$34</f>
        <v/>
      </c>
      <c r="JR34" s="108" t="n"/>
      <c r="JS34" s="121">
        <f>JR34*100/$E$34</f>
        <v/>
      </c>
      <c r="JT34" s="108" t="n"/>
      <c r="JU34" s="121">
        <f>JT34*100/$E$34</f>
        <v/>
      </c>
      <c r="JV34" s="108" t="n"/>
      <c r="JW34" s="121">
        <f>JV34*100/$E$34</f>
        <v/>
      </c>
      <c r="JX34" s="108" t="n"/>
      <c r="JY34" s="121">
        <f>JX34*100/$E$34</f>
        <v/>
      </c>
      <c r="JZ34" s="55">
        <f>JN34+JP34+JR34+JT34+JV34+JX34</f>
        <v/>
      </c>
      <c r="KA34" s="53">
        <f>JO34+JQ34+JS34+JU34+JW34+JY34</f>
        <v/>
      </c>
      <c r="KB34" s="64">
        <f>H34+J34+L34+N34+P34+R34+T34+V34+X34+Z34+AB34+AD34+AF34+AH34+AJ34+AL34+AN34+AP34+AR34+AT34+AV34+AX34+AZ34+BB34+BD34+BF34+BH34+BJ34+BL34+BN34+BP34+BR34+BT34+BV34+BX34+BZ34+CB34+CD34+CF34+CH34+CZ34+DB34+DD34+DF34+DH34+DJ34+DL34+DN34+DP34+DR34+DT34+DV34+DX34+DZ34+EB34+ED34+EF34+EH34+EJ34+EL34+EN34+EP34+ER34+ET34+EV34+FN34+FP34+FR34+FT34+FV34+FX34+FZ34+GB34+GD34+GF34+GH34+GJ34+GL34+GN34+GP34+GR34+GT34+GV34+GX34+GZ34+HB34+HD34+HF34+HH34+HJ34+HL34+HN34+HP34+HR34+HT34+HV34+HX34+HZ34+IB34+ID34+IF34+IH34+IJ34+IL34+IN34+IP34+IR34+IT34+IV34+IX34+IZ34+JB34+JD34+JF34+JH34+JJ34+JL34+JZ34+CJ34+CL34+CN34+CP34+CR34+CT34+CV34+CX34+EX34+EZ34+FB34+FD34+FF34+FH34+FJ34+FL34</f>
        <v/>
      </c>
      <c r="KC34" s="66">
        <f>I34+K34+M34+O34+Q34+S34+U34+W34+Y34+AA34+AC34+AE34+AG34+AI34+AK34+AM34+AO34+AQ34+AS34+AU34+AW34+AY34+BA34+BC34+BE34+BG34+BI34+BK34+BM34+BO34+BQ34+BS34+BU34+BW34+BY34+CA34+CC34+CE34+CG34+CI34+DA34+DC34+DE34+DG34+DI34+DK34+DM34+DO34+DQ34+DS34+DU34+DW34+DY34+EA34+EC34+EE34+EG34+EI34+EK34+EM34+EO34+EQ34+ES34+EU34+EW34+FO34+FS34+FU34+FW34+FQ34+FY34+GA34+GC34+GE34+GG34+GI34+GK34+GM34+GO34+GQ34+GS34+GU34+GW34+GY34+HA34+HC34+HE34+HG34+HI34+HK34+HM34+HO34+HQ34+HS34+HU34+HW34+HY34+IA34+IC34+IE34+IG34+II34+IK34+IM34+IO34+IQ34+IS34+IU34+IW34+IY34+JA34+JC34+JE34+JG34+JI34+JK34+JM34+KA34+CK34+CM34+CO34+CQ34+CS34+CU34+CW34+CY34+EY34+FA34+FC34+FE34+FG34+FI34+FK34+FM34</f>
        <v/>
      </c>
      <c r="KD34" s="44">
        <f>JO34+JQ34+JS34+JU34+JW34+JY34</f>
        <v/>
      </c>
      <c r="KE34" s="45">
        <f>KB34=E34</f>
        <v/>
      </c>
      <c r="KF34" s="101">
        <f>E34-KB34</f>
        <v/>
      </c>
      <c r="KG34" s="23" t="n"/>
    </row>
    <row r="35" ht="21.75" customFormat="1" customHeight="1" s="23">
      <c r="A35" s="126">
        <f>A34+1</f>
        <v/>
      </c>
      <c r="B35" s="175" t="inlineStr">
        <is>
          <t>Никулин В.Г.</t>
        </is>
      </c>
      <c r="C35" s="176" t="inlineStr">
        <is>
          <t>токарь</t>
        </is>
      </c>
      <c r="D35" s="177">
        <f>$D$5</f>
        <v/>
      </c>
      <c r="E35" s="202" t="n"/>
      <c r="F35" s="193" t="n">
        <v>107473.5</v>
      </c>
      <c r="G35" s="52">
        <f>F35/D35</f>
        <v/>
      </c>
      <c r="H35" s="125" t="n"/>
      <c r="I35" s="107">
        <f>H35*100/$E$35</f>
        <v/>
      </c>
      <c r="J35" s="108" t="n"/>
      <c r="K35" s="107">
        <f>J35*100/$E$35</f>
        <v/>
      </c>
      <c r="L35" s="108" t="n"/>
      <c r="M35" s="107">
        <f>L35*100/$E$35</f>
        <v/>
      </c>
      <c r="N35" s="108" t="n"/>
      <c r="O35" s="107">
        <f>N35*100/$E$35</f>
        <v/>
      </c>
      <c r="P35" s="108" t="n"/>
      <c r="Q35" s="122">
        <f>P35*100/$E$35</f>
        <v/>
      </c>
      <c r="R35" s="108" t="n"/>
      <c r="S35" s="122">
        <f>R35*100/$E$35</f>
        <v/>
      </c>
      <c r="T35" s="108" t="n"/>
      <c r="U35" s="107">
        <f>T35*100/$E$35</f>
        <v/>
      </c>
      <c r="V35" s="108" t="n"/>
      <c r="W35" s="107">
        <f>V35*100/$E$35</f>
        <v/>
      </c>
      <c r="X35" s="108" t="n"/>
      <c r="Y35" s="107">
        <f>X35*100/$E$35</f>
        <v/>
      </c>
      <c r="Z35" s="108" t="n"/>
      <c r="AA35" s="107">
        <f>Z35*100/$E$35</f>
        <v/>
      </c>
      <c r="AB35" s="108" t="n"/>
      <c r="AC35" s="107">
        <f>AB35*100/$E$35</f>
        <v/>
      </c>
      <c r="AD35" s="108" t="n"/>
      <c r="AE35" s="122">
        <f>AD35*100/$E$35</f>
        <v/>
      </c>
      <c r="AF35" s="108" t="n"/>
      <c r="AG35" s="122">
        <f>AF35*100/$E$35</f>
        <v/>
      </c>
      <c r="AH35" s="108" t="n"/>
      <c r="AI35" s="107">
        <f>AH35*100/$E$35</f>
        <v/>
      </c>
      <c r="AJ35" s="108" t="n"/>
      <c r="AK35" s="107">
        <f>AJ35*100/$E$35</f>
        <v/>
      </c>
      <c r="AL35" s="108" t="n"/>
      <c r="AM35" s="107">
        <f>AL35*100/$E$35</f>
        <v/>
      </c>
      <c r="AN35" s="108" t="n"/>
      <c r="AO35" s="107">
        <f>AN35*100/$E$35</f>
        <v/>
      </c>
      <c r="AP35" s="108" t="n"/>
      <c r="AQ35" s="107">
        <f>AP35*100/$E$35</f>
        <v/>
      </c>
      <c r="AR35" s="108" t="n"/>
      <c r="AS35" s="107">
        <f>AR35*100/$E$35</f>
        <v/>
      </c>
      <c r="AT35" s="108" t="n"/>
      <c r="AU35" s="90">
        <f>AT35*100/$E$35</f>
        <v/>
      </c>
      <c r="AV35" s="108" t="n"/>
      <c r="AW35" s="107">
        <f>AV35*100/$E$35</f>
        <v/>
      </c>
      <c r="AX35" s="108" t="n"/>
      <c r="AY35" s="107">
        <f>AX35*100/$E$35</f>
        <v/>
      </c>
      <c r="AZ35" s="108" t="n"/>
      <c r="BA35" s="107">
        <f>AZ35*100/$E$35</f>
        <v/>
      </c>
      <c r="BB35" s="108" t="n"/>
      <c r="BC35" s="107">
        <f>BB35*100/$E$35</f>
        <v/>
      </c>
      <c r="BD35" s="108" t="n"/>
      <c r="BE35" s="107">
        <f>BD35*100/$E$35</f>
        <v/>
      </c>
      <c r="BF35" s="108" t="n"/>
      <c r="BG35" s="107">
        <f>BF35*100/$E$35</f>
        <v/>
      </c>
      <c r="BH35" s="108" t="n"/>
      <c r="BI35" s="107">
        <f>BH35*100/$E$35</f>
        <v/>
      </c>
      <c r="BJ35" s="108" t="n"/>
      <c r="BK35" s="107">
        <f>BJ35*100/$E$35</f>
        <v/>
      </c>
      <c r="BL35" s="108" t="n"/>
      <c r="BM35" s="107">
        <f>BL35*100/$E$35</f>
        <v/>
      </c>
      <c r="BN35" s="108" t="n"/>
      <c r="BO35" s="107">
        <f>BN35*100/$E$35</f>
        <v/>
      </c>
      <c r="BP35" s="108" t="n"/>
      <c r="BQ35" s="107">
        <f>BP35*100/$E$35</f>
        <v/>
      </c>
      <c r="BR35" s="108" t="n"/>
      <c r="BS35" s="107">
        <f>BR35*100/$E$35</f>
        <v/>
      </c>
      <c r="BT35" s="108" t="n"/>
      <c r="BU35" s="107">
        <f>BT35*100/$E$35</f>
        <v/>
      </c>
      <c r="BV35" s="108" t="n"/>
      <c r="BW35" s="107">
        <f>BV35*100/$E$35</f>
        <v/>
      </c>
      <c r="BX35" s="108" t="n"/>
      <c r="BY35" s="107">
        <f>BX35*100/$E$35</f>
        <v/>
      </c>
      <c r="BZ35" s="108" t="n"/>
      <c r="CA35" s="107">
        <f>BZ35*100/$E$35</f>
        <v/>
      </c>
      <c r="CB35" s="108" t="n"/>
      <c r="CC35" s="107">
        <f>CB35*100/$E$35</f>
        <v/>
      </c>
      <c r="CD35" s="108" t="n"/>
      <c r="CE35" s="107">
        <f>CD35*100/$E$35</f>
        <v/>
      </c>
      <c r="CF35" s="108" t="n"/>
      <c r="CG35" s="107">
        <f>CF35*100/$E$35</f>
        <v/>
      </c>
      <c r="CH35" s="108" t="n"/>
      <c r="CI35" s="107">
        <f>CH35*100/$E$35</f>
        <v/>
      </c>
      <c r="CJ35" s="108" t="n"/>
      <c r="CK35" s="107">
        <f>CJ35*100/$E$35</f>
        <v/>
      </c>
      <c r="CL35" s="108" t="n"/>
      <c r="CM35" s="107">
        <f>CL35*100/$E$35</f>
        <v/>
      </c>
      <c r="CN35" s="108" t="n"/>
      <c r="CO35" s="122">
        <f>CN35*100/$E$35</f>
        <v/>
      </c>
      <c r="CP35" s="108" t="n"/>
      <c r="CQ35" s="107">
        <f>CP35*100/$E$35</f>
        <v/>
      </c>
      <c r="CR35" s="108" t="n"/>
      <c r="CS35" s="122">
        <f>CR35*100/$E$35</f>
        <v/>
      </c>
      <c r="CT35" s="108" t="n"/>
      <c r="CU35" s="122">
        <f>CT35*100/$E$35</f>
        <v/>
      </c>
      <c r="CV35" s="108" t="n"/>
      <c r="CW35" s="122">
        <f>CV35*100/$E$35</f>
        <v/>
      </c>
      <c r="CX35" s="108" t="n"/>
      <c r="CY35" s="122">
        <f>CX35*100/$E$35</f>
        <v/>
      </c>
      <c r="CZ35" s="108" t="n"/>
      <c r="DA35" s="122">
        <f>CZ35*100/$E$35</f>
        <v/>
      </c>
      <c r="DB35" s="108" t="n"/>
      <c r="DC35" s="122">
        <f>DB35*100/$E$35</f>
        <v/>
      </c>
      <c r="DD35" s="108" t="n"/>
      <c r="DE35" s="122">
        <f>DD35*100/$E$35</f>
        <v/>
      </c>
      <c r="DF35" s="108" t="n"/>
      <c r="DG35" s="122">
        <f>DF35*100/$E$35</f>
        <v/>
      </c>
      <c r="DH35" s="108" t="n"/>
      <c r="DI35" s="122">
        <f>DH35*100/$E$35</f>
        <v/>
      </c>
      <c r="DJ35" s="108" t="n"/>
      <c r="DK35" s="122">
        <f>DJ35*100/$E$35</f>
        <v/>
      </c>
      <c r="DL35" s="108" t="n"/>
      <c r="DM35" s="122">
        <f>DL35*100/$E$35</f>
        <v/>
      </c>
      <c r="DN35" s="108" t="n"/>
      <c r="DO35" s="122">
        <f>DN35*100/$E$35</f>
        <v/>
      </c>
      <c r="DP35" s="108" t="n"/>
      <c r="DQ35" s="122">
        <f>DP35*100/$E$35</f>
        <v/>
      </c>
      <c r="DR35" s="108" t="n"/>
      <c r="DS35" s="122">
        <f>DR35*100/$E$35</f>
        <v/>
      </c>
      <c r="DT35" s="108" t="n"/>
      <c r="DU35" s="122">
        <f>DT35*100/$E$35</f>
        <v/>
      </c>
      <c r="DV35" s="108" t="n"/>
      <c r="DW35" s="122">
        <f>DV35*100/$E$35</f>
        <v/>
      </c>
      <c r="DX35" s="108" t="n"/>
      <c r="DY35" s="122">
        <f>DX35*100/$E$35</f>
        <v/>
      </c>
      <c r="DZ35" s="108" t="n"/>
      <c r="EA35" s="122">
        <f>DZ35*100/$E$35</f>
        <v/>
      </c>
      <c r="EB35" s="108" t="n"/>
      <c r="EC35" s="122">
        <f>EB35*100/$E$35</f>
        <v/>
      </c>
      <c r="ED35" s="108" t="n"/>
      <c r="EE35" s="122">
        <f>ED35*100/$E$35</f>
        <v/>
      </c>
      <c r="EF35" s="108" t="n"/>
      <c r="EG35" s="122">
        <f>EF35*100/$E$35</f>
        <v/>
      </c>
      <c r="EH35" s="108" t="n"/>
      <c r="EI35" s="122">
        <f>EH35*100/$E$35</f>
        <v/>
      </c>
      <c r="EJ35" s="108" t="n"/>
      <c r="EK35" s="122">
        <f>EJ35*100/$E$35</f>
        <v/>
      </c>
      <c r="EL35" s="108" t="n"/>
      <c r="EM35" s="122">
        <f>EL35*100/$E$35</f>
        <v/>
      </c>
      <c r="EN35" s="108" t="n"/>
      <c r="EO35" s="122">
        <f>EN35*100/$E$35</f>
        <v/>
      </c>
      <c r="EP35" s="108" t="n"/>
      <c r="EQ35" s="122">
        <f>EP35*100/$E$35</f>
        <v/>
      </c>
      <c r="ER35" s="108" t="n"/>
      <c r="ES35" s="122">
        <f>ER35*100/$E$35</f>
        <v/>
      </c>
      <c r="ET35" s="108" t="n"/>
      <c r="EU35" s="122">
        <f>ET35*100/$E$35</f>
        <v/>
      </c>
      <c r="EV35" s="108" t="n"/>
      <c r="EW35" s="122">
        <f>EV35*100/$E$35</f>
        <v/>
      </c>
      <c r="EX35" s="108" t="n"/>
      <c r="EY35" s="122">
        <f>EX35*100/$E$35</f>
        <v/>
      </c>
      <c r="EZ35" s="108" t="n"/>
      <c r="FA35" s="122">
        <f>EZ35*100/$E$35</f>
        <v/>
      </c>
      <c r="FB35" s="108" t="n"/>
      <c r="FC35" s="122">
        <f>FB35*100/$E$35</f>
        <v/>
      </c>
      <c r="FD35" s="108" t="n"/>
      <c r="FE35" s="122">
        <f>FD35*100/$E$35</f>
        <v/>
      </c>
      <c r="FF35" s="108" t="n"/>
      <c r="FG35" s="122">
        <f>FF35*100/$E$35</f>
        <v/>
      </c>
      <c r="FH35" s="108" t="n"/>
      <c r="FI35" s="122">
        <f>FH35*100/$E$35</f>
        <v/>
      </c>
      <c r="FJ35" s="108" t="n"/>
      <c r="FK35" s="122">
        <f>FJ35*100/$E$35</f>
        <v/>
      </c>
      <c r="FL35" s="108" t="n"/>
      <c r="FM35" s="122">
        <f>FL35*100/$E$35</f>
        <v/>
      </c>
      <c r="FN35" s="108" t="n"/>
      <c r="FO35" s="122">
        <f>FN35*100/$E$35</f>
        <v/>
      </c>
      <c r="FP35" s="108" t="n"/>
      <c r="FQ35" s="122">
        <f>FP35*100/$E$35</f>
        <v/>
      </c>
      <c r="FR35" s="108" t="n"/>
      <c r="FS35" s="122">
        <f>FR35*100/$E$35</f>
        <v/>
      </c>
      <c r="FT35" s="108" t="n"/>
      <c r="FU35" s="122">
        <f>FT35*100/$E$35</f>
        <v/>
      </c>
      <c r="FV35" s="108" t="n"/>
      <c r="FW35" s="122">
        <f>FV35*100/$E$35</f>
        <v/>
      </c>
      <c r="FX35" s="108" t="n"/>
      <c r="FY35" s="107">
        <f>FX35*100/$E$35</f>
        <v/>
      </c>
      <c r="FZ35" s="108" t="n"/>
      <c r="GA35" s="107">
        <f>FZ35*100/$E$35</f>
        <v/>
      </c>
      <c r="GB35" s="108" t="n"/>
      <c r="GC35" s="107">
        <f>GB35*100/$E$35</f>
        <v/>
      </c>
      <c r="GD35" s="108" t="n"/>
      <c r="GE35" s="107">
        <f>GD35*100/$E$35</f>
        <v/>
      </c>
      <c r="GF35" s="108" t="n"/>
      <c r="GG35" s="107">
        <f>GF35*100/$E$35</f>
        <v/>
      </c>
      <c r="GH35" s="108" t="n"/>
      <c r="GI35" s="107">
        <f>GH35*100/$E$35</f>
        <v/>
      </c>
      <c r="GJ35" s="108" t="n"/>
      <c r="GK35" s="122">
        <f>GJ35*100/$E$35</f>
        <v/>
      </c>
      <c r="GL35" s="108" t="n"/>
      <c r="GM35" s="107">
        <f>GL35*100/$E$35</f>
        <v/>
      </c>
      <c r="GN35" s="108" t="n"/>
      <c r="GO35" s="122">
        <f>GN35*100/$E$35</f>
        <v/>
      </c>
      <c r="GP35" s="108" t="n"/>
      <c r="GQ35" s="107">
        <f>GP35*100/$E$35</f>
        <v/>
      </c>
      <c r="GR35" s="108" t="n"/>
      <c r="GS35" s="122">
        <f>GR35*100/$E$35</f>
        <v/>
      </c>
      <c r="GT35" s="108" t="n"/>
      <c r="GU35" s="122">
        <f>GT35*100/$E$35</f>
        <v/>
      </c>
      <c r="GV35" s="108" t="n"/>
      <c r="GW35" s="122">
        <f>GV35*100/$E$35</f>
        <v/>
      </c>
      <c r="GX35" s="108" t="n"/>
      <c r="GY35" s="107">
        <f>GX35*100/$E$35</f>
        <v/>
      </c>
      <c r="GZ35" s="108" t="n"/>
      <c r="HA35" s="107">
        <f>GZ35*100/$E$35</f>
        <v/>
      </c>
      <c r="HB35" s="108" t="n"/>
      <c r="HC35" s="107">
        <f>HB35*100/$E$35</f>
        <v/>
      </c>
      <c r="HD35" s="108" t="n"/>
      <c r="HE35" s="107">
        <f>HD35*100/$E$35</f>
        <v/>
      </c>
      <c r="HF35" s="108" t="n"/>
      <c r="HG35" s="107">
        <f>HF35*100/$E$35</f>
        <v/>
      </c>
      <c r="HH35" s="108" t="n"/>
      <c r="HI35" s="107">
        <f>HH35*100/$E$35</f>
        <v/>
      </c>
      <c r="HJ35" s="108" t="n"/>
      <c r="HK35" s="107">
        <f>HJ35*100/$E$35</f>
        <v/>
      </c>
      <c r="HL35" s="108" t="n"/>
      <c r="HM35" s="107">
        <f>HL35*100/$E$35</f>
        <v/>
      </c>
      <c r="HN35" s="108" t="n"/>
      <c r="HO35" s="107">
        <f>HN35*100/$E$35</f>
        <v/>
      </c>
      <c r="HP35" s="108" t="n"/>
      <c r="HQ35" s="107">
        <f>HP35*100/$E$35</f>
        <v/>
      </c>
      <c r="HR35" s="108" t="n"/>
      <c r="HS35" s="107">
        <f>HR35*100/$E$35</f>
        <v/>
      </c>
      <c r="HT35" s="108" t="n"/>
      <c r="HU35" s="107">
        <f>HT35*100/$E$35</f>
        <v/>
      </c>
      <c r="HV35" s="108" t="n"/>
      <c r="HW35" s="107">
        <f>HV35*100/$E$35</f>
        <v/>
      </c>
      <c r="HX35" s="108" t="n"/>
      <c r="HY35" s="107">
        <f>HX35*100/$E$35</f>
        <v/>
      </c>
      <c r="HZ35" s="108" t="n"/>
      <c r="IA35" s="122">
        <f>HZ35*100/$E$35</f>
        <v/>
      </c>
      <c r="IB35" s="108" t="n"/>
      <c r="IC35" s="122">
        <f>IB35*100/$E$35</f>
        <v/>
      </c>
      <c r="ID35" s="108" t="n"/>
      <c r="IE35" s="122">
        <f>ID35*100/$E$35</f>
        <v/>
      </c>
      <c r="IF35" s="108" t="n"/>
      <c r="IG35" s="122">
        <f>IF35*100/$E$35</f>
        <v/>
      </c>
      <c r="IH35" s="108" t="n"/>
      <c r="II35" s="122">
        <f>IH35*100/$E$35</f>
        <v/>
      </c>
      <c r="IJ35" s="108" t="n"/>
      <c r="IK35" s="122">
        <f>IJ35*100/$E$35</f>
        <v/>
      </c>
      <c r="IL35" s="108" t="n"/>
      <c r="IM35" s="107">
        <f>IL35*100/$E$35</f>
        <v/>
      </c>
      <c r="IN35" s="108" t="n"/>
      <c r="IO35" s="107">
        <f>IN35*100/$E$35</f>
        <v/>
      </c>
      <c r="IP35" s="108" t="n"/>
      <c r="IQ35" s="122">
        <f>IP35*100/$E$35</f>
        <v/>
      </c>
      <c r="IR35" s="108" t="n"/>
      <c r="IS35" s="122">
        <f>IR35*100/$E$35</f>
        <v/>
      </c>
      <c r="IT35" s="108" t="n"/>
      <c r="IU35" s="122">
        <f>IT35*100/$E$35</f>
        <v/>
      </c>
      <c r="IV35" s="108" t="n"/>
      <c r="IW35" s="122">
        <f>IV35*100/$E$35</f>
        <v/>
      </c>
      <c r="IX35" s="108" t="n"/>
      <c r="IY35" s="122">
        <f>IX35*100/$E$35</f>
        <v/>
      </c>
      <c r="IZ35" s="108" t="n"/>
      <c r="JA35" s="122">
        <f>IZ35*100/$E$35</f>
        <v/>
      </c>
      <c r="JB35" s="108" t="n"/>
      <c r="JC35" s="122">
        <f>JB35*100/$E$35</f>
        <v/>
      </c>
      <c r="JD35" s="108" t="n"/>
      <c r="JE35" s="122">
        <f>JD35*100/$E$35</f>
        <v/>
      </c>
      <c r="JF35" s="108" t="n"/>
      <c r="JG35" s="122">
        <f>JF35*100/$E$35</f>
        <v/>
      </c>
      <c r="JH35" s="108" t="n"/>
      <c r="JI35" s="122">
        <f>JH35*100/$E$35</f>
        <v/>
      </c>
      <c r="JJ35" s="108" t="n"/>
      <c r="JK35" s="122">
        <f>JJ35*100/$E$35</f>
        <v/>
      </c>
      <c r="JL35" s="108" t="n"/>
      <c r="JM35" s="122">
        <f>JL35*100/$E$35</f>
        <v/>
      </c>
      <c r="JN35" s="108" t="n"/>
      <c r="JO35" s="121">
        <f>JN35*100/$E$35</f>
        <v/>
      </c>
      <c r="JP35" s="108" t="n"/>
      <c r="JQ35" s="121">
        <f>JP35*100/$E$35</f>
        <v/>
      </c>
      <c r="JR35" s="108" t="n"/>
      <c r="JS35" s="121">
        <f>JR35*100/$E$35</f>
        <v/>
      </c>
      <c r="JT35" s="108" t="n"/>
      <c r="JU35" s="121">
        <f>JT35*100/$E$35</f>
        <v/>
      </c>
      <c r="JV35" s="108" t="n"/>
      <c r="JW35" s="121">
        <f>JV35*100/$E$35</f>
        <v/>
      </c>
      <c r="JX35" s="108" t="n"/>
      <c r="JY35" s="121">
        <f>JX35*100/$E$35</f>
        <v/>
      </c>
      <c r="JZ35" s="55">
        <f>JN35+JP35+JR35+JT35+JV35+JX35</f>
        <v/>
      </c>
      <c r="KA35" s="53">
        <f>JO35+JQ35+JS35+JU35+JW35+JY35</f>
        <v/>
      </c>
      <c r="KB35" s="64">
        <f>H35+J35+L35+N35+P35+R35+T35+V35+X35+Z35+AB35+AD35+AF35+AH35+AJ35+AL35+AN35+AP35+AR35+AT35+AV35+AX35+AZ35+BB35+BD35+BF35+BH35+BJ35+BL35+BN35+BP35+BR35+BT35+BV35+BX35+BZ35+CB35+CD35+CF35+CH35+CZ35+DB35+DD35+DF35+DH35+DJ35+DL35+DN35+DP35+DR35+DT35+DV35+DX35+DZ35+EB35+ED35+EF35+EH35+EJ35+EL35+EN35+EP35+ER35+ET35+EV35+FN35+FP35+FR35+FT35+FV35+FX35+FZ35+GB35+GD35+GF35+GH35+GJ35+GL35+GN35+GP35+GR35+GT35+GV35+GX35+GZ35+HB35+HD35+HF35+HH35+HJ35+HL35+HN35+HP35+HR35+HT35+HV35+HX35+HZ35+IB35+ID35+IF35+IH35+IJ35+IL35+IN35+IP35+IR35+IT35+IV35+IX35+IZ35+JB35+JD35+JF35+JH35+JJ35+JL35+JZ35+CJ35+CL35+CN35+CP35+CR35+CT35+CV35+CX35+EX35+EZ35+FB35+FD35+FF35+FH35+FJ35+FL35</f>
        <v/>
      </c>
      <c r="KC35" s="66">
        <f>I35+K35+M35+O35+Q35+S35+U35+W35+Y35+AA35+AC35+AE35+AG35+AI35+AK35+AM35+AO35+AQ35+AS35+AU35+AW35+AY35+BA35+BC35+BE35+BG35+BI35+BK35+BM35+BO35+BQ35+BS35+BU35+BW35+BY35+CA35+CC35+CE35+CG35+CI35+DA35+DC35+DE35+DG35+DI35+DK35+DM35+DO35+DQ35+DS35+DU35+DW35+DY35+EA35+EC35+EE35+EG35+EI35+EK35+EM35+EO35+EQ35+ES35+EU35+EW35+FO35+FS35+FU35+FW35+FQ35+FY35+GA35+GC35+GE35+GG35+GI35+GK35+GM35+GO35+GQ35+GS35+GU35+GW35+GY35+HA35+HC35+HE35+HG35+HI35+HK35+HM35+HO35+HQ35+HS35+HU35+HW35+HY35+IA35+IC35+IE35+IG35+II35+IK35+IM35+IO35+IQ35+IS35+IU35+IW35+IY35+JA35+JC35+JE35+JG35+JI35+JK35+JM35+KA35+CK35+CM35+CO35+CQ35+CS35+CU35+CW35+CY35+EY35+FA35+FC35+FE35+FG35+FI35+FK35+FM35</f>
        <v/>
      </c>
      <c r="KD35" s="44">
        <f>JO35+JQ35+JS35+JU35+JW35+JY35</f>
        <v/>
      </c>
      <c r="KE35" s="45">
        <f>KB35=E35</f>
        <v/>
      </c>
      <c r="KF35" s="101">
        <f>E35-KB35</f>
        <v/>
      </c>
      <c r="KG35" s="24" t="n"/>
    </row>
    <row r="36" ht="21.75" customFormat="1" customHeight="1" s="24">
      <c r="A36" s="126">
        <f>A35+1</f>
        <v/>
      </c>
      <c r="B36" s="198" t="inlineStr">
        <is>
          <t>Новокрещенов А.С.</t>
        </is>
      </c>
      <c r="C36" s="194" t="inlineStr">
        <is>
          <t>токарь-расточник</t>
        </is>
      </c>
      <c r="D36" s="177">
        <f>$D$5</f>
        <v/>
      </c>
      <c r="E36" s="202" t="n"/>
      <c r="F36" s="193" t="n">
        <v>107473.91</v>
      </c>
      <c r="G36" s="52">
        <f>F36/D36</f>
        <v/>
      </c>
      <c r="H36" s="125" t="n"/>
      <c r="I36" s="107">
        <f>H36*100/$E$36</f>
        <v/>
      </c>
      <c r="J36" s="108" t="n"/>
      <c r="K36" s="107">
        <f>J36*100/$E$36</f>
        <v/>
      </c>
      <c r="L36" s="108" t="n"/>
      <c r="M36" s="107">
        <f>L36*100/$E$36</f>
        <v/>
      </c>
      <c r="N36" s="108" t="n"/>
      <c r="O36" s="107">
        <f>N36*100/$E$36</f>
        <v/>
      </c>
      <c r="P36" s="108" t="n"/>
      <c r="Q36" s="122">
        <f>P36*100/$E$36</f>
        <v/>
      </c>
      <c r="R36" s="108" t="n"/>
      <c r="S36" s="122">
        <f>R36*100/$E$36</f>
        <v/>
      </c>
      <c r="T36" s="108" t="n"/>
      <c r="U36" s="107">
        <f>T36*100/$E$36</f>
        <v/>
      </c>
      <c r="V36" s="108" t="n"/>
      <c r="W36" s="107">
        <f>V36*100/$E$36</f>
        <v/>
      </c>
      <c r="X36" s="108" t="n"/>
      <c r="Y36" s="107">
        <f>X36*100/$E$36</f>
        <v/>
      </c>
      <c r="Z36" s="108" t="n"/>
      <c r="AA36" s="107">
        <f>Z36*100/$E$36</f>
        <v/>
      </c>
      <c r="AB36" s="108" t="n"/>
      <c r="AC36" s="107">
        <f>AB36*100/$E$36</f>
        <v/>
      </c>
      <c r="AD36" s="108" t="n"/>
      <c r="AE36" s="122">
        <f>AD36*100/$E$36</f>
        <v/>
      </c>
      <c r="AF36" s="108" t="n"/>
      <c r="AG36" s="122">
        <f>AF36*100/$E$36</f>
        <v/>
      </c>
      <c r="AH36" s="108" t="n"/>
      <c r="AI36" s="107">
        <f>AH36*100/$E$36</f>
        <v/>
      </c>
      <c r="AJ36" s="108" t="n"/>
      <c r="AK36" s="107">
        <f>AJ36*100/$E$36</f>
        <v/>
      </c>
      <c r="AL36" s="108" t="n"/>
      <c r="AM36" s="107">
        <f>AL36*100/$E$36</f>
        <v/>
      </c>
      <c r="AN36" s="108" t="n"/>
      <c r="AO36" s="107">
        <f>AN36*100/$E$36</f>
        <v/>
      </c>
      <c r="AP36" s="108" t="n"/>
      <c r="AQ36" s="107">
        <f>AP36*100/$E$36</f>
        <v/>
      </c>
      <c r="AR36" s="108" t="n"/>
      <c r="AS36" s="107">
        <f>AR36*100/$E$36</f>
        <v/>
      </c>
      <c r="AT36" s="108" t="n"/>
      <c r="AU36" s="90">
        <f>AT36*100/$E$36</f>
        <v/>
      </c>
      <c r="AV36" s="108" t="n"/>
      <c r="AW36" s="107">
        <f>AV36*100/$E$36</f>
        <v/>
      </c>
      <c r="AX36" s="108" t="n"/>
      <c r="AY36" s="107">
        <f>AX36*100/$E$36</f>
        <v/>
      </c>
      <c r="AZ36" s="108" t="n"/>
      <c r="BA36" s="107">
        <f>AZ36*100/$E$36</f>
        <v/>
      </c>
      <c r="BB36" s="108" t="n"/>
      <c r="BC36" s="107">
        <f>BB36*100/$E$36</f>
        <v/>
      </c>
      <c r="BD36" s="108" t="n"/>
      <c r="BE36" s="107">
        <f>BD36*100/$E$36</f>
        <v/>
      </c>
      <c r="BF36" s="108" t="n"/>
      <c r="BG36" s="107">
        <f>BF36*100/$E$36</f>
        <v/>
      </c>
      <c r="BH36" s="108" t="n"/>
      <c r="BI36" s="107">
        <f>BH36*100/$E$36</f>
        <v/>
      </c>
      <c r="BJ36" s="108" t="n"/>
      <c r="BK36" s="107">
        <f>BJ36*100/$E$36</f>
        <v/>
      </c>
      <c r="BL36" s="108" t="n"/>
      <c r="BM36" s="107">
        <f>BL36*100/$E$36</f>
        <v/>
      </c>
      <c r="BN36" s="108" t="n"/>
      <c r="BO36" s="107">
        <f>BN36*100/$E$36</f>
        <v/>
      </c>
      <c r="BP36" s="108" t="n"/>
      <c r="BQ36" s="107">
        <f>BP36*100/$E$36</f>
        <v/>
      </c>
      <c r="BR36" s="108" t="n"/>
      <c r="BS36" s="107">
        <f>BR36*100/$E$36</f>
        <v/>
      </c>
      <c r="BT36" s="108" t="n"/>
      <c r="BU36" s="107">
        <f>BT36*100/$E$36</f>
        <v/>
      </c>
      <c r="BV36" s="108" t="n"/>
      <c r="BW36" s="107">
        <f>BV36*100/$E$36</f>
        <v/>
      </c>
      <c r="BX36" s="108" t="n"/>
      <c r="BY36" s="107">
        <f>BX36*100/$E$36</f>
        <v/>
      </c>
      <c r="BZ36" s="108" t="n"/>
      <c r="CA36" s="107">
        <f>BZ36*100/$E$36</f>
        <v/>
      </c>
      <c r="CB36" s="108" t="n"/>
      <c r="CC36" s="107">
        <f>CB36*100/$E$36</f>
        <v/>
      </c>
      <c r="CD36" s="108" t="n"/>
      <c r="CE36" s="107">
        <f>CD36*100/$E$36</f>
        <v/>
      </c>
      <c r="CF36" s="108" t="n"/>
      <c r="CG36" s="107">
        <f>CF36*100/$E$36</f>
        <v/>
      </c>
      <c r="CH36" s="108" t="n"/>
      <c r="CI36" s="107">
        <f>CH36*100/$E$36</f>
        <v/>
      </c>
      <c r="CJ36" s="108" t="n"/>
      <c r="CK36" s="107">
        <f>CJ36*100/$E$36</f>
        <v/>
      </c>
      <c r="CL36" s="108" t="n"/>
      <c r="CM36" s="107">
        <f>CL36*100/$E$36</f>
        <v/>
      </c>
      <c r="CN36" s="108" t="n"/>
      <c r="CO36" s="122">
        <f>CN36*100/$E$36</f>
        <v/>
      </c>
      <c r="CP36" s="108" t="n"/>
      <c r="CQ36" s="107">
        <f>CP36*100/$E$36</f>
        <v/>
      </c>
      <c r="CR36" s="108" t="n"/>
      <c r="CS36" s="122">
        <f>CR36*100/$E$36</f>
        <v/>
      </c>
      <c r="CT36" s="108" t="n"/>
      <c r="CU36" s="122">
        <f>CT36*100/$E$36</f>
        <v/>
      </c>
      <c r="CV36" s="108" t="n"/>
      <c r="CW36" s="122">
        <f>CV36*100/$E$36</f>
        <v/>
      </c>
      <c r="CX36" s="108" t="n"/>
      <c r="CY36" s="122">
        <f>CX36*100/$E$36</f>
        <v/>
      </c>
      <c r="CZ36" s="108" t="n"/>
      <c r="DA36" s="122">
        <f>CZ36*100/$E$36</f>
        <v/>
      </c>
      <c r="DB36" s="108" t="n"/>
      <c r="DC36" s="122">
        <f>DB36*100/$E$36</f>
        <v/>
      </c>
      <c r="DD36" s="108" t="n"/>
      <c r="DE36" s="122">
        <f>DD36*100/$E$36</f>
        <v/>
      </c>
      <c r="DF36" s="108" t="n"/>
      <c r="DG36" s="122">
        <f>DF36*100/$E$36</f>
        <v/>
      </c>
      <c r="DH36" s="108" t="n"/>
      <c r="DI36" s="122">
        <f>DH36*100/$E$36</f>
        <v/>
      </c>
      <c r="DJ36" s="108" t="n"/>
      <c r="DK36" s="122">
        <f>DJ36*100/$E$36</f>
        <v/>
      </c>
      <c r="DL36" s="108" t="n"/>
      <c r="DM36" s="122">
        <f>DL36*100/$E$36</f>
        <v/>
      </c>
      <c r="DN36" s="108" t="n"/>
      <c r="DO36" s="122">
        <f>DN36*100/$E$36</f>
        <v/>
      </c>
      <c r="DP36" s="108" t="n"/>
      <c r="DQ36" s="122">
        <f>DP36*100/$E$36</f>
        <v/>
      </c>
      <c r="DR36" s="108" t="n"/>
      <c r="DS36" s="122">
        <f>DR36*100/$E$36</f>
        <v/>
      </c>
      <c r="DT36" s="108" t="n"/>
      <c r="DU36" s="122">
        <f>DT36*100/$E$36</f>
        <v/>
      </c>
      <c r="DV36" s="108" t="n"/>
      <c r="DW36" s="122">
        <f>DV36*100/$E$36</f>
        <v/>
      </c>
      <c r="DX36" s="108" t="n"/>
      <c r="DY36" s="122">
        <f>DX36*100/$E$36</f>
        <v/>
      </c>
      <c r="DZ36" s="108" t="n"/>
      <c r="EA36" s="122">
        <f>DZ36*100/$E$36</f>
        <v/>
      </c>
      <c r="EB36" s="108" t="n"/>
      <c r="EC36" s="122">
        <f>EB36*100/$E$36</f>
        <v/>
      </c>
      <c r="ED36" s="108" t="n"/>
      <c r="EE36" s="122">
        <f>ED36*100/$E$36</f>
        <v/>
      </c>
      <c r="EF36" s="108" t="n"/>
      <c r="EG36" s="122">
        <f>EF36*100/$E$36</f>
        <v/>
      </c>
      <c r="EH36" s="108" t="n"/>
      <c r="EI36" s="122">
        <f>EH36*100/$E$36</f>
        <v/>
      </c>
      <c r="EJ36" s="108" t="n"/>
      <c r="EK36" s="122">
        <f>EJ36*100/$E$36</f>
        <v/>
      </c>
      <c r="EL36" s="108" t="n"/>
      <c r="EM36" s="122">
        <f>EL36*100/$E$36</f>
        <v/>
      </c>
      <c r="EN36" s="108" t="n"/>
      <c r="EO36" s="122">
        <f>EN36*100/$E$36</f>
        <v/>
      </c>
      <c r="EP36" s="108" t="n"/>
      <c r="EQ36" s="122">
        <f>EP36*100/$E$36</f>
        <v/>
      </c>
      <c r="ER36" s="108" t="n"/>
      <c r="ES36" s="122">
        <f>ER36*100/$E$36</f>
        <v/>
      </c>
      <c r="ET36" s="108" t="n"/>
      <c r="EU36" s="122">
        <f>ET36*100/$E$36</f>
        <v/>
      </c>
      <c r="EV36" s="108" t="n"/>
      <c r="EW36" s="122">
        <f>EV36*100/$E$36</f>
        <v/>
      </c>
      <c r="EX36" s="108" t="n"/>
      <c r="EY36" s="122">
        <f>EX36*100/$E$36</f>
        <v/>
      </c>
      <c r="EZ36" s="108" t="n"/>
      <c r="FA36" s="122">
        <f>EZ36*100/$E$36</f>
        <v/>
      </c>
      <c r="FB36" s="108" t="n"/>
      <c r="FC36" s="122">
        <f>FB36*100/$E$36</f>
        <v/>
      </c>
      <c r="FD36" s="108" t="n"/>
      <c r="FE36" s="122">
        <f>FD36*100/$E$36</f>
        <v/>
      </c>
      <c r="FF36" s="108" t="n"/>
      <c r="FG36" s="122">
        <f>FF36*100/$E$36</f>
        <v/>
      </c>
      <c r="FH36" s="108" t="n"/>
      <c r="FI36" s="122">
        <f>FH36*100/$E$36</f>
        <v/>
      </c>
      <c r="FJ36" s="108" t="n"/>
      <c r="FK36" s="122">
        <f>FJ36*100/$E$36</f>
        <v/>
      </c>
      <c r="FL36" s="108" t="n"/>
      <c r="FM36" s="122">
        <f>FL36*100/$E$36</f>
        <v/>
      </c>
      <c r="FN36" s="108" t="n"/>
      <c r="FO36" s="122">
        <f>FN36*100/$E$36</f>
        <v/>
      </c>
      <c r="FP36" s="108" t="n"/>
      <c r="FQ36" s="122">
        <f>FP36*100/$E$36</f>
        <v/>
      </c>
      <c r="FR36" s="108" t="n"/>
      <c r="FS36" s="122">
        <f>FR36*100/$E$36</f>
        <v/>
      </c>
      <c r="FT36" s="108" t="n"/>
      <c r="FU36" s="122">
        <f>FT36*100/$E$36</f>
        <v/>
      </c>
      <c r="FV36" s="108" t="n"/>
      <c r="FW36" s="122">
        <f>FV36*100/$E$36</f>
        <v/>
      </c>
      <c r="FX36" s="108" t="n"/>
      <c r="FY36" s="107">
        <f>FX36*100/$E$36</f>
        <v/>
      </c>
      <c r="FZ36" s="108" t="n"/>
      <c r="GA36" s="107">
        <f>FZ36*100/$E$36</f>
        <v/>
      </c>
      <c r="GB36" s="108" t="n"/>
      <c r="GC36" s="107">
        <f>GB36*100/$E$36</f>
        <v/>
      </c>
      <c r="GD36" s="108" t="n"/>
      <c r="GE36" s="107">
        <f>GD36*100/$E$36</f>
        <v/>
      </c>
      <c r="GF36" s="108" t="n"/>
      <c r="GG36" s="107">
        <f>GF36*100/$E$36</f>
        <v/>
      </c>
      <c r="GH36" s="108" t="n"/>
      <c r="GI36" s="107">
        <f>GH36*100/$E$36</f>
        <v/>
      </c>
      <c r="GJ36" s="108" t="n"/>
      <c r="GK36" s="122">
        <f>GJ36*100/$E$36</f>
        <v/>
      </c>
      <c r="GL36" s="108" t="n"/>
      <c r="GM36" s="107">
        <f>GL36*100/$E$36</f>
        <v/>
      </c>
      <c r="GN36" s="108" t="n"/>
      <c r="GO36" s="122">
        <f>GN36*100/$E$36</f>
        <v/>
      </c>
      <c r="GP36" s="108" t="n"/>
      <c r="GQ36" s="107">
        <f>GP36*100/$E$36</f>
        <v/>
      </c>
      <c r="GR36" s="108" t="n"/>
      <c r="GS36" s="122">
        <f>GR36*100/$E$36</f>
        <v/>
      </c>
      <c r="GT36" s="108" t="n"/>
      <c r="GU36" s="122">
        <f>GT36*100/$E$36</f>
        <v/>
      </c>
      <c r="GV36" s="108" t="n"/>
      <c r="GW36" s="122">
        <f>GV36*100/$E$36</f>
        <v/>
      </c>
      <c r="GX36" s="108" t="n"/>
      <c r="GY36" s="107">
        <f>GX36*100/$E$36</f>
        <v/>
      </c>
      <c r="GZ36" s="108" t="n"/>
      <c r="HA36" s="107">
        <f>GZ36*100/$E$36</f>
        <v/>
      </c>
      <c r="HB36" s="108" t="n"/>
      <c r="HC36" s="107">
        <f>HB36*100/$E$36</f>
        <v/>
      </c>
      <c r="HD36" s="108" t="n"/>
      <c r="HE36" s="107">
        <f>HD36*100/$E$36</f>
        <v/>
      </c>
      <c r="HF36" s="108" t="n"/>
      <c r="HG36" s="107">
        <f>HF36*100/$E$36</f>
        <v/>
      </c>
      <c r="HH36" s="108" t="n"/>
      <c r="HI36" s="107">
        <f>HH36*100/$E$36</f>
        <v/>
      </c>
      <c r="HJ36" s="108" t="n"/>
      <c r="HK36" s="107">
        <f>HJ36*100/$E$36</f>
        <v/>
      </c>
      <c r="HL36" s="108" t="n"/>
      <c r="HM36" s="107">
        <f>HL36*100/$E$36</f>
        <v/>
      </c>
      <c r="HN36" s="108" t="n"/>
      <c r="HO36" s="107">
        <f>HN36*100/$E$36</f>
        <v/>
      </c>
      <c r="HP36" s="108" t="n"/>
      <c r="HQ36" s="107">
        <f>HP36*100/$E$36</f>
        <v/>
      </c>
      <c r="HR36" s="108" t="n"/>
      <c r="HS36" s="107">
        <f>HR36*100/$E$36</f>
        <v/>
      </c>
      <c r="HT36" s="108" t="n"/>
      <c r="HU36" s="107">
        <f>HT36*100/$E$36</f>
        <v/>
      </c>
      <c r="HV36" s="108" t="n"/>
      <c r="HW36" s="107">
        <f>HV36*100/$E$36</f>
        <v/>
      </c>
      <c r="HX36" s="108" t="n"/>
      <c r="HY36" s="107">
        <f>HX36*100/$E$36</f>
        <v/>
      </c>
      <c r="HZ36" s="108" t="n"/>
      <c r="IA36" s="122">
        <f>HZ36*100/$E$36</f>
        <v/>
      </c>
      <c r="IB36" s="108" t="n"/>
      <c r="IC36" s="122">
        <f>IB36*100/$E$36</f>
        <v/>
      </c>
      <c r="ID36" s="108" t="n"/>
      <c r="IE36" s="122">
        <f>ID36*100/$E$36</f>
        <v/>
      </c>
      <c r="IF36" s="108" t="n"/>
      <c r="IG36" s="122">
        <f>IF36*100/$E$36</f>
        <v/>
      </c>
      <c r="IH36" s="108" t="n"/>
      <c r="II36" s="122">
        <f>IH36*100/$E$36</f>
        <v/>
      </c>
      <c r="IJ36" s="108" t="n"/>
      <c r="IK36" s="122">
        <f>IJ36*100/$E$36</f>
        <v/>
      </c>
      <c r="IL36" s="108" t="n"/>
      <c r="IM36" s="107">
        <f>IL36*100/$E$36</f>
        <v/>
      </c>
      <c r="IN36" s="108" t="n"/>
      <c r="IO36" s="107">
        <f>IN36*100/$E$36</f>
        <v/>
      </c>
      <c r="IP36" s="108" t="n"/>
      <c r="IQ36" s="122">
        <f>IP36*100/$E$36</f>
        <v/>
      </c>
      <c r="IR36" s="108" t="n"/>
      <c r="IS36" s="122">
        <f>IR36*100/$E$36</f>
        <v/>
      </c>
      <c r="IT36" s="108" t="n"/>
      <c r="IU36" s="122">
        <f>IT36*100/$E$36</f>
        <v/>
      </c>
      <c r="IV36" s="108" t="n"/>
      <c r="IW36" s="122">
        <f>IV36*100/$E$36</f>
        <v/>
      </c>
      <c r="IX36" s="108" t="n"/>
      <c r="IY36" s="122">
        <f>IX36*100/$E$36</f>
        <v/>
      </c>
      <c r="IZ36" s="108" t="n"/>
      <c r="JA36" s="122">
        <f>IZ36*100/$E$36</f>
        <v/>
      </c>
      <c r="JB36" s="108" t="n"/>
      <c r="JC36" s="122">
        <f>JB36*100/$E$36</f>
        <v/>
      </c>
      <c r="JD36" s="108" t="n"/>
      <c r="JE36" s="122">
        <f>JD36*100/$E$36</f>
        <v/>
      </c>
      <c r="JF36" s="108" t="n"/>
      <c r="JG36" s="122">
        <f>JF36*100/$E$36</f>
        <v/>
      </c>
      <c r="JH36" s="108" t="n"/>
      <c r="JI36" s="122">
        <f>JH36*100/$E$36</f>
        <v/>
      </c>
      <c r="JJ36" s="108" t="n"/>
      <c r="JK36" s="122">
        <f>JJ36*100/$E$36</f>
        <v/>
      </c>
      <c r="JL36" s="108" t="n"/>
      <c r="JM36" s="122">
        <f>JL36*100/$E$36</f>
        <v/>
      </c>
      <c r="JN36" s="108" t="n"/>
      <c r="JO36" s="121">
        <f>JN36*100/$E$36</f>
        <v/>
      </c>
      <c r="JP36" s="108" t="n"/>
      <c r="JQ36" s="121">
        <f>JP36*100/$E$36</f>
        <v/>
      </c>
      <c r="JR36" s="108" t="n"/>
      <c r="JS36" s="121">
        <f>JR36*100/$E$36</f>
        <v/>
      </c>
      <c r="JT36" s="108" t="n"/>
      <c r="JU36" s="121">
        <f>JT36*100/$E$36</f>
        <v/>
      </c>
      <c r="JV36" s="108" t="n"/>
      <c r="JW36" s="121">
        <f>JV36*100/$E$36</f>
        <v/>
      </c>
      <c r="JX36" s="108" t="n"/>
      <c r="JY36" s="121">
        <f>JX36*100/$E$36</f>
        <v/>
      </c>
      <c r="JZ36" s="55">
        <f>JN36+JP36+JR36+JT36+JV36+JX36</f>
        <v/>
      </c>
      <c r="KA36" s="53">
        <f>JO36+JQ36+JS36+JU36+JW36+JY36</f>
        <v/>
      </c>
      <c r="KB36" s="64">
        <f>H36+J36+L36+N36+P36+R36+T36+V36+X36+Z36+AB36+AD36+AF36+AH36+AJ36+AL36+AN36+AP36+AR36+AT36+AV36+AX36+AZ36+BB36+BD36+BF36+BH36+BJ36+BL36+BN36+BP36+BR36+BT36+BV36+BX36+BZ36+CB36+CD36+CF36+CH36+CZ36+DB36+DD36+DF36+DH36+DJ36+DL36+DN36+DP36+DR36+DT36+DV36+DX36+DZ36+EB36+ED36+EF36+EH36+EJ36+EL36+EN36+EP36+ER36+ET36+EV36+FN36+FP36+FR36+FT36+FV36+FX36+FZ36+GB36+GD36+GF36+GH36+GJ36+GL36+GN36+GP36+GR36+GT36+GV36+GX36+GZ36+HB36+HD36+HF36+HH36+HJ36+HL36+HN36+HP36+HR36+HT36+HV36+HX36+HZ36+IB36+ID36+IF36+IH36+IJ36+IL36+IN36+IP36+IR36+IT36+IV36+IX36+IZ36+JB36+JD36+JF36+JH36+JJ36+JL36+JZ36+CJ36+CL36+CN36+CP36+CR36+CT36+CV36+CX36+EX36+EZ36+FB36+FD36+FF36+FH36+FJ36+FL36</f>
        <v/>
      </c>
      <c r="KC36" s="66">
        <f>I36+K36+M36+O36+Q36+S36+U36+W36+Y36+AA36+AC36+AE36+AG36+AI36+AK36+AM36+AO36+AQ36+AS36+AU36+AW36+AY36+BA36+BC36+BE36+BG36+BI36+BK36+BM36+BO36+BQ36+BS36+BU36+BW36+BY36+CA36+CC36+CE36+CG36+CI36+DA36+DC36+DE36+DG36+DI36+DK36+DM36+DO36+DQ36+DS36+DU36+DW36+DY36+EA36+EC36+EE36+EG36+EI36+EK36+EM36+EO36+EQ36+ES36+EU36+EW36+FO36+FS36+FU36+FW36+FQ36+FY36+GA36+GC36+GE36+GG36+GI36+GK36+GM36+GO36+GQ36+GS36+GU36+GW36+GY36+HA36+HC36+HE36+HG36+HI36+HK36+HM36+HO36+HQ36+HS36+HU36+HW36+HY36+IA36+IC36+IE36+IG36+II36+IK36+IM36+IO36+IQ36+IS36+IU36+IW36+IY36+JA36+JC36+JE36+JG36+JI36+JK36+JM36+KA36+CK36+CM36+CO36+CQ36+CS36+CU36+CW36+CY36+EY36+FA36+FC36+FE36+FG36+FI36+FK36+FM36</f>
        <v/>
      </c>
      <c r="KD36" s="44">
        <f>JO36+JQ36+JS36+JU36+JW36+JY36</f>
        <v/>
      </c>
      <c r="KE36" s="45">
        <f>KB36=E36</f>
        <v/>
      </c>
      <c r="KF36" s="101">
        <f>E36-KB36</f>
        <v/>
      </c>
      <c r="KG36" s="22" t="n"/>
    </row>
    <row r="37" ht="21.75" customFormat="1" customHeight="1" s="22">
      <c r="A37" s="126">
        <f>A36+1</f>
        <v/>
      </c>
      <c r="B37" s="175" t="inlineStr">
        <is>
          <t>Носиков А.А.</t>
        </is>
      </c>
      <c r="C37" s="194" t="inlineStr">
        <is>
          <t>Фрезеровщик</t>
        </is>
      </c>
      <c r="D37" s="177">
        <f>$D$5</f>
        <v/>
      </c>
      <c r="E37" s="202" t="n"/>
      <c r="F37" s="193" t="n">
        <v>101150.05</v>
      </c>
      <c r="G37" s="52">
        <f>F37/D37</f>
        <v/>
      </c>
      <c r="H37" s="125" t="n"/>
      <c r="I37" s="107">
        <f>H37*100/$E$37</f>
        <v/>
      </c>
      <c r="J37" s="108" t="n"/>
      <c r="K37" s="107">
        <f>J37*100/$E$37</f>
        <v/>
      </c>
      <c r="L37" s="108" t="n"/>
      <c r="M37" s="107">
        <f>L37*100/$E$37</f>
        <v/>
      </c>
      <c r="N37" s="108" t="n"/>
      <c r="O37" s="107">
        <f>N37*100/$E$37</f>
        <v/>
      </c>
      <c r="P37" s="108" t="n"/>
      <c r="Q37" s="122">
        <f>P37*100/$E$37</f>
        <v/>
      </c>
      <c r="R37" s="108" t="n"/>
      <c r="S37" s="122">
        <f>R37*100/$E$37</f>
        <v/>
      </c>
      <c r="T37" s="108" t="n"/>
      <c r="U37" s="107">
        <f>T37*100/$E$37</f>
        <v/>
      </c>
      <c r="V37" s="108" t="n"/>
      <c r="W37" s="107">
        <f>V37*100/$E$37</f>
        <v/>
      </c>
      <c r="X37" s="108" t="n"/>
      <c r="Y37" s="107">
        <f>X37*100/$E$37</f>
        <v/>
      </c>
      <c r="Z37" s="108" t="n"/>
      <c r="AA37" s="107">
        <f>Z37*100/$E$37</f>
        <v/>
      </c>
      <c r="AB37" s="108" t="n"/>
      <c r="AC37" s="107">
        <f>AB37*100/$E$37</f>
        <v/>
      </c>
      <c r="AD37" s="108" t="n"/>
      <c r="AE37" s="122">
        <f>AD37*100/$E$37</f>
        <v/>
      </c>
      <c r="AF37" s="108" t="n"/>
      <c r="AG37" s="122">
        <f>AF37*100/$E$37</f>
        <v/>
      </c>
      <c r="AH37" s="108" t="n"/>
      <c r="AI37" s="107">
        <f>AH37*100/$E$37</f>
        <v/>
      </c>
      <c r="AJ37" s="108" t="n"/>
      <c r="AK37" s="107">
        <f>AJ37*100/$E$37</f>
        <v/>
      </c>
      <c r="AL37" s="108" t="n"/>
      <c r="AM37" s="107">
        <f>AL37*100/$E$37</f>
        <v/>
      </c>
      <c r="AN37" s="108" t="n"/>
      <c r="AO37" s="107">
        <f>AN37*100/$E$37</f>
        <v/>
      </c>
      <c r="AP37" s="108" t="n"/>
      <c r="AQ37" s="107">
        <f>AP37*100/$E$37</f>
        <v/>
      </c>
      <c r="AR37" s="108" t="n"/>
      <c r="AS37" s="107">
        <f>AR37*100/$E$37</f>
        <v/>
      </c>
      <c r="AT37" s="108" t="n"/>
      <c r="AU37" s="90">
        <f>AT37*100/$E$37</f>
        <v/>
      </c>
      <c r="AV37" s="108" t="n"/>
      <c r="AW37" s="107">
        <f>AV37*100/$E$37</f>
        <v/>
      </c>
      <c r="AX37" s="108" t="n"/>
      <c r="AY37" s="107">
        <f>AX37*100/$E$37</f>
        <v/>
      </c>
      <c r="AZ37" s="108" t="n"/>
      <c r="BA37" s="107">
        <f>AZ37*100/$E$37</f>
        <v/>
      </c>
      <c r="BB37" s="108" t="n"/>
      <c r="BC37" s="107">
        <f>BB37*100/$E$37</f>
        <v/>
      </c>
      <c r="BD37" s="108" t="n"/>
      <c r="BE37" s="107">
        <f>BD37*100/$E$37</f>
        <v/>
      </c>
      <c r="BF37" s="108" t="n"/>
      <c r="BG37" s="107">
        <f>BF37*100/$E$37</f>
        <v/>
      </c>
      <c r="BH37" s="108" t="n"/>
      <c r="BI37" s="107">
        <f>BH37*100/$E$37</f>
        <v/>
      </c>
      <c r="BJ37" s="108" t="n"/>
      <c r="BK37" s="107">
        <f>BJ37*100/$E$37</f>
        <v/>
      </c>
      <c r="BL37" s="108" t="n"/>
      <c r="BM37" s="107">
        <f>BL37*100/$E$37</f>
        <v/>
      </c>
      <c r="BN37" s="108" t="n"/>
      <c r="BO37" s="107">
        <f>BN37*100/$E$37</f>
        <v/>
      </c>
      <c r="BP37" s="108" t="n"/>
      <c r="BQ37" s="107">
        <f>BP37*100/$E$37</f>
        <v/>
      </c>
      <c r="BR37" s="108" t="n"/>
      <c r="BS37" s="107">
        <f>BR37*100/$E$37</f>
        <v/>
      </c>
      <c r="BT37" s="108" t="n"/>
      <c r="BU37" s="107">
        <f>BT37*100/$E$37</f>
        <v/>
      </c>
      <c r="BV37" s="108" t="n"/>
      <c r="BW37" s="107">
        <f>BV37*100/$E$37</f>
        <v/>
      </c>
      <c r="BX37" s="108" t="n"/>
      <c r="BY37" s="107">
        <f>BX37*100/$E$37</f>
        <v/>
      </c>
      <c r="BZ37" s="108" t="n"/>
      <c r="CA37" s="107">
        <f>BZ37*100/$E$37</f>
        <v/>
      </c>
      <c r="CB37" s="108" t="n"/>
      <c r="CC37" s="107">
        <f>CB37*100/$E$37</f>
        <v/>
      </c>
      <c r="CD37" s="108" t="n"/>
      <c r="CE37" s="107">
        <f>CD37*100/$E$37</f>
        <v/>
      </c>
      <c r="CF37" s="108" t="n"/>
      <c r="CG37" s="107">
        <f>CF37*100/$E$37</f>
        <v/>
      </c>
      <c r="CH37" s="108" t="n"/>
      <c r="CI37" s="107">
        <f>CH37*100/$E$37</f>
        <v/>
      </c>
      <c r="CJ37" s="108" t="n"/>
      <c r="CK37" s="107">
        <f>CJ37*100/$E$37</f>
        <v/>
      </c>
      <c r="CL37" s="108" t="n"/>
      <c r="CM37" s="107">
        <f>CL37*100/$E$37</f>
        <v/>
      </c>
      <c r="CN37" s="108" t="n"/>
      <c r="CO37" s="122">
        <f>CN37*100/$E$37</f>
        <v/>
      </c>
      <c r="CP37" s="108" t="n"/>
      <c r="CQ37" s="107">
        <f>CP37*100/$E$37</f>
        <v/>
      </c>
      <c r="CR37" s="108" t="n"/>
      <c r="CS37" s="122">
        <f>CR37*100/$E$37</f>
        <v/>
      </c>
      <c r="CT37" s="108" t="n"/>
      <c r="CU37" s="122">
        <f>CT37*100/$E$37</f>
        <v/>
      </c>
      <c r="CV37" s="108" t="n"/>
      <c r="CW37" s="122">
        <f>CV37*100/$E$37</f>
        <v/>
      </c>
      <c r="CX37" s="108" t="n"/>
      <c r="CY37" s="122">
        <f>CX37*100/$E$37</f>
        <v/>
      </c>
      <c r="CZ37" s="108" t="n"/>
      <c r="DA37" s="122">
        <f>CZ37*100/$E$37</f>
        <v/>
      </c>
      <c r="DB37" s="108" t="n"/>
      <c r="DC37" s="122">
        <f>DB37*100/$E$37</f>
        <v/>
      </c>
      <c r="DD37" s="108" t="n"/>
      <c r="DE37" s="122">
        <f>DD37*100/$E$37</f>
        <v/>
      </c>
      <c r="DF37" s="108" t="n"/>
      <c r="DG37" s="122">
        <f>DF37*100/$E$37</f>
        <v/>
      </c>
      <c r="DH37" s="108" t="n"/>
      <c r="DI37" s="122">
        <f>DH37*100/$E$37</f>
        <v/>
      </c>
      <c r="DJ37" s="108" t="n"/>
      <c r="DK37" s="122">
        <f>DJ37*100/$E$37</f>
        <v/>
      </c>
      <c r="DL37" s="108" t="n"/>
      <c r="DM37" s="122">
        <f>DL37*100/$E$37</f>
        <v/>
      </c>
      <c r="DN37" s="108" t="n"/>
      <c r="DO37" s="122">
        <f>DN37*100/$E$37</f>
        <v/>
      </c>
      <c r="DP37" s="108" t="n"/>
      <c r="DQ37" s="122">
        <f>DP37*100/$E$37</f>
        <v/>
      </c>
      <c r="DR37" s="108" t="n"/>
      <c r="DS37" s="122">
        <f>DR37*100/$E$37</f>
        <v/>
      </c>
      <c r="DT37" s="108" t="n"/>
      <c r="DU37" s="122">
        <f>DT37*100/$E$37</f>
        <v/>
      </c>
      <c r="DV37" s="108" t="n"/>
      <c r="DW37" s="122">
        <f>DV37*100/$E$37</f>
        <v/>
      </c>
      <c r="DX37" s="108" t="n"/>
      <c r="DY37" s="122">
        <f>DX37*100/$E$37</f>
        <v/>
      </c>
      <c r="DZ37" s="108" t="n"/>
      <c r="EA37" s="122">
        <f>DZ37*100/$E$37</f>
        <v/>
      </c>
      <c r="EB37" s="108" t="n"/>
      <c r="EC37" s="122">
        <f>EB37*100/$E$37</f>
        <v/>
      </c>
      <c r="ED37" s="108" t="n"/>
      <c r="EE37" s="122">
        <f>ED37*100/$E$37</f>
        <v/>
      </c>
      <c r="EF37" s="108" t="n"/>
      <c r="EG37" s="122">
        <f>EF37*100/$E$37</f>
        <v/>
      </c>
      <c r="EH37" s="108" t="n"/>
      <c r="EI37" s="122">
        <f>EH37*100/$E$37</f>
        <v/>
      </c>
      <c r="EJ37" s="108" t="n"/>
      <c r="EK37" s="122">
        <f>EJ37*100/$E$37</f>
        <v/>
      </c>
      <c r="EL37" s="108" t="n"/>
      <c r="EM37" s="122">
        <f>EL37*100/$E$37</f>
        <v/>
      </c>
      <c r="EN37" s="108" t="n"/>
      <c r="EO37" s="122">
        <f>EN37*100/$E$37</f>
        <v/>
      </c>
      <c r="EP37" s="108" t="n"/>
      <c r="EQ37" s="122">
        <f>EP37*100/$E$37</f>
        <v/>
      </c>
      <c r="ER37" s="108" t="n"/>
      <c r="ES37" s="122">
        <f>ER37*100/$E$37</f>
        <v/>
      </c>
      <c r="ET37" s="108" t="n"/>
      <c r="EU37" s="122">
        <f>ET37*100/$E$37</f>
        <v/>
      </c>
      <c r="EV37" s="108" t="n"/>
      <c r="EW37" s="122">
        <f>EV37*100/$E$37</f>
        <v/>
      </c>
      <c r="EX37" s="108" t="n"/>
      <c r="EY37" s="122">
        <f>EX37*100/$E$37</f>
        <v/>
      </c>
      <c r="EZ37" s="108" t="n"/>
      <c r="FA37" s="122">
        <f>EZ37*100/$E$37</f>
        <v/>
      </c>
      <c r="FB37" s="108" t="n"/>
      <c r="FC37" s="122">
        <f>FB37*100/$E$37</f>
        <v/>
      </c>
      <c r="FD37" s="108" t="n"/>
      <c r="FE37" s="122">
        <f>FD37*100/$E$37</f>
        <v/>
      </c>
      <c r="FF37" s="108" t="n"/>
      <c r="FG37" s="122">
        <f>FF37*100/$E$37</f>
        <v/>
      </c>
      <c r="FH37" s="108" t="n"/>
      <c r="FI37" s="122">
        <f>FH37*100/$E$37</f>
        <v/>
      </c>
      <c r="FJ37" s="108" t="n"/>
      <c r="FK37" s="122">
        <f>FJ37*100/$E$37</f>
        <v/>
      </c>
      <c r="FL37" s="108" t="n"/>
      <c r="FM37" s="122">
        <f>FL37*100/$E$37</f>
        <v/>
      </c>
      <c r="FN37" s="108" t="n"/>
      <c r="FO37" s="122">
        <f>FN37*100/$E$37</f>
        <v/>
      </c>
      <c r="FP37" s="108" t="n"/>
      <c r="FQ37" s="122">
        <f>FP37*100/$E$37</f>
        <v/>
      </c>
      <c r="FR37" s="108" t="n"/>
      <c r="FS37" s="122">
        <f>FR37*100/$E$37</f>
        <v/>
      </c>
      <c r="FT37" s="108" t="n"/>
      <c r="FU37" s="122">
        <f>FT37*100/$E$37</f>
        <v/>
      </c>
      <c r="FV37" s="108" t="n"/>
      <c r="FW37" s="122">
        <f>FV37*100/$E$37</f>
        <v/>
      </c>
      <c r="FX37" s="108" t="n"/>
      <c r="FY37" s="107">
        <f>FX37*100/$E$37</f>
        <v/>
      </c>
      <c r="FZ37" s="108" t="n"/>
      <c r="GA37" s="107">
        <f>FZ37*100/$E$37</f>
        <v/>
      </c>
      <c r="GB37" s="108" t="n"/>
      <c r="GC37" s="107">
        <f>GB37*100/$E$37</f>
        <v/>
      </c>
      <c r="GD37" s="108" t="n"/>
      <c r="GE37" s="107">
        <f>GD37*100/$E$37</f>
        <v/>
      </c>
      <c r="GF37" s="108" t="n"/>
      <c r="GG37" s="107">
        <f>GF37*100/$E$37</f>
        <v/>
      </c>
      <c r="GH37" s="108" t="n"/>
      <c r="GI37" s="107">
        <f>GH37*100/$E$37</f>
        <v/>
      </c>
      <c r="GJ37" s="108" t="n"/>
      <c r="GK37" s="122">
        <f>GJ37*100/$E$37</f>
        <v/>
      </c>
      <c r="GL37" s="108" t="n"/>
      <c r="GM37" s="107">
        <f>GL37*100/$E$37</f>
        <v/>
      </c>
      <c r="GN37" s="108" t="n"/>
      <c r="GO37" s="122">
        <f>GN37*100/$E$37</f>
        <v/>
      </c>
      <c r="GP37" s="108" t="n"/>
      <c r="GQ37" s="107">
        <f>GP37*100/$E$37</f>
        <v/>
      </c>
      <c r="GR37" s="108" t="n"/>
      <c r="GS37" s="122">
        <f>GR37*100/$E$37</f>
        <v/>
      </c>
      <c r="GT37" s="108" t="n"/>
      <c r="GU37" s="122">
        <f>GT37*100/$E$37</f>
        <v/>
      </c>
      <c r="GV37" s="108" t="n"/>
      <c r="GW37" s="122">
        <f>GV37*100/$E$37</f>
        <v/>
      </c>
      <c r="GX37" s="108" t="n"/>
      <c r="GY37" s="107">
        <f>GX37*100/$E$37</f>
        <v/>
      </c>
      <c r="GZ37" s="108" t="n"/>
      <c r="HA37" s="107">
        <f>GZ37*100/$E$37</f>
        <v/>
      </c>
      <c r="HB37" s="108" t="n"/>
      <c r="HC37" s="107">
        <f>HB37*100/$E$37</f>
        <v/>
      </c>
      <c r="HD37" s="108" t="n"/>
      <c r="HE37" s="107">
        <f>HD37*100/$E$37</f>
        <v/>
      </c>
      <c r="HF37" s="108" t="n"/>
      <c r="HG37" s="107">
        <f>HF37*100/$E$37</f>
        <v/>
      </c>
      <c r="HH37" s="108" t="n"/>
      <c r="HI37" s="107">
        <f>HH37*100/$E$37</f>
        <v/>
      </c>
      <c r="HJ37" s="108" t="n"/>
      <c r="HK37" s="107">
        <f>HJ37*100/$E$37</f>
        <v/>
      </c>
      <c r="HL37" s="108" t="n"/>
      <c r="HM37" s="107">
        <f>HL37*100/$E$37</f>
        <v/>
      </c>
      <c r="HN37" s="108" t="n"/>
      <c r="HO37" s="107">
        <f>HN37*100/$E$37</f>
        <v/>
      </c>
      <c r="HP37" s="108" t="n"/>
      <c r="HQ37" s="107">
        <f>HP37*100/$E$37</f>
        <v/>
      </c>
      <c r="HR37" s="108" t="n"/>
      <c r="HS37" s="107">
        <f>HR37*100/$E$37</f>
        <v/>
      </c>
      <c r="HT37" s="108" t="n"/>
      <c r="HU37" s="107">
        <f>HT37*100/$E$37</f>
        <v/>
      </c>
      <c r="HV37" s="108" t="n"/>
      <c r="HW37" s="107">
        <f>HV37*100/$E$37</f>
        <v/>
      </c>
      <c r="HX37" s="108" t="n"/>
      <c r="HY37" s="107">
        <f>HX37*100/$E$37</f>
        <v/>
      </c>
      <c r="HZ37" s="108" t="n"/>
      <c r="IA37" s="122">
        <f>HZ37*100/$E$37</f>
        <v/>
      </c>
      <c r="IB37" s="108" t="n"/>
      <c r="IC37" s="122">
        <f>IB37*100/$E$37</f>
        <v/>
      </c>
      <c r="ID37" s="108" t="n"/>
      <c r="IE37" s="122">
        <f>ID37*100/$E$37</f>
        <v/>
      </c>
      <c r="IF37" s="108" t="n"/>
      <c r="IG37" s="122">
        <f>IF37*100/$E$37</f>
        <v/>
      </c>
      <c r="IH37" s="108" t="n"/>
      <c r="II37" s="122">
        <f>IH37*100/$E$37</f>
        <v/>
      </c>
      <c r="IJ37" s="108" t="n"/>
      <c r="IK37" s="122">
        <f>IJ37*100/$E$37</f>
        <v/>
      </c>
      <c r="IL37" s="108" t="n"/>
      <c r="IM37" s="107">
        <f>IL37*100/$E$37</f>
        <v/>
      </c>
      <c r="IN37" s="108" t="n"/>
      <c r="IO37" s="107">
        <f>IN37*100/$E$37</f>
        <v/>
      </c>
      <c r="IP37" s="108" t="n"/>
      <c r="IQ37" s="122">
        <f>IP37*100/$E$37</f>
        <v/>
      </c>
      <c r="IR37" s="108" t="n"/>
      <c r="IS37" s="122">
        <f>IR37*100/$E$37</f>
        <v/>
      </c>
      <c r="IT37" s="108" t="n"/>
      <c r="IU37" s="122">
        <f>IT37*100/$E$37</f>
        <v/>
      </c>
      <c r="IV37" s="108" t="n"/>
      <c r="IW37" s="122">
        <f>IV37*100/$E$37</f>
        <v/>
      </c>
      <c r="IX37" s="108" t="n"/>
      <c r="IY37" s="122">
        <f>IX37*100/$E$37</f>
        <v/>
      </c>
      <c r="IZ37" s="108" t="n"/>
      <c r="JA37" s="122">
        <f>IZ37*100/$E$37</f>
        <v/>
      </c>
      <c r="JB37" s="108" t="n"/>
      <c r="JC37" s="122">
        <f>JB37*100/$E$37</f>
        <v/>
      </c>
      <c r="JD37" s="108" t="n"/>
      <c r="JE37" s="122">
        <f>JD37*100/$E$37</f>
        <v/>
      </c>
      <c r="JF37" s="108" t="n"/>
      <c r="JG37" s="122">
        <f>JF37*100/$E$37</f>
        <v/>
      </c>
      <c r="JH37" s="108" t="n"/>
      <c r="JI37" s="122">
        <f>JH37*100/$E$37</f>
        <v/>
      </c>
      <c r="JJ37" s="108" t="n"/>
      <c r="JK37" s="122">
        <f>JJ37*100/$E$37</f>
        <v/>
      </c>
      <c r="JL37" s="108" t="n"/>
      <c r="JM37" s="122">
        <f>JL37*100/$E$37</f>
        <v/>
      </c>
      <c r="JN37" s="108" t="n"/>
      <c r="JO37" s="121">
        <f>JN37*100/$E$37</f>
        <v/>
      </c>
      <c r="JP37" s="108" t="n"/>
      <c r="JQ37" s="121">
        <f>JP37*100/$E$37</f>
        <v/>
      </c>
      <c r="JR37" s="108" t="n"/>
      <c r="JS37" s="121">
        <f>JR37*100/$E$37</f>
        <v/>
      </c>
      <c r="JT37" s="108" t="n"/>
      <c r="JU37" s="121">
        <f>JT37*100/$E$37</f>
        <v/>
      </c>
      <c r="JV37" s="117" t="n"/>
      <c r="JW37" s="121">
        <f>JV37*100/$E$37</f>
        <v/>
      </c>
      <c r="JX37" s="117" t="n"/>
      <c r="JY37" s="121">
        <f>JX37*100/$E$37</f>
        <v/>
      </c>
      <c r="JZ37" s="55">
        <f>JN37+JP37+JR37+JT37+JV37+JX37</f>
        <v/>
      </c>
      <c r="KA37" s="53">
        <f>JO37+JQ37+JS37+JU37+JW37+JY37</f>
        <v/>
      </c>
      <c r="KB37" s="64">
        <f>H37+J37+L37+N37+P37+R37+T37+V37+X37+Z37+AB37+AD37+AF37+AH37+AJ37+AL37+AN37+AP37+AR37+AT37+AV37+AX37+AZ37+BB37+BD37+BF37+BH37+BJ37+BL37+BN37+BP37+BR37+BT37+BV37+BX37+BZ37+CB37+CD37+CF37+CH37+CZ37+DB37+DD37+DF37+DH37+DJ37+DL37+DN37+DP37+DR37+DT37+DV37+DX37+DZ37+EB37+ED37+EF37+EH37+EJ37+EL37+EN37+EP37+ER37+ET37+EV37+FN37+FP37+FR37+FT37+FV37+FX37+FZ37+GB37+GD37+GF37+GH37+GJ37+GL37+GN37+GP37+GR37+GT37+GV37+GX37+GZ37+HB37+HD37+HF37+HH37+HJ37+HL37+HN37+HP37+HR37+HT37+HV37+HX37+HZ37+IB37+ID37+IF37+IH37+IJ37+IL37+IN37+IP37+IR37+IT37+IV37+IX37+IZ37+JB37+JD37+JF37+JH37+JJ37+JL37+JZ37+CJ37+CL37+CN37+CP37+CR37+CT37+CV37+CX37+EX37+EZ37+FB37+FD37+FF37+FH37+FJ37+FL37</f>
        <v/>
      </c>
      <c r="KC37" s="66">
        <f>I37+K37+M37+O37+Q37+S37+U37+W37+Y37+AA37+AC37+AE37+AG37+AI37+AK37+AM37+AO37+AQ37+AS37+AU37+AW37+AY37+BA37+BC37+BE37+BG37+BI37+BK37+BM37+BO37+BQ37+BS37+BU37+BW37+BY37+CA37+CC37+CE37+CG37+CI37+DA37+DC37+DE37+DG37+DI37+DK37+DM37+DO37+DQ37+DS37+DU37+DW37+DY37+EA37+EC37+EE37+EG37+EI37+EK37+EM37+EO37+EQ37+ES37+EU37+EW37+FO37+FS37+FU37+FW37+FQ37+FY37+GA37+GC37+GE37+GG37+GI37+GK37+GM37+GO37+GQ37+GS37+GU37+GW37+GY37+HA37+HC37+HE37+HG37+HI37+HK37+HM37+HO37+HQ37+HS37+HU37+HW37+HY37+IA37+IC37+IE37+IG37+II37+IK37+IM37+IO37+IQ37+IS37+IU37+IW37+IY37+JA37+JC37+JE37+JG37+JI37+JK37+JM37+KA37+CK37+CM37+CO37+CQ37+CS37+CU37+CW37+CY37+EY37+FA37+FC37+FE37+FG37+FI37+FK37+FM37</f>
        <v/>
      </c>
      <c r="KD37" s="44">
        <f>JO37+JQ37+JS37+JU37+JW37+JY37</f>
        <v/>
      </c>
      <c r="KE37" s="45">
        <f>KB37=E37</f>
        <v/>
      </c>
      <c r="KF37" s="101">
        <f>E37-KB37</f>
        <v/>
      </c>
      <c r="KG37" s="25" t="n"/>
    </row>
    <row r="38" ht="21.75" customFormat="1" customHeight="1" s="25">
      <c r="A38" s="126">
        <f>A37+1</f>
        <v/>
      </c>
      <c r="B38" s="175" t="inlineStr">
        <is>
          <t>Ряснов С.О.</t>
        </is>
      </c>
      <c r="C38" s="176" t="inlineStr">
        <is>
          <t>Фрезеровщик</t>
        </is>
      </c>
      <c r="D38" s="177">
        <f>$D$5</f>
        <v/>
      </c>
      <c r="E38" s="202" t="n"/>
      <c r="F38" s="193" t="n">
        <v>63219</v>
      </c>
      <c r="G38" s="52">
        <f>F38/D38</f>
        <v/>
      </c>
      <c r="H38" s="125" t="n"/>
      <c r="I38" s="107">
        <f>H38*100/$E$38</f>
        <v/>
      </c>
      <c r="J38" s="108" t="n"/>
      <c r="K38" s="107">
        <f>J38*100/$E$38</f>
        <v/>
      </c>
      <c r="L38" s="108" t="n"/>
      <c r="M38" s="107">
        <f>L38*100/$E$38</f>
        <v/>
      </c>
      <c r="N38" s="108" t="n"/>
      <c r="O38" s="107">
        <f>N38*100/$E$38</f>
        <v/>
      </c>
      <c r="P38" s="108" t="n"/>
      <c r="Q38" s="122">
        <f>P38*100/$E$38</f>
        <v/>
      </c>
      <c r="R38" s="108" t="n"/>
      <c r="S38" s="122">
        <f>R38*100/$E$38</f>
        <v/>
      </c>
      <c r="T38" s="108" t="n"/>
      <c r="U38" s="107">
        <f>T38*100/$E$38</f>
        <v/>
      </c>
      <c r="V38" s="108" t="n"/>
      <c r="W38" s="107">
        <f>V38*100/$E$38</f>
        <v/>
      </c>
      <c r="X38" s="108" t="n"/>
      <c r="Y38" s="107">
        <f>X38*100/$E$38</f>
        <v/>
      </c>
      <c r="Z38" s="108" t="n"/>
      <c r="AA38" s="107">
        <f>Z38*100/$E$38</f>
        <v/>
      </c>
      <c r="AB38" s="108" t="n"/>
      <c r="AC38" s="107">
        <f>AB38*100/$E$38</f>
        <v/>
      </c>
      <c r="AD38" s="108" t="n"/>
      <c r="AE38" s="122">
        <f>AD38*100/$E$38</f>
        <v/>
      </c>
      <c r="AF38" s="108" t="n"/>
      <c r="AG38" s="122">
        <f>AF38*100/$E$38</f>
        <v/>
      </c>
      <c r="AH38" s="108" t="n"/>
      <c r="AI38" s="107">
        <f>AH38*100/$E$38</f>
        <v/>
      </c>
      <c r="AJ38" s="108" t="n"/>
      <c r="AK38" s="107">
        <f>AJ38*100/$E$38</f>
        <v/>
      </c>
      <c r="AL38" s="108" t="n"/>
      <c r="AM38" s="107">
        <f>AL38*100/$E$38</f>
        <v/>
      </c>
      <c r="AN38" s="108" t="n"/>
      <c r="AO38" s="107">
        <f>AN38*100/$E$38</f>
        <v/>
      </c>
      <c r="AP38" s="108" t="n"/>
      <c r="AQ38" s="107">
        <f>AP38*100/$E$38</f>
        <v/>
      </c>
      <c r="AR38" s="108" t="n"/>
      <c r="AS38" s="107">
        <f>AR38*100/$E$38</f>
        <v/>
      </c>
      <c r="AT38" s="108" t="n"/>
      <c r="AU38" s="90">
        <f>AT38*100/$E$38</f>
        <v/>
      </c>
      <c r="AV38" s="108" t="n"/>
      <c r="AW38" s="107">
        <f>AV38*100/$E$38</f>
        <v/>
      </c>
      <c r="AX38" s="108" t="n"/>
      <c r="AY38" s="107">
        <f>AX38*100/$E$38</f>
        <v/>
      </c>
      <c r="AZ38" s="108" t="n"/>
      <c r="BA38" s="107">
        <f>AZ38*100/$E$38</f>
        <v/>
      </c>
      <c r="BB38" s="108" t="n"/>
      <c r="BC38" s="107">
        <f>BB38*100/$E$38</f>
        <v/>
      </c>
      <c r="BD38" s="108" t="n"/>
      <c r="BE38" s="107">
        <f>BD38*100/$E$38</f>
        <v/>
      </c>
      <c r="BF38" s="108" t="n"/>
      <c r="BG38" s="107">
        <f>BF38*100/$E$38</f>
        <v/>
      </c>
      <c r="BH38" s="108" t="n"/>
      <c r="BI38" s="107">
        <f>BH38*100/$E$38</f>
        <v/>
      </c>
      <c r="BJ38" s="108" t="n"/>
      <c r="BK38" s="107">
        <f>BJ38*100/$E$38</f>
        <v/>
      </c>
      <c r="BL38" s="108" t="n"/>
      <c r="BM38" s="107">
        <f>BL38*100/$E$38</f>
        <v/>
      </c>
      <c r="BN38" s="108" t="n"/>
      <c r="BO38" s="107">
        <f>BN38*100/$E$38</f>
        <v/>
      </c>
      <c r="BP38" s="108" t="n"/>
      <c r="BQ38" s="107">
        <f>BP38*100/$E$38</f>
        <v/>
      </c>
      <c r="BR38" s="108" t="n"/>
      <c r="BS38" s="107">
        <f>BR38*100/$E$38</f>
        <v/>
      </c>
      <c r="BT38" s="108" t="n"/>
      <c r="BU38" s="107">
        <f>BT38*100/$E$38</f>
        <v/>
      </c>
      <c r="BV38" s="108" t="n"/>
      <c r="BW38" s="107">
        <f>BV38*100/$E$38</f>
        <v/>
      </c>
      <c r="BX38" s="108" t="n"/>
      <c r="BY38" s="107">
        <f>BX38*100/$E$38</f>
        <v/>
      </c>
      <c r="BZ38" s="108" t="n"/>
      <c r="CA38" s="107">
        <f>BZ38*100/$E$38</f>
        <v/>
      </c>
      <c r="CB38" s="108" t="n"/>
      <c r="CC38" s="107">
        <f>CB38*100/$E$38</f>
        <v/>
      </c>
      <c r="CD38" s="108" t="n"/>
      <c r="CE38" s="107">
        <f>CD38*100/$E$38</f>
        <v/>
      </c>
      <c r="CF38" s="108" t="n"/>
      <c r="CG38" s="107">
        <f>CF38*100/$E$38</f>
        <v/>
      </c>
      <c r="CH38" s="108" t="n"/>
      <c r="CI38" s="107">
        <f>CH38*100/$E$38</f>
        <v/>
      </c>
      <c r="CJ38" s="108" t="n"/>
      <c r="CK38" s="107">
        <f>CJ38*100/$E$38</f>
        <v/>
      </c>
      <c r="CL38" s="108" t="n"/>
      <c r="CM38" s="107">
        <f>CL38*100/$E$38</f>
        <v/>
      </c>
      <c r="CN38" s="108" t="n"/>
      <c r="CO38" s="122">
        <f>CN38*100/$E$38</f>
        <v/>
      </c>
      <c r="CP38" s="108" t="n"/>
      <c r="CQ38" s="107">
        <f>CP38*100/$E$38</f>
        <v/>
      </c>
      <c r="CR38" s="108" t="n"/>
      <c r="CS38" s="122">
        <f>CR38*100/$E$38</f>
        <v/>
      </c>
      <c r="CT38" s="108" t="n"/>
      <c r="CU38" s="122">
        <f>CT38*100/$E$38</f>
        <v/>
      </c>
      <c r="CV38" s="108" t="n"/>
      <c r="CW38" s="122">
        <f>CV38*100/$E$38</f>
        <v/>
      </c>
      <c r="CX38" s="108" t="n"/>
      <c r="CY38" s="122">
        <f>CX38*100/$E$38</f>
        <v/>
      </c>
      <c r="CZ38" s="108" t="n"/>
      <c r="DA38" s="122">
        <f>CZ38*100/$E$38</f>
        <v/>
      </c>
      <c r="DB38" s="108" t="n"/>
      <c r="DC38" s="122">
        <f>DB38*100/$E$38</f>
        <v/>
      </c>
      <c r="DD38" s="108" t="n"/>
      <c r="DE38" s="122">
        <f>DD38*100/$E$38</f>
        <v/>
      </c>
      <c r="DF38" s="108" t="n"/>
      <c r="DG38" s="122">
        <f>DF38*100/$E$38</f>
        <v/>
      </c>
      <c r="DH38" s="108" t="n"/>
      <c r="DI38" s="122">
        <f>DH38*100/$E$38</f>
        <v/>
      </c>
      <c r="DJ38" s="108" t="n"/>
      <c r="DK38" s="122">
        <f>DJ38*100/$E$38</f>
        <v/>
      </c>
      <c r="DL38" s="108" t="n"/>
      <c r="DM38" s="122">
        <f>DL38*100/$E$38</f>
        <v/>
      </c>
      <c r="DN38" s="108" t="n"/>
      <c r="DO38" s="122">
        <f>DN38*100/$E$38</f>
        <v/>
      </c>
      <c r="DP38" s="108" t="n"/>
      <c r="DQ38" s="122">
        <f>DP38*100/$E$38</f>
        <v/>
      </c>
      <c r="DR38" s="108" t="n"/>
      <c r="DS38" s="122">
        <f>DR38*100/$E$38</f>
        <v/>
      </c>
      <c r="DT38" s="108" t="n"/>
      <c r="DU38" s="122">
        <f>DT38*100/$E$38</f>
        <v/>
      </c>
      <c r="DV38" s="108" t="n"/>
      <c r="DW38" s="122">
        <f>DV38*100/$E$38</f>
        <v/>
      </c>
      <c r="DX38" s="108" t="n"/>
      <c r="DY38" s="122">
        <f>DX38*100/$E$38</f>
        <v/>
      </c>
      <c r="DZ38" s="108" t="n"/>
      <c r="EA38" s="122">
        <f>DZ38*100/$E$38</f>
        <v/>
      </c>
      <c r="EB38" s="108" t="n"/>
      <c r="EC38" s="122">
        <f>EB38*100/$E$38</f>
        <v/>
      </c>
      <c r="ED38" s="108" t="n"/>
      <c r="EE38" s="122">
        <f>ED38*100/$E$38</f>
        <v/>
      </c>
      <c r="EF38" s="108" t="n"/>
      <c r="EG38" s="122">
        <f>EF38*100/$E$38</f>
        <v/>
      </c>
      <c r="EH38" s="108" t="n"/>
      <c r="EI38" s="122">
        <f>EH38*100/$E$38</f>
        <v/>
      </c>
      <c r="EJ38" s="108" t="n"/>
      <c r="EK38" s="122">
        <f>EJ38*100/$E$38</f>
        <v/>
      </c>
      <c r="EL38" s="108" t="n"/>
      <c r="EM38" s="122">
        <f>EL38*100/$E$38</f>
        <v/>
      </c>
      <c r="EN38" s="108" t="n"/>
      <c r="EO38" s="122">
        <f>EN38*100/$E$38</f>
        <v/>
      </c>
      <c r="EP38" s="108" t="n"/>
      <c r="EQ38" s="122">
        <f>EP38*100/$E$38</f>
        <v/>
      </c>
      <c r="ER38" s="108" t="n"/>
      <c r="ES38" s="122">
        <f>ER38*100/$E$38</f>
        <v/>
      </c>
      <c r="ET38" s="108" t="n"/>
      <c r="EU38" s="122">
        <f>ET38*100/$E$38</f>
        <v/>
      </c>
      <c r="EV38" s="108" t="n"/>
      <c r="EW38" s="122">
        <f>EV38*100/$E$38</f>
        <v/>
      </c>
      <c r="EX38" s="108" t="n"/>
      <c r="EY38" s="122">
        <f>EX38*100/$E$38</f>
        <v/>
      </c>
      <c r="EZ38" s="108" t="n"/>
      <c r="FA38" s="122">
        <f>EZ38*100/$E$38</f>
        <v/>
      </c>
      <c r="FB38" s="108" t="n"/>
      <c r="FC38" s="122">
        <f>FB38*100/$E$38</f>
        <v/>
      </c>
      <c r="FD38" s="108" t="n"/>
      <c r="FE38" s="122">
        <f>FD38*100/$E$38</f>
        <v/>
      </c>
      <c r="FF38" s="108" t="n"/>
      <c r="FG38" s="122">
        <f>FF38*100/$E$38</f>
        <v/>
      </c>
      <c r="FH38" s="108" t="n"/>
      <c r="FI38" s="122">
        <f>FH38*100/$E$38</f>
        <v/>
      </c>
      <c r="FJ38" s="108" t="n"/>
      <c r="FK38" s="122">
        <f>FJ38*100/$E$38</f>
        <v/>
      </c>
      <c r="FL38" s="108" t="n"/>
      <c r="FM38" s="122">
        <f>FL38*100/$E$38</f>
        <v/>
      </c>
      <c r="FN38" s="108" t="n"/>
      <c r="FO38" s="122">
        <f>FN38*100/$E$38</f>
        <v/>
      </c>
      <c r="FP38" s="108" t="n"/>
      <c r="FQ38" s="122">
        <f>FP38*100/$E$38</f>
        <v/>
      </c>
      <c r="FR38" s="108" t="n"/>
      <c r="FS38" s="122">
        <f>FR38*100/$E$38</f>
        <v/>
      </c>
      <c r="FT38" s="108" t="n"/>
      <c r="FU38" s="122">
        <f>FT38*100/$E$38</f>
        <v/>
      </c>
      <c r="FV38" s="108" t="n"/>
      <c r="FW38" s="122">
        <f>FV38*100/$E$38</f>
        <v/>
      </c>
      <c r="FX38" s="108" t="n"/>
      <c r="FY38" s="107">
        <f>FX38*100/$E$38</f>
        <v/>
      </c>
      <c r="FZ38" s="108" t="n"/>
      <c r="GA38" s="107">
        <f>FZ38*100/$E$38</f>
        <v/>
      </c>
      <c r="GB38" s="108" t="n"/>
      <c r="GC38" s="107">
        <f>GB38*100/$E$38</f>
        <v/>
      </c>
      <c r="GD38" s="108" t="n"/>
      <c r="GE38" s="107">
        <f>GD38*100/$E$38</f>
        <v/>
      </c>
      <c r="GF38" s="108" t="n"/>
      <c r="GG38" s="107">
        <f>GF38*100/$E$38</f>
        <v/>
      </c>
      <c r="GH38" s="108" t="n"/>
      <c r="GI38" s="107">
        <f>GH38*100/$E$38</f>
        <v/>
      </c>
      <c r="GJ38" s="108" t="n"/>
      <c r="GK38" s="122">
        <f>GJ38*100/$E$38</f>
        <v/>
      </c>
      <c r="GL38" s="108" t="n"/>
      <c r="GM38" s="107">
        <f>GL38*100/$E$38</f>
        <v/>
      </c>
      <c r="GN38" s="108" t="n"/>
      <c r="GO38" s="122">
        <f>GN38*100/$E$38</f>
        <v/>
      </c>
      <c r="GP38" s="108" t="n"/>
      <c r="GQ38" s="107">
        <f>GP38*100/$E$38</f>
        <v/>
      </c>
      <c r="GR38" s="108" t="n"/>
      <c r="GS38" s="122">
        <f>GR38*100/$E$38</f>
        <v/>
      </c>
      <c r="GT38" s="108" t="n"/>
      <c r="GU38" s="122">
        <f>GT38*100/$E$38</f>
        <v/>
      </c>
      <c r="GV38" s="108" t="n"/>
      <c r="GW38" s="122">
        <f>GV38*100/$E$38</f>
        <v/>
      </c>
      <c r="GX38" s="108" t="n"/>
      <c r="GY38" s="107">
        <f>GX38*100/$E$38</f>
        <v/>
      </c>
      <c r="GZ38" s="108" t="n"/>
      <c r="HA38" s="107">
        <f>GZ38*100/$E$38</f>
        <v/>
      </c>
      <c r="HB38" s="108" t="n"/>
      <c r="HC38" s="107">
        <f>HB38*100/$E$38</f>
        <v/>
      </c>
      <c r="HD38" s="108" t="n"/>
      <c r="HE38" s="107">
        <f>HD38*100/$E$38</f>
        <v/>
      </c>
      <c r="HF38" s="108" t="n"/>
      <c r="HG38" s="107">
        <f>HF38*100/$E$38</f>
        <v/>
      </c>
      <c r="HH38" s="108" t="n"/>
      <c r="HI38" s="107">
        <f>HH38*100/$E$38</f>
        <v/>
      </c>
      <c r="HJ38" s="108" t="n"/>
      <c r="HK38" s="107">
        <f>HJ38*100/$E$38</f>
        <v/>
      </c>
      <c r="HL38" s="108" t="n"/>
      <c r="HM38" s="107">
        <f>HL38*100/$E$38</f>
        <v/>
      </c>
      <c r="HN38" s="108" t="n"/>
      <c r="HO38" s="107">
        <f>HN38*100/$E$38</f>
        <v/>
      </c>
      <c r="HP38" s="108" t="n"/>
      <c r="HQ38" s="107">
        <f>HP38*100/$E$38</f>
        <v/>
      </c>
      <c r="HR38" s="108" t="n"/>
      <c r="HS38" s="107">
        <f>HR38*100/$E$38</f>
        <v/>
      </c>
      <c r="HT38" s="108" t="n"/>
      <c r="HU38" s="107">
        <f>HT38*100/$E$38</f>
        <v/>
      </c>
      <c r="HV38" s="108" t="n"/>
      <c r="HW38" s="107">
        <f>HV38*100/$E$38</f>
        <v/>
      </c>
      <c r="HX38" s="108" t="n"/>
      <c r="HY38" s="107">
        <f>HX38*100/$E$38</f>
        <v/>
      </c>
      <c r="HZ38" s="108" t="n"/>
      <c r="IA38" s="122">
        <f>HZ38*100/$E$38</f>
        <v/>
      </c>
      <c r="IB38" s="108" t="n"/>
      <c r="IC38" s="122">
        <f>IB38*100/$E$38</f>
        <v/>
      </c>
      <c r="ID38" s="108" t="n"/>
      <c r="IE38" s="122">
        <f>ID38*100/$E$38</f>
        <v/>
      </c>
      <c r="IF38" s="108" t="n"/>
      <c r="IG38" s="122">
        <f>IF38*100/$E$38</f>
        <v/>
      </c>
      <c r="IH38" s="108" t="n"/>
      <c r="II38" s="122">
        <f>IH38*100/$E$38</f>
        <v/>
      </c>
      <c r="IJ38" s="108" t="n"/>
      <c r="IK38" s="122">
        <f>IJ38*100/$E$38</f>
        <v/>
      </c>
      <c r="IL38" s="108" t="n"/>
      <c r="IM38" s="107">
        <f>IL38*100/$E$38</f>
        <v/>
      </c>
      <c r="IN38" s="108" t="n"/>
      <c r="IO38" s="107">
        <f>IN38*100/$E$38</f>
        <v/>
      </c>
      <c r="IP38" s="108" t="n"/>
      <c r="IQ38" s="122">
        <f>IP38*100/$E$38</f>
        <v/>
      </c>
      <c r="IR38" s="108" t="n"/>
      <c r="IS38" s="122">
        <f>IR38*100/$E$38</f>
        <v/>
      </c>
      <c r="IT38" s="108" t="n"/>
      <c r="IU38" s="122">
        <f>IT38*100/$E$38</f>
        <v/>
      </c>
      <c r="IV38" s="108" t="n"/>
      <c r="IW38" s="122">
        <f>IV38*100/$E$38</f>
        <v/>
      </c>
      <c r="IX38" s="108" t="n"/>
      <c r="IY38" s="122">
        <f>IX38*100/$E$38</f>
        <v/>
      </c>
      <c r="IZ38" s="108" t="n"/>
      <c r="JA38" s="122">
        <f>IZ38*100/$E$38</f>
        <v/>
      </c>
      <c r="JB38" s="108" t="n"/>
      <c r="JC38" s="122">
        <f>JB38*100/$E$38</f>
        <v/>
      </c>
      <c r="JD38" s="108" t="n"/>
      <c r="JE38" s="122">
        <f>JD38*100/$E$38</f>
        <v/>
      </c>
      <c r="JF38" s="108" t="n"/>
      <c r="JG38" s="122">
        <f>JF38*100/$E$38</f>
        <v/>
      </c>
      <c r="JH38" s="108" t="n"/>
      <c r="JI38" s="122">
        <f>JH38*100/$E$38</f>
        <v/>
      </c>
      <c r="JJ38" s="108" t="n"/>
      <c r="JK38" s="122">
        <f>JJ38*100/$E$38</f>
        <v/>
      </c>
      <c r="JL38" s="108" t="n"/>
      <c r="JM38" s="122">
        <f>JL38*100/$E$38</f>
        <v/>
      </c>
      <c r="JN38" s="108" t="n"/>
      <c r="JO38" s="121">
        <f>JN38*100/$E$38</f>
        <v/>
      </c>
      <c r="JP38" s="108" t="n"/>
      <c r="JQ38" s="121">
        <f>JP38*100/$E$38</f>
        <v/>
      </c>
      <c r="JR38" s="108" t="n"/>
      <c r="JS38" s="121">
        <f>JR38*100/$E$38</f>
        <v/>
      </c>
      <c r="JT38" s="108" t="n"/>
      <c r="JU38" s="121">
        <f>JT38*100/$E$38</f>
        <v/>
      </c>
      <c r="JV38" s="108" t="n"/>
      <c r="JW38" s="121">
        <f>JV38*100/$E$38</f>
        <v/>
      </c>
      <c r="JX38" s="108" t="n"/>
      <c r="JY38" s="121">
        <f>JX38*100/$E$38</f>
        <v/>
      </c>
      <c r="JZ38" s="55">
        <f>JN38+JP38+JR38+JT38+JV38+JX38</f>
        <v/>
      </c>
      <c r="KA38" s="53">
        <f>JO38+JQ38+JS38+JU38+JW38+JY38</f>
        <v/>
      </c>
      <c r="KB38" s="64">
        <f>H38+J38+L38+N38+P38+R38+T38+V38+X38+Z38+AB38+AD38+AF38+AH38+AJ38+AL38+AN38+AP38+AR38+AT38+AV38+AX38+AZ38+BB38+BD38+BF38+BH38+BJ38+BL38+BN38+BP38+BR38+BT38+BV38+BX38+BZ38+CB38+CD38+CF38+CH38+CZ38+DB38+DD38+DF38+DH38+DJ38+DL38+DN38+DP38+DR38+DT38+DV38+DX38+DZ38+EB38+ED38+EF38+EH38+EJ38+EL38+EN38+EP38+ER38+ET38+EV38+FN38+FP38+FR38+FT38+FV38+FX38+FZ38+GB38+GD38+GF38+GH38+GJ38+GL38+GN38+GP38+GR38+GT38+GV38+GX38+GZ38+HB38+HD38+HF38+HH38+HJ38+HL38+HN38+HP38+HR38+HT38+HV38+HX38+HZ38+IB38+ID38+IF38+IH38+IJ38+IL38+IN38+IP38+IR38+IT38+IV38+IX38+IZ38+JB38+JD38+JF38+JH38+JJ38+JL38+JZ38+CJ38+CL38+CN38+CP38+CR38+CT38+CV38+CX38+EX38+EZ38+FB38+FD38+FF38+FH38+FJ38+FL38</f>
        <v/>
      </c>
      <c r="KC38" s="66">
        <f>I38+K38+M38+O38+Q38+S38+U38+W38+Y38+AA38+AC38+AE38+AG38+AI38+AK38+AM38+AO38+AQ38+AS38+AU38+AW38+AY38+BA38+BC38+BE38+BG38+BI38+BK38+BM38+BO38+BQ38+BS38+BU38+BW38+BY38+CA38+CC38+CE38+CG38+CI38+DA38+DC38+DE38+DG38+DI38+DK38+DM38+DO38+DQ38+DS38+DU38+DW38+DY38+EA38+EC38+EE38+EG38+EI38+EK38+EM38+EO38+EQ38+ES38+EU38+EW38+FO38+FS38+FU38+FW38+FQ38+FY38+GA38+GC38+GE38+GG38+GI38+GK38+GM38+GO38+GQ38+GS38+GU38+GW38+GY38+HA38+HC38+HE38+HG38+HI38+HK38+HM38+HO38+HQ38+HS38+HU38+HW38+HY38+IA38+IC38+IE38+IG38+II38+IK38+IM38+IO38+IQ38+IS38+IU38+IW38+IY38+JA38+JC38+JE38+JG38+JI38+JK38+JM38+KA38+CK38+CM38+CO38+CQ38+CS38+CU38+CW38+CY38+EY38+FA38+FC38+FE38+FG38+FI38+FK38+FM38</f>
        <v/>
      </c>
      <c r="KD38" s="44">
        <f>JO38+JQ38+JS38+JU38+JW38+JY38</f>
        <v/>
      </c>
      <c r="KE38" s="45">
        <f>KB38=E38</f>
        <v/>
      </c>
      <c r="KF38" s="101">
        <f>E38-KB38</f>
        <v/>
      </c>
      <c r="KG38" s="15" t="n"/>
    </row>
    <row r="39" ht="21.75" customFormat="1" customHeight="1" s="25">
      <c r="A39" s="126">
        <f>A38+1</f>
        <v/>
      </c>
      <c r="B39" s="175" t="inlineStr">
        <is>
          <t>Протасов С.А.</t>
        </is>
      </c>
      <c r="C39" s="194" t="inlineStr">
        <is>
          <t>слесарь МСР</t>
        </is>
      </c>
      <c r="D39" s="177">
        <f>$D$5</f>
        <v/>
      </c>
      <c r="E39" s="202" t="n"/>
      <c r="F39" s="193" t="n">
        <v>84149.67999999999</v>
      </c>
      <c r="G39" s="52">
        <f>F39/D39</f>
        <v/>
      </c>
      <c r="H39" s="125" t="n"/>
      <c r="I39" s="107">
        <f>H39*100/$E$39</f>
        <v/>
      </c>
      <c r="J39" s="108" t="n"/>
      <c r="K39" s="107">
        <f>J39*100/$E$39</f>
        <v/>
      </c>
      <c r="L39" s="108" t="n"/>
      <c r="M39" s="107">
        <f>L39*100/$E$39</f>
        <v/>
      </c>
      <c r="N39" s="108" t="n"/>
      <c r="O39" s="107">
        <f>N39*100/$E$39</f>
        <v/>
      </c>
      <c r="P39" s="108" t="n"/>
      <c r="Q39" s="122">
        <f>P39*100/$E$39</f>
        <v/>
      </c>
      <c r="R39" s="108" t="n"/>
      <c r="S39" s="122">
        <f>R39*100/$E$39</f>
        <v/>
      </c>
      <c r="T39" s="108" t="n"/>
      <c r="U39" s="107">
        <f>T39*100/$E$39</f>
        <v/>
      </c>
      <c r="V39" s="108" t="n"/>
      <c r="W39" s="107">
        <f>V39*100/$E$39</f>
        <v/>
      </c>
      <c r="X39" s="108" t="n"/>
      <c r="Y39" s="107">
        <f>X39*100/$E$39</f>
        <v/>
      </c>
      <c r="Z39" s="108" t="n"/>
      <c r="AA39" s="107">
        <f>Z39*100/$E$39</f>
        <v/>
      </c>
      <c r="AB39" s="108" t="n"/>
      <c r="AC39" s="107">
        <f>AB39*100/$E$39</f>
        <v/>
      </c>
      <c r="AD39" s="108" t="n"/>
      <c r="AE39" s="122">
        <f>AD39*100/$E$39</f>
        <v/>
      </c>
      <c r="AF39" s="108" t="n"/>
      <c r="AG39" s="122">
        <f>AF39*100/$E$39</f>
        <v/>
      </c>
      <c r="AH39" s="108" t="n"/>
      <c r="AI39" s="107">
        <f>AH39*100/$E$39</f>
        <v/>
      </c>
      <c r="AJ39" s="108" t="n"/>
      <c r="AK39" s="107">
        <f>AJ39*100/$E$39</f>
        <v/>
      </c>
      <c r="AL39" s="108" t="n"/>
      <c r="AM39" s="107">
        <f>AL39*100/$E$39</f>
        <v/>
      </c>
      <c r="AN39" s="108" t="n"/>
      <c r="AO39" s="107">
        <f>AN39*100/$E$39</f>
        <v/>
      </c>
      <c r="AP39" s="108" t="n"/>
      <c r="AQ39" s="107">
        <f>AP39*100/$E$39</f>
        <v/>
      </c>
      <c r="AR39" s="108" t="n"/>
      <c r="AS39" s="107">
        <f>AR39*100/$E$39</f>
        <v/>
      </c>
      <c r="AT39" s="108" t="n"/>
      <c r="AU39" s="90">
        <f>AT39*100/$E$39</f>
        <v/>
      </c>
      <c r="AV39" s="108" t="n"/>
      <c r="AW39" s="107">
        <f>AV39*100/$E$39</f>
        <v/>
      </c>
      <c r="AX39" s="108" t="n"/>
      <c r="AY39" s="107">
        <f>AX39*100/$E$39</f>
        <v/>
      </c>
      <c r="AZ39" s="108" t="n"/>
      <c r="BA39" s="107">
        <f>AZ39*100/$E$39</f>
        <v/>
      </c>
      <c r="BB39" s="108" t="n"/>
      <c r="BC39" s="107">
        <f>BB39*100/$E$39</f>
        <v/>
      </c>
      <c r="BD39" s="108" t="n"/>
      <c r="BE39" s="107">
        <f>BD39*100/$E$39</f>
        <v/>
      </c>
      <c r="BF39" s="108" t="n"/>
      <c r="BG39" s="107">
        <f>BF39*100/$E$39</f>
        <v/>
      </c>
      <c r="BH39" s="108" t="n"/>
      <c r="BI39" s="107">
        <f>BH39*100/$E$39</f>
        <v/>
      </c>
      <c r="BJ39" s="108" t="n"/>
      <c r="BK39" s="107">
        <f>BJ39*100/$E$39</f>
        <v/>
      </c>
      <c r="BL39" s="108" t="n"/>
      <c r="BM39" s="107">
        <f>BL39*100/$E$39</f>
        <v/>
      </c>
      <c r="BN39" s="108" t="n"/>
      <c r="BO39" s="107">
        <f>BN39*100/$E$39</f>
        <v/>
      </c>
      <c r="BP39" s="108" t="n"/>
      <c r="BQ39" s="107">
        <f>BP39*100/$E$39</f>
        <v/>
      </c>
      <c r="BR39" s="108" t="n"/>
      <c r="BS39" s="107">
        <f>BR39*100/$E$39</f>
        <v/>
      </c>
      <c r="BT39" s="108" t="n"/>
      <c r="BU39" s="107">
        <f>BT39*100/$E$39</f>
        <v/>
      </c>
      <c r="BV39" s="108" t="n"/>
      <c r="BW39" s="107">
        <f>BV39*100/$E$39</f>
        <v/>
      </c>
      <c r="BX39" s="108" t="n"/>
      <c r="BY39" s="107">
        <f>BX39*100/$E$39</f>
        <v/>
      </c>
      <c r="BZ39" s="108" t="n"/>
      <c r="CA39" s="107">
        <f>BZ39*100/$E$39</f>
        <v/>
      </c>
      <c r="CB39" s="108" t="n"/>
      <c r="CC39" s="107">
        <f>CB39*100/$E$39</f>
        <v/>
      </c>
      <c r="CD39" s="108" t="n"/>
      <c r="CE39" s="107">
        <f>CD39*100/$E$39</f>
        <v/>
      </c>
      <c r="CF39" s="108" t="n"/>
      <c r="CG39" s="107">
        <f>CF39*100/$E$39</f>
        <v/>
      </c>
      <c r="CH39" s="108" t="n"/>
      <c r="CI39" s="107">
        <f>CH39*100/$E$39</f>
        <v/>
      </c>
      <c r="CJ39" s="108" t="n"/>
      <c r="CK39" s="107">
        <f>CJ39*100/$E$39</f>
        <v/>
      </c>
      <c r="CL39" s="108" t="n"/>
      <c r="CM39" s="107">
        <f>CL39*100/$E$39</f>
        <v/>
      </c>
      <c r="CN39" s="108" t="n"/>
      <c r="CO39" s="122">
        <f>CN39*100/$E$39</f>
        <v/>
      </c>
      <c r="CP39" s="108" t="n"/>
      <c r="CQ39" s="107">
        <f>CP39*100/$E$39</f>
        <v/>
      </c>
      <c r="CR39" s="108" t="n"/>
      <c r="CS39" s="122">
        <f>CR39*100/$E$39</f>
        <v/>
      </c>
      <c r="CT39" s="108" t="n"/>
      <c r="CU39" s="122">
        <f>CT39*100/$E$39</f>
        <v/>
      </c>
      <c r="CV39" s="108" t="n"/>
      <c r="CW39" s="122">
        <f>CV39*100/$E$39</f>
        <v/>
      </c>
      <c r="CX39" s="108" t="n"/>
      <c r="CY39" s="122">
        <f>CX39*100/$E$39</f>
        <v/>
      </c>
      <c r="CZ39" s="108" t="n"/>
      <c r="DA39" s="122">
        <f>CZ39*100/$E$39</f>
        <v/>
      </c>
      <c r="DB39" s="108" t="n"/>
      <c r="DC39" s="122">
        <f>DB39*100/$E$39</f>
        <v/>
      </c>
      <c r="DD39" s="108" t="n"/>
      <c r="DE39" s="122">
        <f>DD39*100/$E$39</f>
        <v/>
      </c>
      <c r="DF39" s="108" t="n"/>
      <c r="DG39" s="122">
        <f>DF39*100/$E$39</f>
        <v/>
      </c>
      <c r="DH39" s="108" t="n"/>
      <c r="DI39" s="122">
        <f>DH39*100/$E$39</f>
        <v/>
      </c>
      <c r="DJ39" s="108" t="n"/>
      <c r="DK39" s="122">
        <f>DJ39*100/$E$39</f>
        <v/>
      </c>
      <c r="DL39" s="108" t="n"/>
      <c r="DM39" s="122">
        <f>DL39*100/$E$39</f>
        <v/>
      </c>
      <c r="DN39" s="108" t="n"/>
      <c r="DO39" s="122">
        <f>DN39*100/$E$39</f>
        <v/>
      </c>
      <c r="DP39" s="108" t="n"/>
      <c r="DQ39" s="122">
        <f>DP39*100/$E$39</f>
        <v/>
      </c>
      <c r="DR39" s="108" t="n"/>
      <c r="DS39" s="122">
        <f>DR39*100/E39</f>
        <v/>
      </c>
      <c r="DT39" s="108" t="n"/>
      <c r="DU39" s="122">
        <f>DT39*100/$E$39</f>
        <v/>
      </c>
      <c r="DV39" s="108" t="n"/>
      <c r="DW39" s="122">
        <f>DV39*100/$E$39</f>
        <v/>
      </c>
      <c r="DX39" s="108" t="n"/>
      <c r="DY39" s="122">
        <f>DX39*100/$E$39</f>
        <v/>
      </c>
      <c r="DZ39" s="108" t="n"/>
      <c r="EA39" s="122">
        <f>DZ39*100/$E$39</f>
        <v/>
      </c>
      <c r="EB39" s="108" t="n"/>
      <c r="EC39" s="122">
        <f>EB39*100/$E$39</f>
        <v/>
      </c>
      <c r="ED39" s="108" t="n"/>
      <c r="EE39" s="122">
        <f>ED39*100/$E$39</f>
        <v/>
      </c>
      <c r="EF39" s="108" t="n"/>
      <c r="EG39" s="122">
        <f>EF39*100/$E$39</f>
        <v/>
      </c>
      <c r="EH39" s="108" t="n"/>
      <c r="EI39" s="122">
        <f>EH39*100/$E$39</f>
        <v/>
      </c>
      <c r="EJ39" s="108" t="n"/>
      <c r="EK39" s="122">
        <f>EJ39*100/$E$39</f>
        <v/>
      </c>
      <c r="EL39" s="108" t="n"/>
      <c r="EM39" s="122">
        <f>EL39*100/$E$39</f>
        <v/>
      </c>
      <c r="EN39" s="108" t="n"/>
      <c r="EO39" s="122">
        <f>EN39*100/$E$39</f>
        <v/>
      </c>
      <c r="EP39" s="108" t="n"/>
      <c r="EQ39" s="122">
        <f>EP39*100/$E$39</f>
        <v/>
      </c>
      <c r="ER39" s="108" t="n"/>
      <c r="ES39" s="122">
        <f>ER39*100/$E$39</f>
        <v/>
      </c>
      <c r="ET39" s="108" t="n"/>
      <c r="EU39" s="122">
        <f>ET39*100/$E$39</f>
        <v/>
      </c>
      <c r="EV39" s="108" t="n"/>
      <c r="EW39" s="122">
        <f>EV39*100/$E$39</f>
        <v/>
      </c>
      <c r="EX39" s="108" t="n"/>
      <c r="EY39" s="122">
        <f>EX39*100/$E$39</f>
        <v/>
      </c>
      <c r="EZ39" s="108" t="n"/>
      <c r="FA39" s="122">
        <f>EZ39*100/$E$39</f>
        <v/>
      </c>
      <c r="FB39" s="108" t="n"/>
      <c r="FC39" s="122">
        <f>FB39*100/$E$39</f>
        <v/>
      </c>
      <c r="FD39" s="108" t="n"/>
      <c r="FE39" s="122">
        <f>FD39*100/$E$39</f>
        <v/>
      </c>
      <c r="FF39" s="108" t="n"/>
      <c r="FG39" s="122">
        <f>FF39*100/$E$39</f>
        <v/>
      </c>
      <c r="FH39" s="108" t="n"/>
      <c r="FI39" s="122">
        <f>FH39*100/$E$39</f>
        <v/>
      </c>
      <c r="FJ39" s="108" t="n"/>
      <c r="FK39" s="122">
        <f>FJ39*100/$E$39</f>
        <v/>
      </c>
      <c r="FL39" s="108" t="n"/>
      <c r="FM39" s="122">
        <f>FL39*100/$E$39</f>
        <v/>
      </c>
      <c r="FN39" s="108" t="n"/>
      <c r="FO39" s="122">
        <f>FN39*100/$E$39</f>
        <v/>
      </c>
      <c r="FP39" s="108" t="n"/>
      <c r="FQ39" s="122">
        <f>FP39*100/E39</f>
        <v/>
      </c>
      <c r="FR39" s="108" t="n"/>
      <c r="FS39" s="122">
        <f>FR39*100/$E$39</f>
        <v/>
      </c>
      <c r="FT39" s="108" t="n"/>
      <c r="FU39" s="122">
        <f>FT39*100/$E$39</f>
        <v/>
      </c>
      <c r="FV39" s="108" t="n"/>
      <c r="FW39" s="122">
        <f>FV39*100/$E$39</f>
        <v/>
      </c>
      <c r="FX39" s="108" t="n"/>
      <c r="FY39" s="107">
        <f>FX39*100/$E$39</f>
        <v/>
      </c>
      <c r="FZ39" s="108" t="n"/>
      <c r="GA39" s="107">
        <f>FZ39*100/$E$39</f>
        <v/>
      </c>
      <c r="GB39" s="108" t="n"/>
      <c r="GC39" s="107">
        <f>GB39*100/$E$39</f>
        <v/>
      </c>
      <c r="GD39" s="108" t="n"/>
      <c r="GE39" s="107">
        <f>GD39*100/$E$39</f>
        <v/>
      </c>
      <c r="GF39" s="108" t="n"/>
      <c r="GG39" s="107">
        <f>GF39*100/$E$39</f>
        <v/>
      </c>
      <c r="GH39" s="108" t="n"/>
      <c r="GI39" s="107">
        <f>GH39*100/$E$39</f>
        <v/>
      </c>
      <c r="GJ39" s="108" t="n"/>
      <c r="GK39" s="122">
        <f>GJ39*100/$E$39</f>
        <v/>
      </c>
      <c r="GL39" s="108" t="n"/>
      <c r="GM39" s="107">
        <f>GL39*100/$E$39</f>
        <v/>
      </c>
      <c r="GN39" s="108" t="n"/>
      <c r="GO39" s="122">
        <f>GN39*100/$E$39</f>
        <v/>
      </c>
      <c r="GP39" s="108" t="n"/>
      <c r="GQ39" s="107">
        <f>GP39*100/$E$39</f>
        <v/>
      </c>
      <c r="GR39" s="108" t="n"/>
      <c r="GS39" s="122">
        <f>GR39*100/$E$39</f>
        <v/>
      </c>
      <c r="GT39" s="108" t="n"/>
      <c r="GU39" s="122">
        <f>GT39*100/$E$39</f>
        <v/>
      </c>
      <c r="GV39" s="108" t="n"/>
      <c r="GW39" s="122">
        <f>GV39*100/$E$39</f>
        <v/>
      </c>
      <c r="GX39" s="108" t="n"/>
      <c r="GY39" s="107">
        <f>GX39*100/$E$39</f>
        <v/>
      </c>
      <c r="GZ39" s="108" t="n"/>
      <c r="HA39" s="107">
        <f>GZ39*100/$E$39</f>
        <v/>
      </c>
      <c r="HB39" s="108" t="n"/>
      <c r="HC39" s="107">
        <f>HB39*100/$E$39</f>
        <v/>
      </c>
      <c r="HD39" s="108" t="n"/>
      <c r="HE39" s="107">
        <f>HD39*100/$E$39</f>
        <v/>
      </c>
      <c r="HF39" s="108" t="n"/>
      <c r="HG39" s="107">
        <f>HF39*100/$E$39</f>
        <v/>
      </c>
      <c r="HH39" s="108" t="n"/>
      <c r="HI39" s="107">
        <f>HH39*100/$E$39</f>
        <v/>
      </c>
      <c r="HJ39" s="108" t="n"/>
      <c r="HK39" s="107">
        <f>HJ39*100/$E$39</f>
        <v/>
      </c>
      <c r="HL39" s="108" t="n"/>
      <c r="HM39" s="107">
        <f>HL39*100/$E$39</f>
        <v/>
      </c>
      <c r="HN39" s="108" t="n"/>
      <c r="HO39" s="107">
        <f>HN39*100/$E$39</f>
        <v/>
      </c>
      <c r="HP39" s="108" t="n"/>
      <c r="HQ39" s="107">
        <f>HP39*100/$E$39</f>
        <v/>
      </c>
      <c r="HR39" s="108" t="n"/>
      <c r="HS39" s="107">
        <f>HR39*100/$E$39</f>
        <v/>
      </c>
      <c r="HT39" s="108" t="n"/>
      <c r="HU39" s="107">
        <f>HT39*100/$E$39</f>
        <v/>
      </c>
      <c r="HV39" s="108" t="n"/>
      <c r="HW39" s="107">
        <f>HV39*100/$E$39</f>
        <v/>
      </c>
      <c r="HX39" s="108" t="n"/>
      <c r="HY39" s="107">
        <f>HX39*100/$E$39</f>
        <v/>
      </c>
      <c r="HZ39" s="108" t="n"/>
      <c r="IA39" s="122">
        <f>HZ39*100/$E$39</f>
        <v/>
      </c>
      <c r="IB39" s="108" t="n"/>
      <c r="IC39" s="122">
        <f>IB39*100/$E$39</f>
        <v/>
      </c>
      <c r="ID39" s="108" t="n"/>
      <c r="IE39" s="122">
        <f>ID39*100/$E$39</f>
        <v/>
      </c>
      <c r="IF39" s="108" t="n"/>
      <c r="IG39" s="122">
        <f>IF39*100/$E$39</f>
        <v/>
      </c>
      <c r="IH39" s="108" t="n"/>
      <c r="II39" s="122">
        <f>IH39*100/$E$39</f>
        <v/>
      </c>
      <c r="IJ39" s="108" t="n"/>
      <c r="IK39" s="122">
        <f>IJ39*100/$E$39</f>
        <v/>
      </c>
      <c r="IL39" s="108" t="n"/>
      <c r="IM39" s="107">
        <f>IL39*100/$E$39</f>
        <v/>
      </c>
      <c r="IN39" s="108" t="n"/>
      <c r="IO39" s="107">
        <f>IN39*100/$E$39</f>
        <v/>
      </c>
      <c r="IP39" s="108" t="n"/>
      <c r="IQ39" s="122">
        <f>IP39*100/$E$39</f>
        <v/>
      </c>
      <c r="IR39" s="108" t="n"/>
      <c r="IS39" s="122">
        <f>IR39*100/$E$39</f>
        <v/>
      </c>
      <c r="IT39" s="108" t="n"/>
      <c r="IU39" s="122">
        <f>IT39*100/$E$39</f>
        <v/>
      </c>
      <c r="IV39" s="108" t="n"/>
      <c r="IW39" s="122">
        <f>IV39*100/$E$39</f>
        <v/>
      </c>
      <c r="IX39" s="108" t="n"/>
      <c r="IY39" s="122">
        <f>IX39*100/$E$39</f>
        <v/>
      </c>
      <c r="IZ39" s="108" t="n"/>
      <c r="JA39" s="122">
        <f>IZ39*100/$E$39</f>
        <v/>
      </c>
      <c r="JB39" s="108" t="n"/>
      <c r="JC39" s="122">
        <f>JB39*100/$E$39</f>
        <v/>
      </c>
      <c r="JD39" s="108" t="n"/>
      <c r="JE39" s="122">
        <f>JD39*100/$E$39</f>
        <v/>
      </c>
      <c r="JF39" s="108" t="n"/>
      <c r="JG39" s="122">
        <f>JF39*100/$E$39</f>
        <v/>
      </c>
      <c r="JH39" s="108" t="n"/>
      <c r="JI39" s="122">
        <f>JH39*100/$E$39</f>
        <v/>
      </c>
      <c r="JJ39" s="108" t="n"/>
      <c r="JK39" s="122">
        <f>JJ39*100/$E$39</f>
        <v/>
      </c>
      <c r="JL39" s="108" t="n"/>
      <c r="JM39" s="122">
        <f>JL39*100/$E$39</f>
        <v/>
      </c>
      <c r="JN39" s="108" t="n"/>
      <c r="JO39" s="121">
        <f>JN39*100/$E$39</f>
        <v/>
      </c>
      <c r="JP39" s="108" t="n"/>
      <c r="JQ39" s="121">
        <f>JP39*100/$E$39</f>
        <v/>
      </c>
      <c r="JR39" s="108" t="n"/>
      <c r="JS39" s="121">
        <f>JR39*100/$E$39</f>
        <v/>
      </c>
      <c r="JT39" s="108" t="n"/>
      <c r="JU39" s="121">
        <f>JT39*100/$E$39</f>
        <v/>
      </c>
      <c r="JV39" s="108" t="n"/>
      <c r="JW39" s="121">
        <f>JV39*100/$E$39</f>
        <v/>
      </c>
      <c r="JX39" s="108" t="n"/>
      <c r="JY39" s="121">
        <f>JX39*100/$E$39</f>
        <v/>
      </c>
      <c r="JZ39" s="55">
        <f>JN39+JP39+JR39+JT39+JV39+JX39</f>
        <v/>
      </c>
      <c r="KA39" s="53">
        <f>JO39+JQ39+JS39+JU39+JW39+JY39</f>
        <v/>
      </c>
      <c r="KB39" s="64">
        <f>H39+J39+L39+N39+P39+R39+T39+V39+X39+Z39+AB39+AD39+AF39+AH39+AJ39+AL39+AN39+AP39+AR39+AT39+AV39+AX39+AZ39+BB39+BD39+BF39+BH39+BJ39+BL39+BN39+BP39+BR39+BT39+BV39+BX39+BZ39+CB39+CD39+CF39+CH39+CZ39+DB39+DD39+DF39+DH39+DJ39+DL39+DN39+DP39+DR39+DT39+DV39+DX39+DZ39+EB39+ED39+EF39+EH39+EJ39+EL39+EN39+EP39+ER39+ET39+EV39+FN39+FP39+FR39+FT39+FV39+FX39+FZ39+GB39+GD39+GF39+GH39+GJ39+GL39+GN39+GP39+GR39+GT39+GV39+GX39+GZ39+HB39+HD39+HF39+HH39+HJ39+HL39+HN39+HP39+HR39+HT39+HV39+HX39+HZ39+IB39+ID39+IF39+IH39+IJ39+IL39+IN39+IP39+IR39+IT39+IV39+IX39+IZ39+JB39+JD39+JF39+JH39+JJ39+JL39+JZ39+CJ39+CL39+CN39+CP39+CR39+CT39+CV39+CX39+EX39+EZ39+FB39+FD39+FF39+FH39+FJ39+FL39</f>
        <v/>
      </c>
      <c r="KC39" s="66">
        <f>I39+K39+M39+O39+Q39+S39+U39+W39+Y39+AA39+AC39+AE39+AG39+AI39+AK39+AM39+AO39+AQ39+AS39+AU39+AW39+AY39+BA39+BC39+BE39+BG39+BI39+BK39+BM39+BO39+BQ39+BS39+BU39+BW39+BY39+CA39+CC39+CE39+CG39+CI39+DA39+DC39+DE39+DG39+DI39+DK39+DM39+DO39+DQ39+DS39+DU39+DW39+DY39+EA39+EC39+EE39+EG39+EI39+EK39+EM39+EO39+EQ39+ES39+EU39+EW39+FO39+FS39+FU39+FW39+FQ39+FY39+GA39+GC39+GE39+GG39+GI39+GK39+GM39+GO39+GQ39+GS39+GU39+GW39+GY39+HA39+HC39+HE39+HG39+HI39+HK39+HM39+HO39+HQ39+HS39+HU39+HW39+HY39+IA39+IC39+IE39+IG39+II39+IK39+IM39+IO39+IQ39+IS39+IU39+IW39+IY39+JA39+JC39+JE39+JG39+JI39+JK39+JM39+KA39+CK39+CM39+CO39+CQ39+CS39+CU39+CW39+CY39+EY39+FA39+FC39+FE39+FG39+FI39+FK39+FM39</f>
        <v/>
      </c>
      <c r="KD39" s="44">
        <f>JO39+JQ39+JS39+JU39+JW39+JY39</f>
        <v/>
      </c>
      <c r="KE39" s="45">
        <f>KB39=E39</f>
        <v/>
      </c>
      <c r="KF39" s="101">
        <f>E39-KB39</f>
        <v/>
      </c>
      <c r="KG39" s="15" t="n"/>
    </row>
    <row r="40" ht="21.75" customFormat="1" customHeight="1" s="25">
      <c r="A40" s="126">
        <f>A39+1</f>
        <v/>
      </c>
      <c r="B40" s="175" t="inlineStr">
        <is>
          <t>Селивановский А.К.</t>
        </is>
      </c>
      <c r="C40" s="194" t="inlineStr">
        <is>
          <t>токарь-расточник</t>
        </is>
      </c>
      <c r="D40" s="177">
        <f>$D$5</f>
        <v/>
      </c>
      <c r="E40" s="202" t="n"/>
      <c r="F40" s="193" t="n">
        <v>101150.45</v>
      </c>
      <c r="G40" s="52">
        <f>F40/D40</f>
        <v/>
      </c>
      <c r="H40" s="125" t="n"/>
      <c r="I40" s="107">
        <f>H40*100/$E$40</f>
        <v/>
      </c>
      <c r="J40" s="108" t="n"/>
      <c r="K40" s="107">
        <f>J40*100/$E$40</f>
        <v/>
      </c>
      <c r="L40" s="108" t="n"/>
      <c r="M40" s="107">
        <f>L40*100/$E$40</f>
        <v/>
      </c>
      <c r="N40" s="108" t="n"/>
      <c r="O40" s="107">
        <f>N40*100/$E$40</f>
        <v/>
      </c>
      <c r="P40" s="108" t="n"/>
      <c r="Q40" s="122">
        <f>P40*100/$E$40</f>
        <v/>
      </c>
      <c r="R40" s="108" t="n"/>
      <c r="S40" s="122">
        <f>R40*100/$E$40</f>
        <v/>
      </c>
      <c r="T40" s="108" t="n"/>
      <c r="U40" s="107">
        <f>T40*100/$E$40</f>
        <v/>
      </c>
      <c r="V40" s="108" t="n"/>
      <c r="W40" s="107">
        <f>V40*100/$E$40</f>
        <v/>
      </c>
      <c r="X40" s="108" t="n"/>
      <c r="Y40" s="107">
        <f>X40*100/$E$40</f>
        <v/>
      </c>
      <c r="Z40" s="108" t="n"/>
      <c r="AA40" s="107">
        <f>Z40*100/$E$40</f>
        <v/>
      </c>
      <c r="AB40" s="108" t="n"/>
      <c r="AC40" s="107">
        <f>AB40*100/$E$40</f>
        <v/>
      </c>
      <c r="AD40" s="108" t="n"/>
      <c r="AE40" s="122">
        <f>AD40*100/$E$40</f>
        <v/>
      </c>
      <c r="AF40" s="108" t="n"/>
      <c r="AG40" s="122">
        <f>AF40*100/$E$40</f>
        <v/>
      </c>
      <c r="AH40" s="108" t="n"/>
      <c r="AI40" s="107">
        <f>AH40*100/$E$40</f>
        <v/>
      </c>
      <c r="AJ40" s="108" t="n"/>
      <c r="AK40" s="107">
        <f>AJ40*100/$E$40</f>
        <v/>
      </c>
      <c r="AL40" s="108" t="n"/>
      <c r="AM40" s="107">
        <f>AL40*100/$E$40</f>
        <v/>
      </c>
      <c r="AN40" s="108" t="n"/>
      <c r="AO40" s="107">
        <f>AN40*100/$E$40</f>
        <v/>
      </c>
      <c r="AP40" s="108" t="n"/>
      <c r="AQ40" s="107">
        <f>AP40*100/$E$40</f>
        <v/>
      </c>
      <c r="AR40" s="108" t="n"/>
      <c r="AS40" s="107">
        <f>AR40*100/$E$40</f>
        <v/>
      </c>
      <c r="AT40" s="108" t="n"/>
      <c r="AU40" s="90">
        <f>AT40*100/$E$40</f>
        <v/>
      </c>
      <c r="AV40" s="108" t="n"/>
      <c r="AW40" s="107">
        <f>AV40*100/$E$40</f>
        <v/>
      </c>
      <c r="AX40" s="108" t="n"/>
      <c r="AY40" s="107">
        <f>AX40*100/$E$40</f>
        <v/>
      </c>
      <c r="AZ40" s="108" t="n"/>
      <c r="BA40" s="107">
        <f>AZ40*100/$E$40</f>
        <v/>
      </c>
      <c r="BB40" s="108" t="n"/>
      <c r="BC40" s="107">
        <f>BB40*100/$E$40</f>
        <v/>
      </c>
      <c r="BD40" s="108" t="n"/>
      <c r="BE40" s="107">
        <f>BD40*100/$E$40</f>
        <v/>
      </c>
      <c r="BF40" s="108" t="n"/>
      <c r="BG40" s="107">
        <f>BF40*100/$E$40</f>
        <v/>
      </c>
      <c r="BH40" s="108" t="n"/>
      <c r="BI40" s="107">
        <f>BH40*100/$E$40</f>
        <v/>
      </c>
      <c r="BJ40" s="108" t="n"/>
      <c r="BK40" s="107">
        <f>BJ40*100/$E$40</f>
        <v/>
      </c>
      <c r="BL40" s="108" t="n"/>
      <c r="BM40" s="107">
        <f>BL40*100/$E$40</f>
        <v/>
      </c>
      <c r="BN40" s="108" t="n"/>
      <c r="BO40" s="107">
        <f>BN40*100/$E$40</f>
        <v/>
      </c>
      <c r="BP40" s="108" t="n"/>
      <c r="BQ40" s="107">
        <f>BP40*100/$E$40</f>
        <v/>
      </c>
      <c r="BR40" s="108" t="n"/>
      <c r="BS40" s="107">
        <f>BR40*100/$E$40</f>
        <v/>
      </c>
      <c r="BT40" s="108" t="n"/>
      <c r="BU40" s="107">
        <f>BT40*100/$E$40</f>
        <v/>
      </c>
      <c r="BV40" s="108" t="n"/>
      <c r="BW40" s="107">
        <f>BV40*100/$E$40</f>
        <v/>
      </c>
      <c r="BX40" s="108" t="n"/>
      <c r="BY40" s="107">
        <f>BX40*100/$E$40</f>
        <v/>
      </c>
      <c r="BZ40" s="108" t="n"/>
      <c r="CA40" s="107">
        <f>BZ40*100/$E$40</f>
        <v/>
      </c>
      <c r="CB40" s="108" t="n"/>
      <c r="CC40" s="107">
        <f>CB40*100/$E$40</f>
        <v/>
      </c>
      <c r="CD40" s="108" t="n"/>
      <c r="CE40" s="107">
        <f>CD40*100/$E$40</f>
        <v/>
      </c>
      <c r="CF40" s="108" t="n"/>
      <c r="CG40" s="107">
        <f>CF40*100/$E$40</f>
        <v/>
      </c>
      <c r="CH40" s="108" t="n"/>
      <c r="CI40" s="107">
        <f>CH40*100/$E$40</f>
        <v/>
      </c>
      <c r="CJ40" s="108" t="n"/>
      <c r="CK40" s="107">
        <f>CJ40*100/$E$40</f>
        <v/>
      </c>
      <c r="CL40" s="108" t="n"/>
      <c r="CM40" s="107">
        <f>CL40*100/$E$40</f>
        <v/>
      </c>
      <c r="CN40" s="108" t="n"/>
      <c r="CO40" s="122">
        <f>CN40*100/$E$40</f>
        <v/>
      </c>
      <c r="CP40" s="108" t="n"/>
      <c r="CQ40" s="107">
        <f>CP40*100/$E$40</f>
        <v/>
      </c>
      <c r="CR40" s="108" t="n"/>
      <c r="CS40" s="122">
        <f>CR40*100/$E$40</f>
        <v/>
      </c>
      <c r="CT40" s="108" t="n"/>
      <c r="CU40" s="122">
        <f>CT40*100/$E$40</f>
        <v/>
      </c>
      <c r="CV40" s="108" t="n"/>
      <c r="CW40" s="122">
        <f>CV40*100/$E$40</f>
        <v/>
      </c>
      <c r="CX40" s="108" t="n"/>
      <c r="CY40" s="122">
        <f>CX40*100/$E$40</f>
        <v/>
      </c>
      <c r="CZ40" s="108" t="n"/>
      <c r="DA40" s="122">
        <f>CZ40*100/$E$40</f>
        <v/>
      </c>
      <c r="DB40" s="108" t="n"/>
      <c r="DC40" s="122">
        <f>DB40*100/$E$40</f>
        <v/>
      </c>
      <c r="DD40" s="108" t="n"/>
      <c r="DE40" s="122">
        <f>DD40*100/$E$40</f>
        <v/>
      </c>
      <c r="DF40" s="108" t="n"/>
      <c r="DG40" s="122">
        <f>DF40*100/$E$40</f>
        <v/>
      </c>
      <c r="DH40" s="108" t="n"/>
      <c r="DI40" s="122">
        <f>DH40*100/$E$40</f>
        <v/>
      </c>
      <c r="DJ40" s="108" t="n"/>
      <c r="DK40" s="122">
        <f>DJ40*100/$E$40</f>
        <v/>
      </c>
      <c r="DL40" s="108" t="n"/>
      <c r="DM40" s="122">
        <f>DL40*100/$E$40</f>
        <v/>
      </c>
      <c r="DN40" s="108" t="n"/>
      <c r="DO40" s="122">
        <f>DN40*100/$E$40</f>
        <v/>
      </c>
      <c r="DP40" s="108" t="n"/>
      <c r="DQ40" s="122">
        <f>DP40*100/$E$40</f>
        <v/>
      </c>
      <c r="DR40" s="108" t="n"/>
      <c r="DS40" s="122">
        <f>DR40*100/$E$40</f>
        <v/>
      </c>
      <c r="DT40" s="108" t="n"/>
      <c r="DU40" s="122">
        <f>DT40*100/$E$40</f>
        <v/>
      </c>
      <c r="DV40" s="108" t="n"/>
      <c r="DW40" s="122">
        <f>DV40*100/$E$40</f>
        <v/>
      </c>
      <c r="DX40" s="108" t="n"/>
      <c r="DY40" s="122">
        <f>DX40*100/$E$40</f>
        <v/>
      </c>
      <c r="DZ40" s="108" t="n"/>
      <c r="EA40" s="122">
        <f>DZ40*100/$E$40</f>
        <v/>
      </c>
      <c r="EB40" s="108" t="n"/>
      <c r="EC40" s="122">
        <f>EB40*100/$E$40</f>
        <v/>
      </c>
      <c r="ED40" s="108" t="n"/>
      <c r="EE40" s="122">
        <f>ED40*100/$E$40</f>
        <v/>
      </c>
      <c r="EF40" s="108" t="n"/>
      <c r="EG40" s="122">
        <f>EF40*100/$E$40</f>
        <v/>
      </c>
      <c r="EH40" s="108" t="n"/>
      <c r="EI40" s="122">
        <f>EH40*100/$E$40</f>
        <v/>
      </c>
      <c r="EJ40" s="108" t="n"/>
      <c r="EK40" s="122">
        <f>EJ40*100/$E$40</f>
        <v/>
      </c>
      <c r="EL40" s="108" t="n"/>
      <c r="EM40" s="122">
        <f>EL40*100/$E$40</f>
        <v/>
      </c>
      <c r="EN40" s="108" t="n"/>
      <c r="EO40" s="122">
        <f>EN40*100/$E$40</f>
        <v/>
      </c>
      <c r="EP40" s="108" t="n"/>
      <c r="EQ40" s="122">
        <f>EP40*100/$E$40</f>
        <v/>
      </c>
      <c r="ER40" s="108" t="n"/>
      <c r="ES40" s="122">
        <f>ER40*100/$E$40</f>
        <v/>
      </c>
      <c r="ET40" s="108" t="n"/>
      <c r="EU40" s="122">
        <f>ET40*100/$E$40</f>
        <v/>
      </c>
      <c r="EV40" s="108" t="n"/>
      <c r="EW40" s="122">
        <f>EV40*100/$E$40</f>
        <v/>
      </c>
      <c r="EX40" s="108" t="n"/>
      <c r="EY40" s="122">
        <f>EX40*100/$E$40</f>
        <v/>
      </c>
      <c r="EZ40" s="108" t="n"/>
      <c r="FA40" s="122">
        <f>EZ40*100/$E$40</f>
        <v/>
      </c>
      <c r="FB40" s="108" t="n"/>
      <c r="FC40" s="122">
        <f>FB40*100/$E$40</f>
        <v/>
      </c>
      <c r="FD40" s="108" t="n"/>
      <c r="FE40" s="122">
        <f>FD40*100/$E$40</f>
        <v/>
      </c>
      <c r="FF40" s="108" t="n"/>
      <c r="FG40" s="122">
        <f>FF40*100/$E$40</f>
        <v/>
      </c>
      <c r="FH40" s="108" t="n"/>
      <c r="FI40" s="122">
        <f>FH40*100/$E$40</f>
        <v/>
      </c>
      <c r="FJ40" s="108" t="n"/>
      <c r="FK40" s="122">
        <f>FJ40*100/$E$40</f>
        <v/>
      </c>
      <c r="FL40" s="108" t="n"/>
      <c r="FM40" s="122">
        <f>FL40*100/$E$40</f>
        <v/>
      </c>
      <c r="FN40" s="108" t="n"/>
      <c r="FO40" s="122">
        <f>FN40*100/$E$40</f>
        <v/>
      </c>
      <c r="FP40" s="108" t="n"/>
      <c r="FQ40" s="122">
        <f>FP40*100/$E$40</f>
        <v/>
      </c>
      <c r="FR40" s="108" t="n"/>
      <c r="FS40" s="122">
        <f>FR40*100/$E$40</f>
        <v/>
      </c>
      <c r="FT40" s="108" t="n"/>
      <c r="FU40" s="122">
        <f>FT40*100/$E$40</f>
        <v/>
      </c>
      <c r="FV40" s="108" t="n"/>
      <c r="FW40" s="122">
        <f>FV40*100/$E$40</f>
        <v/>
      </c>
      <c r="FX40" s="108" t="n"/>
      <c r="FY40" s="107">
        <f>FX40*100/$E$40</f>
        <v/>
      </c>
      <c r="FZ40" s="108" t="n"/>
      <c r="GA40" s="107">
        <f>FZ40*100/$E$40</f>
        <v/>
      </c>
      <c r="GB40" s="108" t="n"/>
      <c r="GC40" s="107">
        <f>GB40*100/$E$40</f>
        <v/>
      </c>
      <c r="GD40" s="108" t="n"/>
      <c r="GE40" s="107">
        <f>GD40*100/$E$40</f>
        <v/>
      </c>
      <c r="GF40" s="108" t="n"/>
      <c r="GG40" s="107">
        <f>GF40*100/$E$40</f>
        <v/>
      </c>
      <c r="GH40" s="108" t="n"/>
      <c r="GI40" s="107">
        <f>GH40*100/$E$40</f>
        <v/>
      </c>
      <c r="GJ40" s="108" t="n"/>
      <c r="GK40" s="122">
        <f>GJ40*100/$E$40</f>
        <v/>
      </c>
      <c r="GL40" s="108" t="n"/>
      <c r="GM40" s="107">
        <f>GL40*100/$E$40</f>
        <v/>
      </c>
      <c r="GN40" s="108" t="n"/>
      <c r="GO40" s="122">
        <f>GN40*100/$E$40</f>
        <v/>
      </c>
      <c r="GP40" s="108" t="n"/>
      <c r="GQ40" s="107">
        <f>GP40*100/$E$40</f>
        <v/>
      </c>
      <c r="GR40" s="108" t="n"/>
      <c r="GS40" s="122">
        <f>GR40*100/$E$40</f>
        <v/>
      </c>
      <c r="GT40" s="108" t="n"/>
      <c r="GU40" s="122">
        <f>GT40*100/$E$40</f>
        <v/>
      </c>
      <c r="GV40" s="108" t="n"/>
      <c r="GW40" s="122">
        <f>GV40*100/$E$40</f>
        <v/>
      </c>
      <c r="GX40" s="108" t="n"/>
      <c r="GY40" s="107">
        <f>GX40*100/$E$40</f>
        <v/>
      </c>
      <c r="GZ40" s="108" t="n"/>
      <c r="HA40" s="107">
        <f>GZ40*100/$E$40</f>
        <v/>
      </c>
      <c r="HB40" s="108" t="n"/>
      <c r="HC40" s="107">
        <f>HB40*100/$E$40</f>
        <v/>
      </c>
      <c r="HD40" s="108" t="n"/>
      <c r="HE40" s="107">
        <f>HD40*100/$E$40</f>
        <v/>
      </c>
      <c r="HF40" s="108" t="n"/>
      <c r="HG40" s="107">
        <f>HF40*100/$E$40</f>
        <v/>
      </c>
      <c r="HH40" s="108" t="n"/>
      <c r="HI40" s="107">
        <f>HH40*100/$E$40</f>
        <v/>
      </c>
      <c r="HJ40" s="108" t="n"/>
      <c r="HK40" s="107">
        <f>HJ40*100/$E$40</f>
        <v/>
      </c>
      <c r="HL40" s="108" t="n"/>
      <c r="HM40" s="107">
        <f>HL40*100/$E$40</f>
        <v/>
      </c>
      <c r="HN40" s="108" t="n"/>
      <c r="HO40" s="107">
        <f>HN40*100/$E$40</f>
        <v/>
      </c>
      <c r="HP40" s="108" t="n"/>
      <c r="HQ40" s="107">
        <f>HP40*100/$E$40</f>
        <v/>
      </c>
      <c r="HR40" s="108" t="n"/>
      <c r="HS40" s="107">
        <f>HR40*100/$E$40</f>
        <v/>
      </c>
      <c r="HT40" s="108" t="n"/>
      <c r="HU40" s="107">
        <f>HT40*100/$E$40</f>
        <v/>
      </c>
      <c r="HV40" s="108" t="n"/>
      <c r="HW40" s="107">
        <f>HV40*100/$E$40</f>
        <v/>
      </c>
      <c r="HX40" s="108" t="n"/>
      <c r="HY40" s="107">
        <f>HX40*100/$E$40</f>
        <v/>
      </c>
      <c r="HZ40" s="108" t="n"/>
      <c r="IA40" s="122">
        <f>HZ40*100/$E$40</f>
        <v/>
      </c>
      <c r="IB40" s="108" t="n"/>
      <c r="IC40" s="122">
        <f>IB40*100/$E$40</f>
        <v/>
      </c>
      <c r="ID40" s="108" t="n"/>
      <c r="IE40" s="122">
        <f>ID40*100/$E$40</f>
        <v/>
      </c>
      <c r="IF40" s="108" t="n"/>
      <c r="IG40" s="122">
        <f>IF40*100/$E$40</f>
        <v/>
      </c>
      <c r="IH40" s="108" t="n"/>
      <c r="II40" s="122">
        <f>IH40*100/$E$40</f>
        <v/>
      </c>
      <c r="IJ40" s="108" t="n"/>
      <c r="IK40" s="122">
        <f>IJ40*100/$E$40</f>
        <v/>
      </c>
      <c r="IL40" s="108" t="n"/>
      <c r="IM40" s="107">
        <f>IL40*100/$E$40</f>
        <v/>
      </c>
      <c r="IN40" s="108" t="n"/>
      <c r="IO40" s="107">
        <f>IN40*100/$E$40</f>
        <v/>
      </c>
      <c r="IP40" s="108" t="n"/>
      <c r="IQ40" s="122">
        <f>IP40*100/$E$40</f>
        <v/>
      </c>
      <c r="IR40" s="108" t="n"/>
      <c r="IS40" s="122">
        <f>IR40*100/$E$40</f>
        <v/>
      </c>
      <c r="IT40" s="108" t="n"/>
      <c r="IU40" s="122">
        <f>IT40*100/$E$40</f>
        <v/>
      </c>
      <c r="IV40" s="108" t="n"/>
      <c r="IW40" s="122">
        <f>IV40*100/$E$40</f>
        <v/>
      </c>
      <c r="IX40" s="108" t="n"/>
      <c r="IY40" s="122">
        <f>IX40*100/$E$40</f>
        <v/>
      </c>
      <c r="IZ40" s="108" t="n"/>
      <c r="JA40" s="122">
        <f>IZ40*100/$E$40</f>
        <v/>
      </c>
      <c r="JB40" s="108" t="n"/>
      <c r="JC40" s="122">
        <f>JB40*100/$E$40</f>
        <v/>
      </c>
      <c r="JD40" s="108" t="n"/>
      <c r="JE40" s="122">
        <f>JD40*100/$E$40</f>
        <v/>
      </c>
      <c r="JF40" s="108" t="n"/>
      <c r="JG40" s="122">
        <f>JF40*100/$E$40</f>
        <v/>
      </c>
      <c r="JH40" s="108" t="n"/>
      <c r="JI40" s="122">
        <f>JH40*100/$E$40</f>
        <v/>
      </c>
      <c r="JJ40" s="108" t="n"/>
      <c r="JK40" s="122">
        <f>JJ40*100/$E$40</f>
        <v/>
      </c>
      <c r="JL40" s="108" t="n"/>
      <c r="JM40" s="122">
        <f>JL40*100/$E$40</f>
        <v/>
      </c>
      <c r="JN40" s="108" t="n"/>
      <c r="JO40" s="121">
        <f>JN40*100/$E$40</f>
        <v/>
      </c>
      <c r="JP40" s="108" t="n"/>
      <c r="JQ40" s="121">
        <f>JP40*100/$E$40</f>
        <v/>
      </c>
      <c r="JR40" s="108" t="n"/>
      <c r="JS40" s="121">
        <f>JR40*100/$E$40</f>
        <v/>
      </c>
      <c r="JT40" s="108" t="n"/>
      <c r="JU40" s="121">
        <f>JT40*100/$E$40</f>
        <v/>
      </c>
      <c r="JV40" s="108" t="n"/>
      <c r="JW40" s="121">
        <f>JV40*100/$E$40</f>
        <v/>
      </c>
      <c r="JX40" s="108" t="n"/>
      <c r="JY40" s="121">
        <f>JX40*100/$E$40</f>
        <v/>
      </c>
      <c r="JZ40" s="55">
        <f>JN40+JP40+JR40+JT40+JV40+JX40</f>
        <v/>
      </c>
      <c r="KA40" s="53">
        <f>JO40+JQ40+JS40+JU40+JW40+JY40</f>
        <v/>
      </c>
      <c r="KB40" s="64">
        <f>H40+J40+L40+N40+P40+R40+T40+V40+X40+Z40+AB40+AD40+AF40+AH40+AJ40+AL40+AN40+AP40+AR40+AT40+AV40+AX40+AZ40+BB40+BD40+BF40+BH40+BJ40+BL40+BN40+BP40+BR40+BT40+BV40+BX40+BZ40+CB40+CD40+CF40+CH40+CZ40+DB40+DD40+DF40+DH40+DJ40+DL40+DN40+DP40+DR40+DT40+DV40+DX40+DZ40+EB40+ED40+EF40+EH40+EJ40+EL40+EN40+EP40+ER40+ET40+EV40+FN40+FP40+FR40+FT40+FV40+FX40+FZ40+GB40+GD40+GF40+GH40+GJ40+GL40+GN40+GP40+GR40+GT40+GV40+GX40+GZ40+HB40+HD40+HF40+HH40+HJ40+HL40+HN40+HP40+HR40+HT40+HV40+HX40+HZ40+IB40+ID40+IF40+IH40+IJ40+IL40+IN40+IP40+IR40+IT40+IV40+IX40+IZ40+JB40+JD40+JF40+JH40+JJ40+JL40+JZ40+CJ40+CL40+CN40+CP40+CR40+CT40+CV40+CX40+EX40+EZ40+FB40+FD40+FF40+FH40+FJ40+FL40</f>
        <v/>
      </c>
      <c r="KC40" s="66">
        <f>I40+K40+M40+O40+Q40+S40+U40+W40+Y40+AA40+AC40+AE40+AG40+AI40+AK40+AM40+AO40+AQ40+AS40+AU40+AW40+AY40+BA40+BC40+BE40+BG40+BI40+BK40+BM40+BO40+BQ40+BS40+BU40+BW40+BY40+CA40+CC40+CE40+CG40+CI40+DA40+DC40+DE40+DG40+DI40+DK40+DM40+DO40+DQ40+DS40+DU40+DW40+DY40+EA40+EC40+EE40+EG40+EI40+EK40+EM40+EO40+EQ40+ES40+EU40+EW40+FO40+FS40+FU40+FW40+FQ40+FY40+GA40+GC40+GE40+GG40+GI40+GK40+GM40+GO40+GQ40+GS40+GU40+GW40+GY40+HA40+HC40+HE40+HG40+HI40+HK40+HM40+HO40+HQ40+HS40+HU40+HW40+HY40+IA40+IC40+IE40+IG40+II40+IK40+IM40+IO40+IQ40+IS40+IU40+IW40+IY40+JA40+JC40+JE40+JG40+JI40+JK40+JM40+KA40+CK40+CM40+CO40+CQ40+CS40+CU40+CW40+CY40+EY40+FA40+FC40+FE40+FG40+FI40+FK40+FM40</f>
        <v/>
      </c>
      <c r="KD40" s="44">
        <f>JO40+JQ40+JS40+JU40+JW40+JY40</f>
        <v/>
      </c>
      <c r="KE40" s="45">
        <f>KB40=E40</f>
        <v/>
      </c>
      <c r="KF40" s="101">
        <f>E40-KB40</f>
        <v/>
      </c>
      <c r="KG40" s="17" t="n"/>
    </row>
    <row r="41" ht="21.75" customFormat="1" customHeight="1" s="17">
      <c r="A41" s="126">
        <f>A40+1</f>
        <v/>
      </c>
      <c r="B41" s="175" t="inlineStr">
        <is>
          <t>Серебреннников Е.В.</t>
        </is>
      </c>
      <c r="C41" s="176" t="inlineStr">
        <is>
          <t>слесарь МСР</t>
        </is>
      </c>
      <c r="D41" s="177">
        <f>$D$5</f>
        <v/>
      </c>
      <c r="E41" s="202" t="n"/>
      <c r="F41" s="193" t="n">
        <v>55770</v>
      </c>
      <c r="G41" s="52">
        <f>F41/D41</f>
        <v/>
      </c>
      <c r="H41" s="125" t="n"/>
      <c r="I41" s="107">
        <f>H41*100/$E$41</f>
        <v/>
      </c>
      <c r="J41" s="108" t="n"/>
      <c r="K41" s="107">
        <f>J41*100/$E$41</f>
        <v/>
      </c>
      <c r="L41" s="108" t="n"/>
      <c r="M41" s="107">
        <f>L41*100/$E$41</f>
        <v/>
      </c>
      <c r="N41" s="108" t="n"/>
      <c r="O41" s="107">
        <f>N41*100/$E$41</f>
        <v/>
      </c>
      <c r="P41" s="108" t="n"/>
      <c r="Q41" s="122">
        <f>P41*100/$E$41</f>
        <v/>
      </c>
      <c r="R41" s="108" t="n"/>
      <c r="S41" s="122">
        <f>R41*100/$E$41</f>
        <v/>
      </c>
      <c r="T41" s="108" t="n"/>
      <c r="U41" s="107">
        <f>T41*100/$E$41</f>
        <v/>
      </c>
      <c r="V41" s="108" t="n"/>
      <c r="W41" s="107">
        <f>V41*100/$E$41</f>
        <v/>
      </c>
      <c r="X41" s="108" t="n"/>
      <c r="Y41" s="107">
        <f>X41*100/$E$41</f>
        <v/>
      </c>
      <c r="Z41" s="108" t="n"/>
      <c r="AA41" s="107">
        <f>Z41*100/$E$41</f>
        <v/>
      </c>
      <c r="AB41" s="108" t="n"/>
      <c r="AC41" s="107">
        <f>AB41*100/$E$41</f>
        <v/>
      </c>
      <c r="AD41" s="108" t="n"/>
      <c r="AE41" s="122">
        <f>AD41*100/$E$41</f>
        <v/>
      </c>
      <c r="AF41" s="108" t="n"/>
      <c r="AG41" s="122">
        <f>AF41*100/$E$41</f>
        <v/>
      </c>
      <c r="AH41" s="108" t="n"/>
      <c r="AI41" s="107">
        <f>AH41*100/$E$41</f>
        <v/>
      </c>
      <c r="AJ41" s="108" t="n"/>
      <c r="AK41" s="107">
        <f>AJ41*100/$E$41</f>
        <v/>
      </c>
      <c r="AL41" s="108" t="n"/>
      <c r="AM41" s="107">
        <f>AL41*100/$E$41</f>
        <v/>
      </c>
      <c r="AN41" s="108" t="n"/>
      <c r="AO41" s="107">
        <f>AN41*100/$E$41</f>
        <v/>
      </c>
      <c r="AP41" s="108" t="n"/>
      <c r="AQ41" s="107">
        <f>AP41*100/$E$41</f>
        <v/>
      </c>
      <c r="AR41" s="108" t="n"/>
      <c r="AS41" s="107">
        <f>AR41*100/$E$41</f>
        <v/>
      </c>
      <c r="AT41" s="108" t="n"/>
      <c r="AU41" s="90">
        <f>AT41*100/$E$41</f>
        <v/>
      </c>
      <c r="AV41" s="108" t="n"/>
      <c r="AW41" s="107">
        <f>AV41*100/$E$41</f>
        <v/>
      </c>
      <c r="AX41" s="108" t="n"/>
      <c r="AY41" s="107">
        <f>AX41*100/$E$41</f>
        <v/>
      </c>
      <c r="AZ41" s="108" t="n"/>
      <c r="BA41" s="107">
        <f>AZ41*100/$E$41</f>
        <v/>
      </c>
      <c r="BB41" s="108" t="n"/>
      <c r="BC41" s="107">
        <f>BB41*100/$E$41</f>
        <v/>
      </c>
      <c r="BD41" s="108" t="n"/>
      <c r="BE41" s="107">
        <f>BD41*100/$E$41</f>
        <v/>
      </c>
      <c r="BF41" s="108" t="n"/>
      <c r="BG41" s="107">
        <f>BF41*100/$E$41</f>
        <v/>
      </c>
      <c r="BH41" s="108" t="n"/>
      <c r="BI41" s="107">
        <f>BH41*100/$E$41</f>
        <v/>
      </c>
      <c r="BJ41" s="108" t="n"/>
      <c r="BK41" s="107">
        <f>BJ41*100/$E$41</f>
        <v/>
      </c>
      <c r="BL41" s="108" t="n"/>
      <c r="BM41" s="107">
        <f>BL41*100/$E$41</f>
        <v/>
      </c>
      <c r="BN41" s="108" t="n"/>
      <c r="BO41" s="107">
        <f>BN41*100/$E$41</f>
        <v/>
      </c>
      <c r="BP41" s="108" t="n"/>
      <c r="BQ41" s="107">
        <f>BP41*100/$E$41</f>
        <v/>
      </c>
      <c r="BR41" s="108" t="n"/>
      <c r="BS41" s="107">
        <f>BR41*100/$E$41</f>
        <v/>
      </c>
      <c r="BT41" s="108" t="n"/>
      <c r="BU41" s="107">
        <f>BT41*100/$E$41</f>
        <v/>
      </c>
      <c r="BV41" s="108" t="n"/>
      <c r="BW41" s="107">
        <f>BV41*100/$E$41</f>
        <v/>
      </c>
      <c r="BX41" s="108" t="n"/>
      <c r="BY41" s="107">
        <f>BX41*100/$E$41</f>
        <v/>
      </c>
      <c r="BZ41" s="108" t="n"/>
      <c r="CA41" s="107">
        <f>BZ41*100/$E$41</f>
        <v/>
      </c>
      <c r="CB41" s="108" t="n"/>
      <c r="CC41" s="107">
        <f>CB41*100/$E$41</f>
        <v/>
      </c>
      <c r="CD41" s="108" t="n"/>
      <c r="CE41" s="107">
        <f>CD41*100/$E$41</f>
        <v/>
      </c>
      <c r="CF41" s="108" t="n"/>
      <c r="CG41" s="107">
        <f>CF41*100/$E$41</f>
        <v/>
      </c>
      <c r="CH41" s="108" t="n"/>
      <c r="CI41" s="107">
        <f>CH41*100/$E$41</f>
        <v/>
      </c>
      <c r="CJ41" s="108" t="n"/>
      <c r="CK41" s="107">
        <f>CJ41*100/$E$41</f>
        <v/>
      </c>
      <c r="CL41" s="108" t="n"/>
      <c r="CM41" s="107">
        <f>CL41*100/$E$41</f>
        <v/>
      </c>
      <c r="CN41" s="108" t="n"/>
      <c r="CO41" s="122">
        <f>CN41*100/$E$41</f>
        <v/>
      </c>
      <c r="CP41" s="108" t="n"/>
      <c r="CQ41" s="107">
        <f>CP41*100/$E$41</f>
        <v/>
      </c>
      <c r="CR41" s="108" t="n"/>
      <c r="CS41" s="122">
        <f>CR41*100/$E$41</f>
        <v/>
      </c>
      <c r="CT41" s="108" t="n"/>
      <c r="CU41" s="122">
        <f>CT41*100/$E$41</f>
        <v/>
      </c>
      <c r="CV41" s="108" t="n"/>
      <c r="CW41" s="122">
        <f>CV41*100/$E$41</f>
        <v/>
      </c>
      <c r="CX41" s="108" t="n"/>
      <c r="CY41" s="122">
        <f>CX41*100/$E$41</f>
        <v/>
      </c>
      <c r="CZ41" s="108" t="n"/>
      <c r="DA41" s="122">
        <f>CZ41*100/$E$41</f>
        <v/>
      </c>
      <c r="DB41" s="108" t="n"/>
      <c r="DC41" s="122">
        <f>DB41*100/$E$41</f>
        <v/>
      </c>
      <c r="DD41" s="108" t="n"/>
      <c r="DE41" s="122">
        <f>DD41*100/$E$41</f>
        <v/>
      </c>
      <c r="DF41" s="108" t="n"/>
      <c r="DG41" s="122">
        <f>DF41*100/$E$41</f>
        <v/>
      </c>
      <c r="DH41" s="108" t="n"/>
      <c r="DI41" s="122">
        <f>DH41*100/$E$41</f>
        <v/>
      </c>
      <c r="DJ41" s="108" t="n"/>
      <c r="DK41" s="122">
        <f>DJ41*100/$E$41</f>
        <v/>
      </c>
      <c r="DL41" s="108" t="n"/>
      <c r="DM41" s="122">
        <f>DL41*100/$E$41</f>
        <v/>
      </c>
      <c r="DN41" s="108" t="n"/>
      <c r="DO41" s="122">
        <f>DN41*100/$E$41</f>
        <v/>
      </c>
      <c r="DP41" s="108" t="n"/>
      <c r="DQ41" s="122">
        <f>DP41*100/$E$41</f>
        <v/>
      </c>
      <c r="DR41" s="108" t="n"/>
      <c r="DS41" s="122">
        <f>DR41*100/$E$41</f>
        <v/>
      </c>
      <c r="DT41" s="108" t="n"/>
      <c r="DU41" s="122">
        <f>DT41*100/$E$41</f>
        <v/>
      </c>
      <c r="DV41" s="108" t="n"/>
      <c r="DW41" s="122">
        <f>DV41*100/$E$41</f>
        <v/>
      </c>
      <c r="DX41" s="108" t="n"/>
      <c r="DY41" s="122">
        <f>DX41*100/$E$41</f>
        <v/>
      </c>
      <c r="DZ41" s="108" t="n"/>
      <c r="EA41" s="122">
        <f>DZ41*100/$E$41</f>
        <v/>
      </c>
      <c r="EB41" s="108" t="n"/>
      <c r="EC41" s="122">
        <f>EB41*100/$E$41</f>
        <v/>
      </c>
      <c r="ED41" s="108" t="n"/>
      <c r="EE41" s="122">
        <f>ED41*100/$E$41</f>
        <v/>
      </c>
      <c r="EF41" s="108" t="n"/>
      <c r="EG41" s="122">
        <f>EF41*100/$E$41</f>
        <v/>
      </c>
      <c r="EH41" s="108" t="n"/>
      <c r="EI41" s="122">
        <f>EH41*100/$E$41</f>
        <v/>
      </c>
      <c r="EJ41" s="108" t="n"/>
      <c r="EK41" s="122">
        <f>EJ41*100/$E$41</f>
        <v/>
      </c>
      <c r="EL41" s="108" t="n"/>
      <c r="EM41" s="122">
        <f>EL41*100/$E$41</f>
        <v/>
      </c>
      <c r="EN41" s="108" t="n"/>
      <c r="EO41" s="122">
        <f>EN41*100/$E$41</f>
        <v/>
      </c>
      <c r="EP41" s="108" t="n"/>
      <c r="EQ41" s="122">
        <f>EP41*100/$E$41</f>
        <v/>
      </c>
      <c r="ER41" s="108" t="n"/>
      <c r="ES41" s="122">
        <f>ER41*100/$E$41</f>
        <v/>
      </c>
      <c r="ET41" s="108" t="n"/>
      <c r="EU41" s="122">
        <f>ET41*100/$E$41</f>
        <v/>
      </c>
      <c r="EV41" s="108" t="n"/>
      <c r="EW41" s="122">
        <f>EV41*100/$E$41</f>
        <v/>
      </c>
      <c r="EX41" s="108" t="n"/>
      <c r="EY41" s="122">
        <f>EX41*100/$E$41</f>
        <v/>
      </c>
      <c r="EZ41" s="108" t="n"/>
      <c r="FA41" s="122">
        <f>EZ41*100/$E$41</f>
        <v/>
      </c>
      <c r="FB41" s="108" t="n"/>
      <c r="FC41" s="122">
        <f>FB41*100/$E$41</f>
        <v/>
      </c>
      <c r="FD41" s="108" t="n"/>
      <c r="FE41" s="122">
        <f>FD41*100/$E$41</f>
        <v/>
      </c>
      <c r="FF41" s="108" t="n"/>
      <c r="FG41" s="122">
        <f>FF41*100/$E$41</f>
        <v/>
      </c>
      <c r="FH41" s="108" t="n"/>
      <c r="FI41" s="122">
        <f>FH41*100/$E$41</f>
        <v/>
      </c>
      <c r="FJ41" s="108" t="n"/>
      <c r="FK41" s="122">
        <f>FJ41*100/$E$41</f>
        <v/>
      </c>
      <c r="FL41" s="108" t="n"/>
      <c r="FM41" s="122">
        <f>FL41*100/$E$41</f>
        <v/>
      </c>
      <c r="FN41" s="108" t="n"/>
      <c r="FO41" s="122">
        <f>FN41*100/$E$41</f>
        <v/>
      </c>
      <c r="FP41" s="108" t="n"/>
      <c r="FQ41" s="122">
        <f>FP41*100/$E$41</f>
        <v/>
      </c>
      <c r="FR41" s="108" t="n"/>
      <c r="FS41" s="122">
        <f>FR41*100/$E$41</f>
        <v/>
      </c>
      <c r="FT41" s="108" t="n"/>
      <c r="FU41" s="122">
        <f>FT41*100/$E$41</f>
        <v/>
      </c>
      <c r="FV41" s="108" t="n"/>
      <c r="FW41" s="122">
        <f>FV41*100/$E$41</f>
        <v/>
      </c>
      <c r="FX41" s="108" t="n"/>
      <c r="FY41" s="107">
        <f>FX41*100/$E$41</f>
        <v/>
      </c>
      <c r="FZ41" s="108" t="n"/>
      <c r="GA41" s="107">
        <f>FZ41*100/$E$41</f>
        <v/>
      </c>
      <c r="GB41" s="108" t="n"/>
      <c r="GC41" s="107">
        <f>GB41*100/$E$41</f>
        <v/>
      </c>
      <c r="GD41" s="108" t="n"/>
      <c r="GE41" s="107">
        <f>GD41*100/$E$41</f>
        <v/>
      </c>
      <c r="GF41" s="108" t="n"/>
      <c r="GG41" s="107">
        <f>GF41*100/$E$41</f>
        <v/>
      </c>
      <c r="GH41" s="108" t="n"/>
      <c r="GI41" s="107">
        <f>GH41*100/$E$41</f>
        <v/>
      </c>
      <c r="GJ41" s="108" t="n"/>
      <c r="GK41" s="122">
        <f>GJ41*100/$E$41</f>
        <v/>
      </c>
      <c r="GL41" s="108" t="n"/>
      <c r="GM41" s="107">
        <f>GL41*100/$E$41</f>
        <v/>
      </c>
      <c r="GN41" s="108" t="n"/>
      <c r="GO41" s="122">
        <f>GN41*100/$E$41</f>
        <v/>
      </c>
      <c r="GP41" s="108" t="n"/>
      <c r="GQ41" s="107">
        <f>GP41*100/$E$41</f>
        <v/>
      </c>
      <c r="GR41" s="108" t="n"/>
      <c r="GS41" s="122">
        <f>GR41*100/$E$41</f>
        <v/>
      </c>
      <c r="GT41" s="108" t="n"/>
      <c r="GU41" s="122">
        <f>GT41*100/$E$41</f>
        <v/>
      </c>
      <c r="GV41" s="108" t="n"/>
      <c r="GW41" s="122">
        <f>GV41*100/$E$41</f>
        <v/>
      </c>
      <c r="GX41" s="108" t="n"/>
      <c r="GY41" s="107">
        <f>GX41*100/$E$41</f>
        <v/>
      </c>
      <c r="GZ41" s="108" t="n"/>
      <c r="HA41" s="107">
        <f>GZ41*100/$E$41</f>
        <v/>
      </c>
      <c r="HB41" s="108" t="n"/>
      <c r="HC41" s="107">
        <f>HB41*100/$E$41</f>
        <v/>
      </c>
      <c r="HD41" s="108" t="n"/>
      <c r="HE41" s="107">
        <f>HD41*100/$E$41</f>
        <v/>
      </c>
      <c r="HF41" s="108" t="n"/>
      <c r="HG41" s="107">
        <f>HF41*100/$E$41</f>
        <v/>
      </c>
      <c r="HH41" s="108" t="n"/>
      <c r="HI41" s="107">
        <f>HH41*100/$E$41</f>
        <v/>
      </c>
      <c r="HJ41" s="108" t="n"/>
      <c r="HK41" s="107">
        <f>HJ41*100/$E$41</f>
        <v/>
      </c>
      <c r="HL41" s="108" t="n"/>
      <c r="HM41" s="107">
        <f>HL41*100/$E$41</f>
        <v/>
      </c>
      <c r="HN41" s="108" t="n"/>
      <c r="HO41" s="107">
        <f>HN41*100/$E$41</f>
        <v/>
      </c>
      <c r="HP41" s="108" t="n"/>
      <c r="HQ41" s="107">
        <f>HP41*100/$E$41</f>
        <v/>
      </c>
      <c r="HR41" s="108" t="n"/>
      <c r="HS41" s="107">
        <f>HR41*100/$E$41</f>
        <v/>
      </c>
      <c r="HT41" s="108" t="n"/>
      <c r="HU41" s="107">
        <f>HT41*100/$E$41</f>
        <v/>
      </c>
      <c r="HV41" s="108" t="n"/>
      <c r="HW41" s="107">
        <f>HV41*100/$E$41</f>
        <v/>
      </c>
      <c r="HX41" s="108" t="n"/>
      <c r="HY41" s="107">
        <f>HX41*100/$E$41</f>
        <v/>
      </c>
      <c r="HZ41" s="108" t="n"/>
      <c r="IA41" s="122">
        <f>HZ41*100/$E$41</f>
        <v/>
      </c>
      <c r="IB41" s="108" t="n"/>
      <c r="IC41" s="122">
        <f>IB41*100/$E$41</f>
        <v/>
      </c>
      <c r="ID41" s="108" t="n"/>
      <c r="IE41" s="122">
        <f>ID41*100/$E$41</f>
        <v/>
      </c>
      <c r="IF41" s="108" t="n"/>
      <c r="IG41" s="122">
        <f>IF41*100/$E$41</f>
        <v/>
      </c>
      <c r="IH41" s="108" t="n"/>
      <c r="II41" s="122">
        <f>IH41*100/$E$41</f>
        <v/>
      </c>
      <c r="IJ41" s="108" t="n"/>
      <c r="IK41" s="122">
        <f>IJ41*100/$E$41</f>
        <v/>
      </c>
      <c r="IL41" s="108" t="n"/>
      <c r="IM41" s="107">
        <f>IL41*100/$E$41</f>
        <v/>
      </c>
      <c r="IN41" s="108" t="n"/>
      <c r="IO41" s="107">
        <f>IN41*100/$E$41</f>
        <v/>
      </c>
      <c r="IP41" s="108" t="n"/>
      <c r="IQ41" s="122">
        <f>IP41*100/$E$41</f>
        <v/>
      </c>
      <c r="IR41" s="108" t="n"/>
      <c r="IS41" s="122">
        <f>IR41*100/$E$41</f>
        <v/>
      </c>
      <c r="IT41" s="108" t="n"/>
      <c r="IU41" s="122">
        <f>IT41*100/$E$41</f>
        <v/>
      </c>
      <c r="IV41" s="108" t="n"/>
      <c r="IW41" s="122">
        <f>IV41*100/$E$41</f>
        <v/>
      </c>
      <c r="IX41" s="108" t="n"/>
      <c r="IY41" s="122">
        <f>IX41*100/$E$41</f>
        <v/>
      </c>
      <c r="IZ41" s="108" t="n"/>
      <c r="JA41" s="122">
        <f>IZ41*100/$E$41</f>
        <v/>
      </c>
      <c r="JB41" s="108" t="n"/>
      <c r="JC41" s="122">
        <f>JB41*100/$E$41</f>
        <v/>
      </c>
      <c r="JD41" s="108" t="n"/>
      <c r="JE41" s="122">
        <f>JD41*100/$E$41</f>
        <v/>
      </c>
      <c r="JF41" s="108" t="n"/>
      <c r="JG41" s="122">
        <f>JF41*100/$E$41</f>
        <v/>
      </c>
      <c r="JH41" s="108" t="n"/>
      <c r="JI41" s="122">
        <f>JH41*100/$E$41</f>
        <v/>
      </c>
      <c r="JJ41" s="108" t="n"/>
      <c r="JK41" s="122">
        <f>JJ41*100/$E$41</f>
        <v/>
      </c>
      <c r="JL41" s="108" t="n"/>
      <c r="JM41" s="122">
        <f>JL41*100/$E$41</f>
        <v/>
      </c>
      <c r="JN41" s="108" t="n"/>
      <c r="JO41" s="121">
        <f>JN41*100/$E$41</f>
        <v/>
      </c>
      <c r="JP41" s="108" t="n"/>
      <c r="JQ41" s="121">
        <f>JP41*100/$E$41</f>
        <v/>
      </c>
      <c r="JR41" s="108" t="n"/>
      <c r="JS41" s="121">
        <f>JR41*100/$E$41</f>
        <v/>
      </c>
      <c r="JT41" s="108" t="n"/>
      <c r="JU41" s="121">
        <f>JT41*100/$E$41</f>
        <v/>
      </c>
      <c r="JV41" s="108" t="n"/>
      <c r="JW41" s="121">
        <f>JV41*100/$E$41</f>
        <v/>
      </c>
      <c r="JX41" s="108" t="n"/>
      <c r="JY41" s="121">
        <f>JX41*100/$E$41</f>
        <v/>
      </c>
      <c r="JZ41" s="55">
        <f>JN41+JP41+JR41+JT41+JV41+JX41</f>
        <v/>
      </c>
      <c r="KA41" s="53">
        <f>JO41+JQ41+JS41+JU41+JW41+JY41</f>
        <v/>
      </c>
      <c r="KB41" s="64">
        <f>H41+J41+L41+N41+P41+R41+T41+V41+X41+Z41+AB41+AD41+AF41+AH41+AJ41+AL41+AN41+AP41+AR41+AT41+AV41+AX41+AZ41+BB41+BD41+BF41+BH41+BJ41+BL41+BN41+BP41+BR41+BT41+BV41+BX41+BZ41+CB41+CD41+CF41+CH41+CZ41+DB41+DD41+DF41+DH41+DJ41+DL41+DN41+DP41+DR41+DT41+DV41+DX41+DZ41+EB41+ED41+EF41+EH41+EJ41+EL41+EN41+EP41+ER41+ET41+EV41+FN41+FP41+FR41+FT41+FV41+FX41+FZ41+GB41+GD41+GF41+GH41+GJ41+GL41+GN41+GP41+GR41+GT41+GV41+GX41+GZ41+HB41+HD41+HF41+HH41+HJ41+HL41+HN41+HP41+HR41+HT41+HV41+HX41+HZ41+IB41+ID41+IF41+IH41+IJ41+IL41+IN41+IP41+IR41+IT41+IV41+IX41+IZ41+JB41+JD41+JF41+JH41+JJ41+JL41+JZ41+CJ41+CL41+CN41+CP41+CR41+CT41+CV41+CX41+EX41+EZ41+FB41+FD41+FF41+FH41+FJ41+FL41</f>
        <v/>
      </c>
      <c r="KC41" s="66">
        <f>I41+K41+M41+O41+Q41+S41+U41+W41+Y41+AA41+AC41+AE41+AG41+AI41+AK41+AM41+AO41+AQ41+AS41+AU41+AW41+AY41+BA41+BC41+BE41+BG41+BI41+BK41+BM41+BO41+BQ41+BS41+BU41+BW41+BY41+CA41+CC41+CE41+CG41+CI41+DA41+DC41+DE41+DG41+DI41+DK41+DM41+DO41+DQ41+DS41+DU41+DW41+DY41+EA41+EC41+EE41+EG41+EI41+EK41+EM41+EO41+EQ41+ES41+EU41+EW41+FO41+FS41+FU41+FW41+FQ41+FY41+GA41+GC41+GE41+GG41+GI41+GK41+GM41+GO41+GQ41+GS41+GU41+GW41+GY41+HA41+HC41+HE41+HG41+HI41+HK41+HM41+HO41+HQ41+HS41+HU41+HW41+HY41+IA41+IC41+IE41+IG41+II41+IK41+IM41+IO41+IQ41+IS41+IU41+IW41+IY41+JA41+JC41+JE41+JG41+JI41+JK41+JM41+KA41+CK41+CM41+CO41+CQ41+CS41+CU41+CW41+CY41+EY41+FA41+FC41+FE41+FG41+FI41+FK41+FM41</f>
        <v/>
      </c>
      <c r="KD41" s="44">
        <f>JO41+JQ41+JS41+JU41+JW41+JY41</f>
        <v/>
      </c>
      <c r="KE41" s="45">
        <f>KB41=E41</f>
        <v/>
      </c>
      <c r="KF41" s="101">
        <f>E41-KB41</f>
        <v/>
      </c>
      <c r="KG41" s="26" t="n"/>
    </row>
    <row r="42" ht="21.75" customFormat="1" customHeight="1" s="27">
      <c r="A42" s="126">
        <f>A41+1</f>
        <v/>
      </c>
      <c r="B42" s="175" t="inlineStr">
        <is>
          <t>Сидоров Ю.В.</t>
        </is>
      </c>
      <c r="C42" s="176" t="inlineStr">
        <is>
          <t>ЧПУ</t>
        </is>
      </c>
      <c r="D42" s="177">
        <f>$D$5</f>
        <v/>
      </c>
      <c r="E42" s="202" t="n"/>
      <c r="F42" s="193" t="n">
        <v>120115.09</v>
      </c>
      <c r="G42" s="52">
        <f>F42/D42</f>
        <v/>
      </c>
      <c r="H42" s="125" t="n"/>
      <c r="I42" s="107">
        <f>H42*100/$E$42</f>
        <v/>
      </c>
      <c r="J42" s="108" t="n"/>
      <c r="K42" s="107">
        <f>J42*100/$E$42</f>
        <v/>
      </c>
      <c r="L42" s="108" t="n"/>
      <c r="M42" s="107">
        <f>L42*100/$E$42</f>
        <v/>
      </c>
      <c r="N42" s="108" t="n"/>
      <c r="O42" s="107">
        <f>N42*100/$E$42</f>
        <v/>
      </c>
      <c r="P42" s="108" t="n"/>
      <c r="Q42" s="122">
        <f>P42*100/$E$42</f>
        <v/>
      </c>
      <c r="R42" s="108" t="n"/>
      <c r="S42" s="122">
        <f>R42*100/$E$42</f>
        <v/>
      </c>
      <c r="T42" s="108" t="n"/>
      <c r="U42" s="107">
        <f>T42*100/$E$42</f>
        <v/>
      </c>
      <c r="V42" s="108" t="n"/>
      <c r="W42" s="107">
        <f>V42*100/$E$42</f>
        <v/>
      </c>
      <c r="X42" s="108" t="n"/>
      <c r="Y42" s="107">
        <f>X42*100/$E$42</f>
        <v/>
      </c>
      <c r="Z42" s="108" t="n"/>
      <c r="AA42" s="107">
        <f>Z42*100/$E$42</f>
        <v/>
      </c>
      <c r="AB42" s="108" t="n"/>
      <c r="AC42" s="107">
        <f>AB42*100/$E$42</f>
        <v/>
      </c>
      <c r="AD42" s="108" t="n"/>
      <c r="AE42" s="122">
        <f>AD42*100/$E$42</f>
        <v/>
      </c>
      <c r="AF42" s="108" t="n"/>
      <c r="AG42" s="122">
        <f>AF42*100/$E$42</f>
        <v/>
      </c>
      <c r="AH42" s="108" t="n"/>
      <c r="AI42" s="107">
        <f>AH42*100/$E$42</f>
        <v/>
      </c>
      <c r="AJ42" s="108" t="n"/>
      <c r="AK42" s="107">
        <f>AJ42*100/$E$42</f>
        <v/>
      </c>
      <c r="AL42" s="108" t="n"/>
      <c r="AM42" s="107">
        <f>AL42*100/$E$42</f>
        <v/>
      </c>
      <c r="AN42" s="108" t="n"/>
      <c r="AO42" s="107">
        <f>AN42*100/$E$42</f>
        <v/>
      </c>
      <c r="AP42" s="108" t="n"/>
      <c r="AQ42" s="107">
        <f>AP42*100/$E$42</f>
        <v/>
      </c>
      <c r="AR42" s="108" t="n"/>
      <c r="AS42" s="107">
        <f>AR42*100/$E$42</f>
        <v/>
      </c>
      <c r="AT42" s="108" t="n"/>
      <c r="AU42" s="90">
        <f>AT42*100/$E$42</f>
        <v/>
      </c>
      <c r="AV42" s="108" t="n"/>
      <c r="AW42" s="107">
        <f>AV42*100/$E$42</f>
        <v/>
      </c>
      <c r="AX42" s="108" t="n"/>
      <c r="AY42" s="107">
        <f>AX42*100/$E$42</f>
        <v/>
      </c>
      <c r="AZ42" s="108" t="n"/>
      <c r="BA42" s="107">
        <f>AZ42*100/$E$42</f>
        <v/>
      </c>
      <c r="BB42" s="108" t="n"/>
      <c r="BC42" s="107">
        <f>BB42*100/$E$42</f>
        <v/>
      </c>
      <c r="BD42" s="108" t="n"/>
      <c r="BE42" s="107">
        <f>BD42*100/$E$42</f>
        <v/>
      </c>
      <c r="BF42" s="108" t="n"/>
      <c r="BG42" s="107">
        <f>BF42*100/$E$42</f>
        <v/>
      </c>
      <c r="BH42" s="108" t="n"/>
      <c r="BI42" s="107">
        <f>BH42*100/$E$42</f>
        <v/>
      </c>
      <c r="BJ42" s="108" t="n"/>
      <c r="BK42" s="107">
        <f>BJ42*100/$E$42</f>
        <v/>
      </c>
      <c r="BL42" s="108" t="n"/>
      <c r="BM42" s="107">
        <f>BL42*100/$E$42</f>
        <v/>
      </c>
      <c r="BN42" s="108" t="n"/>
      <c r="BO42" s="107">
        <f>BN42*100/$E$42</f>
        <v/>
      </c>
      <c r="BP42" s="108" t="n"/>
      <c r="BQ42" s="107">
        <f>BP42*100/$E$42</f>
        <v/>
      </c>
      <c r="BR42" s="108" t="n"/>
      <c r="BS42" s="107">
        <f>BR42*100/$E$42</f>
        <v/>
      </c>
      <c r="BT42" s="108" t="n"/>
      <c r="BU42" s="107">
        <f>BT42*100/$E$42</f>
        <v/>
      </c>
      <c r="BV42" s="108" t="n"/>
      <c r="BW42" s="107">
        <f>BV42*100/$E$42</f>
        <v/>
      </c>
      <c r="BX42" s="108" t="n"/>
      <c r="BY42" s="107">
        <f>BX42*100/$E$42</f>
        <v/>
      </c>
      <c r="BZ42" s="108" t="n"/>
      <c r="CA42" s="107">
        <f>BZ42*100/$E$42</f>
        <v/>
      </c>
      <c r="CB42" s="108" t="n"/>
      <c r="CC42" s="107">
        <f>CB42*100/$E$42</f>
        <v/>
      </c>
      <c r="CD42" s="108" t="n"/>
      <c r="CE42" s="107">
        <f>CD42*100/$E$42</f>
        <v/>
      </c>
      <c r="CF42" s="108" t="n"/>
      <c r="CG42" s="107">
        <f>CF42*100/$E$42</f>
        <v/>
      </c>
      <c r="CH42" s="108" t="n"/>
      <c r="CI42" s="107">
        <f>CH42*100/$E$42</f>
        <v/>
      </c>
      <c r="CJ42" s="108" t="n"/>
      <c r="CK42" s="107">
        <f>CJ42*100/$E$42</f>
        <v/>
      </c>
      <c r="CL42" s="108" t="n"/>
      <c r="CM42" s="107">
        <f>CL42*100/$E$42</f>
        <v/>
      </c>
      <c r="CN42" s="108" t="n"/>
      <c r="CO42" s="122">
        <f>CN42*100/$E$42</f>
        <v/>
      </c>
      <c r="CP42" s="108" t="n"/>
      <c r="CQ42" s="107">
        <f>CP42*100/$E$42</f>
        <v/>
      </c>
      <c r="CR42" s="108" t="n"/>
      <c r="CS42" s="122">
        <f>CR42*100/$E$42</f>
        <v/>
      </c>
      <c r="CT42" s="108" t="n"/>
      <c r="CU42" s="122">
        <f>CT42*100/$E$42</f>
        <v/>
      </c>
      <c r="CV42" s="108" t="n"/>
      <c r="CW42" s="122">
        <f>CV42*100/$E$42</f>
        <v/>
      </c>
      <c r="CX42" s="108" t="n"/>
      <c r="CY42" s="122">
        <f>CX42*100/$E$42</f>
        <v/>
      </c>
      <c r="CZ42" s="108" t="n"/>
      <c r="DA42" s="122">
        <f>CZ42*100/$E$42</f>
        <v/>
      </c>
      <c r="DB42" s="108" t="n"/>
      <c r="DC42" s="122">
        <f>DB42*100/$E$42</f>
        <v/>
      </c>
      <c r="DD42" s="108" t="n"/>
      <c r="DE42" s="122">
        <f>DD42*100/$E$42</f>
        <v/>
      </c>
      <c r="DF42" s="108" t="n"/>
      <c r="DG42" s="122">
        <f>DF42*100/$E$42</f>
        <v/>
      </c>
      <c r="DH42" s="108" t="n"/>
      <c r="DI42" s="122">
        <f>DH42*100/$E$42</f>
        <v/>
      </c>
      <c r="DJ42" s="108" t="n"/>
      <c r="DK42" s="122">
        <f>DJ42*100/$E$42</f>
        <v/>
      </c>
      <c r="DL42" s="108" t="n"/>
      <c r="DM42" s="122">
        <f>DL42*100/$E$42</f>
        <v/>
      </c>
      <c r="DN42" s="108" t="n"/>
      <c r="DO42" s="122">
        <f>DN42*100/$E$42</f>
        <v/>
      </c>
      <c r="DP42" s="108" t="n"/>
      <c r="DQ42" s="122">
        <f>DP42*100/$E$42</f>
        <v/>
      </c>
      <c r="DR42" s="108" t="n"/>
      <c r="DS42" s="122">
        <f>DR42*100/$E$42</f>
        <v/>
      </c>
      <c r="DT42" s="108" t="n"/>
      <c r="DU42" s="122">
        <f>DT42*100/$E$42</f>
        <v/>
      </c>
      <c r="DV42" s="108" t="n"/>
      <c r="DW42" s="122">
        <f>DV42*100/$E$42</f>
        <v/>
      </c>
      <c r="DX42" s="108" t="n"/>
      <c r="DY42" s="122">
        <f>DX42*100/$E$42</f>
        <v/>
      </c>
      <c r="DZ42" s="108" t="n"/>
      <c r="EA42" s="122">
        <f>DZ42*100/$E$42</f>
        <v/>
      </c>
      <c r="EB42" s="108" t="n"/>
      <c r="EC42" s="122">
        <f>EB42*100/$E$42</f>
        <v/>
      </c>
      <c r="ED42" s="108" t="n"/>
      <c r="EE42" s="122">
        <f>ED42*100/$E$42</f>
        <v/>
      </c>
      <c r="EF42" s="108" t="n"/>
      <c r="EG42" s="122">
        <f>EF42*100/$E$42</f>
        <v/>
      </c>
      <c r="EH42" s="108" t="n"/>
      <c r="EI42" s="122">
        <f>EH42*100/$E$42</f>
        <v/>
      </c>
      <c r="EJ42" s="108" t="n"/>
      <c r="EK42" s="122">
        <f>EJ42*100/$E$42</f>
        <v/>
      </c>
      <c r="EL42" s="108" t="n"/>
      <c r="EM42" s="122">
        <f>EL42*100/$E$42</f>
        <v/>
      </c>
      <c r="EN42" s="108" t="n"/>
      <c r="EO42" s="122">
        <f>EN42*100/$E$42</f>
        <v/>
      </c>
      <c r="EP42" s="108" t="n"/>
      <c r="EQ42" s="122">
        <f>EP42*100/$E$42</f>
        <v/>
      </c>
      <c r="ER42" s="108" t="n"/>
      <c r="ES42" s="122">
        <f>ER42*100/$E$42</f>
        <v/>
      </c>
      <c r="ET42" s="108" t="n"/>
      <c r="EU42" s="122">
        <f>ET42*100/$E$42</f>
        <v/>
      </c>
      <c r="EV42" s="108" t="n"/>
      <c r="EW42" s="122">
        <f>EV42*100/$E$42</f>
        <v/>
      </c>
      <c r="EX42" s="108" t="n"/>
      <c r="EY42" s="122">
        <f>EX42*100/$E$42</f>
        <v/>
      </c>
      <c r="EZ42" s="108" t="n"/>
      <c r="FA42" s="122">
        <f>EZ42*100/$E$42</f>
        <v/>
      </c>
      <c r="FB42" s="108" t="n"/>
      <c r="FC42" s="122">
        <f>FB42*100/$E$42</f>
        <v/>
      </c>
      <c r="FD42" s="108" t="n"/>
      <c r="FE42" s="122">
        <f>FD42*100/$E$42</f>
        <v/>
      </c>
      <c r="FF42" s="108" t="n"/>
      <c r="FG42" s="122">
        <f>FF42*100/$E$42</f>
        <v/>
      </c>
      <c r="FH42" s="108" t="n"/>
      <c r="FI42" s="122">
        <f>FH42*100/$E$42</f>
        <v/>
      </c>
      <c r="FJ42" s="108" t="n"/>
      <c r="FK42" s="122">
        <f>FJ42*100/$E$42</f>
        <v/>
      </c>
      <c r="FL42" s="108" t="n"/>
      <c r="FM42" s="122">
        <f>FL42*100/$E$42</f>
        <v/>
      </c>
      <c r="FN42" s="108" t="n"/>
      <c r="FO42" s="122">
        <f>FN42*100/$E$42</f>
        <v/>
      </c>
      <c r="FP42" s="108" t="n"/>
      <c r="FQ42" s="122">
        <f>FP42*100/$E$42</f>
        <v/>
      </c>
      <c r="FR42" s="108" t="n"/>
      <c r="FS42" s="122">
        <f>FR42*100/$E$42</f>
        <v/>
      </c>
      <c r="FT42" s="108" t="n"/>
      <c r="FU42" s="122">
        <f>FT42*100/$E$42</f>
        <v/>
      </c>
      <c r="FV42" s="108" t="n"/>
      <c r="FW42" s="122">
        <f>FV42*100/$E$42</f>
        <v/>
      </c>
      <c r="FX42" s="108" t="n"/>
      <c r="FY42" s="107">
        <f>FX42*100/$E$42</f>
        <v/>
      </c>
      <c r="FZ42" s="108" t="n"/>
      <c r="GA42" s="107">
        <f>FZ42*100/$E$42</f>
        <v/>
      </c>
      <c r="GB42" s="108" t="n"/>
      <c r="GC42" s="107">
        <f>GB42*100/$E$42</f>
        <v/>
      </c>
      <c r="GD42" s="108" t="n"/>
      <c r="GE42" s="107">
        <f>GD42*100/$E$42</f>
        <v/>
      </c>
      <c r="GF42" s="108" t="n"/>
      <c r="GG42" s="107">
        <f>GF42*100/$E$42</f>
        <v/>
      </c>
      <c r="GH42" s="108" t="n"/>
      <c r="GI42" s="107">
        <f>GH42*100/$E$42</f>
        <v/>
      </c>
      <c r="GJ42" s="108" t="n"/>
      <c r="GK42" s="122">
        <f>GJ42*100/$E$42</f>
        <v/>
      </c>
      <c r="GL42" s="108" t="n"/>
      <c r="GM42" s="107">
        <f>GL42*100/$E$42</f>
        <v/>
      </c>
      <c r="GN42" s="108" t="n"/>
      <c r="GO42" s="122">
        <f>GN42*100/$E$42</f>
        <v/>
      </c>
      <c r="GP42" s="108" t="n"/>
      <c r="GQ42" s="107">
        <f>GP42*100/$E$42</f>
        <v/>
      </c>
      <c r="GR42" s="108" t="n"/>
      <c r="GS42" s="122">
        <f>GR42*100/$E$42</f>
        <v/>
      </c>
      <c r="GT42" s="108" t="n"/>
      <c r="GU42" s="122">
        <f>GT42*100/$E$42</f>
        <v/>
      </c>
      <c r="GV42" s="108" t="n"/>
      <c r="GW42" s="122">
        <f>GV42*100/$E$42</f>
        <v/>
      </c>
      <c r="GX42" s="108" t="n"/>
      <c r="GY42" s="107">
        <f>GX42*100/$E$42</f>
        <v/>
      </c>
      <c r="GZ42" s="108" t="n"/>
      <c r="HA42" s="107">
        <f>GZ42*100/$E$42</f>
        <v/>
      </c>
      <c r="HB42" s="108" t="n"/>
      <c r="HC42" s="107">
        <f>HB42*100/$E$42</f>
        <v/>
      </c>
      <c r="HD42" s="108" t="n"/>
      <c r="HE42" s="107">
        <f>HD42*100/$E$42</f>
        <v/>
      </c>
      <c r="HF42" s="108" t="n"/>
      <c r="HG42" s="107">
        <f>HF42*100/$E$42</f>
        <v/>
      </c>
      <c r="HH42" s="108" t="n"/>
      <c r="HI42" s="107">
        <f>HH42*100/$E$42</f>
        <v/>
      </c>
      <c r="HJ42" s="108" t="n"/>
      <c r="HK42" s="107">
        <f>HJ42*100/$E$42</f>
        <v/>
      </c>
      <c r="HL42" s="108" t="n"/>
      <c r="HM42" s="107">
        <f>HL42*100/$E$42</f>
        <v/>
      </c>
      <c r="HN42" s="108" t="n"/>
      <c r="HO42" s="107">
        <f>HN42*100/$E$42</f>
        <v/>
      </c>
      <c r="HP42" s="108" t="n"/>
      <c r="HQ42" s="107">
        <f>HP42*100/$E$42</f>
        <v/>
      </c>
      <c r="HR42" s="108" t="n"/>
      <c r="HS42" s="107">
        <f>HR42*100/$E$42</f>
        <v/>
      </c>
      <c r="HT42" s="108" t="n"/>
      <c r="HU42" s="107">
        <f>HT42*100/$E$42</f>
        <v/>
      </c>
      <c r="HV42" s="108" t="n"/>
      <c r="HW42" s="107">
        <f>HV42*100/$E$42</f>
        <v/>
      </c>
      <c r="HX42" s="108" t="n"/>
      <c r="HY42" s="107">
        <f>HX42*100/$E$42</f>
        <v/>
      </c>
      <c r="HZ42" s="108" t="n"/>
      <c r="IA42" s="122">
        <f>HZ42*100/$E$42</f>
        <v/>
      </c>
      <c r="IB42" s="108" t="n"/>
      <c r="IC42" s="122">
        <f>IB42*100/$E$42</f>
        <v/>
      </c>
      <c r="ID42" s="108" t="n"/>
      <c r="IE42" s="122">
        <f>ID42*100/$E$42</f>
        <v/>
      </c>
      <c r="IF42" s="108" t="n"/>
      <c r="IG42" s="122">
        <f>IF42*100/$E$42</f>
        <v/>
      </c>
      <c r="IH42" s="108" t="n"/>
      <c r="II42" s="122">
        <f>IH42*100/$E$42</f>
        <v/>
      </c>
      <c r="IJ42" s="108" t="n"/>
      <c r="IK42" s="122">
        <f>IJ42*100/$E$42</f>
        <v/>
      </c>
      <c r="IL42" s="108" t="n"/>
      <c r="IM42" s="107">
        <f>IL42*100/$E$42</f>
        <v/>
      </c>
      <c r="IN42" s="108" t="n"/>
      <c r="IO42" s="107">
        <f>IN42*100/$E$42</f>
        <v/>
      </c>
      <c r="IP42" s="108" t="n"/>
      <c r="IQ42" s="122">
        <f>IP42*100/$E$42</f>
        <v/>
      </c>
      <c r="IR42" s="108" t="n"/>
      <c r="IS42" s="122">
        <f>IR42*100/$E$42</f>
        <v/>
      </c>
      <c r="IT42" s="108" t="n"/>
      <c r="IU42" s="122">
        <f>IT42*100/$E$42</f>
        <v/>
      </c>
      <c r="IV42" s="108" t="n"/>
      <c r="IW42" s="122">
        <f>IV42*100/$E$42</f>
        <v/>
      </c>
      <c r="IX42" s="108" t="n"/>
      <c r="IY42" s="122">
        <f>IX42*100/$E$42</f>
        <v/>
      </c>
      <c r="IZ42" s="108" t="n"/>
      <c r="JA42" s="122">
        <f>IZ42*100/$E$42</f>
        <v/>
      </c>
      <c r="JB42" s="108" t="n"/>
      <c r="JC42" s="122">
        <f>JB42*100/$E$42</f>
        <v/>
      </c>
      <c r="JD42" s="108" t="n"/>
      <c r="JE42" s="122">
        <f>JD42*100/$E$42</f>
        <v/>
      </c>
      <c r="JF42" s="108" t="n"/>
      <c r="JG42" s="122">
        <f>JF42*100/$E$42</f>
        <v/>
      </c>
      <c r="JH42" s="108" t="n"/>
      <c r="JI42" s="122">
        <f>JH42*100/$E$42</f>
        <v/>
      </c>
      <c r="JJ42" s="108" t="n"/>
      <c r="JK42" s="122">
        <f>JJ42*100/$E$42</f>
        <v/>
      </c>
      <c r="JL42" s="108" t="n"/>
      <c r="JM42" s="122">
        <f>JL42*100/$E$42</f>
        <v/>
      </c>
      <c r="JN42" s="108" t="n"/>
      <c r="JO42" s="121">
        <f>JN42*100/$E$42</f>
        <v/>
      </c>
      <c r="JP42" s="108" t="n"/>
      <c r="JQ42" s="121">
        <f>JP42*100/$E$42</f>
        <v/>
      </c>
      <c r="JR42" s="108" t="n"/>
      <c r="JS42" s="121">
        <f>JR42*100/$E$42</f>
        <v/>
      </c>
      <c r="JT42" s="108" t="n"/>
      <c r="JU42" s="121">
        <f>JT42*100/$E$42</f>
        <v/>
      </c>
      <c r="JV42" s="108" t="n"/>
      <c r="JW42" s="121">
        <f>JV42*100/$E$42</f>
        <v/>
      </c>
      <c r="JX42" s="108" t="n"/>
      <c r="JY42" s="121">
        <f>JX42*100/$E$42</f>
        <v/>
      </c>
      <c r="JZ42" s="55">
        <f>JN42+JP42+JR42+JT42+JV42+JX42</f>
        <v/>
      </c>
      <c r="KA42" s="53">
        <f>JO42+JQ42+JS42+JU42+JW42+JY42</f>
        <v/>
      </c>
      <c r="KB42" s="64">
        <f>H42+J42+L42+N42+P42+R42+T42+V42+X42+Z42+AB42+AD42+AF42+AH42+AJ42+AL42+AN42+AP42+AR42+AT42+AV42+AX42+AZ42+BB42+BD42+BF42+BH42+BJ42+BL42+BN42+BP42+BR42+BT42+BV42+BX42+BZ42+CB42+CD42+CF42+CH42+CZ42+DB42+DD42+DF42+DH42+DJ42+DL42+DN42+DP42+DR42+DT42+DV42+DX42+DZ42+EB42+ED42+EF42+EH42+EJ42+EL42+EN42+EP42+ER42+ET42+EV42+FN42+FP42+FR42+FT42+FV42+FX42+FZ42+GB42+GD42+GF42+GH42+GJ42+GL42+GN42+GP42+GR42+GT42+GV42+GX42+GZ42+HB42+HD42+HF42+HH42+HJ42+HL42+HN42+HP42+HR42+HT42+HV42+HX42+HZ42+IB42+ID42+IF42+IH42+IJ42+IL42+IN42+IP42+IR42+IT42+IV42+IX42+IZ42+JB42+JD42+JF42+JH42+JJ42+JL42+JZ42+CJ42+CL42+CN42+CP42+CR42+CT42+CV42+CX42+EX42+EZ42+FB42+FD42+FF42+FH42+FJ42+FL42</f>
        <v/>
      </c>
      <c r="KC42" s="66">
        <f>I42+K42+M42+O42+Q42+S42+U42+W42+Y42+AA42+AC42+AE42+AG42+AI42+AK42+AM42+AO42+AQ42+AS42+AU42+AW42+AY42+BA42+BC42+BE42+BG42+BI42+BK42+BM42+BO42+BQ42+BS42+BU42+BW42+BY42+CA42+CC42+CE42+CG42+CI42+DA42+DC42+DE42+DG42+DI42+DK42+DM42+DO42+DQ42+DS42+DU42+DW42+DY42+EA42+EC42+EE42+EG42+EI42+EK42+EM42+EO42+EQ42+ES42+EU42+EW42+FO42+FS42+FU42+FW42+FQ42+FY42+GA42+GC42+GE42+GG42+GI42+GK42+GM42+GO42+GQ42+GS42+GU42+GW42+GY42+HA42+HC42+HE42+HG42+HI42+HK42+HM42+HO42+HQ42+HS42+HU42+HW42+HY42+IA42+IC42+IE42+IG42+II42+IK42+IM42+IO42+IQ42+IS42+IU42+IW42+IY42+JA42+JC42+JE42+JG42+JI42+JK42+JM42+KA42+CK42+CM42+CO42+CQ42+CS42+CU42+CW42+CY42+EY42+FA42+FC42+FE42+FG42+FI42+FK42+FM42</f>
        <v/>
      </c>
      <c r="KD42" s="44">
        <f>JO42+JQ42+JS42+JU42+JW42+JY42</f>
        <v/>
      </c>
      <c r="KE42" s="45">
        <f>KB42=E42</f>
        <v/>
      </c>
      <c r="KF42" s="101">
        <f>E42-KB42</f>
        <v/>
      </c>
      <c r="KG42" s="11" t="n"/>
    </row>
    <row r="43" ht="21.75" customFormat="1" customHeight="1" s="11">
      <c r="A43" s="126">
        <f>A42+1</f>
        <v/>
      </c>
      <c r="B43" s="175" t="inlineStr">
        <is>
          <t>Соколов Р.Т.</t>
        </is>
      </c>
      <c r="C43" s="176" t="inlineStr">
        <is>
          <t>сварщик</t>
        </is>
      </c>
      <c r="D43" s="177">
        <f>$D$5</f>
        <v/>
      </c>
      <c r="E43" s="202" t="n"/>
      <c r="F43" s="193" t="n">
        <v>84149.67999999999</v>
      </c>
      <c r="G43" s="52">
        <f>F43/D43</f>
        <v/>
      </c>
      <c r="H43" s="125" t="n"/>
      <c r="I43" s="107">
        <f>H43*100/$E$43</f>
        <v/>
      </c>
      <c r="J43" s="108" t="n"/>
      <c r="K43" s="107">
        <f>J43*100/$E$43</f>
        <v/>
      </c>
      <c r="L43" s="108" t="n"/>
      <c r="M43" s="107">
        <f>L43*100/$E$43</f>
        <v/>
      </c>
      <c r="N43" s="108" t="n"/>
      <c r="O43" s="107">
        <f>N43*100/$E$43</f>
        <v/>
      </c>
      <c r="P43" s="108" t="n"/>
      <c r="Q43" s="122">
        <f>P43*100/$E$43</f>
        <v/>
      </c>
      <c r="R43" s="108" t="n"/>
      <c r="S43" s="122">
        <f>R43*100/$E$43</f>
        <v/>
      </c>
      <c r="T43" s="108" t="n"/>
      <c r="U43" s="107">
        <f>T43*100/$E$43</f>
        <v/>
      </c>
      <c r="V43" s="108" t="n"/>
      <c r="W43" s="107">
        <f>V43*100/$E$43</f>
        <v/>
      </c>
      <c r="X43" s="108" t="n"/>
      <c r="Y43" s="107">
        <f>X43*100/$E$43</f>
        <v/>
      </c>
      <c r="Z43" s="108" t="n"/>
      <c r="AA43" s="107">
        <f>Z43*100/$E$43</f>
        <v/>
      </c>
      <c r="AB43" s="108" t="n"/>
      <c r="AC43" s="107">
        <f>AB43*100/$E$43</f>
        <v/>
      </c>
      <c r="AD43" s="108" t="n"/>
      <c r="AE43" s="122">
        <f>AD43*100/$E$43</f>
        <v/>
      </c>
      <c r="AF43" s="108" t="n"/>
      <c r="AG43" s="122">
        <f>AF43*100/$E$43</f>
        <v/>
      </c>
      <c r="AH43" s="108" t="n"/>
      <c r="AI43" s="107">
        <f>AH43*100/$E$43</f>
        <v/>
      </c>
      <c r="AJ43" s="108" t="n"/>
      <c r="AK43" s="107">
        <f>AJ43*100/$E$43</f>
        <v/>
      </c>
      <c r="AL43" s="108" t="n"/>
      <c r="AM43" s="107">
        <f>AL43*100/$E$43</f>
        <v/>
      </c>
      <c r="AN43" s="108" t="n"/>
      <c r="AO43" s="107">
        <f>AN43*100/$E$43</f>
        <v/>
      </c>
      <c r="AP43" s="108" t="n"/>
      <c r="AQ43" s="107">
        <f>AP43*100/$E$43</f>
        <v/>
      </c>
      <c r="AR43" s="108" t="n"/>
      <c r="AS43" s="107">
        <f>AR43*100/$E$43</f>
        <v/>
      </c>
      <c r="AT43" s="108" t="n"/>
      <c r="AU43" s="90">
        <f>AT43*100/$E$43</f>
        <v/>
      </c>
      <c r="AV43" s="108" t="n"/>
      <c r="AW43" s="107">
        <f>AV43*100/$E$43</f>
        <v/>
      </c>
      <c r="AX43" s="108" t="n"/>
      <c r="AY43" s="107">
        <f>AX43*100/$E$43</f>
        <v/>
      </c>
      <c r="AZ43" s="108" t="n"/>
      <c r="BA43" s="107">
        <f>AZ43*100/$E$43</f>
        <v/>
      </c>
      <c r="BB43" s="108" t="n"/>
      <c r="BC43" s="107">
        <f>BB43*100/$E$43</f>
        <v/>
      </c>
      <c r="BD43" s="108" t="n"/>
      <c r="BE43" s="107">
        <f>BD43*100/$E$43</f>
        <v/>
      </c>
      <c r="BF43" s="108" t="n"/>
      <c r="BG43" s="107">
        <f>BF43*100/$E$43</f>
        <v/>
      </c>
      <c r="BH43" s="108" t="n"/>
      <c r="BI43" s="107">
        <f>BH43*100/$E$43</f>
        <v/>
      </c>
      <c r="BJ43" s="108" t="n"/>
      <c r="BK43" s="107">
        <f>BJ43*100/$E$43</f>
        <v/>
      </c>
      <c r="BL43" s="108" t="n"/>
      <c r="BM43" s="107">
        <f>BL43*100/$E$43</f>
        <v/>
      </c>
      <c r="BN43" s="108" t="n"/>
      <c r="BO43" s="107">
        <f>BN43*100/$E$43</f>
        <v/>
      </c>
      <c r="BP43" s="108" t="n"/>
      <c r="BQ43" s="107">
        <f>BP43*100/$E$43</f>
        <v/>
      </c>
      <c r="BR43" s="108" t="n"/>
      <c r="BS43" s="107">
        <f>BR43*100/$E$43</f>
        <v/>
      </c>
      <c r="BT43" s="108" t="n"/>
      <c r="BU43" s="107">
        <f>BT43*100/$E$43</f>
        <v/>
      </c>
      <c r="BV43" s="108" t="n"/>
      <c r="BW43" s="107">
        <f>BV43*100/$E$43</f>
        <v/>
      </c>
      <c r="BX43" s="108" t="n"/>
      <c r="BY43" s="107">
        <f>BX43*100/$E$43</f>
        <v/>
      </c>
      <c r="BZ43" s="108" t="n"/>
      <c r="CA43" s="107">
        <f>BZ43*100/$E$43</f>
        <v/>
      </c>
      <c r="CB43" s="108" t="n"/>
      <c r="CC43" s="107">
        <f>CB43*100/$E$43</f>
        <v/>
      </c>
      <c r="CD43" s="108" t="n"/>
      <c r="CE43" s="107">
        <f>CD43*100/$E$43</f>
        <v/>
      </c>
      <c r="CF43" s="108" t="n"/>
      <c r="CG43" s="107">
        <f>CF43*100/$E$43</f>
        <v/>
      </c>
      <c r="CH43" s="108" t="n"/>
      <c r="CI43" s="107">
        <f>CH43*100/$E$43</f>
        <v/>
      </c>
      <c r="CJ43" s="108" t="n"/>
      <c r="CK43" s="107">
        <f>CJ43*100/$E$43</f>
        <v/>
      </c>
      <c r="CL43" s="108" t="n"/>
      <c r="CM43" s="107">
        <f>CL43*100/$E$43</f>
        <v/>
      </c>
      <c r="CN43" s="108" t="n"/>
      <c r="CO43" s="122">
        <f>CN43*100/$E$43</f>
        <v/>
      </c>
      <c r="CP43" s="108" t="n"/>
      <c r="CQ43" s="107">
        <f>CP43*100/$E$43</f>
        <v/>
      </c>
      <c r="CR43" s="108" t="n"/>
      <c r="CS43" s="122">
        <f>CR43*100/$E$43</f>
        <v/>
      </c>
      <c r="CT43" s="108" t="n"/>
      <c r="CU43" s="122">
        <f>CT43*100/$E$43</f>
        <v/>
      </c>
      <c r="CV43" s="108" t="n"/>
      <c r="CW43" s="122">
        <f>CV43*100/$E$43</f>
        <v/>
      </c>
      <c r="CX43" s="108" t="n"/>
      <c r="CY43" s="122">
        <f>CX43*100/$E$43</f>
        <v/>
      </c>
      <c r="CZ43" s="108" t="n"/>
      <c r="DA43" s="122">
        <f>CZ43*100/$E$43</f>
        <v/>
      </c>
      <c r="DB43" s="108" t="n"/>
      <c r="DC43" s="122">
        <f>DB43*100/$E$43</f>
        <v/>
      </c>
      <c r="DD43" s="108" t="n"/>
      <c r="DE43" s="122">
        <f>DD43*100/$E$43</f>
        <v/>
      </c>
      <c r="DF43" s="108" t="n"/>
      <c r="DG43" s="122">
        <f>DF43*100/$E$43</f>
        <v/>
      </c>
      <c r="DH43" s="108" t="n"/>
      <c r="DI43" s="122">
        <f>DH43*100/$E$43</f>
        <v/>
      </c>
      <c r="DJ43" s="108" t="n"/>
      <c r="DK43" s="122">
        <f>DJ43*100/$E$43</f>
        <v/>
      </c>
      <c r="DL43" s="108" t="n"/>
      <c r="DM43" s="122">
        <f>DL43*100/$E$43</f>
        <v/>
      </c>
      <c r="DN43" s="108" t="n"/>
      <c r="DO43" s="122">
        <f>DN43*100/$E$43</f>
        <v/>
      </c>
      <c r="DP43" s="108" t="n"/>
      <c r="DQ43" s="122">
        <f>DP43*100/$E$43</f>
        <v/>
      </c>
      <c r="DR43" s="108" t="n"/>
      <c r="DS43" s="122">
        <f>DR43*100/$E$43</f>
        <v/>
      </c>
      <c r="DT43" s="108" t="n"/>
      <c r="DU43" s="122">
        <f>DT43*100/$E$43</f>
        <v/>
      </c>
      <c r="DV43" s="108" t="n"/>
      <c r="DW43" s="122">
        <f>DV43*100/$E$43</f>
        <v/>
      </c>
      <c r="DX43" s="108" t="n"/>
      <c r="DY43" s="122">
        <f>DX43*100/$E$43</f>
        <v/>
      </c>
      <c r="DZ43" s="108" t="n"/>
      <c r="EA43" s="122">
        <f>DZ43*100/$E$43</f>
        <v/>
      </c>
      <c r="EB43" s="108" t="n"/>
      <c r="EC43" s="122">
        <f>EB43*100/$E$43</f>
        <v/>
      </c>
      <c r="ED43" s="108" t="n"/>
      <c r="EE43" s="122">
        <f>ED43*100/$E$43</f>
        <v/>
      </c>
      <c r="EF43" s="108" t="n"/>
      <c r="EG43" s="122">
        <f>EF43*100/$E$43</f>
        <v/>
      </c>
      <c r="EH43" s="108" t="n"/>
      <c r="EI43" s="122">
        <f>EH43*100/$E$43</f>
        <v/>
      </c>
      <c r="EJ43" s="108" t="n"/>
      <c r="EK43" s="122">
        <f>EJ43*100/$E$43</f>
        <v/>
      </c>
      <c r="EL43" s="108" t="n"/>
      <c r="EM43" s="122">
        <f>EL43*100/$E$43</f>
        <v/>
      </c>
      <c r="EN43" s="108" t="n"/>
      <c r="EO43" s="122">
        <f>EN43*100/$E$43</f>
        <v/>
      </c>
      <c r="EP43" s="108" t="n"/>
      <c r="EQ43" s="122">
        <f>EP43*100/$E$43</f>
        <v/>
      </c>
      <c r="ER43" s="108" t="n"/>
      <c r="ES43" s="122">
        <f>ER43*100/$E$43</f>
        <v/>
      </c>
      <c r="ET43" s="108" t="n"/>
      <c r="EU43" s="122">
        <f>ET43*100/$E$43</f>
        <v/>
      </c>
      <c r="EV43" s="108" t="n"/>
      <c r="EW43" s="122">
        <f>EV43*100/$E$43</f>
        <v/>
      </c>
      <c r="EX43" s="108" t="n"/>
      <c r="EY43" s="122">
        <f>EX43*100/$E$43</f>
        <v/>
      </c>
      <c r="EZ43" s="108" t="n"/>
      <c r="FA43" s="122">
        <f>EZ43*100/$E$43</f>
        <v/>
      </c>
      <c r="FB43" s="108" t="n"/>
      <c r="FC43" s="122">
        <f>FB43*100/$E$43</f>
        <v/>
      </c>
      <c r="FD43" s="108" t="n"/>
      <c r="FE43" s="122">
        <f>FD43*100/$E$43</f>
        <v/>
      </c>
      <c r="FF43" s="108" t="n"/>
      <c r="FG43" s="122">
        <f>FF43*100/$E$43</f>
        <v/>
      </c>
      <c r="FH43" s="108" t="n"/>
      <c r="FI43" s="122">
        <f>FH43*100/$E$43</f>
        <v/>
      </c>
      <c r="FJ43" s="108" t="n"/>
      <c r="FK43" s="122">
        <f>FJ43*100/$E$43</f>
        <v/>
      </c>
      <c r="FL43" s="108" t="n"/>
      <c r="FM43" s="122">
        <f>FL43*100/$E$43</f>
        <v/>
      </c>
      <c r="FN43" s="108" t="n"/>
      <c r="FO43" s="122">
        <f>FN43*100/$E$43</f>
        <v/>
      </c>
      <c r="FP43" s="108" t="n"/>
      <c r="FQ43" s="122">
        <f>FP43*100/$E$43</f>
        <v/>
      </c>
      <c r="FR43" s="108" t="n"/>
      <c r="FS43" s="122">
        <f>FR43*100/$E$43</f>
        <v/>
      </c>
      <c r="FT43" s="108" t="n"/>
      <c r="FU43" s="122">
        <f>FT43*100/$E$43</f>
        <v/>
      </c>
      <c r="FV43" s="108" t="n"/>
      <c r="FW43" s="122">
        <f>FV43*100/$E$43</f>
        <v/>
      </c>
      <c r="FX43" s="108" t="n"/>
      <c r="FY43" s="107">
        <f>FX43*100/$E$43</f>
        <v/>
      </c>
      <c r="FZ43" s="108" t="n"/>
      <c r="GA43" s="107">
        <f>FZ43*100/$E$43</f>
        <v/>
      </c>
      <c r="GB43" s="108" t="n"/>
      <c r="GC43" s="107">
        <f>GB43*100/$E$43</f>
        <v/>
      </c>
      <c r="GD43" s="108" t="n"/>
      <c r="GE43" s="107">
        <f>GD43*100/$E$43</f>
        <v/>
      </c>
      <c r="GF43" s="108" t="n"/>
      <c r="GG43" s="107">
        <f>GF43*100/$E$43</f>
        <v/>
      </c>
      <c r="GH43" s="108" t="n"/>
      <c r="GI43" s="107">
        <f>GH43*100/$E$43</f>
        <v/>
      </c>
      <c r="GJ43" s="108" t="n"/>
      <c r="GK43" s="122">
        <f>GJ43*100/$E$43</f>
        <v/>
      </c>
      <c r="GL43" s="108" t="n"/>
      <c r="GM43" s="107">
        <f>GL43*100/$E$43</f>
        <v/>
      </c>
      <c r="GN43" s="108" t="n"/>
      <c r="GO43" s="122">
        <f>GN43*100/$E$43</f>
        <v/>
      </c>
      <c r="GP43" s="108" t="n"/>
      <c r="GQ43" s="107">
        <f>GP43*100/$E$43</f>
        <v/>
      </c>
      <c r="GR43" s="108" t="n"/>
      <c r="GS43" s="122">
        <f>GR43*100/$E$43</f>
        <v/>
      </c>
      <c r="GT43" s="108" t="n"/>
      <c r="GU43" s="122">
        <f>GT43*100/$E$43</f>
        <v/>
      </c>
      <c r="GV43" s="108" t="n"/>
      <c r="GW43" s="122">
        <f>GV43*100/$E$43</f>
        <v/>
      </c>
      <c r="GX43" s="108" t="n"/>
      <c r="GY43" s="107">
        <f>GX43*100/$E$43</f>
        <v/>
      </c>
      <c r="GZ43" s="108" t="n"/>
      <c r="HA43" s="107">
        <f>GZ43*100/$E$43</f>
        <v/>
      </c>
      <c r="HB43" s="108" t="n"/>
      <c r="HC43" s="107">
        <f>HB43*100/$E$43</f>
        <v/>
      </c>
      <c r="HD43" s="108" t="n"/>
      <c r="HE43" s="107">
        <f>HD43*100/$E$43</f>
        <v/>
      </c>
      <c r="HF43" s="108" t="n"/>
      <c r="HG43" s="107">
        <f>HF43*100/$E$43</f>
        <v/>
      </c>
      <c r="HH43" s="108" t="n"/>
      <c r="HI43" s="107">
        <f>HH43*100/$E$43</f>
        <v/>
      </c>
      <c r="HJ43" s="108" t="n"/>
      <c r="HK43" s="107">
        <f>HJ43*100/$E$43</f>
        <v/>
      </c>
      <c r="HL43" s="108" t="n"/>
      <c r="HM43" s="107">
        <f>HL43*100/$E$43</f>
        <v/>
      </c>
      <c r="HN43" s="108" t="n"/>
      <c r="HO43" s="107">
        <f>HN43*100/$E$43</f>
        <v/>
      </c>
      <c r="HP43" s="108" t="n"/>
      <c r="HQ43" s="107">
        <f>HP43*100/$E$43</f>
        <v/>
      </c>
      <c r="HR43" s="108" t="n"/>
      <c r="HS43" s="107">
        <f>HR43*100/$E$43</f>
        <v/>
      </c>
      <c r="HT43" s="108" t="n"/>
      <c r="HU43" s="107">
        <f>HT43*100/$E$43</f>
        <v/>
      </c>
      <c r="HV43" s="108" t="n"/>
      <c r="HW43" s="107">
        <f>HV43*100/$E$43</f>
        <v/>
      </c>
      <c r="HX43" s="108" t="n"/>
      <c r="HY43" s="107">
        <f>HX43*100/$E$43</f>
        <v/>
      </c>
      <c r="HZ43" s="108" t="n"/>
      <c r="IA43" s="122">
        <f>HZ43*100/$E$43</f>
        <v/>
      </c>
      <c r="IB43" s="108" t="n"/>
      <c r="IC43" s="122">
        <f>IB43*100/$E$43</f>
        <v/>
      </c>
      <c r="ID43" s="108" t="n"/>
      <c r="IE43" s="122">
        <f>ID43*100/$E$43</f>
        <v/>
      </c>
      <c r="IF43" s="108" t="n"/>
      <c r="IG43" s="122">
        <f>IF43*100/$E$43</f>
        <v/>
      </c>
      <c r="IH43" s="108" t="n"/>
      <c r="II43" s="122">
        <f>IH43*100/$E$43</f>
        <v/>
      </c>
      <c r="IJ43" s="108" t="n"/>
      <c r="IK43" s="122">
        <f>IJ43*100/$E$43</f>
        <v/>
      </c>
      <c r="IL43" s="108" t="n"/>
      <c r="IM43" s="107">
        <f>IL43*100/$E$43</f>
        <v/>
      </c>
      <c r="IN43" s="108" t="n"/>
      <c r="IO43" s="107">
        <f>IN43*100/$E$43</f>
        <v/>
      </c>
      <c r="IP43" s="108" t="n"/>
      <c r="IQ43" s="122">
        <f>IP43*100/$E$43</f>
        <v/>
      </c>
      <c r="IR43" s="108" t="n"/>
      <c r="IS43" s="122">
        <f>IR43*100/$E$43</f>
        <v/>
      </c>
      <c r="IT43" s="108" t="n"/>
      <c r="IU43" s="122">
        <f>IT43*100/$E$43</f>
        <v/>
      </c>
      <c r="IV43" s="108" t="n"/>
      <c r="IW43" s="122">
        <f>IV43*100/$E$43</f>
        <v/>
      </c>
      <c r="IX43" s="108" t="n"/>
      <c r="IY43" s="122">
        <f>IX43*100/$E$43</f>
        <v/>
      </c>
      <c r="IZ43" s="108" t="n"/>
      <c r="JA43" s="122">
        <f>IZ43*100/$E$43</f>
        <v/>
      </c>
      <c r="JB43" s="108" t="n"/>
      <c r="JC43" s="122">
        <f>JB43*100/$E$43</f>
        <v/>
      </c>
      <c r="JD43" s="108" t="n"/>
      <c r="JE43" s="122">
        <f>JD43*100/$E$43</f>
        <v/>
      </c>
      <c r="JF43" s="108" t="n"/>
      <c r="JG43" s="122">
        <f>JF43*100/$E$43</f>
        <v/>
      </c>
      <c r="JH43" s="108" t="n"/>
      <c r="JI43" s="122">
        <f>JH43*100/$E$43</f>
        <v/>
      </c>
      <c r="JJ43" s="108" t="n"/>
      <c r="JK43" s="122">
        <f>JJ43*100/$E$43</f>
        <v/>
      </c>
      <c r="JL43" s="108" t="n"/>
      <c r="JM43" s="122">
        <f>JL43*100/$E$43</f>
        <v/>
      </c>
      <c r="JN43" s="108" t="n"/>
      <c r="JO43" s="121">
        <f>JN43*100/$E$43</f>
        <v/>
      </c>
      <c r="JP43" s="108" t="n"/>
      <c r="JQ43" s="121">
        <f>JP43*100/$E$43</f>
        <v/>
      </c>
      <c r="JR43" s="108" t="n"/>
      <c r="JS43" s="121">
        <f>JR43*100/$E$43</f>
        <v/>
      </c>
      <c r="JT43" s="108" t="n"/>
      <c r="JU43" s="121">
        <f>JT43*100/$E$43</f>
        <v/>
      </c>
      <c r="JV43" s="108" t="n"/>
      <c r="JW43" s="121">
        <f>JV43*100/$E$43</f>
        <v/>
      </c>
      <c r="JX43" s="108" t="n"/>
      <c r="JY43" s="121">
        <f>JX43*100/$E$43</f>
        <v/>
      </c>
      <c r="JZ43" s="55">
        <f>JN43+JP43+JR43+JT43+JV43+JX43</f>
        <v/>
      </c>
      <c r="KA43" s="53">
        <f>JO43+JQ43+JS43+JU43+JW43+JY43</f>
        <v/>
      </c>
      <c r="KB43" s="64">
        <f>H43+J43+L43+N43+P43+R43+T43+V43+X43+Z43+AB43+AD43+AF43+AH43+AJ43+AL43+AN43+AP43+AR43+AT43+AV43+AX43+AZ43+BB43+BD43+BF43+BH43+BJ43+BL43+BN43+BP43+BR43+BT43+BV43+BX43+BZ43+CB43+CD43+CF43+CH43+CZ43+DB43+DD43+DF43+DH43+DJ43+DL43+DN43+DP43+DR43+DT43+DV43+DX43+DZ43+EB43+ED43+EF43+EH43+EJ43+EL43+EN43+EP43+ER43+ET43+EV43+FN43+FP43+FR43+FT43+FV43+FX43+FZ43+GB43+GD43+GF43+GH43+GJ43+GL43+GN43+GP43+GR43+GT43+GV43+GX43+GZ43+HB43+HD43+HF43+HH43+HJ43+HL43+HN43+HP43+HR43+HT43+HV43+HX43+HZ43+IB43+ID43+IF43+IH43+IJ43+IL43+IN43+IP43+IR43+IT43+IV43+IX43+IZ43+JB43+JD43+JF43+JH43+JJ43+JL43+JZ43+CJ43+CL43+CN43+CP43+CR43+CT43+CV43+CX43+EX43+EZ43+FB43+FD43+FF43+FH43+FJ43+FL43</f>
        <v/>
      </c>
      <c r="KC43" s="66">
        <f>I43+K43+M43+O43+Q43+S43+U43+W43+Y43+AA43+AC43+AE43+AG43+AI43+AK43+AM43+AO43+AQ43+AS43+AU43+AW43+AY43+BA43+BC43+BE43+BG43+BI43+BK43+BM43+BO43+BQ43+BS43+BU43+BW43+BY43+CA43+CC43+CE43+CG43+CI43+DA43+DC43+DE43+DG43+DI43+DK43+DM43+DO43+DQ43+DS43+DU43+DW43+DY43+EA43+EC43+EE43+EG43+EI43+EK43+EM43+EO43+EQ43+ES43+EU43+EW43+FO43+FS43+FU43+FW43+FQ43+FY43+GA43+GC43+GE43+GG43+GI43+GK43+GM43+GO43+GQ43+GS43+GU43+GW43+GY43+HA43+HC43+HE43+HG43+HI43+HK43+HM43+HO43+HQ43+HS43+HU43+HW43+HY43+IA43+IC43+IE43+IG43+II43+IK43+IM43+IO43+IQ43+IS43+IU43+IW43+IY43+JA43+JC43+JE43+JG43+JI43+JK43+JM43+KA43+CK43+CM43+CO43+CQ43+CS43+CU43+CW43+CY43+EY43+FA43+FC43+FE43+FG43+FI43+FK43+FM43</f>
        <v/>
      </c>
      <c r="KD43" s="44">
        <f>JO43+JQ43+JS43+JU43+JW43+JY43</f>
        <v/>
      </c>
      <c r="KE43" s="45">
        <f>KB43=E43</f>
        <v/>
      </c>
      <c r="KF43" s="101">
        <f>E43-KB43</f>
        <v/>
      </c>
      <c r="KG43" s="26" t="n"/>
    </row>
    <row r="44" ht="21.75" customFormat="1" customHeight="1" s="26">
      <c r="A44" s="126">
        <f>A43+1</f>
        <v/>
      </c>
      <c r="B44" s="175" t="inlineStr">
        <is>
          <t>Сорокин Е</t>
        </is>
      </c>
      <c r="C44" s="176" t="inlineStr">
        <is>
          <t>сварщик</t>
        </is>
      </c>
      <c r="D44" s="177">
        <f>$D$5</f>
        <v/>
      </c>
      <c r="E44" s="202" t="n"/>
      <c r="F44" s="193" t="n">
        <v>84149.67999999999</v>
      </c>
      <c r="G44" s="52">
        <f>F44/D44</f>
        <v/>
      </c>
      <c r="H44" s="125" t="n"/>
      <c r="I44" s="107">
        <f>H44*100/$E$44</f>
        <v/>
      </c>
      <c r="J44" s="108" t="n"/>
      <c r="K44" s="107">
        <f>J44*100/$E$44</f>
        <v/>
      </c>
      <c r="L44" s="108" t="n"/>
      <c r="M44" s="107">
        <f>L44*100/$E$44</f>
        <v/>
      </c>
      <c r="N44" s="108" t="n"/>
      <c r="O44" s="107">
        <f>N44*100/$E$44</f>
        <v/>
      </c>
      <c r="P44" s="108" t="n"/>
      <c r="Q44" s="122">
        <f>P44*100/$E$44</f>
        <v/>
      </c>
      <c r="R44" s="108" t="n"/>
      <c r="S44" s="122">
        <f>R44*100/$E$44</f>
        <v/>
      </c>
      <c r="T44" s="108" t="n"/>
      <c r="U44" s="107">
        <f>T44*100/$E$44</f>
        <v/>
      </c>
      <c r="V44" s="108" t="n"/>
      <c r="W44" s="107">
        <f>V44*100/$E$44</f>
        <v/>
      </c>
      <c r="X44" s="108" t="n"/>
      <c r="Y44" s="107">
        <f>X44*100/$E$44</f>
        <v/>
      </c>
      <c r="Z44" s="108" t="n"/>
      <c r="AA44" s="107">
        <f>Z44*100/$E$44</f>
        <v/>
      </c>
      <c r="AB44" s="108" t="n"/>
      <c r="AC44" s="107">
        <f>AB44*100/$E$44</f>
        <v/>
      </c>
      <c r="AD44" s="108" t="n"/>
      <c r="AE44" s="122">
        <f>AD44*100/$E$44</f>
        <v/>
      </c>
      <c r="AF44" s="108" t="n"/>
      <c r="AG44" s="122">
        <f>AF44*100/$E$44</f>
        <v/>
      </c>
      <c r="AH44" s="108" t="n"/>
      <c r="AI44" s="107">
        <f>AH44*100/$E$44</f>
        <v/>
      </c>
      <c r="AJ44" s="108" t="n"/>
      <c r="AK44" s="107">
        <f>AJ44*100/$E$44</f>
        <v/>
      </c>
      <c r="AL44" s="108" t="n"/>
      <c r="AM44" s="107">
        <f>AL44*100/$E$44</f>
        <v/>
      </c>
      <c r="AN44" s="108" t="n"/>
      <c r="AO44" s="107">
        <f>AN44*100/$E$44</f>
        <v/>
      </c>
      <c r="AP44" s="108" t="n"/>
      <c r="AQ44" s="107">
        <f>AP44*100/$E$44</f>
        <v/>
      </c>
      <c r="AR44" s="108" t="n"/>
      <c r="AS44" s="107">
        <f>AR44*100/$E$44</f>
        <v/>
      </c>
      <c r="AT44" s="108" t="n"/>
      <c r="AU44" s="90">
        <f>AT44*100/$E$44</f>
        <v/>
      </c>
      <c r="AV44" s="108" t="n"/>
      <c r="AW44" s="107">
        <f>AV44*100/$E$44</f>
        <v/>
      </c>
      <c r="AX44" s="108" t="n"/>
      <c r="AY44" s="107">
        <f>AX44*100/$E$44</f>
        <v/>
      </c>
      <c r="AZ44" s="108" t="n"/>
      <c r="BA44" s="107">
        <f>AZ44*100/$E$44</f>
        <v/>
      </c>
      <c r="BB44" s="108" t="n"/>
      <c r="BC44" s="107">
        <f>BB44*100/$E$44</f>
        <v/>
      </c>
      <c r="BD44" s="108" t="n"/>
      <c r="BE44" s="107">
        <f>BD44*100/$E$44</f>
        <v/>
      </c>
      <c r="BF44" s="108" t="n"/>
      <c r="BG44" s="107">
        <f>BF44*100/$E$44</f>
        <v/>
      </c>
      <c r="BH44" s="108" t="n"/>
      <c r="BI44" s="107">
        <f>BH44*100/$E$44</f>
        <v/>
      </c>
      <c r="BJ44" s="108" t="n"/>
      <c r="BK44" s="107">
        <f>BJ44*100/$E$44</f>
        <v/>
      </c>
      <c r="BL44" s="108" t="n"/>
      <c r="BM44" s="107">
        <f>BL44*100/$E$44</f>
        <v/>
      </c>
      <c r="BN44" s="108" t="n"/>
      <c r="BO44" s="107">
        <f>BN44*100/$E$44</f>
        <v/>
      </c>
      <c r="BP44" s="108" t="n"/>
      <c r="BQ44" s="107">
        <f>BP44*100/$E$44</f>
        <v/>
      </c>
      <c r="BR44" s="108" t="n"/>
      <c r="BS44" s="107">
        <f>BR44*100/$E$44</f>
        <v/>
      </c>
      <c r="BT44" s="108" t="n"/>
      <c r="BU44" s="107">
        <f>BT44*100/$E$44</f>
        <v/>
      </c>
      <c r="BV44" s="108" t="n"/>
      <c r="BW44" s="107">
        <f>BV44*100/$E$44</f>
        <v/>
      </c>
      <c r="BX44" s="108" t="n"/>
      <c r="BY44" s="107">
        <f>BX44*100/$E$44</f>
        <v/>
      </c>
      <c r="BZ44" s="108" t="n"/>
      <c r="CA44" s="107">
        <f>BZ44*100/$E$44</f>
        <v/>
      </c>
      <c r="CB44" s="108" t="n"/>
      <c r="CC44" s="107">
        <f>CB44*100/$E$44</f>
        <v/>
      </c>
      <c r="CD44" s="108" t="n"/>
      <c r="CE44" s="107">
        <f>CD44*100/$E$44</f>
        <v/>
      </c>
      <c r="CF44" s="108" t="n"/>
      <c r="CG44" s="107">
        <f>CF44*100/$E$44</f>
        <v/>
      </c>
      <c r="CH44" s="108" t="n"/>
      <c r="CI44" s="107">
        <f>CH44*100/$E$44</f>
        <v/>
      </c>
      <c r="CJ44" s="108" t="n"/>
      <c r="CK44" s="107">
        <f>CJ44*100/$E$44</f>
        <v/>
      </c>
      <c r="CL44" s="108" t="n"/>
      <c r="CM44" s="107">
        <f>CL44*100/$E$44</f>
        <v/>
      </c>
      <c r="CN44" s="108" t="n"/>
      <c r="CO44" s="122">
        <f>CN44*100/$E$44</f>
        <v/>
      </c>
      <c r="CP44" s="108" t="n"/>
      <c r="CQ44" s="107">
        <f>CP44*100/$E$44</f>
        <v/>
      </c>
      <c r="CR44" s="108" t="n"/>
      <c r="CS44" s="122">
        <f>CR44*100/$E$44</f>
        <v/>
      </c>
      <c r="CT44" s="108" t="n"/>
      <c r="CU44" s="122">
        <f>CT44*100/$E$44</f>
        <v/>
      </c>
      <c r="CV44" s="108" t="n"/>
      <c r="CW44" s="122">
        <f>CV44*100/$E$44</f>
        <v/>
      </c>
      <c r="CX44" s="108" t="n"/>
      <c r="CY44" s="122">
        <f>CX44*100/$E$44</f>
        <v/>
      </c>
      <c r="CZ44" s="108" t="n"/>
      <c r="DA44" s="122">
        <f>CZ44*100/$E$44</f>
        <v/>
      </c>
      <c r="DB44" s="108" t="n"/>
      <c r="DC44" s="122">
        <f>DB44*100/$E$44</f>
        <v/>
      </c>
      <c r="DD44" s="108" t="n"/>
      <c r="DE44" s="122">
        <f>DD44*100/$E$44</f>
        <v/>
      </c>
      <c r="DF44" s="108" t="n"/>
      <c r="DG44" s="122">
        <f>DF44*100/$E$44</f>
        <v/>
      </c>
      <c r="DH44" s="108" t="n"/>
      <c r="DI44" s="122">
        <f>DH44*100/$E$44</f>
        <v/>
      </c>
      <c r="DJ44" s="108" t="n"/>
      <c r="DK44" s="122">
        <f>DJ44*100/$E$44</f>
        <v/>
      </c>
      <c r="DL44" s="108" t="n"/>
      <c r="DM44" s="122">
        <f>DL44*100/$E$44</f>
        <v/>
      </c>
      <c r="DN44" s="108" t="n"/>
      <c r="DO44" s="122">
        <f>DN44*100/$E$44</f>
        <v/>
      </c>
      <c r="DP44" s="108" t="n"/>
      <c r="DQ44" s="122">
        <f>DP44*100/$E$44</f>
        <v/>
      </c>
      <c r="DR44" s="108" t="n"/>
      <c r="DS44" s="122">
        <f>DR44*100/$E$44</f>
        <v/>
      </c>
      <c r="DT44" s="108" t="n"/>
      <c r="DU44" s="122">
        <f>DT44*100/$E$44</f>
        <v/>
      </c>
      <c r="DV44" s="108" t="n"/>
      <c r="DW44" s="122">
        <f>DV44*100/$E$44</f>
        <v/>
      </c>
      <c r="DX44" s="108" t="n"/>
      <c r="DY44" s="122">
        <f>DX44*100/$E$44</f>
        <v/>
      </c>
      <c r="DZ44" s="108" t="n"/>
      <c r="EA44" s="122">
        <f>DZ44*100/$E$44</f>
        <v/>
      </c>
      <c r="EB44" s="108" t="n"/>
      <c r="EC44" s="122">
        <f>EB44*100/$E$44</f>
        <v/>
      </c>
      <c r="ED44" s="108" t="n"/>
      <c r="EE44" s="122">
        <f>ED44*100/$E$44</f>
        <v/>
      </c>
      <c r="EF44" s="108" t="n"/>
      <c r="EG44" s="122">
        <f>EF44*100/$E$44</f>
        <v/>
      </c>
      <c r="EH44" s="108" t="n"/>
      <c r="EI44" s="122">
        <f>EH44*100/$E$44</f>
        <v/>
      </c>
      <c r="EJ44" s="108" t="n"/>
      <c r="EK44" s="122">
        <f>EJ44*100/$E$44</f>
        <v/>
      </c>
      <c r="EL44" s="108" t="n"/>
      <c r="EM44" s="122">
        <f>EL44*100/$E$44</f>
        <v/>
      </c>
      <c r="EN44" s="108" t="n"/>
      <c r="EO44" s="122">
        <f>EN44*100/$E$44</f>
        <v/>
      </c>
      <c r="EP44" s="108" t="n"/>
      <c r="EQ44" s="122">
        <f>EP44*100/$E$44</f>
        <v/>
      </c>
      <c r="ER44" s="108" t="n"/>
      <c r="ES44" s="122">
        <f>ER44*100/$E$44</f>
        <v/>
      </c>
      <c r="ET44" s="108" t="n"/>
      <c r="EU44" s="122">
        <f>ET44*100/$E$44</f>
        <v/>
      </c>
      <c r="EV44" s="108" t="n"/>
      <c r="EW44" s="122">
        <f>EV44*100/$E$44</f>
        <v/>
      </c>
      <c r="EX44" s="108" t="n"/>
      <c r="EY44" s="122">
        <f>EX44*100/$E$44</f>
        <v/>
      </c>
      <c r="EZ44" s="108" t="n"/>
      <c r="FA44" s="122">
        <f>EZ44*100/$E$44</f>
        <v/>
      </c>
      <c r="FB44" s="108" t="n"/>
      <c r="FC44" s="122">
        <f>FB44*100/$E$44</f>
        <v/>
      </c>
      <c r="FD44" s="108" t="n"/>
      <c r="FE44" s="122">
        <f>FD44*100/$E$44</f>
        <v/>
      </c>
      <c r="FF44" s="108" t="n"/>
      <c r="FG44" s="122">
        <f>FF44*100/$E$44</f>
        <v/>
      </c>
      <c r="FH44" s="108" t="n"/>
      <c r="FI44" s="122">
        <f>FH44*100/$E$44</f>
        <v/>
      </c>
      <c r="FJ44" s="108" t="n"/>
      <c r="FK44" s="122">
        <f>FJ44*100/$E$44</f>
        <v/>
      </c>
      <c r="FL44" s="108" t="n"/>
      <c r="FM44" s="122">
        <f>FL44*100/$E$44</f>
        <v/>
      </c>
      <c r="FN44" s="108" t="n"/>
      <c r="FO44" s="122">
        <f>FN44*100/$E$44</f>
        <v/>
      </c>
      <c r="FP44" s="108" t="n"/>
      <c r="FQ44" s="122">
        <f>FP44*100/$E$44</f>
        <v/>
      </c>
      <c r="FR44" s="108" t="n"/>
      <c r="FS44" s="122">
        <f>FR44*100/$E$44</f>
        <v/>
      </c>
      <c r="FT44" s="108" t="n"/>
      <c r="FU44" s="122">
        <f>FT44*100/$E$44</f>
        <v/>
      </c>
      <c r="FV44" s="108" t="n"/>
      <c r="FW44" s="122">
        <f>FV44*100/$E$44</f>
        <v/>
      </c>
      <c r="FX44" s="108" t="n"/>
      <c r="FY44" s="107">
        <f>FX44*100/$E$44</f>
        <v/>
      </c>
      <c r="FZ44" s="108" t="n"/>
      <c r="GA44" s="107">
        <f>FZ44*100/$E$44</f>
        <v/>
      </c>
      <c r="GB44" s="108" t="n"/>
      <c r="GC44" s="107">
        <f>GB44*100/$E$44</f>
        <v/>
      </c>
      <c r="GD44" s="108" t="n"/>
      <c r="GE44" s="107">
        <f>GD44*100/$E$44</f>
        <v/>
      </c>
      <c r="GF44" s="108" t="n"/>
      <c r="GG44" s="107">
        <f>GF44*100/$E$44</f>
        <v/>
      </c>
      <c r="GH44" s="108" t="n"/>
      <c r="GI44" s="107">
        <f>GH44*100/$E$44</f>
        <v/>
      </c>
      <c r="GJ44" s="108" t="n"/>
      <c r="GK44" s="122">
        <f>GJ44*100/$E$44</f>
        <v/>
      </c>
      <c r="GL44" s="108" t="n"/>
      <c r="GM44" s="107">
        <f>GL44*100/$E$44</f>
        <v/>
      </c>
      <c r="GN44" s="108" t="n"/>
      <c r="GO44" s="122">
        <f>GN44*100/$E$44</f>
        <v/>
      </c>
      <c r="GP44" s="108" t="n"/>
      <c r="GQ44" s="107">
        <f>GP44*100/$E$44</f>
        <v/>
      </c>
      <c r="GR44" s="108" t="n"/>
      <c r="GS44" s="122">
        <f>GR44*100/$E$44</f>
        <v/>
      </c>
      <c r="GT44" s="108" t="n"/>
      <c r="GU44" s="122">
        <f>GT44*100/$E$44</f>
        <v/>
      </c>
      <c r="GV44" s="108" t="n"/>
      <c r="GW44" s="122">
        <f>GV44*100/$E$44</f>
        <v/>
      </c>
      <c r="GX44" s="108" t="n"/>
      <c r="GY44" s="107">
        <f>GX44*100/$E$44</f>
        <v/>
      </c>
      <c r="GZ44" s="108" t="n"/>
      <c r="HA44" s="107">
        <f>GZ44*100/$E$44</f>
        <v/>
      </c>
      <c r="HB44" s="108" t="n"/>
      <c r="HC44" s="107">
        <f>HB44*100/$E$44</f>
        <v/>
      </c>
      <c r="HD44" s="108" t="n"/>
      <c r="HE44" s="107">
        <f>HD44*100/$E$44</f>
        <v/>
      </c>
      <c r="HF44" s="108" t="n"/>
      <c r="HG44" s="107">
        <f>HF44*100/$E$44</f>
        <v/>
      </c>
      <c r="HH44" s="108" t="n"/>
      <c r="HI44" s="107">
        <f>HH44*100/$E$44</f>
        <v/>
      </c>
      <c r="HJ44" s="108" t="n"/>
      <c r="HK44" s="107">
        <f>HJ44*100/$E$44</f>
        <v/>
      </c>
      <c r="HL44" s="108" t="n"/>
      <c r="HM44" s="107">
        <f>HL44*100/$E$44</f>
        <v/>
      </c>
      <c r="HN44" s="108" t="n"/>
      <c r="HO44" s="107">
        <f>HN44*100/$E$44</f>
        <v/>
      </c>
      <c r="HP44" s="108" t="n"/>
      <c r="HQ44" s="107">
        <f>HP44*100/$E$44</f>
        <v/>
      </c>
      <c r="HR44" s="108" t="n"/>
      <c r="HS44" s="107">
        <f>HR44*100/$E$44</f>
        <v/>
      </c>
      <c r="HT44" s="108" t="n"/>
      <c r="HU44" s="107">
        <f>HT44*100/$E$44</f>
        <v/>
      </c>
      <c r="HV44" s="108" t="n"/>
      <c r="HW44" s="107">
        <f>HV44*100/$E$44</f>
        <v/>
      </c>
      <c r="HX44" s="108" t="n"/>
      <c r="HY44" s="107">
        <f>HX44*100/$E$44</f>
        <v/>
      </c>
      <c r="HZ44" s="108" t="n"/>
      <c r="IA44" s="122">
        <f>HZ44*100/$E$44</f>
        <v/>
      </c>
      <c r="IB44" s="108" t="n"/>
      <c r="IC44" s="122">
        <f>IB44*100/$E$44</f>
        <v/>
      </c>
      <c r="ID44" s="108" t="n"/>
      <c r="IE44" s="122">
        <f>ID44*100/$E$44</f>
        <v/>
      </c>
      <c r="IF44" s="108" t="n"/>
      <c r="IG44" s="122">
        <f>IF44*100/$E$44</f>
        <v/>
      </c>
      <c r="IH44" s="108" t="n"/>
      <c r="II44" s="122">
        <f>IH44*100/$E$44</f>
        <v/>
      </c>
      <c r="IJ44" s="108" t="n"/>
      <c r="IK44" s="122">
        <f>IJ44*100/$E$44</f>
        <v/>
      </c>
      <c r="IL44" s="108" t="n"/>
      <c r="IM44" s="107">
        <f>IL44*100/$E$44</f>
        <v/>
      </c>
      <c r="IN44" s="108" t="n"/>
      <c r="IO44" s="107">
        <f>IN44*100/$E$44</f>
        <v/>
      </c>
      <c r="IP44" s="108" t="n"/>
      <c r="IQ44" s="122">
        <f>IP44*100/$E$44</f>
        <v/>
      </c>
      <c r="IR44" s="108" t="n"/>
      <c r="IS44" s="122">
        <f>IR44*100/$E$44</f>
        <v/>
      </c>
      <c r="IT44" s="108" t="n"/>
      <c r="IU44" s="122">
        <f>IT44*100/$E$44</f>
        <v/>
      </c>
      <c r="IV44" s="108" t="n"/>
      <c r="IW44" s="122">
        <f>IV44*100/$E$44</f>
        <v/>
      </c>
      <c r="IX44" s="108" t="n"/>
      <c r="IY44" s="122">
        <f>IX44*100/$E$44</f>
        <v/>
      </c>
      <c r="IZ44" s="108" t="n"/>
      <c r="JA44" s="122">
        <f>IZ44*100/$E$44</f>
        <v/>
      </c>
      <c r="JB44" s="108" t="n"/>
      <c r="JC44" s="122">
        <f>JB44*100/$E$44</f>
        <v/>
      </c>
      <c r="JD44" s="108" t="n"/>
      <c r="JE44" s="122">
        <f>JD44*100/$E$44</f>
        <v/>
      </c>
      <c r="JF44" s="133" t="n"/>
      <c r="JG44" s="122">
        <f>JF44*100/$E$44</f>
        <v/>
      </c>
      <c r="JH44" s="108" t="n"/>
      <c r="JI44" s="122">
        <f>JH44*100/$E$44</f>
        <v/>
      </c>
      <c r="JJ44" s="108" t="n"/>
      <c r="JK44" s="122">
        <f>JJ44*100/$E$44</f>
        <v/>
      </c>
      <c r="JL44" s="108" t="n"/>
      <c r="JM44" s="122">
        <f>JL44*100/$E$44</f>
        <v/>
      </c>
      <c r="JN44" s="108" t="n"/>
      <c r="JO44" s="121">
        <f>JN44*100/$E$44</f>
        <v/>
      </c>
      <c r="JP44" s="108" t="n"/>
      <c r="JQ44" s="121">
        <f>JP44*100/$E$44</f>
        <v/>
      </c>
      <c r="JR44" s="108" t="n"/>
      <c r="JS44" s="121">
        <f>JR44*100/$E$44</f>
        <v/>
      </c>
      <c r="JT44" s="108" t="n"/>
      <c r="JU44" s="121">
        <f>JT44*100/$E$44</f>
        <v/>
      </c>
      <c r="JV44" s="108" t="n"/>
      <c r="JW44" s="121">
        <f>JV44*100/$E$44</f>
        <v/>
      </c>
      <c r="JX44" s="108" t="n"/>
      <c r="JY44" s="121">
        <f>JX44*100/$E$44</f>
        <v/>
      </c>
      <c r="JZ44" s="55">
        <f>JN44+JP44+JR44+JT44+JV44+JX44</f>
        <v/>
      </c>
      <c r="KA44" s="53">
        <f>JO44+JQ44+JS44+JU44+JW44+JY44</f>
        <v/>
      </c>
      <c r="KB44" s="64">
        <f>H44+J44+L44+N44+P44+R44+T44+V44+X44+Z44+AB44+AD44+AF44+AH44+AJ44+AL44+AN44+AP44+AR44+AT44+AV44+AX44+AZ44+BB44+BD44+BF44+BH44+BJ44+BL44+BN44+BP44+BR44+BT44+BV44+BX44+BZ44+CB44+CD44+CF44+CH44+CZ44+DB44+DD44+DF44+DH44+DJ44+DL44+DN44+DP44+DR44+DT44+DV44+DX44+DZ44+EB44+ED44+EF44+EH44+EJ44+EL44+EN44+EP44+ER44+ET44+EV44+FN44+FP44+FR44+FT44+FV44+FX44+FZ44+GB44+GD44+GF44+GH44+GJ44+GL44+GN44+GP44+GR44+GT44+GV44+GX44+GZ44+HB44+HD44+HF44+HH44+HJ44+HL44+HN44+HP44+HR44+HT44+HV44+HX44+HZ44+IB44+ID44+IF44+IH44+IJ44+IL44+IN44+IP44+IR44+IT44+IV44+IX44+IZ44+JB44+JD44+JF44+JH44+JJ44+JL44+JZ44+CJ44+CL44+CN44+CP44+CR44+CT44+CV44+CX44+EX44+EZ44+FB44+FD44+FF44+FH44+FJ44+FL44</f>
        <v/>
      </c>
      <c r="KC44" s="66">
        <f>I44+K44+M44+O44+Q44+S44+U44+W44+Y44+AA44+AC44+AE44+AG44+AI44+AK44+AM44+AO44+AQ44+AS44+AU44+AW44+AY44+BA44+BC44+BE44+BG44+BI44+BK44+BM44+BO44+BQ44+BS44+BU44+BW44+BY44+CA44+CC44+CE44+CG44+CI44+DA44+DC44+DE44+DG44+DI44+DK44+DM44+DO44+DQ44+DS44+DU44+DW44+DY44+EA44+EC44+EE44+EG44+EI44+EK44+EM44+EO44+EQ44+ES44+EU44+EW44+FO44+FS44+FU44+FW44+FQ44+FY44+GA44+GC44+GE44+GG44+GI44+GK44+GM44+GO44+GQ44+GS44+GU44+GW44+GY44+HA44+HC44+HE44+HG44+HI44+HK44+HM44+HO44+HQ44+HS44+HU44+HW44+HY44+IA44+IC44+IE44+IG44+II44+IK44+IM44+IO44+IQ44+IS44+IU44+IW44+IY44+JA44+JC44+JE44+JG44+JI44+JK44+JM44+KA44+CK44+CM44+CO44+CQ44+CS44+CU44+CW44+CY44+EY44+FA44+FC44+FE44+FG44+FI44+FK44+FM44</f>
        <v/>
      </c>
      <c r="KD44" s="44">
        <f>JO44+JQ44+JS44+JU44+JW44+JY44</f>
        <v/>
      </c>
      <c r="KE44" s="45">
        <f>KB44=E44</f>
        <v/>
      </c>
      <c r="KF44" s="101">
        <f>E44-KB44</f>
        <v/>
      </c>
      <c r="KG44" s="17" t="n"/>
    </row>
    <row r="45" ht="21.75" customFormat="1" customHeight="1" s="17">
      <c r="A45" s="126">
        <f>A44+1</f>
        <v/>
      </c>
      <c r="B45" s="175" t="inlineStr">
        <is>
          <t>Титаев А.А.</t>
        </is>
      </c>
      <c r="C45" s="176" t="inlineStr">
        <is>
          <t>слесарь МСР</t>
        </is>
      </c>
      <c r="D45" s="177">
        <f>$D$5</f>
        <v/>
      </c>
      <c r="E45" s="202" t="n"/>
      <c r="F45" s="178" t="n">
        <v>55770</v>
      </c>
      <c r="G45" s="52">
        <f>F45/D45</f>
        <v/>
      </c>
      <c r="H45" s="125" t="n"/>
      <c r="I45" s="107">
        <f>H45*100/$E$45</f>
        <v/>
      </c>
      <c r="J45" s="108" t="n"/>
      <c r="K45" s="107">
        <f>J45*100/$E$45</f>
        <v/>
      </c>
      <c r="L45" s="108" t="n"/>
      <c r="M45" s="107">
        <f>L45*100/$E$45</f>
        <v/>
      </c>
      <c r="N45" s="108" t="n"/>
      <c r="O45" s="107">
        <f>N45*100/$E$45</f>
        <v/>
      </c>
      <c r="P45" s="108" t="n"/>
      <c r="Q45" s="122">
        <f>P45*100/$E$45</f>
        <v/>
      </c>
      <c r="R45" s="108" t="n"/>
      <c r="S45" s="122">
        <f>R45*100/$E$45</f>
        <v/>
      </c>
      <c r="T45" s="108" t="n"/>
      <c r="U45" s="107">
        <f>T45*100/$E$45</f>
        <v/>
      </c>
      <c r="V45" s="108" t="n"/>
      <c r="W45" s="107">
        <f>V45*100/$E$45</f>
        <v/>
      </c>
      <c r="X45" s="108" t="n"/>
      <c r="Y45" s="107">
        <f>X45*100/$E$45</f>
        <v/>
      </c>
      <c r="Z45" s="108" t="n"/>
      <c r="AA45" s="107">
        <f>Z45*100/$E$45</f>
        <v/>
      </c>
      <c r="AB45" s="108" t="n"/>
      <c r="AC45" s="107">
        <f>AB45*100/$E$45</f>
        <v/>
      </c>
      <c r="AD45" s="108" t="n"/>
      <c r="AE45" s="122">
        <f>AD45*100/$E$45</f>
        <v/>
      </c>
      <c r="AF45" s="108" t="n"/>
      <c r="AG45" s="122">
        <f>AF45*100/$E$45</f>
        <v/>
      </c>
      <c r="AH45" s="108" t="n"/>
      <c r="AI45" s="107">
        <f>AH45*100/$E$45</f>
        <v/>
      </c>
      <c r="AJ45" s="108" t="n"/>
      <c r="AK45" s="107">
        <f>AJ45*100/$E$45</f>
        <v/>
      </c>
      <c r="AL45" s="108" t="n"/>
      <c r="AM45" s="107">
        <f>AL45*100/$E$45</f>
        <v/>
      </c>
      <c r="AN45" s="108" t="n"/>
      <c r="AO45" s="107">
        <f>AN45*100/$E$45</f>
        <v/>
      </c>
      <c r="AP45" s="108" t="n"/>
      <c r="AQ45" s="107">
        <f>AP45*100/$E$45</f>
        <v/>
      </c>
      <c r="AR45" s="108" t="n"/>
      <c r="AS45" s="107">
        <f>AR45*100/$E$45</f>
        <v/>
      </c>
      <c r="AT45" s="108" t="n"/>
      <c r="AU45" s="90">
        <f>AT45*100/$E$45</f>
        <v/>
      </c>
      <c r="AV45" s="108" t="n"/>
      <c r="AW45" s="107">
        <f>AV45*100/$E$45</f>
        <v/>
      </c>
      <c r="AX45" s="108" t="n"/>
      <c r="AY45" s="107">
        <f>AX45*100/$E$45</f>
        <v/>
      </c>
      <c r="AZ45" s="108" t="n"/>
      <c r="BA45" s="107">
        <f>AZ45*100/$E$45</f>
        <v/>
      </c>
      <c r="BB45" s="108" t="n"/>
      <c r="BC45" s="107">
        <f>BB45*100/$E$45</f>
        <v/>
      </c>
      <c r="BD45" s="108" t="n"/>
      <c r="BE45" s="107">
        <f>BD45*100/$E$45</f>
        <v/>
      </c>
      <c r="BF45" s="108" t="n"/>
      <c r="BG45" s="107">
        <f>BF45*100/$E$45</f>
        <v/>
      </c>
      <c r="BH45" s="108" t="n"/>
      <c r="BI45" s="107">
        <f>BH45*100/$E$45</f>
        <v/>
      </c>
      <c r="BJ45" s="108" t="n"/>
      <c r="BK45" s="107">
        <f>BJ45*100/$E$45</f>
        <v/>
      </c>
      <c r="BL45" s="108" t="n"/>
      <c r="BM45" s="107">
        <f>BL45*100/$E$45</f>
        <v/>
      </c>
      <c r="BN45" s="108" t="n"/>
      <c r="BO45" s="107">
        <f>BN45*100/$E$45</f>
        <v/>
      </c>
      <c r="BP45" s="108" t="n"/>
      <c r="BQ45" s="107">
        <f>BP45*100/$E$45</f>
        <v/>
      </c>
      <c r="BR45" s="108" t="n"/>
      <c r="BS45" s="107">
        <f>BR45*100/$E$45</f>
        <v/>
      </c>
      <c r="BT45" s="108" t="n"/>
      <c r="BU45" s="107">
        <f>BT45*100/$E$45</f>
        <v/>
      </c>
      <c r="BV45" s="108" t="n"/>
      <c r="BW45" s="107">
        <f>BV45*100/$E$45</f>
        <v/>
      </c>
      <c r="BX45" s="108" t="n"/>
      <c r="BY45" s="107">
        <f>BX45*100/$E$45</f>
        <v/>
      </c>
      <c r="BZ45" s="108" t="n"/>
      <c r="CA45" s="107">
        <f>BZ45*100/$E$45</f>
        <v/>
      </c>
      <c r="CB45" s="108" t="n"/>
      <c r="CC45" s="107">
        <f>CB45*100/$E$45</f>
        <v/>
      </c>
      <c r="CD45" s="108" t="n"/>
      <c r="CE45" s="107">
        <f>CD45*100/$E$45</f>
        <v/>
      </c>
      <c r="CF45" s="108" t="n"/>
      <c r="CG45" s="107">
        <f>CF45*100/$E$45</f>
        <v/>
      </c>
      <c r="CH45" s="108" t="n"/>
      <c r="CI45" s="107">
        <f>CH45*100/$E$45</f>
        <v/>
      </c>
      <c r="CJ45" s="108" t="n"/>
      <c r="CK45" s="107">
        <f>CJ45*100/$E$45</f>
        <v/>
      </c>
      <c r="CL45" s="108" t="n"/>
      <c r="CM45" s="107">
        <f>CL45*100/$E$45</f>
        <v/>
      </c>
      <c r="CN45" s="108" t="n"/>
      <c r="CO45" s="122">
        <f>CN45*100/$E$45</f>
        <v/>
      </c>
      <c r="CP45" s="108" t="n"/>
      <c r="CQ45" s="107">
        <f>CP45*100/$E$45</f>
        <v/>
      </c>
      <c r="CR45" s="108" t="n"/>
      <c r="CS45" s="122">
        <f>CR45*100/$E$45</f>
        <v/>
      </c>
      <c r="CT45" s="108" t="n"/>
      <c r="CU45" s="122">
        <f>CT45*100/$E$45</f>
        <v/>
      </c>
      <c r="CV45" s="108" t="n"/>
      <c r="CW45" s="122">
        <f>CV45*100/$E$45</f>
        <v/>
      </c>
      <c r="CX45" s="108" t="n"/>
      <c r="CY45" s="122">
        <f>CX45*100/$E$45</f>
        <v/>
      </c>
      <c r="CZ45" s="108" t="n"/>
      <c r="DA45" s="122">
        <f>CZ45*100/$E$45</f>
        <v/>
      </c>
      <c r="DB45" s="108" t="n"/>
      <c r="DC45" s="122">
        <f>DB45*100/$E$45</f>
        <v/>
      </c>
      <c r="DD45" s="108" t="n"/>
      <c r="DE45" s="122">
        <f>DD45*100/$E$45</f>
        <v/>
      </c>
      <c r="DF45" s="108" t="n"/>
      <c r="DG45" s="122">
        <f>DF45*100/$E$45</f>
        <v/>
      </c>
      <c r="DH45" s="108" t="n"/>
      <c r="DI45" s="122">
        <f>DH45*100/$E$45</f>
        <v/>
      </c>
      <c r="DJ45" s="108" t="n"/>
      <c r="DK45" s="122">
        <f>DJ45*100/$E$45</f>
        <v/>
      </c>
      <c r="DL45" s="108" t="n"/>
      <c r="DM45" s="122">
        <f>DL45*100/$E$45</f>
        <v/>
      </c>
      <c r="DN45" s="108" t="n"/>
      <c r="DO45" s="122">
        <f>DN45*100/$E$45</f>
        <v/>
      </c>
      <c r="DP45" s="108" t="n"/>
      <c r="DQ45" s="122">
        <f>DP45*100/$E$45</f>
        <v/>
      </c>
      <c r="DR45" s="108" t="n"/>
      <c r="DS45" s="122">
        <f>DR45*100/$E$45</f>
        <v/>
      </c>
      <c r="DT45" s="108" t="n"/>
      <c r="DU45" s="122">
        <f>DT45*100/$E$45</f>
        <v/>
      </c>
      <c r="DV45" s="108" t="n"/>
      <c r="DW45" s="122">
        <f>DV45*100/$E$45</f>
        <v/>
      </c>
      <c r="DX45" s="108" t="n"/>
      <c r="DY45" s="122">
        <f>DX45*100/$E$45</f>
        <v/>
      </c>
      <c r="DZ45" s="108" t="n"/>
      <c r="EA45" s="122">
        <f>DZ45*100/$E$45</f>
        <v/>
      </c>
      <c r="EB45" s="108" t="n"/>
      <c r="EC45" s="122">
        <f>EB45*100/$E$45</f>
        <v/>
      </c>
      <c r="ED45" s="108" t="n"/>
      <c r="EE45" s="122">
        <f>ED45*100/$E$45</f>
        <v/>
      </c>
      <c r="EF45" s="108" t="n"/>
      <c r="EG45" s="122">
        <f>EF45*100/$E$45</f>
        <v/>
      </c>
      <c r="EH45" s="108" t="n"/>
      <c r="EI45" s="122">
        <f>EH45*100/$E$45</f>
        <v/>
      </c>
      <c r="EJ45" s="108" t="n"/>
      <c r="EK45" s="122">
        <f>EJ45*100/$E$45</f>
        <v/>
      </c>
      <c r="EL45" s="108" t="n"/>
      <c r="EM45" s="122">
        <f>EL45*100/$E$45</f>
        <v/>
      </c>
      <c r="EN45" s="108" t="n"/>
      <c r="EO45" s="122">
        <f>EN45*100/$E$45</f>
        <v/>
      </c>
      <c r="EP45" s="108" t="n"/>
      <c r="EQ45" s="122">
        <f>EP45*100/$E$45</f>
        <v/>
      </c>
      <c r="ER45" s="108" t="n"/>
      <c r="ES45" s="122">
        <f>ER45*100/$E$45</f>
        <v/>
      </c>
      <c r="ET45" s="108" t="n"/>
      <c r="EU45" s="122">
        <f>ET45*100/$E$45</f>
        <v/>
      </c>
      <c r="EV45" s="108" t="n"/>
      <c r="EW45" s="122">
        <f>EV45*100/$E$45</f>
        <v/>
      </c>
      <c r="EX45" s="108" t="n"/>
      <c r="EY45" s="122">
        <f>EX45*100/$E$45</f>
        <v/>
      </c>
      <c r="EZ45" s="108" t="n"/>
      <c r="FA45" s="122">
        <f>EZ45*100/$E$45</f>
        <v/>
      </c>
      <c r="FB45" s="108" t="n"/>
      <c r="FC45" s="122">
        <f>FB45*100/$E$45</f>
        <v/>
      </c>
      <c r="FD45" s="108" t="n"/>
      <c r="FE45" s="122">
        <f>FD45*100/$E$45</f>
        <v/>
      </c>
      <c r="FF45" s="108" t="n"/>
      <c r="FG45" s="122">
        <f>FF45*100/$E$45</f>
        <v/>
      </c>
      <c r="FH45" s="108" t="n"/>
      <c r="FI45" s="122">
        <f>FH45*100/$E$45</f>
        <v/>
      </c>
      <c r="FJ45" s="108" t="n"/>
      <c r="FK45" s="122">
        <f>FJ45*100/$E$45</f>
        <v/>
      </c>
      <c r="FL45" s="108" t="n"/>
      <c r="FM45" s="122">
        <f>FL45*100/$E$45</f>
        <v/>
      </c>
      <c r="FN45" s="108" t="n"/>
      <c r="FO45" s="122">
        <f>FN45*100/$E$45</f>
        <v/>
      </c>
      <c r="FP45" s="108" t="n"/>
      <c r="FQ45" s="122">
        <f>FP45*100/$E$45</f>
        <v/>
      </c>
      <c r="FR45" s="108" t="n"/>
      <c r="FS45" s="122">
        <f>FR45*100/$E$45</f>
        <v/>
      </c>
      <c r="FT45" s="108" t="n"/>
      <c r="FU45" s="122">
        <f>FT45*100/$E$45</f>
        <v/>
      </c>
      <c r="FV45" s="108" t="n"/>
      <c r="FW45" s="122">
        <f>FV45*100/$E$45</f>
        <v/>
      </c>
      <c r="FX45" s="108" t="n"/>
      <c r="FY45" s="107">
        <f>FX45*100/$E$45</f>
        <v/>
      </c>
      <c r="FZ45" s="108" t="n"/>
      <c r="GA45" s="107">
        <f>FZ45*100/$E$45</f>
        <v/>
      </c>
      <c r="GB45" s="108" t="n"/>
      <c r="GC45" s="107">
        <f>GB45*100/$E$45</f>
        <v/>
      </c>
      <c r="GD45" s="108" t="n"/>
      <c r="GE45" s="107">
        <f>GD45*100/$E$45</f>
        <v/>
      </c>
      <c r="GF45" s="108" t="n"/>
      <c r="GG45" s="107">
        <f>GF45*100/$E$45</f>
        <v/>
      </c>
      <c r="GH45" s="108" t="n"/>
      <c r="GI45" s="107">
        <f>GH45*100/$E$45</f>
        <v/>
      </c>
      <c r="GJ45" s="108" t="n"/>
      <c r="GK45" s="122">
        <f>GJ45*100/$E$45</f>
        <v/>
      </c>
      <c r="GL45" s="108" t="n"/>
      <c r="GM45" s="107">
        <f>GL45*100/$E$45</f>
        <v/>
      </c>
      <c r="GN45" s="108" t="n"/>
      <c r="GO45" s="122">
        <f>GN45*100/$E$45</f>
        <v/>
      </c>
      <c r="GP45" s="108" t="n"/>
      <c r="GQ45" s="107">
        <f>GP45*100/$E$45</f>
        <v/>
      </c>
      <c r="GR45" s="108" t="n"/>
      <c r="GS45" s="122">
        <f>GR45*100/$E$45</f>
        <v/>
      </c>
      <c r="GT45" s="108" t="n"/>
      <c r="GU45" s="122">
        <f>GT45*100/$E$45</f>
        <v/>
      </c>
      <c r="GV45" s="108" t="n"/>
      <c r="GW45" s="122">
        <f>GV45*100/$E$45</f>
        <v/>
      </c>
      <c r="GX45" s="108" t="n"/>
      <c r="GY45" s="107">
        <f>GX45*100/$E$45</f>
        <v/>
      </c>
      <c r="GZ45" s="108" t="n"/>
      <c r="HA45" s="107">
        <f>GZ45*100/$E$45</f>
        <v/>
      </c>
      <c r="HB45" s="108" t="n"/>
      <c r="HC45" s="107">
        <f>HB45*100/$E$45</f>
        <v/>
      </c>
      <c r="HD45" s="108" t="n"/>
      <c r="HE45" s="107">
        <f>HD45*100/$E$45</f>
        <v/>
      </c>
      <c r="HF45" s="108" t="n"/>
      <c r="HG45" s="107">
        <f>HF45*100/$E$45</f>
        <v/>
      </c>
      <c r="HH45" s="108" t="n"/>
      <c r="HI45" s="107">
        <f>HH45*100/$E$45</f>
        <v/>
      </c>
      <c r="HJ45" s="108" t="n"/>
      <c r="HK45" s="107">
        <f>HJ45*100/$E$45</f>
        <v/>
      </c>
      <c r="HL45" s="108" t="n"/>
      <c r="HM45" s="107">
        <f>HL45*100/$E$45</f>
        <v/>
      </c>
      <c r="HN45" s="108" t="n"/>
      <c r="HO45" s="107">
        <f>HN45*100/$E$45</f>
        <v/>
      </c>
      <c r="HP45" s="108" t="n"/>
      <c r="HQ45" s="107">
        <f>HP45*100/$E$45</f>
        <v/>
      </c>
      <c r="HR45" s="108" t="n"/>
      <c r="HS45" s="107">
        <f>HR45*100/$E$45</f>
        <v/>
      </c>
      <c r="HT45" s="108" t="n"/>
      <c r="HU45" s="107">
        <f>HT45*100/$E$45</f>
        <v/>
      </c>
      <c r="HV45" s="108" t="n"/>
      <c r="HW45" s="107">
        <f>HV45*100/$E$45</f>
        <v/>
      </c>
      <c r="HX45" s="108" t="n"/>
      <c r="HY45" s="107">
        <f>HX45*100/$E$45</f>
        <v/>
      </c>
      <c r="HZ45" s="108" t="n"/>
      <c r="IA45" s="122">
        <f>HZ45*100/$E$45</f>
        <v/>
      </c>
      <c r="IB45" s="108" t="n"/>
      <c r="IC45" s="122">
        <f>IB45*100/$E$45</f>
        <v/>
      </c>
      <c r="ID45" s="108" t="n"/>
      <c r="IE45" s="122">
        <f>ID45*100/$E$45</f>
        <v/>
      </c>
      <c r="IF45" s="108" t="n"/>
      <c r="IG45" s="122">
        <f>IF45*100/$E$45</f>
        <v/>
      </c>
      <c r="IH45" s="108" t="n"/>
      <c r="II45" s="122">
        <f>IH45*100/$E$45</f>
        <v/>
      </c>
      <c r="IJ45" s="108" t="n"/>
      <c r="IK45" s="122">
        <f>IJ45*100/$E$45</f>
        <v/>
      </c>
      <c r="IL45" s="108" t="n"/>
      <c r="IM45" s="107">
        <f>IL45*100/$E$45</f>
        <v/>
      </c>
      <c r="IN45" s="108" t="n"/>
      <c r="IO45" s="107">
        <f>IN45*100/$E$45</f>
        <v/>
      </c>
      <c r="IP45" s="108" t="n"/>
      <c r="IQ45" s="122">
        <f>IP45*100/$E$45</f>
        <v/>
      </c>
      <c r="IR45" s="108" t="n"/>
      <c r="IS45" s="122">
        <f>IR45*100/$E$45</f>
        <v/>
      </c>
      <c r="IT45" s="108" t="n"/>
      <c r="IU45" s="122">
        <f>IT45*100/$E$45</f>
        <v/>
      </c>
      <c r="IV45" s="108" t="n"/>
      <c r="IW45" s="122">
        <f>IV45*100/$E$45</f>
        <v/>
      </c>
      <c r="IX45" s="108" t="n"/>
      <c r="IY45" s="122">
        <f>IX45*100/$E$45</f>
        <v/>
      </c>
      <c r="IZ45" s="108" t="n"/>
      <c r="JA45" s="122">
        <f>IZ45*100/$E$45</f>
        <v/>
      </c>
      <c r="JB45" s="108" t="n"/>
      <c r="JC45" s="122">
        <f>JB45*100/$E$45</f>
        <v/>
      </c>
      <c r="JD45" s="108" t="n"/>
      <c r="JE45" s="122">
        <f>JD45*100/$E$45</f>
        <v/>
      </c>
      <c r="JF45" s="108" t="n"/>
      <c r="JG45" s="122">
        <f>JF45*100/$E$45</f>
        <v/>
      </c>
      <c r="JH45" s="108" t="n"/>
      <c r="JI45" s="122">
        <f>JH45*100/$E$45</f>
        <v/>
      </c>
      <c r="JJ45" s="108" t="n"/>
      <c r="JK45" s="122">
        <f>JJ45*100/$E$45</f>
        <v/>
      </c>
      <c r="JL45" s="108" t="n"/>
      <c r="JM45" s="122">
        <f>JL45*100/$E$45</f>
        <v/>
      </c>
      <c r="JN45" s="108" t="n"/>
      <c r="JO45" s="121">
        <f>JN45*100/$E$45</f>
        <v/>
      </c>
      <c r="JP45" s="108" t="n"/>
      <c r="JQ45" s="121">
        <f>JP45*100/$E$45</f>
        <v/>
      </c>
      <c r="JR45" s="108" t="n"/>
      <c r="JS45" s="121">
        <f>JR45*100/$E$45</f>
        <v/>
      </c>
      <c r="JT45" s="108" t="n"/>
      <c r="JU45" s="121">
        <f>JT45*100/$E$45</f>
        <v/>
      </c>
      <c r="JV45" s="132" t="n"/>
      <c r="JW45" s="121">
        <f>JV45*100/$E$45</f>
        <v/>
      </c>
      <c r="JX45" s="132" t="n"/>
      <c r="JY45" s="121">
        <f>JX45*100/$E$45</f>
        <v/>
      </c>
      <c r="JZ45" s="55">
        <f>JN45+JP45+JR45+JT45+JV45+JX45</f>
        <v/>
      </c>
      <c r="KA45" s="53">
        <f>JO45+JQ45+JS45+JU45+JW45+JY45</f>
        <v/>
      </c>
      <c r="KB45" s="64">
        <f>H45+J45+L45+N45+P45+R45+T45+V45+X45+Z45+AB45+AD45+AF45+AH45+AJ45+AL45+AN45+AP45+AR45+AT45+AV45+AX45+AZ45+BB45+BD45+BF45+BH45+BJ45+BL45+BN45+BP45+BR45+BT45+BV45+BX45+BZ45+CB45+CD45+CF45+CH45+CZ45+DB45+DD45+DF45+DH45+DJ45+DL45+DN45+DP45+DR45+DT45+DV45+DX45+DZ45+EB45+ED45+EF45+EH45+EJ45+EL45+EN45+EP45+ER45+ET45+EV45+FN45+FP45+FR45+FT45+FV45+FX45+FZ45+GB45+GD45+GF45+GH45+GJ45+GL45+GN45+GP45+GR45+GT45+GV45+GX45+GZ45+HB45+HD45+HF45+HH45+HJ45+HL45+HN45+HP45+HR45+HT45+HV45+HX45+HZ45+IB45+ID45+IF45+IH45+IJ45+IL45+IN45+IP45+IR45+IT45+IV45+IX45+IZ45+JB45+JD45+JF45+JH45+JJ45+JL45+JZ45+CJ45+CL45+CN45+CP45+CR45+CT45+CV45+CX45+EX45+EZ45+FB45+FD45+FF45+FH45+FJ45+FL45</f>
        <v/>
      </c>
      <c r="KC45" s="66">
        <f>I45+K45+M45+O45+Q45+S45+U45+W45+Y45+AA45+AC45+AE45+AG45+AI45+AK45+AM45+AO45+AQ45+AS45+AU45+AW45+AY45+BA45+BC45+BE45+BG45+BI45+BK45+BM45+BO45+BQ45+BS45+BU45+BW45+BY45+CA45+CC45+CE45+CG45+CI45+DA45+DC45+DE45+DG45+DI45+DK45+DM45+DO45+DQ45+DS45+DU45+DW45+DY45+EA45+EC45+EE45+EG45+EI45+EK45+EM45+EO45+EQ45+ES45+EU45+EW45+FO45+FS45+FU45+FW45+FQ45+FY45+GA45+GC45+GE45+GG45+GI45+GK45+GM45+GO45+GQ45+GS45+GU45+GW45+GY45+HA45+HC45+HE45+HG45+HI45+HK45+HM45+HO45+HQ45+HS45+HU45+HW45+HY45+IA45+IC45+IE45+IG45+II45+IK45+IM45+IO45+IQ45+IS45+IU45+IW45+IY45+JA45+JC45+JE45+JG45+JI45+JK45+JM45+KA45+CK45+CM45+CO45+CQ45+CS45+CU45+CW45+CY45+EY45+FA45+FC45+FE45+FG45+FI45+FK45+FM45</f>
        <v/>
      </c>
      <c r="KD45" s="44">
        <f>JO45+JQ45+JS45+JU45+JW45+JY45</f>
        <v/>
      </c>
      <c r="KE45" s="45">
        <f>KB45=E45</f>
        <v/>
      </c>
      <c r="KF45" s="101">
        <f>E45-KB45</f>
        <v/>
      </c>
      <c r="KG45" s="11" t="n"/>
    </row>
    <row r="46" ht="21.75" customFormat="1" customHeight="1" s="11">
      <c r="A46" s="126">
        <f>A45+1</f>
        <v/>
      </c>
      <c r="B46" s="175" t="inlineStr">
        <is>
          <t>Токарев Н. С.</t>
        </is>
      </c>
      <c r="C46" s="176" t="inlineStr">
        <is>
          <t>фрезеровщик</t>
        </is>
      </c>
      <c r="D46" s="177">
        <f>$D$5</f>
        <v/>
      </c>
      <c r="E46" s="202" t="n"/>
      <c r="F46" s="191" t="n">
        <v>101149.88</v>
      </c>
      <c r="G46" s="52">
        <f>F46/D46</f>
        <v/>
      </c>
      <c r="H46" s="125" t="n"/>
      <c r="I46" s="107">
        <f>H46*100/$E$46</f>
        <v/>
      </c>
      <c r="J46" s="108" t="n"/>
      <c r="K46" s="107">
        <f>J46*100/$E$46</f>
        <v/>
      </c>
      <c r="L46" s="108" t="n"/>
      <c r="M46" s="107">
        <f>L46*100/$E$46</f>
        <v/>
      </c>
      <c r="N46" s="108" t="n"/>
      <c r="O46" s="107">
        <f>N46*100/$E$46</f>
        <v/>
      </c>
      <c r="P46" s="108" t="n"/>
      <c r="Q46" s="122">
        <f>P46*100/$E$46</f>
        <v/>
      </c>
      <c r="R46" s="108" t="n"/>
      <c r="S46" s="122">
        <f>R46*100/$E$46</f>
        <v/>
      </c>
      <c r="T46" s="108" t="n"/>
      <c r="U46" s="107">
        <f>T46*100/$E$46</f>
        <v/>
      </c>
      <c r="V46" s="108" t="n"/>
      <c r="W46" s="107">
        <f>V46*100/$E$46</f>
        <v/>
      </c>
      <c r="X46" s="108" t="n"/>
      <c r="Y46" s="107">
        <f>X46*100/$E$46</f>
        <v/>
      </c>
      <c r="Z46" s="108" t="n"/>
      <c r="AA46" s="107">
        <f>Z46*100/$E$46</f>
        <v/>
      </c>
      <c r="AB46" s="108" t="n"/>
      <c r="AC46" s="107">
        <f>AB46*100/$E$46</f>
        <v/>
      </c>
      <c r="AD46" s="108" t="n"/>
      <c r="AE46" s="122">
        <f>AD46*100/$E$46</f>
        <v/>
      </c>
      <c r="AF46" s="108" t="n"/>
      <c r="AG46" s="122">
        <f>AF46*100/$E$46</f>
        <v/>
      </c>
      <c r="AH46" s="108" t="n"/>
      <c r="AI46" s="107">
        <f>AH46*100/$E$46</f>
        <v/>
      </c>
      <c r="AJ46" s="108" t="n"/>
      <c r="AK46" s="107">
        <f>AJ46*100/$E$46</f>
        <v/>
      </c>
      <c r="AL46" s="108" t="n"/>
      <c r="AM46" s="107">
        <f>AL46*100/$E$46</f>
        <v/>
      </c>
      <c r="AN46" s="108" t="n"/>
      <c r="AO46" s="107">
        <f>AN46*100/$E$46</f>
        <v/>
      </c>
      <c r="AP46" s="108" t="n"/>
      <c r="AQ46" s="107">
        <f>AP46*100/$E$46</f>
        <v/>
      </c>
      <c r="AR46" s="108" t="n"/>
      <c r="AS46" s="107">
        <f>AR46*100/$E$46</f>
        <v/>
      </c>
      <c r="AT46" s="108" t="n"/>
      <c r="AU46" s="90">
        <f>AT46*100/$E$46</f>
        <v/>
      </c>
      <c r="AV46" s="108" t="n"/>
      <c r="AW46" s="107">
        <f>AV46*100/$E$46</f>
        <v/>
      </c>
      <c r="AX46" s="108" t="n"/>
      <c r="AY46" s="107">
        <f>AX46*100/$E$46</f>
        <v/>
      </c>
      <c r="AZ46" s="108" t="n"/>
      <c r="BA46" s="107">
        <f>AZ46*100/$E$46</f>
        <v/>
      </c>
      <c r="BB46" s="108" t="n"/>
      <c r="BC46" s="107">
        <f>BB46*100/$E$46</f>
        <v/>
      </c>
      <c r="BD46" s="108" t="n"/>
      <c r="BE46" s="107">
        <f>BD46*100/$E$46</f>
        <v/>
      </c>
      <c r="BF46" s="108" t="n"/>
      <c r="BG46" s="107">
        <f>BF46*100/$E$46</f>
        <v/>
      </c>
      <c r="BH46" s="108" t="n"/>
      <c r="BI46" s="107">
        <f>BH46*100/$E$46</f>
        <v/>
      </c>
      <c r="BJ46" s="108" t="n"/>
      <c r="BK46" s="107">
        <f>BJ46*100/$E$46</f>
        <v/>
      </c>
      <c r="BL46" s="108" t="n"/>
      <c r="BM46" s="107">
        <f>BL46*100/$E$46</f>
        <v/>
      </c>
      <c r="BN46" s="108" t="n"/>
      <c r="BO46" s="107">
        <f>BN46*100/$E$46</f>
        <v/>
      </c>
      <c r="BP46" s="108" t="n"/>
      <c r="BQ46" s="107">
        <f>BP46*100/$E$46</f>
        <v/>
      </c>
      <c r="BR46" s="108" t="n"/>
      <c r="BS46" s="107">
        <f>BR46*100/$E$46</f>
        <v/>
      </c>
      <c r="BT46" s="108" t="n"/>
      <c r="BU46" s="107">
        <f>BT46*100/$E$46</f>
        <v/>
      </c>
      <c r="BV46" s="108" t="n"/>
      <c r="BW46" s="107">
        <f>BV46*100/$E$46</f>
        <v/>
      </c>
      <c r="BX46" s="108" t="n"/>
      <c r="BY46" s="107">
        <f>BX46*100/$E$46</f>
        <v/>
      </c>
      <c r="BZ46" s="108" t="n"/>
      <c r="CA46" s="107">
        <f>BZ46*100/$E$46</f>
        <v/>
      </c>
      <c r="CB46" s="108" t="n"/>
      <c r="CC46" s="107">
        <f>CB46*100/$E$46</f>
        <v/>
      </c>
      <c r="CD46" s="108" t="n"/>
      <c r="CE46" s="107">
        <f>CD46*100/$E$46</f>
        <v/>
      </c>
      <c r="CF46" s="108" t="n"/>
      <c r="CG46" s="107">
        <f>CF46*100/$E$46</f>
        <v/>
      </c>
      <c r="CH46" s="108" t="n"/>
      <c r="CI46" s="107">
        <f>CH46*100/$E$46</f>
        <v/>
      </c>
      <c r="CJ46" s="108" t="n"/>
      <c r="CK46" s="107">
        <f>CJ46*100/$E$46</f>
        <v/>
      </c>
      <c r="CL46" s="108" t="n"/>
      <c r="CM46" s="107">
        <f>CL46*100/$E$46</f>
        <v/>
      </c>
      <c r="CN46" s="108" t="n"/>
      <c r="CO46" s="122">
        <f>CN46*100/$E$46</f>
        <v/>
      </c>
      <c r="CP46" s="108" t="n"/>
      <c r="CQ46" s="107">
        <f>CP46*100/$E$46</f>
        <v/>
      </c>
      <c r="CR46" s="108" t="n"/>
      <c r="CS46" s="122">
        <f>CR46*100/$E$46</f>
        <v/>
      </c>
      <c r="CT46" s="108" t="n"/>
      <c r="CU46" s="122">
        <f>CT46*100/$E$46</f>
        <v/>
      </c>
      <c r="CV46" s="108" t="n"/>
      <c r="CW46" s="122">
        <f>CV46*100/$E$46</f>
        <v/>
      </c>
      <c r="CX46" s="108" t="n"/>
      <c r="CY46" s="122">
        <f>CX46*100/$E$46</f>
        <v/>
      </c>
      <c r="CZ46" s="108" t="n"/>
      <c r="DA46" s="122">
        <f>CZ46*100/$E$46</f>
        <v/>
      </c>
      <c r="DB46" s="108" t="n"/>
      <c r="DC46" s="122">
        <f>DB46*100/$E$46</f>
        <v/>
      </c>
      <c r="DD46" s="108" t="n"/>
      <c r="DE46" s="122">
        <f>DD46*100/$E$46</f>
        <v/>
      </c>
      <c r="DF46" s="108" t="n"/>
      <c r="DG46" s="122">
        <f>DF46*100/$E$46</f>
        <v/>
      </c>
      <c r="DH46" s="108" t="n"/>
      <c r="DI46" s="122">
        <f>DH46*100/$E$46</f>
        <v/>
      </c>
      <c r="DJ46" s="108" t="n"/>
      <c r="DK46" s="122">
        <f>DJ46*100/$E$46</f>
        <v/>
      </c>
      <c r="DL46" s="108" t="n"/>
      <c r="DM46" s="122">
        <f>DL46*100/$E$46</f>
        <v/>
      </c>
      <c r="DN46" s="108" t="n"/>
      <c r="DO46" s="122">
        <f>DN46*100/$E$46</f>
        <v/>
      </c>
      <c r="DP46" s="108" t="n"/>
      <c r="DQ46" s="122">
        <f>DP46*100/$E$46</f>
        <v/>
      </c>
      <c r="DR46" s="108" t="n"/>
      <c r="DS46" s="122">
        <f>DR46*100/$E$46</f>
        <v/>
      </c>
      <c r="DT46" s="108" t="n"/>
      <c r="DU46" s="122">
        <f>DT46*100/$E$46</f>
        <v/>
      </c>
      <c r="DV46" s="108" t="n"/>
      <c r="DW46" s="122">
        <f>DV46*100/$E$46</f>
        <v/>
      </c>
      <c r="DX46" s="108" t="n"/>
      <c r="DY46" s="122">
        <f>DX46*100/$E$46</f>
        <v/>
      </c>
      <c r="DZ46" s="108" t="n"/>
      <c r="EA46" s="122">
        <f>DZ46*100/$E$46</f>
        <v/>
      </c>
      <c r="EB46" s="108" t="n"/>
      <c r="EC46" s="122">
        <f>EB46*100/$E$46</f>
        <v/>
      </c>
      <c r="ED46" s="108" t="n"/>
      <c r="EE46" s="122">
        <f>ED46*100/$E$46</f>
        <v/>
      </c>
      <c r="EF46" s="108" t="n"/>
      <c r="EG46" s="122">
        <f>EF46*100/$E$46</f>
        <v/>
      </c>
      <c r="EH46" s="108" t="n"/>
      <c r="EI46" s="122">
        <f>EH46*100/$E$46</f>
        <v/>
      </c>
      <c r="EJ46" s="108" t="n"/>
      <c r="EK46" s="122">
        <f>EJ46*100/$E$46</f>
        <v/>
      </c>
      <c r="EL46" s="108" t="n"/>
      <c r="EM46" s="122">
        <f>EL46*100/$E$46</f>
        <v/>
      </c>
      <c r="EN46" s="108" t="n"/>
      <c r="EO46" s="122">
        <f>EN46*100/$E$46</f>
        <v/>
      </c>
      <c r="EP46" s="108" t="n"/>
      <c r="EQ46" s="122">
        <f>EP46*100/$E$46</f>
        <v/>
      </c>
      <c r="ER46" s="108" t="n"/>
      <c r="ES46" s="122">
        <f>ER46*100/$E$46</f>
        <v/>
      </c>
      <c r="ET46" s="108" t="n"/>
      <c r="EU46" s="122">
        <f>ET46*100/$E$46</f>
        <v/>
      </c>
      <c r="EV46" s="108" t="n"/>
      <c r="EW46" s="122">
        <f>EV46*100/$E$46</f>
        <v/>
      </c>
      <c r="EX46" s="108" t="n"/>
      <c r="EY46" s="122">
        <f>EX46*100/$E$46</f>
        <v/>
      </c>
      <c r="EZ46" s="108" t="n"/>
      <c r="FA46" s="122">
        <f>EZ46*100/$E$46</f>
        <v/>
      </c>
      <c r="FB46" s="108" t="n"/>
      <c r="FC46" s="122">
        <f>FB46*100/$E$46</f>
        <v/>
      </c>
      <c r="FD46" s="108" t="n"/>
      <c r="FE46" s="122">
        <f>FD46*100/$E$46</f>
        <v/>
      </c>
      <c r="FF46" s="108" t="n"/>
      <c r="FG46" s="122">
        <f>FF46*100/$E$46</f>
        <v/>
      </c>
      <c r="FH46" s="108" t="n"/>
      <c r="FI46" s="122">
        <f>FH46*100/$E$46</f>
        <v/>
      </c>
      <c r="FJ46" s="108" t="n"/>
      <c r="FK46" s="122">
        <f>FJ46*100/$E$46</f>
        <v/>
      </c>
      <c r="FL46" s="108" t="n"/>
      <c r="FM46" s="122">
        <f>FL46*100/$E$46</f>
        <v/>
      </c>
      <c r="FN46" s="108" t="n"/>
      <c r="FO46" s="122">
        <f>FN46*100/$E$46</f>
        <v/>
      </c>
      <c r="FP46" s="108" t="n"/>
      <c r="FQ46" s="122">
        <f>FP46*100/$E$46</f>
        <v/>
      </c>
      <c r="FR46" s="108" t="n"/>
      <c r="FS46" s="122">
        <f>FR46*100/$E$46</f>
        <v/>
      </c>
      <c r="FT46" s="108" t="n"/>
      <c r="FU46" s="122">
        <f>FT46*100/$E$46</f>
        <v/>
      </c>
      <c r="FV46" s="108" t="n"/>
      <c r="FW46" s="122">
        <f>FV46*100/$E$46</f>
        <v/>
      </c>
      <c r="FX46" s="108" t="n"/>
      <c r="FY46" s="107">
        <f>FX46*100/$E$46</f>
        <v/>
      </c>
      <c r="FZ46" s="108" t="n"/>
      <c r="GA46" s="107">
        <f>FZ46*100/$E$46</f>
        <v/>
      </c>
      <c r="GB46" s="108" t="n"/>
      <c r="GC46" s="107">
        <f>GB46*100/$E$46</f>
        <v/>
      </c>
      <c r="GD46" s="108" t="n"/>
      <c r="GE46" s="107">
        <f>GD46*100/$E$46</f>
        <v/>
      </c>
      <c r="GF46" s="108" t="n"/>
      <c r="GG46" s="107">
        <f>GF46*100/$E$46</f>
        <v/>
      </c>
      <c r="GH46" s="108" t="n"/>
      <c r="GI46" s="107">
        <f>GH46*100/$E$46</f>
        <v/>
      </c>
      <c r="GJ46" s="108" t="n"/>
      <c r="GK46" s="122">
        <f>GJ46*100/$E$46</f>
        <v/>
      </c>
      <c r="GL46" s="108" t="n"/>
      <c r="GM46" s="107">
        <f>GL46*100/$E$46</f>
        <v/>
      </c>
      <c r="GN46" s="108" t="n"/>
      <c r="GO46" s="122">
        <f>GN46*100/$E$46</f>
        <v/>
      </c>
      <c r="GP46" s="108" t="n"/>
      <c r="GQ46" s="107">
        <f>GP46*100/$E$46</f>
        <v/>
      </c>
      <c r="GR46" s="108" t="n"/>
      <c r="GS46" s="122">
        <f>GR46*100/$E$46</f>
        <v/>
      </c>
      <c r="GT46" s="108" t="n"/>
      <c r="GU46" s="122">
        <f>GT46*100/$E$46</f>
        <v/>
      </c>
      <c r="GV46" s="108" t="n"/>
      <c r="GW46" s="122">
        <f>GV46*100/$E$46</f>
        <v/>
      </c>
      <c r="GX46" s="108" t="n"/>
      <c r="GY46" s="107">
        <f>GX46*100/$E$46</f>
        <v/>
      </c>
      <c r="GZ46" s="108" t="n"/>
      <c r="HA46" s="107">
        <f>GZ46*100/$E$46</f>
        <v/>
      </c>
      <c r="HB46" s="108" t="n"/>
      <c r="HC46" s="107">
        <f>HB46*100/$E$46</f>
        <v/>
      </c>
      <c r="HD46" s="108" t="n"/>
      <c r="HE46" s="107">
        <f>HD46*100/$E$46</f>
        <v/>
      </c>
      <c r="HF46" s="108" t="n"/>
      <c r="HG46" s="107">
        <f>HF46*100/$E$46</f>
        <v/>
      </c>
      <c r="HH46" s="108" t="n"/>
      <c r="HI46" s="107">
        <f>HH46*100/$E$46</f>
        <v/>
      </c>
      <c r="HJ46" s="108" t="n"/>
      <c r="HK46" s="107">
        <f>HJ46*100/$E$46</f>
        <v/>
      </c>
      <c r="HL46" s="108" t="n"/>
      <c r="HM46" s="107">
        <f>HL46*100/$E$46</f>
        <v/>
      </c>
      <c r="HN46" s="108" t="n"/>
      <c r="HO46" s="107">
        <f>HN46*100/$E$46</f>
        <v/>
      </c>
      <c r="HP46" s="108" t="n"/>
      <c r="HQ46" s="107">
        <f>HP46*100/$E$46</f>
        <v/>
      </c>
      <c r="HR46" s="108" t="n"/>
      <c r="HS46" s="107">
        <f>HR46*100/$E$46</f>
        <v/>
      </c>
      <c r="HT46" s="108" t="n"/>
      <c r="HU46" s="107">
        <f>HT46*100/$E$46</f>
        <v/>
      </c>
      <c r="HV46" s="108" t="n"/>
      <c r="HW46" s="107">
        <f>HV46*100/$E$46</f>
        <v/>
      </c>
      <c r="HX46" s="108" t="n"/>
      <c r="HY46" s="107">
        <f>HX46*100/$E$46</f>
        <v/>
      </c>
      <c r="HZ46" s="108" t="n"/>
      <c r="IA46" s="122">
        <f>HZ46*100/$E$46</f>
        <v/>
      </c>
      <c r="IB46" s="108" t="n"/>
      <c r="IC46" s="122">
        <f>IB46*100/$E$46</f>
        <v/>
      </c>
      <c r="ID46" s="108" t="n"/>
      <c r="IE46" s="122">
        <f>ID46*100/$E$46</f>
        <v/>
      </c>
      <c r="IF46" s="108" t="n"/>
      <c r="IG46" s="122">
        <f>IF46*100/$E$46</f>
        <v/>
      </c>
      <c r="IH46" s="108" t="n"/>
      <c r="II46" s="122">
        <f>IH46*100/$E$46</f>
        <v/>
      </c>
      <c r="IJ46" s="108" t="n"/>
      <c r="IK46" s="122">
        <f>IJ46*100/$E$46</f>
        <v/>
      </c>
      <c r="IL46" s="108" t="n"/>
      <c r="IM46" s="107">
        <f>IL46*100/$E$46</f>
        <v/>
      </c>
      <c r="IN46" s="108" t="n"/>
      <c r="IO46" s="107">
        <f>IN46*100/$E$46</f>
        <v/>
      </c>
      <c r="IP46" s="108" t="n"/>
      <c r="IQ46" s="122">
        <f>IP46*100/$E$46</f>
        <v/>
      </c>
      <c r="IR46" s="108" t="n"/>
      <c r="IS46" s="122">
        <f>IR46*100/$E$46</f>
        <v/>
      </c>
      <c r="IT46" s="108" t="n"/>
      <c r="IU46" s="122">
        <f>IT46*100/$E$46</f>
        <v/>
      </c>
      <c r="IV46" s="108" t="n"/>
      <c r="IW46" s="122">
        <f>IV46*100/$E$46</f>
        <v/>
      </c>
      <c r="IX46" s="108" t="n"/>
      <c r="IY46" s="122">
        <f>IX46*100/$E$46</f>
        <v/>
      </c>
      <c r="IZ46" s="108" t="n"/>
      <c r="JA46" s="122">
        <f>IZ46*100/$E$46</f>
        <v/>
      </c>
      <c r="JB46" s="108" t="n"/>
      <c r="JC46" s="122">
        <f>JB46*100/$E$46</f>
        <v/>
      </c>
      <c r="JD46" s="108" t="n"/>
      <c r="JE46" s="122">
        <f>JD46*100/$E$46</f>
        <v/>
      </c>
      <c r="JF46" s="108" t="n"/>
      <c r="JG46" s="122">
        <f>JF46*100/$E$46</f>
        <v/>
      </c>
      <c r="JH46" s="108" t="n"/>
      <c r="JI46" s="122">
        <f>JH46*100/$E$46</f>
        <v/>
      </c>
      <c r="JJ46" s="108" t="n"/>
      <c r="JK46" s="122">
        <f>JJ46*100/$E$46</f>
        <v/>
      </c>
      <c r="JL46" s="108" t="n"/>
      <c r="JM46" s="122">
        <f>JL46*100/$E$46</f>
        <v/>
      </c>
      <c r="JN46" s="108" t="n"/>
      <c r="JO46" s="121">
        <f>JN46*100/$E$46</f>
        <v/>
      </c>
      <c r="JP46" s="108" t="n"/>
      <c r="JQ46" s="121">
        <f>JP46*100/$E$46</f>
        <v/>
      </c>
      <c r="JR46" s="108" t="n"/>
      <c r="JS46" s="121">
        <f>JR46*100/$E$46</f>
        <v/>
      </c>
      <c r="JT46" s="108" t="n"/>
      <c r="JU46" s="121">
        <f>JT46*100/$E$46</f>
        <v/>
      </c>
      <c r="JV46" s="108" t="n"/>
      <c r="JW46" s="121">
        <f>JV46*100/$E$46</f>
        <v/>
      </c>
      <c r="JX46" s="108" t="n"/>
      <c r="JY46" s="121">
        <f>JX46*100/$E$46</f>
        <v/>
      </c>
      <c r="JZ46" s="55">
        <f>JN46+JP46+JR46+JT46+JV46+JX46</f>
        <v/>
      </c>
      <c r="KA46" s="53">
        <f>JO46+JQ46+JS46+JU46+JW46+JY46</f>
        <v/>
      </c>
      <c r="KB46" s="64">
        <f>H46+J46+L46+N46+P46+R46+T46+V46+X46+Z46+AB46+AD46+AF46+AH46+AJ46+AL46+AN46+AP46+AR46+AT46+AV46+AX46+AZ46+BB46+BD46+BF46+BH46+BJ46+BL46+BN46+BP46+BR46+BT46+BV46+BX46+BZ46+CB46+CD46+CF46+CH46+CZ46+DB46+DD46+DF46+DH46+DJ46+DL46+DN46+DP46+DR46+DT46+DV46+DX46+DZ46+EB46+ED46+EF46+EH46+EJ46+EL46+EN46+EP46+ER46+ET46+EV46+FN46+FP46+FR46+FT46+FV46+FX46+FZ46+GB46+GD46+GF46+GH46+GJ46+GL46+GN46+GP46+GR46+GT46+GV46+GX46+GZ46+HB46+HD46+HF46+HH46+HJ46+HL46+HN46+HP46+HR46+HT46+HV46+HX46+HZ46+IB46+ID46+IF46+IH46+IJ46+IL46+IN46+IP46+IR46+IT46+IV46+IX46+IZ46+JB46+JD46+JF46+JH46+JJ46+JL46+JZ46+CJ46+CL46+CN46+CP46+CR46+CT46+CV46+CX46+EX46+EZ46+FB46+FD46+FF46+FH46+FJ46+FL46</f>
        <v/>
      </c>
      <c r="KC46" s="66">
        <f>I46+K46+M46+O46+Q46+S46+U46+W46+Y46+AA46+AC46+AE46+AG46+AI46+AK46+AM46+AO46+AQ46+AS46+AU46+AW46+AY46+BA46+BC46+BE46+BG46+BI46+BK46+BM46+BO46+BQ46+BS46+BU46+BW46+BY46+CA46+CC46+CE46+CG46+CI46+DA46+DC46+DE46+DG46+DI46+DK46+DM46+DO46+DQ46+DS46+DU46+DW46+DY46+EA46+EC46+EE46+EG46+EI46+EK46+EM46+EO46+EQ46+ES46+EU46+EW46+FO46+FS46+FU46+FW46+FQ46+FY46+GA46+GC46+GE46+GG46+GI46+GK46+GM46+GO46+GQ46+GS46+GU46+GW46+GY46+HA46+HC46+HE46+HG46+HI46+HK46+HM46+HO46+HQ46+HS46+HU46+HW46+HY46+IA46+IC46+IE46+IG46+II46+IK46+IM46+IO46+IQ46+IS46+IU46+IW46+IY46+JA46+JC46+JE46+JG46+JI46+JK46+JM46+KA46+CK46+CM46+CO46+CQ46+CS46+CU46+CW46+CY46+EY46+FA46+FC46+FE46+FG46+FI46+FK46+FM46</f>
        <v/>
      </c>
      <c r="KD46" s="44">
        <f>JO46+JQ46+JS46+JU46+JW46+JY46</f>
        <v/>
      </c>
      <c r="KE46" s="45">
        <f>KB46=E46</f>
        <v/>
      </c>
      <c r="KF46" s="101">
        <f>E46-KB46</f>
        <v/>
      </c>
      <c r="KG46" s="22" t="n"/>
    </row>
    <row r="47" ht="21.75" customFormat="1" customHeight="1" s="22">
      <c r="A47" s="126">
        <f>A46+1</f>
        <v/>
      </c>
      <c r="B47" s="192" t="inlineStr">
        <is>
          <t>Трикачев С.И.</t>
        </is>
      </c>
      <c r="C47" s="204" t="inlineStr">
        <is>
          <t>токарь</t>
        </is>
      </c>
      <c r="D47" s="206">
        <f>$D$5</f>
        <v/>
      </c>
      <c r="E47" s="207" t="n"/>
      <c r="F47" s="205" t="n">
        <v>107473.5</v>
      </c>
      <c r="G47" s="52">
        <f>F47/D47</f>
        <v/>
      </c>
      <c r="H47" s="125" t="n"/>
      <c r="I47" s="107">
        <f>H47*100/$E$47</f>
        <v/>
      </c>
      <c r="J47" s="108" t="n"/>
      <c r="K47" s="107">
        <f>J47*100/$E$47</f>
        <v/>
      </c>
      <c r="L47" s="108" t="n"/>
      <c r="M47" s="107">
        <f>L47*100/$E$47</f>
        <v/>
      </c>
      <c r="N47" s="108" t="n"/>
      <c r="O47" s="107">
        <f>N47*100/$E$47</f>
        <v/>
      </c>
      <c r="P47" s="108" t="n"/>
      <c r="Q47" s="122">
        <f>P47*100/$E$47</f>
        <v/>
      </c>
      <c r="R47" s="108" t="n"/>
      <c r="S47" s="122">
        <f>R47*100/$E$47</f>
        <v/>
      </c>
      <c r="T47" s="108" t="n"/>
      <c r="U47" s="107">
        <f>T47*100/$E$47</f>
        <v/>
      </c>
      <c r="V47" s="108" t="n"/>
      <c r="W47" s="107">
        <f>V47*100/$E$47</f>
        <v/>
      </c>
      <c r="X47" s="108" t="n"/>
      <c r="Y47" s="107">
        <f>X47*100/$E$47</f>
        <v/>
      </c>
      <c r="Z47" s="108" t="n"/>
      <c r="AA47" s="107">
        <f>Z47*100/$E$47</f>
        <v/>
      </c>
      <c r="AB47" s="108" t="n"/>
      <c r="AC47" s="107">
        <f>AB47*100/$E$47</f>
        <v/>
      </c>
      <c r="AD47" s="108" t="n"/>
      <c r="AE47" s="122">
        <f>AD47*100/$E$47</f>
        <v/>
      </c>
      <c r="AF47" s="108" t="n"/>
      <c r="AG47" s="122">
        <f>AF47*100/$E$47</f>
        <v/>
      </c>
      <c r="AH47" s="108" t="n"/>
      <c r="AI47" s="107">
        <f>AH47*100/$E$47</f>
        <v/>
      </c>
      <c r="AJ47" s="108" t="n"/>
      <c r="AK47" s="107">
        <f>AJ47*100/$E$47</f>
        <v/>
      </c>
      <c r="AL47" s="108" t="n"/>
      <c r="AM47" s="107">
        <f>AL47*100/$E$47</f>
        <v/>
      </c>
      <c r="AN47" s="108" t="n"/>
      <c r="AO47" s="107">
        <f>AN47*100/$E$47</f>
        <v/>
      </c>
      <c r="AP47" s="108" t="n"/>
      <c r="AQ47" s="107">
        <f>AP47*100/$E$47</f>
        <v/>
      </c>
      <c r="AR47" s="108" t="n"/>
      <c r="AS47" s="107">
        <f>AR47*100/$E$47</f>
        <v/>
      </c>
      <c r="AT47" s="108" t="n"/>
      <c r="AU47" s="90">
        <f>AT47*100/$E$47</f>
        <v/>
      </c>
      <c r="AV47" s="108" t="n"/>
      <c r="AW47" s="107">
        <f>AV47*100/$E$47</f>
        <v/>
      </c>
      <c r="AX47" s="108" t="n"/>
      <c r="AY47" s="107">
        <f>AX47*100/$E$47</f>
        <v/>
      </c>
      <c r="AZ47" s="108" t="n"/>
      <c r="BA47" s="107">
        <f>AZ47*100/$E$47</f>
        <v/>
      </c>
      <c r="BB47" s="108" t="n"/>
      <c r="BC47" s="107">
        <f>BB47*100/$E$47</f>
        <v/>
      </c>
      <c r="BD47" s="108" t="n"/>
      <c r="BE47" s="107">
        <f>BD47*100/$E$47</f>
        <v/>
      </c>
      <c r="BF47" s="108" t="n"/>
      <c r="BG47" s="107">
        <f>BF47*100/$E$47</f>
        <v/>
      </c>
      <c r="BH47" s="108" t="n"/>
      <c r="BI47" s="107">
        <f>BH47*100/$E$47</f>
        <v/>
      </c>
      <c r="BJ47" s="108" t="n"/>
      <c r="BK47" s="107">
        <f>BJ47*100/$E$47</f>
        <v/>
      </c>
      <c r="BL47" s="108" t="n"/>
      <c r="BM47" s="107">
        <f>BL47*100/$E$47</f>
        <v/>
      </c>
      <c r="BN47" s="108" t="n"/>
      <c r="BO47" s="107">
        <f>BN47*100/$E$47</f>
        <v/>
      </c>
      <c r="BP47" s="108" t="n"/>
      <c r="BQ47" s="107">
        <f>BP47*100/$E$47</f>
        <v/>
      </c>
      <c r="BR47" s="108" t="n"/>
      <c r="BS47" s="107">
        <f>BR47*100/$E$47</f>
        <v/>
      </c>
      <c r="BT47" s="108" t="n"/>
      <c r="BU47" s="107">
        <f>BT47*100/$E$47</f>
        <v/>
      </c>
      <c r="BV47" s="108" t="n"/>
      <c r="BW47" s="107">
        <f>BV47*100/$E$47</f>
        <v/>
      </c>
      <c r="BX47" s="108" t="n"/>
      <c r="BY47" s="107">
        <f>BX47*100/$E$47</f>
        <v/>
      </c>
      <c r="BZ47" s="108" t="n"/>
      <c r="CA47" s="107">
        <f>BZ47*100/$E$47</f>
        <v/>
      </c>
      <c r="CB47" s="108" t="n"/>
      <c r="CC47" s="107">
        <f>CB47*100/$E$47</f>
        <v/>
      </c>
      <c r="CD47" s="108" t="n"/>
      <c r="CE47" s="107">
        <f>CD47*100/$E$47</f>
        <v/>
      </c>
      <c r="CF47" s="108" t="n"/>
      <c r="CG47" s="107">
        <f>CF47*100/$E$47</f>
        <v/>
      </c>
      <c r="CH47" s="108" t="n"/>
      <c r="CI47" s="107">
        <f>CH47*100/$E$47</f>
        <v/>
      </c>
      <c r="CJ47" s="108" t="n"/>
      <c r="CK47" s="107">
        <f>CJ47*100/$E$47</f>
        <v/>
      </c>
      <c r="CL47" s="108" t="n"/>
      <c r="CM47" s="107">
        <f>CL47*100/$E$47</f>
        <v/>
      </c>
      <c r="CN47" s="108" t="n"/>
      <c r="CO47" s="122">
        <f>CN47*100/$E$47</f>
        <v/>
      </c>
      <c r="CP47" s="108" t="n"/>
      <c r="CQ47" s="107">
        <f>CP47*100/$E$47</f>
        <v/>
      </c>
      <c r="CR47" s="108" t="n"/>
      <c r="CS47" s="122">
        <f>CR47*100/$E$47</f>
        <v/>
      </c>
      <c r="CT47" s="108" t="n"/>
      <c r="CU47" s="122">
        <f>CT47*100/$E$47</f>
        <v/>
      </c>
      <c r="CV47" s="108" t="n"/>
      <c r="CW47" s="122">
        <f>CV47*100/$E$47</f>
        <v/>
      </c>
      <c r="CX47" s="108" t="n"/>
      <c r="CY47" s="122">
        <f>CX47*100/$E$47</f>
        <v/>
      </c>
      <c r="CZ47" s="108" t="n"/>
      <c r="DA47" s="122">
        <f>CZ47*100/$E$47</f>
        <v/>
      </c>
      <c r="DB47" s="108" t="n"/>
      <c r="DC47" s="122">
        <f>DB47*100/$E$47</f>
        <v/>
      </c>
      <c r="DD47" s="108" t="n"/>
      <c r="DE47" s="122">
        <f>DD47*100/$E$47</f>
        <v/>
      </c>
      <c r="DF47" s="108" t="n"/>
      <c r="DG47" s="122">
        <f>DF47*100/$E$47</f>
        <v/>
      </c>
      <c r="DH47" s="108" t="n"/>
      <c r="DI47" s="122">
        <f>DH47*100/$E$47</f>
        <v/>
      </c>
      <c r="DJ47" s="108" t="n"/>
      <c r="DK47" s="122">
        <f>DJ47*100/$E$47</f>
        <v/>
      </c>
      <c r="DL47" s="108" t="n"/>
      <c r="DM47" s="122">
        <f>DL47*100/$E$47</f>
        <v/>
      </c>
      <c r="DN47" s="108" t="n"/>
      <c r="DO47" s="122">
        <f>DN47*100/$E$47</f>
        <v/>
      </c>
      <c r="DP47" s="108" t="n"/>
      <c r="DQ47" s="122">
        <f>DP47*100/$E$47</f>
        <v/>
      </c>
      <c r="DR47" s="108" t="n"/>
      <c r="DS47" s="122">
        <f>DR47*100/$E$47</f>
        <v/>
      </c>
      <c r="DT47" s="108" t="n"/>
      <c r="DU47" s="122">
        <f>DT47*100/$E$47</f>
        <v/>
      </c>
      <c r="DV47" s="108" t="n"/>
      <c r="DW47" s="122">
        <f>DV47*100/$E$47</f>
        <v/>
      </c>
      <c r="DX47" s="108" t="n"/>
      <c r="DY47" s="122">
        <f>DX47*100/$E$47</f>
        <v/>
      </c>
      <c r="DZ47" s="108" t="n"/>
      <c r="EA47" s="122">
        <f>DZ47*100/$E$47</f>
        <v/>
      </c>
      <c r="EB47" s="108" t="n"/>
      <c r="EC47" s="122">
        <f>EB47*100/$E$47</f>
        <v/>
      </c>
      <c r="ED47" s="108" t="n"/>
      <c r="EE47" s="122">
        <f>ED47*100/$E$47</f>
        <v/>
      </c>
      <c r="EF47" s="108" t="n"/>
      <c r="EG47" s="122">
        <f>EF47*100/$E$47</f>
        <v/>
      </c>
      <c r="EH47" s="108" t="n"/>
      <c r="EI47" s="122">
        <f>EH47*100/$E$47</f>
        <v/>
      </c>
      <c r="EJ47" s="108" t="n"/>
      <c r="EK47" s="122">
        <f>EJ47*100/$E$47</f>
        <v/>
      </c>
      <c r="EL47" s="108" t="n"/>
      <c r="EM47" s="122">
        <f>EL47*100/$E$47</f>
        <v/>
      </c>
      <c r="EN47" s="108" t="n"/>
      <c r="EO47" s="122">
        <f>EN47*100/$E$47</f>
        <v/>
      </c>
      <c r="EP47" s="108" t="n"/>
      <c r="EQ47" s="122">
        <f>EP47*100/$E$47</f>
        <v/>
      </c>
      <c r="ER47" s="108" t="n"/>
      <c r="ES47" s="122">
        <f>ER47*100/$E$47</f>
        <v/>
      </c>
      <c r="ET47" s="108" t="n"/>
      <c r="EU47" s="122">
        <f>ET47*100/$E$47</f>
        <v/>
      </c>
      <c r="EV47" s="108" t="n"/>
      <c r="EW47" s="122">
        <f>EV47*100/$E$47</f>
        <v/>
      </c>
      <c r="EX47" s="108" t="n"/>
      <c r="EY47" s="122">
        <f>EX47*100/$E$47</f>
        <v/>
      </c>
      <c r="EZ47" s="108" t="n"/>
      <c r="FA47" s="122">
        <f>EZ47*100/$E$47</f>
        <v/>
      </c>
      <c r="FB47" s="108" t="n"/>
      <c r="FC47" s="122">
        <f>FB47*100/$E$47</f>
        <v/>
      </c>
      <c r="FD47" s="108" t="n"/>
      <c r="FE47" s="122">
        <f>FD47*100/$E$47</f>
        <v/>
      </c>
      <c r="FF47" s="108" t="n"/>
      <c r="FG47" s="122">
        <f>FF47*100/$E$47</f>
        <v/>
      </c>
      <c r="FH47" s="108" t="n"/>
      <c r="FI47" s="122">
        <f>FH47*100/$E$47</f>
        <v/>
      </c>
      <c r="FJ47" s="108" t="n"/>
      <c r="FK47" s="122">
        <f>FJ47*100/$E$47</f>
        <v/>
      </c>
      <c r="FL47" s="108" t="n"/>
      <c r="FM47" s="122">
        <f>FL47*100/$E$47</f>
        <v/>
      </c>
      <c r="FN47" s="108" t="n"/>
      <c r="FO47" s="122">
        <f>FN47*100/$E$47</f>
        <v/>
      </c>
      <c r="FP47" s="108" t="n"/>
      <c r="FQ47" s="122">
        <f>FP47*100/$E$47</f>
        <v/>
      </c>
      <c r="FR47" s="108" t="n"/>
      <c r="FS47" s="122">
        <f>FR47*100/$E$47</f>
        <v/>
      </c>
      <c r="FT47" s="108" t="n"/>
      <c r="FU47" s="122">
        <f>FT47*100/$E$47</f>
        <v/>
      </c>
      <c r="FV47" s="108" t="n"/>
      <c r="FW47" s="122">
        <f>FV47*100/$E$47</f>
        <v/>
      </c>
      <c r="FX47" s="108" t="n"/>
      <c r="FY47" s="107">
        <f>FX47*100/$E$47</f>
        <v/>
      </c>
      <c r="FZ47" s="108" t="n"/>
      <c r="GA47" s="107">
        <f>FZ47*100/$E$47</f>
        <v/>
      </c>
      <c r="GB47" s="108" t="n"/>
      <c r="GC47" s="107">
        <f>GB47*100/$E$47</f>
        <v/>
      </c>
      <c r="GD47" s="108" t="n"/>
      <c r="GE47" s="107">
        <f>GD47*100/$E$47</f>
        <v/>
      </c>
      <c r="GF47" s="108" t="n"/>
      <c r="GG47" s="107">
        <f>GF47*100/$E$47</f>
        <v/>
      </c>
      <c r="GH47" s="108" t="n"/>
      <c r="GI47" s="107">
        <f>GH47*100/$E$47</f>
        <v/>
      </c>
      <c r="GJ47" s="108" t="n"/>
      <c r="GK47" s="122">
        <f>GJ47*100/$E$47</f>
        <v/>
      </c>
      <c r="GL47" s="108" t="n"/>
      <c r="GM47" s="107">
        <f>GL47*100/$E$47</f>
        <v/>
      </c>
      <c r="GN47" s="108" t="n"/>
      <c r="GO47" s="122">
        <f>GN47*100/$E$47</f>
        <v/>
      </c>
      <c r="GP47" s="108" t="n"/>
      <c r="GQ47" s="107">
        <f>GP47*100/$E$47</f>
        <v/>
      </c>
      <c r="GR47" s="108" t="n"/>
      <c r="GS47" s="122">
        <f>GR47*100/$E$47</f>
        <v/>
      </c>
      <c r="GT47" s="108" t="n"/>
      <c r="GU47" s="122">
        <f>GT47*100/$E$47</f>
        <v/>
      </c>
      <c r="GV47" s="108" t="n"/>
      <c r="GW47" s="122">
        <f>GV47*100/$E$47</f>
        <v/>
      </c>
      <c r="GX47" s="108" t="n"/>
      <c r="GY47" s="107">
        <f>GX47*100/$E$47</f>
        <v/>
      </c>
      <c r="GZ47" s="108" t="n"/>
      <c r="HA47" s="107">
        <f>GZ47*100/$E$47</f>
        <v/>
      </c>
      <c r="HB47" s="108" t="n"/>
      <c r="HC47" s="107">
        <f>HB47*100/$E$47</f>
        <v/>
      </c>
      <c r="HD47" s="108" t="n"/>
      <c r="HE47" s="107">
        <f>HD47*100/$E$47</f>
        <v/>
      </c>
      <c r="HF47" s="108" t="n"/>
      <c r="HG47" s="107">
        <f>HF47*100/$E$47</f>
        <v/>
      </c>
      <c r="HH47" s="108" t="n"/>
      <c r="HI47" s="107">
        <f>HH47*100/$E$47</f>
        <v/>
      </c>
      <c r="HJ47" s="108" t="n"/>
      <c r="HK47" s="107">
        <f>HJ47*100/$E$47</f>
        <v/>
      </c>
      <c r="HL47" s="108" t="n"/>
      <c r="HM47" s="107">
        <f>HL47*100/$E$47</f>
        <v/>
      </c>
      <c r="HN47" s="108" t="n"/>
      <c r="HO47" s="107">
        <f>HN47*100/$E$47</f>
        <v/>
      </c>
      <c r="HP47" s="108" t="n"/>
      <c r="HQ47" s="107">
        <f>HP47*100/$E$47</f>
        <v/>
      </c>
      <c r="HR47" s="108" t="n"/>
      <c r="HS47" s="107">
        <f>HR47*100/$E$47</f>
        <v/>
      </c>
      <c r="HT47" s="108" t="n"/>
      <c r="HU47" s="107">
        <f>HT47*100/$E$47</f>
        <v/>
      </c>
      <c r="HV47" s="108" t="n"/>
      <c r="HW47" s="107">
        <f>HV47*100/$E$47</f>
        <v/>
      </c>
      <c r="HX47" s="108" t="n"/>
      <c r="HY47" s="107">
        <f>HX47*100/$E$47</f>
        <v/>
      </c>
      <c r="HZ47" s="108" t="n"/>
      <c r="IA47" s="122">
        <f>HZ47*100/$E$47</f>
        <v/>
      </c>
      <c r="IB47" s="108" t="n"/>
      <c r="IC47" s="122">
        <f>IB47*100/$E$47</f>
        <v/>
      </c>
      <c r="ID47" s="108" t="n"/>
      <c r="IE47" s="122">
        <f>ID47*100/$E$47</f>
        <v/>
      </c>
      <c r="IF47" s="108" t="n"/>
      <c r="IG47" s="122">
        <f>IF47*100/$E$47</f>
        <v/>
      </c>
      <c r="IH47" s="108" t="n"/>
      <c r="II47" s="122">
        <f>IH47*100/$E$47</f>
        <v/>
      </c>
      <c r="IJ47" s="108" t="n"/>
      <c r="IK47" s="122">
        <f>IJ47*100/$E$47</f>
        <v/>
      </c>
      <c r="IL47" s="108" t="n"/>
      <c r="IM47" s="107">
        <f>IL47*100/$E$47</f>
        <v/>
      </c>
      <c r="IN47" s="108" t="n"/>
      <c r="IO47" s="107">
        <f>IN47*100/$E$47</f>
        <v/>
      </c>
      <c r="IP47" s="108" t="n"/>
      <c r="IQ47" s="122">
        <f>IP47*100/$E$47</f>
        <v/>
      </c>
      <c r="IR47" s="108" t="n"/>
      <c r="IS47" s="122">
        <f>IR47*100/$E$47</f>
        <v/>
      </c>
      <c r="IT47" s="108" t="n"/>
      <c r="IU47" s="122">
        <f>IT47*100/$E$47</f>
        <v/>
      </c>
      <c r="IV47" s="108" t="n"/>
      <c r="IW47" s="122">
        <f>IV47*100/$E$47</f>
        <v/>
      </c>
      <c r="IX47" s="108" t="n"/>
      <c r="IY47" s="122">
        <f>IX47*100/$E$47</f>
        <v/>
      </c>
      <c r="IZ47" s="108" t="n"/>
      <c r="JA47" s="122">
        <f>IZ47*100/$E$47</f>
        <v/>
      </c>
      <c r="JB47" s="108" t="n"/>
      <c r="JC47" s="122">
        <f>JB47*100/$E$47</f>
        <v/>
      </c>
      <c r="JD47" s="108" t="n"/>
      <c r="JE47" s="122">
        <f>JD47*100/$E$47</f>
        <v/>
      </c>
      <c r="JF47" s="108" t="n"/>
      <c r="JG47" s="122">
        <f>JF47*100/$E$47</f>
        <v/>
      </c>
      <c r="JH47" s="108" t="n"/>
      <c r="JI47" s="122">
        <f>JH47*100/$E$47</f>
        <v/>
      </c>
      <c r="JJ47" s="108" t="n"/>
      <c r="JK47" s="122">
        <f>JJ47*100/$E$47</f>
        <v/>
      </c>
      <c r="JL47" s="108" t="n"/>
      <c r="JM47" s="122">
        <f>JL47*100/$E$47</f>
        <v/>
      </c>
      <c r="JN47" s="108" t="n"/>
      <c r="JO47" s="121">
        <f>JN47*100/$E$47</f>
        <v/>
      </c>
      <c r="JP47" s="108" t="n"/>
      <c r="JQ47" s="121">
        <f>JP47*100/$E$47</f>
        <v/>
      </c>
      <c r="JR47" s="108" t="n"/>
      <c r="JS47" s="121">
        <f>JR47*100/$E$47</f>
        <v/>
      </c>
      <c r="JT47" s="108" t="n"/>
      <c r="JU47" s="121">
        <f>JT47*100/$E$47</f>
        <v/>
      </c>
      <c r="JV47" s="108" t="n"/>
      <c r="JW47" s="121">
        <f>JV47*100/$E$47</f>
        <v/>
      </c>
      <c r="JX47" s="108" t="n"/>
      <c r="JY47" s="121">
        <f>JX47*100/$E$47</f>
        <v/>
      </c>
      <c r="JZ47" s="55">
        <f>JN47+JP47+JR47+JT47+JV47+JX47</f>
        <v/>
      </c>
      <c r="KA47" s="53">
        <f>JO47+JQ47+JS47+JU47+JW47+JY47</f>
        <v/>
      </c>
      <c r="KB47" s="64">
        <f>H47+J47+L47+N47+P47+R47+T47+V47+X47+Z47+AB47+AD47+AF47+AH47+AJ47+AL47+AN47+AP47+AR47+AT47+AV47+AX47+AZ47+BB47+BD47+BF47+BH47+BJ47+BL47+BN47+BP47+BR47+BT47+BV47+BX47+BZ47+CB47+CD47+CF47+CH47+CZ47+DB47+DD47+DF47+DH47+DJ47+DL47+DN47+DP47+DR47+DT47+DV47+DX47+DZ47+EB47+ED47+EF47+EH47+EJ47+EL47+EN47+EP47+ER47+ET47+EV47+FN47+FP47+FR47+FT47+FV47+FX47+FZ47+GB47+GD47+GF47+GH47+GJ47+GL47+GN47+GP47+GR47+GT47+GV47+GX47+GZ47+HB47+HD47+HF47+HH47+HJ47+HL47+HN47+HP47+HR47+HT47+HV47+HX47+HZ47+IB47+ID47+IF47+IH47+IJ47+IL47+IN47+IP47+IR47+IT47+IV47+IX47+IZ47+JB47+JD47+JF47+JH47+JJ47+JL47+JZ47+CJ47+CL47+CN47+CP47+CR47+CT47+CV47+CX47+EX47+EZ47+FB47+FD47+FF47+FH47+FJ47+FL47</f>
        <v/>
      </c>
      <c r="KC47" s="66">
        <f>I47+K47+M47+O47+Q47+S47+U47+W47+Y47+AA47+AC47+AE47+AG47+AI47+AK47+AM47+AO47+AQ47+AS47+AU47+AW47+AY47+BA47+BC47+BE47+BG47+BI47+BK47+BM47+BO47+BQ47+BS47+BU47+BW47+BY47+CA47+CC47+CE47+CG47+CI47+DA47+DC47+DE47+DG47+DI47+DK47+DM47+DO47+DQ47+DS47+DU47+DW47+DY47+EA47+EC47+EE47+EG47+EI47+EK47+EM47+EO47+EQ47+ES47+EU47+EW47+FO47+FS47+FU47+FW47+FQ47+FY47+GA47+GC47+GE47+GG47+GI47+GK47+GM47+GO47+GQ47+GS47+GU47+GW47+GY47+HA47+HC47+HE47+HG47+HI47+HK47+HM47+HO47+HQ47+HS47+HU47+HW47+HY47+IA47+IC47+IE47+IG47+II47+IK47+IM47+IO47+IQ47+IS47+IU47+IW47+IY47+JA47+JC47+JE47+JG47+JI47+JK47+JM47+KA47+CK47+CM47+CO47+CQ47+CS47+CU47+CW47+CY47+EY47+FA47+FC47+FE47+FG47+FI47+FK47+FM47</f>
        <v/>
      </c>
      <c r="KD47" s="44">
        <f>JO47+JQ47+JS47+JU47+JW47+JY47</f>
        <v/>
      </c>
      <c r="KE47" s="45">
        <f>KB47=E47</f>
        <v/>
      </c>
      <c r="KF47" s="101">
        <f>E47-KB47</f>
        <v/>
      </c>
      <c r="KG47" s="11" t="n"/>
    </row>
    <row r="48" ht="21.75" customFormat="1" customHeight="1" s="26">
      <c r="A48" s="126">
        <f>A47+1</f>
        <v/>
      </c>
      <c r="B48" s="175" t="inlineStr">
        <is>
          <t>Федотов Е.А.</t>
        </is>
      </c>
      <c r="C48" s="176" t="inlineStr">
        <is>
          <t>термист</t>
        </is>
      </c>
      <c r="D48" s="177">
        <f>$D$5</f>
        <v/>
      </c>
      <c r="E48" s="202" t="n"/>
      <c r="F48" s="193" t="n">
        <v>68902.87</v>
      </c>
      <c r="G48" s="52">
        <f>F48/D48</f>
        <v/>
      </c>
      <c r="H48" s="125" t="n"/>
      <c r="I48" s="107">
        <f>H48*100/$E$48</f>
        <v/>
      </c>
      <c r="J48" s="108" t="n"/>
      <c r="K48" s="107">
        <f>J48*100/$E$48</f>
        <v/>
      </c>
      <c r="L48" s="108" t="n"/>
      <c r="M48" s="107">
        <f>L48*100/$E$48</f>
        <v/>
      </c>
      <c r="N48" s="108" t="n"/>
      <c r="O48" s="107">
        <f>N48*100/$E$48</f>
        <v/>
      </c>
      <c r="P48" s="108" t="n"/>
      <c r="Q48" s="122">
        <f>P48*100/$E$48</f>
        <v/>
      </c>
      <c r="R48" s="108" t="n"/>
      <c r="S48" s="122">
        <f>R48*100/$E$48</f>
        <v/>
      </c>
      <c r="T48" s="108" t="n"/>
      <c r="U48" s="107">
        <f>T48*100/$E$48</f>
        <v/>
      </c>
      <c r="V48" s="108" t="n"/>
      <c r="W48" s="107">
        <f>V48*100/$E$48</f>
        <v/>
      </c>
      <c r="X48" s="108" t="n"/>
      <c r="Y48" s="107">
        <f>X48*100/$E$48</f>
        <v/>
      </c>
      <c r="Z48" s="108" t="n"/>
      <c r="AA48" s="107">
        <f>Z48*100/$E$48</f>
        <v/>
      </c>
      <c r="AB48" s="108" t="n"/>
      <c r="AC48" s="107">
        <f>AB48*100/$E$48</f>
        <v/>
      </c>
      <c r="AD48" s="108" t="n"/>
      <c r="AE48" s="122">
        <f>AD48*100/$E$48</f>
        <v/>
      </c>
      <c r="AF48" s="108" t="n"/>
      <c r="AG48" s="122">
        <f>AF48*100/$E$48</f>
        <v/>
      </c>
      <c r="AH48" s="108" t="n"/>
      <c r="AI48" s="107">
        <f>AH48*100/$E$48</f>
        <v/>
      </c>
      <c r="AJ48" s="108" t="n"/>
      <c r="AK48" s="107">
        <f>AJ48*100/$E$48</f>
        <v/>
      </c>
      <c r="AL48" s="108" t="n"/>
      <c r="AM48" s="107">
        <f>AL48*100/$E$48</f>
        <v/>
      </c>
      <c r="AN48" s="108" t="n"/>
      <c r="AO48" s="107">
        <f>AN48*100/$E$48</f>
        <v/>
      </c>
      <c r="AP48" s="108" t="n"/>
      <c r="AQ48" s="107">
        <f>AP48*100/$E$48</f>
        <v/>
      </c>
      <c r="AR48" s="108" t="n"/>
      <c r="AS48" s="107">
        <f>AR48*100/$E$48</f>
        <v/>
      </c>
      <c r="AT48" s="108" t="n"/>
      <c r="AU48" s="90">
        <f>AT48*100/$E$48</f>
        <v/>
      </c>
      <c r="AV48" s="108" t="n"/>
      <c r="AW48" s="107">
        <f>AV48*100/$E$48</f>
        <v/>
      </c>
      <c r="AX48" s="108" t="n"/>
      <c r="AY48" s="107">
        <f>AX48*100/$E$48</f>
        <v/>
      </c>
      <c r="AZ48" s="108" t="n"/>
      <c r="BA48" s="107">
        <f>AZ48*100/$E$48</f>
        <v/>
      </c>
      <c r="BB48" s="108" t="n"/>
      <c r="BC48" s="107">
        <f>BB48*100/$E$48</f>
        <v/>
      </c>
      <c r="BD48" s="108" t="n"/>
      <c r="BE48" s="107">
        <f>BD48*100/$E$48</f>
        <v/>
      </c>
      <c r="BF48" s="108" t="n"/>
      <c r="BG48" s="107">
        <f>BF48*100/$E$48</f>
        <v/>
      </c>
      <c r="BH48" s="108" t="n"/>
      <c r="BI48" s="107">
        <f>BH48*100/$E$48</f>
        <v/>
      </c>
      <c r="BJ48" s="108" t="n"/>
      <c r="BK48" s="107">
        <f>BJ48*100/$E$48</f>
        <v/>
      </c>
      <c r="BL48" s="108" t="n"/>
      <c r="BM48" s="107">
        <f>BL48*100/$E$48</f>
        <v/>
      </c>
      <c r="BN48" s="108" t="n"/>
      <c r="BO48" s="107">
        <f>BN48*100/$E$48</f>
        <v/>
      </c>
      <c r="BP48" s="108" t="n"/>
      <c r="BQ48" s="107">
        <f>BP48*100/$E$48</f>
        <v/>
      </c>
      <c r="BR48" s="108" t="n"/>
      <c r="BS48" s="107">
        <f>BR48*100/$E$48</f>
        <v/>
      </c>
      <c r="BT48" s="108" t="n"/>
      <c r="BU48" s="107">
        <f>BT48*100/$E$48</f>
        <v/>
      </c>
      <c r="BV48" s="108" t="n"/>
      <c r="BW48" s="107">
        <f>BV48*100/$E$48</f>
        <v/>
      </c>
      <c r="BX48" s="108" t="n"/>
      <c r="BY48" s="107">
        <f>BX48*100/$E$48</f>
        <v/>
      </c>
      <c r="BZ48" s="108" t="n"/>
      <c r="CA48" s="107">
        <f>BZ48*100/$E$48</f>
        <v/>
      </c>
      <c r="CB48" s="108" t="n"/>
      <c r="CC48" s="107">
        <f>CB48*100/$E$48</f>
        <v/>
      </c>
      <c r="CD48" s="108" t="n"/>
      <c r="CE48" s="107">
        <f>CD48*100/$E$48</f>
        <v/>
      </c>
      <c r="CF48" s="108" t="n"/>
      <c r="CG48" s="107">
        <f>CF48*100/$E$48</f>
        <v/>
      </c>
      <c r="CH48" s="108" t="n"/>
      <c r="CI48" s="107">
        <f>CH48*100/$E$48</f>
        <v/>
      </c>
      <c r="CJ48" s="108" t="n"/>
      <c r="CK48" s="107">
        <f>CJ48*100/$E$48</f>
        <v/>
      </c>
      <c r="CL48" s="108" t="n"/>
      <c r="CM48" s="107">
        <f>CL48*100/$E$48</f>
        <v/>
      </c>
      <c r="CN48" s="108" t="n"/>
      <c r="CO48" s="122">
        <f>CN48*100/$E$48</f>
        <v/>
      </c>
      <c r="CP48" s="108" t="n"/>
      <c r="CQ48" s="107">
        <f>CP48*100/$E$48</f>
        <v/>
      </c>
      <c r="CR48" s="108" t="n"/>
      <c r="CS48" s="122">
        <f>CR48*100/$E$48</f>
        <v/>
      </c>
      <c r="CT48" s="108" t="n"/>
      <c r="CU48" s="122">
        <f>CT48*100/$E$48</f>
        <v/>
      </c>
      <c r="CV48" s="108" t="n"/>
      <c r="CW48" s="122">
        <f>CV48*100/$E$48</f>
        <v/>
      </c>
      <c r="CX48" s="108" t="n"/>
      <c r="CY48" s="122">
        <f>CX48*100/$E$48</f>
        <v/>
      </c>
      <c r="CZ48" s="108" t="n"/>
      <c r="DA48" s="122">
        <f>CZ48*100/$E$48</f>
        <v/>
      </c>
      <c r="DB48" s="108" t="n"/>
      <c r="DC48" s="122">
        <f>DB48*100/$E$48</f>
        <v/>
      </c>
      <c r="DD48" s="108" t="n"/>
      <c r="DE48" s="122">
        <f>DD48*100/$E$48</f>
        <v/>
      </c>
      <c r="DF48" s="108" t="n"/>
      <c r="DG48" s="122">
        <f>DF48*100/$E$48</f>
        <v/>
      </c>
      <c r="DH48" s="108" t="n"/>
      <c r="DI48" s="122">
        <f>DH48*100/$E$48</f>
        <v/>
      </c>
      <c r="DJ48" s="108" t="n"/>
      <c r="DK48" s="122">
        <f>DJ48*100/$E$48</f>
        <v/>
      </c>
      <c r="DL48" s="108" t="n"/>
      <c r="DM48" s="122">
        <f>DL48*100/$E$48</f>
        <v/>
      </c>
      <c r="DN48" s="108" t="n"/>
      <c r="DO48" s="122">
        <f>DN48*100/$E$48</f>
        <v/>
      </c>
      <c r="DP48" s="108" t="n"/>
      <c r="DQ48" s="122">
        <f>DP48*100/$E$48</f>
        <v/>
      </c>
      <c r="DR48" s="108" t="n"/>
      <c r="DS48" s="122">
        <f>DR48*100/$E$48</f>
        <v/>
      </c>
      <c r="DT48" s="108" t="n"/>
      <c r="DU48" s="122">
        <f>DT48*100/$E$48</f>
        <v/>
      </c>
      <c r="DV48" s="108" t="n"/>
      <c r="DW48" s="122">
        <f>DV48*100/$E$48</f>
        <v/>
      </c>
      <c r="DX48" s="108" t="n"/>
      <c r="DY48" s="122">
        <f>DX48*100/$E$48</f>
        <v/>
      </c>
      <c r="DZ48" s="108" t="n"/>
      <c r="EA48" s="122">
        <f>DZ48*100/$E$48</f>
        <v/>
      </c>
      <c r="EB48" s="108" t="n"/>
      <c r="EC48" s="122">
        <f>EB48*100/$E$48</f>
        <v/>
      </c>
      <c r="ED48" s="108" t="n"/>
      <c r="EE48" s="122">
        <f>ED48*100/$E$48</f>
        <v/>
      </c>
      <c r="EF48" s="108" t="n"/>
      <c r="EG48" s="122">
        <f>EF48*100/$E$48</f>
        <v/>
      </c>
      <c r="EH48" s="108" t="n"/>
      <c r="EI48" s="122">
        <f>EH48*100/$E$48</f>
        <v/>
      </c>
      <c r="EJ48" s="108" t="n"/>
      <c r="EK48" s="122">
        <f>EJ48*100/$E$48</f>
        <v/>
      </c>
      <c r="EL48" s="108" t="n"/>
      <c r="EM48" s="122">
        <f>EL48*100/$E$48</f>
        <v/>
      </c>
      <c r="EN48" s="108" t="n"/>
      <c r="EO48" s="122">
        <f>EN48*100/$E$48</f>
        <v/>
      </c>
      <c r="EP48" s="108" t="n"/>
      <c r="EQ48" s="122">
        <f>EP48*100/$E$48</f>
        <v/>
      </c>
      <c r="ER48" s="108" t="n"/>
      <c r="ES48" s="122">
        <f>ER48*100/$E$48</f>
        <v/>
      </c>
      <c r="ET48" s="108" t="n"/>
      <c r="EU48" s="122">
        <f>ET48*100/$E$48</f>
        <v/>
      </c>
      <c r="EV48" s="108" t="n"/>
      <c r="EW48" s="122">
        <f>EV48*100/$E$48</f>
        <v/>
      </c>
      <c r="EX48" s="108" t="n"/>
      <c r="EY48" s="122">
        <f>EX48*100/$E$48</f>
        <v/>
      </c>
      <c r="EZ48" s="108" t="n"/>
      <c r="FA48" s="122">
        <f>EZ48*100/$E$48</f>
        <v/>
      </c>
      <c r="FB48" s="108" t="n"/>
      <c r="FC48" s="122">
        <f>FB48*100/$E$48</f>
        <v/>
      </c>
      <c r="FD48" s="108" t="n"/>
      <c r="FE48" s="122">
        <f>FD48*100/$E$48</f>
        <v/>
      </c>
      <c r="FF48" s="108" t="n"/>
      <c r="FG48" s="122">
        <f>FF48*100/$E$48</f>
        <v/>
      </c>
      <c r="FH48" s="108" t="n"/>
      <c r="FI48" s="122">
        <f>FH48*100/$E$48</f>
        <v/>
      </c>
      <c r="FJ48" s="108" t="n"/>
      <c r="FK48" s="122">
        <f>FJ48*100/$E$48</f>
        <v/>
      </c>
      <c r="FL48" s="108" t="n"/>
      <c r="FM48" s="122">
        <f>FL48*100/$E$48</f>
        <v/>
      </c>
      <c r="FN48" s="108" t="n"/>
      <c r="FO48" s="122">
        <f>FN48*100/$E$48</f>
        <v/>
      </c>
      <c r="FP48" s="108" t="n"/>
      <c r="FQ48" s="122">
        <f>FP48*100/$E$48</f>
        <v/>
      </c>
      <c r="FR48" s="108" t="n"/>
      <c r="FS48" s="122">
        <f>FR48*100/$E$48</f>
        <v/>
      </c>
      <c r="FT48" s="108" t="n"/>
      <c r="FU48" s="122">
        <f>FT48*100/$E$48</f>
        <v/>
      </c>
      <c r="FV48" s="108" t="n"/>
      <c r="FW48" s="122">
        <f>FV48*100/$E$48</f>
        <v/>
      </c>
      <c r="FX48" s="108" t="n"/>
      <c r="FY48" s="107">
        <f>FX48*100/$E$48</f>
        <v/>
      </c>
      <c r="FZ48" s="108" t="n"/>
      <c r="GA48" s="107">
        <f>FZ48*100/$E$48</f>
        <v/>
      </c>
      <c r="GB48" s="108" t="n"/>
      <c r="GC48" s="107">
        <f>GB48*100/$E$48</f>
        <v/>
      </c>
      <c r="GD48" s="108" t="n"/>
      <c r="GE48" s="107">
        <f>GD48*100/$E$48</f>
        <v/>
      </c>
      <c r="GF48" s="108" t="n"/>
      <c r="GG48" s="107">
        <f>GF48*100/$E$48</f>
        <v/>
      </c>
      <c r="GH48" s="108" t="n"/>
      <c r="GI48" s="107">
        <f>GH48*100/$E$48</f>
        <v/>
      </c>
      <c r="GJ48" s="108" t="n"/>
      <c r="GK48" s="122">
        <f>GJ48*100/$E$48</f>
        <v/>
      </c>
      <c r="GL48" s="108" t="n"/>
      <c r="GM48" s="107">
        <f>GL48*100/$E$48</f>
        <v/>
      </c>
      <c r="GN48" s="108" t="n"/>
      <c r="GO48" s="122">
        <f>GN48*100/$E$48</f>
        <v/>
      </c>
      <c r="GP48" s="108" t="n"/>
      <c r="GQ48" s="107">
        <f>GP48*100/$E$48</f>
        <v/>
      </c>
      <c r="GR48" s="108" t="n"/>
      <c r="GS48" s="122">
        <f>GR48*100/$E$48</f>
        <v/>
      </c>
      <c r="GT48" s="108" t="n"/>
      <c r="GU48" s="122">
        <f>GT48*100/$E$48</f>
        <v/>
      </c>
      <c r="GV48" s="108" t="n"/>
      <c r="GW48" s="122">
        <f>GV48*100/$E$48</f>
        <v/>
      </c>
      <c r="GX48" s="108" t="n"/>
      <c r="GY48" s="107">
        <f>GX48*100/$E$48</f>
        <v/>
      </c>
      <c r="GZ48" s="108" t="n"/>
      <c r="HA48" s="107">
        <f>GZ48*100/$E$48</f>
        <v/>
      </c>
      <c r="HB48" s="108" t="n"/>
      <c r="HC48" s="107">
        <f>HB48*100/$E$48</f>
        <v/>
      </c>
      <c r="HD48" s="108" t="n"/>
      <c r="HE48" s="107">
        <f>HD48*100/$E$48</f>
        <v/>
      </c>
      <c r="HF48" s="108" t="n"/>
      <c r="HG48" s="107">
        <f>HF48*100/$E$48</f>
        <v/>
      </c>
      <c r="HH48" s="108" t="n"/>
      <c r="HI48" s="107">
        <f>HH48*100/$E$48</f>
        <v/>
      </c>
      <c r="HJ48" s="108" t="n"/>
      <c r="HK48" s="107">
        <f>HJ48*100/$E$48</f>
        <v/>
      </c>
      <c r="HL48" s="108" t="n"/>
      <c r="HM48" s="107">
        <f>HL48*100/$E$48</f>
        <v/>
      </c>
      <c r="HN48" s="108" t="n"/>
      <c r="HO48" s="107">
        <f>HN48*100/$E$48</f>
        <v/>
      </c>
      <c r="HP48" s="108" t="n"/>
      <c r="HQ48" s="107">
        <f>HP48*100/$E$48</f>
        <v/>
      </c>
      <c r="HR48" s="108" t="n"/>
      <c r="HS48" s="107">
        <f>HR48*100/$E$48</f>
        <v/>
      </c>
      <c r="HT48" s="108" t="n"/>
      <c r="HU48" s="107">
        <f>HT48*100/$E$48</f>
        <v/>
      </c>
      <c r="HV48" s="108" t="n"/>
      <c r="HW48" s="107">
        <f>HV48*100/$E$48</f>
        <v/>
      </c>
      <c r="HX48" s="108" t="n"/>
      <c r="HY48" s="107">
        <f>HX48*100/$E$48</f>
        <v/>
      </c>
      <c r="HZ48" s="108" t="n"/>
      <c r="IA48" s="122">
        <f>HZ48*100/$E$48</f>
        <v/>
      </c>
      <c r="IB48" s="108" t="n"/>
      <c r="IC48" s="122">
        <f>IB48*100/$E$48</f>
        <v/>
      </c>
      <c r="ID48" s="108" t="n"/>
      <c r="IE48" s="122">
        <f>ID48*100/$E$48</f>
        <v/>
      </c>
      <c r="IF48" s="108" t="n"/>
      <c r="IG48" s="122">
        <f>IF48*100/$E$48</f>
        <v/>
      </c>
      <c r="IH48" s="108" t="n"/>
      <c r="II48" s="122">
        <f>IH48*100/$E$48</f>
        <v/>
      </c>
      <c r="IJ48" s="108" t="n"/>
      <c r="IK48" s="122">
        <f>IJ48*100/$E$48</f>
        <v/>
      </c>
      <c r="IL48" s="108" t="n"/>
      <c r="IM48" s="107">
        <f>IL48*100/$E$48</f>
        <v/>
      </c>
      <c r="IN48" s="108" t="n"/>
      <c r="IO48" s="107">
        <f>IN48*100/$E$48</f>
        <v/>
      </c>
      <c r="IP48" s="108" t="n"/>
      <c r="IQ48" s="122">
        <f>IP48*100/$E$48</f>
        <v/>
      </c>
      <c r="IR48" s="108" t="n"/>
      <c r="IS48" s="122">
        <f>IR48*100/$E$48</f>
        <v/>
      </c>
      <c r="IT48" s="108" t="n"/>
      <c r="IU48" s="122">
        <f>IT48*100/$E$48</f>
        <v/>
      </c>
      <c r="IV48" s="108" t="n"/>
      <c r="IW48" s="122">
        <f>IV48*100/$E$48</f>
        <v/>
      </c>
      <c r="IX48" s="108" t="n"/>
      <c r="IY48" s="122">
        <f>IX48*100/$E$48</f>
        <v/>
      </c>
      <c r="IZ48" s="108" t="n"/>
      <c r="JA48" s="122">
        <f>IZ48*100/$E$48</f>
        <v/>
      </c>
      <c r="JB48" s="108" t="n"/>
      <c r="JC48" s="122">
        <f>JB48*100/$E$48</f>
        <v/>
      </c>
      <c r="JD48" s="108" t="n"/>
      <c r="JE48" s="122">
        <f>JD48*100/$E$48</f>
        <v/>
      </c>
      <c r="JF48" s="108" t="n"/>
      <c r="JG48" s="122">
        <f>JF48*100/$E$48</f>
        <v/>
      </c>
      <c r="JH48" s="108" t="n"/>
      <c r="JI48" s="122">
        <f>JH48*100/$E$48</f>
        <v/>
      </c>
      <c r="JJ48" s="108" t="n"/>
      <c r="JK48" s="122">
        <f>JJ48*100/$E$48</f>
        <v/>
      </c>
      <c r="JL48" s="108" t="n"/>
      <c r="JM48" s="122">
        <f>JL48*100/$E$48</f>
        <v/>
      </c>
      <c r="JN48" s="108" t="n"/>
      <c r="JO48" s="121">
        <f>JN48*100/$E$48</f>
        <v/>
      </c>
      <c r="JP48" s="108" t="n"/>
      <c r="JQ48" s="121">
        <f>JP48*100/$E$48</f>
        <v/>
      </c>
      <c r="JR48" s="108" t="n"/>
      <c r="JS48" s="121">
        <f>JR48*100/$E$48</f>
        <v/>
      </c>
      <c r="JT48" s="108" t="n"/>
      <c r="JU48" s="121">
        <f>JT48*100/$E$48</f>
        <v/>
      </c>
      <c r="JV48" s="108" t="n"/>
      <c r="JW48" s="121">
        <f>JV48*100/$E$48</f>
        <v/>
      </c>
      <c r="JX48" s="108" t="n"/>
      <c r="JY48" s="121">
        <f>JX48*100/$E$48</f>
        <v/>
      </c>
      <c r="JZ48" s="55">
        <f>JN48+JP48+JR48+JT48+JV48+JX48</f>
        <v/>
      </c>
      <c r="KA48" s="53">
        <f>JO48+JQ48+JS48+JU48+JW48+JY48</f>
        <v/>
      </c>
      <c r="KB48" s="64">
        <f>H48+J48+L48+N48+P48+R48+T48+V48+X48+Z48+AB48+AD48+AF48+AH48+AJ48+AL48+AN48+AP48+AR48+AT48+AV48+AX48+AZ48+BB48+BD48+BF48+BH48+BJ48+BL48+BN48+BP48+BR48+BT48+BV48+BX48+BZ48+CB48+CD48+CF48+CH48+CZ48+DB48+DD48+DF48+DH48+DJ48+DL48+DN48+DP48+DR48+DT48+DV48+DX48+DZ48+EB48+ED48+EF48+EH48+EJ48+EL48+EN48+EP48+ER48+ET48+EV48+FN48+FP48+FR48+FT48+FV48+FX48+FZ48+GB48+GD48+GF48+GH48+GJ48+GL48+GN48+GP48+GR48+GT48+GV48+GX48+GZ48+HB48+HD48+HF48+HH48+HJ48+HL48+HN48+HP48+HR48+HT48+HV48+HX48+HZ48+IB48+ID48+IF48+IH48+IJ48+IL48+IN48+IP48+IR48+IT48+IV48+IX48+IZ48+JB48+JD48+JF48+JH48+JJ48+JL48+JZ48+CJ48+CL48+CN48+CP48+CR48+CT48+CV48+CX48+EX48+EZ48+FB48+FD48+FF48+FH48+FJ48+FL48</f>
        <v/>
      </c>
      <c r="KC48" s="66">
        <f>I48+K48+M48+O48+Q48+S48+U48+W48+Y48+AA48+AC48+AE48+AG48+AI48+AK48+AM48+AO48+AQ48+AS48+AU48+AW48+AY48+BA48+BC48+BE48+BG48+BI48+BK48+BM48+BO48+BQ48+BS48+BU48+BW48+BY48+CA48+CC48+CE48+CG48+CI48+DA48+DC48+DE48+DG48+DI48+DK48+DM48+DO48+DQ48+DS48+DU48+DW48+DY48+EA48+EC48+EE48+EG48+EI48+EK48+EM48+EO48+EQ48+ES48+EU48+EW48+FO48+FS48+FU48+FW48+FQ48+FY48+GA48+GC48+GE48+GG48+GI48+GK48+GM48+GO48+GQ48+GS48+GU48+GW48+GY48+HA48+HC48+HE48+HG48+HI48+HK48+HM48+HO48+HQ48+HS48+HU48+HW48+HY48+IA48+IC48+IE48+IG48+II48+IK48+IM48+IO48+IQ48+IS48+IU48+IW48+IY48+JA48+JC48+JE48+JG48+JI48+JK48+JM48+KA48+CK48+CM48+CO48+CQ48+CS48+CU48+CW48+CY48+EY48+FA48+FC48+FE48+FG48+FI48+FK48+FM48</f>
        <v/>
      </c>
      <c r="KD48" s="44">
        <f>JO48+JQ48+JS48+JU48+JW48+JY48</f>
        <v/>
      </c>
      <c r="KE48" s="45">
        <f>KB48=E48</f>
        <v/>
      </c>
      <c r="KF48" s="101">
        <f>E48-KB48</f>
        <v/>
      </c>
      <c r="KG48" s="29" t="n"/>
    </row>
    <row r="49" ht="21.75" customFormat="1" customHeight="1" s="22">
      <c r="A49" s="126">
        <f>A48+1</f>
        <v/>
      </c>
      <c r="B49" s="175" t="inlineStr">
        <is>
          <t>Фещенко Д.М.</t>
        </is>
      </c>
      <c r="C49" s="176" t="inlineStr">
        <is>
          <t xml:space="preserve">Оператор СПУ </t>
        </is>
      </c>
      <c r="D49" s="177">
        <f>$D$5</f>
        <v/>
      </c>
      <c r="E49" s="202" t="n"/>
      <c r="F49" s="193" t="n">
        <v>101149.88</v>
      </c>
      <c r="G49" s="52">
        <f>F49/D49</f>
        <v/>
      </c>
      <c r="H49" s="125" t="n"/>
      <c r="I49" s="107">
        <f>H49*100/$E$49</f>
        <v/>
      </c>
      <c r="J49" s="108" t="n"/>
      <c r="K49" s="107">
        <f>J49*100/$E$49</f>
        <v/>
      </c>
      <c r="L49" s="108" t="n"/>
      <c r="M49" s="107">
        <f>L49*100/$E$49</f>
        <v/>
      </c>
      <c r="N49" s="108" t="n"/>
      <c r="O49" s="107">
        <f>N49*100/$E$49</f>
        <v/>
      </c>
      <c r="P49" s="108" t="n"/>
      <c r="Q49" s="122">
        <f>P49*100/$E$49</f>
        <v/>
      </c>
      <c r="R49" s="125" t="n"/>
      <c r="S49" s="122">
        <f>R49*100/$E$49</f>
        <v/>
      </c>
      <c r="T49" s="108" t="n"/>
      <c r="U49" s="107">
        <f>T49*100/$E$49</f>
        <v/>
      </c>
      <c r="V49" s="108" t="n"/>
      <c r="W49" s="107">
        <f>V49*100/$E$49</f>
        <v/>
      </c>
      <c r="X49" s="108" t="n"/>
      <c r="Y49" s="107">
        <f>X49*100/$E$49</f>
        <v/>
      </c>
      <c r="Z49" s="108" t="n"/>
      <c r="AA49" s="107">
        <f>Z49*100/$E$49</f>
        <v/>
      </c>
      <c r="AB49" s="108" t="n"/>
      <c r="AC49" s="107">
        <f>AB49*100/$E$49</f>
        <v/>
      </c>
      <c r="AD49" s="108" t="n"/>
      <c r="AE49" s="122">
        <f>AD49*100/$E$49</f>
        <v/>
      </c>
      <c r="AF49" s="108" t="n"/>
      <c r="AG49" s="122">
        <f>AF49*100/$E$49</f>
        <v/>
      </c>
      <c r="AH49" s="108" t="n"/>
      <c r="AI49" s="107">
        <f>AH49*100/$E$49</f>
        <v/>
      </c>
      <c r="AJ49" s="108" t="n"/>
      <c r="AK49" s="107">
        <f>AJ49*100/$E$49</f>
        <v/>
      </c>
      <c r="AL49" s="108" t="n"/>
      <c r="AM49" s="107">
        <f>AL49*100/$E$49</f>
        <v/>
      </c>
      <c r="AN49" s="108" t="n"/>
      <c r="AO49" s="107">
        <f>AN49*100/$E$49</f>
        <v/>
      </c>
      <c r="AP49" s="108" t="n"/>
      <c r="AQ49" s="107">
        <f>AP49*100/$E$49</f>
        <v/>
      </c>
      <c r="AR49" s="108" t="n"/>
      <c r="AS49" s="107">
        <f>AR49*100/$E$49</f>
        <v/>
      </c>
      <c r="AT49" s="108" t="n"/>
      <c r="AU49" s="90">
        <f>AT49*100/$E$49</f>
        <v/>
      </c>
      <c r="AV49" s="108" t="n"/>
      <c r="AW49" s="107">
        <f>AV49*100/$E$49</f>
        <v/>
      </c>
      <c r="AX49" s="108" t="n"/>
      <c r="AY49" s="107">
        <f>AX49*100/$E$49</f>
        <v/>
      </c>
      <c r="AZ49" s="108" t="n"/>
      <c r="BA49" s="107">
        <f>AZ49*100/$E$49</f>
        <v/>
      </c>
      <c r="BB49" s="108" t="n"/>
      <c r="BC49" s="107">
        <f>BB49*100/$E$49</f>
        <v/>
      </c>
      <c r="BD49" s="108" t="n"/>
      <c r="BE49" s="107">
        <f>BD49*100/$E$49</f>
        <v/>
      </c>
      <c r="BF49" s="108" t="n"/>
      <c r="BG49" s="107">
        <f>BF49*100/$E$49</f>
        <v/>
      </c>
      <c r="BH49" s="108" t="n"/>
      <c r="BI49" s="107">
        <f>BH49*100/$E$49</f>
        <v/>
      </c>
      <c r="BJ49" s="108" t="n"/>
      <c r="BK49" s="107">
        <f>BJ49*100/$E$49</f>
        <v/>
      </c>
      <c r="BL49" s="108" t="n"/>
      <c r="BM49" s="107">
        <f>BL49*100/$E$49</f>
        <v/>
      </c>
      <c r="BN49" s="108" t="n"/>
      <c r="BO49" s="107">
        <f>BN49*100/$E$49</f>
        <v/>
      </c>
      <c r="BP49" s="108" t="n"/>
      <c r="BQ49" s="107">
        <f>BP49*100/$E$49</f>
        <v/>
      </c>
      <c r="BR49" s="108" t="n"/>
      <c r="BS49" s="107">
        <f>BR49*100/$E$49</f>
        <v/>
      </c>
      <c r="BT49" s="108" t="n"/>
      <c r="BU49" s="107">
        <f>BT49*100/$E$49</f>
        <v/>
      </c>
      <c r="BV49" s="108" t="n"/>
      <c r="BW49" s="107">
        <f>BV49*100/$E$49</f>
        <v/>
      </c>
      <c r="BX49" s="108" t="n"/>
      <c r="BY49" s="107">
        <f>BX49*100/$E$49</f>
        <v/>
      </c>
      <c r="BZ49" s="108" t="n"/>
      <c r="CA49" s="107">
        <f>BZ49*100/$E$49</f>
        <v/>
      </c>
      <c r="CB49" s="108" t="n"/>
      <c r="CC49" s="107">
        <f>CB49*100/$E$49</f>
        <v/>
      </c>
      <c r="CD49" s="108" t="n"/>
      <c r="CE49" s="107">
        <f>CD49*100/$E$49</f>
        <v/>
      </c>
      <c r="CF49" s="108" t="n"/>
      <c r="CG49" s="107">
        <f>CF49*100/$E$49</f>
        <v/>
      </c>
      <c r="CH49" s="108" t="n"/>
      <c r="CI49" s="107">
        <f>CH49*100/$E$49</f>
        <v/>
      </c>
      <c r="CJ49" s="108" t="n"/>
      <c r="CK49" s="107">
        <f>CJ49*100/$E$49</f>
        <v/>
      </c>
      <c r="CL49" s="108" t="n"/>
      <c r="CM49" s="107">
        <f>CL49*100/$E$49</f>
        <v/>
      </c>
      <c r="CN49" s="108" t="n"/>
      <c r="CO49" s="122">
        <f>CN49*100/$E$49</f>
        <v/>
      </c>
      <c r="CP49" s="108" t="n"/>
      <c r="CQ49" s="107">
        <f>CP49*100/$E$49</f>
        <v/>
      </c>
      <c r="CR49" s="108" t="n"/>
      <c r="CS49" s="122">
        <f>CR49*100/$E$49</f>
        <v/>
      </c>
      <c r="CT49" s="108" t="n"/>
      <c r="CU49" s="122">
        <f>CT49*100/$E$49</f>
        <v/>
      </c>
      <c r="CV49" s="108" t="n"/>
      <c r="CW49" s="122">
        <f>CV49*100/$E$49</f>
        <v/>
      </c>
      <c r="CX49" s="108" t="n"/>
      <c r="CY49" s="122">
        <f>CX49*100/$E$49</f>
        <v/>
      </c>
      <c r="CZ49" s="108" t="n"/>
      <c r="DA49" s="122">
        <f>CZ49*100/$E$49</f>
        <v/>
      </c>
      <c r="DB49" s="108" t="n"/>
      <c r="DC49" s="122">
        <f>DB49*100/$E$49</f>
        <v/>
      </c>
      <c r="DD49" s="108" t="n"/>
      <c r="DE49" s="122">
        <f>DD49*100/$E$49</f>
        <v/>
      </c>
      <c r="DF49" s="108" t="n"/>
      <c r="DG49" s="122">
        <f>DF49*100/$E$49</f>
        <v/>
      </c>
      <c r="DH49" s="108" t="n"/>
      <c r="DI49" s="122">
        <f>DH49*100/$E$49</f>
        <v/>
      </c>
      <c r="DJ49" s="108" t="n"/>
      <c r="DK49" s="122">
        <f>DJ49*100/$E$49</f>
        <v/>
      </c>
      <c r="DL49" s="108" t="n"/>
      <c r="DM49" s="122">
        <f>DL49*100/$E$49</f>
        <v/>
      </c>
      <c r="DN49" s="108" t="n"/>
      <c r="DO49" s="122">
        <f>DN49*100/$E$49</f>
        <v/>
      </c>
      <c r="DP49" s="108" t="n"/>
      <c r="DQ49" s="122">
        <f>DP49*100/$E$49</f>
        <v/>
      </c>
      <c r="DR49" s="108" t="n"/>
      <c r="DS49" s="122">
        <f>DR49*100/$E$49</f>
        <v/>
      </c>
      <c r="DT49" s="108" t="n"/>
      <c r="DU49" s="122">
        <f>DT49*100/$E$49</f>
        <v/>
      </c>
      <c r="DV49" s="108" t="n"/>
      <c r="DW49" s="122">
        <f>DV49*100/$E$49</f>
        <v/>
      </c>
      <c r="DX49" s="108" t="n"/>
      <c r="DY49" s="122">
        <f>DX49*100/$E$49</f>
        <v/>
      </c>
      <c r="DZ49" s="108" t="n"/>
      <c r="EA49" s="122">
        <f>DZ49*100/$E$49</f>
        <v/>
      </c>
      <c r="EB49" s="108" t="n"/>
      <c r="EC49" s="122">
        <f>EB49*100/$E$49</f>
        <v/>
      </c>
      <c r="ED49" s="108" t="n"/>
      <c r="EE49" s="122">
        <f>ED49*100/$E$49</f>
        <v/>
      </c>
      <c r="EF49" s="108" t="n"/>
      <c r="EG49" s="122">
        <f>EF49*100/$E$49</f>
        <v/>
      </c>
      <c r="EH49" s="108" t="n"/>
      <c r="EI49" s="122">
        <f>EH49*100/$E$49</f>
        <v/>
      </c>
      <c r="EJ49" s="108" t="n"/>
      <c r="EK49" s="122">
        <f>EJ49*100/$E$49</f>
        <v/>
      </c>
      <c r="EL49" s="108" t="n"/>
      <c r="EM49" s="122">
        <f>EL49*100/$E$49</f>
        <v/>
      </c>
      <c r="EN49" s="108" t="n"/>
      <c r="EO49" s="122">
        <f>EN49*100/$E$49</f>
        <v/>
      </c>
      <c r="EP49" s="108" t="n"/>
      <c r="EQ49" s="122">
        <f>EP49*100/$E$49</f>
        <v/>
      </c>
      <c r="ER49" s="108" t="n"/>
      <c r="ES49" s="122">
        <f>ER49*100/$E$49</f>
        <v/>
      </c>
      <c r="ET49" s="108" t="n"/>
      <c r="EU49" s="122">
        <f>ET49*100/$E$49</f>
        <v/>
      </c>
      <c r="EV49" s="108" t="n"/>
      <c r="EW49" s="122">
        <f>EV49*100/$E$49</f>
        <v/>
      </c>
      <c r="EX49" s="108" t="n"/>
      <c r="EY49" s="122">
        <f>EX49*100/$E$49</f>
        <v/>
      </c>
      <c r="EZ49" s="108" t="n"/>
      <c r="FA49" s="122">
        <f>EZ49*100/$E$49</f>
        <v/>
      </c>
      <c r="FB49" s="108" t="n"/>
      <c r="FC49" s="122">
        <f>FB49*100/$E$49</f>
        <v/>
      </c>
      <c r="FD49" s="108" t="n"/>
      <c r="FE49" s="122">
        <f>FD49*100/$E$49</f>
        <v/>
      </c>
      <c r="FF49" s="108" t="n"/>
      <c r="FG49" s="122">
        <f>FF49*100/$E$49</f>
        <v/>
      </c>
      <c r="FH49" s="108" t="n"/>
      <c r="FI49" s="122">
        <f>FH49*100/$E$49</f>
        <v/>
      </c>
      <c r="FJ49" s="108" t="n"/>
      <c r="FK49" s="122">
        <f>FJ49*100/$E$49</f>
        <v/>
      </c>
      <c r="FL49" s="108" t="n"/>
      <c r="FM49" s="122">
        <f>FL49*100/$E$49</f>
        <v/>
      </c>
      <c r="FN49" s="108" t="n"/>
      <c r="FO49" s="122">
        <f>FN49*100/$E$49</f>
        <v/>
      </c>
      <c r="FP49" s="108" t="n"/>
      <c r="FQ49" s="122">
        <f>FP49*100/$E$49</f>
        <v/>
      </c>
      <c r="FR49" s="108" t="n"/>
      <c r="FS49" s="122">
        <f>FR49*100/$E$49</f>
        <v/>
      </c>
      <c r="FT49" s="108" t="n"/>
      <c r="FU49" s="122">
        <f>FT49*100/$E$49</f>
        <v/>
      </c>
      <c r="FV49" s="108" t="n"/>
      <c r="FW49" s="122">
        <f>FV49*100/$E$49</f>
        <v/>
      </c>
      <c r="FX49" s="108" t="n"/>
      <c r="FY49" s="107">
        <f>FX49*100/$E$49</f>
        <v/>
      </c>
      <c r="FZ49" s="108" t="n"/>
      <c r="GA49" s="107">
        <f>FZ49*100/$E$49</f>
        <v/>
      </c>
      <c r="GB49" s="108" t="n"/>
      <c r="GC49" s="107">
        <f>GB49*100/$E$49</f>
        <v/>
      </c>
      <c r="GD49" s="108" t="n"/>
      <c r="GE49" s="107">
        <f>GD49*100/$E$49</f>
        <v/>
      </c>
      <c r="GF49" s="108" t="n"/>
      <c r="GG49" s="107">
        <f>GF49*100/$E$49</f>
        <v/>
      </c>
      <c r="GH49" s="108" t="n"/>
      <c r="GI49" s="107">
        <f>GH49*100/$E$49</f>
        <v/>
      </c>
      <c r="GJ49" s="108" t="n"/>
      <c r="GK49" s="122">
        <f>GJ49*100/$E$49</f>
        <v/>
      </c>
      <c r="GL49" s="108" t="n"/>
      <c r="GM49" s="107">
        <f>GL49*100/$E$49</f>
        <v/>
      </c>
      <c r="GN49" s="108" t="n"/>
      <c r="GO49" s="122">
        <f>GN49*100/$E$49</f>
        <v/>
      </c>
      <c r="GP49" s="108" t="n"/>
      <c r="GQ49" s="107">
        <f>GP49*100/$E$49</f>
        <v/>
      </c>
      <c r="GR49" s="108" t="n"/>
      <c r="GS49" s="122">
        <f>GR49*100/$E$49</f>
        <v/>
      </c>
      <c r="GT49" s="108" t="n"/>
      <c r="GU49" s="122">
        <f>GT49*100/$E$49</f>
        <v/>
      </c>
      <c r="GV49" s="108" t="n"/>
      <c r="GW49" s="122">
        <f>GV49*100/$E$49</f>
        <v/>
      </c>
      <c r="GX49" s="108" t="n"/>
      <c r="GY49" s="107">
        <f>GX49*100/$E$49</f>
        <v/>
      </c>
      <c r="GZ49" s="108" t="n"/>
      <c r="HA49" s="107">
        <f>GZ49*100/$E$49</f>
        <v/>
      </c>
      <c r="HB49" s="108" t="n"/>
      <c r="HC49" s="107">
        <f>HB49*100/$E$49</f>
        <v/>
      </c>
      <c r="HD49" s="108" t="n"/>
      <c r="HE49" s="107">
        <f>HD49*100/$E$49</f>
        <v/>
      </c>
      <c r="HF49" s="108" t="n"/>
      <c r="HG49" s="107">
        <f>HF49*100/$E$49</f>
        <v/>
      </c>
      <c r="HH49" s="108" t="n"/>
      <c r="HI49" s="107">
        <f>HH49*100/$E$49</f>
        <v/>
      </c>
      <c r="HJ49" s="108" t="n"/>
      <c r="HK49" s="107">
        <f>HJ49*100/$E$49</f>
        <v/>
      </c>
      <c r="HL49" s="108" t="n"/>
      <c r="HM49" s="107">
        <f>HL49*100/$E$49</f>
        <v/>
      </c>
      <c r="HN49" s="108" t="n"/>
      <c r="HO49" s="107">
        <f>HN49*100/$E$49</f>
        <v/>
      </c>
      <c r="HP49" s="108" t="n"/>
      <c r="HQ49" s="107">
        <f>HP49*100/$E$49</f>
        <v/>
      </c>
      <c r="HR49" s="108" t="n"/>
      <c r="HS49" s="107">
        <f>HR49*100/$E$49</f>
        <v/>
      </c>
      <c r="HT49" s="108" t="n"/>
      <c r="HU49" s="107">
        <f>HT49*100/$E$49</f>
        <v/>
      </c>
      <c r="HV49" s="108" t="n"/>
      <c r="HW49" s="107">
        <f>HV49*100/$E$49</f>
        <v/>
      </c>
      <c r="HX49" s="108" t="n"/>
      <c r="HY49" s="107">
        <f>HX49*100/$E$49</f>
        <v/>
      </c>
      <c r="HZ49" s="108" t="n"/>
      <c r="IA49" s="122">
        <f>HZ49*100/$E$49</f>
        <v/>
      </c>
      <c r="IB49" s="108" t="n"/>
      <c r="IC49" s="122">
        <f>IB49*100/$E$49</f>
        <v/>
      </c>
      <c r="ID49" s="108" t="n"/>
      <c r="IE49" s="122">
        <f>ID49*100/$E$49</f>
        <v/>
      </c>
      <c r="IF49" s="108" t="n"/>
      <c r="IG49" s="122">
        <f>IF49*100/$E$49</f>
        <v/>
      </c>
      <c r="IH49" s="108" t="n"/>
      <c r="II49" s="122">
        <f>IH49*100/$E$49</f>
        <v/>
      </c>
      <c r="IJ49" s="108" t="n"/>
      <c r="IK49" s="122">
        <f>IJ49*100/$E$49</f>
        <v/>
      </c>
      <c r="IL49" s="108" t="n"/>
      <c r="IM49" s="107">
        <f>IL49*100/$E$49</f>
        <v/>
      </c>
      <c r="IN49" s="108" t="n"/>
      <c r="IO49" s="107">
        <f>IN49*100/$E$49</f>
        <v/>
      </c>
      <c r="IP49" s="108" t="n"/>
      <c r="IQ49" s="122">
        <f>IP49*100/$E$49</f>
        <v/>
      </c>
      <c r="IR49" s="108" t="n"/>
      <c r="IS49" s="122">
        <f>IR49*100/$E$49</f>
        <v/>
      </c>
      <c r="IT49" s="108" t="n"/>
      <c r="IU49" s="122">
        <f>IT49*100/$E$49</f>
        <v/>
      </c>
      <c r="IV49" s="108" t="n"/>
      <c r="IW49" s="122">
        <f>IV49*100/$E$49</f>
        <v/>
      </c>
      <c r="IX49" s="108" t="n"/>
      <c r="IY49" s="122">
        <f>IX49*100/$E$49</f>
        <v/>
      </c>
      <c r="IZ49" s="108" t="n"/>
      <c r="JA49" s="122">
        <f>IZ49*100/$E$49</f>
        <v/>
      </c>
      <c r="JB49" s="108" t="n"/>
      <c r="JC49" s="122">
        <f>JB49*100/$E$49</f>
        <v/>
      </c>
      <c r="JD49" s="108" t="n"/>
      <c r="JE49" s="122">
        <f>JD49*100/$E$49</f>
        <v/>
      </c>
      <c r="JF49" s="108" t="n"/>
      <c r="JG49" s="122">
        <f>JF49*100/$E$49</f>
        <v/>
      </c>
      <c r="JH49" s="108" t="n"/>
      <c r="JI49" s="122">
        <f>JH49*100/$E$49</f>
        <v/>
      </c>
      <c r="JJ49" s="108" t="n"/>
      <c r="JK49" s="122">
        <f>JJ49*100/$E$49</f>
        <v/>
      </c>
      <c r="JL49" s="108" t="n"/>
      <c r="JM49" s="122">
        <f>JL49*100/$E$49</f>
        <v/>
      </c>
      <c r="JN49" s="108" t="n"/>
      <c r="JO49" s="121">
        <f>JN49*100/$E$49</f>
        <v/>
      </c>
      <c r="JP49" s="108" t="n"/>
      <c r="JQ49" s="121">
        <f>JP49*100/$E$49</f>
        <v/>
      </c>
      <c r="JR49" s="108" t="n"/>
      <c r="JS49" s="121">
        <f>JR49*100/$E$49</f>
        <v/>
      </c>
      <c r="JT49" s="108" t="n"/>
      <c r="JU49" s="121">
        <f>JT49*100/$E$49</f>
        <v/>
      </c>
      <c r="JV49" s="108" t="n"/>
      <c r="JW49" s="121">
        <f>JV49*100/$E$49</f>
        <v/>
      </c>
      <c r="JX49" s="108" t="n"/>
      <c r="JY49" s="121">
        <f>JX49*100/$E$49</f>
        <v/>
      </c>
      <c r="JZ49" s="55">
        <f>JN49+JP49+JR49+JT49+JV49+JX49</f>
        <v/>
      </c>
      <c r="KA49" s="53">
        <f>JO49+JQ49+JS49+JU49+JW49+JY49</f>
        <v/>
      </c>
      <c r="KB49" s="64">
        <f>H49+J49+L49+N49+P49+R49+T49+V49+X49+Z49+AB49+AD49+AF49+AH49+AJ49+AL49+AN49+AP49+AR49+AT49+AV49+AX49+AZ49+BB49+BD49+BF49+BH49+BJ49+BL49+BN49+BP49+BR49+BT49+BV49+BX49+BZ49+CB49+CD49+CF49+CH49+CZ49+DB49+DD49+DF49+DH49+DJ49+DL49+DN49+DP49+DR49+DT49+DV49+DX49+DZ49+EB49+ED49+EF49+EH49+EJ49+EL49+EN49+EP49+ER49+ET49+EV49+FN49+FP49+FR49+FT49+FV49+FX49+FZ49+GB49+GD49+GF49+GH49+GJ49+GL49+GN49+GP49+GR49+GT49+GV49+GX49+GZ49+HB49+HD49+HF49+HH49+HJ49+HL49+HN49+HP49+HR49+HT49+HV49+HX49+HZ49+IB49+ID49+IF49+IH49+IJ49+IL49+IN49+IP49+IR49+IT49+IV49+IX49+IZ49+JB49+JD49+JF49+JH49+JJ49+JL49+JZ49+CJ49+CL49+CN49+CP49+CR49+CT49+CV49+CX49+EX49+EZ49+FB49+FD49+FF49+FH49+FJ49+FL49</f>
        <v/>
      </c>
      <c r="KC49" s="66">
        <f>I49+K49+M49+O49+Q49+S49+U49+W49+Y49+AA49+AC49+AE49+AG49+AI49+AK49+AM49+AO49+AQ49+AS49+AU49+AW49+AY49+BA49+BC49+BE49+BG49+BI49+BK49+BM49+BO49+BQ49+BS49+BU49+BW49+BY49+CA49+CC49+CE49+CG49+CI49+DA49+DC49+DE49+DG49+DI49+DK49+DM49+DO49+DQ49+DS49+DU49+DW49+DY49+EA49+EC49+EE49+EG49+EI49+EK49+EM49+EO49+EQ49+ES49+EU49+EW49+FO49+FS49+FU49+FW49+FQ49+FY49+GA49+GC49+GE49+GG49+GI49+GK49+GM49+GO49+GQ49+GS49+GU49+GW49+GY49+HA49+HC49+HE49+HG49+HI49+HK49+HM49+HO49+HQ49+HS49+HU49+HW49+HY49+IA49+IC49+IE49+IG49+II49+IK49+IM49+IO49+IQ49+IS49+IU49+IW49+IY49+JA49+JC49+JE49+JG49+JI49+JK49+JM49+KA49+CK49+CM49+CO49+CQ49+CS49+CU49+CW49+CY49+EY49+FA49+FC49+FE49+FG49+FI49+FK49+FM49</f>
        <v/>
      </c>
      <c r="KD49" s="44">
        <f>JO49+JQ49+JS49+JU49+JW49+JY49</f>
        <v/>
      </c>
      <c r="KE49" s="45">
        <f>KB49=E49</f>
        <v/>
      </c>
      <c r="KF49" s="101">
        <f>E49-KB49</f>
        <v/>
      </c>
      <c r="KG49" s="11" t="n"/>
    </row>
    <row r="50" ht="21.75" customFormat="1" customHeight="1" s="195">
      <c r="A50" s="126" t="n">
        <v>42</v>
      </c>
      <c r="B50" s="175" t="inlineStr">
        <is>
          <t>Чигоряев С.А.</t>
        </is>
      </c>
      <c r="C50" s="176" t="inlineStr">
        <is>
          <t>слесарь</t>
        </is>
      </c>
      <c r="D50" s="177">
        <f>$D$5</f>
        <v/>
      </c>
      <c r="E50" s="202" t="n"/>
      <c r="F50" s="193" t="n">
        <v>97702.28</v>
      </c>
      <c r="G50" s="179">
        <f>F50/D50</f>
        <v/>
      </c>
      <c r="H50" s="180" t="n"/>
      <c r="I50" s="140">
        <f>H50*100/$E$50</f>
        <v/>
      </c>
      <c r="J50" s="133" t="n"/>
      <c r="K50" s="140">
        <f>J50*100/$E$50</f>
        <v/>
      </c>
      <c r="L50" s="133" t="n"/>
      <c r="M50" s="140">
        <f>L50*100/$E$50</f>
        <v/>
      </c>
      <c r="N50" s="133" t="n"/>
      <c r="O50" s="140">
        <f>N50*100/$E$50</f>
        <v/>
      </c>
      <c r="P50" s="133" t="n"/>
      <c r="Q50" s="139">
        <f>P50*100/$E$50</f>
        <v/>
      </c>
      <c r="R50" s="133" t="n"/>
      <c r="S50" s="139">
        <f>R50*100/$E$50</f>
        <v/>
      </c>
      <c r="T50" s="133" t="n"/>
      <c r="U50" s="140">
        <f>T50*100/$E$50</f>
        <v/>
      </c>
      <c r="V50" s="133" t="n"/>
      <c r="W50" s="140">
        <f>V50*100/$E$50</f>
        <v/>
      </c>
      <c r="X50" s="133" t="n"/>
      <c r="Y50" s="140">
        <f>X50*100/$E$50</f>
        <v/>
      </c>
      <c r="Z50" s="133" t="n"/>
      <c r="AA50" s="140">
        <f>Z50*100/$E$50</f>
        <v/>
      </c>
      <c r="AB50" s="133" t="n"/>
      <c r="AC50" s="140">
        <f>AB50*100/$E$50</f>
        <v/>
      </c>
      <c r="AD50" s="133" t="n"/>
      <c r="AE50" s="139">
        <f>AD50*100/$E$50</f>
        <v/>
      </c>
      <c r="AF50" s="133" t="n"/>
      <c r="AG50" s="139">
        <f>AF50*100/$E$50</f>
        <v/>
      </c>
      <c r="AH50" s="133" t="n"/>
      <c r="AI50" s="140">
        <f>AH50*100/$E$50</f>
        <v/>
      </c>
      <c r="AJ50" s="133" t="n"/>
      <c r="AK50" s="140">
        <f>AJ50*100/$E$50</f>
        <v/>
      </c>
      <c r="AL50" s="133" t="n"/>
      <c r="AM50" s="140">
        <f>AL50*100/$E$50</f>
        <v/>
      </c>
      <c r="AN50" s="133" t="n"/>
      <c r="AO50" s="140">
        <f>AN50*100/$E$50</f>
        <v/>
      </c>
      <c r="AP50" s="133" t="n"/>
      <c r="AQ50" s="140">
        <f>AP50*100/$E$50</f>
        <v/>
      </c>
      <c r="AR50" s="133" t="n"/>
      <c r="AS50" s="140">
        <f>AR50*100/$E$50</f>
        <v/>
      </c>
      <c r="AT50" s="133" t="n"/>
      <c r="AU50" s="181">
        <f>AT50*100/$E$50</f>
        <v/>
      </c>
      <c r="AV50" s="133" t="n"/>
      <c r="AW50" s="140">
        <f>AV50*100/$E$50</f>
        <v/>
      </c>
      <c r="AX50" s="133" t="n"/>
      <c r="AY50" s="140">
        <f>AX50*100/$E$50</f>
        <v/>
      </c>
      <c r="AZ50" s="133" t="n"/>
      <c r="BA50" s="140">
        <f>AZ50*100/$E$50</f>
        <v/>
      </c>
      <c r="BB50" s="133" t="n"/>
      <c r="BC50" s="140">
        <f>BB50*100/$E$50</f>
        <v/>
      </c>
      <c r="BD50" s="133" t="n"/>
      <c r="BE50" s="140">
        <f>BD50*100/$E$50</f>
        <v/>
      </c>
      <c r="BF50" s="133" t="n"/>
      <c r="BG50" s="140">
        <f>BF50*100/$E$50</f>
        <v/>
      </c>
      <c r="BH50" s="133" t="n"/>
      <c r="BI50" s="140">
        <f>BH50*100/$E$50</f>
        <v/>
      </c>
      <c r="BJ50" s="133" t="n"/>
      <c r="BK50" s="140">
        <f>BJ50*100/$E$50</f>
        <v/>
      </c>
      <c r="BL50" s="133" t="n"/>
      <c r="BM50" s="140">
        <f>BL50*100/$E$50</f>
        <v/>
      </c>
      <c r="BN50" s="133" t="n"/>
      <c r="BO50" s="140">
        <f>BN50*100/$E$50</f>
        <v/>
      </c>
      <c r="BP50" s="133" t="n"/>
      <c r="BQ50" s="140">
        <f>BP50*100/$E$50</f>
        <v/>
      </c>
      <c r="BR50" s="133" t="n"/>
      <c r="BS50" s="140">
        <f>BR50*100/$E$50</f>
        <v/>
      </c>
      <c r="BT50" s="133" t="n"/>
      <c r="BU50" s="140">
        <f>BT50*100/$E$50</f>
        <v/>
      </c>
      <c r="BV50" s="133" t="n"/>
      <c r="BW50" s="140">
        <f>BV50*100/$E$50</f>
        <v/>
      </c>
      <c r="BX50" s="133" t="n"/>
      <c r="BY50" s="140">
        <f>BX50*100/$E$50</f>
        <v/>
      </c>
      <c r="BZ50" s="133" t="n"/>
      <c r="CA50" s="140">
        <f>BZ50*100/$E$50</f>
        <v/>
      </c>
      <c r="CB50" s="133" t="n"/>
      <c r="CC50" s="140">
        <f>CB50*100/$E$50</f>
        <v/>
      </c>
      <c r="CD50" s="133" t="n"/>
      <c r="CE50" s="140">
        <f>CD50*100/$E$50</f>
        <v/>
      </c>
      <c r="CF50" s="133" t="n"/>
      <c r="CG50" s="140">
        <f>CF50*100/$E$50</f>
        <v/>
      </c>
      <c r="CH50" s="133" t="n"/>
      <c r="CI50" s="140">
        <f>CH50*100/$E$50</f>
        <v/>
      </c>
      <c r="CJ50" s="133" t="n"/>
      <c r="CK50" s="140">
        <f>CJ50*100/$E$50</f>
        <v/>
      </c>
      <c r="CL50" s="133" t="n"/>
      <c r="CM50" s="140">
        <f>CL50*100/$E$50</f>
        <v/>
      </c>
      <c r="CN50" s="133" t="n"/>
      <c r="CO50" s="139">
        <f>CN50*100/$E$50</f>
        <v/>
      </c>
      <c r="CP50" s="133" t="n"/>
      <c r="CQ50" s="140">
        <f>CP50*100/$E$50</f>
        <v/>
      </c>
      <c r="CR50" s="133" t="n"/>
      <c r="CS50" s="139">
        <f>CR50*100/$E$50</f>
        <v/>
      </c>
      <c r="CT50" s="133" t="n"/>
      <c r="CU50" s="139">
        <f>CT50*100/$E$50</f>
        <v/>
      </c>
      <c r="CV50" s="133" t="n"/>
      <c r="CW50" s="139">
        <f>CV50*100/$E$50</f>
        <v/>
      </c>
      <c r="CX50" s="133" t="n"/>
      <c r="CY50" s="139">
        <f>CX50*100/$E$50</f>
        <v/>
      </c>
      <c r="CZ50" s="133" t="n"/>
      <c r="DA50" s="139">
        <f>CZ50*100/$E$50</f>
        <v/>
      </c>
      <c r="DB50" s="133" t="n"/>
      <c r="DC50" s="139">
        <f>DB50*100/$E$50</f>
        <v/>
      </c>
      <c r="DD50" s="133" t="n"/>
      <c r="DE50" s="139">
        <f>DD50*100/$E$50</f>
        <v/>
      </c>
      <c r="DF50" s="133" t="n"/>
      <c r="DG50" s="139">
        <f>DF50*100/$E$50</f>
        <v/>
      </c>
      <c r="DH50" s="133" t="n"/>
      <c r="DI50" s="139">
        <f>DH50*100/$E$50</f>
        <v/>
      </c>
      <c r="DJ50" s="133" t="n"/>
      <c r="DK50" s="139">
        <f>DJ50*100/$E$50</f>
        <v/>
      </c>
      <c r="DL50" s="133" t="n"/>
      <c r="DM50" s="139">
        <f>DL50*100/$E$50</f>
        <v/>
      </c>
      <c r="DN50" s="133" t="n"/>
      <c r="DO50" s="139">
        <f>DN50*100/$E$50</f>
        <v/>
      </c>
      <c r="DP50" s="133" t="n"/>
      <c r="DQ50" s="139">
        <f>DP50*100/$E$50</f>
        <v/>
      </c>
      <c r="DR50" s="133" t="n"/>
      <c r="DS50" s="139">
        <f>DR50*100/$E$50</f>
        <v/>
      </c>
      <c r="DT50" s="133" t="n"/>
      <c r="DU50" s="139">
        <f>DT50*100/$E$50</f>
        <v/>
      </c>
      <c r="DV50" s="133" t="n"/>
      <c r="DW50" s="139">
        <f>DV50*100/$E$50</f>
        <v/>
      </c>
      <c r="DX50" s="133" t="n"/>
      <c r="DY50" s="139">
        <f>DX50*100/$E$50</f>
        <v/>
      </c>
      <c r="DZ50" s="133" t="n"/>
      <c r="EA50" s="139">
        <f>DZ50*100/$E$50</f>
        <v/>
      </c>
      <c r="EB50" s="133" t="n"/>
      <c r="EC50" s="139">
        <f>EB50*100/$E$50</f>
        <v/>
      </c>
      <c r="ED50" s="133" t="n"/>
      <c r="EE50" s="139">
        <f>ED50*100/$E$50</f>
        <v/>
      </c>
      <c r="EF50" s="133" t="n"/>
      <c r="EG50" s="139">
        <f>EF50*100/$E$50</f>
        <v/>
      </c>
      <c r="EH50" s="133" t="n"/>
      <c r="EI50" s="139">
        <f>EH50*100/$E$50</f>
        <v/>
      </c>
      <c r="EJ50" s="133" t="n"/>
      <c r="EK50" s="139">
        <f>EJ50*100/$E$50</f>
        <v/>
      </c>
      <c r="EL50" s="133" t="n"/>
      <c r="EM50" s="139">
        <f>EL50*100/$E$50</f>
        <v/>
      </c>
      <c r="EN50" s="133" t="n"/>
      <c r="EO50" s="139">
        <f>EN50*100/$E$50</f>
        <v/>
      </c>
      <c r="EP50" s="133" t="n"/>
      <c r="EQ50" s="139">
        <f>EP50*100/$E$50</f>
        <v/>
      </c>
      <c r="ER50" s="133" t="n"/>
      <c r="ES50" s="139">
        <f>ER50*100/$E$50</f>
        <v/>
      </c>
      <c r="ET50" s="133" t="n"/>
      <c r="EU50" s="139">
        <f>ET50*100/$E$50</f>
        <v/>
      </c>
      <c r="EV50" s="133" t="n"/>
      <c r="EW50" s="139">
        <f>EV50*100/$E$50</f>
        <v/>
      </c>
      <c r="EX50" s="133" t="n"/>
      <c r="EY50" s="139">
        <f>EX50*100/$E$50</f>
        <v/>
      </c>
      <c r="EZ50" s="133" t="n"/>
      <c r="FA50" s="139">
        <f>EZ50*100/$E$50</f>
        <v/>
      </c>
      <c r="FB50" s="133" t="n"/>
      <c r="FC50" s="139">
        <f>FB50*100/$E$50</f>
        <v/>
      </c>
      <c r="FD50" s="133" t="n"/>
      <c r="FE50" s="139">
        <f>FD50*100/$E$50</f>
        <v/>
      </c>
      <c r="FF50" s="133" t="n"/>
      <c r="FG50" s="139">
        <f>FF50*100/$E$50</f>
        <v/>
      </c>
      <c r="FH50" s="133" t="n"/>
      <c r="FI50" s="139">
        <f>FH50*100/$E$50</f>
        <v/>
      </c>
      <c r="FJ50" s="133" t="n"/>
      <c r="FK50" s="139">
        <f>FJ50*100/$E$50</f>
        <v/>
      </c>
      <c r="FL50" s="133" t="n"/>
      <c r="FM50" s="139">
        <f>FL50*100/$E$50</f>
        <v/>
      </c>
      <c r="FN50" s="133" t="n"/>
      <c r="FO50" s="139">
        <f>FN50*100/$E$50</f>
        <v/>
      </c>
      <c r="FP50" s="133" t="n"/>
      <c r="FQ50" s="139">
        <f>FP50*100/$E$50</f>
        <v/>
      </c>
      <c r="FR50" s="133" t="n"/>
      <c r="FS50" s="139">
        <f>FR50*100/$E$50</f>
        <v/>
      </c>
      <c r="FT50" s="133" t="n"/>
      <c r="FU50" s="139">
        <f>FT50*100/$E$50</f>
        <v/>
      </c>
      <c r="FV50" s="133" t="n"/>
      <c r="FW50" s="139">
        <f>FV50*100/$E$50</f>
        <v/>
      </c>
      <c r="FX50" s="133" t="n"/>
      <c r="FY50" s="140">
        <f>FX50*100/$E$50</f>
        <v/>
      </c>
      <c r="FZ50" s="133" t="n"/>
      <c r="GA50" s="140">
        <f>FZ50*100/$E$50</f>
        <v/>
      </c>
      <c r="GB50" s="133" t="n"/>
      <c r="GC50" s="140">
        <f>GB50*100/$E$50</f>
        <v/>
      </c>
      <c r="GD50" s="133" t="n"/>
      <c r="GE50" s="140">
        <f>GD50*100/$E$50</f>
        <v/>
      </c>
      <c r="GF50" s="133" t="n"/>
      <c r="GG50" s="140">
        <f>GF50*100/$E$50</f>
        <v/>
      </c>
      <c r="GH50" s="133" t="n"/>
      <c r="GI50" s="140">
        <f>GH50*100/$E$50</f>
        <v/>
      </c>
      <c r="GJ50" s="133" t="n"/>
      <c r="GK50" s="139">
        <f>GJ50*100/$E$50</f>
        <v/>
      </c>
      <c r="GL50" s="133" t="n"/>
      <c r="GM50" s="140">
        <f>GL50*100/$E$50</f>
        <v/>
      </c>
      <c r="GN50" s="133" t="n"/>
      <c r="GO50" s="139">
        <f>GN50*100/$E$50</f>
        <v/>
      </c>
      <c r="GP50" s="133" t="n"/>
      <c r="GQ50" s="140">
        <f>GP50*100/$E$50</f>
        <v/>
      </c>
      <c r="GR50" s="133" t="n"/>
      <c r="GS50" s="139">
        <f>GR50*100/$E$50</f>
        <v/>
      </c>
      <c r="GT50" s="133" t="n"/>
      <c r="GU50" s="139">
        <f>GT50*100/$E$50</f>
        <v/>
      </c>
      <c r="GV50" s="133" t="n"/>
      <c r="GW50" s="139">
        <f>GV50*100/$E$50</f>
        <v/>
      </c>
      <c r="GX50" s="133" t="n"/>
      <c r="GY50" s="140">
        <f>GX50*100/$E$50</f>
        <v/>
      </c>
      <c r="GZ50" s="133" t="n"/>
      <c r="HA50" s="140">
        <f>GZ50*100/$E$50</f>
        <v/>
      </c>
      <c r="HB50" s="133" t="n"/>
      <c r="HC50" s="140">
        <f>HB50*100/$E$50</f>
        <v/>
      </c>
      <c r="HD50" s="133" t="n"/>
      <c r="HE50" s="140">
        <f>HD50*100/$E$50</f>
        <v/>
      </c>
      <c r="HF50" s="133" t="n"/>
      <c r="HG50" s="140">
        <f>HF50*100/$E$50</f>
        <v/>
      </c>
      <c r="HH50" s="133" t="n"/>
      <c r="HI50" s="140">
        <f>HH50*100/$E$50</f>
        <v/>
      </c>
      <c r="HJ50" s="133" t="n"/>
      <c r="HK50" s="140">
        <f>HJ50*100/$E$50</f>
        <v/>
      </c>
      <c r="HL50" s="133" t="n"/>
      <c r="HM50" s="140">
        <f>HL50*100/$E$50</f>
        <v/>
      </c>
      <c r="HN50" s="133" t="n"/>
      <c r="HO50" s="140">
        <f>HN50*100/$E$50</f>
        <v/>
      </c>
      <c r="HP50" s="133" t="n"/>
      <c r="HQ50" s="140">
        <f>HP50*100/$E$50</f>
        <v/>
      </c>
      <c r="HR50" s="133" t="n"/>
      <c r="HS50" s="140">
        <f>HR50*100/$E$50</f>
        <v/>
      </c>
      <c r="HT50" s="133" t="n"/>
      <c r="HU50" s="140">
        <f>HT50*100/$E$50</f>
        <v/>
      </c>
      <c r="HV50" s="133" t="n"/>
      <c r="HW50" s="140">
        <f>HV50*100/$E$50</f>
        <v/>
      </c>
      <c r="HX50" s="133" t="n"/>
      <c r="HY50" s="140">
        <f>HX50*100/$E$50</f>
        <v/>
      </c>
      <c r="HZ50" s="133" t="n"/>
      <c r="IA50" s="139">
        <f>HZ50*100/$E$50</f>
        <v/>
      </c>
      <c r="IB50" s="133" t="n"/>
      <c r="IC50" s="139">
        <f>IB50*100/$E$50</f>
        <v/>
      </c>
      <c r="ID50" s="133" t="n"/>
      <c r="IE50" s="139">
        <f>ID50*100/$E$50</f>
        <v/>
      </c>
      <c r="IF50" s="133" t="n"/>
      <c r="IG50" s="139">
        <f>IF50*100/$E$50</f>
        <v/>
      </c>
      <c r="IH50" s="133" t="n"/>
      <c r="II50" s="139">
        <f>IH50*100/$E$50</f>
        <v/>
      </c>
      <c r="IJ50" s="133" t="n"/>
      <c r="IK50" s="139">
        <f>IJ50*100/$E$50</f>
        <v/>
      </c>
      <c r="IL50" s="133" t="n"/>
      <c r="IM50" s="140">
        <f>IL50*100/$E$50</f>
        <v/>
      </c>
      <c r="IN50" s="133" t="n"/>
      <c r="IO50" s="140">
        <f>IN50*100/$E$50</f>
        <v/>
      </c>
      <c r="IP50" s="133" t="n"/>
      <c r="IQ50" s="139">
        <f>IP50*100/$E$50</f>
        <v/>
      </c>
      <c r="IR50" s="133" t="n"/>
      <c r="IS50" s="139">
        <f>IR50*100/$E$50</f>
        <v/>
      </c>
      <c r="IT50" s="133" t="n"/>
      <c r="IU50" s="139">
        <f>IT50*100/$E$50</f>
        <v/>
      </c>
      <c r="IV50" s="133" t="n"/>
      <c r="IW50" s="139">
        <f>IV50*100/$E$50</f>
        <v/>
      </c>
      <c r="IX50" s="133" t="n"/>
      <c r="IY50" s="139">
        <f>IX50*100/$E$50</f>
        <v/>
      </c>
      <c r="IZ50" s="133" t="n"/>
      <c r="JA50" s="139">
        <f>IZ50*100/$E$50</f>
        <v/>
      </c>
      <c r="JB50" s="133" t="n"/>
      <c r="JC50" s="139">
        <f>JB50*100/$E$50</f>
        <v/>
      </c>
      <c r="JD50" s="133" t="n"/>
      <c r="JE50" s="139">
        <f>JD50*100/$E$50</f>
        <v/>
      </c>
      <c r="JF50" s="133" t="n"/>
      <c r="JG50" s="139">
        <f>JF50*100/$E$50</f>
        <v/>
      </c>
      <c r="JH50" s="133" t="n"/>
      <c r="JI50" s="139">
        <f>JH50*100/$E$50</f>
        <v/>
      </c>
      <c r="JJ50" s="133" t="n"/>
      <c r="JK50" s="139">
        <f>JJ50*100/$E$50</f>
        <v/>
      </c>
      <c r="JL50" s="133" t="n"/>
      <c r="JM50" s="139">
        <f>JL50*100/$E$50</f>
        <v/>
      </c>
      <c r="JN50" s="133" t="n"/>
      <c r="JO50" s="182">
        <f>JN50*100/$E$50</f>
        <v/>
      </c>
      <c r="JP50" s="133" t="n"/>
      <c r="JQ50" s="182">
        <f>JP50*100/$E$50</f>
        <v/>
      </c>
      <c r="JR50" s="133" t="n"/>
      <c r="JS50" s="182">
        <f>JR50*100/$E$50</f>
        <v/>
      </c>
      <c r="JT50" s="133" t="n"/>
      <c r="JU50" s="182">
        <f>JT50*100/$E$50</f>
        <v/>
      </c>
      <c r="JV50" s="133" t="n"/>
      <c r="JW50" s="182">
        <f>JV50*100/$E$50</f>
        <v/>
      </c>
      <c r="JX50" s="133" t="n"/>
      <c r="JY50" s="182">
        <f>JX50*100/$E$50</f>
        <v/>
      </c>
      <c r="JZ50" s="183">
        <f>JN50+JP50+JR50+JT50+JV50+JX50</f>
        <v/>
      </c>
      <c r="KA50" s="184">
        <f>JO50+JQ50+JS50+JU50+JW50+JY50</f>
        <v/>
      </c>
      <c r="KB50" s="185">
        <f>H50+J50+L50+N50+P50+R50+T50+V50+X50+Z50+AB50+AD50+AF50+AH50+AJ50+AL50+AN50+AP50+AR50+AT50+AV50+AX50+AZ50+BB50+BD50+BF50+BH50+BJ50+BL50+BN50+BP50+BR50+BT50+BV50+BX50+BZ50+CB50+CD50+CF50+CH50+CZ50+DB50+DD50+DF50+DH50+DJ50+DL50+DN50+DP50+DR50+DT50+DV50+DX50+DZ50+EB50+ED50+EF50+EH50+EJ50+EL50+EN50+EP50+ER50+ET50+EV50+FN50+FP50+FR50+FT50+FV50+FX50+FZ50+GB50+GD50+GF50+GH50+GJ50+GL50+GN50+GP50+GR50+GT50+GV50+GX50+GZ50+HB50+HD50+HF50+HH50+HJ50+HL50+HN50+HP50+HR50+HT50+HV50+HX50+HZ50+IB50+ID50+IF50+IH50+IJ50+IL50+IN50+IP50+IR50+IT50+IV50+IX50+IZ50+JB50+JD50+JF50+JH50+JJ50+JL50+JZ50+CJ50+CL50+CN50+CP50+CR50+CT50+CV50+CX50+EX50+EZ50+FB50+FD50+FF50+FH50+FJ50+FL50</f>
        <v/>
      </c>
      <c r="KC50" s="186">
        <f>I50+K50+M50+O50+Q50+S50+U50+W50+Y50+AA50+AC50+AE50+AG50+AI50+AK50+AM50+AO50+AQ50+AS50+AU50+AW50+AY50+BA50+BC50+BE50+BG50+BI50+BK50+BM50+BO50+BQ50+BS50+BU50+BW50+BY50+CA50+CC50+CE50+CG50+CI50+DA50+DC50+DE50+DG50+DI50+DK50+DM50+DO50+DQ50+DS50+DU50+DW50+DY50+EA50+EC50+EE50+EG50+EI50+EK50+EM50+EO50+EQ50+ES50+EU50+EW50+FO50+FS50+FU50+FW50+FQ50+FY50+GA50+GC50+GE50+GG50+GI50+GK50+GM50+GO50+GQ50+GS50+GU50+GW50+GY50+HA50+HC50+HE50+HG50+HI50+HK50+HM50+HO50+HQ50+HS50+HU50+HW50+HY50+IA50+IC50+IE50+IG50+II50+IK50+IM50+IO50+IQ50+IS50+IU50+IW50+IY50+JA50+JC50+JE50+JG50+JI50+JK50+JM50+KA50+CK50+CM50+CO50+CQ50+CS50+CU50+CW50+CY50+EY50+FA50+FC50+FE50+FG50+FI50+FK50+FM50</f>
        <v/>
      </c>
      <c r="KD50" s="187">
        <f>JO50+JQ50+JS50+JU50+JW50+JY50</f>
        <v/>
      </c>
      <c r="KE50" s="188">
        <f>KB50=E50</f>
        <v/>
      </c>
      <c r="KF50" s="189">
        <f>E50-KB50</f>
        <v/>
      </c>
      <c r="KG50" s="196" t="n"/>
    </row>
    <row r="51" ht="27" customFormat="1" customHeight="1" s="11" thickBot="1">
      <c r="A51" s="126">
        <f>A50+1</f>
        <v/>
      </c>
      <c r="B51" s="175" t="inlineStr">
        <is>
          <t>Южиков А.Ю.</t>
        </is>
      </c>
      <c r="C51" s="176" t="inlineStr">
        <is>
          <t>сварщик</t>
        </is>
      </c>
      <c r="D51" s="177">
        <f>$D$5</f>
        <v/>
      </c>
      <c r="E51" s="202" t="n"/>
      <c r="F51" s="193" t="n">
        <v>68853.84</v>
      </c>
      <c r="G51" s="52">
        <f>F51/D51</f>
        <v/>
      </c>
      <c r="H51" s="125" t="n"/>
      <c r="I51" s="107">
        <f>H51*100/$E$51</f>
        <v/>
      </c>
      <c r="J51" s="108" t="n"/>
      <c r="K51" s="107">
        <f>J51*100/$E$51</f>
        <v/>
      </c>
      <c r="L51" s="108" t="n"/>
      <c r="M51" s="107">
        <f>L51*100/$E$51</f>
        <v/>
      </c>
      <c r="N51" s="108" t="n"/>
      <c r="O51" s="107">
        <f>N51*100/$E$51</f>
        <v/>
      </c>
      <c r="P51" s="108" t="n"/>
      <c r="Q51" s="122">
        <f>P51*100/$E$51</f>
        <v/>
      </c>
      <c r="R51" s="125" t="n"/>
      <c r="S51" s="122">
        <f>R51*100/$E$51</f>
        <v/>
      </c>
      <c r="T51" s="108" t="n"/>
      <c r="U51" s="107">
        <f>T51*100/$E$51</f>
        <v/>
      </c>
      <c r="V51" s="108" t="n"/>
      <c r="W51" s="107">
        <f>V51*100/$E$51</f>
        <v/>
      </c>
      <c r="X51" s="108" t="n"/>
      <c r="Y51" s="107">
        <f>X51*100/$E$51</f>
        <v/>
      </c>
      <c r="Z51" s="108" t="n"/>
      <c r="AA51" s="107">
        <f>Z51*100/$E$51</f>
        <v/>
      </c>
      <c r="AB51" s="108" t="n"/>
      <c r="AC51" s="107">
        <f>AB51*100/$E$51</f>
        <v/>
      </c>
      <c r="AD51" s="108" t="n"/>
      <c r="AE51" s="122">
        <f>AD51*100/$E$51</f>
        <v/>
      </c>
      <c r="AF51" s="108" t="n"/>
      <c r="AG51" s="122">
        <f>AF51*100/$E$51</f>
        <v/>
      </c>
      <c r="AH51" s="108" t="n"/>
      <c r="AI51" s="107">
        <f>AH51*100/$E$51</f>
        <v/>
      </c>
      <c r="AJ51" s="108" t="n"/>
      <c r="AK51" s="107">
        <f>AJ51*100/$E$51</f>
        <v/>
      </c>
      <c r="AL51" s="108" t="n"/>
      <c r="AM51" s="107">
        <f>AL51*100/$E$51</f>
        <v/>
      </c>
      <c r="AN51" s="108" t="n"/>
      <c r="AO51" s="107">
        <f>AN51*100/$E$51</f>
        <v/>
      </c>
      <c r="AP51" s="108" t="n"/>
      <c r="AQ51" s="107">
        <f>AP51*100/$E$51</f>
        <v/>
      </c>
      <c r="AR51" s="108" t="n"/>
      <c r="AS51" s="107">
        <f>AR51*100/$E$51</f>
        <v/>
      </c>
      <c r="AT51" s="108" t="n"/>
      <c r="AU51" s="90">
        <f>AT51*100/$E$51</f>
        <v/>
      </c>
      <c r="AV51" s="108" t="n"/>
      <c r="AW51" s="107">
        <f>AV51*100/$E$51</f>
        <v/>
      </c>
      <c r="AX51" s="108" t="n"/>
      <c r="AY51" s="107">
        <f>AX51*100/$E$51</f>
        <v/>
      </c>
      <c r="AZ51" s="108" t="n"/>
      <c r="BA51" s="107">
        <f>AZ51*100/$E$51</f>
        <v/>
      </c>
      <c r="BB51" s="108" t="n"/>
      <c r="BC51" s="107">
        <f>BB51*100/$E$51</f>
        <v/>
      </c>
      <c r="BD51" s="108" t="n"/>
      <c r="BE51" s="107">
        <f>BD51*100/$E$51</f>
        <v/>
      </c>
      <c r="BF51" s="108" t="n"/>
      <c r="BG51" s="107">
        <f>BF51*100/$E$51</f>
        <v/>
      </c>
      <c r="BH51" s="108" t="n"/>
      <c r="BI51" s="107">
        <f>BH51*100/$E$51</f>
        <v/>
      </c>
      <c r="BJ51" s="108" t="n"/>
      <c r="BK51" s="107">
        <f>BJ51*100/$E$51</f>
        <v/>
      </c>
      <c r="BL51" s="108" t="n"/>
      <c r="BM51" s="107">
        <f>BL51*100/$E$51</f>
        <v/>
      </c>
      <c r="BN51" s="108" t="n"/>
      <c r="BO51" s="107">
        <f>BN51*100/$E$51</f>
        <v/>
      </c>
      <c r="BP51" s="108" t="n"/>
      <c r="BQ51" s="107">
        <f>BP51*100/$E$51</f>
        <v/>
      </c>
      <c r="BR51" s="108" t="n"/>
      <c r="BS51" s="107">
        <f>BR51*100/$E$51</f>
        <v/>
      </c>
      <c r="BT51" s="108" t="n"/>
      <c r="BU51" s="107">
        <f>BT51*100/$E$51</f>
        <v/>
      </c>
      <c r="BV51" s="108" t="n"/>
      <c r="BW51" s="107">
        <f>BV51*100/$E$51</f>
        <v/>
      </c>
      <c r="BX51" s="108" t="n"/>
      <c r="BY51" s="107">
        <f>BX51*100/$E$51</f>
        <v/>
      </c>
      <c r="BZ51" s="108" t="n"/>
      <c r="CA51" s="107">
        <f>BZ51*100/$E$51</f>
        <v/>
      </c>
      <c r="CB51" s="108" t="n"/>
      <c r="CC51" s="107">
        <f>CB51*100/$E$51</f>
        <v/>
      </c>
      <c r="CD51" s="108" t="n"/>
      <c r="CE51" s="107">
        <f>CD51*100/$E$51</f>
        <v/>
      </c>
      <c r="CF51" s="108" t="n"/>
      <c r="CG51" s="107">
        <f>CF51*100/$E$51</f>
        <v/>
      </c>
      <c r="CH51" s="108" t="n"/>
      <c r="CI51" s="107">
        <f>CH51*100/$E$51</f>
        <v/>
      </c>
      <c r="CJ51" s="108" t="n"/>
      <c r="CK51" s="107">
        <f>CJ51*100/$E$51</f>
        <v/>
      </c>
      <c r="CL51" s="108" t="n"/>
      <c r="CM51" s="107">
        <f>CL51*100/$E$51</f>
        <v/>
      </c>
      <c r="CN51" s="108" t="n"/>
      <c r="CO51" s="122">
        <f>CN51*100/$E$51</f>
        <v/>
      </c>
      <c r="CP51" s="108" t="n"/>
      <c r="CQ51" s="107">
        <f>CP51*100/$E$51</f>
        <v/>
      </c>
      <c r="CR51" s="108" t="n"/>
      <c r="CS51" s="122">
        <f>CR51*100/$E$51</f>
        <v/>
      </c>
      <c r="CT51" s="108" t="n"/>
      <c r="CU51" s="122">
        <f>CT51*100/$E$51</f>
        <v/>
      </c>
      <c r="CV51" s="108" t="n"/>
      <c r="CW51" s="122">
        <f>CV51*100/$E$51</f>
        <v/>
      </c>
      <c r="CX51" s="108" t="n"/>
      <c r="CY51" s="122">
        <f>CX51*100/$E$51</f>
        <v/>
      </c>
      <c r="CZ51" s="108" t="n"/>
      <c r="DA51" s="122">
        <f>CZ51*100/$E$51</f>
        <v/>
      </c>
      <c r="DB51" s="108" t="n"/>
      <c r="DC51" s="122">
        <f>DB51*100/$E$51</f>
        <v/>
      </c>
      <c r="DD51" s="108" t="n"/>
      <c r="DE51" s="122">
        <f>DD51*100/$E$51</f>
        <v/>
      </c>
      <c r="DF51" s="108" t="n"/>
      <c r="DG51" s="122">
        <f>DF51*100/$E$51</f>
        <v/>
      </c>
      <c r="DH51" s="108" t="n"/>
      <c r="DI51" s="122">
        <f>DH51*100/$E$51</f>
        <v/>
      </c>
      <c r="DJ51" s="108" t="n"/>
      <c r="DK51" s="122">
        <f>DJ51*100/$E$51</f>
        <v/>
      </c>
      <c r="DL51" s="108" t="n"/>
      <c r="DM51" s="122">
        <f>DL51*100/$E$51</f>
        <v/>
      </c>
      <c r="DN51" s="108" t="n"/>
      <c r="DO51" s="122">
        <f>DN51*100/$E$51</f>
        <v/>
      </c>
      <c r="DP51" s="108" t="n"/>
      <c r="DQ51" s="122">
        <f>DP51*100/$E$51</f>
        <v/>
      </c>
      <c r="DR51" s="108" t="n"/>
      <c r="DS51" s="122">
        <f>DR51*100/$E$51</f>
        <v/>
      </c>
      <c r="DT51" s="108" t="n"/>
      <c r="DU51" s="122">
        <f>DT51*100/$E$51</f>
        <v/>
      </c>
      <c r="DV51" s="108" t="n"/>
      <c r="DW51" s="122">
        <f>DV51*100/$E$51</f>
        <v/>
      </c>
      <c r="DX51" s="108" t="n"/>
      <c r="DY51" s="122">
        <f>DX51*100/$E$51</f>
        <v/>
      </c>
      <c r="DZ51" s="108" t="n"/>
      <c r="EA51" s="122">
        <f>DZ51*100/$E$51</f>
        <v/>
      </c>
      <c r="EB51" s="108" t="n"/>
      <c r="EC51" s="122">
        <f>EB51*100/$E$51</f>
        <v/>
      </c>
      <c r="ED51" s="108" t="n"/>
      <c r="EE51" s="122">
        <f>ED51*100/$E$51</f>
        <v/>
      </c>
      <c r="EF51" s="108" t="n"/>
      <c r="EG51" s="122">
        <f>EF51*100/$E$51</f>
        <v/>
      </c>
      <c r="EH51" s="108" t="n"/>
      <c r="EI51" s="122">
        <f>EH51*100/$E$51</f>
        <v/>
      </c>
      <c r="EJ51" s="108" t="n"/>
      <c r="EK51" s="122">
        <f>EJ51*100/$E$51</f>
        <v/>
      </c>
      <c r="EL51" s="108" t="n"/>
      <c r="EM51" s="122">
        <f>EL51*100/$E$51</f>
        <v/>
      </c>
      <c r="EN51" s="108" t="n"/>
      <c r="EO51" s="122">
        <f>EN51*100/$E$51</f>
        <v/>
      </c>
      <c r="EP51" s="108" t="n"/>
      <c r="EQ51" s="122">
        <f>EP51*100/$E$51</f>
        <v/>
      </c>
      <c r="ER51" s="108" t="n"/>
      <c r="ES51" s="122">
        <f>ER51*100/$E$51</f>
        <v/>
      </c>
      <c r="ET51" s="108" t="n"/>
      <c r="EU51" s="122">
        <f>ET51*100/$E$51</f>
        <v/>
      </c>
      <c r="EV51" s="108" t="n"/>
      <c r="EW51" s="122">
        <f>EV51*100/$E$51</f>
        <v/>
      </c>
      <c r="EX51" s="108" t="n"/>
      <c r="EY51" s="122">
        <f>EX51*100/$E$51</f>
        <v/>
      </c>
      <c r="EZ51" s="108" t="n"/>
      <c r="FA51" s="122">
        <f>EZ51*100/$E$51</f>
        <v/>
      </c>
      <c r="FB51" s="108" t="n"/>
      <c r="FC51" s="122">
        <f>FB51*100/$E$51</f>
        <v/>
      </c>
      <c r="FD51" s="108" t="n"/>
      <c r="FE51" s="122">
        <f>FD51*100/$E$51</f>
        <v/>
      </c>
      <c r="FF51" s="108" t="n"/>
      <c r="FG51" s="122">
        <f>FF51*100/$E$51</f>
        <v/>
      </c>
      <c r="FH51" s="108" t="n"/>
      <c r="FI51" s="122">
        <f>FH51*100/$E$51</f>
        <v/>
      </c>
      <c r="FJ51" s="108" t="n"/>
      <c r="FK51" s="122">
        <f>FJ51*100/$E$51</f>
        <v/>
      </c>
      <c r="FL51" s="108" t="n"/>
      <c r="FM51" s="122">
        <f>FL51*100/$E$51</f>
        <v/>
      </c>
      <c r="FN51" s="108" t="n"/>
      <c r="FO51" s="122">
        <f>FN51*100/$E$51</f>
        <v/>
      </c>
      <c r="FP51" s="108" t="n"/>
      <c r="FQ51" s="122">
        <f>FP51*100/$E$51</f>
        <v/>
      </c>
      <c r="FR51" s="108" t="n"/>
      <c r="FS51" s="122">
        <f>FR51*100/$E$51</f>
        <v/>
      </c>
      <c r="FT51" s="108" t="n"/>
      <c r="FU51" s="122">
        <f>FT51*100/$E$51</f>
        <v/>
      </c>
      <c r="FV51" s="108" t="n"/>
      <c r="FW51" s="122">
        <f>FV51*100/$E$51</f>
        <v/>
      </c>
      <c r="FX51" s="108" t="n"/>
      <c r="FY51" s="107">
        <f>FX51*100/$E$51</f>
        <v/>
      </c>
      <c r="FZ51" s="108" t="n"/>
      <c r="GA51" s="107">
        <f>FZ51*100/$E$51</f>
        <v/>
      </c>
      <c r="GB51" s="108" t="n"/>
      <c r="GC51" s="107">
        <f>GB51*100/$E$51</f>
        <v/>
      </c>
      <c r="GD51" s="108" t="n"/>
      <c r="GE51" s="107">
        <f>GD51*100/$E$51</f>
        <v/>
      </c>
      <c r="GF51" s="108" t="n"/>
      <c r="GG51" s="107">
        <f>GF51*100/$E$51</f>
        <v/>
      </c>
      <c r="GH51" s="108" t="n"/>
      <c r="GI51" s="107">
        <f>GH51*100/$E$51</f>
        <v/>
      </c>
      <c r="GJ51" s="108" t="n"/>
      <c r="GK51" s="122">
        <f>GJ51*100/$E$51</f>
        <v/>
      </c>
      <c r="GL51" s="108" t="n"/>
      <c r="GM51" s="107">
        <f>GL51*100/$E$51</f>
        <v/>
      </c>
      <c r="GN51" s="108" t="n"/>
      <c r="GO51" s="122">
        <f>GN51*100/$E$51</f>
        <v/>
      </c>
      <c r="GP51" s="108" t="n"/>
      <c r="GQ51" s="107">
        <f>GP51*100/$E$51</f>
        <v/>
      </c>
      <c r="GR51" s="108" t="n"/>
      <c r="GS51" s="122">
        <f>GR51*100/$E$51</f>
        <v/>
      </c>
      <c r="GT51" s="108" t="n"/>
      <c r="GU51" s="122">
        <f>GT51*100/$E$51</f>
        <v/>
      </c>
      <c r="GV51" s="108" t="n"/>
      <c r="GW51" s="122">
        <f>GV51*100/$E$51</f>
        <v/>
      </c>
      <c r="GX51" s="108" t="n"/>
      <c r="GY51" s="107">
        <f>GX51*100/$E$51</f>
        <v/>
      </c>
      <c r="GZ51" s="108" t="n"/>
      <c r="HA51" s="107">
        <f>GZ51*100/$E$51</f>
        <v/>
      </c>
      <c r="HB51" s="108" t="n"/>
      <c r="HC51" s="107">
        <f>HB51*100/$E$51</f>
        <v/>
      </c>
      <c r="HD51" s="108" t="n"/>
      <c r="HE51" s="107">
        <f>HD51*100/$E$51</f>
        <v/>
      </c>
      <c r="HF51" s="108" t="n"/>
      <c r="HG51" s="107">
        <f>HF51*100/$E$51</f>
        <v/>
      </c>
      <c r="HH51" s="108" t="n"/>
      <c r="HI51" s="107">
        <f>HH51*100/$E$51</f>
        <v/>
      </c>
      <c r="HJ51" s="108" t="n"/>
      <c r="HK51" s="107">
        <f>HJ51*100/$E$51</f>
        <v/>
      </c>
      <c r="HL51" s="108" t="n"/>
      <c r="HM51" s="107">
        <f>HL51*100/$E$51</f>
        <v/>
      </c>
      <c r="HN51" s="108" t="n"/>
      <c r="HO51" s="107">
        <f>HN51*100/$E$51</f>
        <v/>
      </c>
      <c r="HP51" s="108" t="n"/>
      <c r="HQ51" s="107">
        <f>HP51*100/$E$51</f>
        <v/>
      </c>
      <c r="HR51" s="108" t="n"/>
      <c r="HS51" s="107">
        <f>HR51*100/$E$51</f>
        <v/>
      </c>
      <c r="HT51" s="108" t="n"/>
      <c r="HU51" s="107">
        <f>HT51*100/$E$51</f>
        <v/>
      </c>
      <c r="HV51" s="108" t="n"/>
      <c r="HW51" s="107">
        <f>HV51*100/$E$51</f>
        <v/>
      </c>
      <c r="HX51" s="108" t="n"/>
      <c r="HY51" s="107">
        <f>HX51*100/$E$51</f>
        <v/>
      </c>
      <c r="HZ51" s="108" t="n"/>
      <c r="IA51" s="122">
        <f>HZ51*100/$E$51</f>
        <v/>
      </c>
      <c r="IB51" s="108" t="n"/>
      <c r="IC51" s="122">
        <f>IB51*100/$E$51</f>
        <v/>
      </c>
      <c r="ID51" s="108" t="n"/>
      <c r="IE51" s="122">
        <f>ID51*100/$E$51</f>
        <v/>
      </c>
      <c r="IF51" s="108" t="n"/>
      <c r="IG51" s="122">
        <f>IF51*100/$E$51</f>
        <v/>
      </c>
      <c r="IH51" s="108" t="n"/>
      <c r="II51" s="122">
        <f>IH51*100/$E$51</f>
        <v/>
      </c>
      <c r="IJ51" s="108" t="n"/>
      <c r="IK51" s="122">
        <f>IJ51*100/$E$51</f>
        <v/>
      </c>
      <c r="IL51" s="108" t="n"/>
      <c r="IM51" s="107">
        <f>IL51*100/$E$51</f>
        <v/>
      </c>
      <c r="IN51" s="108" t="n"/>
      <c r="IO51" s="107">
        <f>IN51*100/$E$51</f>
        <v/>
      </c>
      <c r="IP51" s="108" t="n"/>
      <c r="IQ51" s="122">
        <f>IP51*100/$E$51</f>
        <v/>
      </c>
      <c r="IR51" s="108" t="n"/>
      <c r="IS51" s="122">
        <f>IR51*100/$E$51</f>
        <v/>
      </c>
      <c r="IT51" s="108" t="n"/>
      <c r="IU51" s="122">
        <f>IT51*100/$E$51</f>
        <v/>
      </c>
      <c r="IV51" s="108" t="n"/>
      <c r="IW51" s="122">
        <f>IV51*100/$E$51</f>
        <v/>
      </c>
      <c r="IX51" s="108" t="n"/>
      <c r="IY51" s="122">
        <f>IX51*100/$E$51</f>
        <v/>
      </c>
      <c r="IZ51" s="108" t="n"/>
      <c r="JA51" s="122">
        <f>IZ51*100/$E$51</f>
        <v/>
      </c>
      <c r="JB51" s="108" t="n"/>
      <c r="JC51" s="122">
        <f>JB51*100/$E$51</f>
        <v/>
      </c>
      <c r="JD51" s="108" t="n"/>
      <c r="JE51" s="122">
        <f>JD51*100/$E$51</f>
        <v/>
      </c>
      <c r="JF51" s="108" t="n"/>
      <c r="JG51" s="122">
        <f>JF51*100/$E$51</f>
        <v/>
      </c>
      <c r="JH51" s="108" t="n"/>
      <c r="JI51" s="122">
        <f>JH51*100/$E$51</f>
        <v/>
      </c>
      <c r="JJ51" s="108" t="n"/>
      <c r="JK51" s="122">
        <f>JJ51*100/$E$51</f>
        <v/>
      </c>
      <c r="JL51" s="108" t="n"/>
      <c r="JM51" s="122">
        <f>JL51*100/$E$51</f>
        <v/>
      </c>
      <c r="JN51" s="108" t="n"/>
      <c r="JO51" s="121">
        <f>JN51*100/$E$51</f>
        <v/>
      </c>
      <c r="JP51" s="108" t="n"/>
      <c r="JQ51" s="121">
        <f>JP51*100/$E$51</f>
        <v/>
      </c>
      <c r="JR51" s="108" t="n"/>
      <c r="JS51" s="121">
        <f>JR51*100/$E$51</f>
        <v/>
      </c>
      <c r="JT51" s="108" t="n"/>
      <c r="JU51" s="121">
        <f>JT51*100/$E$51</f>
        <v/>
      </c>
      <c r="JV51" s="108" t="n"/>
      <c r="JW51" s="121">
        <f>JV51*100/$E$51</f>
        <v/>
      </c>
      <c r="JX51" s="108" t="n"/>
      <c r="JY51" s="121">
        <f>JX51*100/$E$51</f>
        <v/>
      </c>
      <c r="JZ51" s="55">
        <f>JN51+JP51+JR51+JT51+JV51+JX51</f>
        <v/>
      </c>
      <c r="KA51" s="53">
        <f>JO51+JQ51+JS51+JU51+JW51+JY51</f>
        <v/>
      </c>
      <c r="KB51" s="64">
        <f>H51+J51+L51+N51+P51+R51+T51+V51+X51+Z51+AB51+AD51+AF51+AH51+AJ51+AL51+AN51+AP51+AR51+AT51+AV51+AX51+AZ51+BB51+BD51+BF51+BH51+BJ51+BL51+BN51+BP51+BR51+BT51+BV51+BX51+BZ51+CB51+CD51+CF51+CH51+CZ51+DB51+DD51+DF51+DH51+DJ51+DL51+DN51+DP51+DR51+DT51+DV51+DX51+DZ51+EB51+ED51+EF51+EH51+EJ51+EL51+EN51+EP51+ER51+ET51+EV51+FN51+FP51+FR51+FT51+FV51+FX51+FZ51+GB51+GD51+GF51+GH51+GJ51+GL51+GN51+GP51+GR51+GT51+GV51+GX51+GZ51+HB51+HD51+HF51+HH51+HJ51+HL51+HN51+HP51+HR51+HT51+HV51+HX51+HZ51+IB51+ID51+IF51+IH51+IJ51+IL51+IN51+IP51+IR51+IT51+IV51+IX51+IZ51+JB51+JD51+JF51+JH51+JJ51+JL51+JZ51+CJ51+CL51+CN51+CP51+CR51+CT51+CV51+CX51+EX51+EZ51+FB51+FD51+FF51+FH51+FJ51+FL51</f>
        <v/>
      </c>
      <c r="KC51" s="66">
        <f>I51+K51+M51+O51+Q51+S51+U51+W51+Y51+AA51+AC51+AE51+AG51+AI51+AK51+AM51+AO51+AQ51+AS51+AU51+AW51+AY51+BA51+BC51+BE51+BG51+BI51+BK51+BM51+BO51+BQ51+BS51+BU51+BW51+BY51+CA51+CC51+CE51+CG51+CI51+DA51+DC51+DE51+DG51+DI51+DK51+DM51+DO51+DQ51+DS51+DU51+DW51+DY51+EA51+EC51+EE51+EG51+EI51+EK51+EM51+EO51+EQ51+ES51+EU51+EW51+FO51+FS51+FU51+FW51+FQ51+FY51+GA51+GC51+GE51+GG51+GI51+GK51+GM51+GO51+GQ51+GS51+GU51+GW51+GY51+HA51+HC51+HE51+HG51+HI51+HK51+HM51+HO51+HQ51+HS51+HU51+HW51+HY51+IA51+IC51+IE51+IG51+II51+IK51+IM51+IO51+IQ51+IS51+IU51+IW51+IY51+JA51+JC51+JE51+JG51+JI51+JK51+JM51+KA51+CK51+CM51+CO51+CQ51+CS51+CU51+CW51+CY51+EY51+FA51+FC51+FE51+FG51+FI51+FK51+FM51</f>
        <v/>
      </c>
      <c r="KD51" s="44">
        <f>JO51+JQ51+JS51+JU51+JW51+JY51</f>
        <v/>
      </c>
      <c r="KE51" s="45">
        <f>KB51=E51</f>
        <v/>
      </c>
      <c r="KF51" s="101">
        <f>E51-KB51</f>
        <v/>
      </c>
      <c r="KG51" s="28" t="n"/>
    </row>
    <row r="52" ht="29.25" customFormat="1" customHeight="1" s="100" thickBot="1">
      <c r="A52" s="129" t="n"/>
      <c r="B52" s="135" t="inlineStr">
        <is>
          <t>Итого</t>
        </is>
      </c>
      <c r="C52" s="91" t="n"/>
      <c r="D52" s="131">
        <f>SUM(D9:D51)</f>
        <v/>
      </c>
      <c r="E52" s="31">
        <f>SUM(E9:E51)</f>
        <v/>
      </c>
      <c r="F52" s="92">
        <f>SUM(F9:F51)</f>
        <v/>
      </c>
      <c r="G52" s="105">
        <f>E52*F53</f>
        <v/>
      </c>
      <c r="H52" s="95">
        <f>SUM(H9:H51)</f>
        <v/>
      </c>
      <c r="I52" s="96">
        <f>SUM(I9:I51)</f>
        <v/>
      </c>
      <c r="J52" s="89">
        <f>SUM(J9:J51)</f>
        <v/>
      </c>
      <c r="K52" s="96">
        <f>SUM(K9:K51)</f>
        <v/>
      </c>
      <c r="L52" s="89">
        <f>SUM(L9:L51)</f>
        <v/>
      </c>
      <c r="M52" s="96">
        <f>SUM(M9:M51)</f>
        <v/>
      </c>
      <c r="N52" s="89">
        <f>SUM(N9:N51)</f>
        <v/>
      </c>
      <c r="O52" s="96">
        <f>SUM(O9:O51)</f>
        <v/>
      </c>
      <c r="P52" s="89">
        <f>SUM(P9:P51)</f>
        <v/>
      </c>
      <c r="Q52" s="96">
        <f>SUM(Q9:Q51)</f>
        <v/>
      </c>
      <c r="R52" s="95">
        <f>SUM(R9:R51)</f>
        <v/>
      </c>
      <c r="S52" s="96">
        <f>SUM(S9:S51)</f>
        <v/>
      </c>
      <c r="T52" s="89">
        <f>SUM(T9:T51)</f>
        <v/>
      </c>
      <c r="U52" s="96">
        <f>SUM(U9:U51)</f>
        <v/>
      </c>
      <c r="V52" s="89">
        <f>SUM(V9:V51)</f>
        <v/>
      </c>
      <c r="W52" s="96">
        <f>SUM(W9:W51)</f>
        <v/>
      </c>
      <c r="X52" s="89">
        <f>SUM(X9:X51)</f>
        <v/>
      </c>
      <c r="Y52" s="96">
        <f>SUM(Y9:Y51)</f>
        <v/>
      </c>
      <c r="Z52" s="89">
        <f>SUM(Z9:Z51)</f>
        <v/>
      </c>
      <c r="AA52" s="96">
        <f>SUM(AA9:AA51)</f>
        <v/>
      </c>
      <c r="AB52" s="89">
        <f>SUM(AB9:AB51)</f>
        <v/>
      </c>
      <c r="AC52" s="96">
        <f>SUM(AC9:AC51)</f>
        <v/>
      </c>
      <c r="AD52" s="89">
        <f>SUM(AD9:AD51)</f>
        <v/>
      </c>
      <c r="AE52" s="96">
        <f>SUM(AE9:AE51)</f>
        <v/>
      </c>
      <c r="AF52" s="89">
        <f>SUM(AF9:AF51)</f>
        <v/>
      </c>
      <c r="AG52" s="96">
        <f>SUM(AG9:AG51)</f>
        <v/>
      </c>
      <c r="AH52" s="89">
        <f>SUM(AH9:AH51)</f>
        <v/>
      </c>
      <c r="AI52" s="96">
        <f>SUM(AI9:AI51)</f>
        <v/>
      </c>
      <c r="AJ52" s="89">
        <f>SUM(AJ9:AJ51)</f>
        <v/>
      </c>
      <c r="AK52" s="96">
        <f>SUM(AK9:AK51)</f>
        <v/>
      </c>
      <c r="AL52" s="89">
        <f>SUM(AL9:AL51)</f>
        <v/>
      </c>
      <c r="AM52" s="96">
        <f>SUM(AM9:AM51)</f>
        <v/>
      </c>
      <c r="AN52" s="89">
        <f>SUM(AN9:AN51)</f>
        <v/>
      </c>
      <c r="AO52" s="96">
        <f>SUM(AO9:AO51)</f>
        <v/>
      </c>
      <c r="AP52" s="89">
        <f>SUM(AP9:AP51)</f>
        <v/>
      </c>
      <c r="AQ52" s="96">
        <f>SUM(AQ9:AQ51)</f>
        <v/>
      </c>
      <c r="AR52" s="89">
        <f>SUM(AR9:AR51)</f>
        <v/>
      </c>
      <c r="AS52" s="96">
        <f>SUM(AS9:AS51)</f>
        <v/>
      </c>
      <c r="AT52" s="89">
        <f>SUM(AT9:AT51)</f>
        <v/>
      </c>
      <c r="AU52" s="96">
        <f>SUM(AU9:AU51)</f>
        <v/>
      </c>
      <c r="AV52" s="89">
        <f>SUM(AV9:AV51)</f>
        <v/>
      </c>
      <c r="AW52" s="96">
        <f>SUM(AW9:AW51)</f>
        <v/>
      </c>
      <c r="AX52" s="89">
        <f>SUM(AX9:AX51)</f>
        <v/>
      </c>
      <c r="AY52" s="96">
        <f>SUM(AY9:AY51)</f>
        <v/>
      </c>
      <c r="AZ52" s="89">
        <f>SUM(AZ9:AZ51)</f>
        <v/>
      </c>
      <c r="BA52" s="96">
        <f>SUM(BA9:BA51)</f>
        <v/>
      </c>
      <c r="BB52" s="89">
        <f>SUM(BB9:BB51)</f>
        <v/>
      </c>
      <c r="BC52" s="96">
        <f>SUM(BC9:BC51)</f>
        <v/>
      </c>
      <c r="BD52" s="89">
        <f>SUM(BD9:BD51)</f>
        <v/>
      </c>
      <c r="BE52" s="96">
        <f>SUM(BE9:BE51)</f>
        <v/>
      </c>
      <c r="BF52" s="89">
        <f>SUM(BF9:BF51)</f>
        <v/>
      </c>
      <c r="BG52" s="96">
        <f>SUM(BG9:BG51)</f>
        <v/>
      </c>
      <c r="BH52" s="89">
        <f>SUM(BH9:BH51)</f>
        <v/>
      </c>
      <c r="BI52" s="96">
        <f>SUM(BI9:BI51)</f>
        <v/>
      </c>
      <c r="BJ52" s="89">
        <f>SUM(BJ9:BJ51)</f>
        <v/>
      </c>
      <c r="BK52" s="96">
        <f>SUM(BK9:BK51)</f>
        <v/>
      </c>
      <c r="BL52" s="89">
        <f>SUM(BL9:BL51)</f>
        <v/>
      </c>
      <c r="BM52" s="96">
        <f>SUM(BM9:BM51)</f>
        <v/>
      </c>
      <c r="BN52" s="89">
        <f>SUM(BN9:BN51)</f>
        <v/>
      </c>
      <c r="BO52" s="96">
        <f>SUM(BO9:BO51)</f>
        <v/>
      </c>
      <c r="BP52" s="89">
        <f>SUM(BP9:BP51)</f>
        <v/>
      </c>
      <c r="BQ52" s="96">
        <f>SUM(BQ9:BQ51)</f>
        <v/>
      </c>
      <c r="BR52" s="89">
        <f>SUM(BR9:BR51)</f>
        <v/>
      </c>
      <c r="BS52" s="96">
        <f>SUM(BS9:BS51)</f>
        <v/>
      </c>
      <c r="BT52" s="89">
        <f>SUM(BT9:BT51)</f>
        <v/>
      </c>
      <c r="BU52" s="96">
        <f>SUM(BU9:BU51)</f>
        <v/>
      </c>
      <c r="BV52" s="89">
        <f>SUM(BV9:BV51)</f>
        <v/>
      </c>
      <c r="BW52" s="96">
        <f>SUM(BW9:BW51)</f>
        <v/>
      </c>
      <c r="BX52" s="89">
        <f>SUM(BX9:BX51)</f>
        <v/>
      </c>
      <c r="BY52" s="96">
        <f>SUM(BY9:BY51)</f>
        <v/>
      </c>
      <c r="BZ52" s="89">
        <f>SUM(BZ9:BZ51)</f>
        <v/>
      </c>
      <c r="CA52" s="96">
        <f>SUM(CA9:CA51)</f>
        <v/>
      </c>
      <c r="CB52" s="89">
        <f>SUM(CB9:CB51)</f>
        <v/>
      </c>
      <c r="CC52" s="96">
        <f>SUM(CC9:CC51)</f>
        <v/>
      </c>
      <c r="CD52" s="89">
        <f>SUM(CD9:CD51)</f>
        <v/>
      </c>
      <c r="CE52" s="96">
        <f>SUM(CE9:CE51)</f>
        <v/>
      </c>
      <c r="CF52" s="89">
        <f>SUM(CF9:CF51)</f>
        <v/>
      </c>
      <c r="CG52" s="96">
        <f>SUM(CG9:CG51)</f>
        <v/>
      </c>
      <c r="CH52" s="89">
        <f>SUM(CH9:CH51)</f>
        <v/>
      </c>
      <c r="CI52" s="96">
        <f>SUM(CI9:CI51)</f>
        <v/>
      </c>
      <c r="CJ52" s="89">
        <f>SUM(CJ9:CJ51)</f>
        <v/>
      </c>
      <c r="CK52" s="96">
        <f>SUM(CK9:CK51)</f>
        <v/>
      </c>
      <c r="CL52" s="89">
        <f>SUM(CL9:CL51)</f>
        <v/>
      </c>
      <c r="CM52" s="96">
        <f>SUM(CM9:CM51)</f>
        <v/>
      </c>
      <c r="CN52" s="89">
        <f>SUM(CN9:CN51)</f>
        <v/>
      </c>
      <c r="CO52" s="96">
        <f>SUM(CO9:CO51)</f>
        <v/>
      </c>
      <c r="CP52" s="89">
        <f>SUM(CP9:CP51)</f>
        <v/>
      </c>
      <c r="CQ52" s="96">
        <f>SUM(CQ9:CQ51)</f>
        <v/>
      </c>
      <c r="CR52" s="89">
        <f>SUM(CR9:CR51)</f>
        <v/>
      </c>
      <c r="CS52" s="96">
        <f>SUM(CS9:CS51)</f>
        <v/>
      </c>
      <c r="CT52" s="89">
        <f>SUM(CT9:CT51)</f>
        <v/>
      </c>
      <c r="CU52" s="96">
        <f>SUM(CU9:CU51)</f>
        <v/>
      </c>
      <c r="CV52" s="89">
        <f>SUM(CV9:CV51)</f>
        <v/>
      </c>
      <c r="CW52" s="96">
        <f>SUM(CW9:CW51)</f>
        <v/>
      </c>
      <c r="CX52" s="89">
        <f>SUM(CX9:CX51)</f>
        <v/>
      </c>
      <c r="CY52" s="96">
        <f>SUM(CY9:CY51)</f>
        <v/>
      </c>
      <c r="CZ52" s="89">
        <f>SUM(CZ9:CZ51)</f>
        <v/>
      </c>
      <c r="DA52" s="96">
        <f>SUM(DA9:DA51)</f>
        <v/>
      </c>
      <c r="DB52" s="89">
        <f>SUM(DB9:DB51)</f>
        <v/>
      </c>
      <c r="DC52" s="96">
        <f>SUM(DC9:DC51)</f>
        <v/>
      </c>
      <c r="DD52" s="89">
        <f>SUM(DD9:DD51)</f>
        <v/>
      </c>
      <c r="DE52" s="96">
        <f>SUM(DE9:DE51)</f>
        <v/>
      </c>
      <c r="DF52" s="89">
        <f>SUM(DF9:DF51)</f>
        <v/>
      </c>
      <c r="DG52" s="96">
        <f>SUM(DG9:DG51)</f>
        <v/>
      </c>
      <c r="DH52" s="89">
        <f>SUM(DH9:DH51)</f>
        <v/>
      </c>
      <c r="DI52" s="96">
        <f>SUM(DI9:DI51)</f>
        <v/>
      </c>
      <c r="DJ52" s="89">
        <f>SUM(DJ9:DJ51)</f>
        <v/>
      </c>
      <c r="DK52" s="96">
        <f>SUM(DK9:DK51)</f>
        <v/>
      </c>
      <c r="DL52" s="89">
        <f>SUM(DL9:DL51)</f>
        <v/>
      </c>
      <c r="DM52" s="96">
        <f>SUM(DM9:DM51)</f>
        <v/>
      </c>
      <c r="DN52" s="89">
        <f>SUM(DN9:DN51)</f>
        <v/>
      </c>
      <c r="DO52" s="96">
        <f>SUM(DO9:DO51)</f>
        <v/>
      </c>
      <c r="DP52" s="89">
        <f>SUM(DP9:DP51)</f>
        <v/>
      </c>
      <c r="DQ52" s="96">
        <f>SUM(DQ9:DQ51)</f>
        <v/>
      </c>
      <c r="DR52" s="89">
        <f>SUM(DR9:DR51)</f>
        <v/>
      </c>
      <c r="DS52" s="96">
        <f>SUM(DS9:DS51)</f>
        <v/>
      </c>
      <c r="DT52" s="89">
        <f>SUM(DT9:DT51)</f>
        <v/>
      </c>
      <c r="DU52" s="96">
        <f>SUM(DU9:DU51)</f>
        <v/>
      </c>
      <c r="DV52" s="89">
        <f>SUM(DV9:DV51)</f>
        <v/>
      </c>
      <c r="DW52" s="96">
        <f>SUM(DW9:DW51)</f>
        <v/>
      </c>
      <c r="DX52" s="89">
        <f>SUM(DX9:DX51)</f>
        <v/>
      </c>
      <c r="DY52" s="96">
        <f>SUM(DY9:DY51)</f>
        <v/>
      </c>
      <c r="DZ52" s="89">
        <f>SUM(DZ9:DZ51)</f>
        <v/>
      </c>
      <c r="EA52" s="96">
        <f>SUM(EA9:EA51)</f>
        <v/>
      </c>
      <c r="EB52" s="89">
        <f>SUM(EB9:EB51)</f>
        <v/>
      </c>
      <c r="EC52" s="96">
        <f>SUM(EC9:EC51)</f>
        <v/>
      </c>
      <c r="ED52" s="89">
        <f>SUM(ED9:ED51)</f>
        <v/>
      </c>
      <c r="EE52" s="96">
        <f>SUM(EE9:EE51)</f>
        <v/>
      </c>
      <c r="EF52" s="89">
        <f>SUM(EF9:EF51)</f>
        <v/>
      </c>
      <c r="EG52" s="96">
        <f>SUM(EG9:EG51)</f>
        <v/>
      </c>
      <c r="EH52" s="89">
        <f>SUM(EH9:EH51)</f>
        <v/>
      </c>
      <c r="EI52" s="96">
        <f>SUM(EI9:EI51)</f>
        <v/>
      </c>
      <c r="EJ52" s="89">
        <f>SUM(EJ9:EJ51)</f>
        <v/>
      </c>
      <c r="EK52" s="96">
        <f>SUM(EK9:EK51)</f>
        <v/>
      </c>
      <c r="EL52" s="89">
        <f>SUM(EL9:EL51)</f>
        <v/>
      </c>
      <c r="EM52" s="96">
        <f>SUM(EM9:EM51)</f>
        <v/>
      </c>
      <c r="EN52" s="89">
        <f>SUM(EN9:EN51)</f>
        <v/>
      </c>
      <c r="EO52" s="96">
        <f>SUM(EO9:EO51)</f>
        <v/>
      </c>
      <c r="EP52" s="89">
        <f>SUM(EP9:EP51)</f>
        <v/>
      </c>
      <c r="EQ52" s="96">
        <f>SUM(EQ9:EQ51)</f>
        <v/>
      </c>
      <c r="ER52" s="89">
        <f>SUM(ER9:ER51)</f>
        <v/>
      </c>
      <c r="ES52" s="96">
        <f>SUM(ES9:ES51)</f>
        <v/>
      </c>
      <c r="ET52" s="89">
        <f>SUM(ET9:ET51)</f>
        <v/>
      </c>
      <c r="EU52" s="96">
        <f>SUM(EU9:EU51)</f>
        <v/>
      </c>
      <c r="EV52" s="89">
        <f>SUM(EV9:EV51)</f>
        <v/>
      </c>
      <c r="EW52" s="96">
        <f>SUM(EW9:EW51)</f>
        <v/>
      </c>
      <c r="EX52" s="89">
        <f>SUM(EX9:EX51)</f>
        <v/>
      </c>
      <c r="EY52" s="96">
        <f>SUM(EY9:EY51)</f>
        <v/>
      </c>
      <c r="EZ52" s="89">
        <f>SUM(EZ9:EZ51)</f>
        <v/>
      </c>
      <c r="FA52" s="96">
        <f>SUM(FA9:FA51)</f>
        <v/>
      </c>
      <c r="FB52" s="89">
        <f>SUM(FB9:FB51)</f>
        <v/>
      </c>
      <c r="FC52" s="96">
        <f>SUM(FC9:FC51)</f>
        <v/>
      </c>
      <c r="FD52" s="89">
        <f>SUM(FD9:FD51)</f>
        <v/>
      </c>
      <c r="FE52" s="96">
        <f>SUM(FE9:FE51)</f>
        <v/>
      </c>
      <c r="FF52" s="89">
        <f>SUM(FF9:FF51)</f>
        <v/>
      </c>
      <c r="FG52" s="96">
        <f>SUM(FG9:FG51)</f>
        <v/>
      </c>
      <c r="FH52" s="89">
        <f>SUM(FH9:FH51)</f>
        <v/>
      </c>
      <c r="FI52" s="96">
        <f>SUM(FI9:FI51)</f>
        <v/>
      </c>
      <c r="FJ52" s="89">
        <f>SUM(FJ9:FJ51)</f>
        <v/>
      </c>
      <c r="FK52" s="96">
        <f>SUM(FK9:FK51)</f>
        <v/>
      </c>
      <c r="FL52" s="89">
        <f>SUM(FL9:FL51)</f>
        <v/>
      </c>
      <c r="FM52" s="96">
        <f>SUM(FM9:FM51)</f>
        <v/>
      </c>
      <c r="FN52" s="89">
        <f>SUM(FN9:FN51)</f>
        <v/>
      </c>
      <c r="FO52" s="96">
        <f>SUM(FO9:FO51)</f>
        <v/>
      </c>
      <c r="FP52" s="89">
        <f>SUM(FP9:FP51)</f>
        <v/>
      </c>
      <c r="FQ52" s="96">
        <f>SUM(FQ9:FQ51)</f>
        <v/>
      </c>
      <c r="FR52" s="89">
        <f>SUM(FR9:FR51)</f>
        <v/>
      </c>
      <c r="FS52" s="96">
        <f>SUM(FS9:FS51)</f>
        <v/>
      </c>
      <c r="FT52" s="89">
        <f>SUM(FT9:FT51)</f>
        <v/>
      </c>
      <c r="FU52" s="96">
        <f>SUM(FU9:FU51)</f>
        <v/>
      </c>
      <c r="FV52" s="89">
        <f>SUM(FV9:FV51)</f>
        <v/>
      </c>
      <c r="FW52" s="96">
        <f>SUM(FW9:FW51)</f>
        <v/>
      </c>
      <c r="FX52" s="89">
        <f>SUM(FX9:FX51)</f>
        <v/>
      </c>
      <c r="FY52" s="96">
        <f>SUM(FY9:FY51)</f>
        <v/>
      </c>
      <c r="FZ52" s="89">
        <f>SUM(FZ9:FZ51)</f>
        <v/>
      </c>
      <c r="GA52" s="96">
        <f>SUM(GA9:GA51)</f>
        <v/>
      </c>
      <c r="GB52" s="89">
        <f>SUM(GB9:GB51)</f>
        <v/>
      </c>
      <c r="GC52" s="96">
        <f>SUM(GC9:GC51)</f>
        <v/>
      </c>
      <c r="GD52" s="89">
        <f>SUM(GD9:GD51)</f>
        <v/>
      </c>
      <c r="GE52" s="96">
        <f>SUM(GE9:GE51)</f>
        <v/>
      </c>
      <c r="GF52" s="89">
        <f>SUM(GF9:GF51)</f>
        <v/>
      </c>
      <c r="GG52" s="96">
        <f>SUM(GG9:GG51)</f>
        <v/>
      </c>
      <c r="GH52" s="89">
        <f>SUM(GH9:GH51)</f>
        <v/>
      </c>
      <c r="GI52" s="96">
        <f>SUM(GI9:GI51)</f>
        <v/>
      </c>
      <c r="GJ52" s="89">
        <f>SUM(GJ9:GJ51)</f>
        <v/>
      </c>
      <c r="GK52" s="96">
        <f>SUM(GK9:GK51)</f>
        <v/>
      </c>
      <c r="GL52" s="89">
        <f>SUM(GL9:GL51)</f>
        <v/>
      </c>
      <c r="GM52" s="96">
        <f>SUM(GM9:GM51)</f>
        <v/>
      </c>
      <c r="GN52" s="89">
        <f>SUM(GN9:GN51)</f>
        <v/>
      </c>
      <c r="GO52" s="96">
        <f>SUM(GO9:GO51)</f>
        <v/>
      </c>
      <c r="GP52" s="89">
        <f>SUM(GP9:GP51)</f>
        <v/>
      </c>
      <c r="GQ52" s="96">
        <f>SUM(GQ9:GQ51)</f>
        <v/>
      </c>
      <c r="GR52" s="89">
        <f>SUM(GR9:GR51)</f>
        <v/>
      </c>
      <c r="GS52" s="96">
        <f>SUM(GS9:GS51)</f>
        <v/>
      </c>
      <c r="GT52" s="89">
        <f>SUM(GT9:GT51)</f>
        <v/>
      </c>
      <c r="GU52" s="96">
        <f>SUM(GU9:GU51)</f>
        <v/>
      </c>
      <c r="GV52" s="89">
        <f>SUM(GV9:GV51)</f>
        <v/>
      </c>
      <c r="GW52" s="96">
        <f>SUM(GW9:GW51)</f>
        <v/>
      </c>
      <c r="GX52" s="89">
        <f>SUM(GX9:GX51)</f>
        <v/>
      </c>
      <c r="GY52" s="96">
        <f>SUM(GY9:GY51)</f>
        <v/>
      </c>
      <c r="GZ52" s="89">
        <f>SUM(GZ9:GZ51)</f>
        <v/>
      </c>
      <c r="HA52" s="96">
        <f>SUM(HA9:HA51)</f>
        <v/>
      </c>
      <c r="HB52" s="89">
        <f>SUM(HB9:HB51)</f>
        <v/>
      </c>
      <c r="HC52" s="96">
        <f>SUM(HC9:HC51)</f>
        <v/>
      </c>
      <c r="HD52" s="89">
        <f>SUM(HD9:HD51)</f>
        <v/>
      </c>
      <c r="HE52" s="96">
        <f>SUM(HE9:HE51)</f>
        <v/>
      </c>
      <c r="HF52" s="89">
        <f>SUM(HF9:HF51)</f>
        <v/>
      </c>
      <c r="HG52" s="96">
        <f>SUM(HG9:HG51)</f>
        <v/>
      </c>
      <c r="HH52" s="89">
        <f>SUM(HH9:HH51)</f>
        <v/>
      </c>
      <c r="HI52" s="96">
        <f>SUM(HI9:HI51)</f>
        <v/>
      </c>
      <c r="HJ52" s="89">
        <f>SUM(HJ9:HJ51)</f>
        <v/>
      </c>
      <c r="HK52" s="96">
        <f>SUM(HK9:HK51)</f>
        <v/>
      </c>
      <c r="HL52" s="89">
        <f>SUM(HL9:HL51)</f>
        <v/>
      </c>
      <c r="HM52" s="96">
        <f>SUM(HM9:HM51)</f>
        <v/>
      </c>
      <c r="HN52" s="89">
        <f>SUM(HN9:HN51)</f>
        <v/>
      </c>
      <c r="HO52" s="96">
        <f>SUM(HO9:HO51)</f>
        <v/>
      </c>
      <c r="HP52" s="89">
        <f>SUM(HP9:HP51)</f>
        <v/>
      </c>
      <c r="HQ52" s="96">
        <f>SUM(HQ9:HQ51)</f>
        <v/>
      </c>
      <c r="HR52" s="89">
        <f>SUM(HR9:HR51)</f>
        <v/>
      </c>
      <c r="HS52" s="96">
        <f>SUM(HS9:HS51)</f>
        <v/>
      </c>
      <c r="HT52" s="89">
        <f>SUM(HT9:HT51)</f>
        <v/>
      </c>
      <c r="HU52" s="96">
        <f>SUM(HU9:HU51)</f>
        <v/>
      </c>
      <c r="HV52" s="89">
        <f>SUM(HV9:HV51)</f>
        <v/>
      </c>
      <c r="HW52" s="96">
        <f>SUM(HW9:HW51)</f>
        <v/>
      </c>
      <c r="HX52" s="89">
        <f>SUM(HX9:HX51)</f>
        <v/>
      </c>
      <c r="HY52" s="96">
        <f>SUM(HY9:HY51)</f>
        <v/>
      </c>
      <c r="HZ52" s="89">
        <f>SUM(HZ9:HZ51)</f>
        <v/>
      </c>
      <c r="IA52" s="96">
        <f>SUM(IA9:IA51)</f>
        <v/>
      </c>
      <c r="IB52" s="89">
        <f>SUM(IB9:IB51)</f>
        <v/>
      </c>
      <c r="IC52" s="96">
        <f>SUM(IC9:IC51)</f>
        <v/>
      </c>
      <c r="ID52" s="89">
        <f>SUM(ID9:ID51)</f>
        <v/>
      </c>
      <c r="IE52" s="96">
        <f>SUM(IE9:IE51)</f>
        <v/>
      </c>
      <c r="IF52" s="89">
        <f>SUM(IF9:IF51)</f>
        <v/>
      </c>
      <c r="IG52" s="96">
        <f>SUM(IG9:IG51)</f>
        <v/>
      </c>
      <c r="IH52" s="89">
        <f>SUM(IH9:IH51)</f>
        <v/>
      </c>
      <c r="II52" s="96">
        <f>SUM(II9:II51)</f>
        <v/>
      </c>
      <c r="IJ52" s="89">
        <f>SUM(IJ9:IJ51)</f>
        <v/>
      </c>
      <c r="IK52" s="96">
        <f>SUM(IK9:IK51)</f>
        <v/>
      </c>
      <c r="IL52" s="89">
        <f>SUM(IL9:IL51)</f>
        <v/>
      </c>
      <c r="IM52" s="96">
        <f>SUM(IM9:IM51)</f>
        <v/>
      </c>
      <c r="IN52" s="89">
        <f>SUM(IN9:IN51)</f>
        <v/>
      </c>
      <c r="IO52" s="96">
        <f>SUM(IO9:IO51)</f>
        <v/>
      </c>
      <c r="IP52" s="89">
        <f>SUM(IP9:IP51)</f>
        <v/>
      </c>
      <c r="IQ52" s="96">
        <f>SUM(IQ9:IQ51)</f>
        <v/>
      </c>
      <c r="IR52" s="89">
        <f>SUM(IR9:IR51)</f>
        <v/>
      </c>
      <c r="IS52" s="96">
        <f>SUM(IS9:IS51)</f>
        <v/>
      </c>
      <c r="IT52" s="89">
        <f>SUM(IT9:IT51)</f>
        <v/>
      </c>
      <c r="IU52" s="96">
        <f>SUM(IU9:IU51)</f>
        <v/>
      </c>
      <c r="IV52" s="89">
        <f>SUM(IV9:IV51)</f>
        <v/>
      </c>
      <c r="IW52" s="96">
        <f>SUM(IW9:IW51)</f>
        <v/>
      </c>
      <c r="IX52" s="89">
        <f>SUM(IX9:IX51)</f>
        <v/>
      </c>
      <c r="IY52" s="96">
        <f>SUM(IY9:IY51)</f>
        <v/>
      </c>
      <c r="IZ52" s="89">
        <f>SUM(IZ9:IZ51)</f>
        <v/>
      </c>
      <c r="JA52" s="96">
        <f>SUM(JA9:JA51)</f>
        <v/>
      </c>
      <c r="JB52" s="89">
        <f>SUM(JB9:JB51)</f>
        <v/>
      </c>
      <c r="JC52" s="96">
        <f>SUM(JC9:JC51)</f>
        <v/>
      </c>
      <c r="JD52" s="89">
        <f>SUM(JD9:JD51)</f>
        <v/>
      </c>
      <c r="JE52" s="96">
        <f>SUM(JE9:JE51)</f>
        <v/>
      </c>
      <c r="JF52" s="89">
        <f>SUM(JF9:JF51)</f>
        <v/>
      </c>
      <c r="JG52" s="96">
        <f>SUM(JG9:JG51)</f>
        <v/>
      </c>
      <c r="JH52" s="89">
        <f>SUM(JH9:JH51)</f>
        <v/>
      </c>
      <c r="JI52" s="96">
        <f>SUM(JI9:JI51)</f>
        <v/>
      </c>
      <c r="JJ52" s="89">
        <f>SUM(JJ9:JJ51)</f>
        <v/>
      </c>
      <c r="JK52" s="96">
        <f>SUM(JK9:JK51)</f>
        <v/>
      </c>
      <c r="JL52" s="89">
        <f>SUM(JL9:JL51)</f>
        <v/>
      </c>
      <c r="JM52" s="96">
        <f>SUM(JM9:JM51)</f>
        <v/>
      </c>
      <c r="JN52" s="93">
        <f>SUM(JN9:JN51)</f>
        <v/>
      </c>
      <c r="JO52" s="102">
        <f>JN52*100/$E$25</f>
        <v/>
      </c>
      <c r="JP52" s="94">
        <f>SUM(JP9:JP51)</f>
        <v/>
      </c>
      <c r="JQ52" s="103">
        <f>JP52*100/$E$15</f>
        <v/>
      </c>
      <c r="JR52" s="94">
        <f>SUM(JR9:JR51)</f>
        <v/>
      </c>
      <c r="JS52" s="102">
        <f>JR52*100/$E$25</f>
        <v/>
      </c>
      <c r="JT52" s="94">
        <f>SUM(JT9:JT51)</f>
        <v/>
      </c>
      <c r="JU52" s="102">
        <f>JT52*100/$E$25</f>
        <v/>
      </c>
      <c r="JV52" s="94">
        <f>SUM(JV9:JV51)</f>
        <v/>
      </c>
      <c r="JW52" s="102">
        <f>JV52*100/$E$25</f>
        <v/>
      </c>
      <c r="JX52" s="94">
        <f>SUM(JX9:JX51)</f>
        <v/>
      </c>
      <c r="JY52" s="102">
        <f>JX52*100/$E$25</f>
        <v/>
      </c>
      <c r="JZ52" s="102">
        <f>JN52+JP52+JR52+JT52+JV52+JX52</f>
        <v/>
      </c>
      <c r="KA52" s="106">
        <f>SUM(KA9:KA51)</f>
        <v/>
      </c>
      <c r="KB52" s="104">
        <f>H52+J52+L52+N52+P52+R52+T52+V52+X52+Z52+AB52+AD52+AF52+AH52+AJ52+AL52+AN52+AP52+AR52+AT52+AV52+AX52+AZ52+BB52+BD52+BF52+BH52+BJ52+BL52+BN52+BP52+BR52+BT52+BV52+BX52+BZ52+CB52+CD52+CF52+CH52+CZ52+DB52+DD52+DF52+DH52+DJ52+DL52+DN52+DP52+DR52+DT52+DV52+DX52+DZ52+EB52+ED52+EF52+EH52+EJ52+EL52+EN52+EP52+ER52+ET52+EV52+FN52+FP52+FR52+FT52+FV52+FX52+FZ52+GB52+GD52+GF52+GH52+GJ52+GL52+GN52+GP52+GR52+GT52+GV52+GX52+GZ52+HB52+HD52+HF52+HH52+HJ52+HL52+HN52+HP52+HR52+HT52+HV52+HX52+HZ52+IB52+ID52+IF52+IH52+IJ52+IL52+IN52+IP52+IR52+IT52+IV52+IX52+IZ52+JB52+JD52+JF52+JH52+JJ52+JL52+JZ52+CJ52+CL52+CN52+CP52+CR52+CT52+CV52+CX52+EX52+EZ52+FB52+FD52+FF52+FH52+FJ52+FL52</f>
        <v/>
      </c>
      <c r="KC52" s="116">
        <f>I52+K52+M52+O52+Q52+S52+U52+W52+Y52+AA52+AC52+AE52+AG52+AI52+AK52+AM52+AO52+AQ52+AS52+AU52+AW52+AY52+BA52+BC52+BE52+BG52+BI52+BK52+BM52+BO52+BQ52+BS52+BU52+BW52+BY52+CA52+CC52+CE52+CG52+CI52+DA52+DC52+DE52+DG52+DI52+DK52+DM52+DO52+DQ52+DS52+DU52+DW52+DY52+EA52+EC52+EE52+EG52+EI52+EK52+EM52+EO52+EQ52+ES52+EU52+EW52+FO52+FS52+FU52+FW52+FQ52+FY52+GA52+GC52+GE52+GG52+GI52+GK52+GM52+GO52+GQ52+GS52+GU52+GW52+GY52+HA52+HC52+HE52+HG52+HI52+HK52+HM52+HO52+HQ52+HS52+HU52+HW52+HY52+IA52+IC52+IE52+IG52+II52+IK52+IM52+IO52+IQ52+IS52+IU52+IW52+IY52+JA52+JC52+JE52+JG52+JI52+JK52+JM52+KA52+CK52+CM52+CO52+CQ52+CS52+CU52+CW52+CY52+EY52+FA52+FC52+FE52+FG52+FI52+FK52+FM52</f>
        <v/>
      </c>
      <c r="KD52" s="97" t="n"/>
      <c r="KE52" s="98" t="n"/>
      <c r="KF52" s="97" t="n"/>
      <c r="KG52" s="97" t="n"/>
      <c r="KH52" s="98" t="n"/>
      <c r="KI52" s="98" t="n"/>
      <c r="KJ52" s="98" t="n"/>
      <c r="KK52" s="98" t="n"/>
      <c r="KL52" s="98" t="n"/>
      <c r="KM52" s="98" t="n"/>
      <c r="KN52" s="99" t="n"/>
    </row>
    <row r="53" ht="29.25" customFormat="1" customHeight="1" s="292" thickBot="1">
      <c r="A53" s="111" t="n"/>
      <c r="B53" s="148" t="inlineStr">
        <is>
          <t>Плановая ЗП</t>
        </is>
      </c>
      <c r="C53" s="78" t="n"/>
      <c r="D53" s="112" t="n"/>
      <c r="E53" s="113" t="n"/>
      <c r="F53" s="250">
        <f>F52/D52</f>
        <v/>
      </c>
      <c r="G53" s="118" t="n"/>
      <c r="H53" s="276">
        <f>$F$53*H52</f>
        <v/>
      </c>
      <c r="I53" s="277" t="n"/>
      <c r="J53" s="245">
        <f>$F$53*J52</f>
        <v/>
      </c>
      <c r="K53" s="246" t="n"/>
      <c r="L53" s="245">
        <f>$F$53*L52</f>
        <v/>
      </c>
      <c r="M53" s="246" t="n"/>
      <c r="N53" s="254">
        <f>$F$53*N52</f>
        <v/>
      </c>
      <c r="O53" s="255" t="n"/>
      <c r="P53" s="245">
        <f>$F$53*P52</f>
        <v/>
      </c>
      <c r="Q53" s="246" t="n"/>
      <c r="R53" s="269">
        <f>$F$53*R52</f>
        <v/>
      </c>
      <c r="S53" s="246" t="n"/>
      <c r="T53" s="311">
        <f>$F$53*T52</f>
        <v/>
      </c>
      <c r="V53" s="291">
        <f>$F$53*V52</f>
        <v/>
      </c>
      <c r="X53" s="291">
        <f>$F$53*X52</f>
        <v/>
      </c>
      <c r="Z53" s="313">
        <f>$F$53*Z52</f>
        <v/>
      </c>
      <c r="AA53" s="306" t="n"/>
      <c r="AB53" s="245">
        <f>$F$53*AB52</f>
        <v/>
      </c>
      <c r="AC53" s="246" t="n"/>
      <c r="AD53" s="250">
        <f>$F$53*AD52</f>
        <v/>
      </c>
      <c r="AE53" s="251" t="n"/>
      <c r="AF53" s="245">
        <f>$F$53*AF52</f>
        <v/>
      </c>
      <c r="AG53" s="246" t="n"/>
      <c r="AH53" s="245">
        <f>$F$53*AH52</f>
        <v/>
      </c>
      <c r="AI53" s="246" t="n"/>
      <c r="AJ53" s="245">
        <f>$F$53*AJ52</f>
        <v/>
      </c>
      <c r="AK53" s="246" t="n"/>
      <c r="AL53" s="245">
        <f>$F$53*AL52</f>
        <v/>
      </c>
      <c r="AM53" s="246" t="n"/>
      <c r="AN53" s="250">
        <f>$F$53*AN52</f>
        <v/>
      </c>
      <c r="AO53" s="251" t="n"/>
      <c r="AP53" s="250">
        <f>$F$53*AP52</f>
        <v/>
      </c>
      <c r="AQ53" s="251" t="n"/>
      <c r="AR53" s="245">
        <f>$F$53*AR52</f>
        <v/>
      </c>
      <c r="AS53" s="246" t="n"/>
      <c r="AT53" s="250">
        <f>$F$53*AT52</f>
        <v/>
      </c>
      <c r="AU53" s="251" t="n"/>
      <c r="AV53" s="245">
        <f>$F$53*AV52</f>
        <v/>
      </c>
      <c r="AW53" s="246" t="n"/>
      <c r="AX53" s="250">
        <f>$F$53*AX52</f>
        <v/>
      </c>
      <c r="AY53" s="251" t="n"/>
      <c r="AZ53" s="245">
        <f>$F$53*AZ52</f>
        <v/>
      </c>
      <c r="BA53" s="246" t="n"/>
      <c r="BB53" s="250">
        <f>$F$53*BB52</f>
        <v/>
      </c>
      <c r="BC53" s="251" t="n"/>
      <c r="BD53" s="245">
        <f>$F$53*BD52</f>
        <v/>
      </c>
      <c r="BE53" s="246" t="n"/>
      <c r="BF53" s="250">
        <f>$F$53*BF52</f>
        <v/>
      </c>
      <c r="BG53" s="251" t="n"/>
      <c r="BH53" s="250">
        <f>$F$53*BH52</f>
        <v/>
      </c>
      <c r="BI53" s="251" t="n"/>
      <c r="BJ53" s="250">
        <f>$F$53*BJ52</f>
        <v/>
      </c>
      <c r="BK53" s="251" t="n"/>
      <c r="BL53" s="245">
        <f>$F$53*BL52</f>
        <v/>
      </c>
      <c r="BM53" s="246" t="n"/>
      <c r="BN53" s="245">
        <f>$F$53*BN52</f>
        <v/>
      </c>
      <c r="BO53" s="246" t="n"/>
      <c r="BP53" s="245">
        <f>$F$53*BP52</f>
        <v/>
      </c>
      <c r="BQ53" s="246" t="n"/>
      <c r="BR53" s="245">
        <f>$F$53*BR52</f>
        <v/>
      </c>
      <c r="BS53" s="246" t="n"/>
      <c r="BT53" s="245">
        <f>$F$53*BT52</f>
        <v/>
      </c>
      <c r="BU53" s="246" t="n"/>
      <c r="BV53" s="245">
        <f>$F$53*BV52</f>
        <v/>
      </c>
      <c r="BW53" s="246" t="n"/>
      <c r="BX53" s="245">
        <f>$F$53*BX52</f>
        <v/>
      </c>
      <c r="BY53" s="246" t="n"/>
      <c r="BZ53" s="245">
        <f>$F$53*BZ52</f>
        <v/>
      </c>
      <c r="CA53" s="246" t="n"/>
      <c r="CB53" s="250">
        <f>$F$53*CB52</f>
        <v/>
      </c>
      <c r="CC53" s="251" t="n"/>
      <c r="CD53" s="250">
        <f>$F$53*CD52</f>
        <v/>
      </c>
      <c r="CE53" s="251" t="n"/>
      <c r="CF53" s="250">
        <f>$F$53*CF52</f>
        <v/>
      </c>
      <c r="CG53" s="251" t="n"/>
      <c r="CH53" s="245">
        <f>$F$53*CH52</f>
        <v/>
      </c>
      <c r="CI53" s="246" t="n"/>
      <c r="CJ53" s="245">
        <f>$F$53*CJ52</f>
        <v/>
      </c>
      <c r="CK53" s="246" t="n"/>
      <c r="CL53" s="245">
        <f>$F$53*CL52</f>
        <v/>
      </c>
      <c r="CM53" s="246" t="n"/>
      <c r="CN53" s="245">
        <f>$F$53*CN52</f>
        <v/>
      </c>
      <c r="CO53" s="246" t="n"/>
      <c r="CP53" s="290">
        <f>$F$53*CP52</f>
        <v/>
      </c>
      <c r="CQ53" s="255" t="n"/>
      <c r="CR53" s="245">
        <f>$F$53*CR52</f>
        <v/>
      </c>
      <c r="CS53" s="246" t="n"/>
      <c r="CT53" s="245">
        <f>$F$53*CT52</f>
        <v/>
      </c>
      <c r="CU53" s="246" t="n"/>
      <c r="CV53" s="273">
        <f>$F$53*CV52</f>
        <v/>
      </c>
      <c r="CW53" s="251" t="n"/>
      <c r="CX53" s="245">
        <f>$F$53*CX52</f>
        <v/>
      </c>
      <c r="CY53" s="246" t="n"/>
      <c r="CZ53" s="245">
        <f>$F$53*CZ52</f>
        <v/>
      </c>
      <c r="DA53" s="246" t="n"/>
      <c r="DB53" s="273">
        <f>$F$53*DB52</f>
        <v/>
      </c>
      <c r="DC53" s="251" t="n"/>
      <c r="DD53" s="245">
        <f>$F$53*DD52</f>
        <v/>
      </c>
      <c r="DE53" s="246" t="n"/>
      <c r="DF53" s="250">
        <f>$F$53*DF52</f>
        <v/>
      </c>
      <c r="DG53" s="251" t="n"/>
      <c r="DH53" s="245">
        <f>$F$53*DH52</f>
        <v/>
      </c>
      <c r="DI53" s="246" t="n"/>
      <c r="DJ53" s="245">
        <f>$F$53*DJ52</f>
        <v/>
      </c>
      <c r="DK53" s="246" t="n"/>
      <c r="DL53" s="250">
        <f>$F$53*DL52</f>
        <v/>
      </c>
      <c r="DM53" s="251" t="n"/>
      <c r="DN53" s="254">
        <f>$F$53*DN52</f>
        <v/>
      </c>
      <c r="DO53" s="255" t="n"/>
      <c r="DP53" s="250">
        <f>$F$53*DP52</f>
        <v/>
      </c>
      <c r="DQ53" s="251" t="n"/>
      <c r="DR53" s="245">
        <f>$F$53*DR52</f>
        <v/>
      </c>
      <c r="DS53" s="246" t="n"/>
      <c r="DT53" s="250">
        <f>$F$53*DT52</f>
        <v/>
      </c>
      <c r="DU53" s="251" t="n"/>
      <c r="DV53" s="245">
        <f>$F$53*DV52</f>
        <v/>
      </c>
      <c r="DW53" s="246" t="n"/>
      <c r="DX53" s="254">
        <f>$F$53*DX52</f>
        <v/>
      </c>
      <c r="DY53" s="255" t="n"/>
      <c r="DZ53" s="245">
        <f>$F$53*DZ52</f>
        <v/>
      </c>
      <c r="EA53" s="246" t="n"/>
      <c r="EB53" s="245">
        <f>$F$53*EB52</f>
        <v/>
      </c>
      <c r="EC53" s="246" t="n"/>
      <c r="ED53" s="245">
        <f>$F$53*ED52</f>
        <v/>
      </c>
      <c r="EE53" s="246" t="n"/>
      <c r="EF53" s="290">
        <f>$F$53*EF52</f>
        <v/>
      </c>
      <c r="EG53" s="255" t="n"/>
      <c r="EH53" s="245">
        <f>$F$53*EH52</f>
        <v/>
      </c>
      <c r="EI53" s="246" t="n"/>
      <c r="EJ53" s="245">
        <f>$F$53*EJ52</f>
        <v/>
      </c>
      <c r="EK53" s="246" t="n"/>
      <c r="EL53" s="245">
        <f>$F$53*EL52</f>
        <v/>
      </c>
      <c r="EM53" s="246" t="n"/>
      <c r="EN53" s="245">
        <f>$F$53*EN52</f>
        <v/>
      </c>
      <c r="EO53" s="246" t="n"/>
      <c r="EP53" s="245">
        <f>$F$53*EP52</f>
        <v/>
      </c>
      <c r="EQ53" s="246" t="n"/>
      <c r="ER53" s="245">
        <f>$F$53*ER52</f>
        <v/>
      </c>
      <c r="ES53" s="246" t="n"/>
      <c r="ET53" s="245">
        <f>$F$53*ET52</f>
        <v/>
      </c>
      <c r="EU53" s="246" t="n"/>
      <c r="EV53" s="245">
        <f>$F$53*EV52</f>
        <v/>
      </c>
      <c r="EW53" s="246" t="n"/>
      <c r="EX53" s="275">
        <f>$F$53*EX52</f>
        <v/>
      </c>
      <c r="EY53" s="266" t="n"/>
      <c r="EZ53" s="245">
        <f>$F$53*EZ52</f>
        <v/>
      </c>
      <c r="FA53" s="246" t="n"/>
      <c r="FB53" s="245">
        <f>$F$53*FB52</f>
        <v/>
      </c>
      <c r="FC53" s="246" t="n"/>
      <c r="FD53" s="245">
        <f>$F$53*FD52</f>
        <v/>
      </c>
      <c r="FE53" s="246" t="n"/>
      <c r="FF53" s="245">
        <f>$F$53*FF52</f>
        <v/>
      </c>
      <c r="FG53" s="246" t="n"/>
      <c r="FH53" s="245">
        <f>$F$53*FH52</f>
        <v/>
      </c>
      <c r="FI53" s="246" t="n"/>
      <c r="FJ53" s="273">
        <f>$F$53*FJ52</f>
        <v/>
      </c>
      <c r="FK53" s="251" t="n"/>
      <c r="FL53" s="250">
        <f>$F$53*FL52</f>
        <v/>
      </c>
      <c r="FM53" s="251" t="n"/>
      <c r="FN53" s="245">
        <f>$F$53*FN52</f>
        <v/>
      </c>
      <c r="FO53" s="246" t="n"/>
      <c r="FP53" s="245">
        <f>$F$53*FP52</f>
        <v/>
      </c>
      <c r="FQ53" s="246" t="n"/>
      <c r="FR53" s="245">
        <f>$F$53*FR52</f>
        <v/>
      </c>
      <c r="FS53" s="246" t="n"/>
      <c r="FT53" s="245">
        <f>$F$53*FT52</f>
        <v/>
      </c>
      <c r="FU53" s="246" t="n"/>
      <c r="FV53" s="245">
        <f>$F$53*FV52</f>
        <v/>
      </c>
      <c r="FW53" s="246" t="n"/>
      <c r="FX53" s="254">
        <f>$F$53*FX52</f>
        <v/>
      </c>
      <c r="FY53" s="255" t="n"/>
      <c r="FZ53" s="254">
        <f>$F$53*FZ52</f>
        <v/>
      </c>
      <c r="GA53" s="255" t="n"/>
      <c r="GB53" s="254">
        <f>$F$53*GB52</f>
        <v/>
      </c>
      <c r="GC53" s="255" t="n"/>
      <c r="GD53" s="254">
        <f>$F$53*GD52</f>
        <v/>
      </c>
      <c r="GE53" s="255" t="n"/>
      <c r="GF53" s="245">
        <f>$F$53*GF52</f>
        <v/>
      </c>
      <c r="GG53" s="246" t="n"/>
      <c r="GH53" s="245">
        <f>$F$53*GH52</f>
        <v/>
      </c>
      <c r="GI53" s="246" t="n"/>
      <c r="GJ53" s="245">
        <f>$F$53*GJ52</f>
        <v/>
      </c>
      <c r="GK53" s="246" t="n"/>
      <c r="GL53" s="245">
        <f>$F$53*GL52</f>
        <v/>
      </c>
      <c r="GM53" s="246" t="n"/>
      <c r="GN53" s="262">
        <f>$F$53*GN52</f>
        <v/>
      </c>
      <c r="GO53" s="263" t="n"/>
      <c r="GP53" s="262">
        <f>$F$53*GP52</f>
        <v/>
      </c>
      <c r="GQ53" s="263" t="n"/>
      <c r="GR53" s="262">
        <f>$F$53*GR52</f>
        <v/>
      </c>
      <c r="GS53" s="263" t="n"/>
      <c r="GT53" s="262">
        <f>$F$53*GT52</f>
        <v/>
      </c>
      <c r="GU53" s="263" t="n"/>
      <c r="GV53" s="262">
        <f>$F$53*GV52</f>
        <v/>
      </c>
      <c r="GW53" s="263" t="n"/>
      <c r="GX53" s="262">
        <f>$F$53*GX52</f>
        <v/>
      </c>
      <c r="GY53" s="263" t="n"/>
      <c r="GZ53" s="262">
        <f>$F$53*GZ52</f>
        <v/>
      </c>
      <c r="HA53" s="263" t="n"/>
      <c r="HB53" s="262">
        <f>$F$53*HB52</f>
        <v/>
      </c>
      <c r="HC53" s="263" t="n"/>
      <c r="HD53" s="262">
        <f>$F$53*HD52</f>
        <v/>
      </c>
      <c r="HE53" s="263" t="n"/>
      <c r="HF53" s="262">
        <f>$F$53*HF52</f>
        <v/>
      </c>
      <c r="HG53" s="263" t="n"/>
      <c r="HH53" s="262">
        <f>$F$53*HH52</f>
        <v/>
      </c>
      <c r="HI53" s="263" t="n"/>
      <c r="HJ53" s="262">
        <f>$F$53*HJ52</f>
        <v/>
      </c>
      <c r="HK53" s="263" t="n"/>
      <c r="HL53" s="262">
        <f>$F$53*HL52</f>
        <v/>
      </c>
      <c r="HM53" s="263" t="n"/>
      <c r="HN53" s="262">
        <f>$F$53*HN52</f>
        <v/>
      </c>
      <c r="HO53" s="263" t="n"/>
      <c r="HP53" s="262">
        <f>$F$53*HP52</f>
        <v/>
      </c>
      <c r="HQ53" s="263" t="n"/>
      <c r="HR53" s="262">
        <f>$F$53*HR52</f>
        <v/>
      </c>
      <c r="HS53" s="263" t="n"/>
      <c r="HT53" s="262">
        <f>$F$53*HT52</f>
        <v/>
      </c>
      <c r="HU53" s="263" t="n"/>
      <c r="HV53" s="276">
        <f>$F$53*HV52</f>
        <v/>
      </c>
      <c r="HW53" s="277" t="n"/>
      <c r="HX53" s="314">
        <f>$F$53*HX52</f>
        <v/>
      </c>
      <c r="HY53" s="266" t="n"/>
      <c r="HZ53" s="314">
        <f>$F$53*HZ52</f>
        <v/>
      </c>
      <c r="IA53" s="266" t="n"/>
      <c r="IB53" s="262">
        <f>$F$53*IB52</f>
        <v/>
      </c>
      <c r="IC53" s="263" t="n"/>
      <c r="ID53" s="276">
        <f>$F$53*ID52</f>
        <v/>
      </c>
      <c r="IE53" s="277" t="n"/>
      <c r="IF53" s="245">
        <f>$F$53*IF52</f>
        <v/>
      </c>
      <c r="IG53" s="246" t="n"/>
      <c r="IH53" s="245">
        <f>$F$53*IH52</f>
        <v/>
      </c>
      <c r="II53" s="246" t="n"/>
      <c r="IJ53" s="245">
        <f>$F$53*IJ52</f>
        <v/>
      </c>
      <c r="IK53" s="246" t="n"/>
      <c r="IL53" s="245">
        <f>$F$53*IL52</f>
        <v/>
      </c>
      <c r="IM53" s="246" t="n"/>
      <c r="IN53" s="245">
        <f>$F$53*IN52</f>
        <v/>
      </c>
      <c r="IO53" s="246" t="n"/>
      <c r="IP53" s="245">
        <f>$F$53*IP52</f>
        <v/>
      </c>
      <c r="IQ53" s="246" t="n"/>
      <c r="IR53" s="245">
        <f>$F$53*IR52</f>
        <v/>
      </c>
      <c r="IS53" s="246" t="n"/>
      <c r="IT53" s="245">
        <f>$F$53*IT52</f>
        <v/>
      </c>
      <c r="IU53" s="246" t="n"/>
      <c r="IV53" s="245">
        <f>$F$53*IV52</f>
        <v/>
      </c>
      <c r="IW53" s="246" t="n"/>
      <c r="IX53" s="245">
        <f>$F$53*IX52</f>
        <v/>
      </c>
      <c r="IY53" s="246" t="n"/>
      <c r="IZ53" s="245">
        <f>$F$53*IZ52</f>
        <v/>
      </c>
      <c r="JA53" s="246" t="n"/>
      <c r="JB53" s="245">
        <f>$F$53*JB52</f>
        <v/>
      </c>
      <c r="JC53" s="246" t="n"/>
      <c r="JD53" s="245">
        <f>$F$53*JD52</f>
        <v/>
      </c>
      <c r="JE53" s="246" t="n"/>
      <c r="JF53" s="245">
        <f>$F$53*JF52</f>
        <v/>
      </c>
      <c r="JG53" s="246" t="n"/>
      <c r="JH53" s="245">
        <f>$F$53*JH52</f>
        <v/>
      </c>
      <c r="JI53" s="246" t="n"/>
      <c r="JJ53" s="262">
        <f>$F$53*JJ52</f>
        <v/>
      </c>
      <c r="JK53" s="263" t="n"/>
      <c r="JL53" s="245">
        <f>$F$53*JL52</f>
        <v/>
      </c>
      <c r="JM53" s="246" t="n"/>
      <c r="JN53" s="276">
        <f>$F$53*JN52</f>
        <v/>
      </c>
      <c r="JO53" s="277" t="n"/>
      <c r="JP53" s="282">
        <f>$F$53*JP52</f>
        <v/>
      </c>
      <c r="JQ53" s="277" t="n"/>
      <c r="JR53" s="282">
        <f>$F$53*JR52</f>
        <v/>
      </c>
      <c r="JS53" s="277" t="n"/>
      <c r="JT53" s="282">
        <f>$F$53*JT52</f>
        <v/>
      </c>
      <c r="JU53" s="277" t="n"/>
      <c r="JV53" s="282">
        <f>$F$53*JV52</f>
        <v/>
      </c>
      <c r="JW53" s="277" t="n"/>
      <c r="JX53" s="282">
        <f>$F$53*JX52</f>
        <v/>
      </c>
      <c r="JY53" s="277" t="n"/>
      <c r="JZ53" s="297">
        <f>JN53+JP53+JR53+JT53+JX53</f>
        <v/>
      </c>
      <c r="KA53" s="263" t="n"/>
      <c r="KB53" s="298">
        <f>SUM(H53:JY53)</f>
        <v/>
      </c>
      <c r="KC53" s="246" t="n"/>
      <c r="KD53" s="2" t="n"/>
      <c r="KE53" s="279" t="n"/>
      <c r="KF53" s="97">
        <f>J53+L53+N53+P53+R53+AB53+AD53+AF53+AH53+AJ53+AL53+AN53+AP53+AR53+AT53+AV53+AX53+AZ53+BB53+BD53+BF53+BH53+BJ53+BL53+BN53+BP53+BR53+BT53+BV53+BX53+BZ53+CB53+CD53+CF53+CH53+CJ53+CL53+CN53+CP53+CR53+CT53+CV53+CX53+CZ53+DB53+DD53+DF53+DH53+DJ53+DL53+DN53+DP53+DR53+DT53+DV53+DX53+DZ53+EB53+ED53+EF53+EH53+EJ53+EL53+EN53+EP53+ER53+ET53+EV53+EZ53+FB53+FD53+FF53+FH53+FJ53+FL53+FN53+FP53+FR53+FT53+FV53+FX53+FZ53+GB53+GD53+GF53+GH53+GJ53+GL53+IF53+IJ53+IL53+IN53+IP53+IR53+IT53+JB53+JD53+JL53</f>
        <v/>
      </c>
      <c r="KG53" s="279" t="n"/>
      <c r="KH53" s="279" t="n"/>
      <c r="KI53" s="279" t="n"/>
      <c r="KJ53" s="279" t="n"/>
      <c r="KK53" s="279" t="n"/>
      <c r="KL53" s="279" t="n"/>
      <c r="KM53" s="279" t="n"/>
      <c r="KN53" s="279" t="n"/>
    </row>
    <row r="54" ht="29.25" customHeight="1" thickBot="1">
      <c r="A54" s="111" t="n"/>
      <c r="B54" s="77" t="inlineStr">
        <is>
          <t>Фактическая ЗП</t>
        </is>
      </c>
      <c r="C54" s="78" t="n"/>
      <c r="D54" s="112" t="n"/>
      <c r="E54" s="113" t="n"/>
      <c r="F54" s="250">
        <f>KB54/E52</f>
        <v/>
      </c>
      <c r="G54" s="118" t="n"/>
      <c r="H54" s="332" t="n"/>
      <c r="I54" s="251" t="n"/>
      <c r="J54" s="293" t="n"/>
      <c r="K54" s="246" t="n"/>
      <c r="L54" s="293" t="n"/>
      <c r="M54" s="246" t="n"/>
      <c r="N54" s="294" t="n"/>
      <c r="O54" s="255" t="n"/>
      <c r="P54" s="293" t="n"/>
      <c r="Q54" s="246" t="n"/>
      <c r="R54" s="315" t="n"/>
      <c r="S54" s="246" t="n"/>
      <c r="T54" s="315" t="n"/>
      <c r="U54" s="246" t="n"/>
      <c r="V54" s="253" t="n"/>
      <c r="W54" s="246" t="n"/>
      <c r="X54" s="300" t="n"/>
      <c r="Y54" s="255" t="n"/>
      <c r="Z54" s="253" t="n"/>
      <c r="AA54" s="246" t="n"/>
      <c r="AB54" s="253" t="n"/>
      <c r="AC54" s="246" t="n"/>
      <c r="AD54" s="261" t="n"/>
      <c r="AE54" s="251" t="n"/>
      <c r="AF54" s="253" t="n"/>
      <c r="AG54" s="246" t="n"/>
      <c r="AH54" s="253" t="n"/>
      <c r="AI54" s="246" t="n"/>
      <c r="AJ54" s="253" t="n"/>
      <c r="AK54" s="246" t="n"/>
      <c r="AL54" s="253" t="n"/>
      <c r="AM54" s="246" t="n"/>
      <c r="AN54" s="261" t="n"/>
      <c r="AO54" s="251" t="n"/>
      <c r="AP54" s="261" t="n"/>
      <c r="AQ54" s="251" t="n"/>
      <c r="AR54" s="253" t="n"/>
      <c r="AS54" s="246" t="n"/>
      <c r="AT54" s="261" t="n"/>
      <c r="AU54" s="251" t="n"/>
      <c r="AV54" s="253" t="n"/>
      <c r="AW54" s="246" t="n"/>
      <c r="AX54" s="261" t="n"/>
      <c r="AY54" s="251" t="n"/>
      <c r="AZ54" s="253" t="n"/>
      <c r="BA54" s="246" t="n"/>
      <c r="BB54" s="261" t="n"/>
      <c r="BC54" s="251" t="n"/>
      <c r="BD54" s="253" t="n"/>
      <c r="BE54" s="246" t="n"/>
      <c r="BF54" s="261" t="n"/>
      <c r="BG54" s="251" t="n"/>
      <c r="BH54" s="261" t="n"/>
      <c r="BI54" s="251" t="n"/>
      <c r="BJ54" s="261" t="n"/>
      <c r="BK54" s="251" t="n"/>
      <c r="BL54" s="253" t="n"/>
      <c r="BM54" s="246" t="n"/>
      <c r="BN54" s="253" t="n"/>
      <c r="BO54" s="246" t="n"/>
      <c r="BP54" s="253" t="n"/>
      <c r="BQ54" s="246" t="n"/>
      <c r="BR54" s="253" t="n"/>
      <c r="BS54" s="246" t="n"/>
      <c r="BT54" s="253" t="n"/>
      <c r="BU54" s="246" t="n"/>
      <c r="BV54" s="253" t="n"/>
      <c r="BW54" s="246" t="n"/>
      <c r="BX54" s="253" t="n"/>
      <c r="BY54" s="246" t="n"/>
      <c r="BZ54" s="253" t="n"/>
      <c r="CA54" s="246" t="n"/>
      <c r="CB54" s="261" t="n"/>
      <c r="CC54" s="251" t="n"/>
      <c r="CD54" s="261" t="n"/>
      <c r="CE54" s="251" t="n"/>
      <c r="CF54" s="261" t="n"/>
      <c r="CG54" s="251" t="n"/>
      <c r="CH54" s="253" t="n"/>
      <c r="CI54" s="246" t="n"/>
      <c r="CJ54" s="253" t="n"/>
      <c r="CK54" s="246" t="n"/>
      <c r="CL54" s="253" t="n"/>
      <c r="CM54" s="246" t="n"/>
      <c r="CN54" s="253" t="n"/>
      <c r="CO54" s="246" t="n"/>
      <c r="CP54" s="300" t="n"/>
      <c r="CQ54" s="255" t="n"/>
      <c r="CR54" s="253" t="n"/>
      <c r="CS54" s="246" t="n"/>
      <c r="CT54" s="253" t="n"/>
      <c r="CU54" s="246" t="n"/>
      <c r="CV54" s="300" t="n"/>
      <c r="CW54" s="255" t="n"/>
      <c r="CX54" s="253" t="n"/>
      <c r="CY54" s="246" t="n"/>
      <c r="CZ54" s="261" t="n"/>
      <c r="DA54" s="251" t="n"/>
      <c r="DB54" s="261" t="n"/>
      <c r="DC54" s="251" t="n"/>
      <c r="DD54" s="253" t="n"/>
      <c r="DE54" s="246" t="n"/>
      <c r="DF54" s="261" t="n"/>
      <c r="DG54" s="251" t="n"/>
      <c r="DH54" s="253" t="n"/>
      <c r="DI54" s="246" t="n"/>
      <c r="DJ54" s="253" t="n"/>
      <c r="DK54" s="246" t="n"/>
      <c r="DL54" s="261" t="n"/>
      <c r="DM54" s="251" t="n"/>
      <c r="DN54" s="274" t="n"/>
      <c r="DO54" s="255" t="n"/>
      <c r="DP54" s="261" t="n"/>
      <c r="DQ54" s="251" t="n"/>
      <c r="DR54" s="253" t="n"/>
      <c r="DS54" s="246" t="n"/>
      <c r="DT54" s="261" t="n"/>
      <c r="DU54" s="251" t="n"/>
      <c r="DV54" s="253" t="n"/>
      <c r="DW54" s="246" t="n"/>
      <c r="DX54" s="274" t="n"/>
      <c r="DY54" s="255" t="n"/>
      <c r="DZ54" s="253" t="n"/>
      <c r="EA54" s="246" t="n"/>
      <c r="EB54" s="253" t="n"/>
      <c r="EC54" s="246" t="n"/>
      <c r="ED54" s="253" t="n"/>
      <c r="EE54" s="246" t="n"/>
      <c r="EF54" s="315" t="n"/>
      <c r="EG54" s="246" t="n"/>
      <c r="EH54" s="253" t="n"/>
      <c r="EI54" s="246" t="n"/>
      <c r="EJ54" s="253" t="n"/>
      <c r="EK54" s="246" t="n"/>
      <c r="EL54" s="253" t="n"/>
      <c r="EM54" s="246" t="n"/>
      <c r="EN54" s="253" t="n"/>
      <c r="EO54" s="246" t="n"/>
      <c r="EP54" s="253" t="n"/>
      <c r="EQ54" s="246" t="n"/>
      <c r="ER54" s="253" t="n"/>
      <c r="ES54" s="246" t="n"/>
      <c r="ET54" s="253" t="n"/>
      <c r="EU54" s="246" t="n"/>
      <c r="EV54" s="253" t="n"/>
      <c r="EW54" s="246" t="n"/>
      <c r="EX54" s="300" t="n"/>
      <c r="EY54" s="255" t="n"/>
      <c r="EZ54" s="253" t="n"/>
      <c r="FA54" s="246" t="n"/>
      <c r="FB54" s="253" t="n"/>
      <c r="FC54" s="246" t="n"/>
      <c r="FD54" s="253" t="n"/>
      <c r="FE54" s="246" t="n"/>
      <c r="FF54" s="253" t="n"/>
      <c r="FG54" s="246" t="n"/>
      <c r="FH54" s="253" t="n"/>
      <c r="FI54" s="246" t="n"/>
      <c r="FJ54" s="289" t="n"/>
      <c r="FK54" s="251" t="n"/>
      <c r="FL54" s="320" t="n"/>
      <c r="FM54" s="263" t="n"/>
      <c r="FN54" s="296" t="n"/>
      <c r="FO54" s="263" t="n"/>
      <c r="FP54" s="253" t="n"/>
      <c r="FQ54" s="246" t="n"/>
      <c r="FR54" s="253" t="n"/>
      <c r="FS54" s="246" t="n"/>
      <c r="FT54" s="253" t="n"/>
      <c r="FU54" s="246" t="n"/>
      <c r="FV54" s="253" t="n"/>
      <c r="FW54" s="246" t="n"/>
      <c r="FX54" s="274" t="n"/>
      <c r="FY54" s="255" t="n"/>
      <c r="FZ54" s="274" t="n"/>
      <c r="GA54" s="255" t="n"/>
      <c r="GB54" s="274" t="n"/>
      <c r="GC54" s="255" t="n"/>
      <c r="GD54" s="274" t="n"/>
      <c r="GE54" s="255" t="n"/>
      <c r="GF54" s="253" t="n"/>
      <c r="GG54" s="246" t="n"/>
      <c r="GH54" s="253" t="n"/>
      <c r="GI54" s="246" t="n"/>
      <c r="GJ54" s="253" t="n"/>
      <c r="GK54" s="246" t="n"/>
      <c r="GL54" s="253" t="n"/>
      <c r="GM54" s="246" t="n"/>
      <c r="GN54" s="253" t="n"/>
      <c r="GO54" s="246" t="n"/>
      <c r="GP54" s="253" t="n"/>
      <c r="GQ54" s="246" t="n"/>
      <c r="GR54" s="253" t="n"/>
      <c r="GS54" s="246" t="n"/>
      <c r="GT54" s="253" t="n"/>
      <c r="GU54" s="246" t="n"/>
      <c r="GV54" s="253" t="n"/>
      <c r="GW54" s="246" t="n"/>
      <c r="GX54" s="253" t="n"/>
      <c r="GY54" s="246" t="n"/>
      <c r="GZ54" s="253" t="n"/>
      <c r="HA54" s="246" t="n"/>
      <c r="HB54" s="253" t="n"/>
      <c r="HC54" s="246" t="n"/>
      <c r="HD54" s="253" t="n"/>
      <c r="HE54" s="246" t="n"/>
      <c r="HF54" s="253" t="n"/>
      <c r="HG54" s="246" t="n"/>
      <c r="HH54" s="253" t="n"/>
      <c r="HI54" s="246" t="n"/>
      <c r="HJ54" s="253" t="n"/>
      <c r="HK54" s="246" t="n"/>
      <c r="HL54" s="253" t="n"/>
      <c r="HM54" s="246" t="n"/>
      <c r="HN54" s="253" t="n"/>
      <c r="HO54" s="246" t="n"/>
      <c r="HP54" s="253" t="n"/>
      <c r="HQ54" s="246" t="n"/>
      <c r="HR54" s="253" t="n"/>
      <c r="HS54" s="246" t="n"/>
      <c r="HT54" s="253" t="n"/>
      <c r="HU54" s="246" t="n"/>
      <c r="HV54" s="289" t="n"/>
      <c r="HW54" s="251" t="n"/>
      <c r="HX54" s="274" t="n"/>
      <c r="HY54" s="255" t="n"/>
      <c r="HZ54" s="253" t="n"/>
      <c r="IA54" s="246" t="n"/>
      <c r="IB54" s="253" t="n"/>
      <c r="IC54" s="246" t="n"/>
      <c r="ID54" s="289" t="n"/>
      <c r="IE54" s="251" t="n"/>
      <c r="IF54" s="253" t="n"/>
      <c r="IG54" s="246" t="n"/>
      <c r="IH54" s="253" t="n"/>
      <c r="II54" s="246" t="n"/>
      <c r="IJ54" s="253" t="n"/>
      <c r="IK54" s="246" t="n"/>
      <c r="IL54" s="253" t="n"/>
      <c r="IM54" s="246" t="n"/>
      <c r="IN54" s="253" t="n"/>
      <c r="IO54" s="246" t="n"/>
      <c r="IP54" s="253" t="n"/>
      <c r="IQ54" s="246" t="n"/>
      <c r="IR54" s="253" t="n"/>
      <c r="IS54" s="246" t="n"/>
      <c r="IT54" s="253" t="n"/>
      <c r="IU54" s="246" t="n"/>
      <c r="IV54" s="253" t="n"/>
      <c r="IW54" s="246" t="n"/>
      <c r="IX54" s="253" t="n"/>
      <c r="IY54" s="246" t="n"/>
      <c r="IZ54" s="253" t="n"/>
      <c r="JA54" s="246" t="n"/>
      <c r="JB54" s="253" t="n"/>
      <c r="JC54" s="246" t="n"/>
      <c r="JD54" s="253" t="n"/>
      <c r="JE54" s="246" t="n"/>
      <c r="JF54" s="253" t="n"/>
      <c r="JG54" s="246" t="n"/>
      <c r="JH54" s="253" t="n"/>
      <c r="JI54" s="246" t="n"/>
      <c r="JJ54" s="253" t="n"/>
      <c r="JK54" s="246" t="n"/>
      <c r="JL54" s="253" t="n"/>
      <c r="JM54" s="246" t="n"/>
      <c r="JN54" s="289" t="n"/>
      <c r="JO54" s="251" t="n"/>
      <c r="JP54" s="264" t="n"/>
      <c r="JQ54" s="251" t="n"/>
      <c r="JR54" s="264" t="n"/>
      <c r="JS54" s="251" t="n"/>
      <c r="JT54" s="264" t="n"/>
      <c r="JU54" s="251" t="n"/>
      <c r="JV54" s="264" t="n"/>
      <c r="JW54" s="251" t="n"/>
      <c r="JX54" s="264" t="n"/>
      <c r="JY54" s="251" t="n"/>
      <c r="JZ54" s="302">
        <f>JN54+JP54+JR54+JT54+JV54+JX54</f>
        <v/>
      </c>
      <c r="KA54" s="246" t="n"/>
      <c r="KB54" s="303">
        <f>SUM(H54:JY54)</f>
        <v/>
      </c>
      <c r="KC54" s="246" t="n"/>
      <c r="KD54" s="2">
        <f>KB53-KB55</f>
        <v/>
      </c>
      <c r="KF54" s="97" t="n"/>
    </row>
    <row r="55" ht="29.25" customHeight="1" thickBot="1">
      <c r="A55" s="115" t="n"/>
      <c r="B55" s="76" t="inlineStr">
        <is>
          <t xml:space="preserve">Отклонение (+/-) к плану </t>
        </is>
      </c>
      <c r="C55" s="78" t="n"/>
      <c r="D55" s="112" t="n"/>
      <c r="E55" s="113" t="n"/>
      <c r="F55" s="250" t="n"/>
      <c r="G55" s="118" t="n"/>
      <c r="H55" s="273">
        <f>H53-H54</f>
        <v/>
      </c>
      <c r="I55" s="251" t="n"/>
      <c r="J55" s="245">
        <f>J53-J54</f>
        <v/>
      </c>
      <c r="K55" s="246" t="n"/>
      <c r="L55" s="245">
        <f>L53-L54</f>
        <v/>
      </c>
      <c r="M55" s="246" t="n"/>
      <c r="N55" s="254">
        <f>N53-N54</f>
        <v/>
      </c>
      <c r="O55" s="255" t="n"/>
      <c r="P55" s="245">
        <f>P53-P54</f>
        <v/>
      </c>
      <c r="Q55" s="246" t="n"/>
      <c r="R55" s="295">
        <f>R53-R54</f>
        <v/>
      </c>
      <c r="S55" s="263" t="n"/>
      <c r="T55" s="275">
        <f>T53-T54</f>
        <v/>
      </c>
      <c r="U55" s="266" t="n"/>
      <c r="V55" s="314">
        <f>V53-V54</f>
        <v/>
      </c>
      <c r="W55" s="266" t="n"/>
      <c r="X55" s="314">
        <f>X53-X54</f>
        <v/>
      </c>
      <c r="Y55" s="266" t="n"/>
      <c r="Z55" s="262">
        <f>Z53-Z54</f>
        <v/>
      </c>
      <c r="AA55" s="263" t="n"/>
      <c r="AB55" s="262">
        <f>AB53-AB54</f>
        <v/>
      </c>
      <c r="AC55" s="263" t="n"/>
      <c r="AD55" s="330">
        <f>AD53-AD54</f>
        <v/>
      </c>
      <c r="AE55" s="277" t="n"/>
      <c r="AF55" s="262">
        <f>AF53-AF54</f>
        <v/>
      </c>
      <c r="AG55" s="263" t="n"/>
      <c r="AH55" s="262">
        <f>AH53-AH54</f>
        <v/>
      </c>
      <c r="AI55" s="263" t="n"/>
      <c r="AJ55" s="262">
        <f>AJ53-AJ54</f>
        <v/>
      </c>
      <c r="AK55" s="263" t="n"/>
      <c r="AL55" s="245">
        <f>AL53-AL54</f>
        <v/>
      </c>
      <c r="AM55" s="246" t="n"/>
      <c r="AN55" s="250">
        <f>AN53-AN54</f>
        <v/>
      </c>
      <c r="AO55" s="251" t="n"/>
      <c r="AP55" s="250">
        <f>AP53-AP54</f>
        <v/>
      </c>
      <c r="AQ55" s="251" t="n"/>
      <c r="AR55" s="245">
        <f>AR53-AR54</f>
        <v/>
      </c>
      <c r="AS55" s="246" t="n"/>
      <c r="AT55" s="250">
        <f>AT53-AT54</f>
        <v/>
      </c>
      <c r="AU55" s="251" t="n"/>
      <c r="AV55" s="245">
        <f>AV53-AV54</f>
        <v/>
      </c>
      <c r="AW55" s="246" t="n"/>
      <c r="AX55" s="250">
        <f>AX53-AX54</f>
        <v/>
      </c>
      <c r="AY55" s="251" t="n"/>
      <c r="AZ55" s="245">
        <f>AZ53-AZ54</f>
        <v/>
      </c>
      <c r="BA55" s="246" t="n"/>
      <c r="BB55" s="250">
        <f>BB53-BB54</f>
        <v/>
      </c>
      <c r="BC55" s="251" t="n"/>
      <c r="BD55" s="245">
        <f>BD53-BD54</f>
        <v/>
      </c>
      <c r="BE55" s="246" t="n"/>
      <c r="BF55" s="250">
        <f>BF53-BF54</f>
        <v/>
      </c>
      <c r="BG55" s="251" t="n"/>
      <c r="BH55" s="250">
        <f>BH53-BH54</f>
        <v/>
      </c>
      <c r="BI55" s="251" t="n"/>
      <c r="BJ55" s="250">
        <f>BJ53-BJ54</f>
        <v/>
      </c>
      <c r="BK55" s="251" t="n"/>
      <c r="BL55" s="245">
        <f>BL53-BL54</f>
        <v/>
      </c>
      <c r="BM55" s="246" t="n"/>
      <c r="BN55" s="245">
        <f>BN53-BN54</f>
        <v/>
      </c>
      <c r="BO55" s="246" t="n"/>
      <c r="BP55" s="245">
        <f>BP53-BP54</f>
        <v/>
      </c>
      <c r="BQ55" s="246" t="n"/>
      <c r="BR55" s="245">
        <f>BR53-BR54</f>
        <v/>
      </c>
      <c r="BS55" s="246" t="n"/>
      <c r="BT55" s="245">
        <f>BT53-BT54</f>
        <v/>
      </c>
      <c r="BU55" s="246" t="n"/>
      <c r="BV55" s="245">
        <f>BV53-BV54</f>
        <v/>
      </c>
      <c r="BW55" s="246" t="n"/>
      <c r="BX55" s="245">
        <f>BX53-BX54</f>
        <v/>
      </c>
      <c r="BY55" s="246" t="n"/>
      <c r="BZ55" s="245">
        <f>BZ53-BZ54</f>
        <v/>
      </c>
      <c r="CA55" s="246" t="n"/>
      <c r="CB55" s="250">
        <f>CB53-CB54</f>
        <v/>
      </c>
      <c r="CC55" s="251" t="n"/>
      <c r="CD55" s="250">
        <f>CD53-CD54</f>
        <v/>
      </c>
      <c r="CE55" s="251" t="n"/>
      <c r="CF55" s="250">
        <f>CF53-CF54</f>
        <v/>
      </c>
      <c r="CG55" s="251" t="n"/>
      <c r="CH55" s="245">
        <f>CH53-CH54</f>
        <v/>
      </c>
      <c r="CI55" s="246" t="n"/>
      <c r="CJ55" s="245">
        <f>CJ53-CJ54</f>
        <v/>
      </c>
      <c r="CK55" s="246" t="n"/>
      <c r="CL55" s="245">
        <f>CL53-CL54</f>
        <v/>
      </c>
      <c r="CM55" s="246" t="n"/>
      <c r="CN55" s="245">
        <f>CN53-CN54</f>
        <v/>
      </c>
      <c r="CO55" s="246" t="n"/>
      <c r="CP55" s="290">
        <f>CP53-CP54</f>
        <v/>
      </c>
      <c r="CQ55" s="255" t="n"/>
      <c r="CR55" s="245">
        <f>CR53-CR54</f>
        <v/>
      </c>
      <c r="CS55" s="246" t="n"/>
      <c r="CT55" s="245">
        <f>CT53-CT54</f>
        <v/>
      </c>
      <c r="CU55" s="246" t="n"/>
      <c r="CV55" s="276">
        <f>CV53-CV54</f>
        <v/>
      </c>
      <c r="CW55" s="277" t="n"/>
      <c r="CX55" s="245">
        <f>CX53-CX54</f>
        <v/>
      </c>
      <c r="CY55" s="246" t="n"/>
      <c r="CZ55" s="250">
        <f>CZ53-CZ54</f>
        <v/>
      </c>
      <c r="DA55" s="251" t="n"/>
      <c r="DB55" s="250">
        <f>DB53-DB54</f>
        <v/>
      </c>
      <c r="DC55" s="251" t="n"/>
      <c r="DD55" s="245">
        <f>DD53-DD54</f>
        <v/>
      </c>
      <c r="DE55" s="246" t="n"/>
      <c r="DF55" s="250">
        <f>DF53-DF54</f>
        <v/>
      </c>
      <c r="DG55" s="251" t="n"/>
      <c r="DH55" s="245">
        <f>DH53-DH54</f>
        <v/>
      </c>
      <c r="DI55" s="246" t="n"/>
      <c r="DJ55" s="245">
        <f>DJ53-DJ54</f>
        <v/>
      </c>
      <c r="DK55" s="246" t="n"/>
      <c r="DL55" s="250">
        <f>DL53-DL54</f>
        <v/>
      </c>
      <c r="DM55" s="251" t="n"/>
      <c r="DN55" s="254">
        <f>DN53-DN54</f>
        <v/>
      </c>
      <c r="DO55" s="255" t="n"/>
      <c r="DP55" s="245">
        <f>DP53-DP54</f>
        <v/>
      </c>
      <c r="DQ55" s="246" t="n"/>
      <c r="DR55" s="245">
        <f>DR53-DR54</f>
        <v/>
      </c>
      <c r="DS55" s="246" t="n"/>
      <c r="DT55" s="250">
        <f>DT53-DT54</f>
        <v/>
      </c>
      <c r="DU55" s="251" t="n"/>
      <c r="DV55" s="245">
        <f>DV53-DV54</f>
        <v/>
      </c>
      <c r="DW55" s="246" t="n"/>
      <c r="DX55" s="254">
        <f>DX53-DX54</f>
        <v/>
      </c>
      <c r="DY55" s="255" t="n"/>
      <c r="DZ55" s="245">
        <f>DZ53-DZ54</f>
        <v/>
      </c>
      <c r="EA55" s="246" t="n"/>
      <c r="EB55" s="245">
        <f>EB53-EB54</f>
        <v/>
      </c>
      <c r="EC55" s="246" t="n"/>
      <c r="ED55" s="245">
        <f>ED53-ED54</f>
        <v/>
      </c>
      <c r="EE55" s="246" t="n"/>
      <c r="EF55" s="290">
        <f>EF53-EF54</f>
        <v/>
      </c>
      <c r="EG55" s="255" t="n"/>
      <c r="EH55" s="245">
        <f>EH53-EH54</f>
        <v/>
      </c>
      <c r="EI55" s="246" t="n"/>
      <c r="EJ55" s="245">
        <f>EJ53-EJ54</f>
        <v/>
      </c>
      <c r="EK55" s="246" t="n"/>
      <c r="EL55" s="245">
        <f>EL53-EL54</f>
        <v/>
      </c>
      <c r="EM55" s="246" t="n"/>
      <c r="EN55" s="245">
        <f>EN53-EN54</f>
        <v/>
      </c>
      <c r="EO55" s="246" t="n"/>
      <c r="EP55" s="245">
        <f>EP53-EP54</f>
        <v/>
      </c>
      <c r="EQ55" s="246" t="n"/>
      <c r="ER55" s="245">
        <f>ER53-ER54</f>
        <v/>
      </c>
      <c r="ES55" s="246" t="n"/>
      <c r="ET55" s="245">
        <f>ET53-ET54</f>
        <v/>
      </c>
      <c r="EU55" s="246" t="n"/>
      <c r="EV55" s="245">
        <f>EV53-EV54</f>
        <v/>
      </c>
      <c r="EW55" s="246" t="n"/>
      <c r="EX55" s="290">
        <f>EX53-EX54</f>
        <v/>
      </c>
      <c r="EY55" s="255" t="n"/>
      <c r="EZ55" s="245">
        <f>EZ53-EZ54</f>
        <v/>
      </c>
      <c r="FA55" s="246" t="n"/>
      <c r="FB55" s="245">
        <f>FB53-FB54</f>
        <v/>
      </c>
      <c r="FC55" s="246" t="n"/>
      <c r="FD55" s="245">
        <f>FD53-FD54</f>
        <v/>
      </c>
      <c r="FE55" s="246" t="n"/>
      <c r="FF55" s="245">
        <f>FF53-FF54</f>
        <v/>
      </c>
      <c r="FG55" s="246" t="n"/>
      <c r="FH55" s="245">
        <f>FH53-FH54</f>
        <v/>
      </c>
      <c r="FI55" s="246" t="n"/>
      <c r="FJ55" s="269">
        <f>FJ53-FJ54</f>
        <v/>
      </c>
      <c r="FK55" s="246" t="n"/>
      <c r="FL55" s="245">
        <f>FL53-FL54</f>
        <v/>
      </c>
      <c r="FM55" s="246" t="n"/>
      <c r="FN55" s="245">
        <f>FN53-FN54</f>
        <v/>
      </c>
      <c r="FO55" s="246" t="n"/>
      <c r="FP55" s="245">
        <f>FP53-FP54</f>
        <v/>
      </c>
      <c r="FQ55" s="246" t="n"/>
      <c r="FR55" s="245">
        <f>FR53-FR54</f>
        <v/>
      </c>
      <c r="FS55" s="246" t="n"/>
      <c r="FT55" s="245">
        <f>FT53-FT54</f>
        <v/>
      </c>
      <c r="FU55" s="246" t="n"/>
      <c r="FV55" s="245">
        <f>FV53-FV54</f>
        <v/>
      </c>
      <c r="FW55" s="246" t="n"/>
      <c r="FX55" s="254">
        <f>FX53-FX54</f>
        <v/>
      </c>
      <c r="FY55" s="255" t="n"/>
      <c r="FZ55" s="254">
        <f>FZ53-FZ54</f>
        <v/>
      </c>
      <c r="GA55" s="255" t="n"/>
      <c r="GB55" s="254">
        <f>GB53-GB54</f>
        <v/>
      </c>
      <c r="GC55" s="255" t="n"/>
      <c r="GD55" s="254">
        <f>GD53-GD54</f>
        <v/>
      </c>
      <c r="GE55" s="255" t="n"/>
      <c r="GF55" s="245">
        <f>GF53-GF54</f>
        <v/>
      </c>
      <c r="GG55" s="246" t="n"/>
      <c r="GH55" s="245">
        <f>GH53-GH54</f>
        <v/>
      </c>
      <c r="GI55" s="246" t="n"/>
      <c r="GJ55" s="245">
        <f>GJ53-GJ54</f>
        <v/>
      </c>
      <c r="GK55" s="246" t="n"/>
      <c r="GL55" s="245">
        <f>GL53-GL54</f>
        <v/>
      </c>
      <c r="GM55" s="246" t="n"/>
      <c r="GN55" s="245">
        <f>GN53-GN54</f>
        <v/>
      </c>
      <c r="GO55" s="246" t="n"/>
      <c r="GP55" s="245">
        <f>GP53-GP54</f>
        <v/>
      </c>
      <c r="GQ55" s="246" t="n"/>
      <c r="GR55" s="245">
        <f>GR53-GR54</f>
        <v/>
      </c>
      <c r="GS55" s="246" t="n"/>
      <c r="GT55" s="245">
        <f>GT53-GT54</f>
        <v/>
      </c>
      <c r="GU55" s="246" t="n"/>
      <c r="GV55" s="245">
        <f>GV53-GV54</f>
        <v/>
      </c>
      <c r="GW55" s="246" t="n"/>
      <c r="GX55" s="245">
        <f>GX53-GX54</f>
        <v/>
      </c>
      <c r="GY55" s="246" t="n"/>
      <c r="GZ55" s="245">
        <f>GZ53-GZ54</f>
        <v/>
      </c>
      <c r="HA55" s="246" t="n"/>
      <c r="HB55" s="245">
        <f>HB53-HB54</f>
        <v/>
      </c>
      <c r="HC55" s="246" t="n"/>
      <c r="HD55" s="245">
        <f>HD53-HD54</f>
        <v/>
      </c>
      <c r="HE55" s="246" t="n"/>
      <c r="HF55" s="245">
        <f>HF53-HF54</f>
        <v/>
      </c>
      <c r="HG55" s="246" t="n"/>
      <c r="HH55" s="245">
        <f>HH53-HH54</f>
        <v/>
      </c>
      <c r="HI55" s="246" t="n"/>
      <c r="HJ55" s="245">
        <f>HJ53-HJ54</f>
        <v/>
      </c>
      <c r="HK55" s="246" t="n"/>
      <c r="HL55" s="245">
        <f>HL53-HL54</f>
        <v/>
      </c>
      <c r="HM55" s="246" t="n"/>
      <c r="HN55" s="245">
        <f>HN53-HN54</f>
        <v/>
      </c>
      <c r="HO55" s="246" t="n"/>
      <c r="HP55" s="245">
        <f>HP53-HP54</f>
        <v/>
      </c>
      <c r="HQ55" s="246" t="n"/>
      <c r="HR55" s="245">
        <f>HR53-HR54</f>
        <v/>
      </c>
      <c r="HS55" s="246" t="n"/>
      <c r="HT55" s="245">
        <f>HT53-HT54</f>
        <v/>
      </c>
      <c r="HU55" s="246" t="n"/>
      <c r="HV55" s="273">
        <f>HV53-HV54</f>
        <v/>
      </c>
      <c r="HW55" s="251" t="n"/>
      <c r="HX55" s="254">
        <f>HX53-HX54</f>
        <v/>
      </c>
      <c r="HY55" s="255" t="n"/>
      <c r="HZ55" s="254">
        <f>HZ53-HZ54</f>
        <v/>
      </c>
      <c r="IA55" s="255" t="n"/>
      <c r="IB55" s="245">
        <f>IB53-IB54</f>
        <v/>
      </c>
      <c r="IC55" s="246" t="n"/>
      <c r="ID55" s="273">
        <f>ID53-ID54</f>
        <v/>
      </c>
      <c r="IE55" s="251" t="n"/>
      <c r="IF55" s="245">
        <f>IF53-IF54</f>
        <v/>
      </c>
      <c r="IG55" s="246" t="n"/>
      <c r="IH55" s="245">
        <f>IH53-IH54</f>
        <v/>
      </c>
      <c r="II55" s="246" t="n"/>
      <c r="IJ55" s="245">
        <f>IJ53-IJ54</f>
        <v/>
      </c>
      <c r="IK55" s="246" t="n"/>
      <c r="IL55" s="245">
        <f>IL53-IL54</f>
        <v/>
      </c>
      <c r="IM55" s="246" t="n"/>
      <c r="IN55" s="245">
        <f>IN53-IN54</f>
        <v/>
      </c>
      <c r="IO55" s="246" t="n"/>
      <c r="IP55" s="245">
        <f>IP53-IP54</f>
        <v/>
      </c>
      <c r="IQ55" s="246" t="n"/>
      <c r="IR55" s="245">
        <f>IR53-IR54</f>
        <v/>
      </c>
      <c r="IS55" s="246" t="n"/>
      <c r="IT55" s="245">
        <f>IT53-IT54</f>
        <v/>
      </c>
      <c r="IU55" s="246" t="n"/>
      <c r="IV55" s="245">
        <f>IV53-IV54</f>
        <v/>
      </c>
      <c r="IW55" s="246" t="n"/>
      <c r="IX55" s="245">
        <f>IX53-IX54</f>
        <v/>
      </c>
      <c r="IY55" s="246" t="n"/>
      <c r="IZ55" s="245">
        <f>IZ53-IZ54</f>
        <v/>
      </c>
      <c r="JA55" s="246" t="n"/>
      <c r="JB55" s="245">
        <f>JB53-JB54</f>
        <v/>
      </c>
      <c r="JC55" s="246" t="n"/>
      <c r="JD55" s="245">
        <f>JD53-JD54</f>
        <v/>
      </c>
      <c r="JE55" s="246" t="n"/>
      <c r="JF55" s="245">
        <f>JF53-JF54</f>
        <v/>
      </c>
      <c r="JG55" s="246" t="n"/>
      <c r="JH55" s="245">
        <f>JH53-JH54</f>
        <v/>
      </c>
      <c r="JI55" s="246" t="n"/>
      <c r="JJ55" s="245">
        <f>JJ53-JJ54</f>
        <v/>
      </c>
      <c r="JK55" s="246" t="n"/>
      <c r="JL55" s="245">
        <f>JL53-JL54</f>
        <v/>
      </c>
      <c r="JM55" s="246" t="n"/>
      <c r="JN55" s="273">
        <f>JN53-JN54</f>
        <v/>
      </c>
      <c r="JO55" s="251" t="n"/>
      <c r="JP55" s="250">
        <f>JP53-JP54</f>
        <v/>
      </c>
      <c r="JQ55" s="251" t="n"/>
      <c r="JR55" s="245">
        <f>JR53-JR54</f>
        <v/>
      </c>
      <c r="JS55" s="246" t="n"/>
      <c r="JT55" s="245">
        <f>JT53-JT54</f>
        <v/>
      </c>
      <c r="JU55" s="246" t="n"/>
      <c r="JV55" s="245">
        <f>JV53-JV54</f>
        <v/>
      </c>
      <c r="JW55" s="246" t="n"/>
      <c r="JX55" s="250">
        <f>JX53-JX54</f>
        <v/>
      </c>
      <c r="JY55" s="251" t="n"/>
      <c r="JZ55" s="245">
        <f>JZ53-JZ54</f>
        <v/>
      </c>
      <c r="KA55" s="246" t="n"/>
      <c r="KB55" s="298">
        <f>SUM(H55:JY55)</f>
        <v/>
      </c>
      <c r="KC55" s="246" t="n"/>
      <c r="KD55" s="2" t="n"/>
      <c r="KF55" s="97" t="n"/>
    </row>
    <row r="56" ht="11.25" customHeight="1">
      <c r="B56" s="32" t="n"/>
      <c r="D56" s="279" t="inlineStr">
        <is>
          <t>частично актован</t>
        </is>
      </c>
      <c r="M56" s="279" t="n"/>
      <c r="CT56" s="279" t="n"/>
      <c r="CU56" s="279" t="n"/>
      <c r="KB56" s="307" t="n"/>
      <c r="KC56" s="308" t="n"/>
    </row>
    <row r="57" ht="11.25" customHeight="1">
      <c r="B57" s="33" t="n"/>
      <c r="D57" s="279" t="inlineStr">
        <is>
          <t>НЗП</t>
        </is>
      </c>
      <c r="M57" s="279" t="n"/>
      <c r="CT57" s="279" t="n"/>
      <c r="CU57" s="279" t="n"/>
    </row>
    <row r="58" ht="11.25" customHeight="1">
      <c r="B58" s="34" t="n"/>
      <c r="D58" s="279" t="inlineStr">
        <is>
          <t>актовка</t>
        </is>
      </c>
      <c r="M58" s="279" t="n"/>
      <c r="CT58" s="279" t="n"/>
      <c r="CU58" s="279" t="n"/>
    </row>
    <row r="59" ht="11.25" customHeight="1">
      <c r="B59" s="35" t="n"/>
      <c r="D59" s="279" t="inlineStr">
        <is>
          <t>для заполнения данными бухгалтерии</t>
        </is>
      </c>
      <c r="M59" s="279" t="n"/>
      <c r="CT59" s="279" t="n"/>
      <c r="CU59" s="279" t="n"/>
    </row>
    <row r="60" ht="29.25" customHeight="1">
      <c r="CT60" s="279" t="n"/>
      <c r="CU60" s="279" t="n"/>
    </row>
    <row r="61" ht="14.25" customHeight="1">
      <c r="CT61" s="279" t="n"/>
      <c r="CU61" s="279" t="n"/>
    </row>
    <row r="62" ht="13.2" customHeight="1">
      <c r="BF62" s="88" t="n"/>
      <c r="CD62" s="88" t="n"/>
      <c r="CR62" s="88" t="n"/>
      <c r="CT62" s="88" t="n"/>
      <c r="CU62" s="279" t="n"/>
      <c r="DL62" s="88" t="n"/>
      <c r="DX62" s="88" t="n"/>
      <c r="EJ62" s="88" t="n"/>
      <c r="EP62" s="88" t="n"/>
      <c r="EX62" s="88" t="n"/>
      <c r="GX62" s="88" t="n"/>
      <c r="GZ62" s="88" t="n"/>
      <c r="HB62" s="88" t="n"/>
      <c r="HD62" s="88" t="n"/>
      <c r="HF62" s="88" t="n"/>
      <c r="HH62" s="88" t="n"/>
      <c r="HJ62" s="88" t="n"/>
      <c r="HL62" s="88" t="n"/>
      <c r="KF62" s="88" t="n"/>
    </row>
    <row r="63" ht="13.2" customHeight="1">
      <c r="CT63" s="279" t="n"/>
      <c r="CU63" s="279" t="n"/>
    </row>
    <row r="64" ht="13.2" customHeight="1">
      <c r="CT64" s="279" t="n"/>
      <c r="CU64" s="279" t="n"/>
    </row>
    <row r="65" ht="13.2" customHeight="1">
      <c r="CT65" s="279" t="n"/>
      <c r="CU65" s="279" t="n"/>
    </row>
    <row r="66" ht="13.2" customHeight="1">
      <c r="CT66" s="279" t="n"/>
      <c r="CU66" s="279" t="n"/>
    </row>
    <row r="67" ht="13.2" customHeight="1">
      <c r="CT67" s="279" t="n"/>
      <c r="CU67" s="279" t="n"/>
    </row>
    <row r="68" ht="13.2" customHeight="1">
      <c r="CT68" s="279" t="n"/>
      <c r="CU68" s="279" t="n"/>
    </row>
    <row r="69" ht="13.2" customHeight="1">
      <c r="CT69" s="279" t="n"/>
      <c r="CU69" s="279" t="n"/>
    </row>
    <row r="70" ht="13.2" customHeight="1">
      <c r="CT70" s="279" t="n"/>
      <c r="CU70" s="279" t="n"/>
      <c r="JE70" s="301" t="n"/>
    </row>
    <row r="71" ht="13.2" customHeight="1">
      <c r="CT71" s="279" t="n"/>
      <c r="CU71" s="279" t="n"/>
      <c r="JE71" s="278" t="n"/>
    </row>
    <row r="72" ht="13.2" customHeight="1">
      <c r="CT72" s="279" t="n"/>
      <c r="CU72" s="279" t="n"/>
    </row>
    <row r="73" ht="13.2" customHeight="1">
      <c r="CT73" s="279" t="n"/>
      <c r="CU73" s="279" t="n"/>
    </row>
    <row r="74" ht="13.2" customHeight="1">
      <c r="CT74" s="279" t="n"/>
      <c r="CU74" s="279" t="n"/>
    </row>
    <row r="75" ht="13.2" customHeight="1">
      <c r="CT75" s="279" t="n"/>
      <c r="CU75" s="279" t="n"/>
    </row>
    <row r="76" ht="13.2" customHeight="1">
      <c r="CT76" s="279" t="n"/>
      <c r="CU76" s="279" t="n"/>
    </row>
    <row r="77" ht="13.2" customHeight="1">
      <c r="CT77" s="279" t="n"/>
      <c r="CU77" s="279" t="n"/>
    </row>
    <row r="78" ht="13.2" customHeight="1">
      <c r="CT78" s="279" t="n"/>
      <c r="CU78" s="279" t="n"/>
    </row>
    <row r="79" ht="13.2" customHeight="1">
      <c r="CT79" s="279" t="n"/>
      <c r="CU79" s="279" t="n"/>
    </row>
    <row r="80" ht="13.2" customHeight="1">
      <c r="CT80" s="279" t="n"/>
      <c r="CU80" s="279" t="n"/>
    </row>
    <row r="81" ht="13.2" customHeight="1">
      <c r="CT81" s="279" t="n"/>
      <c r="CU81" s="279" t="n"/>
    </row>
    <row r="82" ht="13.2" customHeight="1">
      <c r="CT82" s="279" t="n"/>
      <c r="CU82" s="279" t="n"/>
    </row>
    <row r="83" ht="13.2" customHeight="1">
      <c r="CT83" s="279" t="n"/>
      <c r="CU83" s="279" t="n"/>
    </row>
    <row r="84" ht="13.2" customHeight="1">
      <c r="CT84" s="279" t="n"/>
      <c r="CU84" s="279" t="n"/>
    </row>
    <row r="85" ht="13.2" customHeight="1">
      <c r="CT85" s="279" t="n"/>
      <c r="CU85" s="279" t="n"/>
    </row>
    <row r="86" ht="13.2" customHeight="1">
      <c r="CT86" s="279" t="n"/>
      <c r="CU86" s="279" t="n"/>
    </row>
    <row r="87" ht="13.2" customHeight="1">
      <c r="CT87" s="279" t="n"/>
      <c r="CU87" s="279" t="n"/>
    </row>
    <row r="88" ht="13.2" customHeight="1">
      <c r="CT88" s="279" t="n"/>
      <c r="CU88" s="279" t="n"/>
    </row>
    <row r="89" ht="13.2" customHeight="1">
      <c r="CT89" s="279" t="n"/>
      <c r="CU89" s="279" t="n"/>
    </row>
    <row r="90" ht="13.2" customHeight="1">
      <c r="CT90" s="279" t="n"/>
      <c r="CU90" s="279" t="n"/>
    </row>
    <row r="91" ht="13.2" customHeight="1">
      <c r="CT91" s="279" t="n"/>
      <c r="CU91" s="279" t="n"/>
    </row>
    <row r="92" ht="13.2" customHeight="1">
      <c r="CT92" s="279" t="n"/>
      <c r="CU92" s="279" t="n"/>
    </row>
    <row r="93" ht="13.2" customHeight="1">
      <c r="CT93" s="279" t="n"/>
      <c r="CU93" s="279" t="n"/>
    </row>
    <row r="94" ht="13.2" customHeight="1">
      <c r="CT94" s="279" t="n"/>
      <c r="CU94" s="279" t="n"/>
    </row>
    <row r="95" ht="13.2" customHeight="1">
      <c r="CT95" s="279" t="n"/>
      <c r="CU95" s="279" t="n"/>
    </row>
    <row r="96" ht="13.2" customHeight="1">
      <c r="CT96" s="279" t="n"/>
      <c r="CU96" s="279" t="n"/>
    </row>
    <row r="97" ht="13.2" customHeight="1">
      <c r="CT97" s="279" t="n"/>
      <c r="CU97" s="279" t="n"/>
    </row>
    <row r="98" ht="13.2" customHeight="1">
      <c r="CT98" s="279" t="n"/>
      <c r="CU98" s="279" t="n"/>
    </row>
    <row r="99" ht="13.2" customHeight="1">
      <c r="CT99" s="279" t="n"/>
      <c r="CU99" s="279" t="n"/>
    </row>
    <row r="100" ht="13.2" customHeight="1">
      <c r="CT100" s="279" t="n"/>
      <c r="CU100" s="279" t="n"/>
    </row>
    <row r="101" ht="13.2" customHeight="1">
      <c r="CT101" s="279" t="n"/>
      <c r="CU101" s="279" t="n"/>
    </row>
    <row r="102" ht="13.2" customHeight="1">
      <c r="CT102" s="279" t="n"/>
      <c r="CU102" s="279" t="n"/>
    </row>
    <row r="103" ht="13.2" customHeight="1">
      <c r="CT103" s="279" t="n"/>
      <c r="CU103" s="279" t="n"/>
    </row>
    <row r="104" ht="13.2" customHeight="1">
      <c r="CT104" s="279" t="n"/>
      <c r="CU104" s="279" t="n"/>
    </row>
    <row r="105" ht="13.2" customHeight="1">
      <c r="CT105" s="279" t="n"/>
      <c r="CU105" s="279" t="n"/>
    </row>
    <row r="106" ht="13.2" customHeight="1">
      <c r="CT106" s="279" t="n"/>
      <c r="CU106" s="279" t="n"/>
    </row>
    <row r="107" ht="13.2" customHeight="1">
      <c r="CT107" s="279" t="n"/>
      <c r="CU107" s="279" t="n"/>
    </row>
    <row r="108" ht="13.2" customHeight="1">
      <c r="CT108" s="279" t="n"/>
      <c r="CU108" s="279" t="n"/>
    </row>
    <row r="109" ht="13.2" customHeight="1">
      <c r="CT109" s="279" t="n"/>
      <c r="CU109" s="279" t="n"/>
    </row>
    <row r="110" ht="13.2" customHeight="1">
      <c r="CT110" s="279" t="n"/>
      <c r="CU110" s="279" t="n"/>
    </row>
    <row r="111" ht="13.2" customHeight="1">
      <c r="CT111" s="279" t="n"/>
      <c r="CU111" s="279" t="n"/>
    </row>
    <row r="112" ht="13.2" customHeight="1">
      <c r="CT112" s="279" t="n"/>
      <c r="CU112" s="279" t="n"/>
    </row>
    <row r="113" ht="13.2" customHeight="1">
      <c r="CT113" s="279" t="n"/>
      <c r="CU113" s="279" t="n"/>
    </row>
    <row r="114" ht="13.2" customHeight="1">
      <c r="CT114" s="279" t="n"/>
      <c r="CU114" s="279" t="n"/>
    </row>
    <row r="115" ht="13.2" customHeight="1">
      <c r="CT115" s="279" t="n"/>
      <c r="CU115" s="279" t="n"/>
    </row>
    <row r="116" ht="13.2" customHeight="1">
      <c r="CT116" s="279" t="n"/>
      <c r="CU116" s="279" t="n"/>
    </row>
    <row r="117" ht="13.2" customHeight="1">
      <c r="CT117" s="279" t="n"/>
      <c r="CU117" s="279" t="n"/>
    </row>
    <row r="118" ht="13.2" customHeight="1">
      <c r="CT118" s="279" t="n"/>
      <c r="CU118" s="279" t="n"/>
    </row>
    <row r="119" ht="13.2" customHeight="1">
      <c r="CT119" s="279" t="n"/>
      <c r="CU119" s="279" t="n"/>
    </row>
    <row r="120" ht="13.2" customHeight="1">
      <c r="CT120" s="279" t="n"/>
      <c r="CU120" s="279" t="n"/>
    </row>
    <row r="121" ht="13.2" customHeight="1">
      <c r="CT121" s="279" t="n"/>
      <c r="CU121" s="279" t="n"/>
    </row>
    <row r="122" ht="13.2" customHeight="1">
      <c r="CT122" s="279" t="n"/>
      <c r="CU122" s="279" t="n"/>
    </row>
    <row r="123" ht="13.2" customHeight="1">
      <c r="CT123" s="279" t="n"/>
      <c r="CU123" s="279" t="n"/>
    </row>
    <row r="124" ht="13.2" customHeight="1">
      <c r="CT124" s="279" t="n"/>
      <c r="CU124" s="279" t="n"/>
    </row>
    <row r="125" ht="13.2" customHeight="1">
      <c r="CT125" s="279" t="n"/>
      <c r="CU125" s="279" t="n"/>
    </row>
    <row r="126" ht="13.2" customHeight="1">
      <c r="CT126" s="279" t="n"/>
      <c r="CU126" s="279" t="n"/>
    </row>
    <row r="127" ht="13.2" customHeight="1">
      <c r="CT127" s="279" t="n"/>
      <c r="CU127" s="279" t="n"/>
    </row>
    <row r="128" ht="13.2" customHeight="1">
      <c r="CT128" s="279" t="n"/>
      <c r="CU128" s="279" t="n"/>
    </row>
    <row r="129" ht="13.2" customHeight="1">
      <c r="CT129" s="279" t="n"/>
      <c r="CU129" s="279" t="n"/>
    </row>
    <row r="130" ht="13.2" customHeight="1">
      <c r="CT130" s="279" t="n"/>
      <c r="CU130" s="279" t="n"/>
    </row>
    <row r="131" ht="13.2" customHeight="1">
      <c r="CT131" s="279" t="n"/>
      <c r="CU131" s="279" t="n"/>
    </row>
    <row r="132" ht="13.2" customHeight="1">
      <c r="CT132" s="279" t="n"/>
      <c r="CU132" s="279" t="n"/>
    </row>
    <row r="133" ht="13.2" customHeight="1">
      <c r="CT133" s="279" t="n"/>
      <c r="CU133" s="279" t="n"/>
    </row>
    <row r="134" ht="13.2" customHeight="1">
      <c r="CT134" s="279" t="n"/>
      <c r="CU134" s="279" t="n"/>
    </row>
    <row r="135" ht="13.2" customHeight="1">
      <c r="CT135" s="279" t="n"/>
      <c r="CU135" s="279" t="n"/>
    </row>
    <row r="136" ht="13.2" customHeight="1">
      <c r="CT136" s="279" t="n"/>
      <c r="CU136" s="279" t="n"/>
    </row>
    <row r="137" ht="13.2" customHeight="1">
      <c r="CT137" s="279" t="n"/>
      <c r="CU137" s="279" t="n"/>
    </row>
    <row r="138" ht="13.2" customHeight="1">
      <c r="CT138" s="279" t="n"/>
      <c r="CU138" s="279" t="n"/>
    </row>
    <row r="139" ht="13.2" customHeight="1">
      <c r="CT139" s="279" t="n"/>
      <c r="CU139" s="279" t="n"/>
    </row>
    <row r="140" ht="13.2" customHeight="1">
      <c r="CT140" s="279" t="n"/>
      <c r="CU140" s="279" t="n"/>
    </row>
    <row r="141" ht="13.2" customHeight="1">
      <c r="CT141" s="279" t="n"/>
      <c r="CU141" s="279" t="n"/>
    </row>
    <row r="142" ht="13.2" customHeight="1">
      <c r="CT142" s="279" t="n"/>
      <c r="CU142" s="279" t="n"/>
    </row>
    <row r="143" ht="13.2" customHeight="1">
      <c r="CT143" s="279" t="n"/>
      <c r="CU143" s="279" t="n"/>
    </row>
    <row r="144" ht="13.2" customHeight="1">
      <c r="CT144" s="279" t="n"/>
      <c r="CU144" s="279" t="n"/>
    </row>
    <row r="145" ht="13.2" customHeight="1">
      <c r="CT145" s="279" t="n"/>
      <c r="CU145" s="279" t="n"/>
    </row>
    <row r="146" ht="13.2" customHeight="1">
      <c r="CT146" s="279" t="n"/>
      <c r="CU146" s="279" t="n"/>
    </row>
    <row r="147" ht="13.2" customHeight="1">
      <c r="CT147" s="279" t="n"/>
      <c r="CU147" s="279" t="n"/>
    </row>
    <row r="148" ht="13.2" customHeight="1">
      <c r="CT148" s="279" t="n"/>
      <c r="CU148" s="279" t="n"/>
    </row>
    <row r="149" ht="13.2" customHeight="1">
      <c r="CT149" s="279" t="n"/>
      <c r="CU149" s="279" t="n"/>
    </row>
    <row r="150" ht="13.2" customHeight="1">
      <c r="CT150" s="279" t="n"/>
      <c r="CU150" s="279" t="n"/>
    </row>
    <row r="151" ht="13.2" customHeight="1">
      <c r="CT151" s="279" t="n"/>
      <c r="CU151" s="279" t="n"/>
    </row>
    <row r="152" ht="13.2" customHeight="1">
      <c r="CT152" s="279" t="n"/>
      <c r="CU152" s="279" t="n"/>
    </row>
    <row r="153" ht="13.2" customHeight="1">
      <c r="CT153" s="279" t="n"/>
      <c r="CU153" s="279" t="n"/>
    </row>
    <row r="154" ht="13.2" customHeight="1">
      <c r="CT154" s="279" t="n"/>
      <c r="CU154" s="279" t="n"/>
    </row>
    <row r="155" ht="13.2" customHeight="1">
      <c r="CT155" s="279" t="n"/>
      <c r="CU155" s="279" t="n"/>
    </row>
    <row r="156" ht="13.2" customHeight="1">
      <c r="CT156" s="279" t="n"/>
      <c r="CU156" s="279" t="n"/>
    </row>
    <row r="157" ht="13.2" customHeight="1">
      <c r="CT157" s="279" t="n"/>
      <c r="CU157" s="279" t="n"/>
    </row>
    <row r="158" ht="13.2" customHeight="1">
      <c r="CT158" s="279" t="n"/>
      <c r="CU158" s="279" t="n"/>
    </row>
    <row r="159" ht="13.2" customHeight="1">
      <c r="CT159" s="279" t="n"/>
      <c r="CU159" s="279" t="n"/>
    </row>
    <row r="160" ht="13.2" customHeight="1">
      <c r="CT160" s="279" t="n"/>
      <c r="CU160" s="279" t="n"/>
    </row>
    <row r="161" ht="13.2" customHeight="1">
      <c r="CT161" s="279" t="n"/>
      <c r="CU161" s="279" t="n"/>
    </row>
    <row r="162" ht="13.2" customHeight="1">
      <c r="CT162" s="279" t="n"/>
      <c r="CU162" s="279" t="n"/>
    </row>
    <row r="163" ht="13.2" customHeight="1">
      <c r="CT163" s="279" t="n"/>
      <c r="CU163" s="279" t="n"/>
    </row>
    <row r="164" ht="13.2" customHeight="1">
      <c r="CT164" s="279" t="n"/>
      <c r="CU164" s="279" t="n"/>
    </row>
    <row r="165" ht="13.2" customHeight="1">
      <c r="CT165" s="279" t="n"/>
      <c r="CU165" s="279" t="n"/>
    </row>
    <row r="166" ht="13.2" customHeight="1">
      <c r="CT166" s="279" t="n"/>
      <c r="CU166" s="279" t="n"/>
    </row>
    <row r="167" ht="13.2" customHeight="1">
      <c r="CT167" s="279" t="n"/>
      <c r="CU167" s="279" t="n"/>
    </row>
    <row r="168" ht="13.2" customHeight="1">
      <c r="CT168" s="279" t="n"/>
      <c r="CU168" s="279" t="n"/>
    </row>
    <row r="169" ht="13.2" customHeight="1">
      <c r="CT169" s="279" t="n"/>
      <c r="CU169" s="279" t="n"/>
    </row>
    <row r="170" ht="13.2" customHeight="1">
      <c r="CT170" s="279" t="n"/>
      <c r="CU170" s="279" t="n"/>
    </row>
    <row r="171" ht="13.2" customHeight="1">
      <c r="CT171" s="279" t="n"/>
      <c r="CU171" s="279" t="n"/>
    </row>
    <row r="172" ht="13.2" customHeight="1">
      <c r="CT172" s="279" t="n"/>
      <c r="CU172" s="279" t="n"/>
    </row>
    <row r="173" ht="13.2" customHeight="1">
      <c r="CT173" s="279" t="n"/>
      <c r="CU173" s="279" t="n"/>
    </row>
    <row r="174" ht="13.2" customHeight="1">
      <c r="CT174" s="279" t="n"/>
      <c r="CU174" s="279" t="n"/>
    </row>
    <row r="175" ht="13.2" customHeight="1">
      <c r="CT175" s="279" t="n"/>
      <c r="CU175" s="279" t="n"/>
    </row>
    <row r="176" ht="13.2" customHeight="1">
      <c r="CT176" s="279" t="n"/>
      <c r="CU176" s="279" t="n"/>
    </row>
    <row r="177" ht="13.2" customHeight="1">
      <c r="CT177" s="279" t="n"/>
      <c r="CU177" s="279" t="n"/>
    </row>
    <row r="178" ht="13.2" customHeight="1">
      <c r="CT178" s="279" t="n"/>
      <c r="CU178" s="279" t="n"/>
    </row>
    <row r="179" ht="13.2" customHeight="1">
      <c r="CT179" s="279" t="n"/>
      <c r="CU179" s="279" t="n"/>
    </row>
    <row r="180" ht="13.2" customHeight="1">
      <c r="CT180" s="279" t="n"/>
      <c r="CU180" s="279" t="n"/>
    </row>
    <row r="181" ht="13.2" customHeight="1">
      <c r="CT181" s="279" t="n"/>
      <c r="CU181" s="279" t="n"/>
    </row>
    <row r="182" ht="13.2" customHeight="1">
      <c r="CT182" s="279" t="n"/>
      <c r="CU182" s="279" t="n"/>
    </row>
    <row r="183" ht="13.2" customHeight="1">
      <c r="CT183" s="279" t="n"/>
      <c r="CU183" s="279" t="n"/>
    </row>
    <row r="184" ht="13.2" customHeight="1">
      <c r="CT184" s="279" t="n"/>
      <c r="CU184" s="279" t="n"/>
    </row>
    <row r="185" ht="13.2" customHeight="1">
      <c r="CT185" s="279" t="n"/>
      <c r="CU185" s="279" t="n"/>
    </row>
    <row r="186" ht="13.2" customHeight="1">
      <c r="CT186" s="279" t="n"/>
      <c r="CU186" s="279" t="n"/>
    </row>
    <row r="187" ht="13.2" customHeight="1">
      <c r="CT187" s="279" t="n"/>
      <c r="CU187" s="279" t="n"/>
    </row>
    <row r="188" ht="13.2" customHeight="1">
      <c r="CT188" s="279" t="n"/>
      <c r="CU188" s="279" t="n"/>
    </row>
    <row r="189" ht="13.2" customHeight="1">
      <c r="CT189" s="279" t="n"/>
      <c r="CU189" s="279" t="n"/>
    </row>
    <row r="190" ht="13.2" customHeight="1">
      <c r="CT190" s="279" t="n"/>
      <c r="CU190" s="279" t="n"/>
    </row>
    <row r="191" ht="13.2" customHeight="1">
      <c r="CT191" s="279" t="n"/>
      <c r="CU191" s="279" t="n"/>
    </row>
    <row r="192" ht="13.2" customHeight="1">
      <c r="CT192" s="279" t="n"/>
      <c r="CU192" s="279" t="n"/>
    </row>
    <row r="193" ht="13.2" customHeight="1">
      <c r="CT193" s="279" t="n"/>
      <c r="CU193" s="279" t="n"/>
    </row>
    <row r="194" ht="13.2" customHeight="1">
      <c r="CT194" s="279" t="n"/>
      <c r="CU194" s="279" t="n"/>
    </row>
    <row r="195" ht="13.2" customHeight="1">
      <c r="CT195" s="279" t="n"/>
      <c r="CU195" s="279" t="n"/>
    </row>
    <row r="196" ht="13.2" customHeight="1">
      <c r="CT196" s="279" t="n"/>
      <c r="CU196" s="279" t="n"/>
    </row>
    <row r="197" ht="13.2" customHeight="1">
      <c r="CT197" s="279" t="n"/>
      <c r="CU197" s="279" t="n"/>
    </row>
    <row r="198" ht="13.2" customHeight="1">
      <c r="CT198" s="279" t="n"/>
      <c r="CU198" s="279" t="n"/>
    </row>
    <row r="199" ht="13.2" customHeight="1">
      <c r="CT199" s="279" t="n"/>
      <c r="CU199" s="279" t="n"/>
    </row>
    <row r="200" ht="13.2" customHeight="1">
      <c r="CT200" s="279" t="n"/>
      <c r="CU200" s="279" t="n"/>
    </row>
    <row r="201" ht="13.2" customHeight="1">
      <c r="CT201" s="279" t="n"/>
      <c r="CU201" s="279" t="n"/>
    </row>
    <row r="202" ht="13.2" customHeight="1">
      <c r="CT202" s="279" t="n"/>
      <c r="CU202" s="279" t="n"/>
    </row>
    <row r="203" ht="13.2" customHeight="1">
      <c r="CT203" s="279" t="n"/>
      <c r="CU203" s="279" t="n"/>
    </row>
    <row r="204" ht="13.2" customHeight="1">
      <c r="CT204" s="279" t="n"/>
      <c r="CU204" s="279" t="n"/>
    </row>
    <row r="205" ht="13.2" customHeight="1">
      <c r="CT205" s="279" t="n"/>
      <c r="CU205" s="279" t="n"/>
    </row>
    <row r="206" ht="13.2" customHeight="1">
      <c r="CT206" s="279" t="n"/>
      <c r="CU206" s="279" t="n"/>
    </row>
    <row r="207" ht="13.2" customHeight="1">
      <c r="CT207" s="279" t="n"/>
      <c r="CU207" s="279" t="n"/>
    </row>
    <row r="208" ht="13.2" customHeight="1">
      <c r="CT208" s="279" t="n"/>
      <c r="CU208" s="279" t="n"/>
    </row>
    <row r="209" ht="13.2" customHeight="1">
      <c r="CT209" s="279" t="n"/>
      <c r="CU209" s="279" t="n"/>
    </row>
    <row r="210" ht="13.2" customHeight="1">
      <c r="CT210" s="279" t="n"/>
      <c r="CU210" s="279" t="n"/>
    </row>
    <row r="211" ht="13.2" customHeight="1">
      <c r="CT211" s="279" t="n"/>
      <c r="CU211" s="279" t="n"/>
    </row>
    <row r="212" ht="13.2" customHeight="1">
      <c r="CT212" s="279" t="n"/>
      <c r="CU212" s="279" t="n"/>
    </row>
    <row r="213" ht="13.2" customHeight="1">
      <c r="CT213" s="279" t="n"/>
      <c r="CU213" s="279" t="n"/>
    </row>
    <row r="214" ht="13.2" customHeight="1">
      <c r="CT214" s="279" t="n"/>
      <c r="CU214" s="279" t="n"/>
    </row>
    <row r="215" ht="13.2" customHeight="1">
      <c r="CT215" s="279" t="n"/>
      <c r="CU215" s="279" t="n"/>
    </row>
    <row r="216" ht="13.2" customHeight="1">
      <c r="CT216" s="279" t="n"/>
      <c r="CU216" s="279" t="n"/>
    </row>
    <row r="217" ht="13.2" customHeight="1">
      <c r="CT217" s="279" t="n"/>
      <c r="CU217" s="279" t="n"/>
    </row>
    <row r="218" ht="13.2" customHeight="1">
      <c r="CT218" s="279" t="n"/>
      <c r="CU218" s="279" t="n"/>
    </row>
    <row r="219" ht="13.2" customHeight="1">
      <c r="CT219" s="279" t="n"/>
      <c r="CU219" s="279" t="n"/>
    </row>
    <row r="220" ht="13.2" customHeight="1">
      <c r="CT220" s="279" t="n"/>
      <c r="CU220" s="279" t="n"/>
    </row>
    <row r="221" ht="13.2" customHeight="1">
      <c r="CT221" s="279" t="n"/>
      <c r="CU221" s="279" t="n"/>
    </row>
    <row r="222" ht="13.2" customHeight="1">
      <c r="CT222" s="279" t="n"/>
      <c r="CU222" s="279" t="n"/>
    </row>
    <row r="223" ht="13.2" customHeight="1">
      <c r="CT223" s="279" t="n"/>
      <c r="CU223" s="279" t="n"/>
    </row>
    <row r="224" ht="13.2" customHeight="1">
      <c r="CT224" s="279" t="n"/>
      <c r="CU224" s="279" t="n"/>
    </row>
    <row r="225" ht="13.2" customHeight="1">
      <c r="CT225" s="279" t="n"/>
      <c r="CU225" s="279" t="n"/>
    </row>
    <row r="226" ht="13.2" customHeight="1">
      <c r="CT226" s="279" t="n"/>
      <c r="CU226" s="279" t="n"/>
    </row>
    <row r="227" ht="13.2" customHeight="1">
      <c r="CT227" s="279" t="n"/>
      <c r="CU227" s="279" t="n"/>
    </row>
    <row r="228" ht="13.2" customHeight="1">
      <c r="CT228" s="279" t="n"/>
      <c r="CU228" s="279" t="n"/>
    </row>
    <row r="229" ht="13.2" customHeight="1">
      <c r="CT229" s="279" t="n"/>
      <c r="CU229" s="279" t="n"/>
    </row>
    <row r="230" ht="13.2" customHeight="1">
      <c r="CT230" s="279" t="n"/>
      <c r="CU230" s="279" t="n"/>
    </row>
    <row r="231" ht="13.2" customHeight="1">
      <c r="CT231" s="279" t="n"/>
      <c r="CU231" s="279" t="n"/>
    </row>
    <row r="232" ht="13.2" customHeight="1">
      <c r="CT232" s="279" t="n"/>
      <c r="CU232" s="279" t="n"/>
    </row>
    <row r="233" ht="13.2" customHeight="1">
      <c r="CT233" s="279" t="n"/>
      <c r="CU233" s="279" t="n"/>
    </row>
    <row r="234" ht="13.2" customHeight="1">
      <c r="CT234" s="279" t="n"/>
      <c r="CU234" s="279" t="n"/>
    </row>
    <row r="235" ht="13.2" customHeight="1">
      <c r="CT235" s="279" t="n"/>
      <c r="CU235" s="279" t="n"/>
    </row>
    <row r="236" ht="13.2" customHeight="1">
      <c r="CT236" s="279" t="n"/>
      <c r="CU236" s="279" t="n"/>
    </row>
    <row r="237" ht="13.2" customHeight="1">
      <c r="CT237" s="279" t="n"/>
      <c r="CU237" s="279" t="n"/>
    </row>
    <row r="238" ht="13.2" customHeight="1">
      <c r="CT238" s="279" t="n"/>
      <c r="CU238" s="279" t="n"/>
    </row>
    <row r="239" ht="13.2" customHeight="1">
      <c r="CT239" s="279" t="n"/>
      <c r="CU239" s="279" t="n"/>
    </row>
    <row r="240" ht="13.2" customHeight="1">
      <c r="CT240" s="279" t="n"/>
      <c r="CU240" s="279" t="n"/>
    </row>
    <row r="241" ht="13.2" customHeight="1">
      <c r="CT241" s="279" t="n"/>
      <c r="CU241" s="279" t="n"/>
    </row>
    <row r="242" ht="13.2" customHeight="1">
      <c r="CT242" s="279" t="n"/>
      <c r="CU242" s="279" t="n"/>
    </row>
    <row r="243" ht="13.2" customHeight="1">
      <c r="CT243" s="279" t="n"/>
      <c r="CU243" s="279" t="n"/>
    </row>
    <row r="244" ht="13.2" customHeight="1">
      <c r="CT244" s="279" t="n"/>
      <c r="CU244" s="279" t="n"/>
    </row>
    <row r="245" ht="13.2" customHeight="1">
      <c r="CT245" s="279" t="n"/>
      <c r="CU245" s="279" t="n"/>
    </row>
    <row r="246" ht="13.2" customHeight="1">
      <c r="CT246" s="279" t="n"/>
      <c r="CU246" s="279" t="n"/>
    </row>
    <row r="247" ht="13.2" customHeight="1">
      <c r="CT247" s="279" t="n"/>
      <c r="CU247" s="279" t="n"/>
    </row>
    <row r="248" ht="13.2" customHeight="1">
      <c r="CT248" s="279" t="n"/>
      <c r="CU248" s="279" t="n"/>
    </row>
    <row r="249" ht="13.2" customHeight="1">
      <c r="CT249" s="279" t="n"/>
      <c r="CU249" s="279" t="n"/>
    </row>
    <row r="250" ht="13.2" customHeight="1">
      <c r="CT250" s="279" t="n"/>
      <c r="CU250" s="279" t="n"/>
    </row>
    <row r="251" ht="13.2" customHeight="1">
      <c r="CT251" s="279" t="n"/>
      <c r="CU251" s="279" t="n"/>
    </row>
    <row r="252" ht="13.2" customHeight="1">
      <c r="CT252" s="279" t="n"/>
      <c r="CU252" s="279" t="n"/>
    </row>
    <row r="253" ht="13.2" customHeight="1">
      <c r="CT253" s="279" t="n"/>
      <c r="CU253" s="279" t="n"/>
    </row>
    <row r="254" ht="13.2" customHeight="1">
      <c r="CT254" s="279" t="n"/>
      <c r="CU254" s="279" t="n"/>
    </row>
    <row r="255" ht="13.2" customHeight="1">
      <c r="CT255" s="279" t="n"/>
      <c r="CU255" s="279" t="n"/>
    </row>
    <row r="256" ht="13.2" customHeight="1">
      <c r="CT256" s="279" t="n"/>
      <c r="CU256" s="279" t="n"/>
    </row>
    <row r="257" ht="13.2" customHeight="1">
      <c r="CT257" s="279" t="n"/>
      <c r="CU257" s="279" t="n"/>
    </row>
    <row r="258" ht="13.2" customHeight="1">
      <c r="CT258" s="279" t="n"/>
      <c r="CU258" s="279" t="n"/>
    </row>
    <row r="259" ht="13.2" customHeight="1">
      <c r="CT259" s="279" t="n"/>
      <c r="CU259" s="279" t="n"/>
    </row>
    <row r="260" ht="13.2" customHeight="1">
      <c r="CT260" s="279" t="n"/>
      <c r="CU260" s="279" t="n"/>
    </row>
    <row r="261" ht="13.2" customHeight="1">
      <c r="CT261" s="279" t="n"/>
      <c r="CU261" s="279" t="n"/>
    </row>
    <row r="262" ht="13.2" customHeight="1">
      <c r="CT262" s="279" t="n"/>
      <c r="CU262" s="279" t="n"/>
    </row>
    <row r="263" ht="13.2" customHeight="1">
      <c r="CT263" s="279" t="n"/>
      <c r="CU263" s="279" t="n"/>
    </row>
    <row r="264" ht="13.2" customHeight="1">
      <c r="CT264" s="279" t="n"/>
      <c r="CU264" s="279" t="n"/>
    </row>
    <row r="265" ht="13.2" customHeight="1">
      <c r="CT265" s="279" t="n"/>
      <c r="CU265" s="279" t="n"/>
    </row>
    <row r="266" ht="13.2" customHeight="1">
      <c r="CT266" s="279" t="n"/>
      <c r="CU266" s="279" t="n"/>
    </row>
    <row r="267" ht="13.2" customHeight="1">
      <c r="CT267" s="279" t="n"/>
      <c r="CU267" s="279" t="n"/>
    </row>
    <row r="268" ht="13.2" customHeight="1">
      <c r="CT268" s="279" t="n"/>
      <c r="CU268" s="279" t="n"/>
    </row>
    <row r="269" ht="13.2" customHeight="1">
      <c r="CT269" s="279" t="n"/>
      <c r="CU269" s="279" t="n"/>
    </row>
    <row r="270" ht="13.2" customHeight="1">
      <c r="CT270" s="279" t="n"/>
      <c r="CU270" s="279" t="n"/>
    </row>
    <row r="271" ht="13.2" customHeight="1">
      <c r="CT271" s="279" t="n"/>
      <c r="CU271" s="279" t="n"/>
    </row>
    <row r="272" ht="13.2" customHeight="1">
      <c r="CT272" s="279" t="n"/>
      <c r="CU272" s="279" t="n"/>
    </row>
    <row r="273" ht="13.2" customHeight="1">
      <c r="CT273" s="279" t="n"/>
      <c r="CU273" s="279" t="n"/>
    </row>
    <row r="274" ht="13.2" customHeight="1">
      <c r="CT274" s="279" t="n"/>
      <c r="CU274" s="279" t="n"/>
    </row>
    <row r="275" ht="13.2" customHeight="1">
      <c r="CT275" s="279" t="n"/>
      <c r="CU275" s="279" t="n"/>
    </row>
    <row r="276" ht="13.2" customHeight="1">
      <c r="CT276" s="279" t="n"/>
      <c r="CU276" s="279" t="n"/>
    </row>
    <row r="277" ht="13.2" customHeight="1">
      <c r="CT277" s="279" t="n"/>
      <c r="CU277" s="279" t="n"/>
    </row>
    <row r="278" ht="13.2" customHeight="1">
      <c r="CT278" s="279" t="n"/>
      <c r="CU278" s="279" t="n"/>
    </row>
    <row r="279" ht="13.2" customHeight="1">
      <c r="CT279" s="279" t="n"/>
      <c r="CU279" s="279" t="n"/>
    </row>
    <row r="280" ht="13.2" customHeight="1">
      <c r="CT280" s="279" t="n"/>
      <c r="CU280" s="279" t="n"/>
    </row>
    <row r="281" ht="13.2" customHeight="1">
      <c r="CT281" s="279" t="n"/>
      <c r="CU281" s="279" t="n"/>
    </row>
    <row r="282" ht="13.2" customHeight="1">
      <c r="CT282" s="279" t="n"/>
      <c r="CU282" s="279" t="n"/>
    </row>
    <row r="283" ht="13.2" customHeight="1">
      <c r="CT283" s="279" t="n"/>
      <c r="CU283" s="279" t="n"/>
    </row>
    <row r="284" ht="13.2" customHeight="1">
      <c r="CT284" s="279" t="n"/>
      <c r="CU284" s="279" t="n"/>
    </row>
    <row r="285" ht="13.2" customHeight="1">
      <c r="CT285" s="279" t="n"/>
      <c r="CU285" s="279" t="n"/>
    </row>
    <row r="286" ht="13.2" customHeight="1">
      <c r="CT286" s="279" t="n"/>
      <c r="CU286" s="279" t="n"/>
    </row>
    <row r="287" ht="13.2" customHeight="1">
      <c r="CT287" s="279" t="n"/>
      <c r="CU287" s="279" t="n"/>
    </row>
    <row r="288" ht="13.2" customHeight="1">
      <c r="CT288" s="279" t="n"/>
      <c r="CU288" s="279" t="n"/>
    </row>
    <row r="289" ht="13.2" customHeight="1">
      <c r="CT289" s="279" t="n"/>
      <c r="CU289" s="279" t="n"/>
    </row>
    <row r="290" ht="13.2" customHeight="1">
      <c r="CT290" s="279" t="n"/>
      <c r="CU290" s="279" t="n"/>
    </row>
    <row r="291" ht="13.2" customHeight="1">
      <c r="CT291" s="279" t="n"/>
      <c r="CU291" s="279" t="n"/>
    </row>
    <row r="292" ht="13.2" customHeight="1">
      <c r="CT292" s="279" t="n"/>
      <c r="CU292" s="279" t="n"/>
    </row>
    <row r="293" ht="13.2" customHeight="1">
      <c r="CT293" s="279" t="n"/>
      <c r="CU293" s="279" t="n"/>
    </row>
    <row r="294" ht="13.2" customHeight="1">
      <c r="CT294" s="279" t="n"/>
      <c r="CU294" s="279" t="n"/>
    </row>
    <row r="295" ht="13.2" customHeight="1">
      <c r="CT295" s="279" t="n"/>
      <c r="CU295" s="279" t="n"/>
    </row>
    <row r="296" ht="13.2" customHeight="1">
      <c r="CT296" s="279" t="n"/>
      <c r="CU296" s="279" t="n"/>
    </row>
    <row r="297" ht="13.2" customHeight="1">
      <c r="CT297" s="279" t="n"/>
      <c r="CU297" s="279" t="n"/>
    </row>
    <row r="298" ht="13.2" customHeight="1">
      <c r="CT298" s="279" t="n"/>
      <c r="CU298" s="279" t="n"/>
    </row>
    <row r="299" ht="13.2" customHeight="1">
      <c r="CT299" s="279" t="n"/>
      <c r="CU299" s="279" t="n"/>
    </row>
    <row r="300" ht="13.2" customHeight="1">
      <c r="CT300" s="279" t="n"/>
      <c r="CU300" s="279" t="n"/>
    </row>
    <row r="301" ht="13.2" customHeight="1">
      <c r="CT301" s="279" t="n"/>
      <c r="CU301" s="279" t="n"/>
    </row>
    <row r="302" ht="13.2" customHeight="1">
      <c r="CT302" s="279" t="n"/>
      <c r="CU302" s="279" t="n"/>
    </row>
    <row r="303" ht="13.2" customHeight="1">
      <c r="CT303" s="279" t="n"/>
      <c r="CU303" s="279" t="n"/>
    </row>
    <row r="304" ht="13.2" customHeight="1">
      <c r="CT304" s="279" t="n"/>
      <c r="CU304" s="279" t="n"/>
    </row>
    <row r="305" ht="13.2" customHeight="1">
      <c r="CT305" s="279" t="n"/>
      <c r="CU305" s="279" t="n"/>
    </row>
    <row r="306" ht="13.2" customHeight="1">
      <c r="CT306" s="279" t="n"/>
      <c r="CU306" s="279" t="n"/>
    </row>
    <row r="307" ht="13.2" customHeight="1">
      <c r="CT307" s="279" t="n"/>
      <c r="CU307" s="279" t="n"/>
    </row>
    <row r="308" ht="13.2" customHeight="1">
      <c r="CT308" s="279" t="n"/>
      <c r="CU308" s="279" t="n"/>
    </row>
    <row r="309" ht="13.2" customHeight="1">
      <c r="CT309" s="279" t="n"/>
      <c r="CU309" s="279" t="n"/>
    </row>
    <row r="310" ht="13.2" customHeight="1">
      <c r="CT310" s="279" t="n"/>
      <c r="CU310" s="279" t="n"/>
    </row>
    <row r="311" ht="13.2" customHeight="1">
      <c r="CT311" s="279" t="n"/>
      <c r="CU311" s="279" t="n"/>
    </row>
    <row r="312" ht="13.2" customHeight="1">
      <c r="CT312" s="279" t="n"/>
      <c r="CU312" s="279" t="n"/>
    </row>
    <row r="313" ht="13.2" customHeight="1">
      <c r="CT313" s="279" t="n"/>
      <c r="CU313" s="279" t="n"/>
    </row>
    <row r="314" ht="13.2" customHeight="1">
      <c r="CT314" s="279" t="n"/>
      <c r="CU314" s="279" t="n"/>
    </row>
    <row r="315" ht="13.2" customHeight="1">
      <c r="CT315" s="279" t="n"/>
      <c r="CU315" s="279" t="n"/>
    </row>
    <row r="316" ht="13.2" customHeight="1">
      <c r="CT316" s="279" t="n"/>
      <c r="CU316" s="279" t="n"/>
    </row>
    <row r="317" ht="13.2" customHeight="1">
      <c r="CT317" s="279" t="n"/>
      <c r="CU317" s="279" t="n"/>
    </row>
    <row r="318" ht="13.2" customHeight="1">
      <c r="CT318" s="279" t="n"/>
      <c r="CU318" s="279" t="n"/>
    </row>
    <row r="319" ht="13.2" customHeight="1">
      <c r="CT319" s="279" t="n"/>
      <c r="CU319" s="279" t="n"/>
    </row>
    <row r="320" ht="13.2" customHeight="1">
      <c r="CT320" s="279" t="n"/>
      <c r="CU320" s="279" t="n"/>
    </row>
    <row r="321" ht="13.2" customHeight="1">
      <c r="CT321" s="279" t="n"/>
      <c r="CU321" s="279" t="n"/>
    </row>
    <row r="322" ht="13.2" customHeight="1">
      <c r="CT322" s="279" t="n"/>
      <c r="CU322" s="279" t="n"/>
    </row>
    <row r="323" ht="13.2" customHeight="1">
      <c r="CT323" s="279" t="n"/>
      <c r="CU323" s="279" t="n"/>
    </row>
    <row r="324" ht="13.2" customHeight="1">
      <c r="CT324" s="279" t="n"/>
      <c r="CU324" s="279" t="n"/>
    </row>
    <row r="325" ht="13.2" customHeight="1">
      <c r="CT325" s="279" t="n"/>
      <c r="CU325" s="279" t="n"/>
    </row>
    <row r="326" ht="13.2" customHeight="1">
      <c r="CT326" s="279" t="n"/>
      <c r="CU326" s="279" t="n"/>
    </row>
    <row r="327" ht="13.2" customHeight="1">
      <c r="CT327" s="279" t="n"/>
      <c r="CU327" s="279" t="n"/>
    </row>
    <row r="328" ht="13.2" customHeight="1">
      <c r="CT328" s="279" t="n"/>
      <c r="CU328" s="279" t="n"/>
    </row>
    <row r="329" ht="13.2" customHeight="1">
      <c r="CT329" s="279" t="n"/>
      <c r="CU329" s="279" t="n"/>
    </row>
    <row r="330" ht="13.2" customHeight="1">
      <c r="CT330" s="279" t="n"/>
      <c r="CU330" s="279" t="n"/>
    </row>
    <row r="331" ht="13.2" customHeight="1">
      <c r="CT331" s="279" t="n"/>
      <c r="CU331" s="279" t="n"/>
    </row>
    <row r="332" ht="13.2" customHeight="1">
      <c r="CT332" s="279" t="n"/>
      <c r="CU332" s="279" t="n"/>
    </row>
    <row r="333" ht="13.2" customHeight="1">
      <c r="CT333" s="279" t="n"/>
      <c r="CU333" s="279" t="n"/>
    </row>
    <row r="334" ht="13.2" customHeight="1">
      <c r="CT334" s="279" t="n"/>
      <c r="CU334" s="279" t="n"/>
    </row>
    <row r="335" ht="13.2" customHeight="1">
      <c r="CT335" s="279" t="n"/>
      <c r="CU335" s="279" t="n"/>
    </row>
    <row r="336" ht="13.2" customHeight="1">
      <c r="CT336" s="279" t="n"/>
      <c r="CU336" s="279" t="n"/>
    </row>
    <row r="337" ht="13.2" customHeight="1">
      <c r="CT337" s="279" t="n"/>
      <c r="CU337" s="279" t="n"/>
    </row>
    <row r="338" ht="13.2" customHeight="1">
      <c r="CT338" s="279" t="n"/>
      <c r="CU338" s="279" t="n"/>
    </row>
    <row r="339" ht="13.2" customHeight="1">
      <c r="CT339" s="279" t="n"/>
      <c r="CU339" s="279" t="n"/>
    </row>
    <row r="340" ht="13.2" customHeight="1">
      <c r="CT340" s="279" t="n"/>
      <c r="CU340" s="279" t="n"/>
    </row>
    <row r="341" ht="13.2" customHeight="1">
      <c r="CT341" s="279" t="n"/>
      <c r="CU341" s="279" t="n"/>
    </row>
    <row r="342" ht="13.2" customHeight="1">
      <c r="CT342" s="279" t="n"/>
      <c r="CU342" s="279" t="n"/>
    </row>
    <row r="343" ht="13.2" customHeight="1">
      <c r="CT343" s="279" t="n"/>
      <c r="CU343" s="279" t="n"/>
    </row>
    <row r="344" ht="13.2" customHeight="1">
      <c r="CT344" s="279" t="n"/>
      <c r="CU344" s="279" t="n"/>
    </row>
    <row r="345" ht="13.2" customHeight="1">
      <c r="CT345" s="279" t="n"/>
      <c r="CU345" s="279" t="n"/>
    </row>
    <row r="346" ht="13.2" customHeight="1">
      <c r="CT346" s="279" t="n"/>
      <c r="CU346" s="279" t="n"/>
    </row>
    <row r="347" ht="13.2" customHeight="1">
      <c r="CT347" s="279" t="n"/>
      <c r="CU347" s="279" t="n"/>
    </row>
    <row r="348" ht="13.2" customHeight="1">
      <c r="CT348" s="279" t="n"/>
      <c r="CU348" s="279" t="n"/>
    </row>
    <row r="349" ht="13.2" customHeight="1">
      <c r="CT349" s="279" t="n"/>
      <c r="CU349" s="279" t="n"/>
    </row>
    <row r="350" ht="13.2" customHeight="1">
      <c r="CT350" s="279" t="n"/>
      <c r="CU350" s="279" t="n"/>
    </row>
    <row r="351" ht="13.2" customHeight="1">
      <c r="CT351" s="279" t="n"/>
      <c r="CU351" s="279" t="n"/>
    </row>
    <row r="352" ht="13.2" customHeight="1">
      <c r="CT352" s="279" t="n"/>
      <c r="CU352" s="279" t="n"/>
    </row>
    <row r="353" ht="13.2" customHeight="1">
      <c r="CT353" s="279" t="n"/>
      <c r="CU353" s="279" t="n"/>
    </row>
    <row r="354" ht="13.2" customHeight="1">
      <c r="CT354" s="279" t="n"/>
      <c r="CU354" s="279" t="n"/>
    </row>
    <row r="355" ht="13.2" customHeight="1">
      <c r="CT355" s="279" t="n"/>
      <c r="CU355" s="279" t="n"/>
    </row>
    <row r="356" ht="13.2" customHeight="1">
      <c r="CT356" s="279" t="n"/>
      <c r="CU356" s="279" t="n"/>
    </row>
    <row r="357" ht="13.2" customHeight="1">
      <c r="CT357" s="279" t="n"/>
      <c r="CU357" s="279" t="n"/>
    </row>
    <row r="358" ht="13.2" customHeight="1">
      <c r="CT358" s="279" t="n"/>
      <c r="CU358" s="279" t="n"/>
    </row>
    <row r="359" ht="13.2" customHeight="1">
      <c r="CT359" s="279" t="n"/>
      <c r="CU359" s="279" t="n"/>
    </row>
    <row r="360" ht="13.2" customHeight="1">
      <c r="CT360" s="279" t="n"/>
      <c r="CU360" s="279" t="n"/>
    </row>
    <row r="361" ht="13.2" customHeight="1">
      <c r="CT361" s="279" t="n"/>
      <c r="CU361" s="279" t="n"/>
    </row>
    <row r="362" ht="13.2" customHeight="1">
      <c r="CT362" s="279" t="n"/>
      <c r="CU362" s="279" t="n"/>
    </row>
    <row r="363" ht="13.2" customHeight="1">
      <c r="CT363" s="279" t="n"/>
      <c r="CU363" s="279" t="n"/>
    </row>
    <row r="364" ht="13.2" customHeight="1">
      <c r="CT364" s="279" t="n"/>
      <c r="CU364" s="279" t="n"/>
    </row>
    <row r="365" ht="13.2" customHeight="1">
      <c r="CT365" s="279" t="n"/>
      <c r="CU365" s="279" t="n"/>
    </row>
    <row r="366" ht="13.2" customHeight="1">
      <c r="CT366" s="279" t="n"/>
      <c r="CU366" s="279" t="n"/>
    </row>
    <row r="367" ht="13.2" customHeight="1">
      <c r="CT367" s="279" t="n"/>
      <c r="CU367" s="279" t="n"/>
    </row>
    <row r="368" ht="13.2" customHeight="1">
      <c r="CT368" s="279" t="n"/>
      <c r="CU368" s="279" t="n"/>
    </row>
    <row r="369" ht="13.2" customHeight="1">
      <c r="CT369" s="279" t="n"/>
      <c r="CU369" s="279" t="n"/>
    </row>
    <row r="370" ht="13.2" customHeight="1">
      <c r="CT370" s="279" t="n"/>
      <c r="CU370" s="279" t="n"/>
    </row>
    <row r="371" ht="13.2" customHeight="1">
      <c r="CT371" s="279" t="n"/>
      <c r="CU371" s="279" t="n"/>
    </row>
    <row r="372" ht="13.2" customHeight="1">
      <c r="CT372" s="279" t="n"/>
      <c r="CU372" s="279" t="n"/>
    </row>
    <row r="373" ht="13.2" customHeight="1">
      <c r="CT373" s="279" t="n"/>
      <c r="CU373" s="279" t="n"/>
    </row>
    <row r="374" ht="13.2" customHeight="1">
      <c r="CT374" s="279" t="n"/>
      <c r="CU374" s="279" t="n"/>
    </row>
    <row r="375" ht="13.2" customHeight="1">
      <c r="CT375" s="279" t="n"/>
      <c r="CU375" s="279" t="n"/>
    </row>
    <row r="376" ht="13.2" customHeight="1">
      <c r="CT376" s="279" t="n"/>
      <c r="CU376" s="279" t="n"/>
    </row>
    <row r="377" ht="13.2" customHeight="1">
      <c r="CT377" s="279" t="n"/>
      <c r="CU377" s="279" t="n"/>
    </row>
    <row r="378" ht="13.2" customHeight="1">
      <c r="CT378" s="279" t="n"/>
      <c r="CU378" s="279" t="n"/>
    </row>
    <row r="379" ht="13.2" customHeight="1">
      <c r="CT379" s="279" t="n"/>
      <c r="CU379" s="279" t="n"/>
    </row>
    <row r="380" ht="13.2" customHeight="1">
      <c r="CT380" s="279" t="n"/>
      <c r="CU380" s="279" t="n"/>
    </row>
    <row r="381" ht="13.2" customHeight="1">
      <c r="CT381" s="279" t="n"/>
      <c r="CU381" s="279" t="n"/>
    </row>
    <row r="382" ht="13.2" customHeight="1">
      <c r="CT382" s="279" t="n"/>
      <c r="CU382" s="279" t="n"/>
    </row>
    <row r="383" ht="13.2" customHeight="1">
      <c r="CT383" s="279" t="n"/>
      <c r="CU383" s="279" t="n"/>
    </row>
    <row r="384" ht="13.2" customHeight="1">
      <c r="CT384" s="279" t="n"/>
      <c r="CU384" s="279" t="n"/>
    </row>
    <row r="385" ht="13.2" customHeight="1">
      <c r="CT385" s="279" t="n"/>
      <c r="CU385" s="279" t="n"/>
    </row>
    <row r="386" ht="13.2" customHeight="1">
      <c r="CT386" s="279" t="n"/>
      <c r="CU386" s="279" t="n"/>
    </row>
    <row r="387" ht="13.2" customHeight="1">
      <c r="CT387" s="279" t="n"/>
      <c r="CU387" s="279" t="n"/>
    </row>
    <row r="388" ht="13.2" customHeight="1">
      <c r="CT388" s="279" t="n"/>
      <c r="CU388" s="279" t="n"/>
    </row>
    <row r="389" ht="13.2" customHeight="1">
      <c r="CT389" s="279" t="n"/>
      <c r="CU389" s="279" t="n"/>
    </row>
    <row r="390" ht="13.2" customHeight="1">
      <c r="CT390" s="279" t="n"/>
      <c r="CU390" s="279" t="n"/>
    </row>
    <row r="391" ht="13.2" customHeight="1">
      <c r="CT391" s="279" t="n"/>
      <c r="CU391" s="279" t="n"/>
    </row>
    <row r="392" ht="13.2" customHeight="1">
      <c r="CT392" s="279" t="n"/>
      <c r="CU392" s="279" t="n"/>
    </row>
    <row r="393" ht="13.2" customHeight="1">
      <c r="CT393" s="279" t="n"/>
      <c r="CU393" s="279" t="n"/>
    </row>
    <row r="394" ht="13.2" customHeight="1">
      <c r="CT394" s="279" t="n"/>
      <c r="CU394" s="279" t="n"/>
    </row>
    <row r="395" ht="13.2" customHeight="1">
      <c r="CT395" s="279" t="n"/>
      <c r="CU395" s="279" t="n"/>
    </row>
    <row r="396" ht="13.2" customHeight="1">
      <c r="CT396" s="279" t="n"/>
      <c r="CU396" s="279" t="n"/>
    </row>
    <row r="397" ht="13.2" customHeight="1">
      <c r="CT397" s="279" t="n"/>
      <c r="CU397" s="279" t="n"/>
    </row>
    <row r="398" ht="13.2" customHeight="1">
      <c r="CT398" s="279" t="n"/>
      <c r="CU398" s="279" t="n"/>
    </row>
    <row r="399" ht="13.2" customHeight="1">
      <c r="CT399" s="279" t="n"/>
      <c r="CU399" s="279" t="n"/>
    </row>
    <row r="400" ht="13.2" customHeight="1">
      <c r="CT400" s="279" t="n"/>
      <c r="CU400" s="279" t="n"/>
    </row>
    <row r="401" ht="13.2" customHeight="1">
      <c r="CT401" s="279" t="n"/>
      <c r="CU401" s="279" t="n"/>
    </row>
    <row r="402" ht="13.2" customHeight="1">
      <c r="CT402" s="279" t="n"/>
      <c r="CU402" s="279" t="n"/>
    </row>
    <row r="403" ht="13.2" customHeight="1">
      <c r="CT403" s="279" t="n"/>
      <c r="CU403" s="279" t="n"/>
    </row>
    <row r="404" ht="13.2" customHeight="1">
      <c r="CT404" s="279" t="n"/>
      <c r="CU404" s="279" t="n"/>
    </row>
    <row r="405" ht="13.2" customHeight="1">
      <c r="CT405" s="279" t="n"/>
      <c r="CU405" s="279" t="n"/>
    </row>
    <row r="406" ht="13.2" customHeight="1">
      <c r="CT406" s="279" t="n"/>
      <c r="CU406" s="279" t="n"/>
    </row>
    <row r="407" ht="13.2" customHeight="1">
      <c r="CT407" s="279" t="n"/>
      <c r="CU407" s="279" t="n"/>
    </row>
    <row r="408" ht="13.2" customHeight="1">
      <c r="CT408" s="279" t="n"/>
      <c r="CU408" s="279" t="n"/>
    </row>
    <row r="409" ht="13.2" customHeight="1">
      <c r="CT409" s="279" t="n"/>
      <c r="CU409" s="279" t="n"/>
    </row>
    <row r="410" ht="13.2" customHeight="1">
      <c r="CT410" s="279" t="n"/>
      <c r="CU410" s="279" t="n"/>
    </row>
    <row r="411" ht="13.2" customHeight="1">
      <c r="CT411" s="279" t="n"/>
      <c r="CU411" s="279" t="n"/>
    </row>
    <row r="412" ht="13.2" customHeight="1">
      <c r="CT412" s="279" t="n"/>
      <c r="CU412" s="279" t="n"/>
    </row>
    <row r="413" ht="13.2" customHeight="1">
      <c r="CT413" s="279" t="n"/>
      <c r="CU413" s="279" t="n"/>
    </row>
    <row r="414" ht="13.2" customHeight="1">
      <c r="CT414" s="279" t="n"/>
      <c r="CU414" s="279" t="n"/>
    </row>
    <row r="415" ht="13.2" customHeight="1">
      <c r="CT415" s="279" t="n"/>
      <c r="CU415" s="279" t="n"/>
    </row>
    <row r="416" ht="13.2" customHeight="1">
      <c r="CT416" s="279" t="n"/>
      <c r="CU416" s="279" t="n"/>
    </row>
    <row r="417" ht="13.2" customHeight="1">
      <c r="CT417" s="279" t="n"/>
      <c r="CU417" s="279" t="n"/>
    </row>
    <row r="418" ht="13.2" customHeight="1">
      <c r="CT418" s="279" t="n"/>
      <c r="CU418" s="279" t="n"/>
    </row>
    <row r="419" ht="13.2" customHeight="1">
      <c r="CT419" s="279" t="n"/>
      <c r="CU419" s="279" t="n"/>
    </row>
    <row r="420" ht="13.2" customHeight="1">
      <c r="CT420" s="279" t="n"/>
      <c r="CU420" s="279" t="n"/>
    </row>
    <row r="421" ht="13.2" customHeight="1">
      <c r="CT421" s="279" t="n"/>
      <c r="CU421" s="279" t="n"/>
    </row>
    <row r="422" ht="13.2" customHeight="1">
      <c r="CT422" s="279" t="n"/>
      <c r="CU422" s="279" t="n"/>
    </row>
    <row r="423" ht="13.2" customHeight="1">
      <c r="CT423" s="279" t="n"/>
      <c r="CU423" s="279" t="n"/>
    </row>
    <row r="424" ht="13.2" customHeight="1">
      <c r="CT424" s="279" t="n"/>
      <c r="CU424" s="279" t="n"/>
    </row>
    <row r="425" ht="13.2" customHeight="1">
      <c r="CT425" s="279" t="n"/>
      <c r="CU425" s="279" t="n"/>
    </row>
    <row r="426" ht="13.2" customHeight="1">
      <c r="CT426" s="279" t="n"/>
      <c r="CU426" s="279" t="n"/>
    </row>
    <row r="427" ht="13.2" customHeight="1">
      <c r="CT427" s="279" t="n"/>
      <c r="CU427" s="279" t="n"/>
    </row>
    <row r="428" ht="13.2" customHeight="1">
      <c r="CT428" s="279" t="n"/>
      <c r="CU428" s="279" t="n"/>
    </row>
    <row r="429" ht="13.2" customHeight="1">
      <c r="CT429" s="279" t="n"/>
      <c r="CU429" s="279" t="n"/>
    </row>
    <row r="430" ht="13.2" customHeight="1">
      <c r="CT430" s="279" t="n"/>
      <c r="CU430" s="279" t="n"/>
    </row>
    <row r="431" ht="13.2" customHeight="1">
      <c r="CT431" s="279" t="n"/>
      <c r="CU431" s="279" t="n"/>
    </row>
    <row r="432" ht="13.2" customHeight="1">
      <c r="CT432" s="279" t="n"/>
      <c r="CU432" s="279" t="n"/>
    </row>
    <row r="433" ht="13.2" customHeight="1">
      <c r="CT433" s="279" t="n"/>
      <c r="CU433" s="279" t="n"/>
    </row>
    <row r="434" ht="13.2" customHeight="1">
      <c r="CT434" s="279" t="n"/>
      <c r="CU434" s="279" t="n"/>
    </row>
    <row r="435" ht="13.2" customHeight="1">
      <c r="CT435" s="279" t="n"/>
      <c r="CU435" s="279" t="n"/>
    </row>
    <row r="436" ht="13.2" customHeight="1">
      <c r="CT436" s="279" t="n"/>
      <c r="CU436" s="279" t="n"/>
    </row>
    <row r="437" ht="13.2" customHeight="1">
      <c r="CT437" s="279" t="n"/>
      <c r="CU437" s="279" t="n"/>
    </row>
    <row r="438" ht="13.2" customHeight="1">
      <c r="CT438" s="279" t="n"/>
      <c r="CU438" s="279" t="n"/>
    </row>
    <row r="439" ht="13.2" customHeight="1">
      <c r="CT439" s="279" t="n"/>
      <c r="CU439" s="279" t="n"/>
    </row>
    <row r="440" ht="13.2" customHeight="1">
      <c r="CT440" s="279" t="n"/>
      <c r="CU440" s="279" t="n"/>
    </row>
    <row r="441" ht="13.2" customHeight="1">
      <c r="CT441" s="279" t="n"/>
      <c r="CU441" s="279" t="n"/>
    </row>
    <row r="442" ht="13.2" customHeight="1">
      <c r="CT442" s="279" t="n"/>
      <c r="CU442" s="279" t="n"/>
    </row>
    <row r="443" ht="13.2" customHeight="1">
      <c r="CT443" s="279" t="n"/>
      <c r="CU443" s="279" t="n"/>
    </row>
    <row r="444" ht="13.2" customHeight="1">
      <c r="CT444" s="279" t="n"/>
      <c r="CU444" s="279" t="n"/>
    </row>
    <row r="445" ht="13.2" customHeight="1">
      <c r="CT445" s="279" t="n"/>
      <c r="CU445" s="279" t="n"/>
    </row>
    <row r="446" ht="13.2" customHeight="1">
      <c r="CT446" s="279" t="n"/>
      <c r="CU446" s="279" t="n"/>
    </row>
    <row r="447" ht="13.2" customHeight="1">
      <c r="CT447" s="279" t="n"/>
      <c r="CU447" s="279" t="n"/>
    </row>
    <row r="448" ht="13.2" customHeight="1">
      <c r="CT448" s="279" t="n"/>
      <c r="CU448" s="279" t="n"/>
    </row>
    <row r="449" ht="13.2" customHeight="1">
      <c r="CT449" s="279" t="n"/>
      <c r="CU449" s="279" t="n"/>
    </row>
    <row r="450" ht="13.2" customHeight="1">
      <c r="CT450" s="279" t="n"/>
      <c r="CU450" s="279" t="n"/>
    </row>
    <row r="451" ht="13.2" customHeight="1">
      <c r="CT451" s="279" t="n"/>
      <c r="CU451" s="279" t="n"/>
    </row>
    <row r="452" ht="13.2" customHeight="1">
      <c r="CT452" s="279" t="n"/>
      <c r="CU452" s="279" t="n"/>
    </row>
    <row r="453" ht="13.2" customHeight="1">
      <c r="CT453" s="279" t="n"/>
      <c r="CU453" s="279" t="n"/>
    </row>
    <row r="454" ht="13.2" customHeight="1">
      <c r="CT454" s="279" t="n"/>
      <c r="CU454" s="279" t="n"/>
    </row>
    <row r="455" ht="13.2" customHeight="1">
      <c r="CT455" s="279" t="n"/>
      <c r="CU455" s="279" t="n"/>
    </row>
    <row r="456" ht="13.2" customHeight="1">
      <c r="CT456" s="279" t="n"/>
      <c r="CU456" s="279" t="n"/>
    </row>
    <row r="457" ht="13.2" customHeight="1">
      <c r="CT457" s="279" t="n"/>
      <c r="CU457" s="279" t="n"/>
    </row>
    <row r="458" ht="13.2" customHeight="1">
      <c r="CT458" s="279" t="n"/>
      <c r="CU458" s="279" t="n"/>
    </row>
    <row r="459" ht="12.75" customHeight="1">
      <c r="CT459" s="279" t="n"/>
      <c r="CU459" s="279" t="n"/>
    </row>
    <row r="460" ht="12.75" customHeight="1">
      <c r="CT460" s="279" t="n"/>
      <c r="CU460" s="279" t="n"/>
    </row>
  </sheetData>
  <autoFilter ref="A8:KF59"/>
  <mergeCells count="725">
    <mergeCell ref="ER54:ES54"/>
    <mergeCell ref="FB54:FC54"/>
    <mergeCell ref="ET54:EU54"/>
    <mergeCell ref="JJ55:JK55"/>
    <mergeCell ref="JL55:JM55"/>
    <mergeCell ref="IX54:IY54"/>
    <mergeCell ref="JJ5:JK5"/>
    <mergeCell ref="IX4:IY4"/>
    <mergeCell ref="CP5:CQ5"/>
    <mergeCell ref="Z53:AA53"/>
    <mergeCell ref="CR5:CS5"/>
    <mergeCell ref="GD54:GE54"/>
    <mergeCell ref="AZ5:BA5"/>
    <mergeCell ref="GF54:GG54"/>
    <mergeCell ref="BB5:BC5"/>
    <mergeCell ref="AT5:AU5"/>
    <mergeCell ref="BD5:BE5"/>
    <mergeCell ref="BN53:BO53"/>
    <mergeCell ref="JR4:JS5"/>
    <mergeCell ref="JT4:JU5"/>
    <mergeCell ref="HR54:HS54"/>
    <mergeCell ref="J4:K4"/>
    <mergeCell ref="BT55:BU55"/>
    <mergeCell ref="L4:M4"/>
    <mergeCell ref="BL55:BM55"/>
    <mergeCell ref="EB5:EC5"/>
    <mergeCell ref="BN55:BO55"/>
    <mergeCell ref="ED5:EE5"/>
    <mergeCell ref="CX53:CY53"/>
    <mergeCell ref="CZ53:DA53"/>
    <mergeCell ref="BR4:BS4"/>
    <mergeCell ref="BT4:BU4"/>
    <mergeCell ref="JD54:JE54"/>
    <mergeCell ref="GJ5:GK5"/>
    <mergeCell ref="CX55:CY55"/>
    <mergeCell ref="CZ55:DA55"/>
    <mergeCell ref="EZ4:FA4"/>
    <mergeCell ref="CL54:CM54"/>
    <mergeCell ref="CN54:CO54"/>
    <mergeCell ref="HB55:HC55"/>
    <mergeCell ref="HD55:HE55"/>
    <mergeCell ref="EJ53:EK53"/>
    <mergeCell ref="EL53:EM53"/>
    <mergeCell ref="DD4:DE4"/>
    <mergeCell ref="IN53:IO53"/>
    <mergeCell ref="IP53:IQ53"/>
    <mergeCell ref="IF53:IG53"/>
    <mergeCell ref="IR53:IS53"/>
    <mergeCell ref="IH53:II53"/>
    <mergeCell ref="EJ55:EK55"/>
    <mergeCell ref="HJ4:HK4"/>
    <mergeCell ref="HB4:HC4"/>
    <mergeCell ref="DV54:DW54"/>
    <mergeCell ref="DX54:DY54"/>
    <mergeCell ref="IN55:IO55"/>
    <mergeCell ref="IP55:IQ55"/>
    <mergeCell ref="IH55:II55"/>
    <mergeCell ref="IB54:IC54"/>
    <mergeCell ref="JT53:JU53"/>
    <mergeCell ref="GR5:GS5"/>
    <mergeCell ref="A1:G1"/>
    <mergeCell ref="GD4:GE4"/>
    <mergeCell ref="FH54:FI54"/>
    <mergeCell ref="JL6:JM6"/>
    <mergeCell ref="JN3:KA3"/>
    <mergeCell ref="FJ54:FK54"/>
    <mergeCell ref="X5:Y5"/>
    <mergeCell ref="AR53:AS53"/>
    <mergeCell ref="Z5:AA5"/>
    <mergeCell ref="JT55:JU55"/>
    <mergeCell ref="JN54:JO54"/>
    <mergeCell ref="JF54:JG54"/>
    <mergeCell ref="BL53:BM53"/>
    <mergeCell ref="JF4:JG4"/>
    <mergeCell ref="JH4:JI4"/>
    <mergeCell ref="AR55:AS55"/>
    <mergeCell ref="HP4:HQ4"/>
    <mergeCell ref="HD5:HE5"/>
    <mergeCell ref="BJ5:BK5"/>
    <mergeCell ref="CD53:CE53"/>
    <mergeCell ref="BL5:BM5"/>
    <mergeCell ref="IV55:IW55"/>
    <mergeCell ref="AV4:AW4"/>
    <mergeCell ref="AX4:AY4"/>
    <mergeCell ref="FN5:FO5"/>
    <mergeCell ref="FP5:FQ5"/>
    <mergeCell ref="FF5:FG5"/>
    <mergeCell ref="FH5:FI5"/>
    <mergeCell ref="GB53:GC53"/>
    <mergeCell ref="CD55:CE55"/>
    <mergeCell ref="CF55:CG55"/>
    <mergeCell ref="BP54:BQ54"/>
    <mergeCell ref="BR54:BS54"/>
    <mergeCell ref="DX4:DY4"/>
    <mergeCell ref="FZ55:GA55"/>
    <mergeCell ref="IP5:IQ5"/>
    <mergeCell ref="GB55:GC55"/>
    <mergeCell ref="DP53:DQ53"/>
    <mergeCell ref="DR53:DS53"/>
    <mergeCell ref="CH4:CI4"/>
    <mergeCell ref="DH53:DI53"/>
    <mergeCell ref="DJ53:DK53"/>
    <mergeCell ref="CJ4:CK4"/>
    <mergeCell ref="T54:U54"/>
    <mergeCell ref="EL55:EM55"/>
    <mergeCell ref="HL53:HM53"/>
    <mergeCell ref="GT5:GU5"/>
    <mergeCell ref="HN53:HO53"/>
    <mergeCell ref="DN55:DO55"/>
    <mergeCell ref="DP55:DQ55"/>
    <mergeCell ref="GF4:GG4"/>
    <mergeCell ref="DB54:DC54"/>
    <mergeCell ref="CT54:CU54"/>
    <mergeCell ref="DD54:DE54"/>
    <mergeCell ref="CV54:CW54"/>
    <mergeCell ref="AT53:AU53"/>
    <mergeCell ref="HL55:HM55"/>
    <mergeCell ref="HN55:HO55"/>
    <mergeCell ref="GX54:GY54"/>
    <mergeCell ref="GZ54:HA54"/>
    <mergeCell ref="HL5:HM5"/>
    <mergeCell ref="BF54:BG54"/>
    <mergeCell ref="GX4:GY4"/>
    <mergeCell ref="AT55:AU55"/>
    <mergeCell ref="IX53:IY53"/>
    <mergeCell ref="IZ53:JA53"/>
    <mergeCell ref="HR4:HS4"/>
    <mergeCell ref="JE70:JH70"/>
    <mergeCell ref="CF53:CG53"/>
    <mergeCell ref="D5:E5"/>
    <mergeCell ref="IX55:IY55"/>
    <mergeCell ref="IJ54:IK54"/>
    <mergeCell ref="IL54:IM54"/>
    <mergeCell ref="IJ4:IK4"/>
    <mergeCell ref="CZ5:DA5"/>
    <mergeCell ref="DB5:DC5"/>
    <mergeCell ref="V55:W55"/>
    <mergeCell ref="JE71:JH71"/>
    <mergeCell ref="AZ53:BA53"/>
    <mergeCell ref="AH5:AI5"/>
    <mergeCell ref="BB53:BC53"/>
    <mergeCell ref="R4:S4"/>
    <mergeCell ref="AB4:AC4"/>
    <mergeCell ref="T4:U4"/>
    <mergeCell ref="JX54:JY54"/>
    <mergeCell ref="V4:W4"/>
    <mergeCell ref="EJ5:EK5"/>
    <mergeCell ref="EL5:EM5"/>
    <mergeCell ref="FF53:FG53"/>
    <mergeCell ref="BH55:BI55"/>
    <mergeCell ref="AZ55:BA55"/>
    <mergeCell ref="DZ4:EA4"/>
    <mergeCell ref="BB55:BC55"/>
    <mergeCell ref="DB4:DC4"/>
    <mergeCell ref="AN54:AO54"/>
    <mergeCell ref="FD55:FE55"/>
    <mergeCell ref="J55:K55"/>
    <mergeCell ref="FF55:FG55"/>
    <mergeCell ref="L55:M55"/>
    <mergeCell ref="CL53:CM53"/>
    <mergeCell ref="CN53:CO53"/>
    <mergeCell ref="BD4:BE4"/>
    <mergeCell ref="BF4:BG4"/>
    <mergeCell ref="FV5:FW5"/>
    <mergeCell ref="GP53:GQ53"/>
    <mergeCell ref="FX5:FY5"/>
    <mergeCell ref="GR53:GS53"/>
    <mergeCell ref="A2:A7"/>
    <mergeCell ref="C2:C7"/>
    <mergeCell ref="FJ4:FK4"/>
    <mergeCell ref="FL4:FM4"/>
    <mergeCell ref="BP1:BQ1"/>
    <mergeCell ref="BX54:BY54"/>
    <mergeCell ref="BZ54:CA54"/>
    <mergeCell ref="ET53:EU53"/>
    <mergeCell ref="GP55:GQ55"/>
    <mergeCell ref="GR55:GS55"/>
    <mergeCell ref="IL4:IM4"/>
    <mergeCell ref="IB53:IC53"/>
    <mergeCell ref="ID53:IE53"/>
    <mergeCell ref="HT53:HU53"/>
    <mergeCell ref="EF54:EG54"/>
    <mergeCell ref="HV53:HW53"/>
    <mergeCell ref="GV4:GW4"/>
    <mergeCell ref="EH54:EI54"/>
    <mergeCell ref="IX5:IY5"/>
    <mergeCell ref="IB55:IC55"/>
    <mergeCell ref="HN54:HO54"/>
    <mergeCell ref="HF54:HG54"/>
    <mergeCell ref="HP54:HQ54"/>
    <mergeCell ref="HH54:HI54"/>
    <mergeCell ref="CD5:CE5"/>
    <mergeCell ref="L53:M53"/>
    <mergeCell ref="CF5:CG5"/>
    <mergeCell ref="N53:O53"/>
    <mergeCell ref="FR54:FS54"/>
    <mergeCell ref="JP54:JQ54"/>
    <mergeCell ref="L5:M5"/>
    <mergeCell ref="N5:O5"/>
    <mergeCell ref="DP5:DQ5"/>
    <mergeCell ref="DR5:DS5"/>
    <mergeCell ref="AF55:AG55"/>
    <mergeCell ref="R54:S54"/>
    <mergeCell ref="HN5:HO5"/>
    <mergeCell ref="BT5:BU5"/>
    <mergeCell ref="IR54:IS54"/>
    <mergeCell ref="BR53:BS53"/>
    <mergeCell ref="AJ4:AK4"/>
    <mergeCell ref="AL4:AM4"/>
    <mergeCell ref="CL55:CM55"/>
    <mergeCell ref="FB5:FC5"/>
    <mergeCell ref="CN55:CO55"/>
    <mergeCell ref="ET5:EU5"/>
    <mergeCell ref="FD5:FE5"/>
    <mergeCell ref="FN53:FO53"/>
    <mergeCell ref="EV5:EW5"/>
    <mergeCell ref="FP53:FQ53"/>
    <mergeCell ref="EN4:EO4"/>
    <mergeCell ref="EF4:EG4"/>
    <mergeCell ref="EH4:EI4"/>
    <mergeCell ref="BD54:BE54"/>
    <mergeCell ref="JR53:JS53"/>
    <mergeCell ref="IZ5:JA5"/>
    <mergeCell ref="DZ53:EA53"/>
    <mergeCell ref="FL55:FM55"/>
    <mergeCell ref="FN55:FO55"/>
    <mergeCell ref="FP55:FQ55"/>
    <mergeCell ref="EZ54:FA54"/>
    <mergeCell ref="H54:I54"/>
    <mergeCell ref="JR55:JS55"/>
    <mergeCell ref="DX55:DY55"/>
    <mergeCell ref="DZ55:EA55"/>
    <mergeCell ref="DJ54:DK54"/>
    <mergeCell ref="GZ53:HA53"/>
    <mergeCell ref="DL54:DM54"/>
    <mergeCell ref="FR4:FS4"/>
    <mergeCell ref="FT4:FU4"/>
    <mergeCell ref="HV55:HW55"/>
    <mergeCell ref="IB5:IC5"/>
    <mergeCell ref="AF53:AG53"/>
    <mergeCell ref="HT5:HU5"/>
    <mergeCell ref="AH53:AI53"/>
    <mergeCell ref="HV5:HW5"/>
    <mergeCell ref="GL54:GM54"/>
    <mergeCell ref="B2:B7"/>
    <mergeCell ref="HH4:HI4"/>
    <mergeCell ref="GN54:GO54"/>
    <mergeCell ref="JF53:JG53"/>
    <mergeCell ref="JH53:JI53"/>
    <mergeCell ref="AH55:AI55"/>
    <mergeCell ref="JH55:JI55"/>
    <mergeCell ref="IT54:IU54"/>
    <mergeCell ref="JF5:JG5"/>
    <mergeCell ref="JH5:JI5"/>
    <mergeCell ref="IR4:IS4"/>
    <mergeCell ref="IT4:IU4"/>
    <mergeCell ref="CL5:CM5"/>
    <mergeCell ref="CN5:CO5"/>
    <mergeCell ref="V53:W53"/>
    <mergeCell ref="JZ55:KA55"/>
    <mergeCell ref="BZ4:CA4"/>
    <mergeCell ref="CB4:CC4"/>
    <mergeCell ref="JL54:JM54"/>
    <mergeCell ref="BJ53:BK53"/>
    <mergeCell ref="DF55:DG55"/>
    <mergeCell ref="DH55:DI55"/>
    <mergeCell ref="AD4:AE4"/>
    <mergeCell ref="N4:O4"/>
    <mergeCell ref="P4:Q4"/>
    <mergeCell ref="BP55:BQ55"/>
    <mergeCell ref="BR55:BS55"/>
    <mergeCell ref="DX5:DY5"/>
    <mergeCell ref="ER53:ES53"/>
    <mergeCell ref="BJ55:BK55"/>
    <mergeCell ref="DZ5:EA5"/>
    <mergeCell ref="DL4:DM4"/>
    <mergeCell ref="DN4:DO4"/>
    <mergeCell ref="Z54:AA54"/>
    <mergeCell ref="ID5:IE5"/>
    <mergeCell ref="AB54:AC54"/>
    <mergeCell ref="CV53:CW53"/>
    <mergeCell ref="ER55:ES55"/>
    <mergeCell ref="ET55:EU55"/>
    <mergeCell ref="BP4:BQ4"/>
    <mergeCell ref="GF5:GG5"/>
    <mergeCell ref="HB53:HC53"/>
    <mergeCell ref="CV55:CW55"/>
    <mergeCell ref="GD53:GE53"/>
    <mergeCell ref="CF54:CG54"/>
    <mergeCell ref="EV4:EW4"/>
    <mergeCell ref="CH54:CI54"/>
    <mergeCell ref="CJ54:CK54"/>
    <mergeCell ref="GX55:GY55"/>
    <mergeCell ref="EX4:EY4"/>
    <mergeCell ref="GZ55:HA55"/>
    <mergeCell ref="JZ53:KA53"/>
    <mergeCell ref="KB53:KC53"/>
    <mergeCell ref="JL3:JM4"/>
    <mergeCell ref="EH53:EI53"/>
    <mergeCell ref="IV4:IW4"/>
    <mergeCell ref="FP54:FQ54"/>
    <mergeCell ref="IL53:IM53"/>
    <mergeCell ref="AF5:AG5"/>
    <mergeCell ref="KB55:KC55"/>
    <mergeCell ref="HF4:HG4"/>
    <mergeCell ref="DR54:DS54"/>
    <mergeCell ref="DT54:DU54"/>
    <mergeCell ref="BT53:BU53"/>
    <mergeCell ref="IJ55:IK55"/>
    <mergeCell ref="IL55:IM55"/>
    <mergeCell ref="HX54:HY54"/>
    <mergeCell ref="IJ5:IK5"/>
    <mergeCell ref="HZ54:IA54"/>
    <mergeCell ref="IL5:IM5"/>
    <mergeCell ref="HX4:HY4"/>
    <mergeCell ref="BR5:BS5"/>
    <mergeCell ref="JH6:JI6"/>
    <mergeCell ref="FF54:FG54"/>
    <mergeCell ref="T5:U5"/>
    <mergeCell ref="AN53:AO53"/>
    <mergeCell ref="V5:W5"/>
    <mergeCell ref="H4:I4"/>
    <mergeCell ref="JJ4:JK4"/>
    <mergeCell ref="JB4:JC4"/>
    <mergeCell ref="AN55:AO55"/>
    <mergeCell ref="CT5:CU5"/>
    <mergeCell ref="DD5:DE5"/>
    <mergeCell ref="AP55:AQ55"/>
    <mergeCell ref="GZ5:HA5"/>
    <mergeCell ref="JV54:JW54"/>
    <mergeCell ref="HB5:HC5"/>
    <mergeCell ref="BZ53:CA53"/>
    <mergeCell ref="GL4:GM4"/>
    <mergeCell ref="BH5:BI5"/>
    <mergeCell ref="AR4:AS4"/>
    <mergeCell ref="GN4:GO4"/>
    <mergeCell ref="CB53:CC53"/>
    <mergeCell ref="AT4:AU4"/>
    <mergeCell ref="KB56:KC56"/>
    <mergeCell ref="GF53:GG53"/>
    <mergeCell ref="FV53:FW53"/>
    <mergeCell ref="FX53:FY53"/>
    <mergeCell ref="HT55:HU55"/>
    <mergeCell ref="BZ55:CA55"/>
    <mergeCell ref="EP4:EQ4"/>
    <mergeCell ref="CB55:CC55"/>
    <mergeCell ref="BL54:BM54"/>
    <mergeCell ref="BN54:BO54"/>
    <mergeCell ref="DT4:DU4"/>
    <mergeCell ref="GD55:GE55"/>
    <mergeCell ref="FV55:FW55"/>
    <mergeCell ref="GF55:GG55"/>
    <mergeCell ref="FX55:FY55"/>
    <mergeCell ref="HZ4:IA4"/>
    <mergeCell ref="DM1:DP1"/>
    <mergeCell ref="EN54:EO54"/>
    <mergeCell ref="EP54:EQ54"/>
    <mergeCell ref="HH53:HI53"/>
    <mergeCell ref="HJ53:HK53"/>
    <mergeCell ref="JF55:JG55"/>
    <mergeCell ref="GB4:GC4"/>
    <mergeCell ref="JJ6:JK6"/>
    <mergeCell ref="CX54:CY54"/>
    <mergeCell ref="CZ54:DA54"/>
    <mergeCell ref="CR54:CS54"/>
    <mergeCell ref="AP53:AQ53"/>
    <mergeCell ref="HH55:HI55"/>
    <mergeCell ref="HJ55:HK55"/>
    <mergeCell ref="GT54:GU54"/>
    <mergeCell ref="GV54:GW54"/>
    <mergeCell ref="GT4:GU4"/>
    <mergeCell ref="IT53:IU53"/>
    <mergeCell ref="AN5:AO5"/>
    <mergeCell ref="IV53:IW53"/>
    <mergeCell ref="AP5:AQ5"/>
    <mergeCell ref="ER5:ES5"/>
    <mergeCell ref="J53:K53"/>
    <mergeCell ref="IF54:IG54"/>
    <mergeCell ref="JD4:JE4"/>
    <mergeCell ref="IH54:II54"/>
    <mergeCell ref="IF4:IG4"/>
    <mergeCell ref="CV5:CW5"/>
    <mergeCell ref="R55:S55"/>
    <mergeCell ref="CT53:CU53"/>
    <mergeCell ref="BL4:BM4"/>
    <mergeCell ref="BN4:BO4"/>
    <mergeCell ref="GD5:GE5"/>
    <mergeCell ref="DR55:DS55"/>
    <mergeCell ref="AV53:AW53"/>
    <mergeCell ref="CT55:CU55"/>
    <mergeCell ref="AX53:AY53"/>
    <mergeCell ref="EF5:EG5"/>
    <mergeCell ref="EH5:EI5"/>
    <mergeCell ref="FB53:FC53"/>
    <mergeCell ref="FD53:FE53"/>
    <mergeCell ref="BF55:BG55"/>
    <mergeCell ref="DV4:DW4"/>
    <mergeCell ref="AX55:AY55"/>
    <mergeCell ref="AR54:AS54"/>
    <mergeCell ref="AH54:AI54"/>
    <mergeCell ref="CX4:CY4"/>
    <mergeCell ref="IN5:IO5"/>
    <mergeCell ref="AJ54:AK54"/>
    <mergeCell ref="AL54:AM54"/>
    <mergeCell ref="EZ55:FA55"/>
    <mergeCell ref="HP5:HQ5"/>
    <mergeCell ref="FB55:FC55"/>
    <mergeCell ref="CH53:CI53"/>
    <mergeCell ref="GL53:GM53"/>
    <mergeCell ref="FT5:FU5"/>
    <mergeCell ref="GN53:GO53"/>
    <mergeCell ref="FD4:FE4"/>
    <mergeCell ref="FF4:FG4"/>
    <mergeCell ref="BJ1:BK1"/>
    <mergeCell ref="FH4:FI4"/>
    <mergeCell ref="BT54:BU54"/>
    <mergeCell ref="BV54:BW54"/>
    <mergeCell ref="T53:U53"/>
    <mergeCell ref="HH5:HI5"/>
    <mergeCell ref="GL55:GM55"/>
    <mergeCell ref="GN55:GO55"/>
    <mergeCell ref="KB3:KC6"/>
    <mergeCell ref="FZ54:GA54"/>
    <mergeCell ref="GB54:GC54"/>
    <mergeCell ref="T55:U55"/>
    <mergeCell ref="IZ54:JA54"/>
    <mergeCell ref="JB54:JC54"/>
    <mergeCell ref="BF53:BG53"/>
    <mergeCell ref="IT5:IU5"/>
    <mergeCell ref="IV5:IW5"/>
    <mergeCell ref="HJ54:HK54"/>
    <mergeCell ref="IH4:II4"/>
    <mergeCell ref="HL54:HM54"/>
    <mergeCell ref="HD54:HE54"/>
    <mergeCell ref="BZ5:CA5"/>
    <mergeCell ref="CB5:CC5"/>
    <mergeCell ref="H5:I5"/>
    <mergeCell ref="JZ4:KA6"/>
    <mergeCell ref="DL5:DM5"/>
    <mergeCell ref="EF53:EG53"/>
    <mergeCell ref="DN5:DO5"/>
    <mergeCell ref="DX53:DY53"/>
    <mergeCell ref="DF5:DG5"/>
    <mergeCell ref="Z55:AA55"/>
    <mergeCell ref="CP4:CQ4"/>
    <mergeCell ref="CZ4:DA4"/>
    <mergeCell ref="AB55:AC55"/>
    <mergeCell ref="CR4:CS4"/>
    <mergeCell ref="N54:O54"/>
    <mergeCell ref="HJ5:HK5"/>
    <mergeCell ref="CJ53:CK53"/>
    <mergeCell ref="EF55:EG55"/>
    <mergeCell ref="EH55:EI55"/>
    <mergeCell ref="FZ4:GA4"/>
    <mergeCell ref="AF4:AG4"/>
    <mergeCell ref="AH4:AI4"/>
    <mergeCell ref="ID55:IE55"/>
    <mergeCell ref="CJ55:CK55"/>
    <mergeCell ref="FJ53:FK53"/>
    <mergeCell ref="HF55:HG55"/>
    <mergeCell ref="FL53:FM53"/>
    <mergeCell ref="EB4:EC4"/>
    <mergeCell ref="G6:G7"/>
    <mergeCell ref="ED4:EE4"/>
    <mergeCell ref="AZ54:BA54"/>
    <mergeCell ref="JN53:JO53"/>
    <mergeCell ref="BB54:BC54"/>
    <mergeCell ref="JP53:JQ53"/>
    <mergeCell ref="FR55:FS55"/>
    <mergeCell ref="FH55:FI55"/>
    <mergeCell ref="FJ55:FK55"/>
    <mergeCell ref="FT55:FU55"/>
    <mergeCell ref="FD54:FE54"/>
    <mergeCell ref="EV54:EW54"/>
    <mergeCell ref="EX54:EY54"/>
    <mergeCell ref="JN55:JO55"/>
    <mergeCell ref="JP55:JQ55"/>
    <mergeCell ref="GT53:GU53"/>
    <mergeCell ref="GV53:GW53"/>
    <mergeCell ref="DH54:DI54"/>
    <mergeCell ref="FP4:FQ4"/>
    <mergeCell ref="AB53:AC53"/>
    <mergeCell ref="AD53:AE53"/>
    <mergeCell ref="HR5:HS5"/>
    <mergeCell ref="HD4:HE4"/>
    <mergeCell ref="GH54:GI54"/>
    <mergeCell ref="GJ54:GK54"/>
    <mergeCell ref="AV5:AW5"/>
    <mergeCell ref="BF5:BG5"/>
    <mergeCell ref="AX5:AY5"/>
    <mergeCell ref="D6:D7"/>
    <mergeCell ref="AD55:AE55"/>
    <mergeCell ref="JV4:JW5"/>
    <mergeCell ref="F6:F7"/>
    <mergeCell ref="JX4:JY5"/>
    <mergeCell ref="JN4:JO5"/>
    <mergeCell ref="P54:Q54"/>
    <mergeCell ref="JP4:JQ5"/>
    <mergeCell ref="F2:G5"/>
    <mergeCell ref="J5:K5"/>
    <mergeCell ref="IN4:IO4"/>
    <mergeCell ref="IP4:IQ4"/>
    <mergeCell ref="CH5:CI5"/>
    <mergeCell ref="DB53:DC53"/>
    <mergeCell ref="CJ5:CK5"/>
    <mergeCell ref="DD53:DE53"/>
    <mergeCell ref="DF53:DG53"/>
    <mergeCell ref="BV4:BW4"/>
    <mergeCell ref="JV55:JW55"/>
    <mergeCell ref="BX4:BY4"/>
    <mergeCell ref="GL5:GM5"/>
    <mergeCell ref="JH54:JI54"/>
    <mergeCell ref="GN5:GO5"/>
    <mergeCell ref="GP5:GQ5"/>
    <mergeCell ref="H6:AA6"/>
    <mergeCell ref="DB55:DC55"/>
    <mergeCell ref="BH53:BI53"/>
    <mergeCell ref="DD55:DE55"/>
    <mergeCell ref="CP54:CQ54"/>
    <mergeCell ref="DT5:DU5"/>
    <mergeCell ref="EN53:EO53"/>
    <mergeCell ref="EP53:EQ53"/>
    <mergeCell ref="DF4:DG4"/>
    <mergeCell ref="DH4:DI4"/>
    <mergeCell ref="AT54:AU54"/>
    <mergeCell ref="DJ4:DK4"/>
    <mergeCell ref="AD54:AE54"/>
    <mergeCell ref="V54:W54"/>
    <mergeCell ref="HZ5:IA5"/>
    <mergeCell ref="IJ53:IK53"/>
    <mergeCell ref="HL4:HM4"/>
    <mergeCell ref="EN55:EO55"/>
    <mergeCell ref="EP55:EQ55"/>
    <mergeCell ref="DZ54:EA54"/>
    <mergeCell ref="EB54:EC54"/>
    <mergeCell ref="ED54:EE54"/>
    <mergeCell ref="IR55:IS55"/>
    <mergeCell ref="AC6:AD6"/>
    <mergeCell ref="GX53:GY53"/>
    <mergeCell ref="FZ53:GA53"/>
    <mergeCell ref="ER4:ES4"/>
    <mergeCell ref="ET4:EU4"/>
    <mergeCell ref="GV55:GW55"/>
    <mergeCell ref="JV53:JW53"/>
    <mergeCell ref="H53:I53"/>
    <mergeCell ref="JX53:JY53"/>
    <mergeCell ref="IZ4:JA4"/>
    <mergeCell ref="FL54:FM54"/>
    <mergeCell ref="FN54:FO54"/>
    <mergeCell ref="AB5:AC5"/>
    <mergeCell ref="JN6:JY6"/>
    <mergeCell ref="AD5:AE5"/>
    <mergeCell ref="H55:I55"/>
    <mergeCell ref="JX55:JY55"/>
    <mergeCell ref="JJ54:JK54"/>
    <mergeCell ref="BP53:BQ53"/>
    <mergeCell ref="AV55:AW55"/>
    <mergeCell ref="HT54:HU54"/>
    <mergeCell ref="IF5:IG5"/>
    <mergeCell ref="HV54:HW54"/>
    <mergeCell ref="IH5:II5"/>
    <mergeCell ref="HT4:HU4"/>
    <mergeCell ref="HN4:HO4"/>
    <mergeCell ref="BN5:BO5"/>
    <mergeCell ref="BP5:BQ5"/>
    <mergeCell ref="IZ55:JA55"/>
    <mergeCell ref="AZ4:BA4"/>
    <mergeCell ref="BB4:BC4"/>
    <mergeCell ref="FR5:FS5"/>
    <mergeCell ref="FJ5:FK5"/>
    <mergeCell ref="FL5:FM5"/>
    <mergeCell ref="AJ53:AK53"/>
    <mergeCell ref="CH55:CI55"/>
    <mergeCell ref="DV5:DW5"/>
    <mergeCell ref="CX5:CY5"/>
    <mergeCell ref="AJ55:AK55"/>
    <mergeCell ref="AL55:AM55"/>
    <mergeCell ref="DT53:DU53"/>
    <mergeCell ref="DL53:DM53"/>
    <mergeCell ref="CL4:CM4"/>
    <mergeCell ref="X54:Y54"/>
    <mergeCell ref="DN53:DO53"/>
    <mergeCell ref="CN4:CO4"/>
    <mergeCell ref="CD4:CE4"/>
    <mergeCell ref="CF4:CG4"/>
    <mergeCell ref="JR54:JS54"/>
    <mergeCell ref="HP53:HQ53"/>
    <mergeCell ref="GV5:GW5"/>
    <mergeCell ref="GX5:GY5"/>
    <mergeCell ref="BV53:BW53"/>
    <mergeCell ref="GH4:GI4"/>
    <mergeCell ref="BX53:BY53"/>
    <mergeCell ref="HR53:HS53"/>
    <mergeCell ref="GJ4:GK4"/>
    <mergeCell ref="DT55:DU55"/>
    <mergeCell ref="DJ55:DK55"/>
    <mergeCell ref="AP4:AQ4"/>
    <mergeCell ref="FT53:FU53"/>
    <mergeCell ref="HP55:HQ55"/>
    <mergeCell ref="BV55:BW55"/>
    <mergeCell ref="HR55:HS55"/>
    <mergeCell ref="HB54:HC54"/>
    <mergeCell ref="BX55:BY55"/>
    <mergeCell ref="BH54:BI54"/>
    <mergeCell ref="BJ54:BK54"/>
    <mergeCell ref="JB53:JC53"/>
    <mergeCell ref="JD53:JE53"/>
    <mergeCell ref="HV4:HW4"/>
    <mergeCell ref="EJ54:EK54"/>
    <mergeCell ref="JB55:JC55"/>
    <mergeCell ref="JD55:JE55"/>
    <mergeCell ref="IN54:IO54"/>
    <mergeCell ref="H2:BC2"/>
    <mergeCell ref="JF6:JG6"/>
    <mergeCell ref="IP54:IQ54"/>
    <mergeCell ref="AL53:AM53"/>
    <mergeCell ref="AL3:AM3"/>
    <mergeCell ref="GR54:GS54"/>
    <mergeCell ref="GP4:GQ4"/>
    <mergeCell ref="AR5:AS5"/>
    <mergeCell ref="AJ5:AK5"/>
    <mergeCell ref="BD53:BE53"/>
    <mergeCell ref="AL5:AM5"/>
    <mergeCell ref="JZ54:KA54"/>
    <mergeCell ref="X4:Y4"/>
    <mergeCell ref="KB54:KC54"/>
    <mergeCell ref="Z4:AA4"/>
    <mergeCell ref="EN5:EO5"/>
    <mergeCell ref="EP5:EQ5"/>
    <mergeCell ref="BD55:BE55"/>
    <mergeCell ref="ID54:IE54"/>
    <mergeCell ref="N55:O55"/>
    <mergeCell ref="P55:Q55"/>
    <mergeCell ref="CP53:CQ53"/>
    <mergeCell ref="CR53:CS53"/>
    <mergeCell ref="BH4:BI4"/>
    <mergeCell ref="BJ4:BK4"/>
    <mergeCell ref="FZ5:GA5"/>
    <mergeCell ref="IV54:IW54"/>
    <mergeCell ref="DL55:DM55"/>
    <mergeCell ref="GB5:GC5"/>
    <mergeCell ref="FN4:FO4"/>
    <mergeCell ref="CB54:CC54"/>
    <mergeCell ref="CD54:CE54"/>
    <mergeCell ref="EV53:EW53"/>
    <mergeCell ref="EX53:EY53"/>
    <mergeCell ref="GT55:GU55"/>
    <mergeCell ref="EZ53:FA53"/>
    <mergeCell ref="DP4:DQ4"/>
    <mergeCell ref="DR4:DS4"/>
    <mergeCell ref="D2:E4"/>
    <mergeCell ref="AF54:AG54"/>
    <mergeCell ref="EV55:EW55"/>
    <mergeCell ref="EX55:EY55"/>
    <mergeCell ref="HX53:HY53"/>
    <mergeCell ref="HZ53:IA53"/>
    <mergeCell ref="GZ4:HA4"/>
    <mergeCell ref="EL54:EM54"/>
    <mergeCell ref="GR4:GS4"/>
    <mergeCell ref="DN54:DO54"/>
    <mergeCell ref="IT55:IU55"/>
    <mergeCell ref="GH53:GI53"/>
    <mergeCell ref="IF55:IG55"/>
    <mergeCell ref="GJ53:GK53"/>
    <mergeCell ref="JB5:JC5"/>
    <mergeCell ref="FB4:FC4"/>
    <mergeCell ref="P53:Q53"/>
    <mergeCell ref="R53:S53"/>
    <mergeCell ref="GH55:GI55"/>
    <mergeCell ref="GJ55:GK55"/>
    <mergeCell ref="FT54:FU54"/>
    <mergeCell ref="FV54:FW54"/>
    <mergeCell ref="FX54:FY54"/>
    <mergeCell ref="H3:AA3"/>
    <mergeCell ref="P5:Q5"/>
    <mergeCell ref="JT54:JU54"/>
    <mergeCell ref="R5:S5"/>
    <mergeCell ref="IR5:IS5"/>
    <mergeCell ref="IB4:IC4"/>
    <mergeCell ref="ID4:IE4"/>
    <mergeCell ref="BV5:BW5"/>
    <mergeCell ref="BX5:BY5"/>
    <mergeCell ref="AP54:AQ54"/>
    <mergeCell ref="AN4:AO4"/>
    <mergeCell ref="CP55:CQ55"/>
    <mergeCell ref="CR55:CS55"/>
    <mergeCell ref="EX5:EY5"/>
    <mergeCell ref="FR53:FS53"/>
    <mergeCell ref="X53:Y53"/>
    <mergeCell ref="EZ5:FA5"/>
    <mergeCell ref="EJ4:EK4"/>
    <mergeCell ref="E6:E7"/>
    <mergeCell ref="EL4:EM4"/>
    <mergeCell ref="DH5:DI5"/>
    <mergeCell ref="JD5:JE5"/>
    <mergeCell ref="EB53:EC53"/>
    <mergeCell ref="DJ5:DK5"/>
    <mergeCell ref="ED53:EE53"/>
    <mergeCell ref="CT4:CU4"/>
    <mergeCell ref="DV53:DW53"/>
    <mergeCell ref="CV4:CW4"/>
    <mergeCell ref="X55:Y55"/>
    <mergeCell ref="J54:K54"/>
    <mergeCell ref="L54:M54"/>
    <mergeCell ref="HF5:HG5"/>
    <mergeCell ref="EB55:EC55"/>
    <mergeCell ref="ED55:EE55"/>
    <mergeCell ref="DV55:DW55"/>
    <mergeCell ref="HD53:HE53"/>
    <mergeCell ref="DP54:DQ54"/>
    <mergeCell ref="DF54:DG54"/>
    <mergeCell ref="HF53:HG53"/>
    <mergeCell ref="FV4:FW4"/>
    <mergeCell ref="FX4:FY4"/>
    <mergeCell ref="HX55:HY55"/>
    <mergeCell ref="HZ55:IA55"/>
    <mergeCell ref="HX5:HY5"/>
    <mergeCell ref="FH53:FI53"/>
    <mergeCell ref="GP54:GQ54"/>
    <mergeCell ref="AV54:AW54"/>
    <mergeCell ref="JJ53:JK53"/>
    <mergeCell ref="AX54:AY54"/>
    <mergeCell ref="GH5:GI5"/>
    <mergeCell ref="JL53:JM53"/>
    <mergeCell ref="JJ3:JK3"/>
  </mergeCells>
  <pageMargins left="0.3937007874015748" right="0.1181102362204725" top="0.7874015748031497" bottom="0.1968503937007874" header="0.3149606299212598" footer="0.3149606299212598"/>
  <pageSetup orientation="landscape" paperSize="9" scale="66"/>
  <rowBreaks count="1" manualBreakCount="1">
    <brk id="34" min="0" max="288" man="1"/>
  </rowBreaks>
  <colBreaks count="7" manualBreakCount="7">
    <brk id="27" min="0" max="56" man="1"/>
    <brk id="35" min="0" max="59" man="1"/>
    <brk id="67" min="0" max="59" man="1"/>
    <brk id="95" min="0" max="59" man="1"/>
    <brk id="151" min="0" max="1048575" man="1"/>
    <brk id="179" min="0" max="59" man="1"/>
    <brk id="251" min="0" max="59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Лариса</dc:creator>
  <dcterms:created xsi:type="dcterms:W3CDTF">2021-11-09T01:32:05Z</dcterms:created>
  <dcterms:modified xsi:type="dcterms:W3CDTF">2024-05-08T13:39:05Z</dcterms:modified>
  <cp:lastModifiedBy>Кирилл воропаев</cp:lastModifiedBy>
  <cp:lastPrinted>2024-04-16T09:50:35Z</cp:lastPrinted>
</cp:coreProperties>
</file>